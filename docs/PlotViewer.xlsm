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8_{1ED97A84-67DF-494A-8B4B-1C889EB3CB25}" xr6:coauthVersionLast="45" xr6:coauthVersionMax="45" xr10:uidLastSave="{00000000-0000-0000-0000-000000000000}"/>
  <bookViews>
    <workbookView xWindow="28680" yWindow="-120" windowWidth="29040" windowHeight="15840" xr2:uid="{840C5DA0-5728-4D51-B44A-B3FD1E801F57}"/>
  </bookViews>
  <sheets>
    <sheet name="Parameters" sheetId="4" r:id="rId1"/>
    <sheet name="Dam LW" sheetId="7" r:id="rId2"/>
    <sheet name="Headers" sheetId="5" r:id="rId3"/>
    <sheet name="Dimensions" sheetId="6" r:id="rId4"/>
    <sheet name="Basic" sheetId="1" r:id="rId5"/>
    <sheet name="Intermediate" sheetId="2" r:id="rId6"/>
    <sheet name="Advanced" sheetId="3" r:id="rId7"/>
  </sheets>
  <functionGroups builtInGroupCount="19"/>
  <definedNames>
    <definedName name="Axes" localSheetId="1">'Dam LW'!$A$1:$U$5</definedName>
    <definedName name="Axes">Parameters!$A$1:$U$5</definedName>
    <definedName name="Dimensions" localSheetId="1">'Dam LW'!$A$8:$BN$27</definedName>
    <definedName name="Dimensions">Parameters!$A$8:$BN$27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N24" i="7" l="1"/>
  <c r="BM24" i="7"/>
  <c r="BL24" i="7"/>
  <c r="BK24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BN21" i="7"/>
  <c r="BM21" i="7"/>
  <c r="BL21" i="7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E21" i="7"/>
  <c r="AD21" i="7"/>
  <c r="BN18" i="7"/>
  <c r="BM18" i="7"/>
  <c r="BL18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BN15" i="7"/>
  <c r="BM15" i="7"/>
  <c r="BL15" i="7"/>
  <c r="BK15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B15" i="7"/>
  <c r="BN12" i="7"/>
  <c r="BM12" i="7"/>
  <c r="BL12" i="7"/>
  <c r="BK12" i="7"/>
  <c r="BJ12" i="7"/>
  <c r="BI12" i="7"/>
  <c r="BH12" i="7"/>
  <c r="BG12" i="7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G12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C9" i="7"/>
  <c r="V8" i="7"/>
  <c r="AS15" i="7" s="1"/>
  <c r="U8" i="7"/>
  <c r="AR12" i="7" s="1"/>
  <c r="T8" i="7"/>
  <c r="AQ12" i="7" s="1"/>
  <c r="S8" i="7"/>
  <c r="AP9" i="7" s="1"/>
  <c r="R8" i="7"/>
  <c r="AO9" i="7" s="1"/>
  <c r="Q8" i="7"/>
  <c r="AN9" i="7" s="1"/>
  <c r="P8" i="7"/>
  <c r="AM9" i="7" s="1"/>
  <c r="O8" i="7"/>
  <c r="AL9" i="7" s="1"/>
  <c r="N8" i="7"/>
  <c r="AK9" i="7" s="1"/>
  <c r="M8" i="7"/>
  <c r="AJ24" i="7" s="1"/>
  <c r="L8" i="7"/>
  <c r="AI24" i="7" s="1"/>
  <c r="K8" i="7"/>
  <c r="AH24" i="7" s="1"/>
  <c r="J8" i="7"/>
  <c r="AG24" i="7" s="1"/>
  <c r="I8" i="7"/>
  <c r="AF18" i="7" s="1"/>
  <c r="H8" i="7"/>
  <c r="AE18" i="7" s="1"/>
  <c r="G8" i="7"/>
  <c r="AD18" i="7" s="1"/>
  <c r="F8" i="7"/>
  <c r="AC12" i="7" s="1"/>
  <c r="E8" i="7"/>
  <c r="AB18" i="7" s="1"/>
  <c r="D8" i="7"/>
  <c r="AA21" i="7" s="1"/>
  <c r="C8" i="7"/>
  <c r="Z18" i="7" s="1"/>
  <c r="B8" i="7"/>
  <c r="Y12" i="7" s="1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W21" i="4"/>
  <c r="W15" i="4"/>
  <c r="W9" i="4"/>
  <c r="W12" i="4"/>
  <c r="W24" i="4"/>
  <c r="W18" i="4"/>
  <c r="W15" i="7"/>
  <c r="W9" i="7"/>
  <c r="W24" i="7"/>
  <c r="W18" i="7"/>
  <c r="W12" i="7"/>
  <c r="W21" i="7"/>
  <c r="AA9" i="7" l="1"/>
  <c r="AE12" i="7"/>
  <c r="Y15" i="7"/>
  <c r="AB21" i="7"/>
  <c r="AP24" i="7"/>
  <c r="AQ9" i="7"/>
  <c r="AB9" i="7"/>
  <c r="AF12" i="7"/>
  <c r="Z15" i="7"/>
  <c r="AC21" i="7"/>
  <c r="AR24" i="7"/>
  <c r="AA15" i="7"/>
  <c r="AR9" i="7"/>
  <c r="AA12" i="7"/>
  <c r="AC15" i="7"/>
  <c r="AA18" i="7"/>
  <c r="AF21" i="7"/>
  <c r="AC24" i="7"/>
  <c r="AS9" i="7"/>
  <c r="AB12" i="7"/>
  <c r="AD15" i="7"/>
  <c r="AC18" i="7"/>
  <c r="Y21" i="7"/>
  <c r="AG21" i="7"/>
  <c r="AM24" i="7"/>
  <c r="AA24" i="7"/>
  <c r="Y9" i="7"/>
  <c r="AF15" i="7"/>
  <c r="AG18" i="7"/>
  <c r="Z21" i="7"/>
  <c r="AN24" i="7"/>
  <c r="Z12" i="7"/>
  <c r="Z9" i="7"/>
  <c r="AD12" i="7"/>
  <c r="AI18" i="7"/>
  <c r="AO24" i="7"/>
  <c r="AK24" i="7"/>
  <c r="AH18" i="7"/>
  <c r="AL24" i="7"/>
  <c r="AI12" i="7"/>
  <c r="AM18" i="7"/>
  <c r="AQ24" i="7"/>
  <c r="AJ18" i="7"/>
  <c r="AP12" i="7"/>
  <c r="AD9" i="7"/>
  <c r="AH15" i="7"/>
  <c r="AL21" i="7"/>
  <c r="AE9" i="7"/>
  <c r="AI15" i="7"/>
  <c r="AM21" i="7"/>
  <c r="Y24" i="7"/>
  <c r="AL18" i="7"/>
  <c r="AG15" i="7"/>
  <c r="AK21" i="7"/>
  <c r="AF9" i="7"/>
  <c r="AJ15" i="7"/>
  <c r="AN21" i="7"/>
  <c r="Z24" i="7"/>
  <c r="AO18" i="7"/>
  <c r="AO21" i="7"/>
  <c r="AN18" i="7"/>
  <c r="AL12" i="7"/>
  <c r="AE15" i="7"/>
  <c r="AL15" i="7"/>
  <c r="AB24" i="7"/>
  <c r="AK12" i="7"/>
  <c r="AH21" i="7"/>
  <c r="AS12" i="7"/>
  <c r="AJ21" i="7"/>
  <c r="AH12" i="7"/>
  <c r="AM12" i="7"/>
  <c r="AG9" i="7"/>
  <c r="AK15" i="7"/>
  <c r="AH9" i="7"/>
  <c r="AI9" i="7"/>
  <c r="AM15" i="7"/>
  <c r="Y18" i="7"/>
  <c r="AQ21" i="7"/>
  <c r="AJ9" i="7"/>
  <c r="AN15" i="7"/>
  <c r="AR21" i="7"/>
  <c r="AD24" i="7"/>
  <c r="AP18" i="7"/>
  <c r="AQ18" i="7"/>
  <c r="AE24" i="7"/>
  <c r="AK18" i="7"/>
  <c r="AN12" i="7"/>
  <c r="AS18" i="7"/>
  <c r="AP21" i="7"/>
  <c r="AO15" i="7"/>
  <c r="AS21" i="7"/>
  <c r="AP15" i="7"/>
  <c r="AF24" i="7"/>
  <c r="AJ12" i="7"/>
  <c r="AR18" i="7"/>
  <c r="AQ15" i="7"/>
  <c r="AR15" i="7"/>
  <c r="AO12" i="7"/>
  <c r="AI21" i="7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X15" i="7" l="1"/>
  <c r="X16" i="7" s="1"/>
  <c r="X17" i="7" s="1"/>
  <c r="X12" i="7"/>
  <c r="X13" i="7" s="1"/>
  <c r="X14" i="7" s="1"/>
  <c r="X21" i="7"/>
  <c r="X22" i="7" s="1"/>
  <c r="X23" i="7" s="1"/>
  <c r="X18" i="7"/>
  <c r="X24" i="7"/>
  <c r="X9" i="7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V3" i="5"/>
  <c r="B4" i="5"/>
  <c r="B5" i="5"/>
  <c r="B6" i="5"/>
  <c r="C6" i="5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U8" i="4"/>
  <c r="AR21" i="4" s="1"/>
  <c r="V8" i="4"/>
  <c r="AS21" i="4" s="1"/>
  <c r="X19" i="7" l="1"/>
  <c r="X20" i="7" s="1"/>
  <c r="X10" i="7"/>
  <c r="X11" i="7" s="1"/>
  <c r="X25" i="7"/>
  <c r="X26" i="7" s="1"/>
  <c r="AS15" i="4"/>
  <c r="AS12" i="4"/>
  <c r="AR15" i="4"/>
  <c r="AR12" i="4"/>
  <c r="AS18" i="4"/>
  <c r="AR18" i="4"/>
  <c r="AS24" i="4"/>
  <c r="AS9" i="4"/>
  <c r="AR9" i="4" l="1"/>
  <c r="T8" i="4"/>
  <c r="AQ21" i="4" s="1"/>
  <c r="S8" i="4"/>
  <c r="AP21" i="4" s="1"/>
  <c r="R8" i="4"/>
  <c r="AO21" i="4" s="1"/>
  <c r="Q8" i="4"/>
  <c r="AN21" i="4" s="1"/>
  <c r="P8" i="4"/>
  <c r="AM21" i="4" s="1"/>
  <c r="O8" i="4"/>
  <c r="AL21" i="4" s="1"/>
  <c r="N8" i="4"/>
  <c r="AK21" i="4" s="1"/>
  <c r="M8" i="4"/>
  <c r="AJ21" i="4" s="1"/>
  <c r="L8" i="4"/>
  <c r="AI21" i="4" s="1"/>
  <c r="K8" i="4"/>
  <c r="AH21" i="4" s="1"/>
  <c r="J8" i="4"/>
  <c r="AG21" i="4" s="1"/>
  <c r="I8" i="4"/>
  <c r="AF21" i="4" s="1"/>
  <c r="H8" i="4"/>
  <c r="AE21" i="4" s="1"/>
  <c r="G8" i="4"/>
  <c r="AD21" i="4" s="1"/>
  <c r="F8" i="4"/>
  <c r="AC21" i="4" s="1"/>
  <c r="E8" i="4"/>
  <c r="AB21" i="4" s="1"/>
  <c r="D8" i="4"/>
  <c r="AA21" i="4" s="1"/>
  <c r="C8" i="4"/>
  <c r="Z21" i="4" s="1"/>
  <c r="B8" i="4"/>
  <c r="Y21" i="4" s="1"/>
  <c r="X21" i="4" l="1"/>
  <c r="AC15" i="4"/>
  <c r="AC12" i="4"/>
  <c r="AM15" i="4"/>
  <c r="AM12" i="4"/>
  <c r="AB15" i="4"/>
  <c r="AB12" i="4"/>
  <c r="AK15" i="4"/>
  <c r="AK12" i="4"/>
  <c r="AL15" i="4"/>
  <c r="AL12" i="4"/>
  <c r="AE15" i="4"/>
  <c r="AE12" i="4"/>
  <c r="AF15" i="4"/>
  <c r="AF12" i="4"/>
  <c r="AN15" i="4"/>
  <c r="AN12" i="4"/>
  <c r="AJ15" i="4"/>
  <c r="AJ12" i="4"/>
  <c r="Y15" i="4"/>
  <c r="Y12" i="4"/>
  <c r="AO15" i="4"/>
  <c r="AO12" i="4"/>
  <c r="AH15" i="4"/>
  <c r="AH12" i="4"/>
  <c r="AP15" i="4"/>
  <c r="AP12" i="4"/>
  <c r="AD15" i="4"/>
  <c r="AD12" i="4"/>
  <c r="AG15" i="4"/>
  <c r="AG12" i="4"/>
  <c r="Z15" i="4"/>
  <c r="Z12" i="4"/>
  <c r="AA15" i="4"/>
  <c r="AA12" i="4"/>
  <c r="AI15" i="4"/>
  <c r="AI12" i="4"/>
  <c r="AQ15" i="4"/>
  <c r="AQ12" i="4"/>
  <c r="AK18" i="4"/>
  <c r="AM18" i="4"/>
  <c r="AD18" i="4"/>
  <c r="AL18" i="4"/>
  <c r="AE18" i="4"/>
  <c r="AF18" i="4"/>
  <c r="AN18" i="4"/>
  <c r="AG18" i="4"/>
  <c r="AO18" i="4"/>
  <c r="Z18" i="4"/>
  <c r="AP18" i="4"/>
  <c r="AC18" i="4"/>
  <c r="AQ18" i="4"/>
  <c r="AH18" i="4"/>
  <c r="AA18" i="4"/>
  <c r="AI18" i="4"/>
  <c r="AB18" i="4"/>
  <c r="AJ18" i="4"/>
  <c r="AP9" i="4"/>
  <c r="AD9" i="4"/>
  <c r="AL9" i="4"/>
  <c r="AH9" i="4"/>
  <c r="AE9" i="4"/>
  <c r="AM9" i="4"/>
  <c r="AK9" i="4"/>
  <c r="AN9" i="4"/>
  <c r="AC9" i="4"/>
  <c r="AF9" i="4"/>
  <c r="Y9" i="4"/>
  <c r="AG9" i="4"/>
  <c r="AO9" i="4"/>
  <c r="Z9" i="4"/>
  <c r="AA9" i="4"/>
  <c r="AI9" i="4"/>
  <c r="AQ9" i="4"/>
  <c r="AB9" i="4"/>
  <c r="AJ9" i="4"/>
  <c r="Y24" i="4"/>
  <c r="AG24" i="4"/>
  <c r="AO24" i="4"/>
  <c r="AA24" i="4"/>
  <c r="AI24" i="4"/>
  <c r="AQ24" i="4"/>
  <c r="AC24" i="4"/>
  <c r="AK24" i="4"/>
  <c r="AB24" i="4"/>
  <c r="AD24" i="4"/>
  <c r="AJ24" i="4"/>
  <c r="AL24" i="4"/>
  <c r="AR24" i="4"/>
  <c r="AE24" i="4"/>
  <c r="AM24" i="4"/>
  <c r="AF24" i="4"/>
  <c r="AN24" i="4"/>
  <c r="Z24" i="4"/>
  <c r="AH24" i="4"/>
  <c r="AP24" i="4"/>
  <c r="X22" i="4" l="1"/>
  <c r="X23" i="4" s="1"/>
  <c r="X15" i="4"/>
  <c r="X12" i="4"/>
  <c r="X18" i="4"/>
  <c r="X9" i="4"/>
  <c r="X24" i="4"/>
  <c r="B20" i="3"/>
  <c r="X16" i="4" l="1"/>
  <c r="X17" i="4" s="1"/>
  <c r="X13" i="4"/>
  <c r="X14" i="4" s="1"/>
  <c r="X19" i="4"/>
  <c r="X20" i="4" s="1"/>
  <c r="X25" i="4"/>
  <c r="X26" i="4" s="1"/>
  <c r="X10" i="4"/>
  <c r="X11" i="4" s="1"/>
</calcChain>
</file>

<file path=xl/sharedStrings.xml><?xml version="1.0" encoding="utf-8"?>
<sst xmlns="http://schemas.openxmlformats.org/spreadsheetml/2006/main" count="624" uniqueCount="142">
  <si>
    <t>Scenario:</t>
  </si>
  <si>
    <t>Graph of liveweight by for all dates for all of the genotypes and the average for b1 &amp; w and a specific slice for e1.</t>
  </si>
  <si>
    <t>Data that is part of the function call</t>
  </si>
  <si>
    <t>Axis options:</t>
  </si>
  <si>
    <t>slice</t>
  </si>
  <si>
    <t>y axis variable</t>
  </si>
  <si>
    <t>o_ffcfw_dams</t>
  </si>
  <si>
    <t>average</t>
  </si>
  <si>
    <t>y axis variable2 = None</t>
  </si>
  <si>
    <t>x axis variable = None</t>
  </si>
  <si>
    <t>date_start_p</t>
  </si>
  <si>
    <t>Weighting variable = None</t>
  </si>
  <si>
    <t>Need to broadcast all the arrays together</t>
  </si>
  <si>
    <t>x_var, y_var1, y_var2, weight_var = np.broadcast_array(x_var, y_var1, y_var2, weight_var)</t>
  </si>
  <si>
    <t>np.shape(x_var)</t>
  </si>
  <si>
    <t>Slice input</t>
  </si>
  <si>
    <t>Description</t>
  </si>
  <si>
    <t>How it looks in the function call</t>
  </si>
  <si>
    <t>The other axes</t>
  </si>
  <si>
    <t>p</t>
  </si>
  <si>
    <t>only a slice input because x axis</t>
  </si>
  <si>
    <t>slc = some sort of python slice based on thse that are sliced</t>
  </si>
  <si>
    <t>a1</t>
  </si>
  <si>
    <t>input ignored because only one slice</t>
  </si>
  <si>
    <t>ax = a tuple of the axes that are being averaged</t>
  </si>
  <si>
    <t>e1</t>
  </si>
  <si>
    <t>only inlcude slice 0 on the graph</t>
  </si>
  <si>
    <t>x_var = np.average(x_var[slc],weight=weight_var[slc],axis=ax)</t>
  </si>
  <si>
    <t>b1</t>
  </si>
  <si>
    <t>take the weighted average of these slices</t>
  </si>
  <si>
    <t>y_var1 = np.average(y_var1[slc],weight=weight_var[slc],axis=ax)</t>
  </si>
  <si>
    <t>n</t>
  </si>
  <si>
    <t>y_var2 = np.average(y_var2[slc],weight=weight_var[slc],axis=ax)</t>
  </si>
  <si>
    <t>w</t>
  </si>
  <si>
    <t>z</t>
  </si>
  <si>
    <t>i</t>
  </si>
  <si>
    <t>Treat the x axis and y axis variables the same</t>
  </si>
  <si>
    <t>d</t>
  </si>
  <si>
    <t>Every y has a corresponding x, although in this example the x will all be the same</t>
  </si>
  <si>
    <t>a0</t>
  </si>
  <si>
    <t>e0</t>
  </si>
  <si>
    <t>b0</t>
  </si>
  <si>
    <t>x</t>
  </si>
  <si>
    <t>y</t>
  </si>
  <si>
    <t>g</t>
  </si>
  <si>
    <t>Slice not specified so all slices on graph</t>
  </si>
  <si>
    <t>Graph of liveweight for all ages for 6 combinations of genotype and weight profile and the average for b1 and a specific slice for e1.</t>
  </si>
  <si>
    <t>age_pa1e1b1nwzida0e0b0xyg1</t>
  </si>
  <si>
    <t>o_numbers_start_dams</t>
  </si>
  <si>
    <t>0,27,54</t>
  </si>
  <si>
    <t>3 of the weight patterns</t>
  </si>
  <si>
    <t>0,2</t>
  </si>
  <si>
    <t>BBB &amp; BBT genotypes on graph</t>
  </si>
  <si>
    <t>Graph of empty body gain (ebg) &amp; fleece weight (cfw) and how they vary with metabolisable intake (mei).
Create a scatter plot with most of the animals included.</t>
  </si>
  <si>
    <t>o_ebg_offs</t>
  </si>
  <si>
    <t>o_cfw_offs</t>
  </si>
  <si>
    <t>o_mei_solid_offs</t>
  </si>
  <si>
    <t>This variable is not sequential, therefore no connector between the points (i.e. just a  scatter plot)</t>
  </si>
  <si>
    <t>o_numbers_start_offs</t>
  </si>
  <si>
    <t>Take a subset of the periods</t>
  </si>
  <si>
    <t>x_var = np.average(xvar[slc],weight=weight_var[slc],axis=ax)</t>
  </si>
  <si>
    <t>Every y has a corresponding x, and in this example the x will be different</t>
  </si>
  <si>
    <t>45:75, 100:150</t>
  </si>
  <si>
    <t>numpy takes the arithmetic average if none specified of these slices</t>
  </si>
  <si>
    <t>weight of dams</t>
  </si>
  <si>
    <t>weighted average</t>
  </si>
  <si>
    <t>waverage</t>
  </si>
  <si>
    <t>Blank means all slices. Slice not specified so all slices on graph</t>
  </si>
  <si>
    <t>a</t>
  </si>
  <si>
    <t>Action</t>
  </si>
  <si>
    <t>k2</t>
  </si>
  <si>
    <t>k3</t>
  </si>
  <si>
    <t>k5</t>
  </si>
  <si>
    <t>t</t>
  </si>
  <si>
    <t>g9</t>
  </si>
  <si>
    <t>w9</t>
  </si>
  <si>
    <t>i9</t>
  </si>
  <si>
    <t>g1</t>
  </si>
  <si>
    <t>k28</t>
  </si>
  <si>
    <t>k29</t>
  </si>
  <si>
    <t>v</t>
  </si>
  <si>
    <t>g0</t>
  </si>
  <si>
    <t>p8</t>
  </si>
  <si>
    <t>Filename</t>
  </si>
  <si>
    <t>f</t>
  </si>
  <si>
    <t>b</t>
  </si>
  <si>
    <t>xvar</t>
  </si>
  <si>
    <t>yvar2</t>
  </si>
  <si>
    <t>0</t>
  </si>
  <si>
    <t>labels</t>
  </si>
  <si>
    <t>slices</t>
  </si>
  <si>
    <t>aggreg</t>
  </si>
  <si>
    <t>name</t>
  </si>
  <si>
    <t>value</t>
  </si>
  <si>
    <t>start</t>
  </si>
  <si>
    <t>stop</t>
  </si>
  <si>
    <t>step</t>
  </si>
  <si>
    <t>not built yet</t>
  </si>
  <si>
    <t>not used</t>
  </si>
  <si>
    <t>yvar</t>
  </si>
  <si>
    <t>wvar</t>
  </si>
  <si>
    <t>PlotViewer.xlsm</t>
  </si>
  <si>
    <t>Instructions:</t>
  </si>
  <si>
    <t xml:space="preserve">In 'aggreg' rows enter </t>
  </si>
  <si>
    <t>the array axis to vary across the graph x axis - as a line graph</t>
  </si>
  <si>
    <t>s</t>
  </si>
  <si>
    <t>take an average of the specified slices</t>
  </si>
  <si>
    <t>take a weighted average of the specified slices</t>
  </si>
  <si>
    <t xml:space="preserve">In 'slices' rows enter </t>
  </si>
  <si>
    <t>blank</t>
  </si>
  <si>
    <t>these slices will appear on the graph</t>
  </si>
  <si>
    <t>csv</t>
  </si>
  <si>
    <t>the slices to include on the graph (either as lines/points or in the average)</t>
  </si>
  <si>
    <t xml:space="preserve">In 'labels' rows enter </t>
  </si>
  <si>
    <t>desc</t>
  </si>
  <si>
    <t>description of the lines on the graph. It is a ravelled array with right most axes changing quickest</t>
  </si>
  <si>
    <t>the array axis to vary across the graph x axis - as a scatter Plot</t>
  </si>
  <si>
    <t>lw0</t>
  </si>
  <si>
    <t>lw1</t>
  </si>
  <si>
    <t>lw2</t>
  </si>
  <si>
    <t>lw3</t>
  </si>
  <si>
    <t>lw6</t>
  </si>
  <si>
    <t>lw9</t>
  </si>
  <si>
    <t>0,1,2,3,4</t>
  </si>
  <si>
    <t>NM</t>
  </si>
  <si>
    <t>Dry</t>
  </si>
  <si>
    <t>Single</t>
  </si>
  <si>
    <t>Twin</t>
  </si>
  <si>
    <t>Triplets</t>
  </si>
  <si>
    <t>2</t>
  </si>
  <si>
    <t>0,1,2</t>
  </si>
  <si>
    <t>0,3,6</t>
  </si>
  <si>
    <t>0,9,18</t>
  </si>
  <si>
    <t>lw18</t>
  </si>
  <si>
    <t>lw27</t>
  </si>
  <si>
    <t>lw54</t>
  </si>
  <si>
    <t>0,40,80</t>
  </si>
  <si>
    <t>ave LW</t>
  </si>
  <si>
    <t>High LW</t>
  </si>
  <si>
    <t>Low LW</t>
  </si>
  <si>
    <t>o_ebg_dams</t>
  </si>
  <si>
    <t>0,2,3,4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</si>
</sst>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/>
      <right/>
      <top/>
      <bottom style="thin">
        <color indexed="64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/>
      <right/>
      <top style="thin">
        <color auto="1"/>
      </top>
      <bottom/>
      <diagonal/>
    </border>
    <border>
      <left style="hair">
        <color rgb="FF7F7F7F"/>
      </left>
      <right/>
      <top/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 style="medium">
        <color rgb="FF7F7F7F"/>
      </left>
      <right style="hair">
        <color rgb="FF7F7F7F"/>
      </right>
      <top style="medium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medium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medium">
        <color rgb="FF7F7F7F"/>
      </top>
      <bottom/>
      <diagonal/>
    </border>
    <border>
      <left style="hair">
        <color rgb="FF7F7F7F"/>
      </left>
      <right style="medium">
        <color rgb="FF7F7F7F"/>
      </right>
      <top style="medium">
        <color rgb="FF7F7F7F"/>
      </top>
      <bottom/>
      <diagonal/>
    </border>
    <border>
      <left style="medium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medium">
        <color rgb="FF7F7F7F"/>
      </right>
      <top style="hair">
        <color rgb="FF7F7F7F"/>
      </top>
      <bottom style="hair">
        <color rgb="FF7F7F7F"/>
      </bottom>
      <diagonal/>
    </border>
    <border>
      <left style="medium">
        <color rgb="FF7F7F7F"/>
      </left>
      <right style="hair">
        <color rgb="FF7F7F7F"/>
      </right>
      <top/>
      <bottom style="medium">
        <color rgb="FF7F7F7F"/>
      </bottom>
      <diagonal/>
    </border>
    <border>
      <left style="hair">
        <color rgb="FF7F7F7F"/>
      </left>
      <right style="hair">
        <color rgb="FF7F7F7F"/>
      </right>
      <top/>
      <bottom style="medium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medium">
        <color rgb="FF7F7F7F"/>
      </bottom>
      <diagonal/>
    </border>
    <border>
      <left style="hair">
        <color rgb="FF7F7F7F"/>
      </left>
      <right style="medium">
        <color rgb="FF7F7F7F"/>
      </right>
      <top style="hair">
        <color rgb="FF7F7F7F"/>
      </top>
      <bottom style="medium">
        <color rgb="FF7F7F7F"/>
      </bottom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0" fillId="2" borderId="1" xfId="1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0" borderId="0" xfId="0" applyFont="1"/>
    <xf numFmtId="0" fontId="0" fillId="2" borderId="3" xfId="1" applyFont="1" applyBorder="1" applyAlignment="1">
      <alignment horizontal="center"/>
    </xf>
    <xf numFmtId="0" fontId="3" fillId="0" borderId="0" xfId="0" applyFont="1"/>
    <xf numFmtId="0" fontId="0" fillId="2" borderId="4" xfId="1" applyFont="1" applyBorder="1" applyAlignment="1">
      <alignment horizontal="center"/>
    </xf>
    <xf numFmtId="0" fontId="0" fillId="0" borderId="5" xfId="0" applyBorder="1"/>
    <xf numFmtId="0" fontId="0" fillId="0" borderId="0" xfId="0" applyAlignment="1"/>
    <xf numFmtId="0" fontId="0" fillId="0" borderId="0" xfId="0" applyAlignment="1"/>
    <xf numFmtId="0" fontId="0" fillId="0" borderId="0" xfId="0" applyBorder="1" applyAlignment="1"/>
    <xf numFmtId="0" fontId="0" fillId="3" borderId="0" xfId="0" applyFill="1"/>
    <xf numFmtId="0" fontId="0" fillId="0" borderId="9" xfId="0" applyBorder="1" applyAlignment="1"/>
    <xf numFmtId="0" fontId="0" fillId="0" borderId="0" xfId="0" applyAlignment="1">
      <alignment horizontal="center"/>
    </xf>
    <xf numFmtId="0" fontId="0" fillId="2" borderId="8" xfId="1" applyFont="1" applyBorder="1" applyAlignment="1">
      <alignment horizontal="center"/>
    </xf>
    <xf numFmtId="0" fontId="0" fillId="0" borderId="0" xfId="0" applyAlignment="1">
      <alignment horizontal="center"/>
    </xf>
    <xf numFmtId="49" fontId="0" fillId="2" borderId="3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8" xfId="1" applyFont="1" applyBorder="1" applyAlignment="1">
      <alignment horizontal="center"/>
    </xf>
    <xf numFmtId="0" fontId="4" fillId="0" borderId="0" xfId="2"/>
    <xf numFmtId="0" fontId="4" fillId="0" borderId="0" xfId="2" applyAlignment="1">
      <alignment vertical="center"/>
    </xf>
    <xf numFmtId="49" fontId="0" fillId="0" borderId="0" xfId="0" applyNumberFormat="1" applyAlignment="1">
      <alignment horizontal="center"/>
    </xf>
    <xf numFmtId="0" fontId="0" fillId="2" borderId="10" xfId="1" applyFont="1" applyBorder="1" applyAlignment="1">
      <alignment horizontal="center"/>
    </xf>
    <xf numFmtId="0" fontId="0" fillId="2" borderId="11" xfId="1" applyFont="1" applyBorder="1" applyAlignment="1">
      <alignment horizontal="center"/>
    </xf>
    <xf numFmtId="0" fontId="0" fillId="2" borderId="12" xfId="1" applyFont="1" applyBorder="1" applyAlignment="1">
      <alignment horizontal="center"/>
    </xf>
    <xf numFmtId="0" fontId="0" fillId="2" borderId="13" xfId="1" applyFont="1" applyBorder="1" applyAlignment="1">
      <alignment horizontal="center"/>
    </xf>
    <xf numFmtId="49" fontId="0" fillId="2" borderId="14" xfId="1" applyNumberFormat="1" applyFont="1" applyBorder="1" applyAlignment="1">
      <alignment horizontal="center"/>
    </xf>
    <xf numFmtId="49" fontId="0" fillId="2" borderId="1" xfId="1" applyNumberFormat="1" applyFont="1" applyBorder="1" applyAlignment="1">
      <alignment horizontal="center"/>
    </xf>
    <xf numFmtId="49" fontId="0" fillId="2" borderId="15" xfId="1" applyNumberFormat="1" applyFont="1" applyBorder="1" applyAlignment="1">
      <alignment horizontal="center"/>
    </xf>
    <xf numFmtId="49" fontId="0" fillId="2" borderId="16" xfId="1" applyNumberFormat="1" applyFont="1" applyBorder="1" applyAlignment="1">
      <alignment horizontal="center"/>
    </xf>
    <xf numFmtId="49" fontId="0" fillId="2" borderId="17" xfId="1" applyNumberFormat="1" applyFont="1" applyBorder="1" applyAlignment="1">
      <alignment horizontal="center"/>
    </xf>
    <xf numFmtId="49" fontId="0" fillId="2" borderId="18" xfId="1" applyNumberFormat="1" applyFont="1" applyBorder="1" applyAlignment="1">
      <alignment horizontal="center"/>
    </xf>
    <xf numFmtId="49" fontId="0" fillId="2" borderId="19" xfId="1" applyNumberFormat="1" applyFont="1" applyBorder="1" applyAlignment="1">
      <alignment horizontal="center"/>
    </xf>
    <xf numFmtId="49" fontId="0" fillId="2" borderId="18" xfId="1" quotePrefix="1" applyNumberFormat="1" applyFont="1" applyBorder="1" applyAlignment="1">
      <alignment horizontal="center"/>
    </xf>
    <xf numFmtId="0" fontId="5" fillId="3" borderId="0" xfId="0" applyFont="1" applyFill="1"/>
    <xf numFmtId="0" fontId="0" fillId="4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6" xfId="1" applyFont="1" applyBorder="1" applyAlignment="1">
      <alignment horizontal="center"/>
    </xf>
    <xf numFmtId="0" fontId="0" fillId="2" borderId="0" xfId="1" applyFont="1" applyBorder="1" applyAlignment="1">
      <alignment horizontal="center"/>
    </xf>
    <xf numFmtId="0" fontId="0" fillId="2" borderId="7" xfId="1" applyFont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3">
    <cellStyle name="Hyperlink" xfId="2" builtinId="8"/>
    <cellStyle name="Input" xfId="1" builtinId="20"/>
    <cellStyle name="Normal" xfId="0" builtinId="0"/>
  </cellStyles>
  <dxfs count="17"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4E89E-492E-4CBF-9D7E-63A89815482B}">
  <sheetPr codeName="Sheet4"/>
  <dimension ref="A1:BN42"/>
  <sheetViews>
    <sheetView tabSelected="1" workbookViewId="0">
      <pane ySplit="8" topLeftCell="A15" activePane="bottomLeft" state="frozen"/>
      <selection pane="bottomLeft" activeCell="I9" sqref="I9"/>
    </sheetView>
  </sheetViews>
  <sheetFormatPr defaultRowHeight="14.5" x14ac:dyDescent="0.35"/>
  <cols>
    <col min="1" max="1" width="6.7265625" bestFit="1" customWidth="1"/>
    <col min="2" max="20" width="7" bestFit="1" customWidth="1"/>
    <col min="21" max="22" width="7" customWidth="1"/>
    <col min="23" max="23" width="8.453125" bestFit="1" customWidth="1"/>
    <col min="24" max="24" width="10.7265625" customWidth="1"/>
    <col min="25" max="44" width="4" bestFit="1" customWidth="1"/>
    <col min="45" max="65" width="4" customWidth="1"/>
    <col min="66" max="66" width="4" bestFit="1" customWidth="1"/>
    <col min="67" max="67" width="3.54296875" bestFit="1" customWidth="1"/>
  </cols>
  <sheetData>
    <row r="1" spans="1:66" s="13" customFormat="1" x14ac:dyDescent="0.35">
      <c r="A1" s="4" t="s">
        <v>92</v>
      </c>
      <c r="B1" s="42" t="s">
        <v>99</v>
      </c>
      <c r="C1" s="43"/>
      <c r="D1" s="43"/>
      <c r="E1" s="43"/>
      <c r="F1" s="44"/>
      <c r="G1" s="42" t="s">
        <v>87</v>
      </c>
      <c r="H1" s="43"/>
      <c r="I1" s="43"/>
      <c r="J1" s="43"/>
      <c r="K1" s="44"/>
      <c r="L1" s="42" t="s">
        <v>86</v>
      </c>
      <c r="M1" s="43"/>
      <c r="N1" s="43"/>
      <c r="O1" s="43"/>
      <c r="P1" s="44"/>
      <c r="Q1" s="42" t="s">
        <v>100</v>
      </c>
      <c r="R1" s="43"/>
      <c r="S1" s="43"/>
      <c r="T1" s="43"/>
      <c r="U1" s="44"/>
      <c r="W1"/>
    </row>
    <row r="2" spans="1:66" s="12" customFormat="1" x14ac:dyDescent="0.35">
      <c r="A2" s="4" t="s">
        <v>93</v>
      </c>
      <c r="B2" s="45" t="s">
        <v>140</v>
      </c>
      <c r="C2" s="46"/>
      <c r="D2" s="46"/>
      <c r="E2" s="46"/>
      <c r="F2" s="47"/>
      <c r="G2" s="45" t="s">
        <v>97</v>
      </c>
      <c r="H2" s="46"/>
      <c r="I2" s="46"/>
      <c r="J2" s="46"/>
      <c r="K2" s="47"/>
      <c r="L2" s="45" t="s">
        <v>10</v>
      </c>
      <c r="M2" s="46"/>
      <c r="N2" s="46"/>
      <c r="O2" s="46"/>
      <c r="P2" s="47"/>
      <c r="Q2" s="45"/>
      <c r="R2" s="46"/>
      <c r="S2" s="46"/>
      <c r="T2" s="46"/>
      <c r="U2" s="47"/>
      <c r="X2" s="16"/>
      <c r="Y2" s="16"/>
      <c r="Z2" s="16"/>
      <c r="AA2" s="13"/>
      <c r="AB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</row>
    <row r="3" spans="1:66" s="13" customFormat="1" x14ac:dyDescent="0.35">
      <c r="A3" s="21" t="s">
        <v>94</v>
      </c>
      <c r="B3" s="45"/>
      <c r="C3" s="46"/>
      <c r="D3" s="46"/>
      <c r="E3" s="46"/>
      <c r="F3" s="47"/>
      <c r="G3" s="45" t="s">
        <v>97</v>
      </c>
      <c r="H3" s="46"/>
      <c r="I3" s="46"/>
      <c r="J3" s="46"/>
      <c r="K3" s="47"/>
      <c r="L3" s="45" t="s">
        <v>97</v>
      </c>
      <c r="M3" s="46"/>
      <c r="N3" s="46"/>
      <c r="O3" s="46"/>
      <c r="P3" s="47"/>
      <c r="Q3" s="45" t="s">
        <v>98</v>
      </c>
      <c r="R3" s="46"/>
      <c r="S3" s="46"/>
      <c r="T3" s="46"/>
      <c r="U3" s="47"/>
      <c r="X3" s="14"/>
      <c r="Y3" s="14"/>
      <c r="Z3" s="14"/>
    </row>
    <row r="4" spans="1:66" s="13" customFormat="1" x14ac:dyDescent="0.35">
      <c r="A4" s="21" t="s">
        <v>95</v>
      </c>
      <c r="B4" s="45"/>
      <c r="C4" s="46"/>
      <c r="D4" s="46"/>
      <c r="E4" s="46"/>
      <c r="F4" s="47"/>
      <c r="G4" s="45" t="s">
        <v>97</v>
      </c>
      <c r="H4" s="46"/>
      <c r="I4" s="46"/>
      <c r="J4" s="46"/>
      <c r="K4" s="47"/>
      <c r="L4" s="45" t="s">
        <v>97</v>
      </c>
      <c r="M4" s="46"/>
      <c r="N4" s="46"/>
      <c r="O4" s="46"/>
      <c r="P4" s="47"/>
      <c r="Q4" s="45" t="s">
        <v>98</v>
      </c>
      <c r="R4" s="46"/>
      <c r="S4" s="46"/>
      <c r="T4" s="46"/>
      <c r="U4" s="47"/>
      <c r="X4" s="14"/>
      <c r="Y4" s="14"/>
      <c r="Z4" s="14"/>
    </row>
    <row r="5" spans="1:66" s="13" customFormat="1" x14ac:dyDescent="0.35">
      <c r="A5" s="21" t="s">
        <v>96</v>
      </c>
      <c r="B5" s="45"/>
      <c r="C5" s="46"/>
      <c r="D5" s="46"/>
      <c r="E5" s="46"/>
      <c r="F5" s="47"/>
      <c r="G5" s="45" t="s">
        <v>97</v>
      </c>
      <c r="H5" s="46"/>
      <c r="I5" s="46"/>
      <c r="J5" s="46"/>
      <c r="K5" s="47"/>
      <c r="L5" s="45" t="s">
        <v>97</v>
      </c>
      <c r="M5" s="46"/>
      <c r="N5" s="46"/>
      <c r="O5" s="46"/>
      <c r="P5" s="47"/>
      <c r="Q5" s="45" t="s">
        <v>98</v>
      </c>
      <c r="R5" s="46"/>
      <c r="S5" s="46"/>
      <c r="T5" s="46"/>
      <c r="U5" s="47"/>
      <c r="X5" s="14"/>
      <c r="Y5" s="14"/>
      <c r="Z5" s="14"/>
    </row>
    <row r="6" spans="1:66" s="15" customFormat="1" ht="7" customHeight="1" x14ac:dyDescent="0.35"/>
    <row r="7" spans="1:66" s="12" customFormat="1" x14ac:dyDescent="0.35">
      <c r="A7" s="22">
        <v>1</v>
      </c>
      <c r="B7" s="4" t="str">
        <f>INDEX(Dimensions!$B$2:$AS$7,Parameters!$A7,Dimensions!B$1)&amp;""</f>
        <v/>
      </c>
      <c r="C7" s="21" t="str">
        <f>INDEX(Dimensions!$B$2:$AS$7,Parameters!$A7,Dimensions!C$1)&amp;""</f>
        <v/>
      </c>
      <c r="D7" s="21" t="str">
        <f>INDEX(Dimensions!$B$2:$AS$7,Parameters!$A7,Dimensions!D$1)&amp;""</f>
        <v/>
      </c>
      <c r="E7" s="21" t="str">
        <f>INDEX(Dimensions!$B$2:$AS$7,Parameters!$A7,Dimensions!E$1)&amp;""</f>
        <v/>
      </c>
      <c r="F7" s="21" t="str">
        <f>INDEX(Dimensions!$B$2:$AS$7,Parameters!$A7,Dimensions!F$1)&amp;""</f>
        <v>351</v>
      </c>
      <c r="G7" s="21" t="str">
        <f>INDEX(Dimensions!$B$2:$AS$7,Parameters!$A7,Dimensions!G$1)&amp;""</f>
        <v>1</v>
      </c>
      <c r="H7" s="21" t="str">
        <f>INDEX(Dimensions!$B$2:$AS$7,Parameters!$A7,Dimensions!H$1)&amp;""</f>
        <v>2</v>
      </c>
      <c r="I7" s="21" t="str">
        <f>INDEX(Dimensions!$B$2:$AS$7,Parameters!$A7,Dimensions!I$1)&amp;""</f>
        <v>11</v>
      </c>
      <c r="J7" s="21" t="str">
        <f>INDEX(Dimensions!$B$2:$AS$7,Parameters!$A7,Dimensions!J$1)&amp;""</f>
        <v>1</v>
      </c>
      <c r="K7" s="21" t="str">
        <f>INDEX(Dimensions!$B$2:$AS$7,Parameters!$A7,Dimensions!K$1)&amp;""</f>
        <v>81</v>
      </c>
      <c r="L7" s="21" t="str">
        <f>INDEX(Dimensions!$B$2:$AS$7,Parameters!$A7,Dimensions!L$1)&amp;""</f>
        <v>1</v>
      </c>
      <c r="M7" s="21" t="str">
        <f>INDEX(Dimensions!$B$2:$AS$7,Parameters!$A7,Dimensions!M$1)&amp;""</f>
        <v>1</v>
      </c>
      <c r="N7" s="21" t="str">
        <f>INDEX(Dimensions!$B$2:$AS$7,Parameters!$A7,Dimensions!N$1)&amp;""</f>
        <v>1</v>
      </c>
      <c r="O7" s="21" t="str">
        <f>INDEX(Dimensions!$B$2:$AS$7,Parameters!$A7,Dimensions!O$1)&amp;""</f>
        <v>1</v>
      </c>
      <c r="P7" s="21" t="str">
        <f>INDEX(Dimensions!$B$2:$AS$7,Parameters!$A7,Dimensions!P$1)&amp;""</f>
        <v>1</v>
      </c>
      <c r="Q7" s="21" t="str">
        <f>INDEX(Dimensions!$B$2:$AS$7,Parameters!$A7,Dimensions!Q$1)&amp;""</f>
        <v>1</v>
      </c>
      <c r="R7" s="21" t="str">
        <f>INDEX(Dimensions!$B$2:$AS$7,Parameters!$A7,Dimensions!R$1)&amp;""</f>
        <v>1</v>
      </c>
      <c r="S7" s="21" t="str">
        <f>INDEX(Dimensions!$B$2:$AS$7,Parameters!$A7,Dimensions!S$1)&amp;""</f>
        <v>1</v>
      </c>
      <c r="T7" s="21" t="str">
        <f>INDEX(Dimensions!$B$2:$AS$7,Parameters!$A7,Dimensions!T$1)&amp;""</f>
        <v>4</v>
      </c>
      <c r="U7" s="21" t="str">
        <f>INDEX(Dimensions!$B$2:$AS$7,Parameters!$A7,Dimensions!U$1)&amp;""</f>
        <v/>
      </c>
      <c r="V7" s="21" t="str">
        <f>INDEX(Dimensions!$B$2:$AS$7,Parameters!$A7,Dimensions!V$1)&amp;""</f>
        <v/>
      </c>
      <c r="W7" s="14"/>
      <c r="Y7" s="13"/>
      <c r="Z7" s="13"/>
      <c r="AA7" s="13"/>
      <c r="AB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</row>
    <row r="8" spans="1:66" s="13" customFormat="1" ht="15" thickBot="1" x14ac:dyDescent="0.4">
      <c r="A8" s="18">
        <v>1</v>
      </c>
      <c r="B8" s="17" t="str">
        <f>INDEX(Headers!$B$2:$AS$7,Parameters!$A8,Headers!B$1)&amp;""</f>
        <v/>
      </c>
      <c r="C8" s="19" t="str">
        <f>INDEX(Headers!$B$2:$AS$7,Parameters!$A8,Headers!C$1)&amp;""</f>
        <v/>
      </c>
      <c r="D8" s="19" t="str">
        <f>INDEX(Headers!$B$2:$AS$7,Parameters!$A8,Headers!D$1)&amp;""</f>
        <v/>
      </c>
      <c r="E8" s="19" t="str">
        <f>INDEX(Headers!$B$2:$AS$7,Parameters!$A8,Headers!E$1)&amp;""</f>
        <v/>
      </c>
      <c r="F8" s="19" t="str">
        <f>INDEX(Headers!$B$2:$AS$7,Parameters!$A8,Headers!F$1)&amp;""</f>
        <v>p</v>
      </c>
      <c r="G8" s="19" t="str">
        <f>INDEX(Headers!$B$2:$AS$7,Parameters!$A8,Headers!G$1)&amp;""</f>
        <v>a1</v>
      </c>
      <c r="H8" s="19" t="str">
        <f>INDEX(Headers!$B$2:$AS$7,Parameters!$A8,Headers!H$1)&amp;""</f>
        <v>e1</v>
      </c>
      <c r="I8" s="19" t="str">
        <f>INDEX(Headers!$B$2:$AS$7,Parameters!$A8,Headers!I$1)&amp;""</f>
        <v>b1</v>
      </c>
      <c r="J8" s="19" t="str">
        <f>INDEX(Headers!$B$2:$AS$7,Parameters!$A8,Headers!J$1)&amp;""</f>
        <v>n</v>
      </c>
      <c r="K8" s="19" t="str">
        <f>INDEX(Headers!$B$2:$AS$7,Parameters!$A8,Headers!K$1)&amp;""</f>
        <v>w</v>
      </c>
      <c r="L8" s="19" t="str">
        <f>INDEX(Headers!$B$2:$AS$7,Parameters!$A8,Headers!L$1)&amp;""</f>
        <v>z</v>
      </c>
      <c r="M8" s="19" t="str">
        <f>INDEX(Headers!$B$2:$AS$7,Parameters!$A8,Headers!M$1)&amp;""</f>
        <v>i</v>
      </c>
      <c r="N8" s="19" t="str">
        <f>INDEX(Headers!$B$2:$AS$7,Parameters!$A8,Headers!N$1)&amp;""</f>
        <v>d</v>
      </c>
      <c r="O8" s="19" t="str">
        <f>INDEX(Headers!$B$2:$AS$7,Parameters!$A8,Headers!O$1)&amp;""</f>
        <v>a0</v>
      </c>
      <c r="P8" s="19" t="str">
        <f>INDEX(Headers!$B$2:$AS$7,Parameters!$A8,Headers!P$1)&amp;""</f>
        <v>e0</v>
      </c>
      <c r="Q8" s="19" t="str">
        <f>INDEX(Headers!$B$2:$AS$7,Parameters!$A8,Headers!Q$1)&amp;""</f>
        <v>b0</v>
      </c>
      <c r="R8" s="19" t="str">
        <f>INDEX(Headers!$B$2:$AS$7,Parameters!$A8,Headers!R$1)&amp;""</f>
        <v>x</v>
      </c>
      <c r="S8" s="19" t="str">
        <f>INDEX(Headers!$B$2:$AS$7,Parameters!$A8,Headers!S$1)&amp;""</f>
        <v>y</v>
      </c>
      <c r="T8" s="19" t="str">
        <f>INDEX(Headers!$B$2:$AS$7,Parameters!$A8,Headers!T$1)&amp;""</f>
        <v>g1</v>
      </c>
      <c r="U8" s="19" t="str">
        <f>INDEX(Headers!$B$2:$AS$7,Parameters!$A8,Headers!U$1)&amp;""</f>
        <v/>
      </c>
      <c r="V8" s="19" t="str">
        <f>INDEX(Headers!$B$2:$AS$7,Parameters!$A8,Headers!V$1)&amp;""</f>
        <v/>
      </c>
      <c r="W8" s="17" t="s">
        <v>69</v>
      </c>
      <c r="X8" s="17" t="s">
        <v>83</v>
      </c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17"/>
    </row>
    <row r="9" spans="1:66" x14ac:dyDescent="0.35">
      <c r="A9" s="21" t="s">
        <v>91</v>
      </c>
      <c r="B9" s="26"/>
      <c r="C9" s="27"/>
      <c r="D9" s="27"/>
      <c r="E9" s="27"/>
      <c r="F9" s="27" t="s">
        <v>42</v>
      </c>
      <c r="G9" s="27" t="s">
        <v>68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8"/>
      <c r="U9" s="28"/>
      <c r="V9" s="29"/>
      <c r="W9" s="21" t="str">
        <f>IF(FileExists(X9),"","Plot")</f>
        <v>Plot</v>
      </c>
      <c r="X9" s="24" t="str">
        <f t="shared" ref="X9" si="0">HYPERLINK(SUBSTITUTE(SUBSTITUTE(Y9&amp;Z9&amp;AA9&amp;AB9&amp;AC9&amp;AD9&amp;AE9&amp;AF9&amp;AG9&amp;AH9&amp;AI9&amp;AJ9&amp;AK9&amp;AL9&amp;AM9&amp;AN9&amp;AO9&amp;AP9&amp;AQ9&amp;AR9&amp;BN9,"`",""),":","-")&amp;".jpg")</f>
        <v>....px.a1a0.e10.b12.n0.w0,1,2.z0.i0.d0.a00.e00.b00.x0.y0.g10..0.jpg</v>
      </c>
      <c r="Y9" s="21" t="str">
        <f t="shared" ref="Y9:AS9" si="1">B$8&amp;"`"&amp;B9&amp;"`"&amp;B10&amp;"."</f>
        <v>``.</v>
      </c>
      <c r="Z9" s="21" t="str">
        <f t="shared" si="1"/>
        <v>``.</v>
      </c>
      <c r="AA9" s="21" t="str">
        <f t="shared" si="1"/>
        <v>``.</v>
      </c>
      <c r="AB9" s="21" t="str">
        <f t="shared" si="1"/>
        <v>``.</v>
      </c>
      <c r="AC9" s="21" t="str">
        <f t="shared" si="1"/>
        <v>p`x`.</v>
      </c>
      <c r="AD9" s="21" t="str">
        <f t="shared" si="1"/>
        <v>a1`a`0.</v>
      </c>
      <c r="AE9" s="21" t="str">
        <f t="shared" si="1"/>
        <v>e1``0.</v>
      </c>
      <c r="AF9" s="21" t="str">
        <f t="shared" si="1"/>
        <v>b1``2.</v>
      </c>
      <c r="AG9" s="21" t="str">
        <f t="shared" si="1"/>
        <v>n``0.</v>
      </c>
      <c r="AH9" s="21" t="str">
        <f t="shared" si="1"/>
        <v>w``0,1,2.</v>
      </c>
      <c r="AI9" s="21" t="str">
        <f t="shared" si="1"/>
        <v>z``0.</v>
      </c>
      <c r="AJ9" s="21" t="str">
        <f t="shared" si="1"/>
        <v>i``0.</v>
      </c>
      <c r="AK9" s="21" t="str">
        <f t="shared" si="1"/>
        <v>d``0.</v>
      </c>
      <c r="AL9" s="21" t="str">
        <f t="shared" si="1"/>
        <v>a0``0.</v>
      </c>
      <c r="AM9" s="21" t="str">
        <f t="shared" si="1"/>
        <v>e0``0.</v>
      </c>
      <c r="AN9" s="21" t="str">
        <f t="shared" si="1"/>
        <v>b0``0.</v>
      </c>
      <c r="AO9" s="21" t="str">
        <f t="shared" si="1"/>
        <v>x``0.</v>
      </c>
      <c r="AP9" s="21" t="str">
        <f t="shared" si="1"/>
        <v>y``0.</v>
      </c>
      <c r="AQ9" s="21" t="str">
        <f t="shared" si="1"/>
        <v>g1``0.</v>
      </c>
      <c r="AR9" s="21" t="str">
        <f t="shared" si="1"/>
        <v>``.</v>
      </c>
      <c r="AS9" s="21" t="str">
        <f t="shared" si="1"/>
        <v>``.</v>
      </c>
      <c r="AT9" s="25" t="str">
        <f>B11</f>
        <v>lw0</v>
      </c>
      <c r="AU9" s="25" t="str">
        <f t="shared" ref="AU9" si="2">C11</f>
        <v>lw1</v>
      </c>
      <c r="AV9" s="25" t="str">
        <f t="shared" ref="AV9" si="3">D11</f>
        <v>lw2</v>
      </c>
      <c r="AW9" s="25">
        <f t="shared" ref="AW9" si="4">E11</f>
        <v>0</v>
      </c>
      <c r="AX9" s="25">
        <f t="shared" ref="AX9" si="5">F11</f>
        <v>0</v>
      </c>
      <c r="AY9" s="25">
        <f t="shared" ref="AY9" si="6">G11</f>
        <v>0</v>
      </c>
      <c r="AZ9" s="25">
        <f t="shared" ref="AZ9" si="7">H11</f>
        <v>0</v>
      </c>
      <c r="BA9" s="25">
        <f t="shared" ref="BA9" si="8">I11</f>
        <v>0</v>
      </c>
      <c r="BB9" s="25">
        <f t="shared" ref="BB9" si="9">J11</f>
        <v>0</v>
      </c>
      <c r="BC9" s="25">
        <f t="shared" ref="BC9" si="10">K11</f>
        <v>0</v>
      </c>
      <c r="BD9" s="25">
        <f t="shared" ref="BD9" si="11">L11</f>
        <v>0</v>
      </c>
      <c r="BE9" s="25">
        <f t="shared" ref="BE9" si="12">M11</f>
        <v>0</v>
      </c>
      <c r="BF9" s="25">
        <f t="shared" ref="BF9" si="13">N11</f>
        <v>0</v>
      </c>
      <c r="BG9" s="25">
        <f t="shared" ref="BG9" si="14">O11</f>
        <v>0</v>
      </c>
      <c r="BH9" s="25">
        <f t="shared" ref="BH9" si="15">P11</f>
        <v>0</v>
      </c>
      <c r="BI9" s="25">
        <f t="shared" ref="BI9" si="16">Q11</f>
        <v>0</v>
      </c>
      <c r="BJ9" s="25">
        <f t="shared" ref="BJ9" si="17">R11</f>
        <v>0</v>
      </c>
      <c r="BK9" s="25">
        <f t="shared" ref="BK9" si="18">S11</f>
        <v>0</v>
      </c>
      <c r="BL9" s="25">
        <f t="shared" ref="BL9" si="19">T11</f>
        <v>0</v>
      </c>
      <c r="BM9" s="25">
        <f t="shared" ref="BM9" si="20">U11</f>
        <v>0</v>
      </c>
      <c r="BN9" s="25">
        <f t="shared" ref="BN9" si="21">V11</f>
        <v>0</v>
      </c>
    </row>
    <row r="10" spans="1:66" x14ac:dyDescent="0.35">
      <c r="A10" s="21" t="s">
        <v>90</v>
      </c>
      <c r="B10" s="30"/>
      <c r="C10" s="20"/>
      <c r="D10" s="20"/>
      <c r="E10" s="20"/>
      <c r="F10" s="31"/>
      <c r="G10" s="31" t="s">
        <v>88</v>
      </c>
      <c r="H10" s="31" t="s">
        <v>88</v>
      </c>
      <c r="I10" s="31" t="s">
        <v>129</v>
      </c>
      <c r="J10" s="31" t="s">
        <v>88</v>
      </c>
      <c r="K10" s="31" t="s">
        <v>130</v>
      </c>
      <c r="L10" s="31" t="s">
        <v>88</v>
      </c>
      <c r="M10" s="31" t="s">
        <v>88</v>
      </c>
      <c r="N10" s="31" t="s">
        <v>88</v>
      </c>
      <c r="O10" s="31" t="s">
        <v>88</v>
      </c>
      <c r="P10" s="31" t="s">
        <v>88</v>
      </c>
      <c r="Q10" s="31" t="s">
        <v>88</v>
      </c>
      <c r="R10" s="31" t="s">
        <v>88</v>
      </c>
      <c r="S10" s="31" t="s">
        <v>88</v>
      </c>
      <c r="T10" s="31" t="s">
        <v>88</v>
      </c>
      <c r="U10" s="31"/>
      <c r="V10" s="32"/>
      <c r="W10" s="21"/>
      <c r="X10" t="str">
        <f t="shared" ref="X10:X11" si="22">X9</f>
        <v>....px.a1a0.e10.b12.n0.w0,1,2.z0.i0.d0.a00.e00.b00.x0.y0.g10..0.jpg</v>
      </c>
    </row>
    <row r="11" spans="1:66" ht="15" thickBot="1" x14ac:dyDescent="0.4">
      <c r="A11" s="21" t="s">
        <v>89</v>
      </c>
      <c r="B11" s="33" t="s">
        <v>117</v>
      </c>
      <c r="C11" s="34" t="s">
        <v>118</v>
      </c>
      <c r="D11" s="34" t="s">
        <v>119</v>
      </c>
      <c r="E11" s="34"/>
      <c r="F11" s="34"/>
      <c r="G11" s="34"/>
      <c r="H11" s="34"/>
      <c r="I11" s="34"/>
      <c r="J11" s="34"/>
      <c r="K11" s="34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6"/>
      <c r="W11" s="21"/>
      <c r="X11" t="str">
        <f t="shared" si="22"/>
        <v>....px.a1a0.e10.b12.n0.w0,1,2.z0.i0.d0.a00.e00.b00.x0.y0.g10..0.jpg</v>
      </c>
    </row>
    <row r="12" spans="1:66" x14ac:dyDescent="0.35">
      <c r="A12" s="21" t="s">
        <v>91</v>
      </c>
      <c r="B12" s="26"/>
      <c r="C12" s="27"/>
      <c r="D12" s="27"/>
      <c r="E12" s="27"/>
      <c r="F12" s="27" t="s">
        <v>42</v>
      </c>
      <c r="G12" s="27" t="s">
        <v>68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8"/>
      <c r="U12" s="28"/>
      <c r="V12" s="29"/>
      <c r="W12" s="21" t="str">
        <f>IF(FileExists(X12),"","Plot")</f>
        <v>Plot</v>
      </c>
      <c r="X12" s="24" t="str">
        <f t="shared" ref="X12" si="23">HYPERLINK(SUBSTITUTE(SUBSTITUTE(Y12&amp;Z12&amp;AA12&amp;AB12&amp;AC12&amp;AD12&amp;AE12&amp;AF12&amp;AG12&amp;AH12&amp;AI12&amp;AJ12&amp;AK12&amp;AL12&amp;AM12&amp;AN12&amp;AO12&amp;AP12&amp;AQ12&amp;AR12&amp;BN12,"`",""),":","-")&amp;".jpg")</f>
        <v>....px.a1a0.e10.b12.n0.w0,3,6.z0.i0.d0.a00.e00.b00.x0.y0.g10..0.jpg</v>
      </c>
      <c r="Y12" s="21" t="str">
        <f t="shared" ref="Y12:AS12" si="24">B$8&amp;"`"&amp;B12&amp;"`"&amp;B13&amp;"."</f>
        <v>``.</v>
      </c>
      <c r="Z12" s="21" t="str">
        <f t="shared" si="24"/>
        <v>``.</v>
      </c>
      <c r="AA12" s="21" t="str">
        <f t="shared" si="24"/>
        <v>``.</v>
      </c>
      <c r="AB12" s="21" t="str">
        <f t="shared" si="24"/>
        <v>``.</v>
      </c>
      <c r="AC12" s="21" t="str">
        <f t="shared" si="24"/>
        <v>p`x`.</v>
      </c>
      <c r="AD12" s="21" t="str">
        <f t="shared" si="24"/>
        <v>a1`a`0.</v>
      </c>
      <c r="AE12" s="21" t="str">
        <f t="shared" si="24"/>
        <v>e1``0.</v>
      </c>
      <c r="AF12" s="21" t="str">
        <f t="shared" si="24"/>
        <v>b1``2.</v>
      </c>
      <c r="AG12" s="21" t="str">
        <f t="shared" si="24"/>
        <v>n``0.</v>
      </c>
      <c r="AH12" s="21" t="str">
        <f t="shared" si="24"/>
        <v>w``0,3,6.</v>
      </c>
      <c r="AI12" s="21" t="str">
        <f t="shared" si="24"/>
        <v>z``0.</v>
      </c>
      <c r="AJ12" s="21" t="str">
        <f t="shared" si="24"/>
        <v>i``0.</v>
      </c>
      <c r="AK12" s="21" t="str">
        <f t="shared" si="24"/>
        <v>d``0.</v>
      </c>
      <c r="AL12" s="21" t="str">
        <f t="shared" si="24"/>
        <v>a0``0.</v>
      </c>
      <c r="AM12" s="21" t="str">
        <f t="shared" si="24"/>
        <v>e0``0.</v>
      </c>
      <c r="AN12" s="21" t="str">
        <f t="shared" si="24"/>
        <v>b0``0.</v>
      </c>
      <c r="AO12" s="21" t="str">
        <f t="shared" si="24"/>
        <v>x``0.</v>
      </c>
      <c r="AP12" s="21" t="str">
        <f t="shared" si="24"/>
        <v>y``0.</v>
      </c>
      <c r="AQ12" s="21" t="str">
        <f t="shared" si="24"/>
        <v>g1``0.</v>
      </c>
      <c r="AR12" s="21" t="str">
        <f t="shared" si="24"/>
        <v>``.</v>
      </c>
      <c r="AS12" s="21" t="str">
        <f t="shared" si="24"/>
        <v>``.</v>
      </c>
      <c r="AT12" s="25" t="str">
        <f>B14</f>
        <v>lw0</v>
      </c>
      <c r="AU12" s="25" t="str">
        <f t="shared" ref="AU12" si="25">C14</f>
        <v>lw3</v>
      </c>
      <c r="AV12" s="25" t="str">
        <f t="shared" ref="AV12" si="26">D14</f>
        <v>lw6</v>
      </c>
      <c r="AW12" s="25">
        <f t="shared" ref="AW12" si="27">E14</f>
        <v>0</v>
      </c>
      <c r="AX12" s="25">
        <f t="shared" ref="AX12" si="28">F14</f>
        <v>0</v>
      </c>
      <c r="AY12" s="25">
        <f t="shared" ref="AY12" si="29">G14</f>
        <v>0</v>
      </c>
      <c r="AZ12" s="25">
        <f t="shared" ref="AZ12" si="30">H14</f>
        <v>0</v>
      </c>
      <c r="BA12" s="25">
        <f t="shared" ref="BA12" si="31">I14</f>
        <v>0</v>
      </c>
      <c r="BB12" s="25">
        <f t="shared" ref="BB12" si="32">J14</f>
        <v>0</v>
      </c>
      <c r="BC12" s="25">
        <f t="shared" ref="BC12" si="33">K14</f>
        <v>0</v>
      </c>
      <c r="BD12" s="25">
        <f t="shared" ref="BD12" si="34">L14</f>
        <v>0</v>
      </c>
      <c r="BE12" s="25">
        <f t="shared" ref="BE12" si="35">M14</f>
        <v>0</v>
      </c>
      <c r="BF12" s="25">
        <f t="shared" ref="BF12" si="36">N14</f>
        <v>0</v>
      </c>
      <c r="BG12" s="25">
        <f t="shared" ref="BG12" si="37">O14</f>
        <v>0</v>
      </c>
      <c r="BH12" s="25">
        <f t="shared" ref="BH12" si="38">P14</f>
        <v>0</v>
      </c>
      <c r="BI12" s="25">
        <f t="shared" ref="BI12" si="39">Q14</f>
        <v>0</v>
      </c>
      <c r="BJ12" s="25">
        <f t="shared" ref="BJ12" si="40">R14</f>
        <v>0</v>
      </c>
      <c r="BK12" s="25">
        <f t="shared" ref="BK12" si="41">S14</f>
        <v>0</v>
      </c>
      <c r="BL12" s="25">
        <f t="shared" ref="BL12" si="42">T14</f>
        <v>0</v>
      </c>
      <c r="BM12" s="25">
        <f t="shared" ref="BM12" si="43">U14</f>
        <v>0</v>
      </c>
      <c r="BN12" s="25">
        <f t="shared" ref="BN12" si="44">V14</f>
        <v>0</v>
      </c>
    </row>
    <row r="13" spans="1:66" x14ac:dyDescent="0.35">
      <c r="A13" s="21" t="s">
        <v>90</v>
      </c>
      <c r="B13" s="30"/>
      <c r="C13" s="20"/>
      <c r="D13" s="20"/>
      <c r="E13" s="20"/>
      <c r="F13" s="31"/>
      <c r="G13" s="31" t="s">
        <v>88</v>
      </c>
      <c r="H13" s="31" t="s">
        <v>88</v>
      </c>
      <c r="I13" s="31" t="s">
        <v>129</v>
      </c>
      <c r="J13" s="31" t="s">
        <v>88</v>
      </c>
      <c r="K13" s="31" t="s">
        <v>131</v>
      </c>
      <c r="L13" s="31" t="s">
        <v>88</v>
      </c>
      <c r="M13" s="31" t="s">
        <v>88</v>
      </c>
      <c r="N13" s="31" t="s">
        <v>88</v>
      </c>
      <c r="O13" s="31" t="s">
        <v>88</v>
      </c>
      <c r="P13" s="31" t="s">
        <v>88</v>
      </c>
      <c r="Q13" s="31" t="s">
        <v>88</v>
      </c>
      <c r="R13" s="31" t="s">
        <v>88</v>
      </c>
      <c r="S13" s="31" t="s">
        <v>88</v>
      </c>
      <c r="T13" s="31" t="s">
        <v>88</v>
      </c>
      <c r="U13" s="31"/>
      <c r="V13" s="32"/>
      <c r="W13" s="21"/>
      <c r="X13" t="str">
        <f t="shared" ref="X13:X14" si="45">X12</f>
        <v>....px.a1a0.e10.b12.n0.w0,3,6.z0.i0.d0.a00.e00.b00.x0.y0.g10..0.jpg</v>
      </c>
    </row>
    <row r="14" spans="1:66" ht="15" thickBot="1" x14ac:dyDescent="0.4">
      <c r="A14" s="21" t="s">
        <v>89</v>
      </c>
      <c r="B14" s="33" t="s">
        <v>117</v>
      </c>
      <c r="C14" s="34" t="s">
        <v>120</v>
      </c>
      <c r="D14" s="34" t="s">
        <v>121</v>
      </c>
      <c r="E14" s="34"/>
      <c r="F14" s="37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6"/>
      <c r="W14" s="21"/>
      <c r="X14" t="str">
        <f t="shared" si="45"/>
        <v>....px.a1a0.e10.b12.n0.w0,3,6.z0.i0.d0.a00.e00.b00.x0.y0.g10..0.jpg</v>
      </c>
    </row>
    <row r="15" spans="1:66" x14ac:dyDescent="0.35">
      <c r="A15" s="21" t="s">
        <v>91</v>
      </c>
      <c r="B15" s="26"/>
      <c r="C15" s="27"/>
      <c r="D15" s="27"/>
      <c r="E15" s="27"/>
      <c r="F15" s="27" t="s">
        <v>42</v>
      </c>
      <c r="G15" s="27" t="s">
        <v>68</v>
      </c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8"/>
      <c r="U15" s="28"/>
      <c r="V15" s="29"/>
      <c r="W15" s="21" t="str">
        <f>IF(FileExists(X15),"","Plot")</f>
        <v>Plot</v>
      </c>
      <c r="X15" s="24" t="str">
        <f t="shared" ref="X15" si="46">HYPERLINK(SUBSTITUTE(SUBSTITUTE(Y15&amp;Z15&amp;AA15&amp;AB15&amp;AC15&amp;AD15&amp;AE15&amp;AF15&amp;AG15&amp;AH15&amp;AI15&amp;AJ15&amp;AK15&amp;AL15&amp;AM15&amp;AN15&amp;AO15&amp;AP15&amp;AQ15&amp;AR15&amp;BN15,"`",""),":","-")&amp;".jpg")</f>
        <v>....px.a1a0.e10.b12.n0.w0,9,18.z0.i0.d0.a00.e00.b00.x0.y0.g10..0.jpg</v>
      </c>
      <c r="Y15" s="21" t="str">
        <f t="shared" ref="Y15:AS15" si="47">B$8&amp;"`"&amp;B15&amp;"`"&amp;B16&amp;"."</f>
        <v>``.</v>
      </c>
      <c r="Z15" s="21" t="str">
        <f t="shared" si="47"/>
        <v>``.</v>
      </c>
      <c r="AA15" s="21" t="str">
        <f t="shared" si="47"/>
        <v>``.</v>
      </c>
      <c r="AB15" s="21" t="str">
        <f t="shared" si="47"/>
        <v>``.</v>
      </c>
      <c r="AC15" s="21" t="str">
        <f t="shared" si="47"/>
        <v>p`x`.</v>
      </c>
      <c r="AD15" s="21" t="str">
        <f t="shared" si="47"/>
        <v>a1`a`0.</v>
      </c>
      <c r="AE15" s="21" t="str">
        <f t="shared" si="47"/>
        <v>e1``0.</v>
      </c>
      <c r="AF15" s="21" t="str">
        <f t="shared" si="47"/>
        <v>b1``2.</v>
      </c>
      <c r="AG15" s="21" t="str">
        <f t="shared" si="47"/>
        <v>n``0.</v>
      </c>
      <c r="AH15" s="21" t="str">
        <f t="shared" si="47"/>
        <v>w``0,9,18.</v>
      </c>
      <c r="AI15" s="21" t="str">
        <f t="shared" si="47"/>
        <v>z``0.</v>
      </c>
      <c r="AJ15" s="21" t="str">
        <f t="shared" si="47"/>
        <v>i``0.</v>
      </c>
      <c r="AK15" s="21" t="str">
        <f t="shared" si="47"/>
        <v>d``0.</v>
      </c>
      <c r="AL15" s="21" t="str">
        <f t="shared" si="47"/>
        <v>a0``0.</v>
      </c>
      <c r="AM15" s="21" t="str">
        <f t="shared" si="47"/>
        <v>e0``0.</v>
      </c>
      <c r="AN15" s="21" t="str">
        <f t="shared" si="47"/>
        <v>b0``0.</v>
      </c>
      <c r="AO15" s="21" t="str">
        <f t="shared" si="47"/>
        <v>x``0.</v>
      </c>
      <c r="AP15" s="21" t="str">
        <f t="shared" si="47"/>
        <v>y``0.</v>
      </c>
      <c r="AQ15" s="21" t="str">
        <f t="shared" si="47"/>
        <v>g1``0.</v>
      </c>
      <c r="AR15" s="21" t="str">
        <f t="shared" si="47"/>
        <v>``.</v>
      </c>
      <c r="AS15" s="21" t="str">
        <f t="shared" si="47"/>
        <v>``.</v>
      </c>
      <c r="AT15" s="25" t="str">
        <f>B17</f>
        <v>lw0</v>
      </c>
      <c r="AU15" s="25" t="str">
        <f t="shared" ref="AU15" si="48">C17</f>
        <v>lw9</v>
      </c>
      <c r="AV15" s="25" t="str">
        <f t="shared" ref="AV15" si="49">D17</f>
        <v>lw18</v>
      </c>
      <c r="AW15" s="25">
        <f t="shared" ref="AW15" si="50">E17</f>
        <v>0</v>
      </c>
      <c r="AX15" s="25">
        <f t="shared" ref="AX15" si="51">F17</f>
        <v>0</v>
      </c>
      <c r="AY15" s="25">
        <f t="shared" ref="AY15" si="52">G17</f>
        <v>0</v>
      </c>
      <c r="AZ15" s="25">
        <f t="shared" ref="AZ15" si="53">H17</f>
        <v>0</v>
      </c>
      <c r="BA15" s="25">
        <f t="shared" ref="BA15" si="54">I17</f>
        <v>0</v>
      </c>
      <c r="BB15" s="25">
        <f t="shared" ref="BB15" si="55">J17</f>
        <v>0</v>
      </c>
      <c r="BC15" s="25">
        <f t="shared" ref="BC15" si="56">K17</f>
        <v>0</v>
      </c>
      <c r="BD15" s="25">
        <f t="shared" ref="BD15" si="57">L17</f>
        <v>0</v>
      </c>
      <c r="BE15" s="25">
        <f t="shared" ref="BE15" si="58">M17</f>
        <v>0</v>
      </c>
      <c r="BF15" s="25">
        <f t="shared" ref="BF15" si="59">N17</f>
        <v>0</v>
      </c>
      <c r="BG15" s="25">
        <f t="shared" ref="BG15" si="60">O17</f>
        <v>0</v>
      </c>
      <c r="BH15" s="25">
        <f t="shared" ref="BH15" si="61">P17</f>
        <v>0</v>
      </c>
      <c r="BI15" s="25">
        <f t="shared" ref="BI15" si="62">Q17</f>
        <v>0</v>
      </c>
      <c r="BJ15" s="25">
        <f t="shared" ref="BJ15" si="63">R17</f>
        <v>0</v>
      </c>
      <c r="BK15" s="25">
        <f t="shared" ref="BK15" si="64">S17</f>
        <v>0</v>
      </c>
      <c r="BL15" s="25">
        <f t="shared" ref="BL15" si="65">T17</f>
        <v>0</v>
      </c>
      <c r="BM15" s="25">
        <f t="shared" ref="BM15" si="66">U17</f>
        <v>0</v>
      </c>
      <c r="BN15" s="25">
        <f t="shared" ref="BN15" si="67">V17</f>
        <v>0</v>
      </c>
    </row>
    <row r="16" spans="1:66" x14ac:dyDescent="0.35">
      <c r="A16" s="21" t="s">
        <v>90</v>
      </c>
      <c r="B16" s="30"/>
      <c r="C16" s="20"/>
      <c r="D16" s="20"/>
      <c r="E16" s="20"/>
      <c r="F16" s="31"/>
      <c r="G16" s="31" t="s">
        <v>88</v>
      </c>
      <c r="H16" s="31" t="s">
        <v>88</v>
      </c>
      <c r="I16" s="31" t="s">
        <v>129</v>
      </c>
      <c r="J16" s="31" t="s">
        <v>88</v>
      </c>
      <c r="K16" s="31" t="s">
        <v>132</v>
      </c>
      <c r="L16" s="31" t="s">
        <v>88</v>
      </c>
      <c r="M16" s="31" t="s">
        <v>88</v>
      </c>
      <c r="N16" s="31" t="s">
        <v>88</v>
      </c>
      <c r="O16" s="31" t="s">
        <v>88</v>
      </c>
      <c r="P16" s="31" t="s">
        <v>88</v>
      </c>
      <c r="Q16" s="31" t="s">
        <v>88</v>
      </c>
      <c r="R16" s="31" t="s">
        <v>88</v>
      </c>
      <c r="S16" s="31" t="s">
        <v>88</v>
      </c>
      <c r="T16" s="31" t="s">
        <v>88</v>
      </c>
      <c r="U16" s="31"/>
      <c r="V16" s="32"/>
      <c r="W16" s="21"/>
      <c r="X16" t="str">
        <f t="shared" ref="X16:X17" si="68">X15</f>
        <v>....px.a1a0.e10.b12.n0.w0,9,18.z0.i0.d0.a00.e00.b00.x0.y0.g10..0.jpg</v>
      </c>
    </row>
    <row r="17" spans="1:66" ht="15" thickBot="1" x14ac:dyDescent="0.4">
      <c r="A17" s="21" t="s">
        <v>89</v>
      </c>
      <c r="B17" s="33" t="s">
        <v>117</v>
      </c>
      <c r="C17" s="34" t="s">
        <v>122</v>
      </c>
      <c r="D17" s="34" t="s">
        <v>133</v>
      </c>
      <c r="E17" s="34"/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6"/>
      <c r="W17" s="21"/>
      <c r="X17" t="str">
        <f t="shared" si="68"/>
        <v>....px.a1a0.e10.b12.n0.w0,9,18.z0.i0.d0.a00.e00.b00.x0.y0.g10..0.jpg</v>
      </c>
    </row>
    <row r="18" spans="1:66" x14ac:dyDescent="0.35">
      <c r="A18" s="21" t="s">
        <v>91</v>
      </c>
      <c r="B18" s="26"/>
      <c r="C18" s="27"/>
      <c r="D18" s="27"/>
      <c r="E18" s="27"/>
      <c r="F18" s="27" t="s">
        <v>42</v>
      </c>
      <c r="G18" s="27" t="s">
        <v>68</v>
      </c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8"/>
      <c r="U18" s="28"/>
      <c r="V18" s="29"/>
      <c r="W18" s="21" t="str">
        <f>IF(FileExists(X18),"","Plot")</f>
        <v>Plot</v>
      </c>
      <c r="X18" s="24" t="str">
        <f t="shared" ref="X18" si="69">HYPERLINK(SUBSTITUTE(SUBSTITUTE(Y18&amp;Z18&amp;AA18&amp;AB18&amp;AC18&amp;AD18&amp;AE18&amp;AF18&amp;AG18&amp;AH18&amp;AI18&amp;AJ18&amp;AK18&amp;AL18&amp;AM18&amp;AN18&amp;AO18&amp;AP18&amp;AQ18&amp;AR18&amp;BN18,"`",""),":","-")&amp;".jpg")</f>
        <v>y...px.a1a0.e10.b12.n0.w0,27,54.z0.i0.d0.a00.e00.b00.x0.y0.g10..0.jpg</v>
      </c>
      <c r="Y18" s="21" t="s">
        <v>43</v>
      </c>
      <c r="Z18" s="21" t="str">
        <f t="shared" ref="Z18:AS18" si="70">C$8&amp;"`"&amp;C18&amp;"`"&amp;C19&amp;"."</f>
        <v>``.</v>
      </c>
      <c r="AA18" s="21" t="str">
        <f t="shared" si="70"/>
        <v>``.</v>
      </c>
      <c r="AB18" s="21" t="str">
        <f t="shared" si="70"/>
        <v>``.</v>
      </c>
      <c r="AC18" s="21" t="str">
        <f t="shared" si="70"/>
        <v>p`x`.</v>
      </c>
      <c r="AD18" s="21" t="str">
        <f t="shared" si="70"/>
        <v>a1`a`0.</v>
      </c>
      <c r="AE18" s="21" t="str">
        <f t="shared" si="70"/>
        <v>e1``0.</v>
      </c>
      <c r="AF18" s="21" t="str">
        <f t="shared" si="70"/>
        <v>b1``2.</v>
      </c>
      <c r="AG18" s="21" t="str">
        <f t="shared" si="70"/>
        <v>n``0.</v>
      </c>
      <c r="AH18" s="21" t="str">
        <f t="shared" si="70"/>
        <v>w``0,27,54.</v>
      </c>
      <c r="AI18" s="21" t="str">
        <f t="shared" si="70"/>
        <v>z``0.</v>
      </c>
      <c r="AJ18" s="21" t="str">
        <f t="shared" si="70"/>
        <v>i``0.</v>
      </c>
      <c r="AK18" s="21" t="str">
        <f t="shared" si="70"/>
        <v>d``0.</v>
      </c>
      <c r="AL18" s="21" t="str">
        <f t="shared" si="70"/>
        <v>a0``0.</v>
      </c>
      <c r="AM18" s="21" t="str">
        <f t="shared" si="70"/>
        <v>e0``0.</v>
      </c>
      <c r="AN18" s="21" t="str">
        <f t="shared" si="70"/>
        <v>b0``0.</v>
      </c>
      <c r="AO18" s="21" t="str">
        <f t="shared" si="70"/>
        <v>x``0.</v>
      </c>
      <c r="AP18" s="21" t="str">
        <f t="shared" si="70"/>
        <v>y``0.</v>
      </c>
      <c r="AQ18" s="21" t="str">
        <f t="shared" si="70"/>
        <v>g1``0.</v>
      </c>
      <c r="AR18" s="21" t="str">
        <f t="shared" si="70"/>
        <v>``.</v>
      </c>
      <c r="AS18" s="21" t="str">
        <f t="shared" si="70"/>
        <v>``.</v>
      </c>
      <c r="AT18" s="25" t="str">
        <f>B20</f>
        <v>lw0</v>
      </c>
      <c r="AU18" s="25" t="str">
        <f t="shared" ref="AU18" si="71">C20</f>
        <v>lw27</v>
      </c>
      <c r="AV18" s="25" t="str">
        <f t="shared" ref="AV18" si="72">D20</f>
        <v>lw54</v>
      </c>
      <c r="AW18" s="25">
        <f t="shared" ref="AW18" si="73">E20</f>
        <v>0</v>
      </c>
      <c r="AX18" s="25">
        <f t="shared" ref="AX18" si="74">F20</f>
        <v>0</v>
      </c>
      <c r="AY18" s="25">
        <f t="shared" ref="AY18" si="75">G20</f>
        <v>0</v>
      </c>
      <c r="AZ18" s="25">
        <f t="shared" ref="AZ18" si="76">H20</f>
        <v>0</v>
      </c>
      <c r="BA18" s="25">
        <f t="shared" ref="BA18" si="77">I20</f>
        <v>0</v>
      </c>
      <c r="BB18" s="25">
        <f t="shared" ref="BB18" si="78">J20</f>
        <v>0</v>
      </c>
      <c r="BC18" s="25">
        <f t="shared" ref="BC18" si="79">K20</f>
        <v>0</v>
      </c>
      <c r="BD18" s="25">
        <f t="shared" ref="BD18" si="80">L20</f>
        <v>0</v>
      </c>
      <c r="BE18" s="25">
        <f t="shared" ref="BE18" si="81">M20</f>
        <v>0</v>
      </c>
      <c r="BF18" s="25">
        <f t="shared" ref="BF18" si="82">N20</f>
        <v>0</v>
      </c>
      <c r="BG18" s="25">
        <f t="shared" ref="BG18" si="83">O20</f>
        <v>0</v>
      </c>
      <c r="BH18" s="25">
        <f t="shared" ref="BH18" si="84">P20</f>
        <v>0</v>
      </c>
      <c r="BI18" s="25">
        <f t="shared" ref="BI18" si="85">Q20</f>
        <v>0</v>
      </c>
      <c r="BJ18" s="25">
        <f t="shared" ref="BJ18" si="86">R20</f>
        <v>0</v>
      </c>
      <c r="BK18" s="25">
        <f t="shared" ref="BK18" si="87">S20</f>
        <v>0</v>
      </c>
      <c r="BL18" s="25">
        <f t="shared" ref="BL18" si="88">T20</f>
        <v>0</v>
      </c>
      <c r="BM18" s="25">
        <f t="shared" ref="BM18" si="89">U20</f>
        <v>0</v>
      </c>
      <c r="BN18" s="25">
        <f t="shared" ref="BN18" si="90">V20</f>
        <v>0</v>
      </c>
    </row>
    <row r="19" spans="1:66" x14ac:dyDescent="0.35">
      <c r="A19" s="21" t="s">
        <v>90</v>
      </c>
      <c r="B19" s="30"/>
      <c r="C19" s="20"/>
      <c r="D19" s="20"/>
      <c r="E19" s="20"/>
      <c r="F19" s="31"/>
      <c r="G19" s="31" t="s">
        <v>88</v>
      </c>
      <c r="H19" s="31" t="s">
        <v>88</v>
      </c>
      <c r="I19" s="31" t="s">
        <v>129</v>
      </c>
      <c r="J19" s="31" t="s">
        <v>88</v>
      </c>
      <c r="K19" s="31" t="s">
        <v>49</v>
      </c>
      <c r="L19" s="31" t="s">
        <v>88</v>
      </c>
      <c r="M19" s="31" t="s">
        <v>88</v>
      </c>
      <c r="N19" s="31" t="s">
        <v>88</v>
      </c>
      <c r="O19" s="31" t="s">
        <v>88</v>
      </c>
      <c r="P19" s="31" t="s">
        <v>88</v>
      </c>
      <c r="Q19" s="31" t="s">
        <v>88</v>
      </c>
      <c r="R19" s="31" t="s">
        <v>88</v>
      </c>
      <c r="S19" s="31" t="s">
        <v>88</v>
      </c>
      <c r="T19" s="31" t="s">
        <v>88</v>
      </c>
      <c r="U19" s="31"/>
      <c r="V19" s="32"/>
      <c r="W19" s="21"/>
      <c r="X19" t="str">
        <f t="shared" ref="X19:X23" si="91">X18</f>
        <v>y...px.a1a0.e10.b12.n0.w0,27,54.z0.i0.d0.a00.e00.b00.x0.y0.g10..0.jpg</v>
      </c>
    </row>
    <row r="20" spans="1:66" ht="15" thickBot="1" x14ac:dyDescent="0.4">
      <c r="A20" s="21" t="s">
        <v>89</v>
      </c>
      <c r="B20" s="33" t="s">
        <v>117</v>
      </c>
      <c r="C20" s="34" t="s">
        <v>134</v>
      </c>
      <c r="D20" s="34" t="s">
        <v>135</v>
      </c>
      <c r="E20" s="34"/>
      <c r="F20" s="37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6"/>
      <c r="W20" s="21"/>
      <c r="X20" t="str">
        <f t="shared" si="91"/>
        <v>y...px.a1a0.e10.b12.n0.w0,27,54.z0.i0.d0.a00.e00.b00.x0.y0.g10..0.jpg</v>
      </c>
    </row>
    <row r="21" spans="1:66" x14ac:dyDescent="0.35">
      <c r="A21" s="21" t="s">
        <v>91</v>
      </c>
      <c r="B21" s="26"/>
      <c r="C21" s="27"/>
      <c r="D21" s="27"/>
      <c r="E21" s="27"/>
      <c r="F21" s="27" t="s">
        <v>42</v>
      </c>
      <c r="G21" s="27" t="s">
        <v>68</v>
      </c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8"/>
      <c r="U21" s="28"/>
      <c r="V21" s="29"/>
      <c r="W21" s="21" t="str">
        <f>IF(FileExists(X21),"","Plot")</f>
        <v>Plot</v>
      </c>
      <c r="X21" s="24" t="str">
        <f t="shared" ref="X21" si="92">HYPERLINK(SUBSTITUTE(SUBSTITUTE(Y21&amp;Z21&amp;AA21&amp;AB21&amp;AC21&amp;AD21&amp;AE21&amp;AF21&amp;AG21&amp;AH21&amp;AI21&amp;AJ21&amp;AK21&amp;AL21&amp;AM21&amp;AN21&amp;AO21&amp;AP21&amp;AQ21&amp;AR21&amp;BN21,"`",""),":","-")&amp;".jpg")</f>
        <v>....px.a1a0.e10.b12.n0.w0,40,80.z0.i0.d0.a00.e00.b00.x0.y0.g10..0.jpg</v>
      </c>
      <c r="Y21" s="21" t="str">
        <f t="shared" ref="Y21" si="93">B$8&amp;"`"&amp;B21&amp;"`"&amp;B22&amp;"."</f>
        <v>``.</v>
      </c>
      <c r="Z21" s="21" t="str">
        <f t="shared" ref="Z21" si="94">C$8&amp;"`"&amp;C21&amp;"`"&amp;C22&amp;"."</f>
        <v>``.</v>
      </c>
      <c r="AA21" s="21" t="str">
        <f t="shared" ref="AA21" si="95">D$8&amp;"`"&amp;D21&amp;"`"&amp;D22&amp;"."</f>
        <v>``.</v>
      </c>
      <c r="AB21" s="21" t="str">
        <f t="shared" ref="AB21" si="96">E$8&amp;"`"&amp;E21&amp;"`"&amp;E22&amp;"."</f>
        <v>``.</v>
      </c>
      <c r="AC21" s="21" t="str">
        <f t="shared" ref="AC21" si="97">F$8&amp;"`"&amp;F21&amp;"`"&amp;F22&amp;"."</f>
        <v>p`x`.</v>
      </c>
      <c r="AD21" s="21" t="str">
        <f t="shared" ref="AD21" si="98">G$8&amp;"`"&amp;G21&amp;"`"&amp;G22&amp;"."</f>
        <v>a1`a`0.</v>
      </c>
      <c r="AE21" s="21" t="str">
        <f t="shared" ref="AE21" si="99">H$8&amp;"`"&amp;H21&amp;"`"&amp;H22&amp;"."</f>
        <v>e1``0.</v>
      </c>
      <c r="AF21" s="21" t="str">
        <f t="shared" ref="AF21" si="100">I$8&amp;"`"&amp;I21&amp;"`"&amp;I22&amp;"."</f>
        <v>b1``2.</v>
      </c>
      <c r="AG21" s="21" t="str">
        <f t="shared" ref="AG21" si="101">J$8&amp;"`"&amp;J21&amp;"`"&amp;J22&amp;"."</f>
        <v>n``0.</v>
      </c>
      <c r="AH21" s="21" t="str">
        <f t="shared" ref="AH21" si="102">K$8&amp;"`"&amp;K21&amp;"`"&amp;K22&amp;"."</f>
        <v>w``0,40,80.</v>
      </c>
      <c r="AI21" s="21" t="str">
        <f t="shared" ref="AI21" si="103">L$8&amp;"`"&amp;L21&amp;"`"&amp;L22&amp;"."</f>
        <v>z``0.</v>
      </c>
      <c r="AJ21" s="21" t="str">
        <f t="shared" ref="AJ21" si="104">M$8&amp;"`"&amp;M21&amp;"`"&amp;M22&amp;"."</f>
        <v>i``0.</v>
      </c>
      <c r="AK21" s="21" t="str">
        <f t="shared" ref="AK21" si="105">N$8&amp;"`"&amp;N21&amp;"`"&amp;N22&amp;"."</f>
        <v>d``0.</v>
      </c>
      <c r="AL21" s="21" t="str">
        <f t="shared" ref="AL21" si="106">O$8&amp;"`"&amp;O21&amp;"`"&amp;O22&amp;"."</f>
        <v>a0``0.</v>
      </c>
      <c r="AM21" s="21" t="str">
        <f t="shared" ref="AM21" si="107">P$8&amp;"`"&amp;P21&amp;"`"&amp;P22&amp;"."</f>
        <v>e0``0.</v>
      </c>
      <c r="AN21" s="21" t="str">
        <f t="shared" ref="AN21" si="108">Q$8&amp;"`"&amp;Q21&amp;"`"&amp;Q22&amp;"."</f>
        <v>b0``0.</v>
      </c>
      <c r="AO21" s="21" t="str">
        <f t="shared" ref="AO21" si="109">R$8&amp;"`"&amp;R21&amp;"`"&amp;R22&amp;"."</f>
        <v>x``0.</v>
      </c>
      <c r="AP21" s="21" t="str">
        <f t="shared" ref="AP21" si="110">S$8&amp;"`"&amp;S21&amp;"`"&amp;S22&amp;"."</f>
        <v>y``0.</v>
      </c>
      <c r="AQ21" s="21" t="str">
        <f t="shared" ref="AQ21" si="111">T$8&amp;"`"&amp;T21&amp;"`"&amp;T22&amp;"."</f>
        <v>g1``0.</v>
      </c>
      <c r="AR21" s="21" t="str">
        <f t="shared" ref="AR21" si="112">U$8&amp;"`"&amp;U21&amp;"`"&amp;U22&amp;"."</f>
        <v>``.</v>
      </c>
      <c r="AS21" s="21" t="str">
        <f t="shared" ref="AS21" si="113">V$8&amp;"`"&amp;V21&amp;"`"&amp;V22&amp;"."</f>
        <v>``.</v>
      </c>
      <c r="AT21" s="25" t="str">
        <f>B23</f>
        <v>ave LW</v>
      </c>
      <c r="AU21" s="25" t="str">
        <f t="shared" ref="AU21" si="114">C23</f>
        <v>High LW</v>
      </c>
      <c r="AV21" s="25" t="str">
        <f t="shared" ref="AV21" si="115">D23</f>
        <v>Low LW</v>
      </c>
      <c r="AW21" s="25">
        <f t="shared" ref="AW21" si="116">E23</f>
        <v>0</v>
      </c>
      <c r="AX21" s="25">
        <f t="shared" ref="AX21" si="117">F23</f>
        <v>0</v>
      </c>
      <c r="AY21" s="25">
        <f t="shared" ref="AY21" si="118">G23</f>
        <v>0</v>
      </c>
      <c r="AZ21" s="25">
        <f t="shared" ref="AZ21" si="119">H23</f>
        <v>0</v>
      </c>
      <c r="BA21" s="25">
        <f t="shared" ref="BA21" si="120">I23</f>
        <v>0</v>
      </c>
      <c r="BB21" s="25">
        <f t="shared" ref="BB21" si="121">J23</f>
        <v>0</v>
      </c>
      <c r="BC21" s="25">
        <f t="shared" ref="BC21" si="122">K23</f>
        <v>0</v>
      </c>
      <c r="BD21" s="25">
        <f t="shared" ref="BD21" si="123">L23</f>
        <v>0</v>
      </c>
      <c r="BE21" s="25">
        <f t="shared" ref="BE21" si="124">M23</f>
        <v>0</v>
      </c>
      <c r="BF21" s="25">
        <f t="shared" ref="BF21" si="125">N23</f>
        <v>0</v>
      </c>
      <c r="BG21" s="25">
        <f t="shared" ref="BG21" si="126">O23</f>
        <v>0</v>
      </c>
      <c r="BH21" s="25">
        <f t="shared" ref="BH21" si="127">P23</f>
        <v>0</v>
      </c>
      <c r="BI21" s="25">
        <f t="shared" ref="BI21" si="128">Q23</f>
        <v>0</v>
      </c>
      <c r="BJ21" s="25">
        <f t="shared" ref="BJ21" si="129">R23</f>
        <v>0</v>
      </c>
      <c r="BK21" s="25">
        <f t="shared" ref="BK21" si="130">S23</f>
        <v>0</v>
      </c>
      <c r="BL21" s="25">
        <f t="shared" ref="BL21" si="131">T23</f>
        <v>0</v>
      </c>
      <c r="BM21" s="25">
        <f t="shared" ref="BM21" si="132">U23</f>
        <v>0</v>
      </c>
      <c r="BN21" s="25">
        <f t="shared" ref="BN21" si="133">V23</f>
        <v>0</v>
      </c>
    </row>
    <row r="22" spans="1:66" x14ac:dyDescent="0.35">
      <c r="A22" s="21" t="s">
        <v>90</v>
      </c>
      <c r="B22" s="30"/>
      <c r="C22" s="20"/>
      <c r="D22" s="20"/>
      <c r="E22" s="20"/>
      <c r="F22" s="31"/>
      <c r="G22" s="31" t="s">
        <v>88</v>
      </c>
      <c r="H22" s="31" t="s">
        <v>88</v>
      </c>
      <c r="I22" s="31" t="s">
        <v>129</v>
      </c>
      <c r="J22" s="31" t="s">
        <v>88</v>
      </c>
      <c r="K22" s="31" t="s">
        <v>136</v>
      </c>
      <c r="L22" s="31" t="s">
        <v>88</v>
      </c>
      <c r="M22" s="31" t="s">
        <v>88</v>
      </c>
      <c r="N22" s="31" t="s">
        <v>88</v>
      </c>
      <c r="O22" s="31" t="s">
        <v>88</v>
      </c>
      <c r="P22" s="31" t="s">
        <v>88</v>
      </c>
      <c r="Q22" s="31" t="s">
        <v>88</v>
      </c>
      <c r="R22" s="31" t="s">
        <v>88</v>
      </c>
      <c r="S22" s="31" t="s">
        <v>88</v>
      </c>
      <c r="T22" s="31" t="s">
        <v>88</v>
      </c>
      <c r="U22" s="31"/>
      <c r="V22" s="32"/>
      <c r="W22" s="21"/>
      <c r="X22" t="str">
        <f t="shared" si="91"/>
        <v>....px.a1a0.e10.b12.n0.w0,40,80.z0.i0.d0.a00.e00.b00.x0.y0.g10..0.jpg</v>
      </c>
    </row>
    <row r="23" spans="1:66" ht="15" thickBot="1" x14ac:dyDescent="0.4">
      <c r="A23" s="21" t="s">
        <v>89</v>
      </c>
      <c r="B23" s="33" t="s">
        <v>137</v>
      </c>
      <c r="C23" s="34" t="s">
        <v>138</v>
      </c>
      <c r="D23" s="34" t="s">
        <v>139</v>
      </c>
      <c r="E23" s="34"/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6"/>
      <c r="W23" s="21"/>
      <c r="X23" t="str">
        <f t="shared" si="91"/>
        <v>....px.a1a0.e10.b12.n0.w0,40,80.z0.i0.d0.a00.e00.b00.x0.y0.g10..0.jpg</v>
      </c>
    </row>
    <row r="24" spans="1:66" x14ac:dyDescent="0.35">
      <c r="A24" s="4" t="s">
        <v>91</v>
      </c>
      <c r="B24" s="26"/>
      <c r="C24" s="27"/>
      <c r="D24" s="27"/>
      <c r="E24" s="27"/>
      <c r="F24" s="27" t="s">
        <v>42</v>
      </c>
      <c r="G24" s="27" t="s">
        <v>68</v>
      </c>
      <c r="H24" s="27"/>
      <c r="I24" s="27"/>
      <c r="J24" s="27"/>
      <c r="K24" s="27" t="s">
        <v>68</v>
      </c>
      <c r="L24" s="27"/>
      <c r="M24" s="27"/>
      <c r="N24" s="27"/>
      <c r="O24" s="27"/>
      <c r="P24" s="27"/>
      <c r="Q24" s="27"/>
      <c r="R24" s="27"/>
      <c r="S24" s="27"/>
      <c r="T24" s="28"/>
      <c r="U24" s="28"/>
      <c r="V24" s="29"/>
      <c r="W24" s="19" t="str">
        <f>IF(FileExists(X24),"","Plot")</f>
        <v>Plot</v>
      </c>
      <c r="X24" s="24" t="str">
        <f>HYPERLINK(SUBSTITUTE(SUBSTITUTE(Y24&amp;Z24&amp;AA24&amp;AB24&amp;AC24&amp;AD24&amp;AE24&amp;AF24&amp;AG24&amp;AH24&amp;AI24&amp;AJ24&amp;AK24&amp;AL24&amp;AM24&amp;AN24&amp;AO24&amp;AP24&amp;AQ24&amp;AR24&amp;BN24,"`",""),":","-")&amp;".jpg")</f>
        <v>....px.a1a0.e10.b10,1,2,3,4.n0.wa.z0.i0.d0.a00.e00.b00.x0.y0.g10..0.jpg</v>
      </c>
      <c r="Y24" s="19" t="str">
        <f t="shared" ref="Y24:AS24" si="134">B$8&amp;"`"&amp;B24&amp;"`"&amp;B25&amp;"."</f>
        <v>``.</v>
      </c>
      <c r="Z24" s="19" t="str">
        <f t="shared" si="134"/>
        <v>``.</v>
      </c>
      <c r="AA24" s="19" t="str">
        <f t="shared" si="134"/>
        <v>``.</v>
      </c>
      <c r="AB24" s="19" t="str">
        <f t="shared" si="134"/>
        <v>``.</v>
      </c>
      <c r="AC24" s="19" t="str">
        <f t="shared" si="134"/>
        <v>p`x`.</v>
      </c>
      <c r="AD24" s="19" t="str">
        <f t="shared" si="134"/>
        <v>a1`a`0.</v>
      </c>
      <c r="AE24" s="19" t="str">
        <f t="shared" si="134"/>
        <v>e1``0.</v>
      </c>
      <c r="AF24" s="19" t="str">
        <f t="shared" si="134"/>
        <v>b1``0,1,2,3,4.</v>
      </c>
      <c r="AG24" s="19" t="str">
        <f t="shared" si="134"/>
        <v>n``0.</v>
      </c>
      <c r="AH24" s="19" t="str">
        <f t="shared" si="134"/>
        <v>w`a`.</v>
      </c>
      <c r="AI24" s="19" t="str">
        <f t="shared" si="134"/>
        <v>z``0.</v>
      </c>
      <c r="AJ24" s="19" t="str">
        <f t="shared" si="134"/>
        <v>i``0.</v>
      </c>
      <c r="AK24" s="19" t="str">
        <f t="shared" si="134"/>
        <v>d``0.</v>
      </c>
      <c r="AL24" s="19" t="str">
        <f t="shared" si="134"/>
        <v>a0``0.</v>
      </c>
      <c r="AM24" s="19" t="str">
        <f t="shared" si="134"/>
        <v>e0``0.</v>
      </c>
      <c r="AN24" s="19" t="str">
        <f t="shared" si="134"/>
        <v>b0``0.</v>
      </c>
      <c r="AO24" s="19" t="str">
        <f t="shared" si="134"/>
        <v>x``0.</v>
      </c>
      <c r="AP24" s="19" t="str">
        <f t="shared" si="134"/>
        <v>y``0.</v>
      </c>
      <c r="AQ24" s="19" t="str">
        <f t="shared" si="134"/>
        <v>g1``0.</v>
      </c>
      <c r="AR24" s="19" t="str">
        <f t="shared" si="134"/>
        <v>``.</v>
      </c>
      <c r="AS24" s="21" t="str">
        <f t="shared" si="134"/>
        <v>``.</v>
      </c>
      <c r="AT24" s="25" t="str">
        <f>B26</f>
        <v>NM</v>
      </c>
      <c r="AU24" s="25" t="str">
        <f t="shared" ref="AU24:BK24" si="135">C26</f>
        <v>Dry</v>
      </c>
      <c r="AV24" s="25" t="str">
        <f t="shared" si="135"/>
        <v>Single</v>
      </c>
      <c r="AW24" s="25" t="str">
        <f t="shared" si="135"/>
        <v>Twin</v>
      </c>
      <c r="AX24" s="25" t="str">
        <f t="shared" si="135"/>
        <v>Triplets</v>
      </c>
      <c r="AY24" s="25">
        <f t="shared" si="135"/>
        <v>0</v>
      </c>
      <c r="AZ24" s="25">
        <f t="shared" si="135"/>
        <v>0</v>
      </c>
      <c r="BA24" s="25">
        <f t="shared" si="135"/>
        <v>0</v>
      </c>
      <c r="BB24" s="25">
        <f t="shared" si="135"/>
        <v>0</v>
      </c>
      <c r="BC24" s="25">
        <f t="shared" si="135"/>
        <v>0</v>
      </c>
      <c r="BD24" s="25">
        <f t="shared" si="135"/>
        <v>0</v>
      </c>
      <c r="BE24" s="25">
        <f t="shared" si="135"/>
        <v>0</v>
      </c>
      <c r="BF24" s="25">
        <f t="shared" si="135"/>
        <v>0</v>
      </c>
      <c r="BG24" s="25">
        <f t="shared" si="135"/>
        <v>0</v>
      </c>
      <c r="BH24" s="25">
        <f t="shared" si="135"/>
        <v>0</v>
      </c>
      <c r="BI24" s="25">
        <f t="shared" si="135"/>
        <v>0</v>
      </c>
      <c r="BJ24" s="25">
        <f t="shared" si="135"/>
        <v>0</v>
      </c>
      <c r="BK24" s="25">
        <f t="shared" si="135"/>
        <v>0</v>
      </c>
      <c r="BL24" s="25">
        <f t="shared" ref="BL24" si="136">T26</f>
        <v>0</v>
      </c>
      <c r="BM24" s="25">
        <f t="shared" ref="BM24" si="137">U26</f>
        <v>0</v>
      </c>
      <c r="BN24" s="25">
        <f t="shared" ref="BN24" si="138">V26</f>
        <v>0</v>
      </c>
    </row>
    <row r="25" spans="1:66" x14ac:dyDescent="0.35">
      <c r="A25" s="17" t="s">
        <v>90</v>
      </c>
      <c r="B25" s="30"/>
      <c r="C25" s="20"/>
      <c r="D25" s="20"/>
      <c r="E25" s="20"/>
      <c r="F25" s="31"/>
      <c r="G25" s="31" t="s">
        <v>88</v>
      </c>
      <c r="H25" s="31" t="s">
        <v>88</v>
      </c>
      <c r="I25" s="31" t="s">
        <v>123</v>
      </c>
      <c r="J25" s="31" t="s">
        <v>88</v>
      </c>
      <c r="K25" s="31"/>
      <c r="L25" s="31" t="s">
        <v>88</v>
      </c>
      <c r="M25" s="31" t="s">
        <v>88</v>
      </c>
      <c r="N25" s="31" t="s">
        <v>88</v>
      </c>
      <c r="O25" s="31" t="s">
        <v>88</v>
      </c>
      <c r="P25" s="31" t="s">
        <v>88</v>
      </c>
      <c r="Q25" s="31" t="s">
        <v>88</v>
      </c>
      <c r="R25" s="31" t="s">
        <v>88</v>
      </c>
      <c r="S25" s="31" t="s">
        <v>88</v>
      </c>
      <c r="T25" s="31" t="s">
        <v>88</v>
      </c>
      <c r="U25" s="31"/>
      <c r="V25" s="32"/>
      <c r="W25" s="17"/>
      <c r="X25" t="str">
        <f>X24</f>
        <v>....px.a1a0.e10.b10,1,2,3,4.n0.wa.z0.i0.d0.a00.e00.b00.x0.y0.g10..0.jpg</v>
      </c>
    </row>
    <row r="26" spans="1:66" ht="15" thickBot="1" x14ac:dyDescent="0.4">
      <c r="A26" s="21" t="s">
        <v>89</v>
      </c>
      <c r="B26" s="33" t="s">
        <v>124</v>
      </c>
      <c r="C26" s="34" t="s">
        <v>125</v>
      </c>
      <c r="D26" s="34" t="s">
        <v>126</v>
      </c>
      <c r="E26" s="34" t="s">
        <v>127</v>
      </c>
      <c r="F26" s="35" t="s">
        <v>128</v>
      </c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6"/>
      <c r="W26" s="21"/>
      <c r="X26" t="str">
        <f>X25</f>
        <v>....px.a1a0.e10.b10,1,2,3,4.n0.wa.z0.i0.d0.a00.e00.b00.x0.y0.g10..0.jpg</v>
      </c>
    </row>
    <row r="27" spans="1:66" s="15" customFormat="1" ht="7" customHeight="1" x14ac:dyDescent="0.35">
      <c r="X27" s="38" t="s">
        <v>101</v>
      </c>
    </row>
    <row r="29" spans="1:66" x14ac:dyDescent="0.35">
      <c r="X29" s="23"/>
    </row>
    <row r="31" spans="1:66" x14ac:dyDescent="0.3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</row>
    <row r="32" spans="1:66" x14ac:dyDescent="0.35">
      <c r="A32" s="39"/>
      <c r="B32" s="40" t="s">
        <v>102</v>
      </c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39"/>
    </row>
    <row r="33" spans="1:19" x14ac:dyDescent="0.35">
      <c r="A33" s="39"/>
      <c r="B33" s="40"/>
      <c r="C33" s="40" t="s">
        <v>103</v>
      </c>
      <c r="D33" s="40"/>
      <c r="E33" s="40"/>
      <c r="F33" s="41" t="s">
        <v>42</v>
      </c>
      <c r="G33" s="40" t="s">
        <v>104</v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39"/>
    </row>
    <row r="34" spans="1:19" x14ac:dyDescent="0.35">
      <c r="A34" s="39"/>
      <c r="B34" s="40"/>
      <c r="C34" s="40"/>
      <c r="D34" s="40"/>
      <c r="E34" s="40"/>
      <c r="F34" s="41" t="s">
        <v>105</v>
      </c>
      <c r="G34" s="40" t="s">
        <v>116</v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39"/>
    </row>
    <row r="35" spans="1:19" x14ac:dyDescent="0.35">
      <c r="A35" s="39"/>
      <c r="B35" s="40"/>
      <c r="C35" s="40"/>
      <c r="D35" s="40"/>
      <c r="E35" s="40"/>
      <c r="F35" s="41" t="s">
        <v>68</v>
      </c>
      <c r="G35" s="40" t="s">
        <v>106</v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39"/>
    </row>
    <row r="36" spans="1:19" x14ac:dyDescent="0.35">
      <c r="A36" s="39"/>
      <c r="B36" s="40"/>
      <c r="C36" s="40"/>
      <c r="D36" s="40"/>
      <c r="E36" s="40"/>
      <c r="F36" s="41" t="s">
        <v>33</v>
      </c>
      <c r="G36" s="40" t="s">
        <v>107</v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39"/>
    </row>
    <row r="37" spans="1:19" x14ac:dyDescent="0.35">
      <c r="A37" s="39"/>
      <c r="B37" s="40"/>
      <c r="C37" s="40"/>
      <c r="D37" s="40"/>
      <c r="E37" s="40"/>
      <c r="F37" s="41" t="s">
        <v>109</v>
      </c>
      <c r="G37" s="40" t="s">
        <v>110</v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39"/>
    </row>
    <row r="38" spans="1:19" x14ac:dyDescent="0.35">
      <c r="A38" s="39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39"/>
    </row>
    <row r="39" spans="1:19" x14ac:dyDescent="0.35">
      <c r="A39" s="39"/>
      <c r="B39" s="40"/>
      <c r="C39" s="40" t="s">
        <v>108</v>
      </c>
      <c r="D39" s="40"/>
      <c r="E39" s="40"/>
      <c r="F39" s="40" t="s">
        <v>111</v>
      </c>
      <c r="G39" s="40" t="s">
        <v>112</v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39"/>
    </row>
    <row r="40" spans="1:19" x14ac:dyDescent="0.35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39"/>
    </row>
    <row r="41" spans="1:19" x14ac:dyDescent="0.35">
      <c r="A41" s="39"/>
      <c r="B41" s="40"/>
      <c r="C41" s="40" t="s">
        <v>113</v>
      </c>
      <c r="D41" s="40"/>
      <c r="E41" s="40"/>
      <c r="F41" s="40" t="s">
        <v>114</v>
      </c>
      <c r="G41" s="40" t="s">
        <v>115</v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39"/>
    </row>
    <row r="42" spans="1:19" x14ac:dyDescent="0.3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</row>
  </sheetData>
  <mergeCells count="20">
    <mergeCell ref="L3:P3"/>
    <mergeCell ref="L4:P4"/>
    <mergeCell ref="L5:P5"/>
    <mergeCell ref="Q3:U3"/>
    <mergeCell ref="Q4:U4"/>
    <mergeCell ref="Q5:U5"/>
    <mergeCell ref="B3:F3"/>
    <mergeCell ref="B4:F4"/>
    <mergeCell ref="B5:F5"/>
    <mergeCell ref="G3:K3"/>
    <mergeCell ref="G4:K4"/>
    <mergeCell ref="G5:K5"/>
    <mergeCell ref="L1:P1"/>
    <mergeCell ref="L2:P2"/>
    <mergeCell ref="Q1:U1"/>
    <mergeCell ref="Q2:U2"/>
    <mergeCell ref="B2:F2"/>
    <mergeCell ref="B1:F1"/>
    <mergeCell ref="G1:K1"/>
    <mergeCell ref="G2:K2"/>
  </mergeCells>
  <phoneticPr fontId="6" type="noConversion"/>
  <conditionalFormatting sqref="B9:BN9 W25:W26 W16 W15:BN15 B24:BN24 U25:V25 B25:F25 B12:BN12 W19 W18:BN18 B18:V19 B20:W20 B26:V26 L13:W14 L10:W11 B17:W17 B15:V16">
    <cfRule type="expression" dxfId="16" priority="254">
      <formula>$W9="Plot"</formula>
    </cfRule>
  </conditionalFormatting>
  <conditionalFormatting sqref="G25:T25">
    <cfRule type="expression" dxfId="15" priority="7">
      <formula>$W25="Plot"</formula>
    </cfRule>
  </conditionalFormatting>
  <conditionalFormatting sqref="B10:K11">
    <cfRule type="expression" dxfId="14" priority="3">
      <formula>$W10="Plot"</formula>
    </cfRule>
  </conditionalFormatting>
  <conditionalFormatting sqref="B13:K14">
    <cfRule type="expression" dxfId="13" priority="2">
      <formula>$W13="Plot"</formula>
    </cfRule>
  </conditionalFormatting>
  <conditionalFormatting sqref="W22 W21:BN21 B21:V22 B23:W23">
    <cfRule type="expression" dxfId="12" priority="1">
      <formula>$W21="Plot"</formula>
    </cfRule>
  </conditionalFormatting>
  <dataValidations count="2">
    <dataValidation type="list" allowBlank="1" showInputMessage="1" sqref="B9:X9 B24:X24 B18:X18 B15:X15 B12:X12 B21:X21" xr:uid="{8CB8FD7F-19E4-4FF7-B00D-99AF20D9BCAD}">
      <formula1>#REF!</formula1>
    </dataValidation>
    <dataValidation allowBlank="1" showInputMessage="1" sqref="B10:W26" xr:uid="{59758E95-180D-4D96-B963-8C67934FD2D0}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7D215-FB4B-446F-8269-05C6DF6FCAE4}">
  <sheetPr codeName="Sheet7"/>
  <dimension ref="A1:BN42"/>
  <sheetViews>
    <sheetView workbookViewId="0">
      <pane ySplit="8" topLeftCell="A9" activePane="bottomLeft" state="frozen"/>
      <selection pane="bottomLeft" activeCell="B2" sqref="B2:F5"/>
    </sheetView>
  </sheetViews>
  <sheetFormatPr defaultRowHeight="14.5" x14ac:dyDescent="0.35"/>
  <cols>
    <col min="1" max="1" width="6.7265625" bestFit="1" customWidth="1"/>
    <col min="2" max="20" width="7" bestFit="1" customWidth="1"/>
    <col min="21" max="22" width="7" customWidth="1"/>
    <col min="23" max="23" width="8.453125" bestFit="1" customWidth="1"/>
    <col min="24" max="24" width="10.7265625" customWidth="1"/>
    <col min="25" max="44" width="4" bestFit="1" customWidth="1"/>
    <col min="45" max="65" width="4" customWidth="1"/>
    <col min="66" max="66" width="4" bestFit="1" customWidth="1"/>
    <col min="67" max="67" width="3.54296875" bestFit="1" customWidth="1"/>
  </cols>
  <sheetData>
    <row r="1" spans="1:66" s="13" customFormat="1" x14ac:dyDescent="0.35">
      <c r="A1" s="21" t="s">
        <v>92</v>
      </c>
      <c r="B1" s="42" t="s">
        <v>99</v>
      </c>
      <c r="C1" s="43"/>
      <c r="D1" s="43"/>
      <c r="E1" s="43"/>
      <c r="F1" s="44"/>
      <c r="G1" s="42" t="s">
        <v>87</v>
      </c>
      <c r="H1" s="43"/>
      <c r="I1" s="43"/>
      <c r="J1" s="43"/>
      <c r="K1" s="44"/>
      <c r="L1" s="42" t="s">
        <v>86</v>
      </c>
      <c r="M1" s="43"/>
      <c r="N1" s="43"/>
      <c r="O1" s="43"/>
      <c r="P1" s="44"/>
      <c r="Q1" s="42" t="s">
        <v>100</v>
      </c>
      <c r="R1" s="43"/>
      <c r="S1" s="43"/>
      <c r="T1" s="43"/>
      <c r="U1" s="44"/>
      <c r="W1"/>
    </row>
    <row r="2" spans="1:66" s="13" customFormat="1" x14ac:dyDescent="0.35">
      <c r="A2" s="21" t="s">
        <v>93</v>
      </c>
      <c r="B2" s="45" t="s">
        <v>6</v>
      </c>
      <c r="C2" s="46"/>
      <c r="D2" s="46"/>
      <c r="E2" s="46"/>
      <c r="F2" s="47"/>
      <c r="G2" s="45" t="s">
        <v>97</v>
      </c>
      <c r="H2" s="46"/>
      <c r="I2" s="46"/>
      <c r="J2" s="46"/>
      <c r="K2" s="47"/>
      <c r="L2" s="45" t="s">
        <v>10</v>
      </c>
      <c r="M2" s="46"/>
      <c r="N2" s="46"/>
      <c r="O2" s="46"/>
      <c r="P2" s="47"/>
      <c r="Q2" s="45"/>
      <c r="R2" s="46"/>
      <c r="S2" s="46"/>
      <c r="T2" s="46"/>
      <c r="U2" s="47"/>
      <c r="X2" s="16"/>
      <c r="Y2" s="16"/>
      <c r="Z2" s="16"/>
    </row>
    <row r="3" spans="1:66" s="13" customFormat="1" x14ac:dyDescent="0.35">
      <c r="A3" s="21" t="s">
        <v>94</v>
      </c>
      <c r="B3" s="45">
        <v>35</v>
      </c>
      <c r="C3" s="46"/>
      <c r="D3" s="46"/>
      <c r="E3" s="46"/>
      <c r="F3" s="47"/>
      <c r="G3" s="45" t="s">
        <v>97</v>
      </c>
      <c r="H3" s="46"/>
      <c r="I3" s="46"/>
      <c r="J3" s="46"/>
      <c r="K3" s="47"/>
      <c r="L3" s="45" t="s">
        <v>97</v>
      </c>
      <c r="M3" s="46"/>
      <c r="N3" s="46"/>
      <c r="O3" s="46"/>
      <c r="P3" s="47"/>
      <c r="Q3" s="45" t="s">
        <v>98</v>
      </c>
      <c r="R3" s="46"/>
      <c r="S3" s="46"/>
      <c r="T3" s="46"/>
      <c r="U3" s="47"/>
      <c r="X3" s="14"/>
      <c r="Y3" s="14"/>
      <c r="Z3" s="14"/>
    </row>
    <row r="4" spans="1:66" s="13" customFormat="1" x14ac:dyDescent="0.35">
      <c r="A4" s="21" t="s">
        <v>95</v>
      </c>
      <c r="B4" s="45">
        <v>57</v>
      </c>
      <c r="C4" s="46"/>
      <c r="D4" s="46"/>
      <c r="E4" s="46"/>
      <c r="F4" s="47"/>
      <c r="G4" s="45" t="s">
        <v>97</v>
      </c>
      <c r="H4" s="46"/>
      <c r="I4" s="46"/>
      <c r="J4" s="46"/>
      <c r="K4" s="47"/>
      <c r="L4" s="45" t="s">
        <v>97</v>
      </c>
      <c r="M4" s="46"/>
      <c r="N4" s="46"/>
      <c r="O4" s="46"/>
      <c r="P4" s="47"/>
      <c r="Q4" s="45" t="s">
        <v>98</v>
      </c>
      <c r="R4" s="46"/>
      <c r="S4" s="46"/>
      <c r="T4" s="46"/>
      <c r="U4" s="47"/>
      <c r="X4" s="14"/>
      <c r="Y4" s="14"/>
      <c r="Z4" s="14"/>
    </row>
    <row r="5" spans="1:66" s="13" customFormat="1" x14ac:dyDescent="0.35">
      <c r="A5" s="21" t="s">
        <v>96</v>
      </c>
      <c r="B5" s="45">
        <v>5</v>
      </c>
      <c r="C5" s="46"/>
      <c r="D5" s="46"/>
      <c r="E5" s="46"/>
      <c r="F5" s="47"/>
      <c r="G5" s="45" t="s">
        <v>97</v>
      </c>
      <c r="H5" s="46"/>
      <c r="I5" s="46"/>
      <c r="J5" s="46"/>
      <c r="K5" s="47"/>
      <c r="L5" s="45" t="s">
        <v>97</v>
      </c>
      <c r="M5" s="46"/>
      <c r="N5" s="46"/>
      <c r="O5" s="46"/>
      <c r="P5" s="47"/>
      <c r="Q5" s="45" t="s">
        <v>98</v>
      </c>
      <c r="R5" s="46"/>
      <c r="S5" s="46"/>
      <c r="T5" s="46"/>
      <c r="U5" s="47"/>
      <c r="X5" s="14"/>
      <c r="Y5" s="14"/>
      <c r="Z5" s="14"/>
    </row>
    <row r="6" spans="1:66" s="15" customFormat="1" ht="7" customHeight="1" x14ac:dyDescent="0.35"/>
    <row r="7" spans="1:66" s="13" customFormat="1" x14ac:dyDescent="0.35">
      <c r="A7" s="22">
        <v>1</v>
      </c>
      <c r="B7" s="21" t="str">
        <f>INDEX(Dimensions!$B$2:$AS$7,'Dam LW'!$A7,Dimensions!B$1)&amp;""</f>
        <v/>
      </c>
      <c r="C7" s="21" t="str">
        <f>INDEX(Dimensions!$B$2:$AS$7,'Dam LW'!$A7,Dimensions!C$1)&amp;""</f>
        <v/>
      </c>
      <c r="D7" s="21" t="str">
        <f>INDEX(Dimensions!$B$2:$AS$7,'Dam LW'!$A7,Dimensions!D$1)&amp;""</f>
        <v/>
      </c>
      <c r="E7" s="21" t="str">
        <f>INDEX(Dimensions!$B$2:$AS$7,'Dam LW'!$A7,Dimensions!E$1)&amp;""</f>
        <v/>
      </c>
      <c r="F7" s="21" t="str">
        <f>INDEX(Dimensions!$B$2:$AS$7,'Dam LW'!$A7,Dimensions!F$1)&amp;""</f>
        <v>351</v>
      </c>
      <c r="G7" s="21" t="str">
        <f>INDEX(Dimensions!$B$2:$AS$7,'Dam LW'!$A7,Dimensions!G$1)&amp;""</f>
        <v>1</v>
      </c>
      <c r="H7" s="21" t="str">
        <f>INDEX(Dimensions!$B$2:$AS$7,'Dam LW'!$A7,Dimensions!H$1)&amp;""</f>
        <v>2</v>
      </c>
      <c r="I7" s="21" t="str">
        <f>INDEX(Dimensions!$B$2:$AS$7,'Dam LW'!$A7,Dimensions!I$1)&amp;""</f>
        <v>11</v>
      </c>
      <c r="J7" s="21" t="str">
        <f>INDEX(Dimensions!$B$2:$AS$7,'Dam LW'!$A7,Dimensions!J$1)&amp;""</f>
        <v>1</v>
      </c>
      <c r="K7" s="21" t="str">
        <f>INDEX(Dimensions!$B$2:$AS$7,'Dam LW'!$A7,Dimensions!K$1)&amp;""</f>
        <v>81</v>
      </c>
      <c r="L7" s="21" t="str">
        <f>INDEX(Dimensions!$B$2:$AS$7,'Dam LW'!$A7,Dimensions!L$1)&amp;""</f>
        <v>1</v>
      </c>
      <c r="M7" s="21" t="str">
        <f>INDEX(Dimensions!$B$2:$AS$7,'Dam LW'!$A7,Dimensions!M$1)&amp;""</f>
        <v>1</v>
      </c>
      <c r="N7" s="21" t="str">
        <f>INDEX(Dimensions!$B$2:$AS$7,'Dam LW'!$A7,Dimensions!N$1)&amp;""</f>
        <v>1</v>
      </c>
      <c r="O7" s="21" t="str">
        <f>INDEX(Dimensions!$B$2:$AS$7,'Dam LW'!$A7,Dimensions!O$1)&amp;""</f>
        <v>1</v>
      </c>
      <c r="P7" s="21" t="str">
        <f>INDEX(Dimensions!$B$2:$AS$7,'Dam LW'!$A7,Dimensions!P$1)&amp;""</f>
        <v>1</v>
      </c>
      <c r="Q7" s="21" t="str">
        <f>INDEX(Dimensions!$B$2:$AS$7,'Dam LW'!$A7,Dimensions!Q$1)&amp;""</f>
        <v>1</v>
      </c>
      <c r="R7" s="21" t="str">
        <f>INDEX(Dimensions!$B$2:$AS$7,'Dam LW'!$A7,Dimensions!R$1)&amp;""</f>
        <v>1</v>
      </c>
      <c r="S7" s="21" t="str">
        <f>INDEX(Dimensions!$B$2:$AS$7,'Dam LW'!$A7,Dimensions!S$1)&amp;""</f>
        <v>1</v>
      </c>
      <c r="T7" s="21" t="str">
        <f>INDEX(Dimensions!$B$2:$AS$7,'Dam LW'!$A7,Dimensions!T$1)&amp;""</f>
        <v>4</v>
      </c>
      <c r="U7" s="21" t="str">
        <f>INDEX(Dimensions!$B$2:$AS$7,'Dam LW'!$A7,Dimensions!U$1)&amp;""</f>
        <v/>
      </c>
      <c r="V7" s="21" t="str">
        <f>INDEX(Dimensions!$B$2:$AS$7,'Dam LW'!$A7,Dimensions!V$1)&amp;""</f>
        <v/>
      </c>
      <c r="W7" s="14"/>
    </row>
    <row r="8" spans="1:66" s="13" customFormat="1" ht="15" thickBot="1" x14ac:dyDescent="0.4">
      <c r="A8" s="22">
        <v>1</v>
      </c>
      <c r="B8" s="21" t="str">
        <f>INDEX(Headers!$B$2:$AS$7,'Dam LW'!$A8,Headers!B$1)&amp;""</f>
        <v/>
      </c>
      <c r="C8" s="21" t="str">
        <f>INDEX(Headers!$B$2:$AS$7,'Dam LW'!$A8,Headers!C$1)&amp;""</f>
        <v/>
      </c>
      <c r="D8" s="21" t="str">
        <f>INDEX(Headers!$B$2:$AS$7,'Dam LW'!$A8,Headers!D$1)&amp;""</f>
        <v/>
      </c>
      <c r="E8" s="21" t="str">
        <f>INDEX(Headers!$B$2:$AS$7,'Dam LW'!$A8,Headers!E$1)&amp;""</f>
        <v/>
      </c>
      <c r="F8" s="21" t="str">
        <f>INDEX(Headers!$B$2:$AS$7,'Dam LW'!$A8,Headers!F$1)&amp;""</f>
        <v>p</v>
      </c>
      <c r="G8" s="21" t="str">
        <f>INDEX(Headers!$B$2:$AS$7,'Dam LW'!$A8,Headers!G$1)&amp;""</f>
        <v>a1</v>
      </c>
      <c r="H8" s="21" t="str">
        <f>INDEX(Headers!$B$2:$AS$7,'Dam LW'!$A8,Headers!H$1)&amp;""</f>
        <v>e1</v>
      </c>
      <c r="I8" s="21" t="str">
        <f>INDEX(Headers!$B$2:$AS$7,'Dam LW'!$A8,Headers!I$1)&amp;""</f>
        <v>b1</v>
      </c>
      <c r="J8" s="21" t="str">
        <f>INDEX(Headers!$B$2:$AS$7,'Dam LW'!$A8,Headers!J$1)&amp;""</f>
        <v>n</v>
      </c>
      <c r="K8" s="21" t="str">
        <f>INDEX(Headers!$B$2:$AS$7,'Dam LW'!$A8,Headers!K$1)&amp;""</f>
        <v>w</v>
      </c>
      <c r="L8" s="21" t="str">
        <f>INDEX(Headers!$B$2:$AS$7,'Dam LW'!$A8,Headers!L$1)&amp;""</f>
        <v>z</v>
      </c>
      <c r="M8" s="21" t="str">
        <f>INDEX(Headers!$B$2:$AS$7,'Dam LW'!$A8,Headers!M$1)&amp;""</f>
        <v>i</v>
      </c>
      <c r="N8" s="21" t="str">
        <f>INDEX(Headers!$B$2:$AS$7,'Dam LW'!$A8,Headers!N$1)&amp;""</f>
        <v>d</v>
      </c>
      <c r="O8" s="21" t="str">
        <f>INDEX(Headers!$B$2:$AS$7,'Dam LW'!$A8,Headers!O$1)&amp;""</f>
        <v>a0</v>
      </c>
      <c r="P8" s="21" t="str">
        <f>INDEX(Headers!$B$2:$AS$7,'Dam LW'!$A8,Headers!P$1)&amp;""</f>
        <v>e0</v>
      </c>
      <c r="Q8" s="21" t="str">
        <f>INDEX(Headers!$B$2:$AS$7,'Dam LW'!$A8,Headers!Q$1)&amp;""</f>
        <v>b0</v>
      </c>
      <c r="R8" s="21" t="str">
        <f>INDEX(Headers!$B$2:$AS$7,'Dam LW'!$A8,Headers!R$1)&amp;""</f>
        <v>x</v>
      </c>
      <c r="S8" s="21" t="str">
        <f>INDEX(Headers!$B$2:$AS$7,'Dam LW'!$A8,Headers!S$1)&amp;""</f>
        <v>y</v>
      </c>
      <c r="T8" s="21" t="str">
        <f>INDEX(Headers!$B$2:$AS$7,'Dam LW'!$A8,Headers!T$1)&amp;""</f>
        <v>g1</v>
      </c>
      <c r="U8" s="21" t="str">
        <f>INDEX(Headers!$B$2:$AS$7,'Dam LW'!$A8,Headers!U$1)&amp;""</f>
        <v/>
      </c>
      <c r="V8" s="21" t="str">
        <f>INDEX(Headers!$B$2:$AS$7,'Dam LW'!$A8,Headers!V$1)&amp;""</f>
        <v/>
      </c>
      <c r="W8" s="21" t="s">
        <v>69</v>
      </c>
      <c r="X8" s="21" t="s">
        <v>83</v>
      </c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</row>
    <row r="9" spans="1:66" x14ac:dyDescent="0.35">
      <c r="A9" s="21" t="s">
        <v>91</v>
      </c>
      <c r="B9" s="26"/>
      <c r="C9" s="27"/>
      <c r="D9" s="27"/>
      <c r="E9" s="27"/>
      <c r="F9" s="27" t="s">
        <v>42</v>
      </c>
      <c r="G9" s="27" t="s">
        <v>68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8"/>
      <c r="U9" s="28"/>
      <c r="V9" s="29"/>
      <c r="W9" s="21" t="str">
        <f>IF(FileExists(X9),"","Plot")</f>
        <v>Plot</v>
      </c>
      <c r="X9" s="24" t="str">
        <f t="shared" ref="X9" si="0">HYPERLINK(SUBSTITUTE(SUBSTITUTE(Y9&amp;Z9&amp;AA9&amp;AB9&amp;AC9&amp;AD9&amp;AE9&amp;AF9&amp;AG9&amp;AH9&amp;AI9&amp;AJ9&amp;AK9&amp;AL9&amp;AM9&amp;AN9&amp;AO9&amp;AP9&amp;AQ9&amp;AR9&amp;BN9,"`",""),":","-")&amp;".jpg")</f>
        <v>....px.a1a0.e10.b12.n0.w0,1,2.z0.i0.d0.a00.e00.b00.x0.y0.g10..0.jpg</v>
      </c>
      <c r="Y9" s="21" t="str">
        <f t="shared" ref="Y9:AS9" si="1">B$8&amp;"`"&amp;B9&amp;"`"&amp;B10&amp;"."</f>
        <v>``.</v>
      </c>
      <c r="Z9" s="21" t="str">
        <f t="shared" si="1"/>
        <v>``.</v>
      </c>
      <c r="AA9" s="21" t="str">
        <f t="shared" si="1"/>
        <v>``.</v>
      </c>
      <c r="AB9" s="21" t="str">
        <f t="shared" si="1"/>
        <v>``.</v>
      </c>
      <c r="AC9" s="21" t="str">
        <f t="shared" si="1"/>
        <v>p`x`.</v>
      </c>
      <c r="AD9" s="21" t="str">
        <f t="shared" si="1"/>
        <v>a1`a`0.</v>
      </c>
      <c r="AE9" s="21" t="str">
        <f t="shared" si="1"/>
        <v>e1``0.</v>
      </c>
      <c r="AF9" s="21" t="str">
        <f t="shared" si="1"/>
        <v>b1``2.</v>
      </c>
      <c r="AG9" s="21" t="str">
        <f t="shared" si="1"/>
        <v>n``0.</v>
      </c>
      <c r="AH9" s="21" t="str">
        <f t="shared" si="1"/>
        <v>w``0,1,2.</v>
      </c>
      <c r="AI9" s="21" t="str">
        <f t="shared" si="1"/>
        <v>z``0.</v>
      </c>
      <c r="AJ9" s="21" t="str">
        <f t="shared" si="1"/>
        <v>i``0.</v>
      </c>
      <c r="AK9" s="21" t="str">
        <f t="shared" si="1"/>
        <v>d``0.</v>
      </c>
      <c r="AL9" s="21" t="str">
        <f t="shared" si="1"/>
        <v>a0``0.</v>
      </c>
      <c r="AM9" s="21" t="str">
        <f t="shared" si="1"/>
        <v>e0``0.</v>
      </c>
      <c r="AN9" s="21" t="str">
        <f t="shared" si="1"/>
        <v>b0``0.</v>
      </c>
      <c r="AO9" s="21" t="str">
        <f t="shared" si="1"/>
        <v>x``0.</v>
      </c>
      <c r="AP9" s="21" t="str">
        <f t="shared" si="1"/>
        <v>y``0.</v>
      </c>
      <c r="AQ9" s="21" t="str">
        <f t="shared" si="1"/>
        <v>g1``0.</v>
      </c>
      <c r="AR9" s="21" t="str">
        <f t="shared" si="1"/>
        <v>``.</v>
      </c>
      <c r="AS9" s="21" t="str">
        <f t="shared" si="1"/>
        <v>``.</v>
      </c>
      <c r="AT9" s="25" t="str">
        <f>B11</f>
        <v>lw0</v>
      </c>
      <c r="AU9" s="25" t="str">
        <f t="shared" ref="AU9:BN9" si="2">C11</f>
        <v>lw1</v>
      </c>
      <c r="AV9" s="25" t="str">
        <f t="shared" si="2"/>
        <v>lw2</v>
      </c>
      <c r="AW9" s="25">
        <f t="shared" si="2"/>
        <v>0</v>
      </c>
      <c r="AX9" s="25">
        <f t="shared" si="2"/>
        <v>0</v>
      </c>
      <c r="AY9" s="25">
        <f t="shared" si="2"/>
        <v>0</v>
      </c>
      <c r="AZ9" s="25">
        <f t="shared" si="2"/>
        <v>0</v>
      </c>
      <c r="BA9" s="25">
        <f t="shared" si="2"/>
        <v>0</v>
      </c>
      <c r="BB9" s="25">
        <f t="shared" si="2"/>
        <v>0</v>
      </c>
      <c r="BC9" s="25">
        <f t="shared" si="2"/>
        <v>0</v>
      </c>
      <c r="BD9" s="25">
        <f t="shared" si="2"/>
        <v>0</v>
      </c>
      <c r="BE9" s="25">
        <f t="shared" si="2"/>
        <v>0</v>
      </c>
      <c r="BF9" s="25">
        <f t="shared" si="2"/>
        <v>0</v>
      </c>
      <c r="BG9" s="25">
        <f t="shared" si="2"/>
        <v>0</v>
      </c>
      <c r="BH9" s="25">
        <f t="shared" si="2"/>
        <v>0</v>
      </c>
      <c r="BI9" s="25">
        <f t="shared" si="2"/>
        <v>0</v>
      </c>
      <c r="BJ9" s="25">
        <f t="shared" si="2"/>
        <v>0</v>
      </c>
      <c r="BK9" s="25">
        <f t="shared" si="2"/>
        <v>0</v>
      </c>
      <c r="BL9" s="25">
        <f t="shared" si="2"/>
        <v>0</v>
      </c>
      <c r="BM9" s="25">
        <f t="shared" si="2"/>
        <v>0</v>
      </c>
      <c r="BN9" s="25">
        <f t="shared" si="2"/>
        <v>0</v>
      </c>
    </row>
    <row r="10" spans="1:66" x14ac:dyDescent="0.35">
      <c r="A10" s="21" t="s">
        <v>90</v>
      </c>
      <c r="B10" s="30"/>
      <c r="C10" s="20"/>
      <c r="D10" s="20"/>
      <c r="E10" s="20"/>
      <c r="F10" s="31"/>
      <c r="G10" s="31" t="s">
        <v>88</v>
      </c>
      <c r="H10" s="31" t="s">
        <v>88</v>
      </c>
      <c r="I10" s="31" t="s">
        <v>129</v>
      </c>
      <c r="J10" s="31" t="s">
        <v>88</v>
      </c>
      <c r="K10" s="31" t="s">
        <v>130</v>
      </c>
      <c r="L10" s="31" t="s">
        <v>88</v>
      </c>
      <c r="M10" s="31" t="s">
        <v>88</v>
      </c>
      <c r="N10" s="31" t="s">
        <v>88</v>
      </c>
      <c r="O10" s="31" t="s">
        <v>88</v>
      </c>
      <c r="P10" s="31" t="s">
        <v>88</v>
      </c>
      <c r="Q10" s="31" t="s">
        <v>88</v>
      </c>
      <c r="R10" s="31" t="s">
        <v>88</v>
      </c>
      <c r="S10" s="31" t="s">
        <v>88</v>
      </c>
      <c r="T10" s="31" t="s">
        <v>88</v>
      </c>
      <c r="U10" s="31"/>
      <c r="V10" s="32"/>
      <c r="W10" s="21"/>
      <c r="X10" t="str">
        <f t="shared" ref="X10:X11" si="3">X9</f>
        <v>....px.a1a0.e10.b12.n0.w0,1,2.z0.i0.d0.a00.e00.b00.x0.y0.g10..0.jpg</v>
      </c>
    </row>
    <row r="11" spans="1:66" ht="15" thickBot="1" x14ac:dyDescent="0.4">
      <c r="A11" s="21" t="s">
        <v>89</v>
      </c>
      <c r="B11" s="33" t="s">
        <v>117</v>
      </c>
      <c r="C11" s="34" t="s">
        <v>118</v>
      </c>
      <c r="D11" s="34" t="s">
        <v>119</v>
      </c>
      <c r="E11" s="34"/>
      <c r="F11" s="34"/>
      <c r="G11" s="34"/>
      <c r="H11" s="34"/>
      <c r="I11" s="34"/>
      <c r="J11" s="34"/>
      <c r="K11" s="34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6"/>
      <c r="W11" s="21"/>
      <c r="X11" t="str">
        <f t="shared" si="3"/>
        <v>....px.a1a0.e10.b12.n0.w0,1,2.z0.i0.d0.a00.e00.b00.x0.y0.g10..0.jpg</v>
      </c>
    </row>
    <row r="12" spans="1:66" x14ac:dyDescent="0.35">
      <c r="A12" s="21" t="s">
        <v>91</v>
      </c>
      <c r="B12" s="26"/>
      <c r="C12" s="27"/>
      <c r="D12" s="27"/>
      <c r="E12" s="27"/>
      <c r="F12" s="27" t="s">
        <v>42</v>
      </c>
      <c r="G12" s="27" t="s">
        <v>68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8"/>
      <c r="U12" s="28"/>
      <c r="V12" s="29"/>
      <c r="W12" s="21" t="str">
        <f>IF(FileExists(X12),"","Plot")</f>
        <v>Plot</v>
      </c>
      <c r="X12" s="24" t="str">
        <f t="shared" ref="X12" si="4">HYPERLINK(SUBSTITUTE(SUBSTITUTE(Y12&amp;Z12&amp;AA12&amp;AB12&amp;AC12&amp;AD12&amp;AE12&amp;AF12&amp;AG12&amp;AH12&amp;AI12&amp;AJ12&amp;AK12&amp;AL12&amp;AM12&amp;AN12&amp;AO12&amp;AP12&amp;AQ12&amp;AR12&amp;BN12,"`",""),":","-")&amp;".jpg")</f>
        <v>....px.a1a0.e10.b12.n0.w0,3,6.z0.i0.d0.a00.e00.b00.x0.y0.g10..0.jpg</v>
      </c>
      <c r="Y12" s="21" t="str">
        <f t="shared" ref="Y12:AS12" si="5">B$8&amp;"`"&amp;B12&amp;"`"&amp;B13&amp;"."</f>
        <v>``.</v>
      </c>
      <c r="Z12" s="21" t="str">
        <f t="shared" si="5"/>
        <v>``.</v>
      </c>
      <c r="AA12" s="21" t="str">
        <f t="shared" si="5"/>
        <v>``.</v>
      </c>
      <c r="AB12" s="21" t="str">
        <f t="shared" si="5"/>
        <v>``.</v>
      </c>
      <c r="AC12" s="21" t="str">
        <f t="shared" si="5"/>
        <v>p`x`.</v>
      </c>
      <c r="AD12" s="21" t="str">
        <f t="shared" si="5"/>
        <v>a1`a`0.</v>
      </c>
      <c r="AE12" s="21" t="str">
        <f t="shared" si="5"/>
        <v>e1``0.</v>
      </c>
      <c r="AF12" s="21" t="str">
        <f t="shared" si="5"/>
        <v>b1``2.</v>
      </c>
      <c r="AG12" s="21" t="str">
        <f t="shared" si="5"/>
        <v>n``0.</v>
      </c>
      <c r="AH12" s="21" t="str">
        <f t="shared" si="5"/>
        <v>w``0,3,6.</v>
      </c>
      <c r="AI12" s="21" t="str">
        <f t="shared" si="5"/>
        <v>z``0.</v>
      </c>
      <c r="AJ12" s="21" t="str">
        <f t="shared" si="5"/>
        <v>i``0.</v>
      </c>
      <c r="AK12" s="21" t="str">
        <f t="shared" si="5"/>
        <v>d``0.</v>
      </c>
      <c r="AL12" s="21" t="str">
        <f t="shared" si="5"/>
        <v>a0``0.</v>
      </c>
      <c r="AM12" s="21" t="str">
        <f t="shared" si="5"/>
        <v>e0``0.</v>
      </c>
      <c r="AN12" s="21" t="str">
        <f t="shared" si="5"/>
        <v>b0``0.</v>
      </c>
      <c r="AO12" s="21" t="str">
        <f t="shared" si="5"/>
        <v>x``0.</v>
      </c>
      <c r="AP12" s="21" t="str">
        <f t="shared" si="5"/>
        <v>y``0.</v>
      </c>
      <c r="AQ12" s="21" t="str">
        <f t="shared" si="5"/>
        <v>g1``0.</v>
      </c>
      <c r="AR12" s="21" t="str">
        <f t="shared" si="5"/>
        <v>``.</v>
      </c>
      <c r="AS12" s="21" t="str">
        <f t="shared" si="5"/>
        <v>``.</v>
      </c>
      <c r="AT12" s="25" t="str">
        <f>B14</f>
        <v>lw0</v>
      </c>
      <c r="AU12" s="25" t="str">
        <f t="shared" ref="AU12:BN12" si="6">C14</f>
        <v>lw3</v>
      </c>
      <c r="AV12" s="25" t="str">
        <f t="shared" si="6"/>
        <v>lw6</v>
      </c>
      <c r="AW12" s="25">
        <f t="shared" si="6"/>
        <v>0</v>
      </c>
      <c r="AX12" s="25">
        <f t="shared" si="6"/>
        <v>0</v>
      </c>
      <c r="AY12" s="25">
        <f t="shared" si="6"/>
        <v>0</v>
      </c>
      <c r="AZ12" s="25">
        <f t="shared" si="6"/>
        <v>0</v>
      </c>
      <c r="BA12" s="25">
        <f t="shared" si="6"/>
        <v>0</v>
      </c>
      <c r="BB12" s="25">
        <f t="shared" si="6"/>
        <v>0</v>
      </c>
      <c r="BC12" s="25">
        <f t="shared" si="6"/>
        <v>0</v>
      </c>
      <c r="BD12" s="25">
        <f t="shared" si="6"/>
        <v>0</v>
      </c>
      <c r="BE12" s="25">
        <f t="shared" si="6"/>
        <v>0</v>
      </c>
      <c r="BF12" s="25">
        <f t="shared" si="6"/>
        <v>0</v>
      </c>
      <c r="BG12" s="25">
        <f t="shared" si="6"/>
        <v>0</v>
      </c>
      <c r="BH12" s="25">
        <f t="shared" si="6"/>
        <v>0</v>
      </c>
      <c r="BI12" s="25">
        <f t="shared" si="6"/>
        <v>0</v>
      </c>
      <c r="BJ12" s="25">
        <f t="shared" si="6"/>
        <v>0</v>
      </c>
      <c r="BK12" s="25">
        <f t="shared" si="6"/>
        <v>0</v>
      </c>
      <c r="BL12" s="25">
        <f t="shared" si="6"/>
        <v>0</v>
      </c>
      <c r="BM12" s="25">
        <f t="shared" si="6"/>
        <v>0</v>
      </c>
      <c r="BN12" s="25">
        <f t="shared" si="6"/>
        <v>0</v>
      </c>
    </row>
    <row r="13" spans="1:66" x14ac:dyDescent="0.35">
      <c r="A13" s="21" t="s">
        <v>90</v>
      </c>
      <c r="B13" s="30"/>
      <c r="C13" s="20"/>
      <c r="D13" s="20"/>
      <c r="E13" s="20"/>
      <c r="F13" s="31"/>
      <c r="G13" s="31" t="s">
        <v>88</v>
      </c>
      <c r="H13" s="31" t="s">
        <v>88</v>
      </c>
      <c r="I13" s="31" t="s">
        <v>129</v>
      </c>
      <c r="J13" s="31" t="s">
        <v>88</v>
      </c>
      <c r="K13" s="31" t="s">
        <v>131</v>
      </c>
      <c r="L13" s="31" t="s">
        <v>88</v>
      </c>
      <c r="M13" s="31" t="s">
        <v>88</v>
      </c>
      <c r="N13" s="31" t="s">
        <v>88</v>
      </c>
      <c r="O13" s="31" t="s">
        <v>88</v>
      </c>
      <c r="P13" s="31" t="s">
        <v>88</v>
      </c>
      <c r="Q13" s="31" t="s">
        <v>88</v>
      </c>
      <c r="R13" s="31" t="s">
        <v>88</v>
      </c>
      <c r="S13" s="31" t="s">
        <v>88</v>
      </c>
      <c r="T13" s="31" t="s">
        <v>88</v>
      </c>
      <c r="U13" s="31"/>
      <c r="V13" s="32"/>
      <c r="W13" s="21"/>
      <c r="X13" t="str">
        <f t="shared" ref="X13:X14" si="7">X12</f>
        <v>....px.a1a0.e10.b12.n0.w0,3,6.z0.i0.d0.a00.e00.b00.x0.y0.g10..0.jpg</v>
      </c>
    </row>
    <row r="14" spans="1:66" ht="15" thickBot="1" x14ac:dyDescent="0.4">
      <c r="A14" s="21" t="s">
        <v>89</v>
      </c>
      <c r="B14" s="33" t="s">
        <v>117</v>
      </c>
      <c r="C14" s="34" t="s">
        <v>120</v>
      </c>
      <c r="D14" s="34" t="s">
        <v>121</v>
      </c>
      <c r="E14" s="34"/>
      <c r="F14" s="37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6"/>
      <c r="W14" s="21"/>
      <c r="X14" t="str">
        <f t="shared" si="7"/>
        <v>....px.a1a0.e10.b12.n0.w0,3,6.z0.i0.d0.a00.e00.b00.x0.y0.g10..0.jpg</v>
      </c>
    </row>
    <row r="15" spans="1:66" x14ac:dyDescent="0.35">
      <c r="A15" s="21" t="s">
        <v>91</v>
      </c>
      <c r="B15" s="26"/>
      <c r="C15" s="27"/>
      <c r="D15" s="27"/>
      <c r="E15" s="27"/>
      <c r="F15" s="27" t="s">
        <v>42</v>
      </c>
      <c r="G15" s="27" t="s">
        <v>68</v>
      </c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8"/>
      <c r="U15" s="28"/>
      <c r="V15" s="29"/>
      <c r="W15" s="21" t="str">
        <f>IF(FileExists(X15),"","Plot")</f>
        <v>Plot</v>
      </c>
      <c r="X15" s="24" t="str">
        <f t="shared" ref="X15" si="8">HYPERLINK(SUBSTITUTE(SUBSTITUTE(Y15&amp;Z15&amp;AA15&amp;AB15&amp;AC15&amp;AD15&amp;AE15&amp;AF15&amp;AG15&amp;AH15&amp;AI15&amp;AJ15&amp;AK15&amp;AL15&amp;AM15&amp;AN15&amp;AO15&amp;AP15&amp;AQ15&amp;AR15&amp;BN15,"`",""),":","-")&amp;".jpg")</f>
        <v>....px.a1a0.e10.b12.n0.w0,9,18.z0.i0.d0.a00.e00.b00.x0.y0.g10..0.jpg</v>
      </c>
      <c r="Y15" s="21" t="str">
        <f t="shared" ref="Y15:AS15" si="9">B$8&amp;"`"&amp;B15&amp;"`"&amp;B16&amp;"."</f>
        <v>``.</v>
      </c>
      <c r="Z15" s="21" t="str">
        <f t="shared" si="9"/>
        <v>``.</v>
      </c>
      <c r="AA15" s="21" t="str">
        <f t="shared" si="9"/>
        <v>``.</v>
      </c>
      <c r="AB15" s="21" t="str">
        <f t="shared" si="9"/>
        <v>``.</v>
      </c>
      <c r="AC15" s="21" t="str">
        <f t="shared" si="9"/>
        <v>p`x`.</v>
      </c>
      <c r="AD15" s="21" t="str">
        <f t="shared" si="9"/>
        <v>a1`a`0.</v>
      </c>
      <c r="AE15" s="21" t="str">
        <f t="shared" si="9"/>
        <v>e1``0.</v>
      </c>
      <c r="AF15" s="21" t="str">
        <f t="shared" si="9"/>
        <v>b1``2.</v>
      </c>
      <c r="AG15" s="21" t="str">
        <f t="shared" si="9"/>
        <v>n``0.</v>
      </c>
      <c r="AH15" s="21" t="str">
        <f t="shared" si="9"/>
        <v>w``0,9,18.</v>
      </c>
      <c r="AI15" s="21" t="str">
        <f t="shared" si="9"/>
        <v>z``0.</v>
      </c>
      <c r="AJ15" s="21" t="str">
        <f t="shared" si="9"/>
        <v>i``0.</v>
      </c>
      <c r="AK15" s="21" t="str">
        <f t="shared" si="9"/>
        <v>d``0.</v>
      </c>
      <c r="AL15" s="21" t="str">
        <f t="shared" si="9"/>
        <v>a0``0.</v>
      </c>
      <c r="AM15" s="21" t="str">
        <f t="shared" si="9"/>
        <v>e0``0.</v>
      </c>
      <c r="AN15" s="21" t="str">
        <f t="shared" si="9"/>
        <v>b0``0.</v>
      </c>
      <c r="AO15" s="21" t="str">
        <f t="shared" si="9"/>
        <v>x``0.</v>
      </c>
      <c r="AP15" s="21" t="str">
        <f t="shared" si="9"/>
        <v>y``0.</v>
      </c>
      <c r="AQ15" s="21" t="str">
        <f t="shared" si="9"/>
        <v>g1``0.</v>
      </c>
      <c r="AR15" s="21" t="str">
        <f t="shared" si="9"/>
        <v>``.</v>
      </c>
      <c r="AS15" s="21" t="str">
        <f t="shared" si="9"/>
        <v>``.</v>
      </c>
      <c r="AT15" s="25" t="str">
        <f>B17</f>
        <v>lw0</v>
      </c>
      <c r="AU15" s="25" t="str">
        <f t="shared" ref="AU15:BN15" si="10">C17</f>
        <v>lw9</v>
      </c>
      <c r="AV15" s="25" t="str">
        <f t="shared" si="10"/>
        <v>lw18</v>
      </c>
      <c r="AW15" s="25">
        <f t="shared" si="10"/>
        <v>0</v>
      </c>
      <c r="AX15" s="25">
        <f t="shared" si="10"/>
        <v>0</v>
      </c>
      <c r="AY15" s="25">
        <f t="shared" si="10"/>
        <v>0</v>
      </c>
      <c r="AZ15" s="25">
        <f t="shared" si="10"/>
        <v>0</v>
      </c>
      <c r="BA15" s="25">
        <f t="shared" si="10"/>
        <v>0</v>
      </c>
      <c r="BB15" s="25">
        <f t="shared" si="10"/>
        <v>0</v>
      </c>
      <c r="BC15" s="25">
        <f t="shared" si="10"/>
        <v>0</v>
      </c>
      <c r="BD15" s="25">
        <f t="shared" si="10"/>
        <v>0</v>
      </c>
      <c r="BE15" s="25">
        <f t="shared" si="10"/>
        <v>0</v>
      </c>
      <c r="BF15" s="25">
        <f t="shared" si="10"/>
        <v>0</v>
      </c>
      <c r="BG15" s="25">
        <f t="shared" si="10"/>
        <v>0</v>
      </c>
      <c r="BH15" s="25">
        <f t="shared" si="10"/>
        <v>0</v>
      </c>
      <c r="BI15" s="25">
        <f t="shared" si="10"/>
        <v>0</v>
      </c>
      <c r="BJ15" s="25">
        <f t="shared" si="10"/>
        <v>0</v>
      </c>
      <c r="BK15" s="25">
        <f t="shared" si="10"/>
        <v>0</v>
      </c>
      <c r="BL15" s="25">
        <f t="shared" si="10"/>
        <v>0</v>
      </c>
      <c r="BM15" s="25">
        <f t="shared" si="10"/>
        <v>0</v>
      </c>
      <c r="BN15" s="25">
        <f t="shared" si="10"/>
        <v>0</v>
      </c>
    </row>
    <row r="16" spans="1:66" x14ac:dyDescent="0.35">
      <c r="A16" s="21" t="s">
        <v>90</v>
      </c>
      <c r="B16" s="30"/>
      <c r="C16" s="20"/>
      <c r="D16" s="20"/>
      <c r="E16" s="20"/>
      <c r="F16" s="31"/>
      <c r="G16" s="31" t="s">
        <v>88</v>
      </c>
      <c r="H16" s="31" t="s">
        <v>88</v>
      </c>
      <c r="I16" s="31" t="s">
        <v>129</v>
      </c>
      <c r="J16" s="31" t="s">
        <v>88</v>
      </c>
      <c r="K16" s="31" t="s">
        <v>132</v>
      </c>
      <c r="L16" s="31" t="s">
        <v>88</v>
      </c>
      <c r="M16" s="31" t="s">
        <v>88</v>
      </c>
      <c r="N16" s="31" t="s">
        <v>88</v>
      </c>
      <c r="O16" s="31" t="s">
        <v>88</v>
      </c>
      <c r="P16" s="31" t="s">
        <v>88</v>
      </c>
      <c r="Q16" s="31" t="s">
        <v>88</v>
      </c>
      <c r="R16" s="31" t="s">
        <v>88</v>
      </c>
      <c r="S16" s="31" t="s">
        <v>88</v>
      </c>
      <c r="T16" s="31" t="s">
        <v>88</v>
      </c>
      <c r="U16" s="31"/>
      <c r="V16" s="32"/>
      <c r="W16" s="21"/>
      <c r="X16" t="str">
        <f t="shared" ref="X16:X17" si="11">X15</f>
        <v>....px.a1a0.e10.b12.n0.w0,9,18.z0.i0.d0.a00.e00.b00.x0.y0.g10..0.jpg</v>
      </c>
    </row>
    <row r="17" spans="1:66" ht="15" thickBot="1" x14ac:dyDescent="0.4">
      <c r="A17" s="21" t="s">
        <v>89</v>
      </c>
      <c r="B17" s="33" t="s">
        <v>117</v>
      </c>
      <c r="C17" s="34" t="s">
        <v>122</v>
      </c>
      <c r="D17" s="34" t="s">
        <v>133</v>
      </c>
      <c r="E17" s="34"/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6"/>
      <c r="W17" s="21"/>
      <c r="X17" t="str">
        <f t="shared" si="11"/>
        <v>....px.a1a0.e10.b12.n0.w0,9,18.z0.i0.d0.a00.e00.b00.x0.y0.g10..0.jpg</v>
      </c>
    </row>
    <row r="18" spans="1:66" x14ac:dyDescent="0.35">
      <c r="A18" s="21" t="s">
        <v>91</v>
      </c>
      <c r="B18" s="26"/>
      <c r="C18" s="27"/>
      <c r="D18" s="27"/>
      <c r="E18" s="27"/>
      <c r="F18" s="27" t="s">
        <v>42</v>
      </c>
      <c r="G18" s="27" t="s">
        <v>68</v>
      </c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8"/>
      <c r="U18" s="28"/>
      <c r="V18" s="29"/>
      <c r="W18" s="21" t="str">
        <f>IF(FileExists(X18),"","Plot")</f>
        <v>Plot</v>
      </c>
      <c r="X18" s="24" t="str">
        <f t="shared" ref="X18" si="12">HYPERLINK(SUBSTITUTE(SUBSTITUTE(Y18&amp;Z18&amp;AA18&amp;AB18&amp;AC18&amp;AD18&amp;AE18&amp;AF18&amp;AG18&amp;AH18&amp;AI18&amp;AJ18&amp;AK18&amp;AL18&amp;AM18&amp;AN18&amp;AO18&amp;AP18&amp;AQ18&amp;AR18&amp;BN18,"`",""),":","-")&amp;".jpg")</f>
        <v>....px.a1a0.e10.b12.n0.w0,27,54.z0.i0.d0.a00.e00.b00.x0.y0.g10..0.jpg</v>
      </c>
      <c r="Y18" s="21" t="str">
        <f t="shared" ref="Y18:AS18" si="13">B$8&amp;"`"&amp;B18&amp;"`"&amp;B19&amp;"."</f>
        <v>``.</v>
      </c>
      <c r="Z18" s="21" t="str">
        <f t="shared" si="13"/>
        <v>``.</v>
      </c>
      <c r="AA18" s="21" t="str">
        <f t="shared" si="13"/>
        <v>``.</v>
      </c>
      <c r="AB18" s="21" t="str">
        <f t="shared" si="13"/>
        <v>``.</v>
      </c>
      <c r="AC18" s="21" t="str">
        <f t="shared" si="13"/>
        <v>p`x`.</v>
      </c>
      <c r="AD18" s="21" t="str">
        <f t="shared" si="13"/>
        <v>a1`a`0.</v>
      </c>
      <c r="AE18" s="21" t="str">
        <f t="shared" si="13"/>
        <v>e1``0.</v>
      </c>
      <c r="AF18" s="21" t="str">
        <f t="shared" si="13"/>
        <v>b1``2.</v>
      </c>
      <c r="AG18" s="21" t="str">
        <f t="shared" si="13"/>
        <v>n``0.</v>
      </c>
      <c r="AH18" s="21" t="str">
        <f t="shared" si="13"/>
        <v>w``0,27,54.</v>
      </c>
      <c r="AI18" s="21" t="str">
        <f t="shared" si="13"/>
        <v>z``0.</v>
      </c>
      <c r="AJ18" s="21" t="str">
        <f t="shared" si="13"/>
        <v>i``0.</v>
      </c>
      <c r="AK18" s="21" t="str">
        <f t="shared" si="13"/>
        <v>d``0.</v>
      </c>
      <c r="AL18" s="21" t="str">
        <f t="shared" si="13"/>
        <v>a0``0.</v>
      </c>
      <c r="AM18" s="21" t="str">
        <f t="shared" si="13"/>
        <v>e0``0.</v>
      </c>
      <c r="AN18" s="21" t="str">
        <f t="shared" si="13"/>
        <v>b0``0.</v>
      </c>
      <c r="AO18" s="21" t="str">
        <f t="shared" si="13"/>
        <v>x``0.</v>
      </c>
      <c r="AP18" s="21" t="str">
        <f t="shared" si="13"/>
        <v>y``0.</v>
      </c>
      <c r="AQ18" s="21" t="str">
        <f t="shared" si="13"/>
        <v>g1``0.</v>
      </c>
      <c r="AR18" s="21" t="str">
        <f t="shared" si="13"/>
        <v>``.</v>
      </c>
      <c r="AS18" s="21" t="str">
        <f t="shared" si="13"/>
        <v>``.</v>
      </c>
      <c r="AT18" s="25" t="str">
        <f>B20</f>
        <v>lw0</v>
      </c>
      <c r="AU18" s="25" t="str">
        <f t="shared" ref="AU18:BN18" si="14">C20</f>
        <v>lw27</v>
      </c>
      <c r="AV18" s="25" t="str">
        <f t="shared" si="14"/>
        <v>lw54</v>
      </c>
      <c r="AW18" s="25">
        <f t="shared" si="14"/>
        <v>0</v>
      </c>
      <c r="AX18" s="25">
        <f t="shared" si="14"/>
        <v>0</v>
      </c>
      <c r="AY18" s="25">
        <f t="shared" si="14"/>
        <v>0</v>
      </c>
      <c r="AZ18" s="25">
        <f t="shared" si="14"/>
        <v>0</v>
      </c>
      <c r="BA18" s="25">
        <f t="shared" si="14"/>
        <v>0</v>
      </c>
      <c r="BB18" s="25">
        <f t="shared" si="14"/>
        <v>0</v>
      </c>
      <c r="BC18" s="25">
        <f t="shared" si="14"/>
        <v>0</v>
      </c>
      <c r="BD18" s="25">
        <f t="shared" si="14"/>
        <v>0</v>
      </c>
      <c r="BE18" s="25">
        <f t="shared" si="14"/>
        <v>0</v>
      </c>
      <c r="BF18" s="25">
        <f t="shared" si="14"/>
        <v>0</v>
      </c>
      <c r="BG18" s="25">
        <f t="shared" si="14"/>
        <v>0</v>
      </c>
      <c r="BH18" s="25">
        <f t="shared" si="14"/>
        <v>0</v>
      </c>
      <c r="BI18" s="25">
        <f t="shared" si="14"/>
        <v>0</v>
      </c>
      <c r="BJ18" s="25">
        <f t="shared" si="14"/>
        <v>0</v>
      </c>
      <c r="BK18" s="25">
        <f t="shared" si="14"/>
        <v>0</v>
      </c>
      <c r="BL18" s="25">
        <f t="shared" si="14"/>
        <v>0</v>
      </c>
      <c r="BM18" s="25">
        <f t="shared" si="14"/>
        <v>0</v>
      </c>
      <c r="BN18" s="25">
        <f t="shared" si="14"/>
        <v>0</v>
      </c>
    </row>
    <row r="19" spans="1:66" x14ac:dyDescent="0.35">
      <c r="A19" s="21" t="s">
        <v>90</v>
      </c>
      <c r="B19" s="30"/>
      <c r="C19" s="20"/>
      <c r="D19" s="20"/>
      <c r="E19" s="20"/>
      <c r="F19" s="31"/>
      <c r="G19" s="31" t="s">
        <v>88</v>
      </c>
      <c r="H19" s="31" t="s">
        <v>88</v>
      </c>
      <c r="I19" s="31" t="s">
        <v>129</v>
      </c>
      <c r="J19" s="31" t="s">
        <v>88</v>
      </c>
      <c r="K19" s="31" t="s">
        <v>49</v>
      </c>
      <c r="L19" s="31" t="s">
        <v>88</v>
      </c>
      <c r="M19" s="31" t="s">
        <v>88</v>
      </c>
      <c r="N19" s="31" t="s">
        <v>88</v>
      </c>
      <c r="O19" s="31" t="s">
        <v>88</v>
      </c>
      <c r="P19" s="31" t="s">
        <v>88</v>
      </c>
      <c r="Q19" s="31" t="s">
        <v>88</v>
      </c>
      <c r="R19" s="31" t="s">
        <v>88</v>
      </c>
      <c r="S19" s="31" t="s">
        <v>88</v>
      </c>
      <c r="T19" s="31" t="s">
        <v>88</v>
      </c>
      <c r="U19" s="31"/>
      <c r="V19" s="32"/>
      <c r="W19" s="21"/>
      <c r="X19" t="str">
        <f t="shared" ref="X19:X23" si="15">X18</f>
        <v>....px.a1a0.e10.b12.n0.w0,27,54.z0.i0.d0.a00.e00.b00.x0.y0.g10..0.jpg</v>
      </c>
    </row>
    <row r="20" spans="1:66" ht="15" thickBot="1" x14ac:dyDescent="0.4">
      <c r="A20" s="21" t="s">
        <v>89</v>
      </c>
      <c r="B20" s="33" t="s">
        <v>117</v>
      </c>
      <c r="C20" s="34" t="s">
        <v>134</v>
      </c>
      <c r="D20" s="34" t="s">
        <v>135</v>
      </c>
      <c r="E20" s="34"/>
      <c r="F20" s="37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6"/>
      <c r="W20" s="21"/>
      <c r="X20" t="str">
        <f t="shared" si="15"/>
        <v>....px.a1a0.e10.b12.n0.w0,27,54.z0.i0.d0.a00.e00.b00.x0.y0.g10..0.jpg</v>
      </c>
    </row>
    <row r="21" spans="1:66" x14ac:dyDescent="0.35">
      <c r="A21" s="21" t="s">
        <v>91</v>
      </c>
      <c r="B21" s="26"/>
      <c r="C21" s="27"/>
      <c r="D21" s="27"/>
      <c r="E21" s="27"/>
      <c r="F21" s="27" t="s">
        <v>42</v>
      </c>
      <c r="G21" s="27" t="s">
        <v>68</v>
      </c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8"/>
      <c r="U21" s="28"/>
      <c r="V21" s="29"/>
      <c r="W21" s="21" t="str">
        <f>IF(FileExists(X21),"","Plot")</f>
        <v>Plot</v>
      </c>
      <c r="X21" s="24" t="str">
        <f t="shared" ref="X21" si="16">HYPERLINK(SUBSTITUTE(SUBSTITUTE(Y21&amp;Z21&amp;AA21&amp;AB21&amp;AC21&amp;AD21&amp;AE21&amp;AF21&amp;AG21&amp;AH21&amp;AI21&amp;AJ21&amp;AK21&amp;AL21&amp;AM21&amp;AN21&amp;AO21&amp;AP21&amp;AQ21&amp;AR21&amp;BN21,"`",""),":","-")&amp;".jpg")</f>
        <v>....px.a1a0.e10.b12.n0.w0,40,80.z0.i0.d0.a00.e00.b00.x0.y0.g10..0.jpg</v>
      </c>
      <c r="Y21" s="21" t="str">
        <f t="shared" ref="Y21:AS21" si="17">B$8&amp;"`"&amp;B21&amp;"`"&amp;B22&amp;"."</f>
        <v>``.</v>
      </c>
      <c r="Z21" s="21" t="str">
        <f t="shared" si="17"/>
        <v>``.</v>
      </c>
      <c r="AA21" s="21" t="str">
        <f t="shared" si="17"/>
        <v>``.</v>
      </c>
      <c r="AB21" s="21" t="str">
        <f t="shared" si="17"/>
        <v>``.</v>
      </c>
      <c r="AC21" s="21" t="str">
        <f t="shared" si="17"/>
        <v>p`x`.</v>
      </c>
      <c r="AD21" s="21" t="str">
        <f t="shared" si="17"/>
        <v>a1`a`0.</v>
      </c>
      <c r="AE21" s="21" t="str">
        <f t="shared" si="17"/>
        <v>e1``0.</v>
      </c>
      <c r="AF21" s="21" t="str">
        <f t="shared" si="17"/>
        <v>b1``2.</v>
      </c>
      <c r="AG21" s="21" t="str">
        <f t="shared" si="17"/>
        <v>n``0.</v>
      </c>
      <c r="AH21" s="21" t="str">
        <f t="shared" si="17"/>
        <v>w``0,40,80.</v>
      </c>
      <c r="AI21" s="21" t="str">
        <f t="shared" si="17"/>
        <v>z``0.</v>
      </c>
      <c r="AJ21" s="21" t="str">
        <f t="shared" si="17"/>
        <v>i``0.</v>
      </c>
      <c r="AK21" s="21" t="str">
        <f t="shared" si="17"/>
        <v>d``0.</v>
      </c>
      <c r="AL21" s="21" t="str">
        <f t="shared" si="17"/>
        <v>a0``0.</v>
      </c>
      <c r="AM21" s="21" t="str">
        <f t="shared" si="17"/>
        <v>e0``0.</v>
      </c>
      <c r="AN21" s="21" t="str">
        <f t="shared" si="17"/>
        <v>b0``0.</v>
      </c>
      <c r="AO21" s="21" t="str">
        <f t="shared" si="17"/>
        <v>x``0.</v>
      </c>
      <c r="AP21" s="21" t="str">
        <f t="shared" si="17"/>
        <v>y``0.</v>
      </c>
      <c r="AQ21" s="21" t="str">
        <f t="shared" si="17"/>
        <v>g1``0.</v>
      </c>
      <c r="AR21" s="21" t="str">
        <f t="shared" si="17"/>
        <v>``.</v>
      </c>
      <c r="AS21" s="21" t="str">
        <f t="shared" si="17"/>
        <v>``.</v>
      </c>
      <c r="AT21" s="25" t="str">
        <f>B23</f>
        <v>ave LW</v>
      </c>
      <c r="AU21" s="25" t="str">
        <f t="shared" ref="AU21:BN21" si="18">C23</f>
        <v>High LW</v>
      </c>
      <c r="AV21" s="25" t="str">
        <f t="shared" si="18"/>
        <v>Low LW</v>
      </c>
      <c r="AW21" s="25">
        <f t="shared" si="18"/>
        <v>0</v>
      </c>
      <c r="AX21" s="25">
        <f t="shared" si="18"/>
        <v>0</v>
      </c>
      <c r="AY21" s="25">
        <f t="shared" si="18"/>
        <v>0</v>
      </c>
      <c r="AZ21" s="25">
        <f t="shared" si="18"/>
        <v>0</v>
      </c>
      <c r="BA21" s="25">
        <f t="shared" si="18"/>
        <v>0</v>
      </c>
      <c r="BB21" s="25">
        <f t="shared" si="18"/>
        <v>0</v>
      </c>
      <c r="BC21" s="25">
        <f t="shared" si="18"/>
        <v>0</v>
      </c>
      <c r="BD21" s="25">
        <f t="shared" si="18"/>
        <v>0</v>
      </c>
      <c r="BE21" s="25">
        <f t="shared" si="18"/>
        <v>0</v>
      </c>
      <c r="BF21" s="25">
        <f t="shared" si="18"/>
        <v>0</v>
      </c>
      <c r="BG21" s="25">
        <f t="shared" si="18"/>
        <v>0</v>
      </c>
      <c r="BH21" s="25">
        <f t="shared" si="18"/>
        <v>0</v>
      </c>
      <c r="BI21" s="25">
        <f t="shared" si="18"/>
        <v>0</v>
      </c>
      <c r="BJ21" s="25">
        <f t="shared" si="18"/>
        <v>0</v>
      </c>
      <c r="BK21" s="25">
        <f t="shared" si="18"/>
        <v>0</v>
      </c>
      <c r="BL21" s="25">
        <f t="shared" si="18"/>
        <v>0</v>
      </c>
      <c r="BM21" s="25">
        <f t="shared" si="18"/>
        <v>0</v>
      </c>
      <c r="BN21" s="25">
        <f t="shared" si="18"/>
        <v>0</v>
      </c>
    </row>
    <row r="22" spans="1:66" x14ac:dyDescent="0.35">
      <c r="A22" s="21" t="s">
        <v>90</v>
      </c>
      <c r="B22" s="30"/>
      <c r="C22" s="20"/>
      <c r="D22" s="20"/>
      <c r="E22" s="20"/>
      <c r="F22" s="31"/>
      <c r="G22" s="31" t="s">
        <v>88</v>
      </c>
      <c r="H22" s="31" t="s">
        <v>88</v>
      </c>
      <c r="I22" s="31" t="s">
        <v>129</v>
      </c>
      <c r="J22" s="31" t="s">
        <v>88</v>
      </c>
      <c r="K22" s="31" t="s">
        <v>136</v>
      </c>
      <c r="L22" s="31" t="s">
        <v>88</v>
      </c>
      <c r="M22" s="31" t="s">
        <v>88</v>
      </c>
      <c r="N22" s="31" t="s">
        <v>88</v>
      </c>
      <c r="O22" s="31" t="s">
        <v>88</v>
      </c>
      <c r="P22" s="31" t="s">
        <v>88</v>
      </c>
      <c r="Q22" s="31" t="s">
        <v>88</v>
      </c>
      <c r="R22" s="31" t="s">
        <v>88</v>
      </c>
      <c r="S22" s="31" t="s">
        <v>88</v>
      </c>
      <c r="T22" s="31" t="s">
        <v>88</v>
      </c>
      <c r="U22" s="31"/>
      <c r="V22" s="32"/>
      <c r="W22" s="21"/>
      <c r="X22" t="str">
        <f t="shared" si="15"/>
        <v>....px.a1a0.e10.b12.n0.w0,40,80.z0.i0.d0.a00.e00.b00.x0.y0.g10..0.jpg</v>
      </c>
    </row>
    <row r="23" spans="1:66" ht="15" thickBot="1" x14ac:dyDescent="0.4">
      <c r="A23" s="21" t="s">
        <v>89</v>
      </c>
      <c r="B23" s="33" t="s">
        <v>137</v>
      </c>
      <c r="C23" s="34" t="s">
        <v>138</v>
      </c>
      <c r="D23" s="34" t="s">
        <v>139</v>
      </c>
      <c r="E23" s="34"/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6"/>
      <c r="W23" s="21"/>
      <c r="X23" t="str">
        <f t="shared" si="15"/>
        <v>....px.a1a0.e10.b12.n0.w0,40,80.z0.i0.d0.a00.e00.b00.x0.y0.g10..0.jpg</v>
      </c>
    </row>
    <row r="24" spans="1:66" x14ac:dyDescent="0.35">
      <c r="A24" s="21" t="s">
        <v>91</v>
      </c>
      <c r="B24" s="26"/>
      <c r="C24" s="27"/>
      <c r="D24" s="27"/>
      <c r="E24" s="27"/>
      <c r="F24" s="27" t="s">
        <v>42</v>
      </c>
      <c r="G24" s="27" t="s">
        <v>68</v>
      </c>
      <c r="H24" s="27"/>
      <c r="I24" s="27"/>
      <c r="J24" s="27"/>
      <c r="K24" s="27" t="s">
        <v>68</v>
      </c>
      <c r="L24" s="27"/>
      <c r="M24" s="27"/>
      <c r="N24" s="27"/>
      <c r="O24" s="27"/>
      <c r="P24" s="27"/>
      <c r="Q24" s="27"/>
      <c r="R24" s="27"/>
      <c r="S24" s="27"/>
      <c r="T24" s="28"/>
      <c r="U24" s="28"/>
      <c r="V24" s="29"/>
      <c r="W24" s="21" t="str">
        <f>IF(FileExists(X24),"","Plot")</f>
        <v>Plot</v>
      </c>
      <c r="X24" s="24" t="str">
        <f>HYPERLINK(SUBSTITUTE(SUBSTITUTE(Y24&amp;Z24&amp;AA24&amp;AB24&amp;AC24&amp;AD24&amp;AE24&amp;AF24&amp;AG24&amp;AH24&amp;AI24&amp;AJ24&amp;AK24&amp;AL24&amp;AM24&amp;AN24&amp;AO24&amp;AP24&amp;AQ24&amp;AR24&amp;BN24,"`",""),":","-")&amp;".jpg")</f>
        <v>....px.a1a0.e10.b10,2,3,4.n0.wa.z0.i0.d0.a00.e00.b00.x0.y0.g10..0.jpg</v>
      </c>
      <c r="Y24" s="21" t="str">
        <f t="shared" ref="Y24:AS24" si="19">B$8&amp;"`"&amp;B24&amp;"`"&amp;B25&amp;"."</f>
        <v>``.</v>
      </c>
      <c r="Z24" s="21" t="str">
        <f t="shared" si="19"/>
        <v>``.</v>
      </c>
      <c r="AA24" s="21" t="str">
        <f t="shared" si="19"/>
        <v>``.</v>
      </c>
      <c r="AB24" s="21" t="str">
        <f t="shared" si="19"/>
        <v>``.</v>
      </c>
      <c r="AC24" s="21" t="str">
        <f t="shared" si="19"/>
        <v>p`x`.</v>
      </c>
      <c r="AD24" s="21" t="str">
        <f t="shared" si="19"/>
        <v>a1`a`0.</v>
      </c>
      <c r="AE24" s="21" t="str">
        <f t="shared" si="19"/>
        <v>e1``0.</v>
      </c>
      <c r="AF24" s="21" t="str">
        <f t="shared" si="19"/>
        <v>b1``0,2,3,4.</v>
      </c>
      <c r="AG24" s="21" t="str">
        <f t="shared" si="19"/>
        <v>n``0.</v>
      </c>
      <c r="AH24" s="21" t="str">
        <f t="shared" si="19"/>
        <v>w`a`.</v>
      </c>
      <c r="AI24" s="21" t="str">
        <f t="shared" si="19"/>
        <v>z``0.</v>
      </c>
      <c r="AJ24" s="21" t="str">
        <f t="shared" si="19"/>
        <v>i``0.</v>
      </c>
      <c r="AK24" s="21" t="str">
        <f t="shared" si="19"/>
        <v>d``0.</v>
      </c>
      <c r="AL24" s="21" t="str">
        <f t="shared" si="19"/>
        <v>a0``0.</v>
      </c>
      <c r="AM24" s="21" t="str">
        <f t="shared" si="19"/>
        <v>e0``0.</v>
      </c>
      <c r="AN24" s="21" t="str">
        <f t="shared" si="19"/>
        <v>b0``0.</v>
      </c>
      <c r="AO24" s="21" t="str">
        <f t="shared" si="19"/>
        <v>x``0.</v>
      </c>
      <c r="AP24" s="21" t="str">
        <f t="shared" si="19"/>
        <v>y``0.</v>
      </c>
      <c r="AQ24" s="21" t="str">
        <f t="shared" si="19"/>
        <v>g1``0.</v>
      </c>
      <c r="AR24" s="21" t="str">
        <f t="shared" si="19"/>
        <v>``.</v>
      </c>
      <c r="AS24" s="21" t="str">
        <f t="shared" si="19"/>
        <v>``.</v>
      </c>
      <c r="AT24" s="25" t="str">
        <f>B26</f>
        <v>NM</v>
      </c>
      <c r="AU24" s="25" t="str">
        <f t="shared" ref="AU24:BN24" si="20">C26</f>
        <v>Single</v>
      </c>
      <c r="AV24" s="25" t="str">
        <f t="shared" si="20"/>
        <v>Twin</v>
      </c>
      <c r="AW24" s="25" t="str">
        <f t="shared" si="20"/>
        <v>Triplets</v>
      </c>
      <c r="AX24" s="25">
        <f t="shared" si="20"/>
        <v>0</v>
      </c>
      <c r="AY24" s="25">
        <f t="shared" si="20"/>
        <v>0</v>
      </c>
      <c r="AZ24" s="25">
        <f t="shared" si="20"/>
        <v>0</v>
      </c>
      <c r="BA24" s="25">
        <f t="shared" si="20"/>
        <v>0</v>
      </c>
      <c r="BB24" s="25">
        <f t="shared" si="20"/>
        <v>0</v>
      </c>
      <c r="BC24" s="25">
        <f t="shared" si="20"/>
        <v>0</v>
      </c>
      <c r="BD24" s="25">
        <f t="shared" si="20"/>
        <v>0</v>
      </c>
      <c r="BE24" s="25">
        <f t="shared" si="20"/>
        <v>0</v>
      </c>
      <c r="BF24" s="25">
        <f t="shared" si="20"/>
        <v>0</v>
      </c>
      <c r="BG24" s="25">
        <f t="shared" si="20"/>
        <v>0</v>
      </c>
      <c r="BH24" s="25">
        <f t="shared" si="20"/>
        <v>0</v>
      </c>
      <c r="BI24" s="25">
        <f t="shared" si="20"/>
        <v>0</v>
      </c>
      <c r="BJ24" s="25">
        <f t="shared" si="20"/>
        <v>0</v>
      </c>
      <c r="BK24" s="25">
        <f t="shared" si="20"/>
        <v>0</v>
      </c>
      <c r="BL24" s="25">
        <f t="shared" si="20"/>
        <v>0</v>
      </c>
      <c r="BM24" s="25">
        <f t="shared" si="20"/>
        <v>0</v>
      </c>
      <c r="BN24" s="25">
        <f t="shared" si="20"/>
        <v>0</v>
      </c>
    </row>
    <row r="25" spans="1:66" x14ac:dyDescent="0.35">
      <c r="A25" s="21" t="s">
        <v>90</v>
      </c>
      <c r="B25" s="30"/>
      <c r="C25" s="20"/>
      <c r="D25" s="20"/>
      <c r="E25" s="20"/>
      <c r="F25" s="31"/>
      <c r="G25" s="31" t="s">
        <v>88</v>
      </c>
      <c r="H25" s="31" t="s">
        <v>88</v>
      </c>
      <c r="I25" s="31" t="s">
        <v>141</v>
      </c>
      <c r="J25" s="31" t="s">
        <v>88</v>
      </c>
      <c r="K25" s="31"/>
      <c r="L25" s="31" t="s">
        <v>88</v>
      </c>
      <c r="M25" s="31" t="s">
        <v>88</v>
      </c>
      <c r="N25" s="31" t="s">
        <v>88</v>
      </c>
      <c r="O25" s="31" t="s">
        <v>88</v>
      </c>
      <c r="P25" s="31" t="s">
        <v>88</v>
      </c>
      <c r="Q25" s="31" t="s">
        <v>88</v>
      </c>
      <c r="R25" s="31" t="s">
        <v>88</v>
      </c>
      <c r="S25" s="31" t="s">
        <v>88</v>
      </c>
      <c r="T25" s="31" t="s">
        <v>88</v>
      </c>
      <c r="U25" s="31"/>
      <c r="V25" s="32"/>
      <c r="W25" s="21"/>
      <c r="X25" t="str">
        <f>X24</f>
        <v>....px.a1a0.e10.b10,2,3,4.n0.wa.z0.i0.d0.a00.e00.b00.x0.y0.g10..0.jpg</v>
      </c>
    </row>
    <row r="26" spans="1:66" ht="15" thickBot="1" x14ac:dyDescent="0.4">
      <c r="A26" s="21" t="s">
        <v>89</v>
      </c>
      <c r="B26" s="33" t="s">
        <v>124</v>
      </c>
      <c r="C26" s="34" t="s">
        <v>126</v>
      </c>
      <c r="D26" s="34" t="s">
        <v>127</v>
      </c>
      <c r="E26" s="35" t="s">
        <v>128</v>
      </c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6"/>
      <c r="W26" s="21"/>
      <c r="X26" t="str">
        <f>X25</f>
        <v>....px.a1a0.e10.b10,2,3,4.n0.wa.z0.i0.d0.a00.e00.b00.x0.y0.g10..0.jpg</v>
      </c>
    </row>
    <row r="27" spans="1:66" s="15" customFormat="1" ht="7" customHeight="1" x14ac:dyDescent="0.35">
      <c r="X27" s="38" t="s">
        <v>101</v>
      </c>
    </row>
    <row r="29" spans="1:66" x14ac:dyDescent="0.35">
      <c r="X29" s="23"/>
    </row>
    <row r="31" spans="1:66" x14ac:dyDescent="0.3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</row>
    <row r="32" spans="1:66" x14ac:dyDescent="0.35">
      <c r="A32" s="39"/>
      <c r="B32" s="40" t="s">
        <v>102</v>
      </c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39"/>
    </row>
    <row r="33" spans="1:19" x14ac:dyDescent="0.35">
      <c r="A33" s="39"/>
      <c r="B33" s="40"/>
      <c r="C33" s="40" t="s">
        <v>103</v>
      </c>
      <c r="D33" s="40"/>
      <c r="E33" s="40"/>
      <c r="F33" s="41" t="s">
        <v>42</v>
      </c>
      <c r="G33" s="40" t="s">
        <v>104</v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39"/>
    </row>
    <row r="34" spans="1:19" x14ac:dyDescent="0.35">
      <c r="A34" s="39"/>
      <c r="B34" s="40"/>
      <c r="C34" s="40"/>
      <c r="D34" s="40"/>
      <c r="E34" s="40"/>
      <c r="F34" s="41" t="s">
        <v>105</v>
      </c>
      <c r="G34" s="40" t="s">
        <v>116</v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39"/>
    </row>
    <row r="35" spans="1:19" x14ac:dyDescent="0.35">
      <c r="A35" s="39"/>
      <c r="B35" s="40"/>
      <c r="C35" s="40"/>
      <c r="D35" s="40"/>
      <c r="E35" s="40"/>
      <c r="F35" s="41" t="s">
        <v>68</v>
      </c>
      <c r="G35" s="40" t="s">
        <v>106</v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39"/>
    </row>
    <row r="36" spans="1:19" x14ac:dyDescent="0.35">
      <c r="A36" s="39"/>
      <c r="B36" s="40"/>
      <c r="C36" s="40"/>
      <c r="D36" s="40"/>
      <c r="E36" s="40"/>
      <c r="F36" s="41" t="s">
        <v>33</v>
      </c>
      <c r="G36" s="40" t="s">
        <v>107</v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39"/>
    </row>
    <row r="37" spans="1:19" x14ac:dyDescent="0.35">
      <c r="A37" s="39"/>
      <c r="B37" s="40"/>
      <c r="C37" s="40"/>
      <c r="D37" s="40"/>
      <c r="E37" s="40"/>
      <c r="F37" s="41" t="s">
        <v>109</v>
      </c>
      <c r="G37" s="40" t="s">
        <v>110</v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39"/>
    </row>
    <row r="38" spans="1:19" x14ac:dyDescent="0.35">
      <c r="A38" s="39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39"/>
    </row>
    <row r="39" spans="1:19" x14ac:dyDescent="0.35">
      <c r="A39" s="39"/>
      <c r="B39" s="40"/>
      <c r="C39" s="40" t="s">
        <v>108</v>
      </c>
      <c r="D39" s="40"/>
      <c r="E39" s="40"/>
      <c r="F39" s="40" t="s">
        <v>111</v>
      </c>
      <c r="G39" s="40" t="s">
        <v>112</v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39"/>
    </row>
    <row r="40" spans="1:19" x14ac:dyDescent="0.35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39"/>
    </row>
    <row r="41" spans="1:19" x14ac:dyDescent="0.35">
      <c r="A41" s="39"/>
      <c r="B41" s="40"/>
      <c r="C41" s="40" t="s">
        <v>113</v>
      </c>
      <c r="D41" s="40"/>
      <c r="E41" s="40"/>
      <c r="F41" s="40" t="s">
        <v>114</v>
      </c>
      <c r="G41" s="40" t="s">
        <v>115</v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39"/>
    </row>
    <row r="42" spans="1:19" x14ac:dyDescent="0.3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</row>
  </sheetData>
  <mergeCells count="20">
    <mergeCell ref="B1:F1"/>
    <mergeCell ref="G1:K1"/>
    <mergeCell ref="L1:P1"/>
    <mergeCell ref="Q1:U1"/>
    <mergeCell ref="B2:F2"/>
    <mergeCell ref="G2:K2"/>
    <mergeCell ref="L2:P2"/>
    <mergeCell ref="Q2:U2"/>
    <mergeCell ref="B5:F5"/>
    <mergeCell ref="G5:K5"/>
    <mergeCell ref="L5:P5"/>
    <mergeCell ref="Q5:U5"/>
    <mergeCell ref="B3:F3"/>
    <mergeCell ref="G3:K3"/>
    <mergeCell ref="L3:P3"/>
    <mergeCell ref="Q3:U3"/>
    <mergeCell ref="B4:F4"/>
    <mergeCell ref="G4:K4"/>
    <mergeCell ref="L4:P4"/>
    <mergeCell ref="Q4:U4"/>
  </mergeCells>
  <conditionalFormatting sqref="B9:BN9 W25:W26 W16 W15:BN15 B24:BN24 U25:V25 B25:F25 B12:BN12 W19 W18:BN18 B18:V19 B20:W20 L13:W14 L10:W11 B17:W17 B15:V16 B26:V26">
    <cfRule type="expression" dxfId="11" priority="5">
      <formula>$W9="Plot"</formula>
    </cfRule>
  </conditionalFormatting>
  <conditionalFormatting sqref="G25:T25">
    <cfRule type="expression" dxfId="10" priority="4">
      <formula>$W25="Plot"</formula>
    </cfRule>
  </conditionalFormatting>
  <conditionalFormatting sqref="B10:K11">
    <cfRule type="expression" dxfId="9" priority="3">
      <formula>$W10="Plot"</formula>
    </cfRule>
  </conditionalFormatting>
  <conditionalFormatting sqref="B13:K14">
    <cfRule type="expression" dxfId="8" priority="2">
      <formula>$W13="Plot"</formula>
    </cfRule>
  </conditionalFormatting>
  <conditionalFormatting sqref="W22 W21:BN21 B21:V22 B23:W23">
    <cfRule type="expression" dxfId="7" priority="1">
      <formula>$W21="Plot"</formula>
    </cfRule>
  </conditionalFormatting>
  <dataValidations count="2">
    <dataValidation allowBlank="1" showInputMessage="1" sqref="B10:W26" xr:uid="{CF799E4E-4C65-4721-930A-F4656FAEACA2}"/>
    <dataValidation type="list" allowBlank="1" showInputMessage="1" sqref="B9:X9 B24:X24 B18:X18 B15:X15 B12:X12 B21:X21" xr:uid="{7FEE0705-6A2A-4622-A388-82D597943F9E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EA2B9-43AC-4B29-A591-0C87201B43E4}">
  <sheetPr codeName="Sheet5"/>
  <dimension ref="A1:V7"/>
  <sheetViews>
    <sheetView workbookViewId="0"/>
  </sheetViews>
  <sheetFormatPr defaultRowHeight="14.5" x14ac:dyDescent="0.35"/>
  <cols>
    <col min="1" max="45" width="4.54296875" bestFit="1" customWidth="1"/>
  </cols>
  <sheetData>
    <row r="1" spans="1:22" x14ac:dyDescent="0.3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</row>
    <row r="2" spans="1:22" x14ac:dyDescent="0.35">
      <c r="A2" s="4">
        <v>1</v>
      </c>
      <c r="B2" s="4"/>
      <c r="C2" s="4"/>
      <c r="D2" s="4"/>
      <c r="E2" s="4"/>
      <c r="F2" s="4" t="s">
        <v>19</v>
      </c>
      <c r="G2" s="4" t="s">
        <v>22</v>
      </c>
      <c r="H2" s="4" t="s">
        <v>25</v>
      </c>
      <c r="I2" s="4" t="s">
        <v>28</v>
      </c>
      <c r="J2" s="4" t="s">
        <v>31</v>
      </c>
      <c r="K2" s="4" t="s">
        <v>33</v>
      </c>
      <c r="L2" s="4" t="s">
        <v>34</v>
      </c>
      <c r="M2" s="4" t="s">
        <v>35</v>
      </c>
      <c r="N2" s="4" t="s">
        <v>37</v>
      </c>
      <c r="O2" s="4" t="s">
        <v>39</v>
      </c>
      <c r="P2" s="4" t="s">
        <v>40</v>
      </c>
      <c r="Q2" s="4" t="s">
        <v>41</v>
      </c>
      <c r="R2" s="4" t="s">
        <v>42</v>
      </c>
      <c r="S2" s="4" t="s">
        <v>43</v>
      </c>
      <c r="T2" s="4" t="s">
        <v>77</v>
      </c>
      <c r="U2" s="4"/>
      <c r="V2" s="4"/>
    </row>
    <row r="3" spans="1:22" x14ac:dyDescent="0.35">
      <c r="A3" s="4">
        <v>2</v>
      </c>
      <c r="B3" s="4" t="s">
        <v>70</v>
      </c>
      <c r="C3" s="4" t="s">
        <v>71</v>
      </c>
      <c r="D3" s="4" t="s">
        <v>72</v>
      </c>
      <c r="E3" s="4" t="s">
        <v>73</v>
      </c>
      <c r="F3" s="4" t="s">
        <v>80</v>
      </c>
      <c r="G3" s="4" t="s">
        <v>22</v>
      </c>
      <c r="H3" s="4" t="s">
        <v>25</v>
      </c>
      <c r="I3" s="4" t="s">
        <v>28</v>
      </c>
      <c r="J3" s="4" t="s">
        <v>31</v>
      </c>
      <c r="K3" s="4" t="s">
        <v>33</v>
      </c>
      <c r="L3" s="4" t="s">
        <v>34</v>
      </c>
      <c r="M3" s="4" t="s">
        <v>35</v>
      </c>
      <c r="N3" s="4" t="s">
        <v>37</v>
      </c>
      <c r="O3" s="4" t="s">
        <v>39</v>
      </c>
      <c r="P3" s="4" t="s">
        <v>40</v>
      </c>
      <c r="Q3" s="4" t="s">
        <v>41</v>
      </c>
      <c r="R3" s="4" t="s">
        <v>42</v>
      </c>
      <c r="S3" s="4" t="s">
        <v>43</v>
      </c>
      <c r="T3" s="4" t="s">
        <v>77</v>
      </c>
      <c r="U3" s="4" t="s">
        <v>75</v>
      </c>
      <c r="V3" s="4">
        <f>V$1</f>
        <v>21</v>
      </c>
    </row>
    <row r="4" spans="1:22" x14ac:dyDescent="0.35">
      <c r="A4" s="4">
        <v>3</v>
      </c>
      <c r="B4" s="4" t="str">
        <f t="shared" ref="B4:C6" si="0">""&amp;B$1</f>
        <v>1</v>
      </c>
      <c r="C4" s="4" t="s">
        <v>78</v>
      </c>
      <c r="D4" s="4" t="s">
        <v>79</v>
      </c>
      <c r="E4" s="4" t="s">
        <v>73</v>
      </c>
      <c r="F4" s="4" t="s">
        <v>80</v>
      </c>
      <c r="G4" s="4" t="s">
        <v>22</v>
      </c>
      <c r="H4" s="4" t="s">
        <v>25</v>
      </c>
      <c r="I4" s="4" t="s">
        <v>28</v>
      </c>
      <c r="J4" s="4" t="s">
        <v>31</v>
      </c>
      <c r="K4" s="4" t="s">
        <v>33</v>
      </c>
      <c r="L4" s="4" t="s">
        <v>34</v>
      </c>
      <c r="M4" s="4" t="s">
        <v>35</v>
      </c>
      <c r="N4" s="4" t="s">
        <v>37</v>
      </c>
      <c r="O4" s="4" t="s">
        <v>39</v>
      </c>
      <c r="P4" s="4" t="s">
        <v>40</v>
      </c>
      <c r="Q4" s="4" t="s">
        <v>41</v>
      </c>
      <c r="R4" s="4" t="s">
        <v>42</v>
      </c>
      <c r="S4" s="4" t="s">
        <v>43</v>
      </c>
      <c r="T4" s="4" t="s">
        <v>77</v>
      </c>
      <c r="U4" s="4" t="s">
        <v>74</v>
      </c>
      <c r="V4" s="4" t="s">
        <v>75</v>
      </c>
    </row>
    <row r="5" spans="1:22" x14ac:dyDescent="0.35">
      <c r="A5" s="4">
        <v>4</v>
      </c>
      <c r="B5" s="4" t="str">
        <f t="shared" si="0"/>
        <v>1</v>
      </c>
      <c r="C5" s="4" t="s">
        <v>70</v>
      </c>
      <c r="D5" s="4" t="s">
        <v>72</v>
      </c>
      <c r="E5" s="4" t="s">
        <v>73</v>
      </c>
      <c r="F5" s="4" t="s">
        <v>80</v>
      </c>
      <c r="G5" s="4" t="s">
        <v>22</v>
      </c>
      <c r="H5" s="4" t="s">
        <v>25</v>
      </c>
      <c r="I5" s="4" t="s">
        <v>28</v>
      </c>
      <c r="J5" s="4" t="s">
        <v>31</v>
      </c>
      <c r="K5" s="4" t="s">
        <v>33</v>
      </c>
      <c r="L5" s="4" t="s">
        <v>34</v>
      </c>
      <c r="M5" s="4" t="s">
        <v>35</v>
      </c>
      <c r="N5" s="4" t="s">
        <v>37</v>
      </c>
      <c r="O5" s="4" t="s">
        <v>39</v>
      </c>
      <c r="P5" s="4" t="s">
        <v>40</v>
      </c>
      <c r="Q5" s="4" t="s">
        <v>41</v>
      </c>
      <c r="R5" s="4" t="s">
        <v>42</v>
      </c>
      <c r="S5" s="4" t="s">
        <v>43</v>
      </c>
      <c r="T5" s="4" t="s">
        <v>77</v>
      </c>
      <c r="U5" s="4" t="s">
        <v>75</v>
      </c>
      <c r="V5" s="4" t="s">
        <v>76</v>
      </c>
    </row>
    <row r="6" spans="1:22" x14ac:dyDescent="0.35">
      <c r="A6" s="17">
        <v>5</v>
      </c>
      <c r="B6" s="17" t="str">
        <f t="shared" si="0"/>
        <v>1</v>
      </c>
      <c r="C6" s="17" t="str">
        <f t="shared" si="0"/>
        <v>2</v>
      </c>
      <c r="D6" s="17" t="s">
        <v>70</v>
      </c>
      <c r="E6" s="17" t="s">
        <v>73</v>
      </c>
      <c r="F6" s="17" t="s">
        <v>80</v>
      </c>
      <c r="G6" s="17" t="s">
        <v>22</v>
      </c>
      <c r="H6" s="17" t="s">
        <v>25</v>
      </c>
      <c r="I6" s="17" t="s">
        <v>28</v>
      </c>
      <c r="J6" s="17" t="s">
        <v>31</v>
      </c>
      <c r="K6" s="17" t="s">
        <v>33</v>
      </c>
      <c r="L6" s="17" t="s">
        <v>34</v>
      </c>
      <c r="M6" s="17" t="s">
        <v>35</v>
      </c>
      <c r="N6" s="17" t="s">
        <v>37</v>
      </c>
      <c r="O6" s="17" t="s">
        <v>39</v>
      </c>
      <c r="P6" s="17" t="s">
        <v>40</v>
      </c>
      <c r="Q6" s="17" t="s">
        <v>41</v>
      </c>
      <c r="R6" s="17" t="s">
        <v>42</v>
      </c>
      <c r="S6" s="17" t="s">
        <v>43</v>
      </c>
      <c r="T6" s="17" t="s">
        <v>77</v>
      </c>
      <c r="U6" s="17" t="s">
        <v>81</v>
      </c>
      <c r="V6" s="17" t="s">
        <v>82</v>
      </c>
    </row>
    <row r="7" spans="1:22" x14ac:dyDescent="0.35">
      <c r="A7" s="4">
        <v>6</v>
      </c>
      <c r="B7" s="19"/>
      <c r="C7" s="19"/>
      <c r="D7" s="19"/>
      <c r="E7" s="19"/>
      <c r="F7" s="4" t="s">
        <v>19</v>
      </c>
      <c r="G7" s="4" t="s">
        <v>85</v>
      </c>
      <c r="H7" s="4" t="s">
        <v>84</v>
      </c>
      <c r="I7" s="4" t="s">
        <v>44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83294-2AC6-41F5-BC40-5AC61773DE7E}">
  <sheetPr codeName="Sheet6"/>
  <dimension ref="A1:V7"/>
  <sheetViews>
    <sheetView workbookViewId="0"/>
  </sheetViews>
  <sheetFormatPr defaultRowHeight="14.5" x14ac:dyDescent="0.35"/>
  <cols>
    <col min="1" max="22" width="4.54296875" bestFit="1" customWidth="1"/>
  </cols>
  <sheetData>
    <row r="1" spans="1:22" x14ac:dyDescent="0.35">
      <c r="A1" s="21"/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21">
        <v>15</v>
      </c>
      <c r="Q1" s="21">
        <v>16</v>
      </c>
      <c r="R1" s="21">
        <v>17</v>
      </c>
      <c r="S1" s="21">
        <v>18</v>
      </c>
      <c r="T1" s="21">
        <v>19</v>
      </c>
      <c r="U1" s="21">
        <v>20</v>
      </c>
      <c r="V1" s="21">
        <v>21</v>
      </c>
    </row>
    <row r="2" spans="1:22" x14ac:dyDescent="0.35">
      <c r="A2" s="21">
        <v>1</v>
      </c>
      <c r="F2" s="21">
        <v>351</v>
      </c>
      <c r="G2" s="21">
        <v>1</v>
      </c>
      <c r="H2" s="21">
        <v>2</v>
      </c>
      <c r="I2" s="21">
        <v>11</v>
      </c>
      <c r="J2" s="21">
        <v>1</v>
      </c>
      <c r="K2" s="21">
        <v>81</v>
      </c>
      <c r="L2" s="21">
        <v>1</v>
      </c>
      <c r="M2" s="21">
        <v>1</v>
      </c>
      <c r="N2" s="21">
        <v>1</v>
      </c>
      <c r="O2" s="21">
        <v>1</v>
      </c>
      <c r="P2" s="21">
        <v>1</v>
      </c>
      <c r="Q2" s="21">
        <v>1</v>
      </c>
      <c r="R2" s="21">
        <v>1</v>
      </c>
      <c r="S2" s="21">
        <v>1</v>
      </c>
      <c r="T2" s="21">
        <v>4</v>
      </c>
      <c r="U2" s="17"/>
      <c r="V2" s="17"/>
    </row>
    <row r="3" spans="1:22" x14ac:dyDescent="0.35">
      <c r="A3" s="21">
        <v>2</v>
      </c>
      <c r="F3" s="17">
        <v>5</v>
      </c>
      <c r="G3" s="17">
        <v>4</v>
      </c>
      <c r="H3" s="17">
        <v>3</v>
      </c>
      <c r="I3" s="17">
        <v>2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</row>
    <row r="4" spans="1:22" x14ac:dyDescent="0.35">
      <c r="A4" s="21">
        <v>3</v>
      </c>
    </row>
    <row r="5" spans="1:22" x14ac:dyDescent="0.35">
      <c r="A5" s="21">
        <v>4</v>
      </c>
    </row>
    <row r="6" spans="1:22" x14ac:dyDescent="0.35">
      <c r="A6" s="21">
        <v>5</v>
      </c>
    </row>
    <row r="7" spans="1:22" x14ac:dyDescent="0.35">
      <c r="A7" s="21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8836-1330-4D80-B4FC-A106C87C4625}">
  <sheetPr codeName="Sheet1"/>
  <dimension ref="A1:I30"/>
  <sheetViews>
    <sheetView workbookViewId="0"/>
  </sheetViews>
  <sheetFormatPr defaultRowHeight="14.5" x14ac:dyDescent="0.35"/>
  <cols>
    <col min="2" max="2" width="23.54296875" bestFit="1" customWidth="1"/>
    <col min="3" max="3" width="28.7265625" customWidth="1"/>
    <col min="4" max="5" width="14.26953125" customWidth="1"/>
    <col min="6" max="6" width="22" bestFit="1" customWidth="1"/>
    <col min="7" max="7" width="38.54296875" bestFit="1" customWidth="1"/>
    <col min="9" max="9" width="72.81640625" customWidth="1"/>
  </cols>
  <sheetData>
    <row r="1" spans="1:9" ht="30.75" customHeight="1" x14ac:dyDescent="0.35">
      <c r="A1" s="1" t="s">
        <v>0</v>
      </c>
      <c r="B1" s="48" t="s">
        <v>1</v>
      </c>
      <c r="C1" s="49"/>
      <c r="D1" s="49"/>
      <c r="E1" s="49"/>
      <c r="F1" s="49"/>
      <c r="G1" s="49"/>
    </row>
    <row r="3" spans="1:9" x14ac:dyDescent="0.35">
      <c r="A3" t="s">
        <v>2</v>
      </c>
    </row>
    <row r="4" spans="1:9" x14ac:dyDescent="0.35">
      <c r="H4" s="2" t="s">
        <v>3</v>
      </c>
      <c r="I4" t="s">
        <v>4</v>
      </c>
    </row>
    <row r="5" spans="1:9" x14ac:dyDescent="0.35">
      <c r="B5" t="s">
        <v>5</v>
      </c>
      <c r="C5" s="3" t="s">
        <v>6</v>
      </c>
      <c r="D5" t="s">
        <v>64</v>
      </c>
      <c r="I5" t="s">
        <v>7</v>
      </c>
    </row>
    <row r="6" spans="1:9" x14ac:dyDescent="0.35">
      <c r="B6" t="s">
        <v>8</v>
      </c>
      <c r="C6" s="3"/>
      <c r="I6" t="s">
        <v>65</v>
      </c>
    </row>
    <row r="7" spans="1:9" x14ac:dyDescent="0.35">
      <c r="B7" t="s">
        <v>9</v>
      </c>
      <c r="C7" s="3" t="s">
        <v>10</v>
      </c>
    </row>
    <row r="8" spans="1:9" x14ac:dyDescent="0.35">
      <c r="B8" t="s">
        <v>11</v>
      </c>
      <c r="C8" s="3" t="s">
        <v>48</v>
      </c>
    </row>
    <row r="10" spans="1:9" x14ac:dyDescent="0.35">
      <c r="B10" t="s">
        <v>12</v>
      </c>
    </row>
    <row r="11" spans="1:9" x14ac:dyDescent="0.35">
      <c r="B11" t="s">
        <v>13</v>
      </c>
    </row>
    <row r="13" spans="1:9" x14ac:dyDescent="0.35">
      <c r="C13" s="4"/>
      <c r="D13" s="4"/>
      <c r="E13" s="4"/>
    </row>
    <row r="14" spans="1:9" x14ac:dyDescent="0.35">
      <c r="B14" s="5"/>
      <c r="C14" s="6"/>
      <c r="D14" s="6" t="s">
        <v>14</v>
      </c>
      <c r="E14" s="6"/>
      <c r="F14" s="6" t="s">
        <v>15</v>
      </c>
      <c r="G14" s="6" t="s">
        <v>16</v>
      </c>
      <c r="I14" s="7" t="s">
        <v>17</v>
      </c>
    </row>
    <row r="15" spans="1:9" x14ac:dyDescent="0.35">
      <c r="B15" t="s">
        <v>18</v>
      </c>
      <c r="C15" s="4" t="s">
        <v>19</v>
      </c>
      <c r="D15" s="4">
        <v>351</v>
      </c>
      <c r="E15" s="8" t="s">
        <v>4</v>
      </c>
      <c r="F15" s="8" t="s">
        <v>42</v>
      </c>
      <c r="G15" s="9" t="s">
        <v>20</v>
      </c>
      <c r="I15" t="s">
        <v>21</v>
      </c>
    </row>
    <row r="16" spans="1:9" x14ac:dyDescent="0.35">
      <c r="C16" s="4" t="s">
        <v>22</v>
      </c>
      <c r="D16" s="4">
        <v>1</v>
      </c>
      <c r="E16" s="3" t="s">
        <v>7</v>
      </c>
      <c r="F16" s="3"/>
      <c r="G16" s="9" t="s">
        <v>23</v>
      </c>
      <c r="I16" t="s">
        <v>24</v>
      </c>
    </row>
    <row r="17" spans="2:9" x14ac:dyDescent="0.35">
      <c r="C17" s="4" t="s">
        <v>25</v>
      </c>
      <c r="D17" s="4">
        <v>2</v>
      </c>
      <c r="E17" s="3" t="s">
        <v>4</v>
      </c>
      <c r="F17" s="3">
        <v>0</v>
      </c>
      <c r="G17" s="9" t="s">
        <v>26</v>
      </c>
      <c r="I17" t="s">
        <v>27</v>
      </c>
    </row>
    <row r="18" spans="2:9" x14ac:dyDescent="0.35">
      <c r="C18" s="4" t="s">
        <v>28</v>
      </c>
      <c r="D18" s="4">
        <v>11</v>
      </c>
      <c r="E18" s="3" t="s">
        <v>66</v>
      </c>
      <c r="F18" s="3"/>
      <c r="G18" s="9" t="s">
        <v>63</v>
      </c>
      <c r="I18" t="s">
        <v>30</v>
      </c>
    </row>
    <row r="19" spans="2:9" x14ac:dyDescent="0.35">
      <c r="C19" s="4" t="s">
        <v>31</v>
      </c>
      <c r="D19" s="4">
        <v>1</v>
      </c>
      <c r="E19" s="3"/>
      <c r="F19" s="3"/>
      <c r="G19" s="9"/>
      <c r="I19" t="s">
        <v>32</v>
      </c>
    </row>
    <row r="20" spans="2:9" x14ac:dyDescent="0.35">
      <c r="C20" s="4" t="s">
        <v>33</v>
      </c>
      <c r="D20" s="4">
        <v>81</v>
      </c>
      <c r="E20" s="3" t="s">
        <v>7</v>
      </c>
      <c r="F20" s="3"/>
      <c r="G20" s="9" t="s">
        <v>63</v>
      </c>
    </row>
    <row r="21" spans="2:9" x14ac:dyDescent="0.35">
      <c r="C21" s="4" t="s">
        <v>34</v>
      </c>
      <c r="D21" s="4">
        <v>1</v>
      </c>
      <c r="E21" s="3"/>
      <c r="F21" s="3"/>
      <c r="G21" s="9"/>
    </row>
    <row r="22" spans="2:9" x14ac:dyDescent="0.35">
      <c r="C22" s="4" t="s">
        <v>35</v>
      </c>
      <c r="D22" s="4">
        <v>1</v>
      </c>
      <c r="E22" s="3"/>
      <c r="F22" s="3"/>
      <c r="G22" s="9"/>
      <c r="I22" t="s">
        <v>36</v>
      </c>
    </row>
    <row r="23" spans="2:9" x14ac:dyDescent="0.35">
      <c r="C23" s="4" t="s">
        <v>37</v>
      </c>
      <c r="D23" s="4">
        <v>1</v>
      </c>
      <c r="E23" s="3"/>
      <c r="F23" s="3"/>
      <c r="G23" s="9"/>
      <c r="I23" t="s">
        <v>38</v>
      </c>
    </row>
    <row r="24" spans="2:9" x14ac:dyDescent="0.35">
      <c r="C24" s="4" t="s">
        <v>39</v>
      </c>
      <c r="D24" s="4">
        <v>1</v>
      </c>
      <c r="E24" s="3"/>
      <c r="F24" s="3"/>
      <c r="G24" s="9"/>
    </row>
    <row r="25" spans="2:9" x14ac:dyDescent="0.35">
      <c r="C25" s="4" t="s">
        <v>40</v>
      </c>
      <c r="D25" s="4">
        <v>1</v>
      </c>
      <c r="E25" s="3"/>
      <c r="F25" s="3"/>
      <c r="G25" s="9"/>
    </row>
    <row r="26" spans="2:9" x14ac:dyDescent="0.35">
      <c r="C26" s="4" t="s">
        <v>41</v>
      </c>
      <c r="D26" s="4">
        <v>1</v>
      </c>
      <c r="E26" s="3"/>
      <c r="F26" s="3"/>
      <c r="G26" s="9"/>
    </row>
    <row r="27" spans="2:9" x14ac:dyDescent="0.35">
      <c r="C27" s="4" t="s">
        <v>42</v>
      </c>
      <c r="D27" s="4">
        <v>1</v>
      </c>
      <c r="E27" s="3"/>
      <c r="F27" s="3"/>
      <c r="G27" s="9"/>
    </row>
    <row r="28" spans="2:9" x14ac:dyDescent="0.35">
      <c r="C28" s="4" t="s">
        <v>43</v>
      </c>
      <c r="D28" s="4">
        <v>1</v>
      </c>
      <c r="E28" s="3"/>
      <c r="F28" s="3"/>
      <c r="G28" s="9"/>
    </row>
    <row r="29" spans="2:9" x14ac:dyDescent="0.35">
      <c r="C29" s="4" t="s">
        <v>44</v>
      </c>
      <c r="D29" s="4">
        <v>4</v>
      </c>
      <c r="E29" s="10" t="s">
        <v>4</v>
      </c>
      <c r="F29" s="10"/>
      <c r="G29" s="9" t="s">
        <v>67</v>
      </c>
    </row>
    <row r="30" spans="2:9" x14ac:dyDescent="0.35">
      <c r="B30" s="11"/>
      <c r="C30" s="11"/>
      <c r="D30" s="11"/>
      <c r="E30" s="11"/>
      <c r="F30" s="11"/>
      <c r="G30" s="11"/>
    </row>
  </sheetData>
  <mergeCells count="1">
    <mergeCell ref="B1:G1"/>
  </mergeCells>
  <conditionalFormatting sqref="E15:F29">
    <cfRule type="expression" dxfId="6" priority="1">
      <formula>($D15=1)</formula>
    </cfRule>
  </conditionalFormatting>
  <conditionalFormatting sqref="F15:F29">
    <cfRule type="expression" dxfId="5" priority="2">
      <formula>($E15=$I$5)</formula>
    </cfRule>
  </conditionalFormatting>
  <dataValidations disablePrompts="1" count="2">
    <dataValidation type="list" allowBlank="1" showInputMessage="1" sqref="E15:E29 F20" xr:uid="{6D799B06-A7C5-441B-AD1D-5ACFFA6B635E}">
      <formula1>$I$4:$I$5</formula1>
    </dataValidation>
    <dataValidation allowBlank="1" showInputMessage="1" sqref="F15:F19 F21:F29" xr:uid="{F9F7E612-D15C-459C-B61C-25F9EC698553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FFB58-46FC-40A0-B449-B4ACCA7C8494}">
  <sheetPr codeName="Sheet2"/>
  <dimension ref="A1:I30"/>
  <sheetViews>
    <sheetView workbookViewId="0"/>
  </sheetViews>
  <sheetFormatPr defaultRowHeight="14.5" x14ac:dyDescent="0.35"/>
  <cols>
    <col min="2" max="2" width="23.54296875" bestFit="1" customWidth="1"/>
    <col min="3" max="3" width="28.7265625" customWidth="1"/>
    <col min="4" max="5" width="14.26953125" customWidth="1"/>
    <col min="6" max="6" width="22" bestFit="1" customWidth="1"/>
    <col min="7" max="7" width="38.54296875" bestFit="1" customWidth="1"/>
    <col min="9" max="9" width="72.81640625" customWidth="1"/>
  </cols>
  <sheetData>
    <row r="1" spans="1:9" ht="31.5" customHeight="1" x14ac:dyDescent="0.35">
      <c r="A1" s="1" t="s">
        <v>0</v>
      </c>
      <c r="B1" s="48" t="s">
        <v>46</v>
      </c>
      <c r="C1" s="49"/>
      <c r="D1" s="49"/>
      <c r="E1" s="49"/>
      <c r="F1" s="49"/>
      <c r="G1" s="49"/>
    </row>
    <row r="3" spans="1:9" x14ac:dyDescent="0.35">
      <c r="A3" t="s">
        <v>2</v>
      </c>
    </row>
    <row r="4" spans="1:9" x14ac:dyDescent="0.35">
      <c r="H4" s="2" t="s">
        <v>3</v>
      </c>
      <c r="I4" t="s">
        <v>4</v>
      </c>
    </row>
    <row r="5" spans="1:9" x14ac:dyDescent="0.35">
      <c r="B5" t="s">
        <v>5</v>
      </c>
      <c r="C5" s="3" t="s">
        <v>6</v>
      </c>
      <c r="I5" t="s">
        <v>7</v>
      </c>
    </row>
    <row r="6" spans="1:9" x14ac:dyDescent="0.35">
      <c r="B6" t="s">
        <v>8</v>
      </c>
      <c r="C6" s="3"/>
      <c r="I6" t="s">
        <v>66</v>
      </c>
    </row>
    <row r="7" spans="1:9" x14ac:dyDescent="0.35">
      <c r="B7" t="s">
        <v>9</v>
      </c>
      <c r="C7" s="3" t="s">
        <v>47</v>
      </c>
    </row>
    <row r="8" spans="1:9" x14ac:dyDescent="0.35">
      <c r="B8" t="s">
        <v>11</v>
      </c>
      <c r="C8" s="3" t="s">
        <v>48</v>
      </c>
    </row>
    <row r="10" spans="1:9" x14ac:dyDescent="0.35">
      <c r="B10" t="s">
        <v>12</v>
      </c>
    </row>
    <row r="11" spans="1:9" x14ac:dyDescent="0.35">
      <c r="B11" t="s">
        <v>13</v>
      </c>
    </row>
    <row r="13" spans="1:9" x14ac:dyDescent="0.35">
      <c r="C13" s="4"/>
      <c r="D13" s="4"/>
      <c r="E13" s="4"/>
    </row>
    <row r="14" spans="1:9" x14ac:dyDescent="0.35">
      <c r="B14" s="5"/>
      <c r="C14" s="6"/>
      <c r="D14" s="6" t="s">
        <v>14</v>
      </c>
      <c r="E14" s="6"/>
      <c r="F14" s="6" t="s">
        <v>15</v>
      </c>
      <c r="G14" s="6" t="s">
        <v>16</v>
      </c>
      <c r="I14" s="7" t="s">
        <v>17</v>
      </c>
    </row>
    <row r="15" spans="1:9" x14ac:dyDescent="0.35">
      <c r="B15" t="s">
        <v>18</v>
      </c>
      <c r="C15" s="4" t="s">
        <v>19</v>
      </c>
      <c r="D15" s="4">
        <v>351</v>
      </c>
      <c r="E15" s="8" t="s">
        <v>4</v>
      </c>
      <c r="F15" s="8" t="s">
        <v>42</v>
      </c>
      <c r="G15" s="9" t="s">
        <v>20</v>
      </c>
      <c r="I15" t="s">
        <v>21</v>
      </c>
    </row>
    <row r="16" spans="1:9" x14ac:dyDescent="0.35">
      <c r="C16" s="4" t="s">
        <v>22</v>
      </c>
      <c r="D16" s="4">
        <v>1</v>
      </c>
      <c r="E16" s="3" t="s">
        <v>7</v>
      </c>
      <c r="F16" s="3"/>
      <c r="G16" s="9" t="s">
        <v>23</v>
      </c>
      <c r="I16" t="s">
        <v>24</v>
      </c>
    </row>
    <row r="17" spans="2:9" x14ac:dyDescent="0.35">
      <c r="C17" s="4" t="s">
        <v>25</v>
      </c>
      <c r="D17" s="4">
        <v>2</v>
      </c>
      <c r="E17" s="3" t="s">
        <v>4</v>
      </c>
      <c r="F17" s="3">
        <v>0</v>
      </c>
      <c r="G17" s="9" t="s">
        <v>26</v>
      </c>
      <c r="I17" t="s">
        <v>27</v>
      </c>
    </row>
    <row r="18" spans="2:9" x14ac:dyDescent="0.35">
      <c r="C18" s="4" t="s">
        <v>28</v>
      </c>
      <c r="D18" s="4">
        <v>11</v>
      </c>
      <c r="E18" s="3" t="s">
        <v>7</v>
      </c>
      <c r="F18" s="3"/>
      <c r="G18" s="9" t="s">
        <v>29</v>
      </c>
      <c r="I18" t="s">
        <v>30</v>
      </c>
    </row>
    <row r="19" spans="2:9" x14ac:dyDescent="0.35">
      <c r="C19" s="4" t="s">
        <v>31</v>
      </c>
      <c r="D19" s="4">
        <v>1</v>
      </c>
      <c r="E19" s="3"/>
      <c r="F19" s="3"/>
      <c r="G19" s="9"/>
      <c r="I19" t="s">
        <v>32</v>
      </c>
    </row>
    <row r="20" spans="2:9" x14ac:dyDescent="0.35">
      <c r="C20" s="4" t="s">
        <v>33</v>
      </c>
      <c r="D20" s="4">
        <v>81</v>
      </c>
      <c r="E20" s="3" t="s">
        <v>4</v>
      </c>
      <c r="F20" s="3" t="s">
        <v>49</v>
      </c>
      <c r="G20" s="9" t="s">
        <v>50</v>
      </c>
    </row>
    <row r="21" spans="2:9" x14ac:dyDescent="0.35">
      <c r="C21" s="4" t="s">
        <v>34</v>
      </c>
      <c r="D21" s="4">
        <v>1</v>
      </c>
      <c r="E21" s="3"/>
      <c r="F21" s="3"/>
      <c r="G21" s="9"/>
    </row>
    <row r="22" spans="2:9" x14ac:dyDescent="0.35">
      <c r="C22" s="4" t="s">
        <v>35</v>
      </c>
      <c r="D22" s="4">
        <v>1</v>
      </c>
      <c r="E22" s="3"/>
      <c r="F22" s="3"/>
      <c r="G22" s="9"/>
      <c r="I22" t="s">
        <v>36</v>
      </c>
    </row>
    <row r="23" spans="2:9" x14ac:dyDescent="0.35">
      <c r="C23" s="4" t="s">
        <v>37</v>
      </c>
      <c r="D23" s="4">
        <v>1</v>
      </c>
      <c r="E23" s="3"/>
      <c r="F23" s="3"/>
      <c r="G23" s="9"/>
      <c r="I23" t="s">
        <v>38</v>
      </c>
    </row>
    <row r="24" spans="2:9" x14ac:dyDescent="0.35">
      <c r="C24" s="4" t="s">
        <v>39</v>
      </c>
      <c r="D24" s="4">
        <v>1</v>
      </c>
      <c r="E24" s="3"/>
      <c r="F24" s="3"/>
      <c r="G24" s="9"/>
    </row>
    <row r="25" spans="2:9" x14ac:dyDescent="0.35">
      <c r="C25" s="4" t="s">
        <v>40</v>
      </c>
      <c r="D25" s="4">
        <v>1</v>
      </c>
      <c r="E25" s="3"/>
      <c r="F25" s="3"/>
      <c r="G25" s="9"/>
    </row>
    <row r="26" spans="2:9" x14ac:dyDescent="0.35">
      <c r="C26" s="4" t="s">
        <v>41</v>
      </c>
      <c r="D26" s="4">
        <v>1</v>
      </c>
      <c r="E26" s="3"/>
      <c r="F26" s="3"/>
      <c r="G26" s="9"/>
    </row>
    <row r="27" spans="2:9" x14ac:dyDescent="0.35">
      <c r="C27" s="4" t="s">
        <v>42</v>
      </c>
      <c r="D27" s="4">
        <v>1</v>
      </c>
      <c r="E27" s="3"/>
      <c r="F27" s="3"/>
      <c r="G27" s="9"/>
    </row>
    <row r="28" spans="2:9" x14ac:dyDescent="0.35">
      <c r="C28" s="4" t="s">
        <v>43</v>
      </c>
      <c r="D28" s="4">
        <v>1</v>
      </c>
      <c r="E28" s="3"/>
      <c r="F28" s="3"/>
      <c r="G28" s="9"/>
    </row>
    <row r="29" spans="2:9" x14ac:dyDescent="0.35">
      <c r="C29" s="4" t="s">
        <v>44</v>
      </c>
      <c r="D29" s="4">
        <v>4</v>
      </c>
      <c r="E29" s="10" t="s">
        <v>4</v>
      </c>
      <c r="F29" s="10" t="s">
        <v>51</v>
      </c>
      <c r="G29" s="9" t="s">
        <v>52</v>
      </c>
    </row>
    <row r="30" spans="2:9" x14ac:dyDescent="0.35">
      <c r="B30" s="11"/>
      <c r="C30" s="11"/>
      <c r="D30" s="11"/>
      <c r="E30" s="11"/>
      <c r="F30" s="11"/>
      <c r="G30" s="11"/>
    </row>
  </sheetData>
  <mergeCells count="1">
    <mergeCell ref="B1:G1"/>
  </mergeCells>
  <conditionalFormatting sqref="E15:F29">
    <cfRule type="expression" dxfId="4" priority="1">
      <formula>($D15=1)</formula>
    </cfRule>
  </conditionalFormatting>
  <conditionalFormatting sqref="F15:F29">
    <cfRule type="expression" dxfId="3" priority="2">
      <formula>($E15=$I$5)</formula>
    </cfRule>
  </conditionalFormatting>
  <dataValidations count="2">
    <dataValidation type="list" allowBlank="1" showInputMessage="1" sqref="E15:E29 F20" xr:uid="{C4F3B1B9-C75E-4CE1-BCD5-5E162CB0BBF6}">
      <formula1>$I$4:$I$5</formula1>
    </dataValidation>
    <dataValidation allowBlank="1" showInputMessage="1" sqref="F15:F19 F21:F29" xr:uid="{CAF52CB1-C850-4333-9CE4-878C84E5E75F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B287-9776-4EF6-84B5-B0A35155BFC0}">
  <sheetPr codeName="Sheet3"/>
  <dimension ref="A1:I30"/>
  <sheetViews>
    <sheetView workbookViewId="0"/>
  </sheetViews>
  <sheetFormatPr defaultRowHeight="14.5" x14ac:dyDescent="0.35"/>
  <cols>
    <col min="2" max="2" width="23.54296875" bestFit="1" customWidth="1"/>
    <col min="3" max="3" width="28.7265625" customWidth="1"/>
    <col min="4" max="5" width="14.26953125" customWidth="1"/>
    <col min="6" max="6" width="22" bestFit="1" customWidth="1"/>
    <col min="7" max="7" width="38.54296875" bestFit="1" customWidth="1"/>
    <col min="9" max="9" width="72.81640625" customWidth="1"/>
  </cols>
  <sheetData>
    <row r="1" spans="1:9" ht="31.5" customHeight="1" x14ac:dyDescent="0.35">
      <c r="A1" s="1" t="s">
        <v>0</v>
      </c>
      <c r="B1" s="48" t="s">
        <v>53</v>
      </c>
      <c r="C1" s="49"/>
      <c r="D1" s="49"/>
      <c r="E1" s="49"/>
      <c r="F1" s="49"/>
      <c r="G1" s="49"/>
    </row>
    <row r="3" spans="1:9" x14ac:dyDescent="0.35">
      <c r="A3" t="s">
        <v>2</v>
      </c>
    </row>
    <row r="4" spans="1:9" x14ac:dyDescent="0.35">
      <c r="H4" s="2" t="s">
        <v>3</v>
      </c>
      <c r="I4" t="s">
        <v>4</v>
      </c>
    </row>
    <row r="5" spans="1:9" x14ac:dyDescent="0.35">
      <c r="B5" t="s">
        <v>5</v>
      </c>
      <c r="C5" s="3" t="s">
        <v>54</v>
      </c>
      <c r="I5" t="s">
        <v>7</v>
      </c>
    </row>
    <row r="6" spans="1:9" x14ac:dyDescent="0.35">
      <c r="B6" t="s">
        <v>8</v>
      </c>
      <c r="C6" s="3" t="s">
        <v>55</v>
      </c>
    </row>
    <row r="7" spans="1:9" x14ac:dyDescent="0.35">
      <c r="B7" t="s">
        <v>9</v>
      </c>
      <c r="C7" s="3" t="s">
        <v>56</v>
      </c>
      <c r="D7" s="9" t="s">
        <v>57</v>
      </c>
    </row>
    <row r="8" spans="1:9" x14ac:dyDescent="0.35">
      <c r="B8" t="s">
        <v>11</v>
      </c>
      <c r="C8" s="3" t="s">
        <v>58</v>
      </c>
    </row>
    <row r="10" spans="1:9" x14ac:dyDescent="0.35">
      <c r="B10" t="s">
        <v>12</v>
      </c>
    </row>
    <row r="11" spans="1:9" x14ac:dyDescent="0.35">
      <c r="B11" t="s">
        <v>13</v>
      </c>
    </row>
    <row r="13" spans="1:9" x14ac:dyDescent="0.35">
      <c r="C13" s="4"/>
      <c r="D13" s="4"/>
      <c r="E13" s="4"/>
    </row>
    <row r="14" spans="1:9" x14ac:dyDescent="0.35">
      <c r="B14" s="5"/>
      <c r="C14" s="6"/>
      <c r="D14" s="6" t="s">
        <v>14</v>
      </c>
      <c r="E14" s="6"/>
      <c r="F14" s="6" t="s">
        <v>15</v>
      </c>
      <c r="G14" s="6" t="s">
        <v>16</v>
      </c>
      <c r="I14" s="7" t="s">
        <v>17</v>
      </c>
    </row>
    <row r="15" spans="1:9" x14ac:dyDescent="0.35">
      <c r="B15" t="s">
        <v>18</v>
      </c>
      <c r="C15" s="4" t="s">
        <v>19</v>
      </c>
      <c r="D15" s="4">
        <v>228</v>
      </c>
      <c r="E15" s="8" t="s">
        <v>4</v>
      </c>
      <c r="F15" s="8" t="s">
        <v>62</v>
      </c>
      <c r="G15" s="9" t="s">
        <v>59</v>
      </c>
      <c r="I15" t="s">
        <v>21</v>
      </c>
    </row>
    <row r="16" spans="1:9" x14ac:dyDescent="0.35">
      <c r="C16" s="4" t="s">
        <v>22</v>
      </c>
      <c r="D16" s="4">
        <v>1</v>
      </c>
      <c r="E16" s="3"/>
      <c r="F16" s="3"/>
      <c r="G16" s="9"/>
      <c r="I16" t="s">
        <v>24</v>
      </c>
    </row>
    <row r="17" spans="2:9" x14ac:dyDescent="0.35">
      <c r="C17" s="4" t="s">
        <v>25</v>
      </c>
      <c r="D17" s="4">
        <v>1</v>
      </c>
      <c r="E17" s="3"/>
      <c r="F17" s="3"/>
      <c r="G17" s="9"/>
      <c r="I17" t="s">
        <v>60</v>
      </c>
    </row>
    <row r="18" spans="2:9" x14ac:dyDescent="0.35">
      <c r="C18" s="4" t="s">
        <v>28</v>
      </c>
      <c r="D18" s="4">
        <v>1</v>
      </c>
      <c r="E18" s="3"/>
      <c r="F18" s="3"/>
      <c r="G18" s="9"/>
      <c r="I18" t="s">
        <v>30</v>
      </c>
    </row>
    <row r="19" spans="2:9" x14ac:dyDescent="0.35">
      <c r="C19" s="4" t="s">
        <v>31</v>
      </c>
      <c r="D19" s="4">
        <v>1</v>
      </c>
      <c r="E19" s="3"/>
      <c r="F19" s="3"/>
      <c r="G19" s="9"/>
      <c r="I19" t="s">
        <v>32</v>
      </c>
    </row>
    <row r="20" spans="2:9" x14ac:dyDescent="0.35">
      <c r="B20">
        <f>D20*D23*D25*D26*D27</f>
        <v>5832</v>
      </c>
      <c r="C20" s="4" t="s">
        <v>33</v>
      </c>
      <c r="D20" s="4">
        <v>81</v>
      </c>
      <c r="E20" s="3" t="s">
        <v>4</v>
      </c>
      <c r="F20" s="3"/>
      <c r="G20" s="9" t="s">
        <v>45</v>
      </c>
    </row>
    <row r="21" spans="2:9" x14ac:dyDescent="0.35">
      <c r="C21" s="4" t="s">
        <v>34</v>
      </c>
      <c r="D21" s="4">
        <v>1</v>
      </c>
      <c r="E21" s="3"/>
      <c r="F21" s="3"/>
      <c r="G21" s="9"/>
    </row>
    <row r="22" spans="2:9" x14ac:dyDescent="0.35">
      <c r="C22" s="4" t="s">
        <v>35</v>
      </c>
      <c r="D22" s="4">
        <v>1</v>
      </c>
      <c r="E22" s="3"/>
      <c r="F22" s="3"/>
      <c r="G22" s="9"/>
      <c r="I22" t="s">
        <v>36</v>
      </c>
    </row>
    <row r="23" spans="2:9" x14ac:dyDescent="0.35">
      <c r="C23" s="4" t="s">
        <v>37</v>
      </c>
      <c r="D23" s="4">
        <v>3</v>
      </c>
      <c r="E23" s="3" t="s">
        <v>4</v>
      </c>
      <c r="F23" s="3"/>
      <c r="G23" s="9" t="s">
        <v>45</v>
      </c>
      <c r="I23" s="9" t="s">
        <v>61</v>
      </c>
    </row>
    <row r="24" spans="2:9" x14ac:dyDescent="0.35">
      <c r="C24" s="4" t="s">
        <v>39</v>
      </c>
      <c r="D24" s="4">
        <v>1</v>
      </c>
      <c r="E24" s="3"/>
      <c r="F24" s="3"/>
      <c r="G24" s="9"/>
    </row>
    <row r="25" spans="2:9" x14ac:dyDescent="0.35">
      <c r="C25" s="4" t="s">
        <v>40</v>
      </c>
      <c r="D25" s="4">
        <v>2</v>
      </c>
      <c r="E25" s="3" t="s">
        <v>4</v>
      </c>
      <c r="F25" s="3"/>
      <c r="G25" s="9" t="s">
        <v>45</v>
      </c>
    </row>
    <row r="26" spans="2:9" x14ac:dyDescent="0.35">
      <c r="C26" s="4" t="s">
        <v>41</v>
      </c>
      <c r="D26" s="4">
        <v>6</v>
      </c>
      <c r="E26" s="3" t="s">
        <v>4</v>
      </c>
      <c r="F26" s="3"/>
      <c r="G26" s="9" t="s">
        <v>45</v>
      </c>
    </row>
    <row r="27" spans="2:9" x14ac:dyDescent="0.35">
      <c r="C27" s="4" t="s">
        <v>42</v>
      </c>
      <c r="D27" s="4">
        <v>2</v>
      </c>
      <c r="E27" s="3" t="s">
        <v>4</v>
      </c>
      <c r="F27" s="3"/>
      <c r="G27" s="9" t="s">
        <v>45</v>
      </c>
    </row>
    <row r="28" spans="2:9" x14ac:dyDescent="0.35">
      <c r="C28" s="4" t="s">
        <v>43</v>
      </c>
      <c r="D28" s="4">
        <v>1</v>
      </c>
      <c r="E28" s="3"/>
      <c r="F28" s="3"/>
      <c r="G28" s="9"/>
    </row>
    <row r="29" spans="2:9" x14ac:dyDescent="0.35">
      <c r="C29" s="4" t="s">
        <v>44</v>
      </c>
      <c r="D29" s="4">
        <v>4</v>
      </c>
      <c r="E29" s="10" t="s">
        <v>4</v>
      </c>
      <c r="F29" s="10">
        <v>0</v>
      </c>
      <c r="G29" s="9" t="s">
        <v>26</v>
      </c>
    </row>
    <row r="30" spans="2:9" x14ac:dyDescent="0.35">
      <c r="B30" s="11"/>
      <c r="C30" s="11"/>
      <c r="D30" s="11"/>
      <c r="E30" s="11"/>
      <c r="F30" s="11"/>
      <c r="G30" s="11"/>
    </row>
  </sheetData>
  <mergeCells count="1">
    <mergeCell ref="B1:G1"/>
  </mergeCells>
  <conditionalFormatting sqref="E15:F22 E24:F29 E23">
    <cfRule type="expression" dxfId="2" priority="2">
      <formula>($D15=1)</formula>
    </cfRule>
  </conditionalFormatting>
  <conditionalFormatting sqref="F23">
    <cfRule type="expression" dxfId="1" priority="1">
      <formula>($D23=1)</formula>
    </cfRule>
  </conditionalFormatting>
  <conditionalFormatting sqref="F15:F29">
    <cfRule type="expression" dxfId="0" priority="3">
      <formula>($E15=$I$5)</formula>
    </cfRule>
  </conditionalFormatting>
  <dataValidations count="2">
    <dataValidation type="list" allowBlank="1" showInputMessage="1" sqref="E15:E29 F20 F23" xr:uid="{96A28DE6-B70F-466C-A926-701A8DD6F18F}">
      <formula1>$I$4:$I$5</formula1>
    </dataValidation>
    <dataValidation allowBlank="1" showInputMessage="1" sqref="F15:F19 F21:F22 F24:F29" xr:uid="{53EC6E08-70E1-4709-8B00-E2B3B1B85032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Parameters</vt:lpstr>
      <vt:lpstr>Dam LW</vt:lpstr>
      <vt:lpstr>Headers</vt:lpstr>
      <vt:lpstr>Dimensions</vt:lpstr>
      <vt:lpstr>Basic</vt:lpstr>
      <vt:lpstr>Intermediate</vt:lpstr>
      <vt:lpstr>Advanced</vt:lpstr>
      <vt:lpstr>'Dam LW'!Axes</vt:lpstr>
      <vt:lpstr>Axes</vt:lpstr>
      <vt:lpstr>'Dam LW'!Dimensions</vt:lpstr>
      <vt:lpstr>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Michael Young (21512438)</cp:lastModifiedBy>
  <cp:lastPrinted>2020-11-25T13:26:33Z</cp:lastPrinted>
  <dcterms:created xsi:type="dcterms:W3CDTF">2020-11-21T12:44:46Z</dcterms:created>
  <dcterms:modified xsi:type="dcterms:W3CDTF">2020-12-05T03:52:12Z</dcterms:modified>
</cp:coreProperties>
</file>