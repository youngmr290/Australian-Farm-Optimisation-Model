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AFO\"/>
    </mc:Choice>
  </mc:AlternateContent>
  <xr:revisionPtr revIDLastSave="0" documentId="13_ncr:1_{44D9C9DE-C505-4E83-B4FF-D4AAD26CC7EC}" xr6:coauthVersionLast="46" xr6:coauthVersionMax="46" xr10:uidLastSave="{00000000-0000-0000-0000-000000000000}"/>
  <bookViews>
    <workbookView xWindow="29535" yWindow="300" windowWidth="28305" windowHeight="14565" xr2:uid="{92F76B5C-EE3B-4928-B619-32EB52950B18}"/>
  </bookViews>
  <sheets>
    <sheet name="Sheet1" sheetId="1" r:id="rId1"/>
    <sheet name="Description" sheetId="2" r:id="rId2"/>
  </sheets>
  <definedNames>
    <definedName name="_xlnm._FilterDatabase" localSheetId="0" hidden="1">Sheet1!$F$4:$AR$4</definedName>
    <definedName name="ExpData">Sheet1!$B$5:$AS$47</definedName>
  </definedNames>
  <calcPr calcId="19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7" i="1" l="1"/>
  <c r="E4" i="1"/>
  <c r="D4" i="1"/>
  <c r="C4" i="1" l="1"/>
  <c r="B42" i="1"/>
  <c r="B46" i="1"/>
  <c r="B45" i="1"/>
  <c r="B44" i="1"/>
  <c r="B43" i="1"/>
  <c r="B41" i="1"/>
  <c r="V5" i="1" a="1"/>
  <c r="V5" i="1" s="1"/>
  <c r="T5" i="1" a="1"/>
  <c r="T5" i="1" s="1"/>
  <c r="T47" i="1" s="1"/>
  <c r="R5" i="1" a="1"/>
  <c r="R5" i="1" s="1"/>
  <c r="R47" i="1" s="1"/>
  <c r="P5" i="1" a="1"/>
  <c r="P5" i="1" s="1"/>
  <c r="P47" i="1" s="1"/>
  <c r="V7" i="1" l="1"/>
  <c r="V8" i="1" s="1"/>
  <c r="V9" i="1" s="1"/>
  <c r="V10" i="1" s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7" i="1"/>
  <c r="P7" i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6" i="1"/>
  <c r="R7" i="1"/>
  <c r="R8" i="1" s="1"/>
  <c r="R9" i="1" s="1"/>
  <c r="R10" i="1" s="1"/>
  <c r="R11" i="1" s="1"/>
  <c r="R12" i="1" s="1"/>
  <c r="R13" i="1" s="1"/>
  <c r="R14" i="1" s="1"/>
  <c r="R15" i="1" s="1"/>
  <c r="R16" i="1" s="1"/>
  <c r="R17" i="1" s="1"/>
  <c r="R18" i="1" s="1"/>
  <c r="R19" i="1" s="1"/>
  <c r="R20" i="1" s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6" i="1"/>
  <c r="T7" i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6" i="1"/>
  <c r="V6" i="1"/>
  <c r="AA5" i="1" l="1" a="1"/>
  <c r="AA5" i="1" s="1"/>
  <c r="AA47" i="1" s="1"/>
  <c r="AB5" i="1" a="1"/>
  <c r="AB5" i="1" s="1"/>
  <c r="AB47" i="1" s="1"/>
  <c r="AA7" i="1" l="1"/>
  <c r="AA8" i="1" s="1"/>
  <c r="AA9" i="1" s="1"/>
  <c r="AA10" i="1" s="1"/>
  <c r="AA11" i="1" s="1"/>
  <c r="AA12" i="1" s="1"/>
  <c r="AA13" i="1" s="1"/>
  <c r="AA14" i="1" s="1"/>
  <c r="AA15" i="1" s="1"/>
  <c r="AA16" i="1" s="1"/>
  <c r="AA17" i="1" s="1"/>
  <c r="AA18" i="1" s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6" i="1"/>
  <c r="AA37" i="1"/>
  <c r="AA36" i="1"/>
  <c r="AA38" i="1"/>
  <c r="AA35" i="1"/>
  <c r="AB38" i="1"/>
  <c r="AB6" i="1"/>
  <c r="AB37" i="1"/>
  <c r="AB36" i="1"/>
  <c r="AB35" i="1"/>
  <c r="AB7" i="1"/>
  <c r="AB8" i="1" s="1"/>
  <c r="AB9" i="1" s="1"/>
  <c r="AB10" i="1" s="1"/>
  <c r="AB11" i="1" s="1"/>
  <c r="AB12" i="1" s="1"/>
  <c r="AB13" i="1" s="1"/>
  <c r="AB14" i="1" s="1"/>
  <c r="AB15" i="1" s="1"/>
  <c r="AB16" i="1" s="1"/>
  <c r="AB17" i="1" s="1"/>
  <c r="AB18" i="1" s="1"/>
  <c r="AB19" i="1" s="1"/>
  <c r="AB20" i="1" s="1"/>
  <c r="AB21" i="1" s="1"/>
  <c r="AB22" i="1" s="1"/>
  <c r="AB23" i="1" s="1"/>
  <c r="AB24" i="1" s="1"/>
  <c r="AB25" i="1" s="1"/>
  <c r="AB26" i="1" s="1"/>
  <c r="AB27" i="1" s="1"/>
  <c r="AB28" i="1" s="1"/>
  <c r="AB29" i="1" s="1"/>
  <c r="AB30" i="1" s="1"/>
  <c r="AB31" i="1" s="1"/>
  <c r="AB32" i="1" s="1"/>
  <c r="AB33" i="1" s="1"/>
  <c r="AB34" i="1" s="1"/>
  <c r="B40" i="1" l="1"/>
  <c r="B6" i="1" l="1"/>
  <c r="H5" i="1" a="1"/>
  <c r="H5" i="1" s="1"/>
  <c r="H6" i="1" l="1"/>
  <c r="H47" i="1"/>
  <c r="H7" i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8" i="1"/>
  <c r="H34" i="1"/>
  <c r="H31" i="1"/>
  <c r="H33" i="1"/>
  <c r="H32" i="1"/>
  <c r="O5" i="1" a="1"/>
  <c r="O5" i="1" s="1"/>
  <c r="O47" i="1" s="1"/>
  <c r="Q5" i="1" a="1"/>
  <c r="Q5" i="1" s="1"/>
  <c r="Q47" i="1" s="1"/>
  <c r="S5" i="1" a="1"/>
  <c r="S5" i="1" s="1"/>
  <c r="S47" i="1" s="1"/>
  <c r="U5" i="1" a="1"/>
  <c r="U5" i="1" s="1"/>
  <c r="U47" i="1" s="1"/>
  <c r="Q7" i="1" l="1"/>
  <c r="Q8" i="1" s="1"/>
  <c r="Q9" i="1" s="1"/>
  <c r="Q10" i="1" s="1"/>
  <c r="Q11" i="1" s="1"/>
  <c r="Q12" i="1" s="1"/>
  <c r="Q13" i="1" s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6" i="1"/>
  <c r="U7" i="1"/>
  <c r="U8" i="1" s="1"/>
  <c r="U9" i="1" s="1"/>
  <c r="U10" i="1" s="1"/>
  <c r="U11" i="1" s="1"/>
  <c r="U12" i="1" s="1"/>
  <c r="U13" i="1" s="1"/>
  <c r="U14" i="1" s="1"/>
  <c r="U15" i="1" s="1"/>
  <c r="U16" i="1" s="1"/>
  <c r="U17" i="1" s="1"/>
  <c r="U18" i="1" s="1"/>
  <c r="U19" i="1" s="1"/>
  <c r="U20" i="1" s="1"/>
  <c r="U21" i="1" s="1"/>
  <c r="U22" i="1" s="1"/>
  <c r="U23" i="1" s="1"/>
  <c r="U24" i="1" s="1"/>
  <c r="U25" i="1" s="1"/>
  <c r="U26" i="1" s="1"/>
  <c r="U27" i="1" s="1"/>
  <c r="U28" i="1" s="1"/>
  <c r="U29" i="1" s="1"/>
  <c r="U30" i="1" s="1"/>
  <c r="U31" i="1" s="1"/>
  <c r="U32" i="1" s="1"/>
  <c r="U33" i="1" s="1"/>
  <c r="U34" i="1" s="1"/>
  <c r="U35" i="1" s="1"/>
  <c r="U36" i="1" s="1"/>
  <c r="U37" i="1" s="1"/>
  <c r="U38" i="1" s="1"/>
  <c r="U39" i="1" s="1"/>
  <c r="U40" i="1" s="1"/>
  <c r="U6" i="1"/>
  <c r="S7" i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6" i="1"/>
  <c r="O7" i="1"/>
  <c r="O8" i="1" s="1"/>
  <c r="O9" i="1" s="1"/>
  <c r="O10" i="1" s="1"/>
  <c r="O11" i="1" s="1"/>
  <c r="O12" i="1" s="1"/>
  <c r="O13" i="1" s="1"/>
  <c r="O14" i="1" s="1"/>
  <c r="O15" i="1" s="1"/>
  <c r="O16" i="1" s="1"/>
  <c r="O17" i="1" s="1"/>
  <c r="O18" i="1" s="1"/>
  <c r="O19" i="1" s="1"/>
  <c r="O20" i="1" s="1"/>
  <c r="O21" i="1" s="1"/>
  <c r="O22" i="1" s="1"/>
  <c r="O23" i="1" s="1"/>
  <c r="O24" i="1" s="1"/>
  <c r="O25" i="1" s="1"/>
  <c r="O26" i="1" s="1"/>
  <c r="O27" i="1" s="1"/>
  <c r="O28" i="1" s="1"/>
  <c r="O29" i="1" s="1"/>
  <c r="O30" i="1" s="1"/>
  <c r="O31" i="1" s="1"/>
  <c r="O32" i="1" s="1"/>
  <c r="O33" i="1" s="1"/>
  <c r="O34" i="1" s="1"/>
  <c r="O35" i="1" s="1"/>
  <c r="O36" i="1" s="1"/>
  <c r="O37" i="1" s="1"/>
  <c r="O38" i="1" s="1"/>
  <c r="O39" i="1" s="1"/>
  <c r="O40" i="1" s="1"/>
  <c r="O6" i="1"/>
  <c r="B37" i="1"/>
  <c r="B36" i="1" l="1"/>
  <c r="B38" i="1" l="1"/>
  <c r="B39" i="1" l="1"/>
  <c r="Z5" i="1" a="1"/>
  <c r="Z5" i="1" s="1"/>
  <c r="Z6" i="1" l="1"/>
  <c r="Z47" i="1"/>
  <c r="Z37" i="1"/>
  <c r="Z36" i="1"/>
  <c r="Z38" i="1"/>
  <c r="Z35" i="1"/>
  <c r="Z7" i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Z19" i="1" s="1"/>
  <c r="Z20" i="1" s="1"/>
  <c r="Z21" i="1" s="1"/>
  <c r="Z22" i="1" s="1"/>
  <c r="Z23" i="1" s="1"/>
  <c r="Z24" i="1" s="1"/>
  <c r="Z25" i="1" s="1"/>
  <c r="Z26" i="1" s="1"/>
  <c r="Z27" i="1" s="1"/>
  <c r="Z28" i="1" s="1"/>
  <c r="Z29" i="1" s="1"/>
  <c r="Z30" i="1" s="1"/>
  <c r="Z31" i="1" s="1"/>
  <c r="Z32" i="1" s="1"/>
  <c r="Z33" i="1" s="1"/>
  <c r="Z34" i="1" s="1"/>
  <c r="M5" i="1" a="1"/>
  <c r="M5" i="1" s="1"/>
  <c r="B35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5" i="1"/>
  <c r="B4" i="1" l="1"/>
  <c r="M42" i="1"/>
  <c r="M47" i="1"/>
  <c r="M41" i="1"/>
  <c r="M46" i="1"/>
  <c r="M43" i="1"/>
  <c r="M44" i="1"/>
  <c r="M45" i="1"/>
  <c r="M40" i="1"/>
  <c r="M6" i="1"/>
  <c r="M39" i="1"/>
  <c r="M37" i="1"/>
  <c r="M36" i="1"/>
  <c r="M38" i="1"/>
  <c r="M35" i="1"/>
  <c r="M34" i="1"/>
  <c r="M33" i="1"/>
  <c r="M32" i="1"/>
  <c r="M31" i="1"/>
  <c r="M7" i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Y5" i="1" a="1"/>
  <c r="Y5" i="1" s="1"/>
  <c r="X5" i="1" a="1"/>
  <c r="X5" i="1" s="1"/>
  <c r="Y42" i="1" l="1"/>
  <c r="Y47" i="1"/>
  <c r="X42" i="1"/>
  <c r="X47" i="1"/>
  <c r="X41" i="1"/>
  <c r="X43" i="1"/>
  <c r="X46" i="1"/>
  <c r="X45" i="1"/>
  <c r="X44" i="1"/>
  <c r="Y41" i="1"/>
  <c r="Y43" i="1"/>
  <c r="Y44" i="1"/>
  <c r="Y45" i="1"/>
  <c r="Y46" i="1"/>
  <c r="X40" i="1"/>
  <c r="X6" i="1"/>
  <c r="Y40" i="1"/>
  <c r="Y6" i="1"/>
  <c r="X37" i="1"/>
  <c r="X36" i="1"/>
  <c r="X38" i="1"/>
  <c r="Y37" i="1"/>
  <c r="Y36" i="1"/>
  <c r="Y38" i="1"/>
  <c r="X7" i="1"/>
  <c r="X8" i="1" s="1"/>
  <c r="X9" i="1" s="1"/>
  <c r="X10" i="1" s="1"/>
  <c r="X11" i="1" s="1"/>
  <c r="X12" i="1" s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9" i="1"/>
  <c r="X35" i="1"/>
  <c r="Y7" i="1"/>
  <c r="Y8" i="1" s="1"/>
  <c r="Y9" i="1" s="1"/>
  <c r="Y10" i="1" s="1"/>
  <c r="Y11" i="1" s="1"/>
  <c r="Y12" i="1" s="1"/>
  <c r="Y13" i="1" s="1"/>
  <c r="Y14" i="1" s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9" i="1"/>
  <c r="Y35" i="1"/>
  <c r="W5" i="1" a="1"/>
  <c r="W5" i="1" s="1"/>
  <c r="W42" i="1" l="1"/>
  <c r="W47" i="1"/>
  <c r="W41" i="1"/>
  <c r="W43" i="1"/>
  <c r="W44" i="1"/>
  <c r="W45" i="1"/>
  <c r="W46" i="1"/>
  <c r="W40" i="1"/>
  <c r="W6" i="1"/>
  <c r="W37" i="1"/>
  <c r="W36" i="1"/>
  <c r="W38" i="1"/>
  <c r="W39" i="1"/>
  <c r="W35" i="1"/>
  <c r="W31" i="1"/>
  <c r="W33" i="1"/>
  <c r="W34" i="1"/>
  <c r="W32" i="1"/>
  <c r="W7" i="1"/>
  <c r="W8" i="1" l="1"/>
  <c r="W9" i="1" s="1"/>
  <c r="W10" i="1" s="1"/>
  <c r="W11" i="1" s="1"/>
  <c r="W12" i="1" s="1"/>
  <c r="W13" i="1" s="1"/>
  <c r="W14" i="1" s="1"/>
  <c r="W15" i="1" s="1"/>
  <c r="W16" i="1" s="1"/>
  <c r="W17" i="1" s="1"/>
  <c r="W18" i="1" s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N5" i="1" l="1" a="1"/>
  <c r="N5" i="1" s="1"/>
  <c r="N42" i="1" l="1"/>
  <c r="N47" i="1"/>
  <c r="N41" i="1"/>
  <c r="N43" i="1"/>
  <c r="N46" i="1"/>
  <c r="N45" i="1"/>
  <c r="N44" i="1"/>
  <c r="N40" i="1"/>
  <c r="N6" i="1"/>
  <c r="N37" i="1"/>
  <c r="N36" i="1"/>
  <c r="N38" i="1"/>
  <c r="N39" i="1"/>
  <c r="N35" i="1"/>
  <c r="N7" i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28" i="1" s="1"/>
  <c r="N29" i="1" s="1"/>
  <c r="N30" i="1" s="1"/>
  <c r="N31" i="1"/>
  <c r="N34" i="1"/>
  <c r="N33" i="1"/>
  <c r="N32" i="1"/>
  <c r="I5" i="1" a="1"/>
  <c r="I5" i="1" s="1"/>
  <c r="J5" i="1" a="1"/>
  <c r="J5" i="1" s="1"/>
  <c r="K5" i="1" a="1"/>
  <c r="K5" i="1" s="1"/>
  <c r="L5" i="1" a="1"/>
  <c r="L5" i="1" s="1"/>
  <c r="AC5" i="1" a="1"/>
  <c r="AC5" i="1" s="1"/>
  <c r="AD5" i="1" a="1"/>
  <c r="AD5" i="1" s="1"/>
  <c r="AE5" i="1" a="1"/>
  <c r="AE5" i="1" s="1"/>
  <c r="AF5" i="1" a="1"/>
  <c r="AF5" i="1" s="1"/>
  <c r="AG5" i="1" a="1"/>
  <c r="AG5" i="1" s="1"/>
  <c r="AH5" i="1" a="1"/>
  <c r="AH5" i="1" s="1"/>
  <c r="AI5" i="1" a="1"/>
  <c r="AI5" i="1" s="1"/>
  <c r="AJ5" i="1" a="1"/>
  <c r="AJ5" i="1" s="1"/>
  <c r="AK5" i="1" a="1"/>
  <c r="AK5" i="1" s="1"/>
  <c r="AL5" i="1" a="1"/>
  <c r="AL5" i="1" s="1"/>
  <c r="AM5" i="1" a="1"/>
  <c r="AM5" i="1" s="1"/>
  <c r="AN5" i="1" a="1"/>
  <c r="AN5" i="1" s="1"/>
  <c r="AO5" i="1" a="1"/>
  <c r="AO5" i="1" s="1"/>
  <c r="AP5" i="1" a="1"/>
  <c r="AP5" i="1" s="1"/>
  <c r="AQ5" i="1" a="1"/>
  <c r="AQ5" i="1" s="1"/>
  <c r="AR5" i="1" a="1"/>
  <c r="AR5" i="1" s="1"/>
  <c r="G5" i="1" a="1"/>
  <c r="G5" i="1" s="1"/>
  <c r="AG42" i="1" l="1"/>
  <c r="AG47" i="1"/>
  <c r="AK42" i="1"/>
  <c r="AK47" i="1"/>
  <c r="AE42" i="1"/>
  <c r="AE47" i="1"/>
  <c r="AH42" i="1"/>
  <c r="AH47" i="1"/>
  <c r="AD42" i="1"/>
  <c r="AD47" i="1"/>
  <c r="J42" i="1"/>
  <c r="J47" i="1"/>
  <c r="AQ42" i="1"/>
  <c r="AQ47" i="1"/>
  <c r="AJ42" i="1"/>
  <c r="AJ47" i="1"/>
  <c r="AF42" i="1"/>
  <c r="AF47" i="1"/>
  <c r="AC42" i="1"/>
  <c r="AC47" i="1"/>
  <c r="K42" i="1"/>
  <c r="K47" i="1"/>
  <c r="AP42" i="1"/>
  <c r="AP47" i="1"/>
  <c r="AO42" i="1"/>
  <c r="AO47" i="1"/>
  <c r="AI42" i="1"/>
  <c r="AI47" i="1"/>
  <c r="L42" i="1"/>
  <c r="L47" i="1"/>
  <c r="I6" i="1"/>
  <c r="I47" i="1"/>
  <c r="G42" i="1"/>
  <c r="G47" i="1"/>
  <c r="AR42" i="1"/>
  <c r="AR47" i="1"/>
  <c r="AN42" i="1"/>
  <c r="AN47" i="1"/>
  <c r="AM42" i="1"/>
  <c r="AM47" i="1"/>
  <c r="AL42" i="1"/>
  <c r="AL47" i="1"/>
  <c r="AE41" i="1"/>
  <c r="AE44" i="1"/>
  <c r="AE43" i="1"/>
  <c r="AE45" i="1"/>
  <c r="AE46" i="1"/>
  <c r="AM41" i="1"/>
  <c r="AM45" i="1"/>
  <c r="AM44" i="1"/>
  <c r="AM43" i="1"/>
  <c r="AM46" i="1"/>
  <c r="K41" i="1"/>
  <c r="K46" i="1"/>
  <c r="K43" i="1"/>
  <c r="K44" i="1"/>
  <c r="K45" i="1"/>
  <c r="AF41" i="1"/>
  <c r="AF44" i="1"/>
  <c r="AF46" i="1"/>
  <c r="AF43" i="1"/>
  <c r="AF45" i="1"/>
  <c r="AH41" i="1"/>
  <c r="AH44" i="1"/>
  <c r="AH43" i="1"/>
  <c r="AH45" i="1"/>
  <c r="AH46" i="1"/>
  <c r="J41" i="1"/>
  <c r="J46" i="1"/>
  <c r="J45" i="1"/>
  <c r="J43" i="1"/>
  <c r="J44" i="1"/>
  <c r="AI41" i="1"/>
  <c r="AI44" i="1"/>
  <c r="AI43" i="1"/>
  <c r="AI45" i="1"/>
  <c r="AI46" i="1"/>
  <c r="AD41" i="1"/>
  <c r="AD43" i="1"/>
  <c r="AD44" i="1"/>
  <c r="AD45" i="1"/>
  <c r="AD46" i="1"/>
  <c r="AR41" i="1"/>
  <c r="AR46" i="1"/>
  <c r="AR44" i="1"/>
  <c r="AR45" i="1"/>
  <c r="AR43" i="1"/>
  <c r="AK41" i="1"/>
  <c r="AK45" i="1"/>
  <c r="AK43" i="1"/>
  <c r="AK44" i="1"/>
  <c r="AK46" i="1"/>
  <c r="AC41" i="1"/>
  <c r="AC43" i="1"/>
  <c r="AC44" i="1"/>
  <c r="AC45" i="1"/>
  <c r="AC46" i="1"/>
  <c r="AQ41" i="1"/>
  <c r="AQ46" i="1"/>
  <c r="AQ44" i="1"/>
  <c r="AQ43" i="1"/>
  <c r="AQ45" i="1"/>
  <c r="L41" i="1"/>
  <c r="L43" i="1"/>
  <c r="L46" i="1"/>
  <c r="L44" i="1"/>
  <c r="L45" i="1"/>
  <c r="AP41" i="1"/>
  <c r="AP45" i="1"/>
  <c r="AP44" i="1"/>
  <c r="AP46" i="1"/>
  <c r="AP43" i="1"/>
  <c r="AL41" i="1"/>
  <c r="AL45" i="1"/>
  <c r="AL44" i="1"/>
  <c r="AL43" i="1"/>
  <c r="AL46" i="1"/>
  <c r="AO41" i="1"/>
  <c r="AO45" i="1"/>
  <c r="AO46" i="1"/>
  <c r="AO44" i="1"/>
  <c r="AO43" i="1"/>
  <c r="AJ41" i="1"/>
  <c r="AJ44" i="1"/>
  <c r="AJ43" i="1"/>
  <c r="AJ45" i="1"/>
  <c r="AJ46" i="1"/>
  <c r="AG41" i="1"/>
  <c r="AG44" i="1"/>
  <c r="AG43" i="1"/>
  <c r="AG45" i="1"/>
  <c r="AG46" i="1"/>
  <c r="G41" i="1"/>
  <c r="G45" i="1"/>
  <c r="G46" i="1"/>
  <c r="G43" i="1"/>
  <c r="G44" i="1"/>
  <c r="AN41" i="1"/>
  <c r="AN45" i="1"/>
  <c r="AN44" i="1"/>
  <c r="AN46" i="1"/>
  <c r="AN43" i="1"/>
  <c r="G37" i="1"/>
  <c r="G34" i="1"/>
  <c r="G36" i="1"/>
  <c r="G35" i="1"/>
  <c r="AP40" i="1"/>
  <c r="AP6" i="1"/>
  <c r="AJ40" i="1"/>
  <c r="AJ6" i="1"/>
  <c r="AG40" i="1"/>
  <c r="AG6" i="1"/>
  <c r="AF40" i="1"/>
  <c r="AF6" i="1"/>
  <c r="AR40" i="1"/>
  <c r="AR6" i="1"/>
  <c r="AL40" i="1"/>
  <c r="AL6" i="1"/>
  <c r="AD40" i="1"/>
  <c r="AD6" i="1"/>
  <c r="AK40" i="1"/>
  <c r="AK6" i="1"/>
  <c r="K40" i="1"/>
  <c r="K6" i="1"/>
  <c r="AO40" i="1"/>
  <c r="AO6" i="1"/>
  <c r="AH40" i="1"/>
  <c r="AH6" i="1"/>
  <c r="AC40" i="1"/>
  <c r="AC6" i="1"/>
  <c r="AI40" i="1"/>
  <c r="AI6" i="1"/>
  <c r="AQ40" i="1"/>
  <c r="AQ6" i="1"/>
  <c r="AE40" i="1"/>
  <c r="AE6" i="1"/>
  <c r="AN40" i="1"/>
  <c r="AN6" i="1"/>
  <c r="J40" i="1"/>
  <c r="J6" i="1"/>
  <c r="AM40" i="1"/>
  <c r="AM6" i="1"/>
  <c r="L40" i="1"/>
  <c r="L6" i="1"/>
  <c r="G40" i="1"/>
  <c r="L37" i="1"/>
  <c r="L39" i="1"/>
  <c r="L36" i="1"/>
  <c r="AJ37" i="1"/>
  <c r="AJ36" i="1"/>
  <c r="AJ38" i="1"/>
  <c r="AQ37" i="1"/>
  <c r="AQ36" i="1"/>
  <c r="AQ38" i="1"/>
  <c r="AI37" i="1"/>
  <c r="AI36" i="1"/>
  <c r="AI38" i="1"/>
  <c r="K37" i="1"/>
  <c r="K38" i="1"/>
  <c r="K36" i="1"/>
  <c r="AP37" i="1"/>
  <c r="AP36" i="1"/>
  <c r="AP38" i="1"/>
  <c r="AH37" i="1"/>
  <c r="AH36" i="1"/>
  <c r="AH38" i="1"/>
  <c r="J37" i="1"/>
  <c r="J38" i="1"/>
  <c r="J36" i="1"/>
  <c r="AC37" i="1"/>
  <c r="AC36" i="1"/>
  <c r="AC38" i="1"/>
  <c r="AO37" i="1"/>
  <c r="AO36" i="1"/>
  <c r="AO38" i="1"/>
  <c r="AG37" i="1"/>
  <c r="AG36" i="1"/>
  <c r="AG38" i="1"/>
  <c r="I38" i="1"/>
  <c r="AK37" i="1"/>
  <c r="AK36" i="1"/>
  <c r="AK38" i="1"/>
  <c r="AN37" i="1"/>
  <c r="AN36" i="1"/>
  <c r="AN38" i="1"/>
  <c r="AF37" i="1"/>
  <c r="AF36" i="1"/>
  <c r="AF38" i="1"/>
  <c r="AR37" i="1"/>
  <c r="AR36" i="1"/>
  <c r="AR38" i="1"/>
  <c r="AM37" i="1"/>
  <c r="AM36" i="1"/>
  <c r="AM38" i="1"/>
  <c r="AE37" i="1"/>
  <c r="AE36" i="1"/>
  <c r="AE38" i="1"/>
  <c r="G39" i="1"/>
  <c r="G38" i="1"/>
  <c r="AL37" i="1"/>
  <c r="AL36" i="1"/>
  <c r="AL38" i="1"/>
  <c r="AD37" i="1"/>
  <c r="AD36" i="1"/>
  <c r="AD38" i="1"/>
  <c r="AN39" i="1"/>
  <c r="AN35" i="1"/>
  <c r="AF39" i="1"/>
  <c r="AF35" i="1"/>
  <c r="AG39" i="1"/>
  <c r="AG35" i="1"/>
  <c r="AE39" i="1"/>
  <c r="AE35" i="1"/>
  <c r="AO39" i="1"/>
  <c r="AO35" i="1"/>
  <c r="AL39" i="1"/>
  <c r="AL35" i="1"/>
  <c r="AD39" i="1"/>
  <c r="AD35" i="1"/>
  <c r="AM39" i="1"/>
  <c r="AM35" i="1"/>
  <c r="AK39" i="1"/>
  <c r="AK35" i="1"/>
  <c r="AC39" i="1"/>
  <c r="AC35" i="1"/>
  <c r="AJ39" i="1"/>
  <c r="AJ35" i="1"/>
  <c r="L35" i="1"/>
  <c r="AI39" i="1"/>
  <c r="AI35" i="1"/>
  <c r="K39" i="1"/>
  <c r="K35" i="1"/>
  <c r="AR39" i="1"/>
  <c r="AR35" i="1"/>
  <c r="AQ39" i="1"/>
  <c r="AQ35" i="1"/>
  <c r="AP39" i="1"/>
  <c r="AP35" i="1"/>
  <c r="AH39" i="1"/>
  <c r="AH35" i="1"/>
  <c r="J39" i="1"/>
  <c r="J35" i="1"/>
  <c r="AQ31" i="1"/>
  <c r="AQ34" i="1"/>
  <c r="AQ32" i="1"/>
  <c r="AQ33" i="1"/>
  <c r="AI31" i="1"/>
  <c r="AI34" i="1"/>
  <c r="AI33" i="1"/>
  <c r="AI32" i="1"/>
  <c r="K7" i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4" i="1"/>
  <c r="K33" i="1"/>
  <c r="K32" i="1"/>
  <c r="K31" i="1"/>
  <c r="I7" i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3" i="1"/>
  <c r="I32" i="1"/>
  <c r="I31" i="1"/>
  <c r="I34" i="1"/>
  <c r="L7" i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/>
  <c r="L34" i="1"/>
  <c r="L33" i="1"/>
  <c r="L32" i="1"/>
  <c r="AH34" i="1"/>
  <c r="AH33" i="1"/>
  <c r="AH32" i="1"/>
  <c r="AH31" i="1"/>
  <c r="AG34" i="1"/>
  <c r="AG33" i="1"/>
  <c r="AG32" i="1"/>
  <c r="AG31" i="1"/>
  <c r="AN33" i="1"/>
  <c r="AN32" i="1"/>
  <c r="AN31" i="1"/>
  <c r="AN34" i="1"/>
  <c r="AF34" i="1"/>
  <c r="AF33" i="1"/>
  <c r="AF32" i="1"/>
  <c r="AF31" i="1"/>
  <c r="AR31" i="1"/>
  <c r="AR33" i="1"/>
  <c r="AR34" i="1"/>
  <c r="AR32" i="1"/>
  <c r="AR7" i="1"/>
  <c r="AR8" i="1" s="1"/>
  <c r="AR9" i="1" s="1"/>
  <c r="AR10" i="1" s="1"/>
  <c r="AR11" i="1" s="1"/>
  <c r="AR12" i="1" s="1"/>
  <c r="AR13" i="1" s="1"/>
  <c r="AR14" i="1" s="1"/>
  <c r="AR15" i="1" s="1"/>
  <c r="AR16" i="1" s="1"/>
  <c r="AR17" i="1" s="1"/>
  <c r="AR18" i="1" s="1"/>
  <c r="AR19" i="1" s="1"/>
  <c r="AR20" i="1" s="1"/>
  <c r="AR21" i="1" s="1"/>
  <c r="AR22" i="1" s="1"/>
  <c r="AR23" i="1" s="1"/>
  <c r="AR24" i="1" s="1"/>
  <c r="AR25" i="1" s="1"/>
  <c r="AR26" i="1" s="1"/>
  <c r="AR27" i="1" s="1"/>
  <c r="AR28" i="1" s="1"/>
  <c r="AR29" i="1" s="1"/>
  <c r="AR30" i="1" s="1"/>
  <c r="J7" i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4" i="1"/>
  <c r="J33" i="1"/>
  <c r="J32" i="1"/>
  <c r="J31" i="1"/>
  <c r="AM33" i="1"/>
  <c r="AM32" i="1"/>
  <c r="AM31" i="1"/>
  <c r="AM34" i="1"/>
  <c r="AL32" i="1"/>
  <c r="AL34" i="1"/>
  <c r="AL31" i="1"/>
  <c r="AL33" i="1"/>
  <c r="AD32" i="1"/>
  <c r="AD31" i="1"/>
  <c r="AD34" i="1"/>
  <c r="AD33" i="1"/>
  <c r="AJ32" i="1"/>
  <c r="AJ34" i="1"/>
  <c r="AJ33" i="1"/>
  <c r="AJ31" i="1"/>
  <c r="AP31" i="1"/>
  <c r="AP34" i="1"/>
  <c r="AP33" i="1"/>
  <c r="AP32" i="1"/>
  <c r="AO34" i="1"/>
  <c r="AO33" i="1"/>
  <c r="AO32" i="1"/>
  <c r="AO31" i="1"/>
  <c r="AE33" i="1"/>
  <c r="AE32" i="1"/>
  <c r="AE31" i="1"/>
  <c r="AE34" i="1"/>
  <c r="G7" i="1"/>
  <c r="G32" i="1"/>
  <c r="G31" i="1"/>
  <c r="G33" i="1"/>
  <c r="AK31" i="1"/>
  <c r="AK34" i="1"/>
  <c r="AK33" i="1"/>
  <c r="AK32" i="1"/>
  <c r="AC31" i="1"/>
  <c r="AC34" i="1"/>
  <c r="AC33" i="1"/>
  <c r="AC32" i="1"/>
  <c r="G8" i="1" l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Young (21512438)</author>
    <author>Michael Young</author>
    <author>John</author>
  </authors>
  <commentList>
    <comment ref="B1" authorId="0" shapeId="0" xr:uid="{37D6CE8F-CE51-4B7D-8E5C-A1A0A18133AE}">
      <text>
        <r>
          <rPr>
            <b/>
            <sz val="9"/>
            <color indexed="81"/>
            <rFont val="Tahoma"/>
            <family val="2"/>
          </rPr>
          <t xml:space="preserve">Michael Young (21512438): 
</t>
        </r>
        <r>
          <rPr>
            <sz val="9"/>
            <color indexed="81"/>
            <rFont val="Tahoma"/>
            <family val="2"/>
          </rPr>
          <t xml:space="preserve">Can add cols that are just for personal use (eg not used by code) by adding the word Drop in the top row.
</t>
        </r>
      </text>
    </comment>
    <comment ref="C1" authorId="1" shapeId="0" xr:uid="{CCB77013-F05A-42FB-A15C-BBB0BA6C23F4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to keep the conditional formatting rules tidy, you can only insert a blank row or column (can't copy and insert paste) then you can copy and paste the formulas from a given row or column it into your newly inserted row or column. </t>
        </r>
      </text>
    </comment>
    <comment ref="F1" authorId="0" shapeId="0" xr:uid="{10B3F34B-4772-43FF-8769-97F5228546B0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Pandas doesn’t like it if you use % in the trial name description. The code will run fine you just wont be able to view the df.</t>
        </r>
      </text>
    </comment>
    <comment ref="A2" authorId="2" shapeId="0" xr:uid="{BCCD4931-9FC5-4352-A342-899CDCC99998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Must be first because it is updated by a macro</t>
        </r>
      </text>
    </comment>
    <comment ref="F2" authorId="0" shapeId="0" xr:uid="{28A87732-DFBE-4E72-8AD9-CC58CDE1082B}">
      <text>
        <r>
          <rPr>
            <b/>
            <sz val="9"/>
            <color indexed="81"/>
            <rFont val="Tahoma"/>
            <family val="2"/>
          </rPr>
          <t>Michael Young (21512438):</t>
        </r>
        <r>
          <rPr>
            <sz val="9"/>
            <color indexed="81"/>
            <rFont val="Tahoma"/>
            <family val="2"/>
          </rPr>
          <t xml:space="preserve">
Must match the key assigned in Sensitivity.py</t>
        </r>
      </text>
    </comment>
    <comment ref="F3" authorId="1" shapeId="0" xr:uid="{3BDB7BEB-FC53-4975-ADDB-A81C02A033DC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pas</t>
        </r>
      </text>
    </comment>
    <comment ref="B4" authorId="2" shapeId="0" xr:uid="{CD85CAB6-9789-4C7A-ADAE-EF4BFD67B6CA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Total number of trials defined</t>
        </r>
      </text>
    </comment>
    <comment ref="C4" authorId="2" shapeId="0" xr:uid="{356E8614-0E2F-4117-B344-BA1B78753371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Number of the trials being run (TRUE)</t>
        </r>
      </text>
    </comment>
    <comment ref="D4" authorId="2" shapeId="0" xr:uid="{3F8B7C71-9F70-474B-BC80-D6D9B8C12D5D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Full output includes storing the .lp file, the Variable summary &amp; the RC &amp; Duals.
(% of the trials being run)</t>
        </r>
      </text>
    </comment>
    <comment ref="E4" authorId="2" shapeId="0" xr:uid="{08A47554-D3C3-4B37-B753-8416C6049C55}">
      <text>
        <r>
          <rPr>
            <b/>
            <sz val="9"/>
            <color indexed="81"/>
            <rFont val="Tahoma"/>
            <family val="2"/>
          </rPr>
          <t>John:</t>
        </r>
        <r>
          <rPr>
            <sz val="9"/>
            <color indexed="81"/>
            <rFont val="Tahoma"/>
            <family val="2"/>
          </rPr>
          <t xml:space="preserve">
Proportion of the trials to report
(% of all the trials)</t>
        </r>
      </text>
    </comment>
    <comment ref="F4" authorId="1" shapeId="0" xr:uid="{7875E08E-43A6-4F76-BAD2-431E3C040A9B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Optional
- needed for arrays
- can handle complex slicing. Use comma between each axis slice. Eg 2:3,1:2</t>
        </r>
      </text>
    </comment>
    <comment ref="F5" authorId="1" shapeId="0" xr:uid="{86423575-3B9D-46A2-9D4D-B5C8EEE47047}">
      <text>
        <r>
          <rPr>
            <b/>
            <sz val="9"/>
            <color indexed="81"/>
            <rFont val="Tahoma"/>
            <family val="2"/>
          </rPr>
          <t>Michael Young:</t>
        </r>
        <r>
          <rPr>
            <sz val="9"/>
            <color indexed="81"/>
            <rFont val="Tahoma"/>
            <family val="2"/>
          </rPr>
          <t xml:space="preserve">
This trial uses a formula to select the defalut values
'-' for SAV
1 for SAM
0 for SAA and SAP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<sst xmlns="http://schemas.openxmlformats.org/spreadsheetml/2006/main" count="162" uniqueCount="85">
  <si>
    <t>sam</t>
  </si>
  <si>
    <t>germ_l</t>
  </si>
  <si>
    <t>Dict</t>
  </si>
  <si>
    <t>Key1</t>
  </si>
  <si>
    <t>Key2</t>
  </si>
  <si>
    <t>slice</t>
  </si>
  <si>
    <t>annual</t>
  </si>
  <si>
    <t>Default</t>
  </si>
  <si>
    <t>germ</t>
  </si>
  <si>
    <t>pgr</t>
  </si>
  <si>
    <t>pgr_l</t>
  </si>
  <si>
    <t>Germ low</t>
  </si>
  <si>
    <t>Germ high</t>
  </si>
  <si>
    <t>Lmu 0 Germ low</t>
  </si>
  <si>
    <t>Lmu 0 Germ high</t>
  </si>
  <si>
    <t>Lmu 1 Germ low</t>
  </si>
  <si>
    <t>Lmu 1 Germ high</t>
  </si>
  <si>
    <t>Lmu 2 Germ high</t>
  </si>
  <si>
    <t>Lmu 3 Germ low</t>
  </si>
  <si>
    <t>Lmu 3 Germ high</t>
  </si>
  <si>
    <t>Lmu 40 Germ low</t>
  </si>
  <si>
    <t>Lmu 4 Germ high</t>
  </si>
  <si>
    <t>Lmu 2 Germ low</t>
  </si>
  <si>
    <t>PGR low</t>
  </si>
  <si>
    <t>PGR high</t>
  </si>
  <si>
    <t>Lmu 0 PGR low</t>
  </si>
  <si>
    <t>Lmu 0 PGR high</t>
  </si>
  <si>
    <t>Lmu 1 PGR low</t>
  </si>
  <si>
    <t>Lmu 1 PGR high</t>
  </si>
  <si>
    <t>Lmu 2 PGR low</t>
  </si>
  <si>
    <t>Lmu 2 PGR high</t>
  </si>
  <si>
    <t>Lmu 3 PGR low</t>
  </si>
  <si>
    <t>Lmu 3 PGR high</t>
  </si>
  <si>
    <t>Lmu 40 PGR low</t>
  </si>
  <si>
    <t>Lmu 4 PGR high</t>
  </si>
  <si>
    <t>0:1</t>
  </si>
  <si>
    <t>1:2</t>
  </si>
  <si>
    <t>2:3</t>
  </si>
  <si>
    <t>3:4</t>
  </si>
  <si>
    <t>4:5</t>
  </si>
  <si>
    <t>saa</t>
  </si>
  <si>
    <t>sav</t>
  </si>
  <si>
    <t>sap</t>
  </si>
  <si>
    <t>Note on formatting</t>
  </si>
  <si>
    <t>eqn_compare</t>
  </si>
  <si>
    <t>TOL_inc</t>
  </si>
  <si>
    <t>g3_included</t>
  </si>
  <si>
    <t>woolp_mpg</t>
  </si>
  <si>
    <t>bnd_total_pas_area</t>
  </si>
  <si>
    <t>bnd_pasarea_inc</t>
  </si>
  <si>
    <t>Drop</t>
  </si>
  <si>
    <t>Pas area 10per</t>
  </si>
  <si>
    <t>Pas area 40per</t>
  </si>
  <si>
    <t>Pas area 60per</t>
  </si>
  <si>
    <t>Pas area 80per</t>
  </si>
  <si>
    <t>Both TOL inc</t>
  </si>
  <si>
    <t>scan_og1</t>
  </si>
  <si>
    <t>2:3,:</t>
  </si>
  <si>
    <t>fec_inc</t>
  </si>
  <si>
    <t>BBT inc</t>
  </si>
  <si>
    <t>TOL 1 only</t>
  </si>
  <si>
    <t>TOL 2 only</t>
  </si>
  <si>
    <t>eqn_used_g0_q1p7</t>
  </si>
  <si>
    <t>eqn_used_g3_q1p7</t>
  </si>
  <si>
    <t>eqn_used_g2_q1p7</t>
  </si>
  <si>
    <t>eqn_used_g1_q1p7</t>
  </si>
  <si>
    <t>steady_state</t>
  </si>
  <si>
    <t>season test</t>
  </si>
  <si>
    <t>Report FEC TOL1</t>
  </si>
  <si>
    <t>Description of this experiment</t>
  </si>
  <si>
    <t>lw_inc</t>
  </si>
  <si>
    <t>ffcfw_inc</t>
  </si>
  <si>
    <t>1:2,:</t>
  </si>
  <si>
    <t>10:11,:</t>
  </si>
  <si>
    <t>TOL2 FEC</t>
  </si>
  <si>
    <t>TOL2 FEC LTW</t>
  </si>
  <si>
    <t>Jul PJ-</t>
  </si>
  <si>
    <t>Jul Scn+</t>
  </si>
  <si>
    <t>Jul WnT</t>
  </si>
  <si>
    <t>Jul Ex-</t>
  </si>
  <si>
    <t>Jul New</t>
  </si>
  <si>
    <t>Last change</t>
  </si>
  <si>
    <t>This column must remain first</t>
  </si>
  <si>
    <t>-</t>
  </si>
  <si>
    <t>BlankLast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</si>
</sst>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 h:mm"/>
  </numFmts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rgb="FFF2F2F2"/>
      </patternFill>
    </fill>
    <fill>
      <patternFill patternType="solid">
        <fgColor rgb="FF0000CC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3" fillId="3" borderId="1" applyNumberFormat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49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 textRotation="90"/>
    </xf>
    <xf numFmtId="49" fontId="0" fillId="2" borderId="0" xfId="0" applyNumberFormat="1" applyFill="1" applyAlignment="1">
      <alignment horizontal="center" textRotation="90"/>
    </xf>
    <xf numFmtId="0" fontId="0" fillId="0" borderId="0" xfId="0" applyAlignment="1">
      <alignment horizontal="center" textRotation="90"/>
    </xf>
    <xf numFmtId="20" fontId="0" fillId="0" borderId="0" xfId="0" quotePrefix="1" applyNumberFormat="1" applyAlignment="1">
      <alignment horizontal="center" textRotation="90"/>
    </xf>
    <xf numFmtId="49" fontId="0" fillId="0" borderId="0" xfId="0" quotePrefix="1" applyNumberFormat="1" applyAlignment="1">
      <alignment horizontal="center" textRotation="90"/>
    </xf>
    <xf numFmtId="0" fontId="3" fillId="3" borderId="1" xfId="1"/>
    <xf numFmtId="0" fontId="0" fillId="0" borderId="0" xfId="0" applyAlignment="1">
      <alignment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 applyAlignment="1"/>
    <xf numFmtId="49" fontId="0" fillId="0" borderId="0" xfId="0" applyNumberFormat="1" applyAlignment="1">
      <alignment wrapText="1"/>
    </xf>
    <xf numFmtId="49" fontId="0" fillId="0" borderId="0" xfId="0" applyNumberFormat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textRotation="90"/>
    </xf>
    <xf numFmtId="49" fontId="0" fillId="4" borderId="0" xfId="0" applyNumberFormat="1" applyFill="1"/>
    <xf numFmtId="22" fontId="0" fillId="0" borderId="0" xfId="0" applyNumberFormat="1" applyAlignment="1">
      <alignment horizontal="center" wrapText="1"/>
    </xf>
    <xf numFmtId="164" fontId="5" fillId="0" borderId="0" xfId="0" applyNumberFormat="1" applyFont="1" applyAlignment="1">
      <alignment horizontal="center"/>
    </xf>
    <xf numFmtId="22" fontId="0" fillId="4" borderId="0" xfId="0" applyNumberFormat="1" applyFill="1"/>
    <xf numFmtId="22" fontId="0" fillId="0" borderId="0" xfId="0" applyNumberFormat="1" applyAlignment="1">
      <alignment horizontal="center" textRotation="90"/>
    </xf>
  </cellXfs>
  <cellStyles count="2">
    <cellStyle name="Calculation" xfId="1" builtinId="22"/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theme="8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EBAC9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FEBA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5A7EB-445E-4E8E-983C-F21CAA7EBF41}">
  <sheetPr codeName="Sheet1"/>
  <dimension ref="A1:AS47"/>
  <sheetViews>
    <sheetView tabSelected="1" workbookViewId="0">
      <pane xSplit="6" ySplit="5" topLeftCell="Y33" activePane="bottomRight" state="frozen"/>
      <selection pane="topRight" activeCell="E1" sqref="E1"/>
      <selection pane="bottomLeft" activeCell="A6" sqref="A6"/>
      <selection pane="bottomRight" activeCell="A47" sqref="A47:XFD47"/>
    </sheetView>
  </sheetViews>
  <sheetFormatPr defaultRowHeight="15" x14ac:dyDescent="0.25"/>
  <cols>
    <col min="1" max="1" width="11" customWidth="1"/>
    <col min="3" max="3" width="10.5703125" customWidth="1"/>
    <col min="6" max="6" width="17.5703125" style="3" customWidth="1"/>
    <col min="23" max="23" width="10.85546875" bestFit="1" customWidth="1"/>
    <col min="24" max="28" width="9.85546875" customWidth="1"/>
    <col min="45" max="45" width="2.85546875" customWidth="1"/>
  </cols>
  <sheetData>
    <row r="1" spans="1:45" s="1" customFormat="1" ht="41.25" customHeight="1" x14ac:dyDescent="0.25">
      <c r="A1" s="21" t="s">
        <v>50</v>
      </c>
      <c r="B1" s="6" t="s">
        <v>50</v>
      </c>
      <c r="C1" s="10" t="s">
        <v>43</v>
      </c>
      <c r="F1" s="4" t="s">
        <v>2</v>
      </c>
      <c r="G1" s="6" t="s">
        <v>41</v>
      </c>
      <c r="H1" s="6" t="s">
        <v>41</v>
      </c>
      <c r="I1" s="6" t="s">
        <v>41</v>
      </c>
      <c r="J1" s="6" t="s">
        <v>41</v>
      </c>
      <c r="K1" s="6" t="s">
        <v>41</v>
      </c>
      <c r="L1" s="6" t="s">
        <v>41</v>
      </c>
      <c r="M1" s="6" t="s">
        <v>41</v>
      </c>
      <c r="N1" s="6" t="s">
        <v>41</v>
      </c>
      <c r="O1" s="6" t="s">
        <v>41</v>
      </c>
      <c r="P1" s="6" t="s">
        <v>41</v>
      </c>
      <c r="Q1" s="6" t="s">
        <v>41</v>
      </c>
      <c r="R1" s="6" t="s">
        <v>41</v>
      </c>
      <c r="S1" s="6" t="s">
        <v>41</v>
      </c>
      <c r="T1" s="6" t="s">
        <v>41</v>
      </c>
      <c r="U1" s="6" t="s">
        <v>41</v>
      </c>
      <c r="V1" s="6" t="s">
        <v>41</v>
      </c>
      <c r="W1" s="6" t="s">
        <v>41</v>
      </c>
      <c r="X1" s="6" t="s">
        <v>41</v>
      </c>
      <c r="Y1" s="6" t="s">
        <v>41</v>
      </c>
      <c r="Z1" s="6" t="s">
        <v>41</v>
      </c>
      <c r="AA1" s="6" t="s">
        <v>41</v>
      </c>
      <c r="AB1" s="6" t="s">
        <v>41</v>
      </c>
      <c r="AC1" s="6" t="s">
        <v>0</v>
      </c>
      <c r="AD1" s="6" t="s">
        <v>0</v>
      </c>
      <c r="AE1" s="6" t="s">
        <v>0</v>
      </c>
      <c r="AF1" s="6" t="s">
        <v>0</v>
      </c>
      <c r="AG1" s="6" t="s">
        <v>0</v>
      </c>
      <c r="AH1" s="6" t="s">
        <v>0</v>
      </c>
      <c r="AI1" s="6" t="s">
        <v>0</v>
      </c>
      <c r="AJ1" s="6" t="s">
        <v>0</v>
      </c>
      <c r="AK1" s="6" t="s">
        <v>0</v>
      </c>
      <c r="AL1" s="6" t="s">
        <v>0</v>
      </c>
      <c r="AM1" s="6" t="s">
        <v>0</v>
      </c>
      <c r="AN1" s="6" t="s">
        <v>0</v>
      </c>
      <c r="AO1" s="6" t="s">
        <v>40</v>
      </c>
      <c r="AP1" s="6" t="s">
        <v>40</v>
      </c>
      <c r="AQ1" s="6" t="s">
        <v>40</v>
      </c>
      <c r="AR1" s="1" t="s">
        <v>42</v>
      </c>
      <c r="AS1" s="16"/>
    </row>
    <row r="2" spans="1:45" s="2" customFormat="1" ht="72.75" customHeight="1" x14ac:dyDescent="0.25">
      <c r="A2" s="14" t="s">
        <v>82</v>
      </c>
      <c r="F2" s="5" t="s">
        <v>3</v>
      </c>
      <c r="G2" s="6" t="s">
        <v>66</v>
      </c>
      <c r="H2" s="6" t="s">
        <v>45</v>
      </c>
      <c r="I2" s="6" t="s">
        <v>45</v>
      </c>
      <c r="J2" s="6" t="s">
        <v>46</v>
      </c>
      <c r="K2" s="6" t="s">
        <v>46</v>
      </c>
      <c r="L2" s="6" t="s">
        <v>46</v>
      </c>
      <c r="M2" s="6" t="s">
        <v>56</v>
      </c>
      <c r="N2" s="6" t="s">
        <v>44</v>
      </c>
      <c r="O2" s="6" t="s">
        <v>62</v>
      </c>
      <c r="P2" s="6" t="s">
        <v>62</v>
      </c>
      <c r="Q2" s="6" t="s">
        <v>65</v>
      </c>
      <c r="R2" s="6" t="s">
        <v>65</v>
      </c>
      <c r="S2" s="6" t="s">
        <v>64</v>
      </c>
      <c r="T2" s="6" t="s">
        <v>64</v>
      </c>
      <c r="U2" s="6" t="s">
        <v>63</v>
      </c>
      <c r="V2" s="6" t="s">
        <v>63</v>
      </c>
      <c r="W2" s="6" t="s">
        <v>47</v>
      </c>
      <c r="X2" s="6" t="s">
        <v>48</v>
      </c>
      <c r="Y2" s="6" t="s">
        <v>49</v>
      </c>
      <c r="Z2" s="6" t="s">
        <v>58</v>
      </c>
      <c r="AA2" s="6" t="s">
        <v>70</v>
      </c>
      <c r="AB2" s="6" t="s">
        <v>71</v>
      </c>
      <c r="AC2" s="6" t="s">
        <v>8</v>
      </c>
      <c r="AD2" s="6" t="s">
        <v>1</v>
      </c>
      <c r="AE2" s="6" t="s">
        <v>1</v>
      </c>
      <c r="AF2" s="6" t="s">
        <v>1</v>
      </c>
      <c r="AG2" s="6" t="s">
        <v>1</v>
      </c>
      <c r="AH2" s="6" t="s">
        <v>1</v>
      </c>
      <c r="AI2" s="6" t="s">
        <v>9</v>
      </c>
      <c r="AJ2" s="6" t="s">
        <v>10</v>
      </c>
      <c r="AK2" s="6" t="s">
        <v>10</v>
      </c>
      <c r="AL2" s="6" t="s">
        <v>10</v>
      </c>
      <c r="AM2" s="6" t="s">
        <v>10</v>
      </c>
      <c r="AN2" s="6" t="s">
        <v>10</v>
      </c>
      <c r="AO2" s="6"/>
      <c r="AP2" s="6"/>
      <c r="AQ2" s="6"/>
      <c r="AS2" s="17"/>
    </row>
    <row r="3" spans="1:45" s="2" customFormat="1" ht="42.6" customHeight="1" x14ac:dyDescent="0.25">
      <c r="F3" s="5" t="s">
        <v>4</v>
      </c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 t="s">
        <v>6</v>
      </c>
      <c r="AD3" s="6" t="s">
        <v>6</v>
      </c>
      <c r="AE3" s="6" t="s">
        <v>6</v>
      </c>
      <c r="AF3" s="6" t="s">
        <v>6</v>
      </c>
      <c r="AG3" s="6" t="s">
        <v>6</v>
      </c>
      <c r="AH3" s="6" t="s">
        <v>6</v>
      </c>
      <c r="AI3" s="6" t="s">
        <v>6</v>
      </c>
      <c r="AJ3" s="6" t="s">
        <v>6</v>
      </c>
      <c r="AK3" s="6" t="s">
        <v>6</v>
      </c>
      <c r="AL3" s="6" t="s">
        <v>6</v>
      </c>
      <c r="AM3" s="6" t="s">
        <v>6</v>
      </c>
      <c r="AN3" s="6" t="s">
        <v>6</v>
      </c>
      <c r="AO3" s="6"/>
      <c r="AP3" s="6"/>
      <c r="AQ3" s="6"/>
      <c r="AS3" s="17"/>
    </row>
    <row r="4" spans="1:45" s="2" customFormat="1" ht="42.6" customHeight="1" x14ac:dyDescent="0.25">
      <c r="A4" s="13" t="s">
        <v>81</v>
      </c>
      <c r="B4" s="11" t="str">
        <f>"Trial Number
("&amp;COUNT(B$5:B$47)-1&amp;")"</f>
        <v>Trial Number
(42)</v>
      </c>
      <c r="C4" s="11" t="str">
        <f>"Run Trials
("&amp;COUNTIFS(C$5:C$47,TRUE)&amp;")"</f>
        <v>Run Trials
(1)</v>
      </c>
      <c r="D4" s="18" t="str">
        <f>"Full output
("&amp;TEXT(COUNTIFS($C$5:$C$47,TRUE,D$5:D$47,TRUE)/COUNTIFS($C$5:$C$47,TRUE),"0%)")</f>
        <v>Full output
(100%)</v>
      </c>
      <c r="E4" s="11" t="str">
        <f>"Report
("&amp;TEXT(COUNTIFS(E$5:E$47,TRUE)/COUNTA(E$5:E$47),"0%)")</f>
        <v>Report
(5%)</v>
      </c>
      <c r="F4" s="5" t="s">
        <v>5</v>
      </c>
      <c r="G4" s="8"/>
      <c r="H4" s="8" t="s">
        <v>35</v>
      </c>
      <c r="I4" s="8" t="s">
        <v>36</v>
      </c>
      <c r="J4" s="8" t="s">
        <v>35</v>
      </c>
      <c r="K4" s="8" t="s">
        <v>36</v>
      </c>
      <c r="L4" s="8" t="s">
        <v>37</v>
      </c>
      <c r="M4" s="8" t="s">
        <v>57</v>
      </c>
      <c r="N4" s="8"/>
      <c r="O4" s="8" t="s">
        <v>72</v>
      </c>
      <c r="P4" s="8" t="s">
        <v>73</v>
      </c>
      <c r="Q4" s="8" t="s">
        <v>72</v>
      </c>
      <c r="R4" s="8" t="s">
        <v>73</v>
      </c>
      <c r="S4" s="8" t="s">
        <v>72</v>
      </c>
      <c r="T4" s="8" t="s">
        <v>73</v>
      </c>
      <c r="U4" s="8" t="s">
        <v>72</v>
      </c>
      <c r="V4" s="8" t="s">
        <v>73</v>
      </c>
      <c r="W4" s="8"/>
      <c r="X4" s="8"/>
      <c r="Y4" s="8"/>
      <c r="Z4" s="8"/>
      <c r="AA4" s="8"/>
      <c r="AB4" s="8"/>
      <c r="AC4" s="7"/>
      <c r="AD4" s="7" t="s">
        <v>35</v>
      </c>
      <c r="AE4" s="8" t="s">
        <v>36</v>
      </c>
      <c r="AF4" s="8" t="s">
        <v>37</v>
      </c>
      <c r="AG4" s="8" t="s">
        <v>38</v>
      </c>
      <c r="AH4" s="8" t="s">
        <v>39</v>
      </c>
      <c r="AI4" s="7"/>
      <c r="AJ4" s="7" t="s">
        <v>35</v>
      </c>
      <c r="AK4" s="8" t="s">
        <v>36</v>
      </c>
      <c r="AL4" s="8" t="s">
        <v>37</v>
      </c>
      <c r="AM4" s="8" t="s">
        <v>38</v>
      </c>
      <c r="AN4" s="8" t="s">
        <v>39</v>
      </c>
      <c r="AO4" s="8"/>
      <c r="AP4" s="8"/>
      <c r="AQ4" s="8"/>
      <c r="AR4" s="12"/>
      <c r="AS4" s="17"/>
    </row>
    <row r="5" spans="1:45" x14ac:dyDescent="0.25">
      <c r="A5" s="19">
        <v>44273.512372685182</v>
      </c>
      <c r="B5">
        <f>ROW(B5)-5</f>
        <v>0</v>
      </c>
      <c r="C5" t="b">
        <v>0</v>
      </c>
      <c r="D5" t="b">
        <v>0</v>
      </c>
      <c r="E5" t="b">
        <v>0</v>
      </c>
      <c r="F5" s="3" t="s">
        <v>7</v>
      </c>
      <c r="G5" s="9" t="str" cm="1">
        <f t="array" ref="G5">_xlfn.IFS(OR(G1="sam",G1="sai"),1,G1="sav","-",OR(G1="sap",G1="saa"),0)</f>
        <v>-</v>
      </c>
      <c r="H5" s="9" t="str" cm="1">
        <f t="array" ref="H5">_xlfn.IFS(OR(H1="sam",H1="sai"),1,H1="sav","-",OR(H1="sap",H1="saa"),0)</f>
        <v>-</v>
      </c>
      <c r="I5" s="9" t="str" cm="1">
        <f t="array" ref="I5">_xlfn.IFS(OR(I1="sam",I1="sai"),1,I1="sav","-",OR(I1="sap",I1="saa"),0)</f>
        <v>-</v>
      </c>
      <c r="J5" s="9" t="str" cm="1">
        <f t="array" ref="J5">_xlfn.IFS(OR(J1="sam",J1="sai"),1,J1="sav","-",OR(J1="sap",J1="saa"),0)</f>
        <v>-</v>
      </c>
      <c r="K5" s="9" t="str" cm="1">
        <f t="array" ref="K5">_xlfn.IFS(OR(K1="sam",K1="sai"),1,K1="sav","-",OR(K1="sap",K1="saa"),0)</f>
        <v>-</v>
      </c>
      <c r="L5" s="9" t="str" cm="1">
        <f t="array" ref="L5">_xlfn.IFS(OR(L1="sam",L1="sai"),1,L1="sav","-",OR(L1="sap",L1="saa"),0)</f>
        <v>-</v>
      </c>
      <c r="M5" s="9" t="str" cm="1">
        <f t="array" ref="M5">_xlfn.IFS(OR(M1="sam",M1="sai"),1,M1="sav","-",OR(M1="sap",M1="saa"),0)</f>
        <v>-</v>
      </c>
      <c r="N5" s="9" t="str" cm="1">
        <f t="array" ref="N5">_xlfn.IFS(OR(N1="sam",N1="sai"),1,N1="sav","-",OR(N1="sap",N1="saa"),0)</f>
        <v>-</v>
      </c>
      <c r="O5" s="9" t="str" cm="1">
        <f t="array" ref="O5">_xlfn.IFS(OR(O1="sam",O1="sai"),1,O1="sav","-",OR(O1="sap",O1="saa"),0)</f>
        <v>-</v>
      </c>
      <c r="P5" s="9" t="str" cm="1">
        <f t="array" ref="P5">_xlfn.IFS(OR(P1="sam",P1="sai"),1,P1="sav","-",OR(P1="sap",P1="saa"),0)</f>
        <v>-</v>
      </c>
      <c r="Q5" s="9" t="str" cm="1">
        <f t="array" ref="Q5">_xlfn.IFS(OR(Q1="sam",Q1="sai"),1,Q1="sav","-",OR(Q1="sap",Q1="saa"),0)</f>
        <v>-</v>
      </c>
      <c r="R5" s="9" t="str" cm="1">
        <f t="array" ref="R5">_xlfn.IFS(OR(R1="sam",R1="sai"),1,R1="sav","-",OR(R1="sap",R1="saa"),0)</f>
        <v>-</v>
      </c>
      <c r="S5" s="9" t="str" cm="1">
        <f t="array" ref="S5">_xlfn.IFS(OR(S1="sam",S1="sai"),1,S1="sav","-",OR(S1="sap",S1="saa"),0)</f>
        <v>-</v>
      </c>
      <c r="T5" s="9" t="str" cm="1">
        <f t="array" ref="T5">_xlfn.IFS(OR(T1="sam",T1="sai"),1,T1="sav","-",OR(T1="sap",T1="saa"),0)</f>
        <v>-</v>
      </c>
      <c r="U5" s="9" t="str" cm="1">
        <f t="array" ref="U5">_xlfn.IFS(OR(U1="sam",U1="sai"),1,U1="sav","-",OR(U1="sap",U1="saa"),0)</f>
        <v>-</v>
      </c>
      <c r="V5" s="9" t="str" cm="1">
        <f t="array" ref="V5">_xlfn.IFS(OR(V1="sam",V1="sai"),1,V1="sav","-",OR(V1="sap",V1="saa"),0)</f>
        <v>-</v>
      </c>
      <c r="W5" s="9" t="str" cm="1">
        <f t="array" ref="W5">_xlfn.IFS(OR(W1="sam",W1="sai"),1,W1="sav","-",OR(W1="sap",W1="saa"),0)</f>
        <v>-</v>
      </c>
      <c r="X5" s="9" t="str" cm="1">
        <f t="array" ref="X5">_xlfn.IFS(OR(X1="sam",X1="sai"),1,X1="sav","-",OR(X1="sap",X1="saa"),0)</f>
        <v>-</v>
      </c>
      <c r="Y5" s="9" t="str" cm="1">
        <f t="array" ref="Y5">_xlfn.IFS(OR(Y1="sam",Y1="sai"),1,Y1="sav","-",OR(Y1="sap",Y1="saa"),0)</f>
        <v>-</v>
      </c>
      <c r="Z5" s="9" t="str" cm="1">
        <f t="array" ref="Z5">_xlfn.IFS(OR(Z1="sam",Z1="sai"),1,Z1="sav","-",OR(Z1="sap",Z1="saa"),0)</f>
        <v>-</v>
      </c>
      <c r="AA5" s="9" t="str" cm="1">
        <f t="array" ref="AA5">_xlfn.IFS(OR(AA1="sam",AA1="sai"),1,AA1="sav","-",OR(AA1="sap",AA1="saa"),0)</f>
        <v>-</v>
      </c>
      <c r="AB5" s="9" t="str" cm="1">
        <f t="array" ref="AB5">_xlfn.IFS(OR(AB1="sam",AB1="sai"),1,AB1="sav","-",OR(AB1="sap",AB1="saa"),0)</f>
        <v>-</v>
      </c>
      <c r="AC5" s="9" cm="1">
        <f t="array" ref="AC5">_xlfn.IFS(OR(AC1="sam",AC1="sai"),1,AC1="sav","-",OR(AC1="sap",AC1="saa"),0)</f>
        <v>1</v>
      </c>
      <c r="AD5" s="9" cm="1">
        <f t="array" ref="AD5">_xlfn.IFS(OR(AD1="sam",AD1="sai"),1,AD1="sav","-",OR(AD1="sap",AD1="saa"),0)</f>
        <v>1</v>
      </c>
      <c r="AE5" s="9" cm="1">
        <f t="array" ref="AE5">_xlfn.IFS(OR(AE1="sam",AE1="sai"),1,AE1="sav","-",OR(AE1="sap",AE1="saa"),0)</f>
        <v>1</v>
      </c>
      <c r="AF5" s="9" cm="1">
        <f t="array" ref="AF5">_xlfn.IFS(OR(AF1="sam",AF1="sai"),1,AF1="sav","-",OR(AF1="sap",AF1="saa"),0)</f>
        <v>1</v>
      </c>
      <c r="AG5" s="9" cm="1">
        <f t="array" ref="AG5">_xlfn.IFS(OR(AG1="sam",AG1="sai"),1,AG1="sav","-",OR(AG1="sap",AG1="saa"),0)</f>
        <v>1</v>
      </c>
      <c r="AH5" s="9" cm="1">
        <f t="array" ref="AH5">_xlfn.IFS(OR(AH1="sam",AH1="sai"),1,AH1="sav","-",OR(AH1="sap",AH1="saa"),0)</f>
        <v>1</v>
      </c>
      <c r="AI5" s="9" cm="1">
        <f t="array" ref="AI5">_xlfn.IFS(OR(AI1="sam",AI1="sai"),1,AI1="sav","-",OR(AI1="sap",AI1="saa"),0)</f>
        <v>1</v>
      </c>
      <c r="AJ5" s="9" cm="1">
        <f t="array" ref="AJ5">_xlfn.IFS(OR(AJ1="sam",AJ1="sai"),1,AJ1="sav","-",OR(AJ1="sap",AJ1="saa"),0)</f>
        <v>1</v>
      </c>
      <c r="AK5" s="9" cm="1">
        <f t="array" ref="AK5">_xlfn.IFS(OR(AK1="sam",AK1="sai"),1,AK1="sav","-",OR(AK1="sap",AK1="saa"),0)</f>
        <v>1</v>
      </c>
      <c r="AL5" s="9" cm="1">
        <f t="array" ref="AL5">_xlfn.IFS(OR(AL1="sam",AL1="sai"),1,AL1="sav","-",OR(AL1="sap",AL1="saa"),0)</f>
        <v>1</v>
      </c>
      <c r="AM5" s="9" cm="1">
        <f t="array" ref="AM5">_xlfn.IFS(OR(AM1="sam",AM1="sai"),1,AM1="sav","-",OR(AM1="sap",AM1="saa"),0)</f>
        <v>1</v>
      </c>
      <c r="AN5" s="9" cm="1">
        <f t="array" ref="AN5">_xlfn.IFS(OR(AN1="sam",AN1="sai"),1,AN1="sav","-",OR(AN1="sap",AN1="saa"),0)</f>
        <v>1</v>
      </c>
      <c r="AO5" s="9" cm="1">
        <f t="array" ref="AO5">_xlfn.IFS(OR(AO1="sam",AO1="sai"),1,AO1="sav","-",OR(AO1="sap",AO1="saa"),0)</f>
        <v>0</v>
      </c>
      <c r="AP5" s="9" cm="1">
        <f t="array" ref="AP5">_xlfn.IFS(OR(AP1="sam",AP1="sai"),1,AP1="sav","-",OR(AP1="sap",AP1="saa"),0)</f>
        <v>0</v>
      </c>
      <c r="AQ5" s="9" cm="1">
        <f t="array" ref="AQ5">_xlfn.IFS(OR(AQ1="sam",AQ1="sai"),1,AQ1="sav","-",OR(AQ1="sap",AQ1="saa"),0)</f>
        <v>0</v>
      </c>
      <c r="AR5" s="9" cm="1">
        <f t="array" ref="AR5">_xlfn.IFS(OR(AR1="sam",AR1="sai"),1,AR1="sav","-",OR(AR1="sap",AR1="saa"),0)</f>
        <v>0</v>
      </c>
      <c r="AS5" s="15">
        <v>0</v>
      </c>
    </row>
    <row r="6" spans="1:45" x14ac:dyDescent="0.25">
      <c r="A6" s="19"/>
      <c r="B6">
        <f>ROW(B6)-5</f>
        <v>1</v>
      </c>
      <c r="C6" t="b">
        <v>0</v>
      </c>
      <c r="D6" t="b">
        <v>0</v>
      </c>
      <c r="E6" t="b">
        <v>0</v>
      </c>
      <c r="F6" s="3" t="s">
        <v>67</v>
      </c>
      <c r="G6" t="s">
        <v>83</v>
      </c>
      <c r="H6" t="str">
        <f t="shared" ref="H6:AR6" si="0">H5</f>
        <v>-</v>
      </c>
      <c r="I6" t="str">
        <f t="shared" si="0"/>
        <v>-</v>
      </c>
      <c r="J6" t="str">
        <f t="shared" si="0"/>
        <v>-</v>
      </c>
      <c r="K6" t="str">
        <f t="shared" si="0"/>
        <v>-</v>
      </c>
      <c r="L6" t="str">
        <f t="shared" si="0"/>
        <v>-</v>
      </c>
      <c r="M6" t="str">
        <f t="shared" si="0"/>
        <v>-</v>
      </c>
      <c r="N6" t="str">
        <f t="shared" si="0"/>
        <v>-</v>
      </c>
      <c r="O6" t="str">
        <f t="shared" si="0"/>
        <v>-</v>
      </c>
      <c r="P6" t="str">
        <f t="shared" ref="P6" si="1">P5</f>
        <v>-</v>
      </c>
      <c r="Q6" t="str">
        <f t="shared" si="0"/>
        <v>-</v>
      </c>
      <c r="R6" t="str">
        <f t="shared" ref="R6" si="2">R5</f>
        <v>-</v>
      </c>
      <c r="S6" t="str">
        <f t="shared" si="0"/>
        <v>-</v>
      </c>
      <c r="T6" t="str">
        <f t="shared" ref="T6" si="3">T5</f>
        <v>-</v>
      </c>
      <c r="U6" t="str">
        <f t="shared" si="0"/>
        <v>-</v>
      </c>
      <c r="V6" t="str">
        <f t="shared" ref="V6" si="4">V5</f>
        <v>-</v>
      </c>
      <c r="W6" t="str">
        <f t="shared" si="0"/>
        <v>-</v>
      </c>
      <c r="X6" t="str">
        <f t="shared" si="0"/>
        <v>-</v>
      </c>
      <c r="Y6" t="str">
        <f t="shared" si="0"/>
        <v>-</v>
      </c>
      <c r="Z6" t="str">
        <f t="shared" si="0"/>
        <v>-</v>
      </c>
      <c r="AA6" t="str">
        <f t="shared" ref="AA6:AB6" si="5">AA5</f>
        <v>-</v>
      </c>
      <c r="AB6" t="str">
        <f t="shared" si="5"/>
        <v>-</v>
      </c>
      <c r="AC6">
        <f t="shared" si="0"/>
        <v>1</v>
      </c>
      <c r="AD6">
        <f t="shared" si="0"/>
        <v>1</v>
      </c>
      <c r="AE6">
        <f t="shared" si="0"/>
        <v>1</v>
      </c>
      <c r="AF6">
        <f t="shared" si="0"/>
        <v>1</v>
      </c>
      <c r="AG6">
        <f t="shared" si="0"/>
        <v>1</v>
      </c>
      <c r="AH6">
        <f t="shared" si="0"/>
        <v>1</v>
      </c>
      <c r="AI6">
        <f t="shared" si="0"/>
        <v>1</v>
      </c>
      <c r="AJ6">
        <f t="shared" si="0"/>
        <v>1</v>
      </c>
      <c r="AK6">
        <f t="shared" si="0"/>
        <v>1</v>
      </c>
      <c r="AL6">
        <f t="shared" si="0"/>
        <v>1</v>
      </c>
      <c r="AM6">
        <f t="shared" si="0"/>
        <v>1</v>
      </c>
      <c r="AN6">
        <f t="shared" si="0"/>
        <v>1</v>
      </c>
      <c r="AO6">
        <f t="shared" si="0"/>
        <v>0</v>
      </c>
      <c r="AP6">
        <f t="shared" si="0"/>
        <v>0</v>
      </c>
      <c r="AQ6">
        <f t="shared" si="0"/>
        <v>0</v>
      </c>
      <c r="AR6">
        <f t="shared" si="0"/>
        <v>0</v>
      </c>
      <c r="AS6" s="15">
        <v>0</v>
      </c>
    </row>
    <row r="7" spans="1:45" x14ac:dyDescent="0.25">
      <c r="A7" s="19"/>
      <c r="B7">
        <f t="shared" ref="B7:B47" si="6">ROW(B7)-5</f>
        <v>2</v>
      </c>
      <c r="C7" t="b">
        <v>0</v>
      </c>
      <c r="D7" t="b">
        <v>0</v>
      </c>
      <c r="E7" t="b">
        <v>0</v>
      </c>
      <c r="F7" s="3" t="s">
        <v>11</v>
      </c>
      <c r="G7" t="str">
        <f t="shared" ref="G7:Z7" si="7">G5</f>
        <v>-</v>
      </c>
      <c r="H7" t="str">
        <f t="shared" si="7"/>
        <v>-</v>
      </c>
      <c r="I7" t="str">
        <f t="shared" si="7"/>
        <v>-</v>
      </c>
      <c r="J7" t="str">
        <f t="shared" si="7"/>
        <v>-</v>
      </c>
      <c r="K7" t="str">
        <f t="shared" si="7"/>
        <v>-</v>
      </c>
      <c r="L7" t="str">
        <f t="shared" si="7"/>
        <v>-</v>
      </c>
      <c r="M7" t="str">
        <f t="shared" si="7"/>
        <v>-</v>
      </c>
      <c r="N7" t="str">
        <f t="shared" si="7"/>
        <v>-</v>
      </c>
      <c r="O7" t="str">
        <f t="shared" si="7"/>
        <v>-</v>
      </c>
      <c r="P7" t="str">
        <f t="shared" ref="P7" si="8">P5</f>
        <v>-</v>
      </c>
      <c r="Q7" t="str">
        <f t="shared" si="7"/>
        <v>-</v>
      </c>
      <c r="R7" t="str">
        <f t="shared" ref="R7" si="9">R5</f>
        <v>-</v>
      </c>
      <c r="S7" t="str">
        <f t="shared" si="7"/>
        <v>-</v>
      </c>
      <c r="T7" t="str">
        <f t="shared" ref="T7" si="10">T5</f>
        <v>-</v>
      </c>
      <c r="U7" t="str">
        <f t="shared" si="7"/>
        <v>-</v>
      </c>
      <c r="V7" t="str">
        <f t="shared" ref="V7" si="11">V5</f>
        <v>-</v>
      </c>
      <c r="W7" t="str">
        <f t="shared" si="7"/>
        <v>-</v>
      </c>
      <c r="X7" t="str">
        <f t="shared" si="7"/>
        <v>-</v>
      </c>
      <c r="Y7" t="str">
        <f t="shared" si="7"/>
        <v>-</v>
      </c>
      <c r="Z7" t="str">
        <f t="shared" si="7"/>
        <v>-</v>
      </c>
      <c r="AA7" t="str">
        <f t="shared" ref="AA7:AB7" si="12">AA5</f>
        <v>-</v>
      </c>
      <c r="AB7" t="str">
        <f t="shared" si="12"/>
        <v>-</v>
      </c>
      <c r="AC7">
        <v>0.9</v>
      </c>
      <c r="AD7">
        <v>1</v>
      </c>
      <c r="AE7">
        <v>1</v>
      </c>
      <c r="AF7">
        <v>1</v>
      </c>
      <c r="AG7">
        <v>1</v>
      </c>
      <c r="AH7">
        <v>1</v>
      </c>
      <c r="AI7">
        <v>1</v>
      </c>
      <c r="AJ7">
        <v>1</v>
      </c>
      <c r="AK7">
        <v>1</v>
      </c>
      <c r="AL7">
        <v>1</v>
      </c>
      <c r="AM7">
        <v>1</v>
      </c>
      <c r="AN7">
        <v>1</v>
      </c>
      <c r="AO7">
        <v>1</v>
      </c>
      <c r="AP7">
        <v>1</v>
      </c>
      <c r="AQ7">
        <v>1</v>
      </c>
      <c r="AR7">
        <f>AR5</f>
        <v>0</v>
      </c>
      <c r="AS7" s="15">
        <v>0</v>
      </c>
    </row>
    <row r="8" spans="1:45" x14ac:dyDescent="0.25">
      <c r="A8" s="19"/>
      <c r="B8">
        <f t="shared" si="6"/>
        <v>3</v>
      </c>
      <c r="C8" t="b">
        <v>0</v>
      </c>
      <c r="D8" t="b">
        <v>0</v>
      </c>
      <c r="E8" t="b">
        <v>0</v>
      </c>
      <c r="F8" s="3" t="s">
        <v>12</v>
      </c>
      <c r="G8" t="str">
        <f t="shared" ref="G8:G30" si="13">G7</f>
        <v>-</v>
      </c>
      <c r="H8" t="str">
        <f t="shared" ref="H8" si="14">H7</f>
        <v>-</v>
      </c>
      <c r="I8" t="str">
        <f t="shared" ref="I8:I30" si="15">I7</f>
        <v>-</v>
      </c>
      <c r="J8" t="str">
        <f t="shared" ref="J8:J30" si="16">J7</f>
        <v>-</v>
      </c>
      <c r="K8" t="str">
        <f t="shared" ref="K8:K30" si="17">K7</f>
        <v>-</v>
      </c>
      <c r="L8" t="str">
        <f t="shared" ref="L8:L30" si="18">L7</f>
        <v>-</v>
      </c>
      <c r="M8" t="str">
        <f t="shared" ref="M8" si="19">M7</f>
        <v>-</v>
      </c>
      <c r="N8" t="str">
        <f t="shared" ref="N8:U8" si="20">N7</f>
        <v>-</v>
      </c>
      <c r="O8" t="str">
        <f t="shared" si="20"/>
        <v>-</v>
      </c>
      <c r="P8" t="str">
        <f t="shared" ref="P8" si="21">P7</f>
        <v>-</v>
      </c>
      <c r="Q8" t="str">
        <f t="shared" si="20"/>
        <v>-</v>
      </c>
      <c r="R8" t="str">
        <f t="shared" ref="R8" si="22">R7</f>
        <v>-</v>
      </c>
      <c r="S8" t="str">
        <f t="shared" si="20"/>
        <v>-</v>
      </c>
      <c r="T8" t="str">
        <f t="shared" ref="T8" si="23">T7</f>
        <v>-</v>
      </c>
      <c r="U8" t="str">
        <f t="shared" si="20"/>
        <v>-</v>
      </c>
      <c r="V8" t="str">
        <f t="shared" ref="V8" si="24">V7</f>
        <v>-</v>
      </c>
      <c r="W8" t="str">
        <f t="shared" ref="W8:Y8" si="25">W7</f>
        <v>-</v>
      </c>
      <c r="X8" t="str">
        <f t="shared" si="25"/>
        <v>-</v>
      </c>
      <c r="Y8" t="str">
        <f t="shared" si="25"/>
        <v>-</v>
      </c>
      <c r="Z8" t="str">
        <f t="shared" ref="Z8:AB8" si="26">Z7</f>
        <v>-</v>
      </c>
      <c r="AA8" t="str">
        <f t="shared" ref="AA8" si="27">AA7</f>
        <v>-</v>
      </c>
      <c r="AB8" t="str">
        <f t="shared" si="26"/>
        <v>-</v>
      </c>
      <c r="AC8">
        <v>1.1000000000000001</v>
      </c>
      <c r="AD8">
        <v>1</v>
      </c>
      <c r="AE8">
        <v>1</v>
      </c>
      <c r="AF8">
        <v>1</v>
      </c>
      <c r="AG8">
        <v>1</v>
      </c>
      <c r="AH8">
        <v>1</v>
      </c>
      <c r="AI8">
        <v>1</v>
      </c>
      <c r="AJ8">
        <v>1</v>
      </c>
      <c r="AK8">
        <v>1</v>
      </c>
      <c r="AL8">
        <v>1</v>
      </c>
      <c r="AM8">
        <v>1</v>
      </c>
      <c r="AN8">
        <v>1</v>
      </c>
      <c r="AO8">
        <v>1</v>
      </c>
      <c r="AP8">
        <v>1</v>
      </c>
      <c r="AQ8">
        <v>1</v>
      </c>
      <c r="AR8">
        <f t="shared" ref="AR8:AR30" si="28">AR7</f>
        <v>0</v>
      </c>
      <c r="AS8" s="15">
        <v>0</v>
      </c>
    </row>
    <row r="9" spans="1:45" x14ac:dyDescent="0.25">
      <c r="A9" s="19"/>
      <c r="B9">
        <f t="shared" si="6"/>
        <v>4</v>
      </c>
      <c r="C9" t="b">
        <v>0</v>
      </c>
      <c r="D9" t="b">
        <v>0</v>
      </c>
      <c r="E9" t="b">
        <v>0</v>
      </c>
      <c r="F9" s="3" t="s">
        <v>13</v>
      </c>
      <c r="G9" t="str">
        <f t="shared" si="13"/>
        <v>-</v>
      </c>
      <c r="H9" t="str">
        <f t="shared" ref="H9" si="29">H8</f>
        <v>-</v>
      </c>
      <c r="I9" t="str">
        <f t="shared" si="15"/>
        <v>-</v>
      </c>
      <c r="J9" t="str">
        <f t="shared" si="16"/>
        <v>-</v>
      </c>
      <c r="K9" t="str">
        <f t="shared" si="17"/>
        <v>-</v>
      </c>
      <c r="L9" t="str">
        <f t="shared" si="18"/>
        <v>-</v>
      </c>
      <c r="M9" t="str">
        <f t="shared" ref="M9" si="30">M8</f>
        <v>-</v>
      </c>
      <c r="N9" t="str">
        <f t="shared" ref="N9:U9" si="31">N8</f>
        <v>-</v>
      </c>
      <c r="O9" t="str">
        <f t="shared" si="31"/>
        <v>-</v>
      </c>
      <c r="P9" t="str">
        <f t="shared" ref="P9" si="32">P8</f>
        <v>-</v>
      </c>
      <c r="Q9" t="str">
        <f t="shared" si="31"/>
        <v>-</v>
      </c>
      <c r="R9" t="str">
        <f t="shared" ref="R9" si="33">R8</f>
        <v>-</v>
      </c>
      <c r="S9" t="str">
        <f t="shared" si="31"/>
        <v>-</v>
      </c>
      <c r="T9" t="str">
        <f t="shared" ref="T9" si="34">T8</f>
        <v>-</v>
      </c>
      <c r="U9" t="str">
        <f t="shared" si="31"/>
        <v>-</v>
      </c>
      <c r="V9" t="str">
        <f t="shared" ref="V9" si="35">V8</f>
        <v>-</v>
      </c>
      <c r="W9" t="str">
        <f t="shared" ref="W9:Y9" si="36">W8</f>
        <v>-</v>
      </c>
      <c r="X9" t="str">
        <f t="shared" si="36"/>
        <v>-</v>
      </c>
      <c r="Y9" t="str">
        <f t="shared" si="36"/>
        <v>-</v>
      </c>
      <c r="Z9" t="str">
        <f t="shared" ref="Z9:AB9" si="37">Z8</f>
        <v>-</v>
      </c>
      <c r="AA9" t="str">
        <f t="shared" ref="AA9" si="38">AA8</f>
        <v>-</v>
      </c>
      <c r="AB9" t="str">
        <f t="shared" si="37"/>
        <v>-</v>
      </c>
      <c r="AC9">
        <v>1</v>
      </c>
      <c r="AD9">
        <v>0.9</v>
      </c>
      <c r="AE9">
        <v>1</v>
      </c>
      <c r="AF9">
        <v>1</v>
      </c>
      <c r="AG9">
        <v>1</v>
      </c>
      <c r="AH9">
        <v>1</v>
      </c>
      <c r="AI9">
        <v>1</v>
      </c>
      <c r="AJ9">
        <v>1</v>
      </c>
      <c r="AK9">
        <v>1</v>
      </c>
      <c r="AL9">
        <v>1</v>
      </c>
      <c r="AM9">
        <v>1</v>
      </c>
      <c r="AN9">
        <v>1</v>
      </c>
      <c r="AO9">
        <v>1</v>
      </c>
      <c r="AP9">
        <v>1</v>
      </c>
      <c r="AQ9">
        <v>1</v>
      </c>
      <c r="AR9">
        <f t="shared" si="28"/>
        <v>0</v>
      </c>
      <c r="AS9" s="15">
        <v>0</v>
      </c>
    </row>
    <row r="10" spans="1:45" x14ac:dyDescent="0.25">
      <c r="A10" s="19"/>
      <c r="B10">
        <f t="shared" si="6"/>
        <v>5</v>
      </c>
      <c r="C10" t="b">
        <v>0</v>
      </c>
      <c r="D10" t="b">
        <v>0</v>
      </c>
      <c r="E10" t="b">
        <v>0</v>
      </c>
      <c r="F10" s="3" t="s">
        <v>14</v>
      </c>
      <c r="G10" t="str">
        <f t="shared" si="13"/>
        <v>-</v>
      </c>
      <c r="H10" t="str">
        <f t="shared" ref="H10" si="39">H9</f>
        <v>-</v>
      </c>
      <c r="I10" t="str">
        <f t="shared" si="15"/>
        <v>-</v>
      </c>
      <c r="J10" t="str">
        <f t="shared" si="16"/>
        <v>-</v>
      </c>
      <c r="K10" t="str">
        <f t="shared" si="17"/>
        <v>-</v>
      </c>
      <c r="L10" t="str">
        <f t="shared" si="18"/>
        <v>-</v>
      </c>
      <c r="M10" t="str">
        <f t="shared" ref="M10" si="40">M9</f>
        <v>-</v>
      </c>
      <c r="N10" t="str">
        <f t="shared" ref="N10:U10" si="41">N9</f>
        <v>-</v>
      </c>
      <c r="O10" t="str">
        <f t="shared" si="41"/>
        <v>-</v>
      </c>
      <c r="P10" t="str">
        <f t="shared" ref="P10" si="42">P9</f>
        <v>-</v>
      </c>
      <c r="Q10" t="str">
        <f t="shared" si="41"/>
        <v>-</v>
      </c>
      <c r="R10" t="str">
        <f t="shared" ref="R10" si="43">R9</f>
        <v>-</v>
      </c>
      <c r="S10" t="str">
        <f t="shared" si="41"/>
        <v>-</v>
      </c>
      <c r="T10" t="str">
        <f t="shared" ref="T10" si="44">T9</f>
        <v>-</v>
      </c>
      <c r="U10" t="str">
        <f t="shared" si="41"/>
        <v>-</v>
      </c>
      <c r="V10" t="str">
        <f t="shared" ref="V10" si="45">V9</f>
        <v>-</v>
      </c>
      <c r="W10" t="str">
        <f t="shared" ref="W10:Y10" si="46">W9</f>
        <v>-</v>
      </c>
      <c r="X10" t="str">
        <f t="shared" si="46"/>
        <v>-</v>
      </c>
      <c r="Y10" t="str">
        <f t="shared" si="46"/>
        <v>-</v>
      </c>
      <c r="Z10" t="str">
        <f t="shared" ref="Z10:AB10" si="47">Z9</f>
        <v>-</v>
      </c>
      <c r="AA10" t="str">
        <f t="shared" ref="AA10" si="48">AA9</f>
        <v>-</v>
      </c>
      <c r="AB10" t="str">
        <f t="shared" si="47"/>
        <v>-</v>
      </c>
      <c r="AC10">
        <v>1</v>
      </c>
      <c r="AD10">
        <v>1.1000000000000001</v>
      </c>
      <c r="AE10">
        <v>1</v>
      </c>
      <c r="AF10">
        <v>1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f t="shared" si="28"/>
        <v>0</v>
      </c>
      <c r="AS10" s="15">
        <v>0</v>
      </c>
    </row>
    <row r="11" spans="1:45" x14ac:dyDescent="0.25">
      <c r="A11" s="19"/>
      <c r="B11">
        <f t="shared" si="6"/>
        <v>6</v>
      </c>
      <c r="C11" t="b">
        <v>0</v>
      </c>
      <c r="D11" t="b">
        <v>0</v>
      </c>
      <c r="E11" t="b">
        <v>0</v>
      </c>
      <c r="F11" s="3" t="s">
        <v>15</v>
      </c>
      <c r="G11" t="str">
        <f t="shared" si="13"/>
        <v>-</v>
      </c>
      <c r="H11" t="str">
        <f t="shared" ref="H11" si="49">H10</f>
        <v>-</v>
      </c>
      <c r="I11" t="str">
        <f t="shared" si="15"/>
        <v>-</v>
      </c>
      <c r="J11" t="str">
        <f t="shared" si="16"/>
        <v>-</v>
      </c>
      <c r="K11" t="str">
        <f t="shared" si="17"/>
        <v>-</v>
      </c>
      <c r="L11" t="str">
        <f t="shared" si="18"/>
        <v>-</v>
      </c>
      <c r="M11" t="str">
        <f t="shared" ref="M11" si="50">M10</f>
        <v>-</v>
      </c>
      <c r="N11" t="str">
        <f t="shared" ref="N11:U11" si="51">N10</f>
        <v>-</v>
      </c>
      <c r="O11" t="str">
        <f t="shared" si="51"/>
        <v>-</v>
      </c>
      <c r="P11" t="str">
        <f t="shared" ref="P11" si="52">P10</f>
        <v>-</v>
      </c>
      <c r="Q11" t="str">
        <f t="shared" si="51"/>
        <v>-</v>
      </c>
      <c r="R11" t="str">
        <f t="shared" ref="R11" si="53">R10</f>
        <v>-</v>
      </c>
      <c r="S11" t="str">
        <f t="shared" si="51"/>
        <v>-</v>
      </c>
      <c r="T11" t="str">
        <f t="shared" ref="T11" si="54">T10</f>
        <v>-</v>
      </c>
      <c r="U11" t="str">
        <f t="shared" si="51"/>
        <v>-</v>
      </c>
      <c r="V11" t="str">
        <f t="shared" ref="V11" si="55">V10</f>
        <v>-</v>
      </c>
      <c r="W11" t="str">
        <f t="shared" ref="W11:Y11" si="56">W10</f>
        <v>-</v>
      </c>
      <c r="X11" t="str">
        <f t="shared" si="56"/>
        <v>-</v>
      </c>
      <c r="Y11" t="str">
        <f t="shared" si="56"/>
        <v>-</v>
      </c>
      <c r="Z11" t="str">
        <f t="shared" ref="Z11:AB11" si="57">Z10</f>
        <v>-</v>
      </c>
      <c r="AA11" t="str">
        <f t="shared" ref="AA11" si="58">AA10</f>
        <v>-</v>
      </c>
      <c r="AB11" t="str">
        <f t="shared" si="57"/>
        <v>-</v>
      </c>
      <c r="AC11">
        <v>1</v>
      </c>
      <c r="AD11">
        <v>1</v>
      </c>
      <c r="AE11">
        <v>0.9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f t="shared" si="28"/>
        <v>0</v>
      </c>
      <c r="AS11" s="15">
        <v>0</v>
      </c>
    </row>
    <row r="12" spans="1:45" x14ac:dyDescent="0.25">
      <c r="A12" s="19"/>
      <c r="B12">
        <f t="shared" si="6"/>
        <v>7</v>
      </c>
      <c r="C12" t="b">
        <v>0</v>
      </c>
      <c r="D12" t="b">
        <v>0</v>
      </c>
      <c r="E12" t="b">
        <v>0</v>
      </c>
      <c r="F12" s="3" t="s">
        <v>16</v>
      </c>
      <c r="G12" t="str">
        <f t="shared" si="13"/>
        <v>-</v>
      </c>
      <c r="H12" t="str">
        <f t="shared" ref="H12" si="59">H11</f>
        <v>-</v>
      </c>
      <c r="I12" t="str">
        <f t="shared" si="15"/>
        <v>-</v>
      </c>
      <c r="J12" t="str">
        <f t="shared" si="16"/>
        <v>-</v>
      </c>
      <c r="K12" t="str">
        <f t="shared" si="17"/>
        <v>-</v>
      </c>
      <c r="L12" t="str">
        <f t="shared" si="18"/>
        <v>-</v>
      </c>
      <c r="M12" t="str">
        <f t="shared" ref="M12" si="60">M11</f>
        <v>-</v>
      </c>
      <c r="N12" t="str">
        <f t="shared" ref="N12:U12" si="61">N11</f>
        <v>-</v>
      </c>
      <c r="O12" t="str">
        <f t="shared" si="61"/>
        <v>-</v>
      </c>
      <c r="P12" t="str">
        <f t="shared" ref="P12" si="62">P11</f>
        <v>-</v>
      </c>
      <c r="Q12" t="str">
        <f t="shared" si="61"/>
        <v>-</v>
      </c>
      <c r="R12" t="str">
        <f t="shared" ref="R12" si="63">R11</f>
        <v>-</v>
      </c>
      <c r="S12" t="str">
        <f t="shared" si="61"/>
        <v>-</v>
      </c>
      <c r="T12" t="str">
        <f t="shared" ref="T12" si="64">T11</f>
        <v>-</v>
      </c>
      <c r="U12" t="str">
        <f t="shared" si="61"/>
        <v>-</v>
      </c>
      <c r="V12" t="str">
        <f t="shared" ref="V12" si="65">V11</f>
        <v>-</v>
      </c>
      <c r="W12" t="str">
        <f t="shared" ref="W12:Y12" si="66">W11</f>
        <v>-</v>
      </c>
      <c r="X12" t="str">
        <f t="shared" si="66"/>
        <v>-</v>
      </c>
      <c r="Y12" t="str">
        <f t="shared" si="66"/>
        <v>-</v>
      </c>
      <c r="Z12" t="str">
        <f t="shared" ref="Z12:AB12" si="67">Z11</f>
        <v>-</v>
      </c>
      <c r="AA12" t="str">
        <f t="shared" ref="AA12" si="68">AA11</f>
        <v>-</v>
      </c>
      <c r="AB12" t="str">
        <f t="shared" si="67"/>
        <v>-</v>
      </c>
      <c r="AC12">
        <v>1</v>
      </c>
      <c r="AD12">
        <v>1</v>
      </c>
      <c r="AE12">
        <v>1.1000000000000001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f t="shared" si="28"/>
        <v>0</v>
      </c>
      <c r="AS12" s="15">
        <v>0</v>
      </c>
    </row>
    <row r="13" spans="1:45" x14ac:dyDescent="0.25">
      <c r="A13" s="19"/>
      <c r="B13">
        <f t="shared" si="6"/>
        <v>8</v>
      </c>
      <c r="C13" t="b">
        <v>0</v>
      </c>
      <c r="D13" t="b">
        <v>0</v>
      </c>
      <c r="E13" t="b">
        <v>0</v>
      </c>
      <c r="F13" s="3" t="s">
        <v>22</v>
      </c>
      <c r="G13" t="str">
        <f t="shared" si="13"/>
        <v>-</v>
      </c>
      <c r="H13" t="str">
        <f t="shared" ref="H13" si="69">H12</f>
        <v>-</v>
      </c>
      <c r="I13" t="str">
        <f t="shared" si="15"/>
        <v>-</v>
      </c>
      <c r="J13" t="str">
        <f t="shared" si="16"/>
        <v>-</v>
      </c>
      <c r="K13" t="str">
        <f t="shared" si="17"/>
        <v>-</v>
      </c>
      <c r="L13" t="str">
        <f t="shared" si="18"/>
        <v>-</v>
      </c>
      <c r="M13" t="str">
        <f t="shared" ref="M13" si="70">M12</f>
        <v>-</v>
      </c>
      <c r="N13" t="str">
        <f t="shared" ref="N13:U13" si="71">N12</f>
        <v>-</v>
      </c>
      <c r="O13" t="str">
        <f t="shared" si="71"/>
        <v>-</v>
      </c>
      <c r="P13" t="str">
        <f t="shared" ref="P13" si="72">P12</f>
        <v>-</v>
      </c>
      <c r="Q13" t="str">
        <f t="shared" si="71"/>
        <v>-</v>
      </c>
      <c r="R13" t="str">
        <f t="shared" ref="R13" si="73">R12</f>
        <v>-</v>
      </c>
      <c r="S13" t="str">
        <f t="shared" si="71"/>
        <v>-</v>
      </c>
      <c r="T13" t="str">
        <f t="shared" ref="T13" si="74">T12</f>
        <v>-</v>
      </c>
      <c r="U13" t="str">
        <f t="shared" si="71"/>
        <v>-</v>
      </c>
      <c r="V13" t="str">
        <f t="shared" ref="V13" si="75">V12</f>
        <v>-</v>
      </c>
      <c r="W13" t="str">
        <f t="shared" ref="W13:Y13" si="76">W12</f>
        <v>-</v>
      </c>
      <c r="X13" t="str">
        <f t="shared" si="76"/>
        <v>-</v>
      </c>
      <c r="Y13" t="str">
        <f t="shared" si="76"/>
        <v>-</v>
      </c>
      <c r="Z13" t="str">
        <f t="shared" ref="Z13:AB13" si="77">Z12</f>
        <v>-</v>
      </c>
      <c r="AA13" t="str">
        <f t="shared" ref="AA13" si="78">AA12</f>
        <v>-</v>
      </c>
      <c r="AB13" t="str">
        <f t="shared" si="77"/>
        <v>-</v>
      </c>
      <c r="AC13">
        <v>1</v>
      </c>
      <c r="AD13">
        <v>1</v>
      </c>
      <c r="AE13">
        <v>1</v>
      </c>
      <c r="AF13">
        <v>0.9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f t="shared" si="28"/>
        <v>0</v>
      </c>
      <c r="AS13" s="15">
        <v>0</v>
      </c>
    </row>
    <row r="14" spans="1:45" x14ac:dyDescent="0.25">
      <c r="A14" s="19"/>
      <c r="B14">
        <f t="shared" si="6"/>
        <v>9</v>
      </c>
      <c r="C14" t="b">
        <v>0</v>
      </c>
      <c r="D14" t="b">
        <v>0</v>
      </c>
      <c r="E14" t="b">
        <v>0</v>
      </c>
      <c r="F14" s="3" t="s">
        <v>17</v>
      </c>
      <c r="G14" t="str">
        <f t="shared" si="13"/>
        <v>-</v>
      </c>
      <c r="H14" t="str">
        <f t="shared" ref="H14" si="79">H13</f>
        <v>-</v>
      </c>
      <c r="I14" t="str">
        <f t="shared" si="15"/>
        <v>-</v>
      </c>
      <c r="J14" t="str">
        <f t="shared" si="16"/>
        <v>-</v>
      </c>
      <c r="K14" t="str">
        <f t="shared" si="17"/>
        <v>-</v>
      </c>
      <c r="L14" t="str">
        <f t="shared" si="18"/>
        <v>-</v>
      </c>
      <c r="M14" t="str">
        <f t="shared" ref="M14" si="80">M13</f>
        <v>-</v>
      </c>
      <c r="N14" t="str">
        <f t="shared" ref="N14:U14" si="81">N13</f>
        <v>-</v>
      </c>
      <c r="O14" t="str">
        <f t="shared" si="81"/>
        <v>-</v>
      </c>
      <c r="P14" t="str">
        <f t="shared" ref="P14" si="82">P13</f>
        <v>-</v>
      </c>
      <c r="Q14" t="str">
        <f t="shared" si="81"/>
        <v>-</v>
      </c>
      <c r="R14" t="str">
        <f t="shared" ref="R14" si="83">R13</f>
        <v>-</v>
      </c>
      <c r="S14" t="str">
        <f t="shared" si="81"/>
        <v>-</v>
      </c>
      <c r="T14" t="str">
        <f t="shared" ref="T14" si="84">T13</f>
        <v>-</v>
      </c>
      <c r="U14" t="str">
        <f t="shared" si="81"/>
        <v>-</v>
      </c>
      <c r="V14" t="str">
        <f t="shared" ref="V14" si="85">V13</f>
        <v>-</v>
      </c>
      <c r="W14" t="str">
        <f t="shared" ref="W14:Y14" si="86">W13</f>
        <v>-</v>
      </c>
      <c r="X14" t="str">
        <f t="shared" si="86"/>
        <v>-</v>
      </c>
      <c r="Y14" t="str">
        <f t="shared" si="86"/>
        <v>-</v>
      </c>
      <c r="Z14" t="str">
        <f t="shared" ref="Z14:AB14" si="87">Z13</f>
        <v>-</v>
      </c>
      <c r="AA14" t="str">
        <f t="shared" ref="AA14" si="88">AA13</f>
        <v>-</v>
      </c>
      <c r="AB14" t="str">
        <f t="shared" si="87"/>
        <v>-</v>
      </c>
      <c r="AC14">
        <v>1</v>
      </c>
      <c r="AD14">
        <v>1</v>
      </c>
      <c r="AE14">
        <v>1</v>
      </c>
      <c r="AF14">
        <v>1.1000000000000001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f t="shared" si="28"/>
        <v>0</v>
      </c>
      <c r="AS14" s="15">
        <v>0</v>
      </c>
    </row>
    <row r="15" spans="1:45" x14ac:dyDescent="0.25">
      <c r="A15" s="19"/>
      <c r="B15">
        <f t="shared" si="6"/>
        <v>10</v>
      </c>
      <c r="C15" t="b">
        <v>0</v>
      </c>
      <c r="D15" t="b">
        <v>0</v>
      </c>
      <c r="E15" t="b">
        <v>0</v>
      </c>
      <c r="F15" s="3" t="s">
        <v>18</v>
      </c>
      <c r="G15" t="str">
        <f t="shared" si="13"/>
        <v>-</v>
      </c>
      <c r="H15" t="str">
        <f t="shared" ref="H15" si="89">H14</f>
        <v>-</v>
      </c>
      <c r="I15" t="str">
        <f t="shared" si="15"/>
        <v>-</v>
      </c>
      <c r="J15" t="str">
        <f t="shared" si="16"/>
        <v>-</v>
      </c>
      <c r="K15" t="str">
        <f t="shared" si="17"/>
        <v>-</v>
      </c>
      <c r="L15" t="str">
        <f t="shared" si="18"/>
        <v>-</v>
      </c>
      <c r="M15" t="str">
        <f t="shared" ref="M15" si="90">M14</f>
        <v>-</v>
      </c>
      <c r="N15" t="str">
        <f t="shared" ref="N15:U15" si="91">N14</f>
        <v>-</v>
      </c>
      <c r="O15" t="str">
        <f t="shared" si="91"/>
        <v>-</v>
      </c>
      <c r="P15" t="str">
        <f t="shared" ref="P15" si="92">P14</f>
        <v>-</v>
      </c>
      <c r="Q15" t="str">
        <f t="shared" si="91"/>
        <v>-</v>
      </c>
      <c r="R15" t="str">
        <f t="shared" ref="R15" si="93">R14</f>
        <v>-</v>
      </c>
      <c r="S15" t="str">
        <f t="shared" si="91"/>
        <v>-</v>
      </c>
      <c r="T15" t="str">
        <f t="shared" ref="T15" si="94">T14</f>
        <v>-</v>
      </c>
      <c r="U15" t="str">
        <f t="shared" si="91"/>
        <v>-</v>
      </c>
      <c r="V15" t="str">
        <f t="shared" ref="V15" si="95">V14</f>
        <v>-</v>
      </c>
      <c r="W15" t="str">
        <f t="shared" ref="W15:Y15" si="96">W14</f>
        <v>-</v>
      </c>
      <c r="X15" t="str">
        <f t="shared" si="96"/>
        <v>-</v>
      </c>
      <c r="Y15" t="str">
        <f t="shared" si="96"/>
        <v>-</v>
      </c>
      <c r="Z15" t="str">
        <f t="shared" ref="Z15:AB15" si="97">Z14</f>
        <v>-</v>
      </c>
      <c r="AA15" t="str">
        <f t="shared" ref="AA15" si="98">AA14</f>
        <v>-</v>
      </c>
      <c r="AB15" t="str">
        <f t="shared" si="97"/>
        <v>-</v>
      </c>
      <c r="AC15">
        <v>1</v>
      </c>
      <c r="AD15">
        <v>1</v>
      </c>
      <c r="AE15">
        <v>1</v>
      </c>
      <c r="AF15">
        <v>1</v>
      </c>
      <c r="AG15">
        <v>0.9</v>
      </c>
      <c r="AH15">
        <v>1</v>
      </c>
      <c r="AI15">
        <v>1</v>
      </c>
      <c r="AJ15">
        <v>1</v>
      </c>
      <c r="AK15">
        <v>1</v>
      </c>
      <c r="AL15">
        <v>1</v>
      </c>
      <c r="AM15">
        <v>1</v>
      </c>
      <c r="AN15">
        <v>1</v>
      </c>
      <c r="AO15">
        <v>1</v>
      </c>
      <c r="AP15">
        <v>1</v>
      </c>
      <c r="AQ15">
        <v>1</v>
      </c>
      <c r="AR15">
        <f t="shared" si="28"/>
        <v>0</v>
      </c>
      <c r="AS15" s="15">
        <v>0</v>
      </c>
    </row>
    <row r="16" spans="1:45" x14ac:dyDescent="0.25">
      <c r="A16" s="19"/>
      <c r="B16">
        <f t="shared" si="6"/>
        <v>11</v>
      </c>
      <c r="C16" t="b">
        <v>0</v>
      </c>
      <c r="D16" t="b">
        <v>0</v>
      </c>
      <c r="E16" t="b">
        <v>0</v>
      </c>
      <c r="F16" s="3" t="s">
        <v>19</v>
      </c>
      <c r="G16" t="str">
        <f t="shared" si="13"/>
        <v>-</v>
      </c>
      <c r="H16" t="str">
        <f t="shared" ref="H16" si="99">H15</f>
        <v>-</v>
      </c>
      <c r="I16" t="str">
        <f t="shared" si="15"/>
        <v>-</v>
      </c>
      <c r="J16" t="str">
        <f t="shared" si="16"/>
        <v>-</v>
      </c>
      <c r="K16" t="str">
        <f t="shared" si="17"/>
        <v>-</v>
      </c>
      <c r="L16" t="str">
        <f t="shared" si="18"/>
        <v>-</v>
      </c>
      <c r="M16" t="str">
        <f t="shared" ref="M16" si="100">M15</f>
        <v>-</v>
      </c>
      <c r="N16" t="str">
        <f t="shared" ref="N16:U16" si="101">N15</f>
        <v>-</v>
      </c>
      <c r="O16" t="str">
        <f t="shared" si="101"/>
        <v>-</v>
      </c>
      <c r="P16" t="str">
        <f t="shared" ref="P16" si="102">P15</f>
        <v>-</v>
      </c>
      <c r="Q16" t="str">
        <f t="shared" si="101"/>
        <v>-</v>
      </c>
      <c r="R16" t="str">
        <f t="shared" ref="R16" si="103">R15</f>
        <v>-</v>
      </c>
      <c r="S16" t="str">
        <f t="shared" si="101"/>
        <v>-</v>
      </c>
      <c r="T16" t="str">
        <f t="shared" ref="T16" si="104">T15</f>
        <v>-</v>
      </c>
      <c r="U16" t="str">
        <f t="shared" si="101"/>
        <v>-</v>
      </c>
      <c r="V16" t="str">
        <f t="shared" ref="V16" si="105">V15</f>
        <v>-</v>
      </c>
      <c r="W16" t="str">
        <f t="shared" ref="W16:Y16" si="106">W15</f>
        <v>-</v>
      </c>
      <c r="X16" t="str">
        <f t="shared" si="106"/>
        <v>-</v>
      </c>
      <c r="Y16" t="str">
        <f t="shared" si="106"/>
        <v>-</v>
      </c>
      <c r="Z16" t="str">
        <f t="shared" ref="Z16:AB16" si="107">Z15</f>
        <v>-</v>
      </c>
      <c r="AA16" t="str">
        <f t="shared" ref="AA16" si="108">AA15</f>
        <v>-</v>
      </c>
      <c r="AB16" t="str">
        <f t="shared" si="107"/>
        <v>-</v>
      </c>
      <c r="AC16">
        <v>1</v>
      </c>
      <c r="AD16">
        <v>1</v>
      </c>
      <c r="AE16">
        <v>1</v>
      </c>
      <c r="AF16">
        <v>1</v>
      </c>
      <c r="AG16">
        <v>1.1000000000000001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f t="shared" si="28"/>
        <v>0</v>
      </c>
      <c r="AS16" s="15">
        <v>0</v>
      </c>
    </row>
    <row r="17" spans="1:45" x14ac:dyDescent="0.25">
      <c r="A17" s="19"/>
      <c r="B17">
        <f t="shared" si="6"/>
        <v>12</v>
      </c>
      <c r="C17" t="b">
        <v>0</v>
      </c>
      <c r="D17" t="b">
        <v>0</v>
      </c>
      <c r="E17" t="b">
        <v>0</v>
      </c>
      <c r="F17" s="3" t="s">
        <v>20</v>
      </c>
      <c r="G17" t="str">
        <f t="shared" si="13"/>
        <v>-</v>
      </c>
      <c r="H17" t="str">
        <f t="shared" ref="H17" si="109">H16</f>
        <v>-</v>
      </c>
      <c r="I17" t="str">
        <f t="shared" si="15"/>
        <v>-</v>
      </c>
      <c r="J17" t="str">
        <f t="shared" si="16"/>
        <v>-</v>
      </c>
      <c r="K17" t="str">
        <f t="shared" si="17"/>
        <v>-</v>
      </c>
      <c r="L17" t="str">
        <f t="shared" si="18"/>
        <v>-</v>
      </c>
      <c r="M17" t="str">
        <f t="shared" ref="M17" si="110">M16</f>
        <v>-</v>
      </c>
      <c r="N17" t="str">
        <f t="shared" ref="N17:U17" si="111">N16</f>
        <v>-</v>
      </c>
      <c r="O17" t="str">
        <f t="shared" si="111"/>
        <v>-</v>
      </c>
      <c r="P17" t="str">
        <f t="shared" ref="P17" si="112">P16</f>
        <v>-</v>
      </c>
      <c r="Q17" t="str">
        <f t="shared" si="111"/>
        <v>-</v>
      </c>
      <c r="R17" t="str">
        <f t="shared" ref="R17" si="113">R16</f>
        <v>-</v>
      </c>
      <c r="S17" t="str">
        <f t="shared" si="111"/>
        <v>-</v>
      </c>
      <c r="T17" t="str">
        <f t="shared" ref="T17" si="114">T16</f>
        <v>-</v>
      </c>
      <c r="U17" t="str">
        <f t="shared" si="111"/>
        <v>-</v>
      </c>
      <c r="V17" t="str">
        <f t="shared" ref="V17" si="115">V16</f>
        <v>-</v>
      </c>
      <c r="W17" t="str">
        <f t="shared" ref="W17:Y17" si="116">W16</f>
        <v>-</v>
      </c>
      <c r="X17" t="str">
        <f t="shared" si="116"/>
        <v>-</v>
      </c>
      <c r="Y17" t="str">
        <f t="shared" si="116"/>
        <v>-</v>
      </c>
      <c r="Z17" t="str">
        <f t="shared" ref="Z17:AB17" si="117">Z16</f>
        <v>-</v>
      </c>
      <c r="AA17" t="str">
        <f t="shared" ref="AA17" si="118">AA16</f>
        <v>-</v>
      </c>
      <c r="AB17" t="str">
        <f t="shared" si="117"/>
        <v>-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0.9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f t="shared" si="28"/>
        <v>0</v>
      </c>
      <c r="AS17" s="15">
        <v>0</v>
      </c>
    </row>
    <row r="18" spans="1:45" x14ac:dyDescent="0.25">
      <c r="A18" s="19"/>
      <c r="B18">
        <f t="shared" si="6"/>
        <v>13</v>
      </c>
      <c r="C18" t="b">
        <v>0</v>
      </c>
      <c r="D18" t="b">
        <v>0</v>
      </c>
      <c r="E18" t="b">
        <v>0</v>
      </c>
      <c r="F18" s="3" t="s">
        <v>21</v>
      </c>
      <c r="G18" t="str">
        <f t="shared" si="13"/>
        <v>-</v>
      </c>
      <c r="H18" t="str">
        <f t="shared" ref="H18" si="119">H17</f>
        <v>-</v>
      </c>
      <c r="I18" t="str">
        <f t="shared" si="15"/>
        <v>-</v>
      </c>
      <c r="J18" t="str">
        <f t="shared" si="16"/>
        <v>-</v>
      </c>
      <c r="K18" t="str">
        <f t="shared" si="17"/>
        <v>-</v>
      </c>
      <c r="L18" t="str">
        <f t="shared" si="18"/>
        <v>-</v>
      </c>
      <c r="M18" t="str">
        <f t="shared" ref="M18" si="120">M17</f>
        <v>-</v>
      </c>
      <c r="N18" t="str">
        <f t="shared" ref="N18:U18" si="121">N17</f>
        <v>-</v>
      </c>
      <c r="O18" t="str">
        <f t="shared" si="121"/>
        <v>-</v>
      </c>
      <c r="P18" t="str">
        <f t="shared" ref="P18" si="122">P17</f>
        <v>-</v>
      </c>
      <c r="Q18" t="str">
        <f t="shared" si="121"/>
        <v>-</v>
      </c>
      <c r="R18" t="str">
        <f t="shared" ref="R18" si="123">R17</f>
        <v>-</v>
      </c>
      <c r="S18" t="str">
        <f t="shared" si="121"/>
        <v>-</v>
      </c>
      <c r="T18" t="str">
        <f t="shared" ref="T18" si="124">T17</f>
        <v>-</v>
      </c>
      <c r="U18" t="str">
        <f t="shared" si="121"/>
        <v>-</v>
      </c>
      <c r="V18" t="str">
        <f t="shared" ref="V18" si="125">V17</f>
        <v>-</v>
      </c>
      <c r="W18" t="str">
        <f t="shared" ref="W18:Y18" si="126">W17</f>
        <v>-</v>
      </c>
      <c r="X18" t="str">
        <f t="shared" si="126"/>
        <v>-</v>
      </c>
      <c r="Y18" t="str">
        <f t="shared" si="126"/>
        <v>-</v>
      </c>
      <c r="Z18" t="str">
        <f t="shared" ref="Z18:AB18" si="127">Z17</f>
        <v>-</v>
      </c>
      <c r="AA18" t="str">
        <f t="shared" ref="AA18" si="128">AA17</f>
        <v>-</v>
      </c>
      <c r="AB18" t="str">
        <f t="shared" si="127"/>
        <v>-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1.1000000000000001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f t="shared" si="28"/>
        <v>0</v>
      </c>
      <c r="AS18" s="15">
        <v>0</v>
      </c>
    </row>
    <row r="19" spans="1:45" x14ac:dyDescent="0.25">
      <c r="A19" s="19"/>
      <c r="B19">
        <f t="shared" si="6"/>
        <v>14</v>
      </c>
      <c r="C19" t="b">
        <v>0</v>
      </c>
      <c r="D19" t="b">
        <v>0</v>
      </c>
      <c r="E19" t="b">
        <v>0</v>
      </c>
      <c r="F19" s="3" t="s">
        <v>23</v>
      </c>
      <c r="G19" t="str">
        <f t="shared" si="13"/>
        <v>-</v>
      </c>
      <c r="H19" t="str">
        <f t="shared" ref="H19" si="129">H18</f>
        <v>-</v>
      </c>
      <c r="I19" t="str">
        <f t="shared" si="15"/>
        <v>-</v>
      </c>
      <c r="J19" t="str">
        <f t="shared" si="16"/>
        <v>-</v>
      </c>
      <c r="K19" t="str">
        <f t="shared" si="17"/>
        <v>-</v>
      </c>
      <c r="L19" t="str">
        <f t="shared" si="18"/>
        <v>-</v>
      </c>
      <c r="M19" t="str">
        <f t="shared" ref="M19" si="130">M18</f>
        <v>-</v>
      </c>
      <c r="N19" t="str">
        <f t="shared" ref="N19:U19" si="131">N18</f>
        <v>-</v>
      </c>
      <c r="O19" t="str">
        <f t="shared" si="131"/>
        <v>-</v>
      </c>
      <c r="P19" t="str">
        <f t="shared" ref="P19" si="132">P18</f>
        <v>-</v>
      </c>
      <c r="Q19" t="str">
        <f t="shared" si="131"/>
        <v>-</v>
      </c>
      <c r="R19" t="str">
        <f t="shared" ref="R19" si="133">R18</f>
        <v>-</v>
      </c>
      <c r="S19" t="str">
        <f t="shared" si="131"/>
        <v>-</v>
      </c>
      <c r="T19" t="str">
        <f t="shared" ref="T19" si="134">T18</f>
        <v>-</v>
      </c>
      <c r="U19" t="str">
        <f t="shared" si="131"/>
        <v>-</v>
      </c>
      <c r="V19" t="str">
        <f t="shared" ref="V19" si="135">V18</f>
        <v>-</v>
      </c>
      <c r="W19" t="str">
        <f t="shared" ref="W19:Y19" si="136">W18</f>
        <v>-</v>
      </c>
      <c r="X19" t="str">
        <f t="shared" si="136"/>
        <v>-</v>
      </c>
      <c r="Y19" t="str">
        <f t="shared" si="136"/>
        <v>-</v>
      </c>
      <c r="Z19" t="str">
        <f t="shared" ref="Z19:AB19" si="137">Z18</f>
        <v>-</v>
      </c>
      <c r="AA19" t="str">
        <f t="shared" ref="AA19" si="138">AA18</f>
        <v>-</v>
      </c>
      <c r="AB19" t="str">
        <f t="shared" si="137"/>
        <v>-</v>
      </c>
      <c r="AC19">
        <v>1</v>
      </c>
      <c r="AD19">
        <v>1</v>
      </c>
      <c r="AE19">
        <v>1</v>
      </c>
      <c r="AF19">
        <v>1</v>
      </c>
      <c r="AG19">
        <v>1</v>
      </c>
      <c r="AH19">
        <v>1</v>
      </c>
      <c r="AI19">
        <v>0.9</v>
      </c>
      <c r="AJ19">
        <v>1</v>
      </c>
      <c r="AK19">
        <v>1</v>
      </c>
      <c r="AL19">
        <v>1</v>
      </c>
      <c r="AM19">
        <v>1</v>
      </c>
      <c r="AN19">
        <v>1</v>
      </c>
      <c r="AO19">
        <v>1</v>
      </c>
      <c r="AP19">
        <v>1</v>
      </c>
      <c r="AQ19">
        <v>1</v>
      </c>
      <c r="AR19">
        <f t="shared" si="28"/>
        <v>0</v>
      </c>
      <c r="AS19" s="15">
        <v>0</v>
      </c>
    </row>
    <row r="20" spans="1:45" x14ac:dyDescent="0.25">
      <c r="A20" s="19"/>
      <c r="B20">
        <f t="shared" si="6"/>
        <v>15</v>
      </c>
      <c r="C20" t="b">
        <v>0</v>
      </c>
      <c r="D20" t="b">
        <v>0</v>
      </c>
      <c r="E20" t="b">
        <v>0</v>
      </c>
      <c r="F20" s="3" t="s">
        <v>24</v>
      </c>
      <c r="G20" t="str">
        <f t="shared" si="13"/>
        <v>-</v>
      </c>
      <c r="H20" t="str">
        <f t="shared" ref="H20" si="139">H19</f>
        <v>-</v>
      </c>
      <c r="I20" t="str">
        <f t="shared" si="15"/>
        <v>-</v>
      </c>
      <c r="J20" t="str">
        <f t="shared" si="16"/>
        <v>-</v>
      </c>
      <c r="K20" t="str">
        <f t="shared" si="17"/>
        <v>-</v>
      </c>
      <c r="L20" t="str">
        <f t="shared" si="18"/>
        <v>-</v>
      </c>
      <c r="M20" t="str">
        <f t="shared" ref="M20" si="140">M19</f>
        <v>-</v>
      </c>
      <c r="N20" t="str">
        <f t="shared" ref="N20:U20" si="141">N19</f>
        <v>-</v>
      </c>
      <c r="O20" t="str">
        <f t="shared" si="141"/>
        <v>-</v>
      </c>
      <c r="P20" t="str">
        <f t="shared" ref="P20" si="142">P19</f>
        <v>-</v>
      </c>
      <c r="Q20" t="str">
        <f t="shared" si="141"/>
        <v>-</v>
      </c>
      <c r="R20" t="str">
        <f t="shared" ref="R20" si="143">R19</f>
        <v>-</v>
      </c>
      <c r="S20" t="str">
        <f t="shared" si="141"/>
        <v>-</v>
      </c>
      <c r="T20" t="str">
        <f t="shared" ref="T20" si="144">T19</f>
        <v>-</v>
      </c>
      <c r="U20" t="str">
        <f t="shared" si="141"/>
        <v>-</v>
      </c>
      <c r="V20" t="str">
        <f t="shared" ref="V20" si="145">V19</f>
        <v>-</v>
      </c>
      <c r="W20" t="str">
        <f t="shared" ref="W20:Y20" si="146">W19</f>
        <v>-</v>
      </c>
      <c r="X20" t="str">
        <f t="shared" si="146"/>
        <v>-</v>
      </c>
      <c r="Y20" t="str">
        <f t="shared" si="146"/>
        <v>-</v>
      </c>
      <c r="Z20" t="str">
        <f t="shared" ref="Z20:AB20" si="147">Z19</f>
        <v>-</v>
      </c>
      <c r="AA20" t="str">
        <f t="shared" ref="AA20" si="148">AA19</f>
        <v>-</v>
      </c>
      <c r="AB20" t="str">
        <f t="shared" si="147"/>
        <v>-</v>
      </c>
      <c r="AC20">
        <v>1</v>
      </c>
      <c r="AD20">
        <v>1</v>
      </c>
      <c r="AE20">
        <v>1</v>
      </c>
      <c r="AF20">
        <v>1</v>
      </c>
      <c r="AG20">
        <v>1</v>
      </c>
      <c r="AH20">
        <v>1</v>
      </c>
      <c r="AI20">
        <v>1.1000000000000001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f t="shared" si="28"/>
        <v>0</v>
      </c>
      <c r="AS20" s="15">
        <v>0</v>
      </c>
    </row>
    <row r="21" spans="1:45" x14ac:dyDescent="0.25">
      <c r="A21" s="19"/>
      <c r="B21">
        <f t="shared" si="6"/>
        <v>16</v>
      </c>
      <c r="C21" t="b">
        <v>0</v>
      </c>
      <c r="D21" t="b">
        <v>0</v>
      </c>
      <c r="E21" t="b">
        <v>0</v>
      </c>
      <c r="F21" s="3" t="s">
        <v>25</v>
      </c>
      <c r="G21" t="str">
        <f t="shared" si="13"/>
        <v>-</v>
      </c>
      <c r="H21" t="str">
        <f t="shared" ref="H21" si="149">H20</f>
        <v>-</v>
      </c>
      <c r="I21" t="str">
        <f t="shared" si="15"/>
        <v>-</v>
      </c>
      <c r="J21" t="str">
        <f t="shared" si="16"/>
        <v>-</v>
      </c>
      <c r="K21" t="str">
        <f t="shared" si="17"/>
        <v>-</v>
      </c>
      <c r="L21" t="str">
        <f t="shared" si="18"/>
        <v>-</v>
      </c>
      <c r="M21" t="str">
        <f t="shared" ref="M21" si="150">M20</f>
        <v>-</v>
      </c>
      <c r="N21" t="str">
        <f t="shared" ref="N21:U21" si="151">N20</f>
        <v>-</v>
      </c>
      <c r="O21" t="str">
        <f t="shared" si="151"/>
        <v>-</v>
      </c>
      <c r="P21" t="str">
        <f t="shared" ref="P21" si="152">P20</f>
        <v>-</v>
      </c>
      <c r="Q21" t="str">
        <f t="shared" si="151"/>
        <v>-</v>
      </c>
      <c r="R21" t="str">
        <f t="shared" ref="R21" si="153">R20</f>
        <v>-</v>
      </c>
      <c r="S21" t="str">
        <f t="shared" si="151"/>
        <v>-</v>
      </c>
      <c r="T21" t="str">
        <f t="shared" ref="T21" si="154">T20</f>
        <v>-</v>
      </c>
      <c r="U21" t="str">
        <f t="shared" si="151"/>
        <v>-</v>
      </c>
      <c r="V21" t="str">
        <f t="shared" ref="V21" si="155">V20</f>
        <v>-</v>
      </c>
      <c r="W21" t="str">
        <f t="shared" ref="W21:Y21" si="156">W20</f>
        <v>-</v>
      </c>
      <c r="X21" t="str">
        <f t="shared" si="156"/>
        <v>-</v>
      </c>
      <c r="Y21" t="str">
        <f t="shared" si="156"/>
        <v>-</v>
      </c>
      <c r="Z21" t="str">
        <f t="shared" ref="Z21:AB21" si="157">Z20</f>
        <v>-</v>
      </c>
      <c r="AA21" t="str">
        <f t="shared" ref="AA21" si="158">AA20</f>
        <v>-</v>
      </c>
      <c r="AB21" t="str">
        <f t="shared" si="157"/>
        <v>-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0.9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f t="shared" si="28"/>
        <v>0</v>
      </c>
      <c r="AS21" s="15">
        <v>0</v>
      </c>
    </row>
    <row r="22" spans="1:45" x14ac:dyDescent="0.25">
      <c r="A22" s="19"/>
      <c r="B22">
        <f t="shared" si="6"/>
        <v>17</v>
      </c>
      <c r="C22" t="b">
        <v>0</v>
      </c>
      <c r="D22" t="b">
        <v>0</v>
      </c>
      <c r="E22" t="b">
        <v>0</v>
      </c>
      <c r="F22" s="3" t="s">
        <v>26</v>
      </c>
      <c r="G22" t="str">
        <f t="shared" si="13"/>
        <v>-</v>
      </c>
      <c r="H22" t="str">
        <f t="shared" ref="H22" si="159">H21</f>
        <v>-</v>
      </c>
      <c r="I22" t="str">
        <f t="shared" si="15"/>
        <v>-</v>
      </c>
      <c r="J22" t="str">
        <f t="shared" si="16"/>
        <v>-</v>
      </c>
      <c r="K22" t="str">
        <f t="shared" si="17"/>
        <v>-</v>
      </c>
      <c r="L22" t="str">
        <f t="shared" si="18"/>
        <v>-</v>
      </c>
      <c r="M22" t="str">
        <f t="shared" ref="M22" si="160">M21</f>
        <v>-</v>
      </c>
      <c r="N22" t="str">
        <f t="shared" ref="N22:U22" si="161">N21</f>
        <v>-</v>
      </c>
      <c r="O22" t="str">
        <f t="shared" si="161"/>
        <v>-</v>
      </c>
      <c r="P22" t="str">
        <f t="shared" ref="P22" si="162">P21</f>
        <v>-</v>
      </c>
      <c r="Q22" t="str">
        <f t="shared" si="161"/>
        <v>-</v>
      </c>
      <c r="R22" t="str">
        <f t="shared" ref="R22" si="163">R21</f>
        <v>-</v>
      </c>
      <c r="S22" t="str">
        <f t="shared" si="161"/>
        <v>-</v>
      </c>
      <c r="T22" t="str">
        <f t="shared" ref="T22" si="164">T21</f>
        <v>-</v>
      </c>
      <c r="U22" t="str">
        <f t="shared" si="161"/>
        <v>-</v>
      </c>
      <c r="V22" t="str">
        <f t="shared" ref="V22" si="165">V21</f>
        <v>-</v>
      </c>
      <c r="W22" t="str">
        <f t="shared" ref="W22:Y22" si="166">W21</f>
        <v>-</v>
      </c>
      <c r="X22" t="str">
        <f t="shared" si="166"/>
        <v>-</v>
      </c>
      <c r="Y22" t="str">
        <f t="shared" si="166"/>
        <v>-</v>
      </c>
      <c r="Z22" t="str">
        <f t="shared" ref="Z22:AB22" si="167">Z21</f>
        <v>-</v>
      </c>
      <c r="AA22" t="str">
        <f t="shared" ref="AA22" si="168">AA21</f>
        <v>-</v>
      </c>
      <c r="AB22" t="str">
        <f t="shared" si="167"/>
        <v>-</v>
      </c>
      <c r="AC22">
        <v>1</v>
      </c>
      <c r="AD22">
        <v>1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1.1000000000000001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f t="shared" si="28"/>
        <v>0</v>
      </c>
      <c r="AS22" s="15">
        <v>0</v>
      </c>
    </row>
    <row r="23" spans="1:45" x14ac:dyDescent="0.25">
      <c r="A23" s="19"/>
      <c r="B23">
        <f t="shared" si="6"/>
        <v>18</v>
      </c>
      <c r="C23" t="b">
        <v>0</v>
      </c>
      <c r="D23" t="b">
        <v>0</v>
      </c>
      <c r="E23" t="b">
        <v>0</v>
      </c>
      <c r="F23" s="3" t="s">
        <v>27</v>
      </c>
      <c r="G23" t="str">
        <f t="shared" si="13"/>
        <v>-</v>
      </c>
      <c r="H23" t="str">
        <f t="shared" ref="H23" si="169">H22</f>
        <v>-</v>
      </c>
      <c r="I23" t="str">
        <f t="shared" si="15"/>
        <v>-</v>
      </c>
      <c r="J23" t="str">
        <f t="shared" si="16"/>
        <v>-</v>
      </c>
      <c r="K23" t="str">
        <f t="shared" si="17"/>
        <v>-</v>
      </c>
      <c r="L23" t="str">
        <f t="shared" si="18"/>
        <v>-</v>
      </c>
      <c r="M23" t="str">
        <f t="shared" ref="M23" si="170">M22</f>
        <v>-</v>
      </c>
      <c r="N23" t="str">
        <f t="shared" ref="N23:U23" si="171">N22</f>
        <v>-</v>
      </c>
      <c r="O23" t="str">
        <f t="shared" si="171"/>
        <v>-</v>
      </c>
      <c r="P23" t="str">
        <f t="shared" ref="P23" si="172">P22</f>
        <v>-</v>
      </c>
      <c r="Q23" t="str">
        <f t="shared" si="171"/>
        <v>-</v>
      </c>
      <c r="R23" t="str">
        <f t="shared" ref="R23" si="173">R22</f>
        <v>-</v>
      </c>
      <c r="S23" t="str">
        <f t="shared" si="171"/>
        <v>-</v>
      </c>
      <c r="T23" t="str">
        <f t="shared" ref="T23" si="174">T22</f>
        <v>-</v>
      </c>
      <c r="U23" t="str">
        <f t="shared" si="171"/>
        <v>-</v>
      </c>
      <c r="V23" t="str">
        <f t="shared" ref="V23" si="175">V22</f>
        <v>-</v>
      </c>
      <c r="W23" t="str">
        <f t="shared" ref="W23:Y23" si="176">W22</f>
        <v>-</v>
      </c>
      <c r="X23" t="str">
        <f t="shared" si="176"/>
        <v>-</v>
      </c>
      <c r="Y23" t="str">
        <f t="shared" si="176"/>
        <v>-</v>
      </c>
      <c r="Z23" t="str">
        <f t="shared" ref="Z23:AB23" si="177">Z22</f>
        <v>-</v>
      </c>
      <c r="AA23" t="str">
        <f t="shared" ref="AA23" si="178">AA22</f>
        <v>-</v>
      </c>
      <c r="AB23" t="str">
        <f t="shared" si="177"/>
        <v>-</v>
      </c>
      <c r="AC23">
        <v>1</v>
      </c>
      <c r="AD23">
        <v>1</v>
      </c>
      <c r="AE23">
        <v>1</v>
      </c>
      <c r="AF23">
        <v>1</v>
      </c>
      <c r="AG23">
        <v>1</v>
      </c>
      <c r="AH23">
        <v>1</v>
      </c>
      <c r="AI23">
        <v>1</v>
      </c>
      <c r="AJ23">
        <v>1</v>
      </c>
      <c r="AK23">
        <v>0.9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f t="shared" si="28"/>
        <v>0</v>
      </c>
      <c r="AS23" s="15">
        <v>0</v>
      </c>
    </row>
    <row r="24" spans="1:45" x14ac:dyDescent="0.25">
      <c r="A24" s="19"/>
      <c r="B24">
        <f t="shared" si="6"/>
        <v>19</v>
      </c>
      <c r="C24" t="b">
        <v>0</v>
      </c>
      <c r="D24" t="b">
        <v>0</v>
      </c>
      <c r="E24" t="b">
        <v>0</v>
      </c>
      <c r="F24" s="3" t="s">
        <v>28</v>
      </c>
      <c r="G24" t="str">
        <f t="shared" si="13"/>
        <v>-</v>
      </c>
      <c r="H24" t="str">
        <f t="shared" ref="H24" si="179">H23</f>
        <v>-</v>
      </c>
      <c r="I24" t="str">
        <f t="shared" si="15"/>
        <v>-</v>
      </c>
      <c r="J24" t="str">
        <f t="shared" si="16"/>
        <v>-</v>
      </c>
      <c r="K24" t="str">
        <f t="shared" si="17"/>
        <v>-</v>
      </c>
      <c r="L24" t="str">
        <f t="shared" si="18"/>
        <v>-</v>
      </c>
      <c r="M24" t="str">
        <f t="shared" ref="M24" si="180">M23</f>
        <v>-</v>
      </c>
      <c r="N24" t="str">
        <f t="shared" ref="N24:U24" si="181">N23</f>
        <v>-</v>
      </c>
      <c r="O24" t="str">
        <f t="shared" si="181"/>
        <v>-</v>
      </c>
      <c r="P24" t="str">
        <f t="shared" ref="P24" si="182">P23</f>
        <v>-</v>
      </c>
      <c r="Q24" t="str">
        <f t="shared" si="181"/>
        <v>-</v>
      </c>
      <c r="R24" t="str">
        <f t="shared" ref="R24" si="183">R23</f>
        <v>-</v>
      </c>
      <c r="S24" t="str">
        <f t="shared" si="181"/>
        <v>-</v>
      </c>
      <c r="T24" t="str">
        <f t="shared" ref="T24" si="184">T23</f>
        <v>-</v>
      </c>
      <c r="U24" t="str">
        <f t="shared" si="181"/>
        <v>-</v>
      </c>
      <c r="V24" t="str">
        <f t="shared" ref="V24" si="185">V23</f>
        <v>-</v>
      </c>
      <c r="W24" t="str">
        <f t="shared" ref="W24:Y24" si="186">W23</f>
        <v>-</v>
      </c>
      <c r="X24" t="str">
        <f t="shared" si="186"/>
        <v>-</v>
      </c>
      <c r="Y24" t="str">
        <f t="shared" si="186"/>
        <v>-</v>
      </c>
      <c r="Z24" t="str">
        <f t="shared" ref="Z24:AB24" si="187">Z23</f>
        <v>-</v>
      </c>
      <c r="AA24" t="str">
        <f t="shared" ref="AA24" si="188">AA23</f>
        <v>-</v>
      </c>
      <c r="AB24" t="str">
        <f t="shared" si="187"/>
        <v>-</v>
      </c>
      <c r="AC24">
        <v>1</v>
      </c>
      <c r="AD24">
        <v>1</v>
      </c>
      <c r="AE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1.1000000000000001</v>
      </c>
      <c r="AL24">
        <v>1</v>
      </c>
      <c r="AM24">
        <v>1</v>
      </c>
      <c r="AN24">
        <v>1</v>
      </c>
      <c r="AO24">
        <v>1</v>
      </c>
      <c r="AP24">
        <v>1</v>
      </c>
      <c r="AQ24">
        <v>1</v>
      </c>
      <c r="AR24">
        <f t="shared" si="28"/>
        <v>0</v>
      </c>
      <c r="AS24" s="15">
        <v>0</v>
      </c>
    </row>
    <row r="25" spans="1:45" x14ac:dyDescent="0.25">
      <c r="A25" s="19"/>
      <c r="B25">
        <f t="shared" si="6"/>
        <v>20</v>
      </c>
      <c r="C25" t="b">
        <v>0</v>
      </c>
      <c r="D25" t="b">
        <v>0</v>
      </c>
      <c r="E25" t="b">
        <v>0</v>
      </c>
      <c r="F25" s="3" t="s">
        <v>29</v>
      </c>
      <c r="G25" t="str">
        <f t="shared" si="13"/>
        <v>-</v>
      </c>
      <c r="H25" t="str">
        <f t="shared" ref="H25" si="189">H24</f>
        <v>-</v>
      </c>
      <c r="I25" t="str">
        <f t="shared" si="15"/>
        <v>-</v>
      </c>
      <c r="J25" t="str">
        <f t="shared" si="16"/>
        <v>-</v>
      </c>
      <c r="K25" t="str">
        <f t="shared" si="17"/>
        <v>-</v>
      </c>
      <c r="L25" t="str">
        <f t="shared" si="18"/>
        <v>-</v>
      </c>
      <c r="M25" t="str">
        <f t="shared" ref="M25" si="190">M24</f>
        <v>-</v>
      </c>
      <c r="N25" t="str">
        <f t="shared" ref="N25:U25" si="191">N24</f>
        <v>-</v>
      </c>
      <c r="O25" t="str">
        <f t="shared" si="191"/>
        <v>-</v>
      </c>
      <c r="P25" t="str">
        <f t="shared" ref="P25" si="192">P24</f>
        <v>-</v>
      </c>
      <c r="Q25" t="str">
        <f t="shared" si="191"/>
        <v>-</v>
      </c>
      <c r="R25" t="str">
        <f t="shared" ref="R25" si="193">R24</f>
        <v>-</v>
      </c>
      <c r="S25" t="str">
        <f t="shared" si="191"/>
        <v>-</v>
      </c>
      <c r="T25" t="str">
        <f t="shared" ref="T25" si="194">T24</f>
        <v>-</v>
      </c>
      <c r="U25" t="str">
        <f t="shared" si="191"/>
        <v>-</v>
      </c>
      <c r="V25" t="str">
        <f t="shared" ref="V25" si="195">V24</f>
        <v>-</v>
      </c>
      <c r="W25" t="str">
        <f t="shared" ref="W25:Y25" si="196">W24</f>
        <v>-</v>
      </c>
      <c r="X25" t="str">
        <f t="shared" si="196"/>
        <v>-</v>
      </c>
      <c r="Y25" t="str">
        <f t="shared" si="196"/>
        <v>-</v>
      </c>
      <c r="Z25" t="str">
        <f t="shared" ref="Z25:AB25" si="197">Z24</f>
        <v>-</v>
      </c>
      <c r="AA25" t="str">
        <f t="shared" ref="AA25" si="198">AA24</f>
        <v>-</v>
      </c>
      <c r="AB25" t="str">
        <f t="shared" si="197"/>
        <v>-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0.9</v>
      </c>
      <c r="AM25">
        <v>1</v>
      </c>
      <c r="AN25">
        <v>1</v>
      </c>
      <c r="AO25">
        <v>1</v>
      </c>
      <c r="AP25">
        <v>1</v>
      </c>
      <c r="AQ25">
        <v>1</v>
      </c>
      <c r="AR25">
        <f t="shared" si="28"/>
        <v>0</v>
      </c>
      <c r="AS25" s="15">
        <v>0</v>
      </c>
    </row>
    <row r="26" spans="1:45" x14ac:dyDescent="0.25">
      <c r="A26" s="19"/>
      <c r="B26">
        <f t="shared" si="6"/>
        <v>21</v>
      </c>
      <c r="C26" t="b">
        <v>0</v>
      </c>
      <c r="D26" t="b">
        <v>0</v>
      </c>
      <c r="E26" t="b">
        <v>0</v>
      </c>
      <c r="F26" s="3" t="s">
        <v>30</v>
      </c>
      <c r="G26" t="str">
        <f t="shared" si="13"/>
        <v>-</v>
      </c>
      <c r="H26" t="str">
        <f t="shared" ref="H26" si="199">H25</f>
        <v>-</v>
      </c>
      <c r="I26" t="str">
        <f t="shared" si="15"/>
        <v>-</v>
      </c>
      <c r="J26" t="str">
        <f t="shared" si="16"/>
        <v>-</v>
      </c>
      <c r="K26" t="str">
        <f t="shared" si="17"/>
        <v>-</v>
      </c>
      <c r="L26" t="str">
        <f t="shared" si="18"/>
        <v>-</v>
      </c>
      <c r="M26" t="str">
        <f t="shared" ref="M26" si="200">M25</f>
        <v>-</v>
      </c>
      <c r="N26" t="str">
        <f t="shared" ref="N26:U26" si="201">N25</f>
        <v>-</v>
      </c>
      <c r="O26" t="str">
        <f t="shared" si="201"/>
        <v>-</v>
      </c>
      <c r="P26" t="str">
        <f t="shared" ref="P26" si="202">P25</f>
        <v>-</v>
      </c>
      <c r="Q26" t="str">
        <f t="shared" si="201"/>
        <v>-</v>
      </c>
      <c r="R26" t="str">
        <f t="shared" ref="R26" si="203">R25</f>
        <v>-</v>
      </c>
      <c r="S26" t="str">
        <f t="shared" si="201"/>
        <v>-</v>
      </c>
      <c r="T26" t="str">
        <f t="shared" ref="T26" si="204">T25</f>
        <v>-</v>
      </c>
      <c r="U26" t="str">
        <f t="shared" si="201"/>
        <v>-</v>
      </c>
      <c r="V26" t="str">
        <f t="shared" ref="V26" si="205">V25</f>
        <v>-</v>
      </c>
      <c r="W26" t="str">
        <f t="shared" ref="W26:Y26" si="206">W25</f>
        <v>-</v>
      </c>
      <c r="X26" t="str">
        <f t="shared" si="206"/>
        <v>-</v>
      </c>
      <c r="Y26" t="str">
        <f t="shared" si="206"/>
        <v>-</v>
      </c>
      <c r="Z26" t="str">
        <f t="shared" ref="Z26:AB26" si="207">Z25</f>
        <v>-</v>
      </c>
      <c r="AA26" t="str">
        <f t="shared" ref="AA26" si="208">AA25</f>
        <v>-</v>
      </c>
      <c r="AB26" t="str">
        <f t="shared" si="207"/>
        <v>-</v>
      </c>
      <c r="AC26">
        <v>1</v>
      </c>
      <c r="AD26">
        <v>1</v>
      </c>
      <c r="AE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1.1000000000000001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f t="shared" si="28"/>
        <v>0</v>
      </c>
      <c r="AS26" s="15">
        <v>0</v>
      </c>
    </row>
    <row r="27" spans="1:45" x14ac:dyDescent="0.25">
      <c r="A27" s="19"/>
      <c r="B27">
        <f t="shared" si="6"/>
        <v>22</v>
      </c>
      <c r="C27" t="b">
        <v>0</v>
      </c>
      <c r="D27" t="b">
        <v>0</v>
      </c>
      <c r="E27" t="b">
        <v>0</v>
      </c>
      <c r="F27" s="3" t="s">
        <v>31</v>
      </c>
      <c r="G27" t="str">
        <f t="shared" si="13"/>
        <v>-</v>
      </c>
      <c r="H27" t="str">
        <f t="shared" ref="H27" si="209">H26</f>
        <v>-</v>
      </c>
      <c r="I27" t="str">
        <f t="shared" si="15"/>
        <v>-</v>
      </c>
      <c r="J27" t="str">
        <f t="shared" si="16"/>
        <v>-</v>
      </c>
      <c r="K27" t="str">
        <f t="shared" si="17"/>
        <v>-</v>
      </c>
      <c r="L27" t="str">
        <f t="shared" si="18"/>
        <v>-</v>
      </c>
      <c r="M27" t="str">
        <f t="shared" ref="M27" si="210">M26</f>
        <v>-</v>
      </c>
      <c r="N27" t="str">
        <f t="shared" ref="N27:U27" si="211">N26</f>
        <v>-</v>
      </c>
      <c r="O27" t="str">
        <f t="shared" si="211"/>
        <v>-</v>
      </c>
      <c r="P27" t="str">
        <f t="shared" ref="P27" si="212">P26</f>
        <v>-</v>
      </c>
      <c r="Q27" t="str">
        <f t="shared" si="211"/>
        <v>-</v>
      </c>
      <c r="R27" t="str">
        <f t="shared" ref="R27" si="213">R26</f>
        <v>-</v>
      </c>
      <c r="S27" t="str">
        <f t="shared" si="211"/>
        <v>-</v>
      </c>
      <c r="T27" t="str">
        <f t="shared" ref="T27" si="214">T26</f>
        <v>-</v>
      </c>
      <c r="U27" t="str">
        <f t="shared" si="211"/>
        <v>-</v>
      </c>
      <c r="V27" t="str">
        <f t="shared" ref="V27" si="215">V26</f>
        <v>-</v>
      </c>
      <c r="W27" t="str">
        <f t="shared" ref="W27:Y27" si="216">W26</f>
        <v>-</v>
      </c>
      <c r="X27" t="str">
        <f t="shared" si="216"/>
        <v>-</v>
      </c>
      <c r="Y27" t="str">
        <f t="shared" si="216"/>
        <v>-</v>
      </c>
      <c r="Z27" t="str">
        <f t="shared" ref="Z27:AB27" si="217">Z26</f>
        <v>-</v>
      </c>
      <c r="AA27" t="str">
        <f t="shared" ref="AA27" si="218">AA26</f>
        <v>-</v>
      </c>
      <c r="AB27" t="str">
        <f t="shared" si="217"/>
        <v>-</v>
      </c>
      <c r="AC27">
        <v>1</v>
      </c>
      <c r="AD27">
        <v>1</v>
      </c>
      <c r="AE27">
        <v>1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0.9</v>
      </c>
      <c r="AN27">
        <v>1</v>
      </c>
      <c r="AO27">
        <v>1</v>
      </c>
      <c r="AP27">
        <v>1</v>
      </c>
      <c r="AQ27">
        <v>1</v>
      </c>
      <c r="AR27">
        <f t="shared" si="28"/>
        <v>0</v>
      </c>
      <c r="AS27" s="15">
        <v>0</v>
      </c>
    </row>
    <row r="28" spans="1:45" x14ac:dyDescent="0.25">
      <c r="A28" s="19"/>
      <c r="B28">
        <f t="shared" si="6"/>
        <v>23</v>
      </c>
      <c r="C28" t="b">
        <v>0</v>
      </c>
      <c r="D28" t="b">
        <v>0</v>
      </c>
      <c r="E28" t="b">
        <v>0</v>
      </c>
      <c r="F28" s="3" t="s">
        <v>32</v>
      </c>
      <c r="G28" t="str">
        <f t="shared" si="13"/>
        <v>-</v>
      </c>
      <c r="H28" t="str">
        <f t="shared" ref="H28" si="219">H27</f>
        <v>-</v>
      </c>
      <c r="I28" t="str">
        <f t="shared" si="15"/>
        <v>-</v>
      </c>
      <c r="J28" t="str">
        <f t="shared" si="16"/>
        <v>-</v>
      </c>
      <c r="K28" t="str">
        <f t="shared" si="17"/>
        <v>-</v>
      </c>
      <c r="L28" t="str">
        <f t="shared" si="18"/>
        <v>-</v>
      </c>
      <c r="M28" t="str">
        <f t="shared" ref="M28" si="220">M27</f>
        <v>-</v>
      </c>
      <c r="N28" t="str">
        <f t="shared" ref="N28:U28" si="221">N27</f>
        <v>-</v>
      </c>
      <c r="O28" t="str">
        <f t="shared" si="221"/>
        <v>-</v>
      </c>
      <c r="P28" t="str">
        <f t="shared" ref="P28" si="222">P27</f>
        <v>-</v>
      </c>
      <c r="Q28" t="str">
        <f t="shared" si="221"/>
        <v>-</v>
      </c>
      <c r="R28" t="str">
        <f t="shared" ref="R28" si="223">R27</f>
        <v>-</v>
      </c>
      <c r="S28" t="str">
        <f t="shared" si="221"/>
        <v>-</v>
      </c>
      <c r="T28" t="str">
        <f t="shared" ref="T28" si="224">T27</f>
        <v>-</v>
      </c>
      <c r="U28" t="str">
        <f t="shared" si="221"/>
        <v>-</v>
      </c>
      <c r="V28" t="str">
        <f t="shared" ref="V28" si="225">V27</f>
        <v>-</v>
      </c>
      <c r="W28" t="str">
        <f t="shared" ref="W28:Y28" si="226">W27</f>
        <v>-</v>
      </c>
      <c r="X28" t="str">
        <f t="shared" si="226"/>
        <v>-</v>
      </c>
      <c r="Y28" t="str">
        <f t="shared" si="226"/>
        <v>-</v>
      </c>
      <c r="Z28" t="str">
        <f t="shared" ref="Z28:AB28" si="227">Z27</f>
        <v>-</v>
      </c>
      <c r="AA28" t="str">
        <f t="shared" ref="AA28" si="228">AA27</f>
        <v>-</v>
      </c>
      <c r="AB28" t="str">
        <f t="shared" si="227"/>
        <v>-</v>
      </c>
      <c r="AC28">
        <v>1</v>
      </c>
      <c r="AD28">
        <v>1</v>
      </c>
      <c r="AE28">
        <v>1</v>
      </c>
      <c r="AF28">
        <v>1</v>
      </c>
      <c r="AG28">
        <v>1</v>
      </c>
      <c r="AH28">
        <v>1</v>
      </c>
      <c r="AI28">
        <v>1</v>
      </c>
      <c r="AJ28">
        <v>1</v>
      </c>
      <c r="AK28">
        <v>1</v>
      </c>
      <c r="AL28">
        <v>1</v>
      </c>
      <c r="AM28">
        <v>1.1000000000000001</v>
      </c>
      <c r="AN28">
        <v>1</v>
      </c>
      <c r="AO28">
        <v>1</v>
      </c>
      <c r="AP28">
        <v>1</v>
      </c>
      <c r="AQ28">
        <v>1</v>
      </c>
      <c r="AR28">
        <f t="shared" si="28"/>
        <v>0</v>
      </c>
      <c r="AS28" s="15">
        <v>0</v>
      </c>
    </row>
    <row r="29" spans="1:45" x14ac:dyDescent="0.25">
      <c r="A29" s="19"/>
      <c r="B29">
        <f t="shared" si="6"/>
        <v>24</v>
      </c>
      <c r="C29" t="b">
        <v>0</v>
      </c>
      <c r="D29" t="b">
        <v>0</v>
      </c>
      <c r="E29" t="b">
        <v>0</v>
      </c>
      <c r="F29" s="3" t="s">
        <v>33</v>
      </c>
      <c r="G29" t="str">
        <f t="shared" si="13"/>
        <v>-</v>
      </c>
      <c r="H29" t="str">
        <f t="shared" ref="H29" si="229">H28</f>
        <v>-</v>
      </c>
      <c r="I29" t="str">
        <f t="shared" si="15"/>
        <v>-</v>
      </c>
      <c r="J29" t="str">
        <f t="shared" si="16"/>
        <v>-</v>
      </c>
      <c r="K29" t="str">
        <f t="shared" si="17"/>
        <v>-</v>
      </c>
      <c r="L29" t="str">
        <f t="shared" si="18"/>
        <v>-</v>
      </c>
      <c r="M29" t="str">
        <f t="shared" ref="M29" si="230">M28</f>
        <v>-</v>
      </c>
      <c r="N29" t="str">
        <f t="shared" ref="N29:U29" si="231">N28</f>
        <v>-</v>
      </c>
      <c r="O29" t="str">
        <f t="shared" si="231"/>
        <v>-</v>
      </c>
      <c r="P29" t="str">
        <f t="shared" ref="P29" si="232">P28</f>
        <v>-</v>
      </c>
      <c r="Q29" t="str">
        <f t="shared" si="231"/>
        <v>-</v>
      </c>
      <c r="R29" t="str">
        <f t="shared" ref="R29" si="233">R28</f>
        <v>-</v>
      </c>
      <c r="S29" t="str">
        <f t="shared" si="231"/>
        <v>-</v>
      </c>
      <c r="T29" t="str">
        <f t="shared" ref="T29" si="234">T28</f>
        <v>-</v>
      </c>
      <c r="U29" t="str">
        <f t="shared" si="231"/>
        <v>-</v>
      </c>
      <c r="V29" t="str">
        <f t="shared" ref="V29" si="235">V28</f>
        <v>-</v>
      </c>
      <c r="W29" t="str">
        <f t="shared" ref="W29:Y29" si="236">W28</f>
        <v>-</v>
      </c>
      <c r="X29" t="str">
        <f t="shared" si="236"/>
        <v>-</v>
      </c>
      <c r="Y29" t="str">
        <f t="shared" si="236"/>
        <v>-</v>
      </c>
      <c r="Z29" t="str">
        <f t="shared" ref="Z29:AB29" si="237">Z28</f>
        <v>-</v>
      </c>
      <c r="AA29" t="str">
        <f t="shared" ref="AA29" si="238">AA28</f>
        <v>-</v>
      </c>
      <c r="AB29" t="str">
        <f t="shared" si="237"/>
        <v>-</v>
      </c>
      <c r="AC29">
        <v>1</v>
      </c>
      <c r="AD29">
        <v>1</v>
      </c>
      <c r="AE29">
        <v>1</v>
      </c>
      <c r="AF29">
        <v>1</v>
      </c>
      <c r="AG29">
        <v>1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1</v>
      </c>
      <c r="AN29">
        <v>0.9</v>
      </c>
      <c r="AO29">
        <v>1</v>
      </c>
      <c r="AP29">
        <v>1</v>
      </c>
      <c r="AQ29">
        <v>1</v>
      </c>
      <c r="AR29">
        <f t="shared" si="28"/>
        <v>0</v>
      </c>
      <c r="AS29" s="15">
        <v>0</v>
      </c>
    </row>
    <row r="30" spans="1:45" x14ac:dyDescent="0.25">
      <c r="A30" s="19"/>
      <c r="B30">
        <f t="shared" si="6"/>
        <v>25</v>
      </c>
      <c r="C30" t="b">
        <v>0</v>
      </c>
      <c r="D30" t="b">
        <v>0</v>
      </c>
      <c r="E30" t="b">
        <v>0</v>
      </c>
      <c r="F30" s="3" t="s">
        <v>34</v>
      </c>
      <c r="G30" t="str">
        <f t="shared" si="13"/>
        <v>-</v>
      </c>
      <c r="H30" t="str">
        <f t="shared" ref="H30" si="239">H29</f>
        <v>-</v>
      </c>
      <c r="I30" t="str">
        <f t="shared" si="15"/>
        <v>-</v>
      </c>
      <c r="J30" t="str">
        <f t="shared" si="16"/>
        <v>-</v>
      </c>
      <c r="K30" t="str">
        <f t="shared" si="17"/>
        <v>-</v>
      </c>
      <c r="L30" t="str">
        <f t="shared" si="18"/>
        <v>-</v>
      </c>
      <c r="M30" t="str">
        <f t="shared" ref="M30" si="240">M29</f>
        <v>-</v>
      </c>
      <c r="N30" t="str">
        <f t="shared" ref="N30:U30" si="241">N29</f>
        <v>-</v>
      </c>
      <c r="O30" t="str">
        <f t="shared" si="241"/>
        <v>-</v>
      </c>
      <c r="P30" t="str">
        <f t="shared" ref="P30" si="242">P29</f>
        <v>-</v>
      </c>
      <c r="Q30" t="str">
        <f t="shared" si="241"/>
        <v>-</v>
      </c>
      <c r="R30" t="str">
        <f t="shared" ref="R30" si="243">R29</f>
        <v>-</v>
      </c>
      <c r="S30" t="str">
        <f t="shared" si="241"/>
        <v>-</v>
      </c>
      <c r="T30" t="str">
        <f t="shared" ref="T30" si="244">T29</f>
        <v>-</v>
      </c>
      <c r="U30" t="str">
        <f t="shared" si="241"/>
        <v>-</v>
      </c>
      <c r="V30" t="str">
        <f t="shared" ref="V30" si="245">V29</f>
        <v>-</v>
      </c>
      <c r="W30" t="str">
        <f t="shared" ref="W30:Y30" si="246">W29</f>
        <v>-</v>
      </c>
      <c r="X30" t="str">
        <f t="shared" si="246"/>
        <v>-</v>
      </c>
      <c r="Y30" t="str">
        <f t="shared" si="246"/>
        <v>-</v>
      </c>
      <c r="Z30" t="str">
        <f t="shared" ref="Z30:AB34" si="247">Z29</f>
        <v>-</v>
      </c>
      <c r="AA30" t="str">
        <f t="shared" ref="AA30" si="248">AA29</f>
        <v>-</v>
      </c>
      <c r="AB30" t="str">
        <f t="shared" si="247"/>
        <v>-</v>
      </c>
      <c r="AC30">
        <v>1</v>
      </c>
      <c r="AD30">
        <v>1</v>
      </c>
      <c r="AE30">
        <v>1</v>
      </c>
      <c r="AF30">
        <v>1</v>
      </c>
      <c r="AG30">
        <v>1</v>
      </c>
      <c r="AH30">
        <v>1</v>
      </c>
      <c r="AI30">
        <v>1</v>
      </c>
      <c r="AJ30">
        <v>1</v>
      </c>
      <c r="AK30">
        <v>1</v>
      </c>
      <c r="AL30">
        <v>1</v>
      </c>
      <c r="AM30">
        <v>1</v>
      </c>
      <c r="AN30">
        <v>1.1000000000000001</v>
      </c>
      <c r="AO30">
        <v>1</v>
      </c>
      <c r="AP30">
        <v>1</v>
      </c>
      <c r="AQ30">
        <v>1</v>
      </c>
      <c r="AR30">
        <f t="shared" si="28"/>
        <v>0</v>
      </c>
      <c r="AS30" s="15">
        <v>0</v>
      </c>
    </row>
    <row r="31" spans="1:45" x14ac:dyDescent="0.25">
      <c r="A31" s="19"/>
      <c r="B31">
        <f t="shared" si="6"/>
        <v>26</v>
      </c>
      <c r="C31" t="b">
        <v>0</v>
      </c>
      <c r="D31" t="b">
        <v>0</v>
      </c>
      <c r="E31" t="b">
        <v>0</v>
      </c>
      <c r="F31" s="3" t="s">
        <v>51</v>
      </c>
      <c r="G31" t="str">
        <f>G$5</f>
        <v>-</v>
      </c>
      <c r="H31" t="str">
        <f>H$5</f>
        <v>-</v>
      </c>
      <c r="I31" t="str">
        <f t="shared" ref="G31:AR41" si="249">I$5</f>
        <v>-</v>
      </c>
      <c r="J31" t="str">
        <f t="shared" si="249"/>
        <v>-</v>
      </c>
      <c r="K31" t="str">
        <f t="shared" si="249"/>
        <v>-</v>
      </c>
      <c r="L31" t="str">
        <f t="shared" si="249"/>
        <v>-</v>
      </c>
      <c r="M31" t="str">
        <f t="shared" si="249"/>
        <v>-</v>
      </c>
      <c r="N31" t="str">
        <f t="shared" si="249"/>
        <v>-</v>
      </c>
      <c r="O31" t="str">
        <f t="shared" ref="O31:U31" si="250">O30</f>
        <v>-</v>
      </c>
      <c r="P31" t="str">
        <f t="shared" ref="P31" si="251">P30</f>
        <v>-</v>
      </c>
      <c r="Q31" t="str">
        <f t="shared" si="250"/>
        <v>-</v>
      </c>
      <c r="R31" t="str">
        <f t="shared" ref="R31" si="252">R30</f>
        <v>-</v>
      </c>
      <c r="S31" t="str">
        <f t="shared" si="250"/>
        <v>-</v>
      </c>
      <c r="T31" t="str">
        <f t="shared" ref="T31" si="253">T30</f>
        <v>-</v>
      </c>
      <c r="U31" t="str">
        <f t="shared" si="250"/>
        <v>-</v>
      </c>
      <c r="V31" t="str">
        <f t="shared" ref="V31" si="254">V30</f>
        <v>-</v>
      </c>
      <c r="W31" t="str">
        <f t="shared" si="249"/>
        <v>-</v>
      </c>
      <c r="X31">
        <v>200</v>
      </c>
      <c r="Y31" t="b">
        <v>1</v>
      </c>
      <c r="Z31" t="str">
        <f t="shared" si="247"/>
        <v>-</v>
      </c>
      <c r="AA31" t="str">
        <f t="shared" ref="AA31" si="255">AA30</f>
        <v>-</v>
      </c>
      <c r="AB31" t="str">
        <f t="shared" si="247"/>
        <v>-</v>
      </c>
      <c r="AC31">
        <f t="shared" si="249"/>
        <v>1</v>
      </c>
      <c r="AD31">
        <f t="shared" si="249"/>
        <v>1</v>
      </c>
      <c r="AE31">
        <f t="shared" si="249"/>
        <v>1</v>
      </c>
      <c r="AF31">
        <f t="shared" si="249"/>
        <v>1</v>
      </c>
      <c r="AG31">
        <f t="shared" si="249"/>
        <v>1</v>
      </c>
      <c r="AH31">
        <f t="shared" si="249"/>
        <v>1</v>
      </c>
      <c r="AI31">
        <f t="shared" si="249"/>
        <v>1</v>
      </c>
      <c r="AJ31">
        <f t="shared" si="249"/>
        <v>1</v>
      </c>
      <c r="AK31">
        <f t="shared" si="249"/>
        <v>1</v>
      </c>
      <c r="AL31">
        <f t="shared" si="249"/>
        <v>1</v>
      </c>
      <c r="AM31">
        <f t="shared" si="249"/>
        <v>1</v>
      </c>
      <c r="AN31">
        <f t="shared" si="249"/>
        <v>1</v>
      </c>
      <c r="AO31">
        <f t="shared" si="249"/>
        <v>0</v>
      </c>
      <c r="AP31">
        <f t="shared" si="249"/>
        <v>0</v>
      </c>
      <c r="AQ31">
        <f t="shared" si="249"/>
        <v>0</v>
      </c>
      <c r="AR31">
        <f t="shared" si="249"/>
        <v>0</v>
      </c>
      <c r="AS31" s="15">
        <v>0</v>
      </c>
    </row>
    <row r="32" spans="1:45" x14ac:dyDescent="0.25">
      <c r="A32" s="19"/>
      <c r="B32">
        <f t="shared" si="6"/>
        <v>27</v>
      </c>
      <c r="C32" t="b">
        <v>0</v>
      </c>
      <c r="D32" t="b">
        <v>0</v>
      </c>
      <c r="E32" t="b">
        <v>0</v>
      </c>
      <c r="F32" s="3" t="s">
        <v>52</v>
      </c>
      <c r="G32" t="str">
        <f t="shared" ref="G32:H37" si="256">G$5</f>
        <v>-</v>
      </c>
      <c r="H32" t="str">
        <f t="shared" si="256"/>
        <v>-</v>
      </c>
      <c r="I32" t="str">
        <f t="shared" si="249"/>
        <v>-</v>
      </c>
      <c r="J32" t="str">
        <f t="shared" si="249"/>
        <v>-</v>
      </c>
      <c r="K32" t="str">
        <f t="shared" si="249"/>
        <v>-</v>
      </c>
      <c r="L32" t="str">
        <f t="shared" si="249"/>
        <v>-</v>
      </c>
      <c r="M32" t="str">
        <f t="shared" si="249"/>
        <v>-</v>
      </c>
      <c r="N32" t="str">
        <f t="shared" si="249"/>
        <v>-</v>
      </c>
      <c r="O32" t="str">
        <f t="shared" ref="O32:U32" si="257">O31</f>
        <v>-</v>
      </c>
      <c r="P32" t="str">
        <f t="shared" ref="P32" si="258">P31</f>
        <v>-</v>
      </c>
      <c r="Q32" t="str">
        <f t="shared" si="257"/>
        <v>-</v>
      </c>
      <c r="R32" t="str">
        <f t="shared" ref="R32" si="259">R31</f>
        <v>-</v>
      </c>
      <c r="S32" t="str">
        <f t="shared" si="257"/>
        <v>-</v>
      </c>
      <c r="T32" t="str">
        <f t="shared" ref="T32" si="260">T31</f>
        <v>-</v>
      </c>
      <c r="U32" t="str">
        <f t="shared" si="257"/>
        <v>-</v>
      </c>
      <c r="V32" t="str">
        <f t="shared" ref="V32" si="261">V31</f>
        <v>-</v>
      </c>
      <c r="W32" t="str">
        <f t="shared" si="249"/>
        <v>-</v>
      </c>
      <c r="X32">
        <v>800</v>
      </c>
      <c r="Y32" t="b">
        <v>1</v>
      </c>
      <c r="Z32" t="str">
        <f t="shared" si="247"/>
        <v>-</v>
      </c>
      <c r="AA32" t="str">
        <f t="shared" ref="AA32" si="262">AA31</f>
        <v>-</v>
      </c>
      <c r="AB32" t="str">
        <f t="shared" si="247"/>
        <v>-</v>
      </c>
      <c r="AC32">
        <f t="shared" si="249"/>
        <v>1</v>
      </c>
      <c r="AD32">
        <f t="shared" si="249"/>
        <v>1</v>
      </c>
      <c r="AE32">
        <f t="shared" si="249"/>
        <v>1</v>
      </c>
      <c r="AF32">
        <f t="shared" si="249"/>
        <v>1</v>
      </c>
      <c r="AG32">
        <f t="shared" si="249"/>
        <v>1</v>
      </c>
      <c r="AH32">
        <f t="shared" si="249"/>
        <v>1</v>
      </c>
      <c r="AI32">
        <f t="shared" si="249"/>
        <v>1</v>
      </c>
      <c r="AJ32">
        <f t="shared" si="249"/>
        <v>1</v>
      </c>
      <c r="AK32">
        <f t="shared" si="249"/>
        <v>1</v>
      </c>
      <c r="AL32">
        <f t="shared" si="249"/>
        <v>1</v>
      </c>
      <c r="AM32">
        <f t="shared" si="249"/>
        <v>1</v>
      </c>
      <c r="AN32">
        <f t="shared" si="249"/>
        <v>1</v>
      </c>
      <c r="AO32">
        <f t="shared" si="249"/>
        <v>0</v>
      </c>
      <c r="AP32">
        <f t="shared" si="249"/>
        <v>0</v>
      </c>
      <c r="AQ32">
        <f t="shared" si="249"/>
        <v>0</v>
      </c>
      <c r="AR32">
        <f t="shared" si="249"/>
        <v>0</v>
      </c>
      <c r="AS32" s="15">
        <v>0</v>
      </c>
    </row>
    <row r="33" spans="1:45" x14ac:dyDescent="0.25">
      <c r="A33" s="19"/>
      <c r="B33">
        <f t="shared" si="6"/>
        <v>28</v>
      </c>
      <c r="C33" t="b">
        <v>0</v>
      </c>
      <c r="D33" t="b">
        <v>0</v>
      </c>
      <c r="E33" t="b">
        <v>0</v>
      </c>
      <c r="F33" s="3" t="s">
        <v>53</v>
      </c>
      <c r="G33" t="str">
        <f t="shared" si="256"/>
        <v>-</v>
      </c>
      <c r="H33" t="str">
        <f t="shared" si="256"/>
        <v>-</v>
      </c>
      <c r="I33" t="str">
        <f t="shared" si="249"/>
        <v>-</v>
      </c>
      <c r="J33" t="str">
        <f t="shared" si="249"/>
        <v>-</v>
      </c>
      <c r="K33" t="str">
        <f t="shared" si="249"/>
        <v>-</v>
      </c>
      <c r="L33" t="str">
        <f t="shared" si="249"/>
        <v>-</v>
      </c>
      <c r="M33" t="str">
        <f t="shared" si="249"/>
        <v>-</v>
      </c>
      <c r="N33" t="str">
        <f t="shared" si="249"/>
        <v>-</v>
      </c>
      <c r="O33" t="str">
        <f t="shared" ref="O33:U33" si="263">O32</f>
        <v>-</v>
      </c>
      <c r="P33" t="str">
        <f t="shared" ref="P33" si="264">P32</f>
        <v>-</v>
      </c>
      <c r="Q33" t="str">
        <f t="shared" si="263"/>
        <v>-</v>
      </c>
      <c r="R33" t="str">
        <f t="shared" ref="R33" si="265">R32</f>
        <v>-</v>
      </c>
      <c r="S33" t="str">
        <f t="shared" si="263"/>
        <v>-</v>
      </c>
      <c r="T33" t="str">
        <f t="shared" ref="T33" si="266">T32</f>
        <v>-</v>
      </c>
      <c r="U33" t="str">
        <f t="shared" si="263"/>
        <v>-</v>
      </c>
      <c r="V33" t="str">
        <f t="shared" ref="V33" si="267">V32</f>
        <v>-</v>
      </c>
      <c r="W33" t="str">
        <f t="shared" si="249"/>
        <v>-</v>
      </c>
      <c r="X33">
        <v>1200</v>
      </c>
      <c r="Y33" t="b">
        <v>1</v>
      </c>
      <c r="Z33" t="str">
        <f t="shared" si="247"/>
        <v>-</v>
      </c>
      <c r="AA33" t="str">
        <f t="shared" ref="AA33" si="268">AA32</f>
        <v>-</v>
      </c>
      <c r="AB33" t="str">
        <f t="shared" si="247"/>
        <v>-</v>
      </c>
      <c r="AC33">
        <f t="shared" si="249"/>
        <v>1</v>
      </c>
      <c r="AD33">
        <f t="shared" si="249"/>
        <v>1</v>
      </c>
      <c r="AE33">
        <f t="shared" si="249"/>
        <v>1</v>
      </c>
      <c r="AF33">
        <f t="shared" si="249"/>
        <v>1</v>
      </c>
      <c r="AG33">
        <f t="shared" si="249"/>
        <v>1</v>
      </c>
      <c r="AH33">
        <f t="shared" si="249"/>
        <v>1</v>
      </c>
      <c r="AI33">
        <f t="shared" si="249"/>
        <v>1</v>
      </c>
      <c r="AJ33">
        <f t="shared" si="249"/>
        <v>1</v>
      </c>
      <c r="AK33">
        <f t="shared" si="249"/>
        <v>1</v>
      </c>
      <c r="AL33">
        <f t="shared" si="249"/>
        <v>1</v>
      </c>
      <c r="AM33">
        <f t="shared" si="249"/>
        <v>1</v>
      </c>
      <c r="AN33">
        <f t="shared" si="249"/>
        <v>1</v>
      </c>
      <c r="AO33">
        <f t="shared" si="249"/>
        <v>0</v>
      </c>
      <c r="AP33">
        <f t="shared" si="249"/>
        <v>0</v>
      </c>
      <c r="AQ33">
        <f t="shared" si="249"/>
        <v>0</v>
      </c>
      <c r="AR33">
        <f t="shared" si="249"/>
        <v>0</v>
      </c>
      <c r="AS33" s="15">
        <v>0</v>
      </c>
    </row>
    <row r="34" spans="1:45" x14ac:dyDescent="0.25">
      <c r="A34" s="19"/>
      <c r="B34">
        <f t="shared" si="6"/>
        <v>29</v>
      </c>
      <c r="C34" t="b">
        <v>0</v>
      </c>
      <c r="D34" t="b">
        <v>0</v>
      </c>
      <c r="E34" t="b">
        <v>0</v>
      </c>
      <c r="F34" s="3" t="s">
        <v>54</v>
      </c>
      <c r="G34" t="str">
        <f t="shared" si="256"/>
        <v>-</v>
      </c>
      <c r="H34" t="str">
        <f t="shared" si="256"/>
        <v>-</v>
      </c>
      <c r="I34" t="str">
        <f t="shared" si="249"/>
        <v>-</v>
      </c>
      <c r="J34" t="str">
        <f t="shared" si="249"/>
        <v>-</v>
      </c>
      <c r="K34" t="str">
        <f t="shared" si="249"/>
        <v>-</v>
      </c>
      <c r="L34" t="str">
        <f t="shared" si="249"/>
        <v>-</v>
      </c>
      <c r="M34" t="str">
        <f t="shared" si="249"/>
        <v>-</v>
      </c>
      <c r="N34" t="str">
        <f t="shared" si="249"/>
        <v>-</v>
      </c>
      <c r="O34" t="str">
        <f t="shared" ref="O34:U34" si="269">O33</f>
        <v>-</v>
      </c>
      <c r="P34" t="str">
        <f t="shared" ref="P34" si="270">P33</f>
        <v>-</v>
      </c>
      <c r="Q34" t="str">
        <f t="shared" si="269"/>
        <v>-</v>
      </c>
      <c r="R34" t="str">
        <f t="shared" ref="R34" si="271">R33</f>
        <v>-</v>
      </c>
      <c r="S34" t="str">
        <f t="shared" si="269"/>
        <v>-</v>
      </c>
      <c r="T34" t="str">
        <f t="shared" ref="T34" si="272">T33</f>
        <v>-</v>
      </c>
      <c r="U34" t="str">
        <f t="shared" si="269"/>
        <v>-</v>
      </c>
      <c r="V34" t="str">
        <f t="shared" ref="V34" si="273">V33</f>
        <v>-</v>
      </c>
      <c r="W34" t="str">
        <f t="shared" si="249"/>
        <v>-</v>
      </c>
      <c r="X34">
        <v>1600</v>
      </c>
      <c r="Y34" t="b">
        <v>1</v>
      </c>
      <c r="Z34" t="str">
        <f t="shared" si="247"/>
        <v>-</v>
      </c>
      <c r="AA34" t="str">
        <f t="shared" ref="AA34" si="274">AA33</f>
        <v>-</v>
      </c>
      <c r="AB34" t="str">
        <f t="shared" si="247"/>
        <v>-</v>
      </c>
      <c r="AC34">
        <f t="shared" si="249"/>
        <v>1</v>
      </c>
      <c r="AD34">
        <f t="shared" si="249"/>
        <v>1</v>
      </c>
      <c r="AE34">
        <f t="shared" si="249"/>
        <v>1</v>
      </c>
      <c r="AF34">
        <f t="shared" si="249"/>
        <v>1</v>
      </c>
      <c r="AG34">
        <f t="shared" si="249"/>
        <v>1</v>
      </c>
      <c r="AH34">
        <f t="shared" si="249"/>
        <v>1</v>
      </c>
      <c r="AI34">
        <f t="shared" si="249"/>
        <v>1</v>
      </c>
      <c r="AJ34">
        <f t="shared" si="249"/>
        <v>1</v>
      </c>
      <c r="AK34">
        <f t="shared" si="249"/>
        <v>1</v>
      </c>
      <c r="AL34">
        <f t="shared" si="249"/>
        <v>1</v>
      </c>
      <c r="AM34">
        <f t="shared" si="249"/>
        <v>1</v>
      </c>
      <c r="AN34">
        <f t="shared" si="249"/>
        <v>1</v>
      </c>
      <c r="AO34">
        <f t="shared" si="249"/>
        <v>0</v>
      </c>
      <c r="AP34">
        <f t="shared" si="249"/>
        <v>0</v>
      </c>
      <c r="AQ34">
        <f t="shared" si="249"/>
        <v>0</v>
      </c>
      <c r="AR34">
        <f t="shared" si="249"/>
        <v>0</v>
      </c>
      <c r="AS34" s="15">
        <v>0</v>
      </c>
    </row>
    <row r="35" spans="1:45" x14ac:dyDescent="0.25">
      <c r="A35" s="19"/>
      <c r="B35">
        <f t="shared" si="6"/>
        <v>30</v>
      </c>
      <c r="C35" t="b">
        <v>0</v>
      </c>
      <c r="D35" t="b">
        <v>1</v>
      </c>
      <c r="E35" t="b">
        <v>0</v>
      </c>
      <c r="F35" s="3" t="s">
        <v>55</v>
      </c>
      <c r="G35" t="str">
        <f t="shared" si="256"/>
        <v>-</v>
      </c>
      <c r="H35" t="b">
        <v>1</v>
      </c>
      <c r="I35" t="b">
        <v>1</v>
      </c>
      <c r="J35" t="str">
        <f t="shared" si="249"/>
        <v>-</v>
      </c>
      <c r="K35" t="str">
        <f t="shared" si="249"/>
        <v>-</v>
      </c>
      <c r="L35" t="str">
        <f t="shared" si="249"/>
        <v>-</v>
      </c>
      <c r="M35" t="str">
        <f t="shared" si="249"/>
        <v>-</v>
      </c>
      <c r="N35" t="str">
        <f t="shared" si="249"/>
        <v>-</v>
      </c>
      <c r="O35" t="str">
        <f t="shared" ref="O35:U35" si="275">O34</f>
        <v>-</v>
      </c>
      <c r="P35" t="str">
        <f t="shared" ref="P35" si="276">P34</f>
        <v>-</v>
      </c>
      <c r="Q35" t="str">
        <f t="shared" si="275"/>
        <v>-</v>
      </c>
      <c r="R35" t="str">
        <f t="shared" ref="R35" si="277">R34</f>
        <v>-</v>
      </c>
      <c r="S35" t="str">
        <f t="shared" si="275"/>
        <v>-</v>
      </c>
      <c r="T35" t="str">
        <f t="shared" ref="T35" si="278">T34</f>
        <v>-</v>
      </c>
      <c r="U35" t="str">
        <f t="shared" si="275"/>
        <v>-</v>
      </c>
      <c r="V35" t="str">
        <f t="shared" ref="V35" si="279">V34</f>
        <v>-</v>
      </c>
      <c r="W35" t="str">
        <f t="shared" si="249"/>
        <v>-</v>
      </c>
      <c r="X35" t="str">
        <f t="shared" si="249"/>
        <v>-</v>
      </c>
      <c r="Y35" t="str">
        <f t="shared" si="249"/>
        <v>-</v>
      </c>
      <c r="Z35" t="str">
        <f t="shared" si="249"/>
        <v>-</v>
      </c>
      <c r="AA35" t="str">
        <f t="shared" si="249"/>
        <v>-</v>
      </c>
      <c r="AB35" t="str">
        <f t="shared" si="249"/>
        <v>-</v>
      </c>
      <c r="AC35">
        <f t="shared" si="249"/>
        <v>1</v>
      </c>
      <c r="AD35">
        <f t="shared" si="249"/>
        <v>1</v>
      </c>
      <c r="AE35">
        <f t="shared" si="249"/>
        <v>1</v>
      </c>
      <c r="AF35">
        <f t="shared" si="249"/>
        <v>1</v>
      </c>
      <c r="AG35">
        <f t="shared" si="249"/>
        <v>1</v>
      </c>
      <c r="AH35">
        <f t="shared" si="249"/>
        <v>1</v>
      </c>
      <c r="AI35">
        <f t="shared" si="249"/>
        <v>1</v>
      </c>
      <c r="AJ35">
        <f t="shared" si="249"/>
        <v>1</v>
      </c>
      <c r="AK35">
        <f t="shared" si="249"/>
        <v>1</v>
      </c>
      <c r="AL35">
        <f t="shared" si="249"/>
        <v>1</v>
      </c>
      <c r="AM35">
        <f t="shared" si="249"/>
        <v>1</v>
      </c>
      <c r="AN35">
        <f t="shared" si="249"/>
        <v>1</v>
      </c>
      <c r="AO35">
        <f t="shared" si="249"/>
        <v>0</v>
      </c>
      <c r="AP35">
        <f t="shared" si="249"/>
        <v>0</v>
      </c>
      <c r="AQ35">
        <f t="shared" si="249"/>
        <v>0</v>
      </c>
      <c r="AR35">
        <f t="shared" si="249"/>
        <v>0</v>
      </c>
      <c r="AS35" s="15">
        <v>0</v>
      </c>
    </row>
    <row r="36" spans="1:45" x14ac:dyDescent="0.25">
      <c r="A36" s="19"/>
      <c r="B36">
        <f t="shared" si="6"/>
        <v>31</v>
      </c>
      <c r="C36" t="b">
        <v>0</v>
      </c>
      <c r="D36" t="b">
        <v>1</v>
      </c>
      <c r="E36" t="b">
        <v>0</v>
      </c>
      <c r="F36" s="3" t="s">
        <v>60</v>
      </c>
      <c r="G36" t="str">
        <f t="shared" si="256"/>
        <v>-</v>
      </c>
      <c r="H36" t="b">
        <v>1</v>
      </c>
      <c r="I36" t="b">
        <v>0</v>
      </c>
      <c r="J36" t="str">
        <f t="shared" si="249"/>
        <v>-</v>
      </c>
      <c r="K36" t="str">
        <f t="shared" si="249"/>
        <v>-</v>
      </c>
      <c r="L36" t="str">
        <f t="shared" si="249"/>
        <v>-</v>
      </c>
      <c r="M36" t="str">
        <f t="shared" si="249"/>
        <v>-</v>
      </c>
      <c r="N36" t="str">
        <f t="shared" si="249"/>
        <v>-</v>
      </c>
      <c r="O36" t="str">
        <f t="shared" ref="O36:U36" si="280">O35</f>
        <v>-</v>
      </c>
      <c r="P36" t="str">
        <f t="shared" ref="P36" si="281">P35</f>
        <v>-</v>
      </c>
      <c r="Q36" t="str">
        <f t="shared" si="280"/>
        <v>-</v>
      </c>
      <c r="R36" t="str">
        <f t="shared" ref="R36" si="282">R35</f>
        <v>-</v>
      </c>
      <c r="S36" t="str">
        <f t="shared" si="280"/>
        <v>-</v>
      </c>
      <c r="T36" t="str">
        <f t="shared" ref="T36" si="283">T35</f>
        <v>-</v>
      </c>
      <c r="U36" t="str">
        <f t="shared" si="280"/>
        <v>-</v>
      </c>
      <c r="V36" t="str">
        <f t="shared" ref="V36" si="284">V35</f>
        <v>-</v>
      </c>
      <c r="W36" t="str">
        <f t="shared" si="249"/>
        <v>-</v>
      </c>
      <c r="X36" t="str">
        <f t="shared" si="249"/>
        <v>-</v>
      </c>
      <c r="Y36" t="str">
        <f t="shared" si="249"/>
        <v>-</v>
      </c>
      <c r="Z36" t="str">
        <f t="shared" si="249"/>
        <v>-</v>
      </c>
      <c r="AA36" t="str">
        <f t="shared" si="249"/>
        <v>-</v>
      </c>
      <c r="AB36" t="str">
        <f t="shared" si="249"/>
        <v>-</v>
      </c>
      <c r="AC36">
        <f t="shared" si="249"/>
        <v>1</v>
      </c>
      <c r="AD36">
        <f t="shared" si="249"/>
        <v>1</v>
      </c>
      <c r="AE36">
        <f t="shared" si="249"/>
        <v>1</v>
      </c>
      <c r="AF36">
        <f t="shared" si="249"/>
        <v>1</v>
      </c>
      <c r="AG36">
        <f t="shared" si="249"/>
        <v>1</v>
      </c>
      <c r="AH36">
        <f t="shared" si="249"/>
        <v>1</v>
      </c>
      <c r="AI36">
        <f t="shared" si="249"/>
        <v>1</v>
      </c>
      <c r="AJ36">
        <f t="shared" si="249"/>
        <v>1</v>
      </c>
      <c r="AK36">
        <f t="shared" si="249"/>
        <v>1</v>
      </c>
      <c r="AL36">
        <f t="shared" si="249"/>
        <v>1</v>
      </c>
      <c r="AM36">
        <f t="shared" si="249"/>
        <v>1</v>
      </c>
      <c r="AN36">
        <f t="shared" si="249"/>
        <v>1</v>
      </c>
      <c r="AO36">
        <f t="shared" si="249"/>
        <v>0</v>
      </c>
      <c r="AP36">
        <f t="shared" si="249"/>
        <v>0</v>
      </c>
      <c r="AQ36">
        <f t="shared" si="249"/>
        <v>0</v>
      </c>
      <c r="AR36">
        <f t="shared" si="249"/>
        <v>0</v>
      </c>
      <c r="AS36" s="15">
        <v>0</v>
      </c>
    </row>
    <row r="37" spans="1:45" x14ac:dyDescent="0.25">
      <c r="A37" s="19"/>
      <c r="B37">
        <f t="shared" si="6"/>
        <v>32</v>
      </c>
      <c r="C37" t="b">
        <v>0</v>
      </c>
      <c r="D37" t="b">
        <v>1</v>
      </c>
      <c r="E37" t="b">
        <v>0</v>
      </c>
      <c r="F37" s="3" t="s">
        <v>61</v>
      </c>
      <c r="G37" t="str">
        <f t="shared" si="256"/>
        <v>-</v>
      </c>
      <c r="H37" t="b">
        <v>0</v>
      </c>
      <c r="I37" t="b">
        <v>1</v>
      </c>
      <c r="J37" t="str">
        <f t="shared" si="249"/>
        <v>-</v>
      </c>
      <c r="K37" t="str">
        <f t="shared" si="249"/>
        <v>-</v>
      </c>
      <c r="L37" t="str">
        <f t="shared" si="249"/>
        <v>-</v>
      </c>
      <c r="M37" t="str">
        <f t="shared" si="249"/>
        <v>-</v>
      </c>
      <c r="N37" t="str">
        <f t="shared" si="249"/>
        <v>-</v>
      </c>
      <c r="O37" t="str">
        <f t="shared" ref="O37:U37" si="285">O36</f>
        <v>-</v>
      </c>
      <c r="P37" t="str">
        <f t="shared" ref="P37" si="286">P36</f>
        <v>-</v>
      </c>
      <c r="Q37" t="str">
        <f t="shared" si="285"/>
        <v>-</v>
      </c>
      <c r="R37" t="str">
        <f t="shared" ref="R37" si="287">R36</f>
        <v>-</v>
      </c>
      <c r="S37" t="str">
        <f t="shared" si="285"/>
        <v>-</v>
      </c>
      <c r="T37" t="str">
        <f t="shared" ref="T37" si="288">T36</f>
        <v>-</v>
      </c>
      <c r="U37" t="str">
        <f t="shared" si="285"/>
        <v>-</v>
      </c>
      <c r="V37" t="str">
        <f t="shared" ref="V37" si="289">V36</f>
        <v>-</v>
      </c>
      <c r="W37" t="str">
        <f t="shared" si="249"/>
        <v>-</v>
      </c>
      <c r="X37" t="str">
        <f t="shared" si="249"/>
        <v>-</v>
      </c>
      <c r="Y37" t="str">
        <f t="shared" si="249"/>
        <v>-</v>
      </c>
      <c r="Z37" t="str">
        <f t="shared" si="249"/>
        <v>-</v>
      </c>
      <c r="AA37" t="str">
        <f t="shared" si="249"/>
        <v>-</v>
      </c>
      <c r="AB37" t="str">
        <f t="shared" si="249"/>
        <v>-</v>
      </c>
      <c r="AC37">
        <f t="shared" si="249"/>
        <v>1</v>
      </c>
      <c r="AD37">
        <f t="shared" si="249"/>
        <v>1</v>
      </c>
      <c r="AE37">
        <f t="shared" si="249"/>
        <v>1</v>
      </c>
      <c r="AF37">
        <f t="shared" si="249"/>
        <v>1</v>
      </c>
      <c r="AG37">
        <f t="shared" si="249"/>
        <v>1</v>
      </c>
      <c r="AH37">
        <f t="shared" si="249"/>
        <v>1</v>
      </c>
      <c r="AI37">
        <f t="shared" si="249"/>
        <v>1</v>
      </c>
      <c r="AJ37">
        <f t="shared" si="249"/>
        <v>1</v>
      </c>
      <c r="AK37">
        <f t="shared" si="249"/>
        <v>1</v>
      </c>
      <c r="AL37">
        <f t="shared" si="249"/>
        <v>1</v>
      </c>
      <c r="AM37">
        <f t="shared" si="249"/>
        <v>1</v>
      </c>
      <c r="AN37">
        <f t="shared" si="249"/>
        <v>1</v>
      </c>
      <c r="AO37">
        <f t="shared" si="249"/>
        <v>0</v>
      </c>
      <c r="AP37">
        <f t="shared" si="249"/>
        <v>0</v>
      </c>
      <c r="AQ37">
        <f t="shared" si="249"/>
        <v>0</v>
      </c>
      <c r="AR37">
        <f t="shared" si="249"/>
        <v>0</v>
      </c>
      <c r="AS37" s="15">
        <v>0</v>
      </c>
    </row>
    <row r="38" spans="1:45" x14ac:dyDescent="0.25">
      <c r="A38" s="19"/>
      <c r="B38">
        <f t="shared" si="6"/>
        <v>33</v>
      </c>
      <c r="C38" t="b">
        <v>0</v>
      </c>
      <c r="D38" t="b">
        <v>0</v>
      </c>
      <c r="E38" t="b">
        <v>0</v>
      </c>
      <c r="F38" s="3" t="s">
        <v>59</v>
      </c>
      <c r="G38" t="str">
        <f t="shared" si="249"/>
        <v>-</v>
      </c>
      <c r="H38" t="str">
        <f t="shared" si="249"/>
        <v>-</v>
      </c>
      <c r="I38" t="str">
        <f t="shared" si="249"/>
        <v>-</v>
      </c>
      <c r="J38" t="str">
        <f t="shared" si="249"/>
        <v>-</v>
      </c>
      <c r="K38" t="str">
        <f t="shared" si="249"/>
        <v>-</v>
      </c>
      <c r="L38" t="b">
        <v>1</v>
      </c>
      <c r="M38" t="str">
        <f t="shared" si="249"/>
        <v>-</v>
      </c>
      <c r="N38" t="str">
        <f t="shared" si="249"/>
        <v>-</v>
      </c>
      <c r="O38" t="str">
        <f t="shared" ref="O38:U38" si="290">O37</f>
        <v>-</v>
      </c>
      <c r="P38" t="str">
        <f t="shared" ref="P38" si="291">P37</f>
        <v>-</v>
      </c>
      <c r="Q38" t="str">
        <f t="shared" si="290"/>
        <v>-</v>
      </c>
      <c r="R38" t="str">
        <f t="shared" ref="R38" si="292">R37</f>
        <v>-</v>
      </c>
      <c r="S38" t="str">
        <f t="shared" si="290"/>
        <v>-</v>
      </c>
      <c r="T38" t="str">
        <f t="shared" ref="T38" si="293">T37</f>
        <v>-</v>
      </c>
      <c r="U38" t="str">
        <f t="shared" si="290"/>
        <v>-</v>
      </c>
      <c r="V38" t="str">
        <f t="shared" ref="V38" si="294">V37</f>
        <v>-</v>
      </c>
      <c r="W38" t="str">
        <f t="shared" si="249"/>
        <v>-</v>
      </c>
      <c r="X38" t="str">
        <f t="shared" si="249"/>
        <v>-</v>
      </c>
      <c r="Y38" t="str">
        <f t="shared" si="249"/>
        <v>-</v>
      </c>
      <c r="Z38" t="str">
        <f t="shared" si="249"/>
        <v>-</v>
      </c>
      <c r="AA38" t="str">
        <f t="shared" si="249"/>
        <v>-</v>
      </c>
      <c r="AB38" t="str">
        <f t="shared" si="249"/>
        <v>-</v>
      </c>
      <c r="AC38">
        <f t="shared" si="249"/>
        <v>1</v>
      </c>
      <c r="AD38">
        <f t="shared" si="249"/>
        <v>1</v>
      </c>
      <c r="AE38">
        <f t="shared" si="249"/>
        <v>1</v>
      </c>
      <c r="AF38">
        <f t="shared" si="249"/>
        <v>1</v>
      </c>
      <c r="AG38">
        <f t="shared" si="249"/>
        <v>1</v>
      </c>
      <c r="AH38">
        <f t="shared" si="249"/>
        <v>1</v>
      </c>
      <c r="AI38">
        <f t="shared" si="249"/>
        <v>1</v>
      </c>
      <c r="AJ38">
        <f t="shared" si="249"/>
        <v>1</v>
      </c>
      <c r="AK38">
        <f t="shared" si="249"/>
        <v>1</v>
      </c>
      <c r="AL38">
        <f t="shared" si="249"/>
        <v>1</v>
      </c>
      <c r="AM38">
        <f t="shared" si="249"/>
        <v>1</v>
      </c>
      <c r="AN38">
        <f t="shared" si="249"/>
        <v>1</v>
      </c>
      <c r="AO38">
        <f t="shared" si="249"/>
        <v>0</v>
      </c>
      <c r="AP38">
        <f t="shared" si="249"/>
        <v>0</v>
      </c>
      <c r="AQ38">
        <f t="shared" si="249"/>
        <v>0</v>
      </c>
      <c r="AR38">
        <f t="shared" si="249"/>
        <v>0</v>
      </c>
      <c r="AS38" s="15">
        <v>0</v>
      </c>
    </row>
    <row r="39" spans="1:45" x14ac:dyDescent="0.25">
      <c r="A39" s="19"/>
      <c r="B39">
        <f t="shared" si="6"/>
        <v>34</v>
      </c>
      <c r="C39" t="b">
        <v>0</v>
      </c>
      <c r="D39" t="b">
        <v>1</v>
      </c>
      <c r="E39" t="b">
        <v>0</v>
      </c>
      <c r="F39" s="3" t="s">
        <v>68</v>
      </c>
      <c r="G39" t="str">
        <f t="shared" si="249"/>
        <v>-</v>
      </c>
      <c r="H39" t="b">
        <v>1</v>
      </c>
      <c r="I39" t="b">
        <v>0</v>
      </c>
      <c r="J39" t="str">
        <f t="shared" si="249"/>
        <v>-</v>
      </c>
      <c r="K39" t="str">
        <f t="shared" si="249"/>
        <v>-</v>
      </c>
      <c r="L39" t="str">
        <f t="shared" si="249"/>
        <v>-</v>
      </c>
      <c r="M39" t="str">
        <f t="shared" si="249"/>
        <v>-</v>
      </c>
      <c r="N39" t="str">
        <f t="shared" si="249"/>
        <v>-</v>
      </c>
      <c r="O39" t="str">
        <f t="shared" ref="O39:U40" si="295">O38</f>
        <v>-</v>
      </c>
      <c r="P39" t="str">
        <f t="shared" ref="P39" si="296">P38</f>
        <v>-</v>
      </c>
      <c r="Q39" t="str">
        <f t="shared" si="295"/>
        <v>-</v>
      </c>
      <c r="R39" t="str">
        <f t="shared" ref="R39" si="297">R38</f>
        <v>-</v>
      </c>
      <c r="S39" t="str">
        <f t="shared" si="295"/>
        <v>-</v>
      </c>
      <c r="T39" t="str">
        <f t="shared" ref="T39" si="298">T38</f>
        <v>-</v>
      </c>
      <c r="U39" t="str">
        <f t="shared" si="295"/>
        <v>-</v>
      </c>
      <c r="V39" t="str">
        <f t="shared" ref="V39" si="299">V38</f>
        <v>-</v>
      </c>
      <c r="W39" t="str">
        <f t="shared" si="249"/>
        <v>-</v>
      </c>
      <c r="X39" t="str">
        <f t="shared" si="249"/>
        <v>-</v>
      </c>
      <c r="Y39" t="str">
        <f t="shared" si="249"/>
        <v>-</v>
      </c>
      <c r="Z39" t="b">
        <v>1</v>
      </c>
      <c r="AA39" t="b">
        <v>0</v>
      </c>
      <c r="AB39" t="b">
        <v>1</v>
      </c>
      <c r="AC39">
        <f t="shared" si="249"/>
        <v>1</v>
      </c>
      <c r="AD39">
        <f t="shared" si="249"/>
        <v>1</v>
      </c>
      <c r="AE39">
        <f t="shared" si="249"/>
        <v>1</v>
      </c>
      <c r="AF39">
        <f t="shared" si="249"/>
        <v>1</v>
      </c>
      <c r="AG39">
        <f t="shared" si="249"/>
        <v>1</v>
      </c>
      <c r="AH39">
        <f t="shared" si="249"/>
        <v>1</v>
      </c>
      <c r="AI39">
        <f t="shared" si="249"/>
        <v>1</v>
      </c>
      <c r="AJ39">
        <f t="shared" si="249"/>
        <v>1</v>
      </c>
      <c r="AK39">
        <f t="shared" si="249"/>
        <v>1</v>
      </c>
      <c r="AL39">
        <f t="shared" si="249"/>
        <v>1</v>
      </c>
      <c r="AM39">
        <f t="shared" si="249"/>
        <v>1</v>
      </c>
      <c r="AN39">
        <f t="shared" si="249"/>
        <v>1</v>
      </c>
      <c r="AO39">
        <f t="shared" si="249"/>
        <v>0</v>
      </c>
      <c r="AP39">
        <f t="shared" si="249"/>
        <v>0</v>
      </c>
      <c r="AQ39">
        <f t="shared" si="249"/>
        <v>0</v>
      </c>
      <c r="AR39">
        <f t="shared" si="249"/>
        <v>0</v>
      </c>
      <c r="AS39" s="15">
        <v>0</v>
      </c>
    </row>
    <row r="40" spans="1:45" x14ac:dyDescent="0.25">
      <c r="A40" s="19"/>
      <c r="B40">
        <f t="shared" si="6"/>
        <v>35</v>
      </c>
      <c r="C40" t="b">
        <v>0</v>
      </c>
      <c r="D40" t="b">
        <v>1</v>
      </c>
      <c r="E40" t="b">
        <v>1</v>
      </c>
      <c r="F40" s="3" t="s">
        <v>74</v>
      </c>
      <c r="G40" t="str">
        <f t="shared" si="249"/>
        <v>-</v>
      </c>
      <c r="H40" t="b">
        <v>0</v>
      </c>
      <c r="I40" t="b">
        <v>1</v>
      </c>
      <c r="J40" t="str">
        <f t="shared" si="249"/>
        <v>-</v>
      </c>
      <c r="K40" t="str">
        <f t="shared" si="249"/>
        <v>-</v>
      </c>
      <c r="L40" t="str">
        <f t="shared" si="249"/>
        <v>-</v>
      </c>
      <c r="M40" t="str">
        <f t="shared" si="249"/>
        <v>-</v>
      </c>
      <c r="N40" t="str">
        <f t="shared" si="249"/>
        <v>-</v>
      </c>
      <c r="O40" t="str">
        <f t="shared" si="295"/>
        <v>-</v>
      </c>
      <c r="P40" t="str">
        <f t="shared" ref="P40" si="300">P39</f>
        <v>-</v>
      </c>
      <c r="Q40" t="str">
        <f t="shared" si="295"/>
        <v>-</v>
      </c>
      <c r="R40" t="str">
        <f t="shared" ref="R40" si="301">R39</f>
        <v>-</v>
      </c>
      <c r="S40" t="str">
        <f t="shared" si="295"/>
        <v>-</v>
      </c>
      <c r="T40" t="str">
        <f t="shared" ref="T40" si="302">T39</f>
        <v>-</v>
      </c>
      <c r="U40" t="str">
        <f t="shared" si="295"/>
        <v>-</v>
      </c>
      <c r="V40" t="str">
        <f t="shared" ref="V40" si="303">V39</f>
        <v>-</v>
      </c>
      <c r="W40" t="str">
        <f t="shared" si="249"/>
        <v>-</v>
      </c>
      <c r="X40" t="str">
        <f t="shared" si="249"/>
        <v>-</v>
      </c>
      <c r="Y40" t="str">
        <f t="shared" si="249"/>
        <v>-</v>
      </c>
      <c r="Z40" t="b">
        <v>1</v>
      </c>
      <c r="AA40" t="b">
        <v>0</v>
      </c>
      <c r="AB40" t="b">
        <v>1</v>
      </c>
      <c r="AC40">
        <f t="shared" si="249"/>
        <v>1</v>
      </c>
      <c r="AD40">
        <f t="shared" si="249"/>
        <v>1</v>
      </c>
      <c r="AE40">
        <f t="shared" si="249"/>
        <v>1</v>
      </c>
      <c r="AF40">
        <f t="shared" si="249"/>
        <v>1</v>
      </c>
      <c r="AG40">
        <f t="shared" si="249"/>
        <v>1</v>
      </c>
      <c r="AH40">
        <f t="shared" si="249"/>
        <v>1</v>
      </c>
      <c r="AI40">
        <f t="shared" si="249"/>
        <v>1</v>
      </c>
      <c r="AJ40">
        <f t="shared" si="249"/>
        <v>1</v>
      </c>
      <c r="AK40">
        <f t="shared" si="249"/>
        <v>1</v>
      </c>
      <c r="AL40">
        <f t="shared" si="249"/>
        <v>1</v>
      </c>
      <c r="AM40">
        <f t="shared" si="249"/>
        <v>1</v>
      </c>
      <c r="AN40">
        <f t="shared" si="249"/>
        <v>1</v>
      </c>
      <c r="AO40">
        <f t="shared" si="249"/>
        <v>0</v>
      </c>
      <c r="AP40">
        <f t="shared" si="249"/>
        <v>0</v>
      </c>
      <c r="AQ40">
        <f t="shared" si="249"/>
        <v>0</v>
      </c>
      <c r="AR40">
        <f t="shared" si="249"/>
        <v>0</v>
      </c>
      <c r="AS40" s="15">
        <v>0</v>
      </c>
    </row>
    <row r="41" spans="1:45" x14ac:dyDescent="0.25">
      <c r="A41" s="19"/>
      <c r="B41">
        <f t="shared" si="6"/>
        <v>36</v>
      </c>
      <c r="C41" t="b">
        <v>0</v>
      </c>
      <c r="D41" t="b">
        <v>1</v>
      </c>
      <c r="E41" t="b">
        <v>1</v>
      </c>
      <c r="F41" s="3" t="s">
        <v>75</v>
      </c>
      <c r="G41" t="str">
        <f t="shared" si="249"/>
        <v>-</v>
      </c>
      <c r="H41" t="b">
        <v>0</v>
      </c>
      <c r="I41" t="b">
        <v>1</v>
      </c>
      <c r="J41" t="str">
        <f t="shared" si="249"/>
        <v>-</v>
      </c>
      <c r="K41" t="str">
        <f t="shared" si="249"/>
        <v>-</v>
      </c>
      <c r="L41" t="str">
        <f t="shared" ref="L41:AR47" si="304">L$5</f>
        <v>-</v>
      </c>
      <c r="M41" t="str">
        <f t="shared" si="304"/>
        <v>-</v>
      </c>
      <c r="N41" t="str">
        <f t="shared" si="304"/>
        <v>-</v>
      </c>
      <c r="O41">
        <v>1</v>
      </c>
      <c r="P41">
        <v>1</v>
      </c>
      <c r="Q41">
        <v>1</v>
      </c>
      <c r="R41">
        <v>1</v>
      </c>
      <c r="S41">
        <v>1</v>
      </c>
      <c r="T41">
        <v>1</v>
      </c>
      <c r="U41">
        <v>1</v>
      </c>
      <c r="V41">
        <v>1</v>
      </c>
      <c r="W41" t="str">
        <f t="shared" si="304"/>
        <v>-</v>
      </c>
      <c r="X41" t="str">
        <f t="shared" si="304"/>
        <v>-</v>
      </c>
      <c r="Y41" t="str">
        <f t="shared" si="304"/>
        <v>-</v>
      </c>
      <c r="Z41" t="b">
        <v>1</v>
      </c>
      <c r="AA41" t="b">
        <v>0</v>
      </c>
      <c r="AB41" t="b">
        <v>1</v>
      </c>
      <c r="AC41">
        <f t="shared" si="304"/>
        <v>1</v>
      </c>
      <c r="AD41">
        <f t="shared" si="304"/>
        <v>1</v>
      </c>
      <c r="AE41">
        <f t="shared" si="304"/>
        <v>1</v>
      </c>
      <c r="AF41">
        <f t="shared" si="304"/>
        <v>1</v>
      </c>
      <c r="AG41">
        <f t="shared" si="304"/>
        <v>1</v>
      </c>
      <c r="AH41">
        <f t="shared" si="304"/>
        <v>1</v>
      </c>
      <c r="AI41">
        <f t="shared" si="304"/>
        <v>1</v>
      </c>
      <c r="AJ41">
        <f t="shared" si="304"/>
        <v>1</v>
      </c>
      <c r="AK41">
        <f t="shared" si="304"/>
        <v>1</v>
      </c>
      <c r="AL41">
        <f t="shared" si="304"/>
        <v>1</v>
      </c>
      <c r="AM41">
        <f t="shared" si="304"/>
        <v>1</v>
      </c>
      <c r="AN41">
        <f t="shared" si="304"/>
        <v>1</v>
      </c>
      <c r="AO41">
        <f t="shared" si="304"/>
        <v>0</v>
      </c>
      <c r="AP41">
        <f t="shared" si="304"/>
        <v>0</v>
      </c>
      <c r="AQ41">
        <f t="shared" si="304"/>
        <v>0</v>
      </c>
      <c r="AR41">
        <f t="shared" si="304"/>
        <v>0</v>
      </c>
      <c r="AS41" s="15">
        <v>0</v>
      </c>
    </row>
    <row r="42" spans="1:45" x14ac:dyDescent="0.25">
      <c r="A42" s="19">
        <v>44273.499039351853</v>
      </c>
      <c r="B42">
        <f t="shared" si="6"/>
        <v>37</v>
      </c>
      <c r="C42" t="b">
        <v>1</v>
      </c>
      <c r="D42" t="b">
        <v>1</v>
      </c>
      <c r="E42" t="b">
        <v>0</v>
      </c>
      <c r="F42" s="3" t="s">
        <v>80</v>
      </c>
      <c r="G42" t="str">
        <f t="shared" ref="G42:K47" si="305">G$5</f>
        <v>-</v>
      </c>
      <c r="H42" t="b">
        <v>0</v>
      </c>
      <c r="I42" t="b">
        <v>1</v>
      </c>
      <c r="J42" t="str">
        <f t="shared" si="305"/>
        <v>-</v>
      </c>
      <c r="K42" t="str">
        <f t="shared" si="305"/>
        <v>-</v>
      </c>
      <c r="L42" t="str">
        <f t="shared" si="304"/>
        <v>-</v>
      </c>
      <c r="M42" t="str">
        <f t="shared" si="304"/>
        <v>-</v>
      </c>
      <c r="N42" t="str">
        <f t="shared" si="304"/>
        <v>-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V42">
        <v>1</v>
      </c>
      <c r="W42" t="str">
        <f t="shared" si="304"/>
        <v>-</v>
      </c>
      <c r="X42" t="str">
        <f t="shared" si="304"/>
        <v>-</v>
      </c>
      <c r="Y42" t="str">
        <f t="shared" si="304"/>
        <v>-</v>
      </c>
      <c r="Z42" t="b">
        <v>1</v>
      </c>
      <c r="AA42" t="b">
        <v>0</v>
      </c>
      <c r="AB42" t="b">
        <v>1</v>
      </c>
      <c r="AC42">
        <f t="shared" si="304"/>
        <v>1</v>
      </c>
      <c r="AD42">
        <f t="shared" si="304"/>
        <v>1</v>
      </c>
      <c r="AE42">
        <f t="shared" si="304"/>
        <v>1</v>
      </c>
      <c r="AF42">
        <f t="shared" si="304"/>
        <v>1</v>
      </c>
      <c r="AG42">
        <f t="shared" si="304"/>
        <v>1</v>
      </c>
      <c r="AH42">
        <f t="shared" si="304"/>
        <v>1</v>
      </c>
      <c r="AI42">
        <f t="shared" si="304"/>
        <v>1</v>
      </c>
      <c r="AJ42">
        <f t="shared" si="304"/>
        <v>1</v>
      </c>
      <c r="AK42">
        <f t="shared" si="304"/>
        <v>1</v>
      </c>
      <c r="AL42">
        <f t="shared" si="304"/>
        <v>1</v>
      </c>
      <c r="AM42">
        <f t="shared" si="304"/>
        <v>1</v>
      </c>
      <c r="AN42">
        <f t="shared" si="304"/>
        <v>1</v>
      </c>
      <c r="AO42">
        <f t="shared" si="304"/>
        <v>0</v>
      </c>
      <c r="AP42">
        <f t="shared" si="304"/>
        <v>0</v>
      </c>
      <c r="AQ42">
        <f t="shared" si="304"/>
        <v>0</v>
      </c>
      <c r="AR42">
        <f t="shared" si="304"/>
        <v>0</v>
      </c>
      <c r="AS42" s="15">
        <v>0</v>
      </c>
    </row>
    <row r="43" spans="1:45" x14ac:dyDescent="0.25">
      <c r="A43" s="19"/>
      <c r="B43">
        <f t="shared" si="6"/>
        <v>38</v>
      </c>
      <c r="C43" t="b">
        <v>0</v>
      </c>
      <c r="D43" t="b">
        <v>1</v>
      </c>
      <c r="E43" t="b">
        <v>0</v>
      </c>
      <c r="F43" s="3" t="s">
        <v>76</v>
      </c>
      <c r="G43" t="str">
        <f t="shared" si="305"/>
        <v>-</v>
      </c>
      <c r="H43" t="b">
        <v>0</v>
      </c>
      <c r="I43" t="b">
        <v>1</v>
      </c>
      <c r="J43" t="str">
        <f t="shared" si="305"/>
        <v>-</v>
      </c>
      <c r="K43" t="str">
        <f t="shared" si="305"/>
        <v>-</v>
      </c>
      <c r="L43" t="str">
        <f t="shared" si="304"/>
        <v>-</v>
      </c>
      <c r="M43" t="str">
        <f t="shared" si="304"/>
        <v>-</v>
      </c>
      <c r="N43" t="str">
        <f t="shared" si="304"/>
        <v>-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 t="str">
        <f t="shared" si="304"/>
        <v>-</v>
      </c>
      <c r="X43" t="str">
        <f t="shared" si="304"/>
        <v>-</v>
      </c>
      <c r="Y43" t="str">
        <f t="shared" si="304"/>
        <v>-</v>
      </c>
      <c r="Z43" t="b">
        <v>1</v>
      </c>
      <c r="AA43" t="b">
        <v>0</v>
      </c>
      <c r="AB43" t="b">
        <v>1</v>
      </c>
      <c r="AC43">
        <f t="shared" si="304"/>
        <v>1</v>
      </c>
      <c r="AD43">
        <f t="shared" si="304"/>
        <v>1</v>
      </c>
      <c r="AE43">
        <f t="shared" si="304"/>
        <v>1</v>
      </c>
      <c r="AF43">
        <f t="shared" si="304"/>
        <v>1</v>
      </c>
      <c r="AG43">
        <f t="shared" si="304"/>
        <v>1</v>
      </c>
      <c r="AH43">
        <f t="shared" si="304"/>
        <v>1</v>
      </c>
      <c r="AI43">
        <f t="shared" si="304"/>
        <v>1</v>
      </c>
      <c r="AJ43">
        <f t="shared" si="304"/>
        <v>1</v>
      </c>
      <c r="AK43">
        <f t="shared" si="304"/>
        <v>1</v>
      </c>
      <c r="AL43">
        <f t="shared" si="304"/>
        <v>1</v>
      </c>
      <c r="AM43">
        <f t="shared" si="304"/>
        <v>1</v>
      </c>
      <c r="AN43">
        <f t="shared" si="304"/>
        <v>1</v>
      </c>
      <c r="AO43">
        <f t="shared" si="304"/>
        <v>0</v>
      </c>
      <c r="AP43">
        <f t="shared" si="304"/>
        <v>0</v>
      </c>
      <c r="AQ43">
        <f t="shared" si="304"/>
        <v>0</v>
      </c>
      <c r="AR43">
        <f t="shared" si="304"/>
        <v>0</v>
      </c>
      <c r="AS43" s="15">
        <v>0</v>
      </c>
    </row>
    <row r="44" spans="1:45" x14ac:dyDescent="0.25">
      <c r="A44" s="19"/>
      <c r="B44">
        <f t="shared" si="6"/>
        <v>39</v>
      </c>
      <c r="C44" t="b">
        <v>0</v>
      </c>
      <c r="D44" t="b">
        <v>1</v>
      </c>
      <c r="E44" t="b">
        <v>0</v>
      </c>
      <c r="F44" s="3" t="s">
        <v>77</v>
      </c>
      <c r="G44" t="str">
        <f t="shared" si="305"/>
        <v>-</v>
      </c>
      <c r="H44" t="b">
        <v>0</v>
      </c>
      <c r="I44" t="b">
        <v>1</v>
      </c>
      <c r="J44" t="str">
        <f t="shared" si="305"/>
        <v>-</v>
      </c>
      <c r="K44" t="str">
        <f t="shared" si="305"/>
        <v>-</v>
      </c>
      <c r="L44" t="str">
        <f t="shared" si="304"/>
        <v>-</v>
      </c>
      <c r="M44" t="str">
        <f t="shared" si="304"/>
        <v>-</v>
      </c>
      <c r="N44" t="str">
        <f t="shared" si="304"/>
        <v>-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U44">
        <v>1</v>
      </c>
      <c r="V44">
        <v>1</v>
      </c>
      <c r="W44" t="str">
        <f t="shared" si="304"/>
        <v>-</v>
      </c>
      <c r="X44" t="str">
        <f t="shared" si="304"/>
        <v>-</v>
      </c>
      <c r="Y44" t="str">
        <f t="shared" si="304"/>
        <v>-</v>
      </c>
      <c r="Z44" t="b">
        <v>1</v>
      </c>
      <c r="AA44" t="b">
        <v>0</v>
      </c>
      <c r="AB44" t="b">
        <v>1</v>
      </c>
      <c r="AC44">
        <f t="shared" si="304"/>
        <v>1</v>
      </c>
      <c r="AD44">
        <f t="shared" si="304"/>
        <v>1</v>
      </c>
      <c r="AE44">
        <f t="shared" si="304"/>
        <v>1</v>
      </c>
      <c r="AF44">
        <f t="shared" si="304"/>
        <v>1</v>
      </c>
      <c r="AG44">
        <f t="shared" si="304"/>
        <v>1</v>
      </c>
      <c r="AH44">
        <f t="shared" si="304"/>
        <v>1</v>
      </c>
      <c r="AI44">
        <f t="shared" si="304"/>
        <v>1</v>
      </c>
      <c r="AJ44">
        <f t="shared" si="304"/>
        <v>1</v>
      </c>
      <c r="AK44">
        <f t="shared" si="304"/>
        <v>1</v>
      </c>
      <c r="AL44">
        <f t="shared" si="304"/>
        <v>1</v>
      </c>
      <c r="AM44">
        <f t="shared" si="304"/>
        <v>1</v>
      </c>
      <c r="AN44">
        <f t="shared" si="304"/>
        <v>1</v>
      </c>
      <c r="AO44">
        <f t="shared" si="304"/>
        <v>0</v>
      </c>
      <c r="AP44">
        <f t="shared" si="304"/>
        <v>0</v>
      </c>
      <c r="AQ44">
        <f t="shared" si="304"/>
        <v>0</v>
      </c>
      <c r="AR44">
        <f t="shared" si="304"/>
        <v>0</v>
      </c>
      <c r="AS44" s="15">
        <v>0</v>
      </c>
    </row>
    <row r="45" spans="1:45" x14ac:dyDescent="0.25">
      <c r="A45" s="19"/>
      <c r="B45">
        <f t="shared" si="6"/>
        <v>40</v>
      </c>
      <c r="C45" t="b">
        <v>0</v>
      </c>
      <c r="D45" t="b">
        <v>1</v>
      </c>
      <c r="E45" t="b">
        <v>0</v>
      </c>
      <c r="F45" s="3" t="s">
        <v>78</v>
      </c>
      <c r="G45" t="str">
        <f t="shared" si="305"/>
        <v>-</v>
      </c>
      <c r="H45" t="b">
        <v>0</v>
      </c>
      <c r="I45" t="b">
        <v>1</v>
      </c>
      <c r="J45" t="str">
        <f t="shared" si="305"/>
        <v>-</v>
      </c>
      <c r="K45" t="str">
        <f t="shared" si="305"/>
        <v>-</v>
      </c>
      <c r="L45" t="str">
        <f t="shared" si="304"/>
        <v>-</v>
      </c>
      <c r="M45" t="str">
        <f t="shared" si="304"/>
        <v>-</v>
      </c>
      <c r="N45" t="str">
        <f t="shared" si="304"/>
        <v>-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 t="str">
        <f t="shared" si="304"/>
        <v>-</v>
      </c>
      <c r="X45" t="str">
        <f t="shared" si="304"/>
        <v>-</v>
      </c>
      <c r="Y45" t="str">
        <f t="shared" si="304"/>
        <v>-</v>
      </c>
      <c r="Z45" t="b">
        <v>1</v>
      </c>
      <c r="AA45" t="b">
        <v>0</v>
      </c>
      <c r="AB45" t="b">
        <v>1</v>
      </c>
      <c r="AC45">
        <f t="shared" si="304"/>
        <v>1</v>
      </c>
      <c r="AD45">
        <f t="shared" si="304"/>
        <v>1</v>
      </c>
      <c r="AE45">
        <f t="shared" si="304"/>
        <v>1</v>
      </c>
      <c r="AF45">
        <f t="shared" si="304"/>
        <v>1</v>
      </c>
      <c r="AG45">
        <f t="shared" si="304"/>
        <v>1</v>
      </c>
      <c r="AH45">
        <f t="shared" si="304"/>
        <v>1</v>
      </c>
      <c r="AI45">
        <f t="shared" si="304"/>
        <v>1</v>
      </c>
      <c r="AJ45">
        <f t="shared" si="304"/>
        <v>1</v>
      </c>
      <c r="AK45">
        <f t="shared" si="304"/>
        <v>1</v>
      </c>
      <c r="AL45">
        <f t="shared" si="304"/>
        <v>1</v>
      </c>
      <c r="AM45">
        <f t="shared" si="304"/>
        <v>1</v>
      </c>
      <c r="AN45">
        <f t="shared" si="304"/>
        <v>1</v>
      </c>
      <c r="AO45">
        <f t="shared" si="304"/>
        <v>0</v>
      </c>
      <c r="AP45">
        <f t="shared" si="304"/>
        <v>0</v>
      </c>
      <c r="AQ45">
        <f t="shared" si="304"/>
        <v>0</v>
      </c>
      <c r="AR45">
        <f t="shared" si="304"/>
        <v>0</v>
      </c>
      <c r="AS45" s="15">
        <v>0</v>
      </c>
    </row>
    <row r="46" spans="1:45" x14ac:dyDescent="0.25">
      <c r="A46" s="19"/>
      <c r="B46">
        <f t="shared" si="6"/>
        <v>41</v>
      </c>
      <c r="C46" t="b">
        <v>0</v>
      </c>
      <c r="D46" t="b">
        <v>1</v>
      </c>
      <c r="E46" t="b">
        <v>0</v>
      </c>
      <c r="F46" s="3" t="s">
        <v>79</v>
      </c>
      <c r="G46" t="str">
        <f t="shared" si="305"/>
        <v>-</v>
      </c>
      <c r="H46" t="b">
        <v>0</v>
      </c>
      <c r="I46" t="b">
        <v>1</v>
      </c>
      <c r="J46" t="str">
        <f t="shared" si="305"/>
        <v>-</v>
      </c>
      <c r="K46" t="str">
        <f t="shared" si="305"/>
        <v>-</v>
      </c>
      <c r="L46" t="str">
        <f t="shared" si="304"/>
        <v>-</v>
      </c>
      <c r="M46" t="str">
        <f t="shared" si="304"/>
        <v>-</v>
      </c>
      <c r="N46" t="str">
        <f t="shared" si="304"/>
        <v>-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 t="str">
        <f t="shared" si="304"/>
        <v>-</v>
      </c>
      <c r="X46" t="str">
        <f t="shared" si="304"/>
        <v>-</v>
      </c>
      <c r="Y46" t="str">
        <f t="shared" si="304"/>
        <v>-</v>
      </c>
      <c r="Z46" t="b">
        <v>1</v>
      </c>
      <c r="AA46" t="b">
        <v>0</v>
      </c>
      <c r="AB46" t="b">
        <v>1</v>
      </c>
      <c r="AC46">
        <f t="shared" si="304"/>
        <v>1</v>
      </c>
      <c r="AD46">
        <f t="shared" si="304"/>
        <v>1</v>
      </c>
      <c r="AE46">
        <f t="shared" si="304"/>
        <v>1</v>
      </c>
      <c r="AF46">
        <f t="shared" si="304"/>
        <v>1</v>
      </c>
      <c r="AG46">
        <f t="shared" si="304"/>
        <v>1</v>
      </c>
      <c r="AH46">
        <f t="shared" si="304"/>
        <v>1</v>
      </c>
      <c r="AI46">
        <f t="shared" si="304"/>
        <v>1</v>
      </c>
      <c r="AJ46">
        <f t="shared" si="304"/>
        <v>1</v>
      </c>
      <c r="AK46">
        <f t="shared" si="304"/>
        <v>1</v>
      </c>
      <c r="AL46">
        <f t="shared" si="304"/>
        <v>1</v>
      </c>
      <c r="AM46">
        <f t="shared" si="304"/>
        <v>1</v>
      </c>
      <c r="AN46">
        <f t="shared" si="304"/>
        <v>1</v>
      </c>
      <c r="AO46">
        <f t="shared" si="304"/>
        <v>0</v>
      </c>
      <c r="AP46">
        <f t="shared" si="304"/>
        <v>0</v>
      </c>
      <c r="AQ46">
        <f t="shared" si="304"/>
        <v>0</v>
      </c>
      <c r="AR46">
        <f t="shared" si="304"/>
        <v>0</v>
      </c>
      <c r="AS46" s="15">
        <v>0</v>
      </c>
    </row>
    <row r="47" spans="1:45" ht="6.75" customHeight="1" x14ac:dyDescent="0.25">
      <c r="A47" s="20">
        <v>44273.513599537036</v>
      </c>
      <c r="B47" s="15">
        <f t="shared" si="6"/>
        <v>42</v>
      </c>
      <c r="C47" s="15" t="b">
        <v>0</v>
      </c>
      <c r="D47" s="15" t="b">
        <v>0</v>
      </c>
      <c r="E47" s="15" t="b">
        <v>0</v>
      </c>
      <c r="F47" s="15" t="s">
        <v>84</v>
      </c>
      <c r="G47" s="15" t="str">
        <f>G$5</f>
        <v>-</v>
      </c>
      <c r="H47" s="15" t="str">
        <f t="shared" ref="H47:AR47" si="306">H$5</f>
        <v>-</v>
      </c>
      <c r="I47" s="15" t="str">
        <f t="shared" si="306"/>
        <v>-</v>
      </c>
      <c r="J47" s="15" t="str">
        <f t="shared" si="305"/>
        <v>-</v>
      </c>
      <c r="K47" s="15" t="str">
        <f t="shared" si="305"/>
        <v>-</v>
      </c>
      <c r="L47" s="15" t="str">
        <f t="shared" si="304"/>
        <v>-</v>
      </c>
      <c r="M47" s="15" t="str">
        <f t="shared" si="304"/>
        <v>-</v>
      </c>
      <c r="N47" s="15" t="str">
        <f t="shared" si="304"/>
        <v>-</v>
      </c>
      <c r="O47" s="15" t="str">
        <f t="shared" si="304"/>
        <v>-</v>
      </c>
      <c r="P47" s="15" t="str">
        <f t="shared" si="304"/>
        <v>-</v>
      </c>
      <c r="Q47" s="15" t="str">
        <f t="shared" si="304"/>
        <v>-</v>
      </c>
      <c r="R47" s="15" t="str">
        <f t="shared" si="304"/>
        <v>-</v>
      </c>
      <c r="S47" s="15" t="str">
        <f t="shared" si="304"/>
        <v>-</v>
      </c>
      <c r="T47" s="15" t="str">
        <f t="shared" si="304"/>
        <v>-</v>
      </c>
      <c r="U47" s="15" t="str">
        <f t="shared" si="304"/>
        <v>-</v>
      </c>
      <c r="V47" s="15" t="str">
        <f t="shared" si="304"/>
        <v>-</v>
      </c>
      <c r="W47" s="15" t="str">
        <f t="shared" si="304"/>
        <v>-</v>
      </c>
      <c r="X47" s="15" t="str">
        <f t="shared" si="304"/>
        <v>-</v>
      </c>
      <c r="Y47" s="15" t="str">
        <f t="shared" si="304"/>
        <v>-</v>
      </c>
      <c r="Z47" s="15" t="str">
        <f t="shared" si="304"/>
        <v>-</v>
      </c>
      <c r="AA47" s="15" t="str">
        <f t="shared" si="304"/>
        <v>-</v>
      </c>
      <c r="AB47" s="15" t="str">
        <f t="shared" si="304"/>
        <v>-</v>
      </c>
      <c r="AC47" s="15">
        <f t="shared" si="304"/>
        <v>1</v>
      </c>
      <c r="AD47" s="15">
        <f t="shared" si="304"/>
        <v>1</v>
      </c>
      <c r="AE47" s="15">
        <f t="shared" si="304"/>
        <v>1</v>
      </c>
      <c r="AF47" s="15">
        <f t="shared" si="304"/>
        <v>1</v>
      </c>
      <c r="AG47" s="15">
        <f t="shared" si="304"/>
        <v>1</v>
      </c>
      <c r="AH47" s="15">
        <f t="shared" si="304"/>
        <v>1</v>
      </c>
      <c r="AI47" s="15">
        <f t="shared" si="304"/>
        <v>1</v>
      </c>
      <c r="AJ47" s="15">
        <f t="shared" si="304"/>
        <v>1</v>
      </c>
      <c r="AK47" s="15">
        <f t="shared" si="304"/>
        <v>1</v>
      </c>
      <c r="AL47" s="15">
        <f t="shared" si="304"/>
        <v>1</v>
      </c>
      <c r="AM47" s="15">
        <f t="shared" si="304"/>
        <v>1</v>
      </c>
      <c r="AN47" s="15">
        <f t="shared" si="304"/>
        <v>1</v>
      </c>
      <c r="AO47" s="15">
        <f t="shared" si="304"/>
        <v>0</v>
      </c>
      <c r="AP47" s="15">
        <f t="shared" si="304"/>
        <v>0</v>
      </c>
      <c r="AQ47" s="15">
        <f t="shared" si="304"/>
        <v>0</v>
      </c>
      <c r="AR47" s="15">
        <f t="shared" si="304"/>
        <v>0</v>
      </c>
      <c r="AS47" s="15">
        <v>0</v>
      </c>
    </row>
  </sheetData>
  <autoFilter ref="F4:AR4" xr:uid="{74BD5C81-DA63-4249-A1B4-6F29577A4105}"/>
  <phoneticPr fontId="4" type="noConversion"/>
  <conditionalFormatting sqref="C1:E1048576">
    <cfRule type="cellIs" dxfId="4" priority="36" operator="equal">
      <formula>TRUE</formula>
    </cfRule>
  </conditionalFormatting>
  <conditionalFormatting sqref="A1:XFD1">
    <cfRule type="cellIs" dxfId="3" priority="69" operator="equal">
      <formula>"sav"</formula>
    </cfRule>
    <cfRule type="containsText" dxfId="2" priority="73" operator="containsText" text="sam">
      <formula>NOT(ISERROR(SEARCH("sam",A1)))</formula>
    </cfRule>
    <cfRule type="containsText" dxfId="1" priority="74" operator="containsText" text="sap">
      <formula>NOT(ISERROR(SEARCH("sap",A1)))</formula>
    </cfRule>
    <cfRule type="containsText" dxfId="0" priority="75" operator="containsText" text="saa">
      <formula>NOT(ISERROR(SEARCH("saa",A1)))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8C2D2-3F1B-4735-BAB2-C6257B1D4323}">
  <sheetPr codeName="Sheet2"/>
  <dimension ref="A1:A8"/>
  <sheetViews>
    <sheetView workbookViewId="0">
      <selection activeCell="A2" sqref="A2"/>
    </sheetView>
  </sheetViews>
  <sheetFormatPr defaultRowHeight="15" x14ac:dyDescent="0.25"/>
  <cols>
    <col min="1" max="1" width="145.140625" customWidth="1"/>
  </cols>
  <sheetData>
    <row r="1" spans="1:1" x14ac:dyDescent="0.25">
      <c r="A1" t="s">
        <v>69</v>
      </c>
    </row>
    <row r="2" spans="1:1" x14ac:dyDescent="0.25">
      <c r="A2" s="10"/>
    </row>
    <row r="3" spans="1:1" x14ac:dyDescent="0.25">
      <c r="A3" s="10"/>
    </row>
    <row r="4" spans="1:1" x14ac:dyDescent="0.25">
      <c r="A4" s="10"/>
    </row>
    <row r="5" spans="1:1" x14ac:dyDescent="0.25">
      <c r="A5" s="10"/>
    </row>
    <row r="6" spans="1:1" x14ac:dyDescent="0.25">
      <c r="A6" s="10"/>
    </row>
    <row r="7" spans="1:1" x14ac:dyDescent="0.25">
      <c r="A7" s="10"/>
    </row>
    <row r="8" spans="1:1" x14ac:dyDescent="0.25">
      <c r="A8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Description</vt:lpstr>
      <vt:lpstr>ExpData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Young</dc:creator>
  <cp:lastModifiedBy>John</cp:lastModifiedBy>
  <dcterms:created xsi:type="dcterms:W3CDTF">2019-11-05T07:30:33Z</dcterms:created>
  <dcterms:modified xsi:type="dcterms:W3CDTF">2021-03-18T04:19:40Z</dcterms:modified>
</cp:coreProperties>
</file>