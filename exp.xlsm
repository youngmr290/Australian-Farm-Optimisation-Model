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0E907DE8-A3DB-4927-9CD6-A91C5CD18A85}" xr6:coauthVersionLast="46" xr6:coauthVersionMax="46" xr10:uidLastSave="{00000000-0000-0000-0000-000000000000}"/>
  <bookViews>
    <workbookView xWindow="0" yWindow="735" windowWidth="27870" windowHeight="15255" xr2:uid="{92F76B5C-EE3B-4928-B619-32EB52950B18}"/>
  </bookViews>
  <sheets>
    <sheet name="Sheet1" sheetId="1" r:id="rId1"/>
    <sheet name="Description" sheetId="2" r:id="rId2"/>
    <sheet name="Run Report" sheetId="3" r:id="rId3"/>
  </sheets>
  <definedNames>
    <definedName name="_xlnm._FilterDatabase" localSheetId="0" hidden="1">Sheet1!$A$4:$AZ$40</definedName>
    <definedName name="ExpData">Sheet1!$B$5:$AZ$40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9" i="1" l="1"/>
  <c r="H38" i="1"/>
  <c r="H37" i="1"/>
  <c r="H36" i="1"/>
  <c r="H35" i="1"/>
  <c r="H34" i="1"/>
  <c r="H33" i="1"/>
  <c r="H32" i="1"/>
  <c r="H31" i="1"/>
  <c r="H30" i="1"/>
  <c r="B39" i="1"/>
  <c r="B38" i="1"/>
  <c r="B37" i="1"/>
  <c r="B36" i="1"/>
  <c r="B35" i="1"/>
  <c r="B34" i="1"/>
  <c r="B33" i="1"/>
  <c r="B29" i="1"/>
  <c r="B28" i="1"/>
  <c r="B27" i="1"/>
  <c r="B26" i="1"/>
  <c r="B25" i="1"/>
  <c r="B24" i="1"/>
  <c r="B23" i="1"/>
  <c r="B19" i="1"/>
  <c r="B18" i="1"/>
  <c r="B17" i="1"/>
  <c r="B16" i="1"/>
  <c r="B15" i="1"/>
  <c r="B14" i="1"/>
  <c r="B13" i="1"/>
  <c r="B32" i="1"/>
  <c r="B31" i="1"/>
  <c r="B30" i="1"/>
  <c r="B22" i="1"/>
  <c r="B21" i="1"/>
  <c r="B20" i="1"/>
  <c r="B12" i="1"/>
  <c r="B11" i="1"/>
  <c r="B10" i="1"/>
  <c r="B9" i="1" l="1"/>
  <c r="C10" i="1" s="1"/>
  <c r="AL10" i="1" l="1"/>
  <c r="C11" i="1"/>
  <c r="B40" i="1"/>
  <c r="C12" i="1" l="1"/>
  <c r="C13" i="1" s="1"/>
  <c r="AL11" i="1"/>
  <c r="AI6" i="1"/>
  <c r="AH6" i="1"/>
  <c r="AG6" i="1"/>
  <c r="I8" i="1"/>
  <c r="I9" i="1"/>
  <c r="I6" i="1"/>
  <c r="I7" i="1"/>
  <c r="AO13" i="1" l="1"/>
  <c r="AI13" i="1"/>
  <c r="C14" i="1"/>
  <c r="AH13" i="1"/>
  <c r="L13" i="1"/>
  <c r="AM13" i="1"/>
  <c r="AL13" i="1"/>
  <c r="C20" i="1"/>
  <c r="AL12" i="1"/>
  <c r="AI9" i="1"/>
  <c r="AI12" i="1" s="1"/>
  <c r="AG9" i="1"/>
  <c r="AG12" i="1" s="1"/>
  <c r="AH9" i="1"/>
  <c r="AH12" i="1" s="1"/>
  <c r="AG7" i="1"/>
  <c r="AH7" i="1"/>
  <c r="AI7" i="1"/>
  <c r="K9" i="1"/>
  <c r="K12" i="1" s="1"/>
  <c r="L9" i="1"/>
  <c r="AF5" i="1" a="1"/>
  <c r="AF5" i="1" s="1"/>
  <c r="AE5" i="1" a="1"/>
  <c r="AE5" i="1" s="1"/>
  <c r="AE40" i="1" s="1"/>
  <c r="AD5" i="1" a="1"/>
  <c r="AD5" i="1" s="1"/>
  <c r="AM14" i="1" l="1"/>
  <c r="AL14" i="1"/>
  <c r="AI14" i="1"/>
  <c r="AH14" i="1"/>
  <c r="AG14" i="1"/>
  <c r="K14" i="1"/>
  <c r="AO14" i="1"/>
  <c r="C15" i="1"/>
  <c r="L14" i="1"/>
  <c r="K13" i="1"/>
  <c r="AG13" i="1"/>
  <c r="L10" i="1"/>
  <c r="L11" i="1"/>
  <c r="AG10" i="1"/>
  <c r="AG11" i="1"/>
  <c r="AH10" i="1"/>
  <c r="AH11" i="1"/>
  <c r="L12" i="1"/>
  <c r="AI10" i="1"/>
  <c r="AI11" i="1"/>
  <c r="K10" i="1"/>
  <c r="K11" i="1"/>
  <c r="C21" i="1"/>
  <c r="K20" i="1"/>
  <c r="AL20" i="1"/>
  <c r="L20" i="1"/>
  <c r="AI20" i="1"/>
  <c r="AG20" i="1"/>
  <c r="AH20" i="1"/>
  <c r="AD40" i="1"/>
  <c r="AD6" i="1"/>
  <c r="AF40" i="1"/>
  <c r="AF6" i="1"/>
  <c r="AE6" i="1"/>
  <c r="O5" i="1" a="1"/>
  <c r="O5" i="1" s="1"/>
  <c r="O6" i="1" s="1"/>
  <c r="N5" i="1" a="1"/>
  <c r="N5" i="1" s="1"/>
  <c r="N6" i="1" s="1"/>
  <c r="M5" i="1" a="1"/>
  <c r="M5" i="1" s="1"/>
  <c r="M6" i="1" s="1"/>
  <c r="O15" i="1" l="1"/>
  <c r="AO15" i="1"/>
  <c r="AI15" i="1"/>
  <c r="AH15" i="1"/>
  <c r="K15" i="1"/>
  <c r="N15" i="1"/>
  <c r="L15" i="1"/>
  <c r="AE15" i="1"/>
  <c r="AL15" i="1"/>
  <c r="AG15" i="1"/>
  <c r="C16" i="1"/>
  <c r="AM15" i="1"/>
  <c r="C22" i="1"/>
  <c r="C23" i="1" s="1"/>
  <c r="AL21" i="1"/>
  <c r="AH21" i="1"/>
  <c r="AI21" i="1"/>
  <c r="AG21" i="1"/>
  <c r="K21" i="1"/>
  <c r="L21" i="1"/>
  <c r="AE9" i="1"/>
  <c r="AF9" i="1"/>
  <c r="AD9" i="1"/>
  <c r="M9" i="1"/>
  <c r="N9" i="1"/>
  <c r="O9" i="1"/>
  <c r="AF7" i="1"/>
  <c r="AE7" i="1"/>
  <c r="AD7" i="1"/>
  <c r="M40" i="1"/>
  <c r="N40" i="1"/>
  <c r="O40" i="1"/>
  <c r="AF21" i="1" l="1"/>
  <c r="AF13" i="1"/>
  <c r="AF14" i="1"/>
  <c r="AF15" i="1"/>
  <c r="O13" i="1"/>
  <c r="O14" i="1"/>
  <c r="AD13" i="1"/>
  <c r="AD14" i="1"/>
  <c r="AE13" i="1"/>
  <c r="AE14" i="1"/>
  <c r="AD15" i="1"/>
  <c r="M21" i="1"/>
  <c r="M13" i="1"/>
  <c r="M14" i="1"/>
  <c r="AF16" i="1"/>
  <c r="AD16" i="1"/>
  <c r="C17" i="1"/>
  <c r="AH16" i="1"/>
  <c r="AM16" i="1"/>
  <c r="N16" i="1"/>
  <c r="AO16" i="1"/>
  <c r="L16" i="1"/>
  <c r="AE16" i="1"/>
  <c r="O16" i="1"/>
  <c r="K16" i="1"/>
  <c r="AG16" i="1"/>
  <c r="AL16" i="1"/>
  <c r="AI16" i="1"/>
  <c r="M16" i="1"/>
  <c r="M15" i="1"/>
  <c r="AO23" i="1"/>
  <c r="AL23" i="1"/>
  <c r="AH23" i="1"/>
  <c r="AG23" i="1"/>
  <c r="N23" i="1"/>
  <c r="AD23" i="1"/>
  <c r="C24" i="1"/>
  <c r="M23" i="1"/>
  <c r="O23" i="1"/>
  <c r="K23" i="1"/>
  <c r="L23" i="1"/>
  <c r="AE23" i="1"/>
  <c r="AM23" i="1"/>
  <c r="AF23" i="1"/>
  <c r="AI23" i="1"/>
  <c r="N21" i="1"/>
  <c r="N13" i="1"/>
  <c r="N14" i="1"/>
  <c r="AD10" i="1"/>
  <c r="AD11" i="1"/>
  <c r="AD12" i="1"/>
  <c r="AD20" i="1"/>
  <c r="O10" i="1"/>
  <c r="O11" i="1"/>
  <c r="O12" i="1"/>
  <c r="O20" i="1"/>
  <c r="N10" i="1"/>
  <c r="N11" i="1"/>
  <c r="N12" i="1"/>
  <c r="N20" i="1"/>
  <c r="AE10" i="1"/>
  <c r="AE11" i="1"/>
  <c r="AE12" i="1"/>
  <c r="AE20" i="1"/>
  <c r="C30" i="1"/>
  <c r="O22" i="1"/>
  <c r="N22" i="1"/>
  <c r="M22" i="1"/>
  <c r="AI22" i="1"/>
  <c r="L22" i="1"/>
  <c r="AH22" i="1"/>
  <c r="K22" i="1"/>
  <c r="AG22" i="1"/>
  <c r="AF22" i="1"/>
  <c r="AE22" i="1"/>
  <c r="AD22" i="1"/>
  <c r="AL22" i="1"/>
  <c r="AF10" i="1"/>
  <c r="AF11" i="1"/>
  <c r="AF12" i="1"/>
  <c r="AF20" i="1"/>
  <c r="AD21" i="1"/>
  <c r="M10" i="1"/>
  <c r="M11" i="1"/>
  <c r="M12" i="1"/>
  <c r="M20" i="1"/>
  <c r="O21" i="1"/>
  <c r="AE21" i="1"/>
  <c r="N7" i="1"/>
  <c r="O7" i="1"/>
  <c r="M7" i="1"/>
  <c r="AD17" i="1" l="1"/>
  <c r="K17" i="1"/>
  <c r="N17" i="1"/>
  <c r="L17" i="1"/>
  <c r="M17" i="1"/>
  <c r="AG17" i="1"/>
  <c r="AE17" i="1"/>
  <c r="AO17" i="1"/>
  <c r="AM17" i="1"/>
  <c r="AI17" i="1"/>
  <c r="AF17" i="1"/>
  <c r="C18" i="1"/>
  <c r="AL17" i="1"/>
  <c r="O17" i="1"/>
  <c r="AH17" i="1"/>
  <c r="AM24" i="1"/>
  <c r="AL24" i="1"/>
  <c r="AG24" i="1"/>
  <c r="AF24" i="1"/>
  <c r="AE24" i="1"/>
  <c r="AI24" i="1"/>
  <c r="AH24" i="1"/>
  <c r="AD24" i="1"/>
  <c r="AO24" i="1"/>
  <c r="N24" i="1"/>
  <c r="K24" i="1"/>
  <c r="O24" i="1"/>
  <c r="C25" i="1"/>
  <c r="L24" i="1"/>
  <c r="M24" i="1"/>
  <c r="C31" i="1"/>
  <c r="AD30" i="1"/>
  <c r="AE30" i="1"/>
  <c r="L30" i="1"/>
  <c r="N30" i="1"/>
  <c r="K30" i="1"/>
  <c r="AI30" i="1"/>
  <c r="O30" i="1"/>
  <c r="AF30" i="1"/>
  <c r="AL30" i="1"/>
  <c r="AH30" i="1"/>
  <c r="AG30" i="1"/>
  <c r="M30" i="1"/>
  <c r="K5" i="1" a="1"/>
  <c r="K5" i="1" s="1"/>
  <c r="L5" i="1" a="1"/>
  <c r="L5" i="1" s="1"/>
  <c r="P5" i="1" a="1"/>
  <c r="P5" i="1" s="1"/>
  <c r="Q5" i="1" a="1"/>
  <c r="Q5" i="1" s="1"/>
  <c r="R5" i="1" a="1"/>
  <c r="R5" i="1" s="1"/>
  <c r="S5" i="1" a="1"/>
  <c r="S5" i="1" s="1"/>
  <c r="T5" i="1" a="1"/>
  <c r="T5" i="1" s="1"/>
  <c r="U5" i="1" a="1"/>
  <c r="U5" i="1" s="1"/>
  <c r="V5" i="1" a="1"/>
  <c r="V5" i="1" s="1"/>
  <c r="W5" i="1" a="1"/>
  <c r="W5" i="1" s="1"/>
  <c r="X5" i="1" a="1"/>
  <c r="X5" i="1" s="1"/>
  <c r="Y5" i="1" a="1"/>
  <c r="Y5" i="1" s="1"/>
  <c r="Z5" i="1" a="1"/>
  <c r="Z5" i="1" s="1"/>
  <c r="AU5" i="1" a="1"/>
  <c r="AU5" i="1" s="1"/>
  <c r="AJ5" i="1" a="1"/>
  <c r="AJ5" i="1" s="1"/>
  <c r="AK5" i="1" a="1"/>
  <c r="AK5" i="1" s="1"/>
  <c r="AA5" i="1" a="1"/>
  <c r="AA5" i="1" s="1"/>
  <c r="AB5" i="1" a="1"/>
  <c r="AB5" i="1" s="1"/>
  <c r="AC5" i="1" a="1"/>
  <c r="AC5" i="1" s="1"/>
  <c r="AN5" i="1" a="1"/>
  <c r="AN5" i="1" s="1"/>
  <c r="AL5" i="1" a="1"/>
  <c r="AL5" i="1" s="1"/>
  <c r="AR5" i="1" a="1"/>
  <c r="AR5" i="1" s="1"/>
  <c r="AS5" i="1" a="1"/>
  <c r="AS5" i="1" s="1"/>
  <c r="AM5" i="1" a="1"/>
  <c r="AM5" i="1" s="1"/>
  <c r="AP5" i="1" a="1"/>
  <c r="AP5" i="1" s="1"/>
  <c r="AQ5" i="1" a="1"/>
  <c r="AQ5" i="1" s="1"/>
  <c r="AO5" i="1" a="1"/>
  <c r="AO5" i="1" s="1"/>
  <c r="AV5" i="1" a="1"/>
  <c r="AV5" i="1" s="1"/>
  <c r="AW5" i="1" a="1"/>
  <c r="AW5" i="1" s="1"/>
  <c r="AX5" i="1" a="1"/>
  <c r="AX5" i="1" s="1"/>
  <c r="AT5" i="1" a="1"/>
  <c r="AT5" i="1" s="1"/>
  <c r="AY5" i="1" a="1"/>
  <c r="AY5" i="1" s="1"/>
  <c r="J5" i="1" a="1"/>
  <c r="J5" i="1" s="1"/>
  <c r="O25" i="1" l="1"/>
  <c r="AI25" i="1"/>
  <c r="AH25" i="1"/>
  <c r="C26" i="1"/>
  <c r="M25" i="1"/>
  <c r="AG25" i="1"/>
  <c r="N25" i="1"/>
  <c r="AO25" i="1"/>
  <c r="AF25" i="1"/>
  <c r="AL25" i="1"/>
  <c r="AE25" i="1"/>
  <c r="K25" i="1"/>
  <c r="AD25" i="1"/>
  <c r="L25" i="1"/>
  <c r="AM25" i="1"/>
  <c r="AF18" i="1"/>
  <c r="AL18" i="1"/>
  <c r="AH18" i="1"/>
  <c r="AE18" i="1"/>
  <c r="AO18" i="1"/>
  <c r="AI18" i="1"/>
  <c r="O18" i="1"/>
  <c r="AD18" i="1"/>
  <c r="C19" i="1"/>
  <c r="AM18" i="1"/>
  <c r="L18" i="1"/>
  <c r="K18" i="1"/>
  <c r="N18" i="1"/>
  <c r="AG18" i="1"/>
  <c r="M18" i="1"/>
  <c r="C32" i="1"/>
  <c r="C33" i="1" s="1"/>
  <c r="M31" i="1"/>
  <c r="AH31" i="1"/>
  <c r="AL31" i="1"/>
  <c r="AF31" i="1"/>
  <c r="AG31" i="1"/>
  <c r="N31" i="1"/>
  <c r="AD31" i="1"/>
  <c r="O31" i="1"/>
  <c r="L31" i="1"/>
  <c r="K31" i="1"/>
  <c r="AI31" i="1"/>
  <c r="AE31" i="1"/>
  <c r="Y40" i="1"/>
  <c r="V40" i="1"/>
  <c r="W40" i="1"/>
  <c r="W6" i="1"/>
  <c r="X6" i="1"/>
  <c r="X40" i="1"/>
  <c r="U40" i="1"/>
  <c r="Z40" i="1"/>
  <c r="AT40" i="1"/>
  <c r="AT6" i="1"/>
  <c r="AO40" i="1"/>
  <c r="AO6" i="1"/>
  <c r="AQ40" i="1"/>
  <c r="AQ6" i="1"/>
  <c r="AP40" i="1"/>
  <c r="AP6" i="1"/>
  <c r="AM40" i="1"/>
  <c r="AM6" i="1"/>
  <c r="AS40" i="1"/>
  <c r="AS6" i="1"/>
  <c r="AL40" i="1"/>
  <c r="AL6" i="1"/>
  <c r="AR40" i="1"/>
  <c r="AR6" i="1"/>
  <c r="AN40" i="1"/>
  <c r="AN6" i="1"/>
  <c r="L7" i="1"/>
  <c r="K7" i="1"/>
  <c r="B7" i="1"/>
  <c r="G4" i="1"/>
  <c r="F4" i="1"/>
  <c r="AO19" i="1" l="1"/>
  <c r="AE19" i="1"/>
  <c r="AL19" i="1"/>
  <c r="AI19" i="1"/>
  <c r="L19" i="1"/>
  <c r="M19" i="1"/>
  <c r="AH19" i="1"/>
  <c r="W19" i="1"/>
  <c r="Z19" i="1"/>
  <c r="N19" i="1"/>
  <c r="AS19" i="1"/>
  <c r="AN19" i="1"/>
  <c r="AF19" i="1"/>
  <c r="O19" i="1"/>
  <c r="AM19" i="1"/>
  <c r="AG19" i="1"/>
  <c r="K19" i="1"/>
  <c r="AD19" i="1"/>
  <c r="C27" i="1"/>
  <c r="L26" i="1"/>
  <c r="M26" i="1"/>
  <c r="AL26" i="1"/>
  <c r="AG26" i="1"/>
  <c r="K26" i="1"/>
  <c r="AR26" i="1"/>
  <c r="Y26" i="1"/>
  <c r="AF26" i="1"/>
  <c r="AD26" i="1"/>
  <c r="AH26" i="1"/>
  <c r="AO26" i="1"/>
  <c r="O26" i="1"/>
  <c r="N26" i="1"/>
  <c r="AM26" i="1"/>
  <c r="AI26" i="1"/>
  <c r="AE26" i="1"/>
  <c r="C34" i="1"/>
  <c r="AE33" i="1"/>
  <c r="U33" i="1"/>
  <c r="AF33" i="1"/>
  <c r="Y33" i="1"/>
  <c r="K33" i="1"/>
  <c r="O33" i="1"/>
  <c r="AO33" i="1"/>
  <c r="AM33" i="1"/>
  <c r="AL33" i="1"/>
  <c r="AI33" i="1"/>
  <c r="AH33" i="1"/>
  <c r="AG33" i="1"/>
  <c r="AD33" i="1"/>
  <c r="L33" i="1"/>
  <c r="N33" i="1"/>
  <c r="M33" i="1"/>
  <c r="O32" i="1"/>
  <c r="N32" i="1"/>
  <c r="M32" i="1"/>
  <c r="AI32" i="1"/>
  <c r="L32" i="1"/>
  <c r="K32" i="1"/>
  <c r="AH32" i="1"/>
  <c r="AG32" i="1"/>
  <c r="AF32" i="1"/>
  <c r="AE32" i="1"/>
  <c r="AD32" i="1"/>
  <c r="AL32" i="1"/>
  <c r="AS9" i="1"/>
  <c r="Z9" i="1"/>
  <c r="Z26" i="1" s="1"/>
  <c r="Z7" i="1"/>
  <c r="U9" i="1"/>
  <c r="U19" i="1" s="1"/>
  <c r="U7" i="1"/>
  <c r="X7" i="1"/>
  <c r="X9" i="1"/>
  <c r="X26" i="1" s="1"/>
  <c r="W9" i="1"/>
  <c r="W33" i="1" s="1"/>
  <c r="W7" i="1"/>
  <c r="V7" i="1"/>
  <c r="V9" i="1"/>
  <c r="V19" i="1" s="1"/>
  <c r="Y9" i="1"/>
  <c r="Y7" i="1"/>
  <c r="AR9" i="1"/>
  <c r="AN9" i="1"/>
  <c r="AN26" i="1" s="1"/>
  <c r="AM32" i="1"/>
  <c r="AP9" i="1"/>
  <c r="AQ9" i="1"/>
  <c r="AQ33" i="1" s="1"/>
  <c r="AT9" i="1"/>
  <c r="AT26" i="1" s="1"/>
  <c r="AT7" i="1"/>
  <c r="AO7" i="1"/>
  <c r="AQ7" i="1"/>
  <c r="AP7" i="1"/>
  <c r="AM7" i="1"/>
  <c r="AS7" i="1"/>
  <c r="AL7" i="1"/>
  <c r="AR7" i="1"/>
  <c r="AN7" i="1"/>
  <c r="E4" i="1"/>
  <c r="Y13" i="1" l="1"/>
  <c r="Y14" i="1"/>
  <c r="Y15" i="1"/>
  <c r="Y23" i="1"/>
  <c r="Y16" i="1"/>
  <c r="Y17" i="1"/>
  <c r="Y24" i="1"/>
  <c r="Y18" i="1"/>
  <c r="Y25" i="1"/>
  <c r="V33" i="1"/>
  <c r="AN13" i="1"/>
  <c r="AN14" i="1"/>
  <c r="AN15" i="1"/>
  <c r="AN23" i="1"/>
  <c r="AN16" i="1"/>
  <c r="AN24" i="1"/>
  <c r="AN17" i="1"/>
  <c r="AN18" i="1"/>
  <c r="AN25" i="1"/>
  <c r="U26" i="1"/>
  <c r="X19" i="1"/>
  <c r="Y27" i="1"/>
  <c r="AR27" i="1"/>
  <c r="AF27" i="1"/>
  <c r="AM27" i="1"/>
  <c r="W27" i="1"/>
  <c r="U27" i="1"/>
  <c r="C28" i="1"/>
  <c r="AP27" i="1"/>
  <c r="H27" i="1" s="1"/>
  <c r="AN27" i="1"/>
  <c r="X27" i="1"/>
  <c r="N27" i="1"/>
  <c r="AH27" i="1"/>
  <c r="AO27" i="1"/>
  <c r="AG27" i="1"/>
  <c r="AL27" i="1"/>
  <c r="O27" i="1"/>
  <c r="AE27" i="1"/>
  <c r="AD27" i="1"/>
  <c r="Z27" i="1"/>
  <c r="AI27" i="1"/>
  <c r="M27" i="1"/>
  <c r="AT27" i="1"/>
  <c r="L27" i="1"/>
  <c r="AS27" i="1"/>
  <c r="V27" i="1"/>
  <c r="K27" i="1"/>
  <c r="AP23" i="1"/>
  <c r="H23" i="1" s="1"/>
  <c r="AP24" i="1"/>
  <c r="H24" i="1" s="1"/>
  <c r="AP25" i="1"/>
  <c r="H25" i="1" s="1"/>
  <c r="W13" i="1"/>
  <c r="W14" i="1"/>
  <c r="W15" i="1"/>
  <c r="W23" i="1"/>
  <c r="W16" i="1"/>
  <c r="W24" i="1"/>
  <c r="W17" i="1"/>
  <c r="W18" i="1"/>
  <c r="W25" i="1"/>
  <c r="V26" i="1"/>
  <c r="AS13" i="1"/>
  <c r="AS14" i="1"/>
  <c r="AS15" i="1"/>
  <c r="AS16" i="1"/>
  <c r="AS23" i="1"/>
  <c r="AS24" i="1"/>
  <c r="AS17" i="1"/>
  <c r="AS25" i="1"/>
  <c r="AS18" i="1"/>
  <c r="AT13" i="1"/>
  <c r="AT14" i="1"/>
  <c r="AT15" i="1"/>
  <c r="AT23" i="1"/>
  <c r="AT16" i="1"/>
  <c r="AT24" i="1"/>
  <c r="AT17" i="1"/>
  <c r="AT25" i="1"/>
  <c r="AT18" i="1"/>
  <c r="AQ13" i="1"/>
  <c r="H13" i="1" s="1"/>
  <c r="AQ14" i="1"/>
  <c r="H14" i="1" s="1"/>
  <c r="AQ15" i="1"/>
  <c r="H15" i="1" s="1"/>
  <c r="AQ16" i="1"/>
  <c r="H16" i="1" s="1"/>
  <c r="AQ17" i="1"/>
  <c r="H17" i="1" s="1"/>
  <c r="AQ18" i="1"/>
  <c r="H18" i="1" s="1"/>
  <c r="AR13" i="1"/>
  <c r="AR14" i="1"/>
  <c r="AR15" i="1"/>
  <c r="AR16" i="1"/>
  <c r="AR23" i="1"/>
  <c r="AR17" i="1"/>
  <c r="AR24" i="1"/>
  <c r="AR18" i="1"/>
  <c r="AR25" i="1"/>
  <c r="W26" i="1"/>
  <c r="AT19" i="1"/>
  <c r="Z32" i="1"/>
  <c r="Z13" i="1"/>
  <c r="Z14" i="1"/>
  <c r="Z15" i="1"/>
  <c r="Z23" i="1"/>
  <c r="Z16" i="1"/>
  <c r="Z17" i="1"/>
  <c r="Z24" i="1"/>
  <c r="Z25" i="1"/>
  <c r="Z18" i="1"/>
  <c r="AN33" i="1"/>
  <c r="X32" i="1"/>
  <c r="X13" i="1"/>
  <c r="X14" i="1"/>
  <c r="X15" i="1"/>
  <c r="X16" i="1"/>
  <c r="X23" i="1"/>
  <c r="X17" i="1"/>
  <c r="X24" i="1"/>
  <c r="X25" i="1"/>
  <c r="X18" i="1"/>
  <c r="X33" i="1"/>
  <c r="Y19" i="1"/>
  <c r="AP33" i="1"/>
  <c r="AP34" i="1"/>
  <c r="AN34" i="1"/>
  <c r="C35" i="1"/>
  <c r="M34" i="1"/>
  <c r="AI34" i="1"/>
  <c r="AD34" i="1"/>
  <c r="AL34" i="1"/>
  <c r="U34" i="1"/>
  <c r="X34" i="1"/>
  <c r="K34" i="1"/>
  <c r="L34" i="1"/>
  <c r="AM34" i="1"/>
  <c r="AE34" i="1"/>
  <c r="W34" i="1"/>
  <c r="N34" i="1"/>
  <c r="AF34" i="1"/>
  <c r="AH34" i="1"/>
  <c r="Y34" i="1"/>
  <c r="AQ34" i="1"/>
  <c r="AO34" i="1"/>
  <c r="V34" i="1"/>
  <c r="Z34" i="1"/>
  <c r="O34" i="1"/>
  <c r="AG34" i="1"/>
  <c r="V32" i="1"/>
  <c r="V13" i="1"/>
  <c r="V14" i="1"/>
  <c r="V15" i="1"/>
  <c r="V16" i="1"/>
  <c r="V23" i="1"/>
  <c r="V17" i="1"/>
  <c r="V24" i="1"/>
  <c r="V25" i="1"/>
  <c r="V18" i="1"/>
  <c r="AR19" i="1"/>
  <c r="AS26" i="1"/>
  <c r="AP26" i="1"/>
  <c r="H26" i="1" s="1"/>
  <c r="U32" i="1"/>
  <c r="U13" i="1"/>
  <c r="U14" i="1"/>
  <c r="U15" i="1"/>
  <c r="U16" i="1"/>
  <c r="U23" i="1"/>
  <c r="U17" i="1"/>
  <c r="U24" i="1"/>
  <c r="U18" i="1"/>
  <c r="U25" i="1"/>
  <c r="Z33" i="1"/>
  <c r="AQ19" i="1"/>
  <c r="H19" i="1" s="1"/>
  <c r="AP20" i="1"/>
  <c r="AP21" i="1"/>
  <c r="AP22" i="1"/>
  <c r="AP32" i="1"/>
  <c r="AQ10" i="1"/>
  <c r="H10" i="1" s="1"/>
  <c r="AQ11" i="1"/>
  <c r="H11" i="1" s="1"/>
  <c r="AQ12" i="1"/>
  <c r="H12" i="1" s="1"/>
  <c r="AT20" i="1"/>
  <c r="AT21" i="1"/>
  <c r="AT22" i="1"/>
  <c r="AP30" i="1"/>
  <c r="AP31" i="1"/>
  <c r="AR10" i="1"/>
  <c r="AR11" i="1"/>
  <c r="AR12" i="1"/>
  <c r="AR20" i="1"/>
  <c r="AR21" i="1"/>
  <c r="AR22" i="1"/>
  <c r="AQ30" i="1"/>
  <c r="AQ31" i="1"/>
  <c r="AS10" i="1"/>
  <c r="AS11" i="1"/>
  <c r="AS12" i="1"/>
  <c r="AS20" i="1"/>
  <c r="AS21" i="1"/>
  <c r="AS22" i="1"/>
  <c r="AQ32" i="1"/>
  <c r="AT10" i="1"/>
  <c r="AT11" i="1"/>
  <c r="AT12" i="1"/>
  <c r="Y10" i="1"/>
  <c r="Y11" i="1"/>
  <c r="Y12" i="1"/>
  <c r="Y20" i="1"/>
  <c r="Y21" i="1"/>
  <c r="Y22" i="1"/>
  <c r="Y30" i="1"/>
  <c r="Y31" i="1"/>
  <c r="AO10" i="1"/>
  <c r="AO11" i="1"/>
  <c r="AO12" i="1"/>
  <c r="AO20" i="1"/>
  <c r="AO21" i="1"/>
  <c r="AO22" i="1"/>
  <c r="AO30" i="1"/>
  <c r="AO31" i="1"/>
  <c r="AN10" i="1"/>
  <c r="AN11" i="1"/>
  <c r="AN12" i="1"/>
  <c r="AN20" i="1"/>
  <c r="AN21" i="1"/>
  <c r="AN22" i="1"/>
  <c r="AN30" i="1"/>
  <c r="AN31" i="1"/>
  <c r="Y32" i="1"/>
  <c r="W10" i="1"/>
  <c r="W11" i="1"/>
  <c r="W12" i="1"/>
  <c r="W20" i="1"/>
  <c r="W21" i="1"/>
  <c r="W22" i="1"/>
  <c r="W30" i="1"/>
  <c r="W31" i="1"/>
  <c r="AM10" i="1"/>
  <c r="AM11" i="1"/>
  <c r="AM12" i="1"/>
  <c r="AM20" i="1"/>
  <c r="AM21" i="1"/>
  <c r="AM22" i="1"/>
  <c r="AM30" i="1"/>
  <c r="AM31" i="1"/>
  <c r="V10" i="1"/>
  <c r="V11" i="1"/>
  <c r="V12" i="1"/>
  <c r="V20" i="1"/>
  <c r="V21" i="1"/>
  <c r="V22" i="1"/>
  <c r="V30" i="1"/>
  <c r="V31" i="1"/>
  <c r="AN32" i="1"/>
  <c r="AO32" i="1"/>
  <c r="W32" i="1"/>
  <c r="U10" i="1"/>
  <c r="U11" i="1"/>
  <c r="U12" i="1"/>
  <c r="U20" i="1"/>
  <c r="U21" i="1"/>
  <c r="U22" i="1"/>
  <c r="U30" i="1"/>
  <c r="U31" i="1"/>
  <c r="Z10" i="1"/>
  <c r="Z11" i="1"/>
  <c r="Z12" i="1"/>
  <c r="Z20" i="1"/>
  <c r="Z21" i="1"/>
  <c r="Z22" i="1"/>
  <c r="Z30" i="1"/>
  <c r="Z31" i="1"/>
  <c r="X10" i="1"/>
  <c r="X11" i="1"/>
  <c r="X12" i="1"/>
  <c r="X20" i="1"/>
  <c r="X21" i="1"/>
  <c r="X22" i="1"/>
  <c r="X30" i="1"/>
  <c r="X31" i="1"/>
  <c r="AL35" i="1" l="1"/>
  <c r="AE35" i="1"/>
  <c r="U35" i="1"/>
  <c r="M35" i="1"/>
  <c r="L35" i="1"/>
  <c r="O35" i="1"/>
  <c r="AQ35" i="1"/>
  <c r="AM35" i="1"/>
  <c r="AG35" i="1"/>
  <c r="AO35" i="1"/>
  <c r="K35" i="1"/>
  <c r="AD35" i="1"/>
  <c r="AN35" i="1"/>
  <c r="C36" i="1"/>
  <c r="N35" i="1"/>
  <c r="X35" i="1"/>
  <c r="V35" i="1"/>
  <c r="AF35" i="1"/>
  <c r="AI35" i="1"/>
  <c r="AH35" i="1"/>
  <c r="Y35" i="1"/>
  <c r="AP35" i="1"/>
  <c r="Z35" i="1"/>
  <c r="W35" i="1"/>
  <c r="O28" i="1"/>
  <c r="AN28" i="1"/>
  <c r="V28" i="1"/>
  <c r="X28" i="1"/>
  <c r="K28" i="1"/>
  <c r="AG28" i="1"/>
  <c r="AO28" i="1"/>
  <c r="AM28" i="1"/>
  <c r="W28" i="1"/>
  <c r="Y28" i="1"/>
  <c r="C29" i="1"/>
  <c r="AP28" i="1"/>
  <c r="H28" i="1" s="1"/>
  <c r="AF28" i="1"/>
  <c r="AH28" i="1"/>
  <c r="Z28" i="1"/>
  <c r="L28" i="1"/>
  <c r="AS28" i="1"/>
  <c r="M28" i="1"/>
  <c r="AE28" i="1"/>
  <c r="N28" i="1"/>
  <c r="U28" i="1"/>
  <c r="AL28" i="1"/>
  <c r="AI28" i="1"/>
  <c r="AR28" i="1"/>
  <c r="AT28" i="1"/>
  <c r="AD28" i="1"/>
  <c r="H21" i="1"/>
  <c r="I13" i="1"/>
  <c r="I14" i="1"/>
  <c r="I15" i="1"/>
  <c r="I16" i="1"/>
  <c r="I17" i="1"/>
  <c r="I19" i="1"/>
  <c r="I18" i="1"/>
  <c r="H22" i="1"/>
  <c r="H20" i="1"/>
  <c r="I12" i="1"/>
  <c r="I11" i="1"/>
  <c r="I10" i="1"/>
  <c r="AC40" i="1"/>
  <c r="AC6" i="1"/>
  <c r="AB40" i="1"/>
  <c r="AB6" i="1"/>
  <c r="O29" i="1" l="1"/>
  <c r="W29" i="1"/>
  <c r="N29" i="1"/>
  <c r="M29" i="1"/>
  <c r="AF29" i="1"/>
  <c r="AL29" i="1"/>
  <c r="X29" i="1"/>
  <c r="AT29" i="1"/>
  <c r="AR29" i="1"/>
  <c r="V29" i="1"/>
  <c r="AP29" i="1"/>
  <c r="H29" i="1" s="1"/>
  <c r="I30" i="1" s="1"/>
  <c r="L29" i="1"/>
  <c r="AC29" i="1"/>
  <c r="AS29" i="1"/>
  <c r="K29" i="1"/>
  <c r="Y29" i="1"/>
  <c r="AH29" i="1"/>
  <c r="AM29" i="1"/>
  <c r="AE29" i="1"/>
  <c r="Z29" i="1"/>
  <c r="AB29" i="1"/>
  <c r="AD29" i="1"/>
  <c r="AO29" i="1"/>
  <c r="AN29" i="1"/>
  <c r="AI29" i="1"/>
  <c r="AG29" i="1"/>
  <c r="U29" i="1"/>
  <c r="AP36" i="1"/>
  <c r="AQ36" i="1"/>
  <c r="AO36" i="1"/>
  <c r="N36" i="1"/>
  <c r="AF36" i="1"/>
  <c r="AN36" i="1"/>
  <c r="C37" i="1"/>
  <c r="Y36" i="1"/>
  <c r="U36" i="1"/>
  <c r="AG36" i="1"/>
  <c r="V36" i="1"/>
  <c r="L36" i="1"/>
  <c r="AH36" i="1"/>
  <c r="AM36" i="1"/>
  <c r="Z36" i="1"/>
  <c r="AC36" i="1"/>
  <c r="AI36" i="1"/>
  <c r="X36" i="1"/>
  <c r="AE36" i="1"/>
  <c r="M36" i="1"/>
  <c r="O36" i="1"/>
  <c r="W36" i="1"/>
  <c r="K36" i="1"/>
  <c r="AL36" i="1"/>
  <c r="AD36" i="1"/>
  <c r="I28" i="1"/>
  <c r="I27" i="1"/>
  <c r="I26" i="1"/>
  <c r="I25" i="1"/>
  <c r="I24" i="1"/>
  <c r="I23" i="1"/>
  <c r="I22" i="1"/>
  <c r="I20" i="1"/>
  <c r="I21" i="1"/>
  <c r="AB9" i="1"/>
  <c r="AB36" i="1" s="1"/>
  <c r="AC9" i="1"/>
  <c r="AB7" i="1"/>
  <c r="AC7" i="1"/>
  <c r="B6" i="1"/>
  <c r="I38" i="1" l="1"/>
  <c r="I34" i="1"/>
  <c r="I40" i="1"/>
  <c r="AC13" i="1"/>
  <c r="AC14" i="1"/>
  <c r="AC15" i="1"/>
  <c r="AC23" i="1"/>
  <c r="AC16" i="1"/>
  <c r="AC17" i="1"/>
  <c r="AC24" i="1"/>
  <c r="AC18" i="1"/>
  <c r="AC25" i="1"/>
  <c r="AC33" i="1"/>
  <c r="AC19" i="1"/>
  <c r="AC26" i="1"/>
  <c r="AC34" i="1"/>
  <c r="AC27" i="1"/>
  <c r="AC35" i="1"/>
  <c r="AC28" i="1"/>
  <c r="I39" i="1"/>
  <c r="AP37" i="1"/>
  <c r="AM37" i="1"/>
  <c r="AL37" i="1"/>
  <c r="O37" i="1"/>
  <c r="W37" i="1"/>
  <c r="K37" i="1"/>
  <c r="AC37" i="1"/>
  <c r="Z37" i="1"/>
  <c r="AI37" i="1"/>
  <c r="AO37" i="1"/>
  <c r="AB37" i="1"/>
  <c r="L37" i="1"/>
  <c r="M37" i="1"/>
  <c r="AH37" i="1"/>
  <c r="AE37" i="1"/>
  <c r="AN37" i="1"/>
  <c r="V37" i="1"/>
  <c r="C38" i="1"/>
  <c r="AQ37" i="1"/>
  <c r="Y37" i="1"/>
  <c r="X37" i="1"/>
  <c r="AG37" i="1"/>
  <c r="N37" i="1"/>
  <c r="AF37" i="1"/>
  <c r="AD37" i="1"/>
  <c r="U37" i="1"/>
  <c r="I35" i="1"/>
  <c r="I33" i="1"/>
  <c r="I4" i="1"/>
  <c r="I31" i="1"/>
  <c r="I36" i="1"/>
  <c r="AB13" i="1"/>
  <c r="AB14" i="1"/>
  <c r="AB15" i="1"/>
  <c r="AB23" i="1"/>
  <c r="AB16" i="1"/>
  <c r="AB24" i="1"/>
  <c r="AB17" i="1"/>
  <c r="AB25" i="1"/>
  <c r="AB18" i="1"/>
  <c r="AB33" i="1"/>
  <c r="AB26" i="1"/>
  <c r="AB19" i="1"/>
  <c r="AB34" i="1"/>
  <c r="AB27" i="1"/>
  <c r="AB28" i="1"/>
  <c r="AB35" i="1"/>
  <c r="I29" i="1"/>
  <c r="I37" i="1"/>
  <c r="I32" i="1"/>
  <c r="AC10" i="1"/>
  <c r="AC11" i="1"/>
  <c r="AC12" i="1"/>
  <c r="AC20" i="1"/>
  <c r="AC21" i="1"/>
  <c r="AC22" i="1"/>
  <c r="AC30" i="1"/>
  <c r="AC31" i="1"/>
  <c r="AC32" i="1"/>
  <c r="AB10" i="1"/>
  <c r="AB11" i="1"/>
  <c r="AB12" i="1"/>
  <c r="AB20" i="1"/>
  <c r="AB21" i="1"/>
  <c r="AB22" i="1"/>
  <c r="AB30" i="1"/>
  <c r="AB31" i="1"/>
  <c r="AB32" i="1"/>
  <c r="K40" i="1"/>
  <c r="AF38" i="1" l="1"/>
  <c r="O38" i="1"/>
  <c r="L38" i="1"/>
  <c r="AI38" i="1"/>
  <c r="C39" i="1"/>
  <c r="AL38" i="1"/>
  <c r="AM38" i="1"/>
  <c r="AN38" i="1"/>
  <c r="Y38" i="1"/>
  <c r="W38" i="1"/>
  <c r="AE38" i="1"/>
  <c r="U38" i="1"/>
  <c r="AB38" i="1"/>
  <c r="X38" i="1"/>
  <c r="N38" i="1"/>
  <c r="AQ38" i="1"/>
  <c r="AG38" i="1"/>
  <c r="K38" i="1"/>
  <c r="Z38" i="1"/>
  <c r="AC38" i="1"/>
  <c r="AH38" i="1"/>
  <c r="AP38" i="1"/>
  <c r="AD38" i="1"/>
  <c r="V38" i="1"/>
  <c r="M38" i="1"/>
  <c r="AO38" i="1"/>
  <c r="AA6" i="1"/>
  <c r="K39" i="1" l="1"/>
  <c r="AQ39" i="1"/>
  <c r="W39" i="1"/>
  <c r="AH39" i="1"/>
  <c r="AP39" i="1"/>
  <c r="M39" i="1"/>
  <c r="L39" i="1"/>
  <c r="AF39" i="1"/>
  <c r="AO39" i="1"/>
  <c r="AC39" i="1"/>
  <c r="AN39" i="1"/>
  <c r="V39" i="1"/>
  <c r="U39" i="1"/>
  <c r="N39" i="1"/>
  <c r="AE39" i="1"/>
  <c r="AM39" i="1"/>
  <c r="AD39" i="1"/>
  <c r="Z39" i="1"/>
  <c r="AL39" i="1"/>
  <c r="O39" i="1"/>
  <c r="AG39" i="1"/>
  <c r="Y39" i="1"/>
  <c r="AI39" i="1"/>
  <c r="X39" i="1"/>
  <c r="AB39" i="1"/>
  <c r="AA9" i="1"/>
  <c r="AA7" i="1"/>
  <c r="AA40" i="1"/>
  <c r="S6" i="1"/>
  <c r="B5" i="1"/>
  <c r="AA13" i="1" l="1"/>
  <c r="AA14" i="1"/>
  <c r="AA15" i="1"/>
  <c r="AA23" i="1"/>
  <c r="AA16" i="1"/>
  <c r="AA24" i="1"/>
  <c r="AA17" i="1"/>
  <c r="AA18" i="1"/>
  <c r="AA25" i="1"/>
  <c r="AA19" i="1"/>
  <c r="AA33" i="1"/>
  <c r="AA26" i="1"/>
  <c r="AA27" i="1"/>
  <c r="AA34" i="1"/>
  <c r="AA35" i="1"/>
  <c r="AA28" i="1"/>
  <c r="AA29" i="1"/>
  <c r="AA36" i="1"/>
  <c r="AA37" i="1"/>
  <c r="AA38" i="1"/>
  <c r="AA39" i="1"/>
  <c r="AA10" i="1"/>
  <c r="AA11" i="1"/>
  <c r="AA12" i="1"/>
  <c r="AA20" i="1"/>
  <c r="AA21" i="1"/>
  <c r="AA22" i="1"/>
  <c r="AA30" i="1"/>
  <c r="AA31" i="1"/>
  <c r="AA32" i="1"/>
  <c r="S9" i="1"/>
  <c r="S7" i="1"/>
  <c r="B4" i="1"/>
  <c r="S40" i="1"/>
  <c r="AK6" i="1"/>
  <c r="AJ6" i="1"/>
  <c r="S13" i="1" l="1"/>
  <c r="S14" i="1"/>
  <c r="S15" i="1"/>
  <c r="S23" i="1"/>
  <c r="S16" i="1"/>
  <c r="S24" i="1"/>
  <c r="S17" i="1"/>
  <c r="S25" i="1"/>
  <c r="S18" i="1"/>
  <c r="S26" i="1"/>
  <c r="S19" i="1"/>
  <c r="S33" i="1"/>
  <c r="S27" i="1"/>
  <c r="S34" i="1"/>
  <c r="S35" i="1"/>
  <c r="S28" i="1"/>
  <c r="S36" i="1"/>
  <c r="S29" i="1"/>
  <c r="S37" i="1"/>
  <c r="S38" i="1"/>
  <c r="S39" i="1"/>
  <c r="S10" i="1"/>
  <c r="S11" i="1"/>
  <c r="S12" i="1"/>
  <c r="S20" i="1"/>
  <c r="S21" i="1"/>
  <c r="S22" i="1"/>
  <c r="S30" i="1"/>
  <c r="S31" i="1"/>
  <c r="S32" i="1"/>
  <c r="AJ9" i="1"/>
  <c r="AK9" i="1"/>
  <c r="AJ7" i="1"/>
  <c r="AK7" i="1"/>
  <c r="AK40" i="1"/>
  <c r="AJ40" i="1"/>
  <c r="AU6" i="1"/>
  <c r="AK13" i="1" l="1"/>
  <c r="AK14" i="1"/>
  <c r="AK15" i="1"/>
  <c r="AK23" i="1"/>
  <c r="AK16" i="1"/>
  <c r="AK17" i="1"/>
  <c r="AK24" i="1"/>
  <c r="AK25" i="1"/>
  <c r="AK18" i="1"/>
  <c r="AK19" i="1"/>
  <c r="AK26" i="1"/>
  <c r="AK33" i="1"/>
  <c r="AK34" i="1"/>
  <c r="AK27" i="1"/>
  <c r="AK28" i="1"/>
  <c r="AK35" i="1"/>
  <c r="AK29" i="1"/>
  <c r="AK36" i="1"/>
  <c r="AK37" i="1"/>
  <c r="AK38" i="1"/>
  <c r="AK39" i="1"/>
  <c r="AJ13" i="1"/>
  <c r="AJ14" i="1"/>
  <c r="AJ15" i="1"/>
  <c r="AJ16" i="1"/>
  <c r="AJ23" i="1"/>
  <c r="AJ17" i="1"/>
  <c r="AJ24" i="1"/>
  <c r="AJ25" i="1"/>
  <c r="AJ18" i="1"/>
  <c r="AJ19" i="1"/>
  <c r="AJ26" i="1"/>
  <c r="AJ33" i="1"/>
  <c r="AJ34" i="1"/>
  <c r="AJ27" i="1"/>
  <c r="AJ28" i="1"/>
  <c r="AJ35" i="1"/>
  <c r="AJ36" i="1"/>
  <c r="AJ29" i="1"/>
  <c r="AJ37" i="1"/>
  <c r="AJ38" i="1"/>
  <c r="AJ39" i="1"/>
  <c r="AJ10" i="1"/>
  <c r="AJ11" i="1"/>
  <c r="AJ12" i="1"/>
  <c r="AJ20" i="1"/>
  <c r="AJ21" i="1"/>
  <c r="AJ22" i="1"/>
  <c r="AJ30" i="1"/>
  <c r="AJ31" i="1"/>
  <c r="AJ32" i="1"/>
  <c r="AK10" i="1"/>
  <c r="AK11" i="1"/>
  <c r="AK12" i="1"/>
  <c r="AK20" i="1"/>
  <c r="AK21" i="1"/>
  <c r="AK22" i="1"/>
  <c r="AK30" i="1"/>
  <c r="AK31" i="1"/>
  <c r="AK32" i="1"/>
  <c r="AU9" i="1"/>
  <c r="AU7" i="1"/>
  <c r="AU40" i="1"/>
  <c r="AU13" i="1" l="1"/>
  <c r="AU14" i="1"/>
  <c r="AU15" i="1"/>
  <c r="AU23" i="1"/>
  <c r="AU16" i="1"/>
  <c r="AU24" i="1"/>
  <c r="AU17" i="1"/>
  <c r="AU18" i="1"/>
  <c r="AU25" i="1"/>
  <c r="AU33" i="1"/>
  <c r="AU26" i="1"/>
  <c r="AU19" i="1"/>
  <c r="AU34" i="1"/>
  <c r="AU27" i="1"/>
  <c r="AU28" i="1"/>
  <c r="AU35" i="1"/>
  <c r="AU36" i="1"/>
  <c r="AU29" i="1"/>
  <c r="AU37" i="1"/>
  <c r="AU38" i="1"/>
  <c r="AU39" i="1"/>
  <c r="AU10" i="1"/>
  <c r="AU11" i="1"/>
  <c r="AU12" i="1"/>
  <c r="AU20" i="1"/>
  <c r="AU21" i="1"/>
  <c r="AU22" i="1"/>
  <c r="AU30" i="1"/>
  <c r="AU31" i="1"/>
  <c r="AU32" i="1"/>
  <c r="T6" i="1"/>
  <c r="T9" i="1" l="1"/>
  <c r="T7" i="1"/>
  <c r="T40" i="1"/>
  <c r="P6" i="1"/>
  <c r="Q6" i="1"/>
  <c r="R6" i="1"/>
  <c r="AV6" i="1"/>
  <c r="AW6" i="1"/>
  <c r="AX6" i="1"/>
  <c r="AY6" i="1"/>
  <c r="J6" i="1"/>
  <c r="J9" i="1" s="1"/>
  <c r="J13" i="1" l="1"/>
  <c r="J14" i="1"/>
  <c r="J15" i="1"/>
  <c r="J23" i="1"/>
  <c r="J16" i="1"/>
  <c r="J24" i="1"/>
  <c r="J17" i="1"/>
  <c r="J25" i="1"/>
  <c r="J18" i="1"/>
  <c r="J26" i="1"/>
  <c r="J19" i="1"/>
  <c r="J33" i="1"/>
  <c r="J34" i="1"/>
  <c r="J27" i="1"/>
  <c r="J35" i="1"/>
  <c r="J28" i="1"/>
  <c r="J29" i="1"/>
  <c r="J36" i="1"/>
  <c r="J37" i="1"/>
  <c r="J38" i="1"/>
  <c r="J39" i="1"/>
  <c r="T13" i="1"/>
  <c r="T14" i="1"/>
  <c r="T15" i="1"/>
  <c r="T23" i="1"/>
  <c r="T16" i="1"/>
  <c r="T24" i="1"/>
  <c r="T17" i="1"/>
  <c r="T18" i="1"/>
  <c r="T25" i="1"/>
  <c r="T33" i="1"/>
  <c r="T19" i="1"/>
  <c r="T26" i="1"/>
  <c r="T34" i="1"/>
  <c r="T27" i="1"/>
  <c r="T28" i="1"/>
  <c r="T35" i="1"/>
  <c r="T36" i="1"/>
  <c r="T29" i="1"/>
  <c r="T37" i="1"/>
  <c r="T38" i="1"/>
  <c r="T39" i="1"/>
  <c r="J10" i="1"/>
  <c r="J11" i="1"/>
  <c r="J12" i="1"/>
  <c r="J20" i="1"/>
  <c r="J21" i="1"/>
  <c r="J22" i="1"/>
  <c r="J30" i="1"/>
  <c r="J31" i="1"/>
  <c r="J32" i="1"/>
  <c r="T10" i="1"/>
  <c r="T11" i="1"/>
  <c r="T12" i="1"/>
  <c r="T20" i="1"/>
  <c r="T21" i="1"/>
  <c r="T22" i="1"/>
  <c r="T30" i="1"/>
  <c r="T31" i="1"/>
  <c r="T32" i="1"/>
  <c r="AX9" i="1"/>
  <c r="AW9" i="1"/>
  <c r="R9" i="1"/>
  <c r="Q9" i="1"/>
  <c r="P9" i="1"/>
  <c r="AV9" i="1"/>
  <c r="AY9" i="1"/>
  <c r="AY7" i="1"/>
  <c r="R7" i="1"/>
  <c r="Q7" i="1"/>
  <c r="AX7" i="1"/>
  <c r="AW7" i="1"/>
  <c r="P7" i="1"/>
  <c r="AV7" i="1"/>
  <c r="P40" i="1"/>
  <c r="AX40" i="1"/>
  <c r="Q40" i="1"/>
  <c r="AW40" i="1"/>
  <c r="AV40" i="1"/>
  <c r="R40" i="1"/>
  <c r="L40" i="1"/>
  <c r="J40" i="1"/>
  <c r="AY40" i="1"/>
  <c r="R13" i="1" l="1"/>
  <c r="R14" i="1"/>
  <c r="R15" i="1"/>
  <c r="R23" i="1"/>
  <c r="R16" i="1"/>
  <c r="R24" i="1"/>
  <c r="R17" i="1"/>
  <c r="R18" i="1"/>
  <c r="R25" i="1"/>
  <c r="R33" i="1"/>
  <c r="R19" i="1"/>
  <c r="R26" i="1"/>
  <c r="R34" i="1"/>
  <c r="R27" i="1"/>
  <c r="R35" i="1"/>
  <c r="R28" i="1"/>
  <c r="R29" i="1"/>
  <c r="R36" i="1"/>
  <c r="R37" i="1"/>
  <c r="R38" i="1"/>
  <c r="R39" i="1"/>
  <c r="AX13" i="1"/>
  <c r="AX14" i="1"/>
  <c r="AX15" i="1"/>
  <c r="AX23" i="1"/>
  <c r="AX16" i="1"/>
  <c r="AX24" i="1"/>
  <c r="AX17" i="1"/>
  <c r="AX25" i="1"/>
  <c r="AX18" i="1"/>
  <c r="AX19" i="1"/>
  <c r="AX33" i="1"/>
  <c r="AX26" i="1"/>
  <c r="AX34" i="1"/>
  <c r="AX27" i="1"/>
  <c r="AX28" i="1"/>
  <c r="AX35" i="1"/>
  <c r="AX36" i="1"/>
  <c r="AX29" i="1"/>
  <c r="AX37" i="1"/>
  <c r="AX38" i="1"/>
  <c r="AX39" i="1"/>
  <c r="Q13" i="1"/>
  <c r="Q14" i="1"/>
  <c r="Q15" i="1"/>
  <c r="Q16" i="1"/>
  <c r="Q23" i="1"/>
  <c r="Q17" i="1"/>
  <c r="Q24" i="1"/>
  <c r="Q18" i="1"/>
  <c r="Q25" i="1"/>
  <c r="Q19" i="1"/>
  <c r="Q33" i="1"/>
  <c r="Q26" i="1"/>
  <c r="Q34" i="1"/>
  <c r="Q27" i="1"/>
  <c r="Q28" i="1"/>
  <c r="Q35" i="1"/>
  <c r="Q29" i="1"/>
  <c r="Q36" i="1"/>
  <c r="Q37" i="1"/>
  <c r="Q38" i="1"/>
  <c r="Q39" i="1"/>
  <c r="AW13" i="1"/>
  <c r="AW14" i="1"/>
  <c r="AW15" i="1"/>
  <c r="AW23" i="1"/>
  <c r="AW16" i="1"/>
  <c r="AW17" i="1"/>
  <c r="AW24" i="1"/>
  <c r="AW25" i="1"/>
  <c r="AW18" i="1"/>
  <c r="AW26" i="1"/>
  <c r="AW19" i="1"/>
  <c r="AW33" i="1"/>
  <c r="AW34" i="1"/>
  <c r="AW27" i="1"/>
  <c r="AW28" i="1"/>
  <c r="AW35" i="1"/>
  <c r="AW29" i="1"/>
  <c r="AW36" i="1"/>
  <c r="AW37" i="1"/>
  <c r="AW38" i="1"/>
  <c r="AW39" i="1"/>
  <c r="AY13" i="1"/>
  <c r="AY14" i="1"/>
  <c r="AY15" i="1"/>
  <c r="AY23" i="1"/>
  <c r="AY16" i="1"/>
  <c r="AY24" i="1"/>
  <c r="AY17" i="1"/>
  <c r="AY18" i="1"/>
  <c r="AY25" i="1"/>
  <c r="AY19" i="1"/>
  <c r="AY33" i="1"/>
  <c r="AY26" i="1"/>
  <c r="AY34" i="1"/>
  <c r="AY27" i="1"/>
  <c r="AY28" i="1"/>
  <c r="AY35" i="1"/>
  <c r="AY29" i="1"/>
  <c r="AY36" i="1"/>
  <c r="AY37" i="1"/>
  <c r="AY38" i="1"/>
  <c r="AY39" i="1"/>
  <c r="AV13" i="1"/>
  <c r="AV14" i="1"/>
  <c r="AV15" i="1"/>
  <c r="AV23" i="1"/>
  <c r="AV16" i="1"/>
  <c r="AV24" i="1"/>
  <c r="AV17" i="1"/>
  <c r="AV18" i="1"/>
  <c r="AV25" i="1"/>
  <c r="AV26" i="1"/>
  <c r="AV33" i="1"/>
  <c r="AV19" i="1"/>
  <c r="AV27" i="1"/>
  <c r="AV34" i="1"/>
  <c r="AV35" i="1"/>
  <c r="AV28" i="1"/>
  <c r="AV29" i="1"/>
  <c r="AV36" i="1"/>
  <c r="AV37" i="1"/>
  <c r="AV38" i="1"/>
  <c r="AV39" i="1"/>
  <c r="P13" i="1"/>
  <c r="P14" i="1"/>
  <c r="P15" i="1"/>
  <c r="P16" i="1"/>
  <c r="P23" i="1"/>
  <c r="P24" i="1"/>
  <c r="P17" i="1"/>
  <c r="P25" i="1"/>
  <c r="P18" i="1"/>
  <c r="P19" i="1"/>
  <c r="P33" i="1"/>
  <c r="P26" i="1"/>
  <c r="P34" i="1"/>
  <c r="P27" i="1"/>
  <c r="P28" i="1"/>
  <c r="P35" i="1"/>
  <c r="P36" i="1"/>
  <c r="P29" i="1"/>
  <c r="P37" i="1"/>
  <c r="P38" i="1"/>
  <c r="P39" i="1"/>
  <c r="P10" i="1"/>
  <c r="P11" i="1"/>
  <c r="P12" i="1"/>
  <c r="P20" i="1"/>
  <c r="P21" i="1"/>
  <c r="P22" i="1"/>
  <c r="P30" i="1"/>
  <c r="P31" i="1"/>
  <c r="P32" i="1"/>
  <c r="AV10" i="1"/>
  <c r="AV11" i="1"/>
  <c r="AV12" i="1"/>
  <c r="AV20" i="1"/>
  <c r="AV21" i="1"/>
  <c r="AV22" i="1"/>
  <c r="AV30" i="1"/>
  <c r="AV31" i="1"/>
  <c r="AV32" i="1"/>
  <c r="AY10" i="1"/>
  <c r="AY11" i="1"/>
  <c r="AY12" i="1"/>
  <c r="AY20" i="1"/>
  <c r="AY21" i="1"/>
  <c r="AY22" i="1"/>
  <c r="AY30" i="1"/>
  <c r="AY31" i="1"/>
  <c r="AY32" i="1"/>
  <c r="R10" i="1"/>
  <c r="R11" i="1"/>
  <c r="R12" i="1"/>
  <c r="R20" i="1"/>
  <c r="R21" i="1"/>
  <c r="R22" i="1"/>
  <c r="R30" i="1"/>
  <c r="R31" i="1"/>
  <c r="R32" i="1"/>
  <c r="AX10" i="1"/>
  <c r="AX11" i="1"/>
  <c r="AX12" i="1"/>
  <c r="AX20" i="1"/>
  <c r="AX21" i="1"/>
  <c r="AX22" i="1"/>
  <c r="AX30" i="1"/>
  <c r="AX31" i="1"/>
  <c r="AX32" i="1"/>
  <c r="Q10" i="1"/>
  <c r="Q11" i="1"/>
  <c r="Q12" i="1"/>
  <c r="Q20" i="1"/>
  <c r="Q21" i="1"/>
  <c r="Q22" i="1"/>
  <c r="Q30" i="1"/>
  <c r="Q31" i="1"/>
  <c r="Q32" i="1"/>
  <c r="AW10" i="1"/>
  <c r="AW11" i="1"/>
  <c r="AW12" i="1"/>
  <c r="AW20" i="1"/>
  <c r="AW21" i="1"/>
  <c r="AW22" i="1"/>
  <c r="AW30" i="1"/>
  <c r="AW31" i="1"/>
  <c r="AW3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E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H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D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H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H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E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F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G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H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I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U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AR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S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H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<sst xmlns="http://schemas.openxmlformats.org/spreadsheetml/2006/main" count="197" uniqueCount="121">
  <si>
    <t>sam</t>
  </si>
  <si>
    <t>Dict</t>
  </si>
  <si>
    <t>Key1</t>
  </si>
  <si>
    <t>Key2</t>
  </si>
  <si>
    <t>slice</t>
  </si>
  <si>
    <t>Default</t>
  </si>
  <si>
    <t>0:1</t>
  </si>
  <si>
    <t>1:2</t>
  </si>
  <si>
    <t>2:3</t>
  </si>
  <si>
    <t>saa</t>
  </si>
  <si>
    <t>sav</t>
  </si>
  <si>
    <t>sap</t>
  </si>
  <si>
    <t>Note on formatting</t>
  </si>
  <si>
    <t>eqn_compare</t>
  </si>
  <si>
    <t>TOL_inc</t>
  </si>
  <si>
    <t>g3_included</t>
  </si>
  <si>
    <t>woolp_mpg</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</si>
  <si>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</si>
  <si>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</si>
  <si>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</si>
  <si>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</si>
  <si>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</si>
  <si>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</si>
  <si>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</si>
  <si>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</si>
  <si>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</si>
  <si>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</si>
  <si>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</si>
  <si>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</si>
  <si>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</si>
  <si>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</si>
  <si>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</si>
  <si>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</si>
  <si>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10:11,:</t>
  </si>
  <si>
    <t>Last change</t>
  </si>
  <si>
    <t>This column must remain first</t>
  </si>
  <si>
    <t>BlankLast</t>
  </si>
  <si>
    <t>Standard</t>
  </si>
  <si>
    <t>evg_c2</t>
  </si>
  <si>
    <t>srw_c2</t>
  </si>
  <si>
    <t>cl0_c2</t>
  </si>
  <si>
    <t>ci_c2</t>
  </si>
  <si>
    <t>sfw_c2</t>
  </si>
  <si>
    <t>sfd_c2</t>
  </si>
  <si>
    <t>kg</t>
  </si>
  <si>
    <t>sar</t>
  </si>
  <si>
    <t>mortalityp</t>
  </si>
  <si>
    <t>8:9,:</t>
  </si>
  <si>
    <t>3:4,1:2,:</t>
  </si>
  <si>
    <t>3:4,2:3,:</t>
  </si>
  <si>
    <t>genotype</t>
  </si>
  <si>
    <t>nut_spread_n1</t>
  </si>
  <si>
    <t>-</t>
  </si>
  <si>
    <t>nut_spread_n3</t>
  </si>
  <si>
    <t>Dam nutrition profiles</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</si>
  <si>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</si>
  <si>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</si>
  <si>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</si>
  <si>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</si>
  <si>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</si>
  <si>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</si>
  <si>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</si>
  <si>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</si>
  <si>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</si>
  <si>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</si>
  <si>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</si>
  <si>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</si>
  <si>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</si>
  <si>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</si>
  <si>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</si>
  <si>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</si>
  <si>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</si>
  <si>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</si>
  <si>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</si>
  <si>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</si>
  <si>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</si>
  <si>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</si>
  <si>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</si>
  <si>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</si>
  <si>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</si>
  <si>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</si>
  <si>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</si>
  <si>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</si>
  <si>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</si>
  <si>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</si>
  <si>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</si>
  <si>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</si>
  <si>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</si>
  <si>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</si>
  <si>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</si>
  <si>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</si>
  <si>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</si>
  <si>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</si>
  <si>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</si>
  <si>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</si>
  <si>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</si>
  <si>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</si>
  <si>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</si>
  <si>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</si>
  <si>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</si>
  <si>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</si>
  <si>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</si>
  <si>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</si>
  <si>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</si>
  <si>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</si>
  <si>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</si>
  <si>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</si>
  <si>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</si>
  <si>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</si>
  <si>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</si>
  <si>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</si>
  <si>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</si>
  <si>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</si>
  <si>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</si>
  <si>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</si>
  <si>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</si>
  <si>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</si>
  <si>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</si>
  <si>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</si>
  <si>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</si>
  <si>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G0_Std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</si>
</sst>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s>
  <fills count="15">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xf numFmtId="0" fontId="12" fillId="14" borderId="2" applyNumberFormat="0" applyAlignment="0"/>
  </cellStyleXfs>
  <cellXfs count="4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0" fillId="4" borderId="3" xfId="7" applyFont="1" applyFill="1"/>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0" fillId="0" borderId="0" xfId="0" applyBorder="1"/>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xf numFmtId="49" fontId="17" fillId="0" borderId="0" xfId="0" quotePrefix="1" applyNumberFormat="1" applyFont="1"/>
    <xf numFmtId="0" fontId="18" fillId="0" borderId="2" xfId="6" applyFont="1"/>
    <xf numFmtId="0" fontId="6" fillId="5" borderId="2" xfId="2">
      <protection locked="0"/>
    </xf>
    <xf numFmtId="0" fontId="6" fillId="5" borderId="2" xfId="2" applyAlignment="1">
      <alignment horizontal="center"/>
      <protection locked="0"/>
    </xf>
    <xf numFmtId="0" fontId="13" fillId="10" borderId="2" xfId="8" applyAlignment="1">
      <alignment horizontal="center"/>
    </xf>
    <xf numFmtId="0" fontId="12" fillId="14" borderId="2" xfId="10"/>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AZ40"/>
  <sheetViews>
    <sheetView tabSelected="1" workbookViewId="0">
      <pane xSplit="9" ySplit="6" topLeftCell="AL7" activePane="bottomRight" state="frozen"/>
      <selection pane="topRight" activeCell="H1" sqref="H1"/>
      <selection pane="bottomLeft" activeCell="A7" sqref="A7"/>
      <selection pane="bottomRight" activeCell="H30" sqref="H30:H39"/>
    </sheetView>
  </sheetViews>
  <sheetFormatPr defaultRowHeight="15" outlineLevelCol="1"/>
  <cols>
    <col min="1" max="1" width="11" customWidth="1"/>
    <col min="5" max="5" width="10.5703125" customWidth="1"/>
    <col min="8" max="8" width="27" style="3" customWidth="1"/>
    <col min="9" max="9" width="6.140625" customWidth="1" collapsed="1"/>
    <col min="10" max="37" width="6.28515625" hidden="1" customWidth="1" outlineLevel="1"/>
    <col min="38" max="51" width="6.28515625" customWidth="1"/>
    <col min="52" max="52" width="2.85546875" customWidth="1"/>
  </cols>
  <sheetData>
    <row r="1" spans="1:52" s="1" customFormat="1" ht="41.25" customHeight="1">
      <c r="A1" s="19" t="s">
        <v>19</v>
      </c>
      <c r="B1" s="6" t="s">
        <v>19</v>
      </c>
      <c r="C1" s="6"/>
      <c r="D1" s="6" t="s">
        <v>19</v>
      </c>
      <c r="E1" s="9" t="s">
        <v>12</v>
      </c>
      <c r="H1" s="4" t="s">
        <v>1</v>
      </c>
      <c r="I1" s="19" t="s">
        <v>19</v>
      </c>
      <c r="J1" s="6" t="s">
        <v>10</v>
      </c>
      <c r="K1" s="6" t="s">
        <v>10</v>
      </c>
      <c r="L1" s="6" t="s">
        <v>10</v>
      </c>
      <c r="M1" s="6" t="s">
        <v>10</v>
      </c>
      <c r="N1" s="6" t="s">
        <v>10</v>
      </c>
      <c r="O1" s="6" t="s">
        <v>10</v>
      </c>
      <c r="P1" s="6" t="s">
        <v>10</v>
      </c>
      <c r="Q1" s="6" t="s">
        <v>10</v>
      </c>
      <c r="R1" s="6" t="s">
        <v>10</v>
      </c>
      <c r="S1" s="6" t="s">
        <v>10</v>
      </c>
      <c r="T1" s="6" t="s">
        <v>10</v>
      </c>
      <c r="U1" s="6" t="s">
        <v>10</v>
      </c>
      <c r="V1" s="6" t="s">
        <v>10</v>
      </c>
      <c r="W1" s="6" t="s">
        <v>10</v>
      </c>
      <c r="X1" s="6" t="s">
        <v>10</v>
      </c>
      <c r="Y1" s="6" t="s">
        <v>10</v>
      </c>
      <c r="Z1" s="6" t="s">
        <v>10</v>
      </c>
      <c r="AA1" s="6" t="s">
        <v>10</v>
      </c>
      <c r="AB1" s="6" t="s">
        <v>10</v>
      </c>
      <c r="AC1" s="6" t="s">
        <v>10</v>
      </c>
      <c r="AD1" s="6" t="s">
        <v>10</v>
      </c>
      <c r="AE1" s="6" t="s">
        <v>10</v>
      </c>
      <c r="AF1" s="6" t="s">
        <v>10</v>
      </c>
      <c r="AG1" s="6" t="s">
        <v>10</v>
      </c>
      <c r="AH1" s="6" t="s">
        <v>10</v>
      </c>
      <c r="AI1" s="6" t="s">
        <v>10</v>
      </c>
      <c r="AJ1" s="6" t="s">
        <v>10</v>
      </c>
      <c r="AK1" s="6" t="s">
        <v>10</v>
      </c>
      <c r="AL1" s="6" t="s">
        <v>10</v>
      </c>
      <c r="AM1" s="6" t="s">
        <v>0</v>
      </c>
      <c r="AN1" s="6" t="s">
        <v>10</v>
      </c>
      <c r="AO1" s="6" t="s">
        <v>0</v>
      </c>
      <c r="AP1" s="6" t="s">
        <v>0</v>
      </c>
      <c r="AQ1" s="6" t="s">
        <v>0</v>
      </c>
      <c r="AR1" s="6" t="s">
        <v>10</v>
      </c>
      <c r="AS1" s="6" t="s">
        <v>10</v>
      </c>
      <c r="AT1" s="6" t="s">
        <v>45</v>
      </c>
      <c r="AU1" s="6" t="s">
        <v>10</v>
      </c>
      <c r="AV1" s="6" t="s">
        <v>9</v>
      </c>
      <c r="AW1" s="6" t="s">
        <v>9</v>
      </c>
      <c r="AX1" s="6" t="s">
        <v>9</v>
      </c>
      <c r="AY1" s="1" t="s">
        <v>11</v>
      </c>
      <c r="AZ1" s="19" t="s">
        <v>19</v>
      </c>
    </row>
    <row r="2" spans="1:52" s="2" customFormat="1" ht="72.75" customHeight="1">
      <c r="A2" s="13" t="s">
        <v>35</v>
      </c>
      <c r="D2" s="34" t="s">
        <v>115</v>
      </c>
      <c r="H2" s="5" t="s">
        <v>2</v>
      </c>
      <c r="I2"/>
      <c r="J2" s="6" t="s">
        <v>27</v>
      </c>
      <c r="K2" s="6" t="s">
        <v>14</v>
      </c>
      <c r="L2" s="6" t="s">
        <v>14</v>
      </c>
      <c r="M2" s="6" t="s">
        <v>50</v>
      </c>
      <c r="N2" s="6" t="s">
        <v>50</v>
      </c>
      <c r="O2" s="6" t="s">
        <v>50</v>
      </c>
      <c r="P2" s="6" t="s">
        <v>15</v>
      </c>
      <c r="Q2" s="6" t="s">
        <v>15</v>
      </c>
      <c r="R2" s="6" t="s">
        <v>15</v>
      </c>
      <c r="S2" s="6" t="s">
        <v>20</v>
      </c>
      <c r="T2" s="6" t="s">
        <v>13</v>
      </c>
      <c r="U2" s="6" t="s">
        <v>23</v>
      </c>
      <c r="V2" s="6" t="s">
        <v>26</v>
      </c>
      <c r="W2" s="6" t="s">
        <v>26</v>
      </c>
      <c r="X2" s="6" t="s">
        <v>26</v>
      </c>
      <c r="Y2" s="6" t="s">
        <v>25</v>
      </c>
      <c r="Z2" s="6" t="s">
        <v>24</v>
      </c>
      <c r="AA2" s="6" t="s">
        <v>22</v>
      </c>
      <c r="AB2" s="6" t="s">
        <v>30</v>
      </c>
      <c r="AC2" s="6" t="s">
        <v>31</v>
      </c>
      <c r="AD2" s="6" t="s">
        <v>51</v>
      </c>
      <c r="AE2" s="6" t="s">
        <v>51</v>
      </c>
      <c r="AF2" s="6" t="s">
        <v>51</v>
      </c>
      <c r="AG2" s="6" t="s">
        <v>53</v>
      </c>
      <c r="AH2" s="6" t="s">
        <v>53</v>
      </c>
      <c r="AI2" s="6" t="s">
        <v>53</v>
      </c>
      <c r="AJ2" s="6" t="s">
        <v>17</v>
      </c>
      <c r="AK2" s="6" t="s">
        <v>18</v>
      </c>
      <c r="AL2" s="6" t="s">
        <v>39</v>
      </c>
      <c r="AM2" s="6" t="s">
        <v>41</v>
      </c>
      <c r="AN2" s="6" t="s">
        <v>38</v>
      </c>
      <c r="AO2" s="6" t="s">
        <v>44</v>
      </c>
      <c r="AP2" s="6" t="s">
        <v>42</v>
      </c>
      <c r="AQ2" s="6" t="s">
        <v>43</v>
      </c>
      <c r="AR2" s="6" t="s">
        <v>40</v>
      </c>
      <c r="AS2" s="6" t="s">
        <v>40</v>
      </c>
      <c r="AT2" s="6" t="s">
        <v>46</v>
      </c>
      <c r="AU2" s="6" t="s">
        <v>16</v>
      </c>
      <c r="AV2" s="6"/>
      <c r="AW2" s="6"/>
      <c r="AX2" s="6"/>
      <c r="AZ2" s="15"/>
    </row>
    <row r="3" spans="1:52" s="2" customFormat="1" ht="42.6" customHeight="1">
      <c r="D3" s="34" t="s">
        <v>115</v>
      </c>
      <c r="H3" s="5" t="s">
        <v>3</v>
      </c>
      <c r="I3"/>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Z3" s="15"/>
    </row>
    <row r="4" spans="1:52" s="2" customFormat="1" ht="42.6" customHeight="1">
      <c r="A4" s="12" t="s">
        <v>34</v>
      </c>
      <c r="B4" s="10" t="str">
        <f>"Trial Number
("&amp;COUNT(B$5:B$40)-1&amp;")"</f>
        <v>Trial Number
(34)</v>
      </c>
      <c r="C4" s="10" t="s">
        <v>119</v>
      </c>
      <c r="D4" s="10" t="s">
        <v>114</v>
      </c>
      <c r="E4" s="10" t="str">
        <f>"Run Trials
("&amp;COUNTIFS(E$5:E$40,TRUE)&amp;")"</f>
        <v>Run Trials
(33)</v>
      </c>
      <c r="F4" s="16" t="str">
        <f>"Full output
("&amp;TEXT(COUNTIFS($E$5:$E$40,TRUE,F$5:F$40,TRUE)/COUNTIFS($E$5:$E$40,TRUE),"0%)")</f>
        <v>Full output
(0%)</v>
      </c>
      <c r="G4" s="10" t="str">
        <f>"Report
("&amp;TEXT(COUNTIFS(G$5:G$40,TRUE)/COUNTA(G$5:G$40),"0%)")</f>
        <v>Report
(89%)</v>
      </c>
      <c r="H4" s="5" t="s">
        <v>4</v>
      </c>
      <c r="I4" s="24" t="str">
        <f ca="1">IF(COUNTIFS(I$5:I$40,"Dup")&gt;0,"Dup","")</f>
        <v/>
      </c>
      <c r="J4" s="7"/>
      <c r="K4" s="7" t="s">
        <v>6</v>
      </c>
      <c r="L4" s="7" t="s">
        <v>7</v>
      </c>
      <c r="M4" s="7" t="s">
        <v>6</v>
      </c>
      <c r="N4" s="7" t="s">
        <v>7</v>
      </c>
      <c r="O4" s="7" t="s">
        <v>8</v>
      </c>
      <c r="P4" s="7" t="s">
        <v>6</v>
      </c>
      <c r="Q4" s="7" t="s">
        <v>7</v>
      </c>
      <c r="R4" s="7" t="s">
        <v>8</v>
      </c>
      <c r="S4" s="7" t="s">
        <v>21</v>
      </c>
      <c r="T4" s="7"/>
      <c r="U4" s="7" t="s">
        <v>47</v>
      </c>
      <c r="V4" s="7" t="s">
        <v>47</v>
      </c>
      <c r="W4" s="7" t="s">
        <v>32</v>
      </c>
      <c r="X4" s="7" t="s">
        <v>33</v>
      </c>
      <c r="Y4" s="7" t="s">
        <v>47</v>
      </c>
      <c r="Z4" s="7" t="s">
        <v>47</v>
      </c>
      <c r="AA4" s="7"/>
      <c r="AB4" s="7"/>
      <c r="AC4" s="7"/>
      <c r="AD4" s="7" t="s">
        <v>6</v>
      </c>
      <c r="AE4" s="7" t="s">
        <v>7</v>
      </c>
      <c r="AF4" s="7" t="s">
        <v>8</v>
      </c>
      <c r="AG4" s="7" t="s">
        <v>6</v>
      </c>
      <c r="AH4" s="7" t="s">
        <v>7</v>
      </c>
      <c r="AI4" s="7" t="s">
        <v>8</v>
      </c>
      <c r="AJ4" s="7"/>
      <c r="AK4" s="7"/>
      <c r="AL4" s="7"/>
      <c r="AM4" s="7" t="s">
        <v>32</v>
      </c>
      <c r="AN4" s="7"/>
      <c r="AO4" s="7"/>
      <c r="AP4" s="7"/>
      <c r="AQ4" s="7"/>
      <c r="AR4" s="7" t="s">
        <v>48</v>
      </c>
      <c r="AS4" s="7" t="s">
        <v>49</v>
      </c>
      <c r="AT4" s="7"/>
      <c r="AU4" s="7"/>
      <c r="AV4" s="7"/>
      <c r="AW4" s="7"/>
      <c r="AX4" s="7"/>
      <c r="AY4" s="11"/>
      <c r="AZ4" s="15"/>
    </row>
    <row r="5" spans="1:52">
      <c r="A5" s="17"/>
      <c r="B5">
        <f>ROW(B5)-5</f>
        <v>0</v>
      </c>
      <c r="D5">
        <v>0</v>
      </c>
      <c r="E5" t="b">
        <v>1</v>
      </c>
      <c r="F5" t="b">
        <v>0</v>
      </c>
      <c r="G5" t="b">
        <v>0</v>
      </c>
      <c r="H5" s="3" t="s">
        <v>5</v>
      </c>
      <c r="J5" s="8" t="str" cm="1">
        <f t="array" ref="J5">_xlfn.IFS(OR(J1="sam",J1="sai"),1,J1="sav","-",OR(J1="sap",J1="saa"),0,J1="sar",0)</f>
        <v>-</v>
      </c>
      <c r="K5" s="8" t="str" cm="1">
        <f t="array" ref="K5">_xlfn.IFS(OR(K1="sam",K1="sai"),1,K1="sav","-",OR(K1="sap",K1="saa"),0,K1="sar",0)</f>
        <v>-</v>
      </c>
      <c r="L5" s="8" t="str" cm="1">
        <f t="array" ref="L5">_xlfn.IFS(OR(L1="sam",L1="sai"),1,L1="sav","-",OR(L1="sap",L1="saa"),0,L1="sar",0)</f>
        <v>-</v>
      </c>
      <c r="M5" s="8" t="str" cm="1">
        <f t="array" ref="M5">_xlfn.IFS(OR(M1="sam",M1="sai"),1,M1="sav","-",OR(M1="sap",M1="saa"),0,M1="sar",0)</f>
        <v>-</v>
      </c>
      <c r="N5" s="8" t="str" cm="1">
        <f t="array" ref="N5">_xlfn.IFS(OR(N1="sam",N1="sai"),1,N1="sav","-",OR(N1="sap",N1="saa"),0,N1="sar",0)</f>
        <v>-</v>
      </c>
      <c r="O5" s="8" t="str" cm="1">
        <f t="array" ref="O5">_xlfn.IFS(OR(O1="sam",O1="sai"),1,O1="sav","-",OR(O1="sap",O1="saa"),0,O1="sar",0)</f>
        <v>-</v>
      </c>
      <c r="P5" s="8" t="str" cm="1">
        <f t="array" ref="P5">_xlfn.IFS(OR(P1="sam",P1="sai"),1,P1="sav","-",OR(P1="sap",P1="saa"),0,P1="sar",0)</f>
        <v>-</v>
      </c>
      <c r="Q5" s="8" t="str" cm="1">
        <f t="array" ref="Q5">_xlfn.IFS(OR(Q1="sam",Q1="sai"),1,Q1="sav","-",OR(Q1="sap",Q1="saa"),0,Q1="sar",0)</f>
        <v>-</v>
      </c>
      <c r="R5" s="8" t="str" cm="1">
        <f t="array" ref="R5">_xlfn.IFS(OR(R1="sam",R1="sai"),1,R1="sav","-",OR(R1="sap",R1="saa"),0,R1="sar",0)</f>
        <v>-</v>
      </c>
      <c r="S5" s="8" t="str" cm="1">
        <f t="array" ref="S5">_xlfn.IFS(OR(S1="sam",S1="sai"),1,S1="sav","-",OR(S1="sap",S1="saa"),0,S1="sar",0)</f>
        <v>-</v>
      </c>
      <c r="T5" s="8" t="str" cm="1">
        <f t="array" ref="T5">_xlfn.IFS(OR(T1="sam",T1="sai"),1,T1="sav","-",OR(T1="sap",T1="saa"),0,T1="sar",0)</f>
        <v>-</v>
      </c>
      <c r="U5" s="8" t="str" cm="1">
        <f t="array" ref="U5">_xlfn.IFS(OR(U1="sam",U1="sai"),1,U1="sav","-",OR(U1="sap",U1="saa"),0,U1="sar",0)</f>
        <v>-</v>
      </c>
      <c r="V5" s="8" t="str" cm="1">
        <f t="array" ref="V5">_xlfn.IFS(OR(V1="sam",V1="sai"),1,V1="sav","-",OR(V1="sap",V1="saa"),0,V1="sar",0)</f>
        <v>-</v>
      </c>
      <c r="W5" s="8" t="str" cm="1">
        <f t="array" ref="W5">_xlfn.IFS(OR(W1="sam",W1="sai"),1,W1="sav","-",OR(W1="sap",W1="saa"),0,W1="sar",0)</f>
        <v>-</v>
      </c>
      <c r="X5" s="8" t="str" cm="1">
        <f t="array" ref="X5">_xlfn.IFS(OR(X1="sam",X1="sai"),1,X1="sav","-",OR(X1="sap",X1="saa"),0,X1="sar",0)</f>
        <v>-</v>
      </c>
      <c r="Y5" s="8" t="str" cm="1">
        <f t="array" ref="Y5">_xlfn.IFS(OR(Y1="sam",Y1="sai"),1,Y1="sav","-",OR(Y1="sap",Y1="saa"),0,Y1="sar",0)</f>
        <v>-</v>
      </c>
      <c r="Z5" s="8" t="str" cm="1">
        <f t="array" ref="Z5">_xlfn.IFS(OR(Z1="sam",Z1="sai"),1,Z1="sav","-",OR(Z1="sap",Z1="saa"),0,Z1="sar",0)</f>
        <v>-</v>
      </c>
      <c r="AA5" s="8" t="str" cm="1">
        <f t="array" ref="AA5">_xlfn.IFS(OR(AA1="sam",AA1="sai"),1,AA1="sav","-",OR(AA1="sap",AA1="saa"),0,AA1="sar",0)</f>
        <v>-</v>
      </c>
      <c r="AB5" s="8" t="str" cm="1">
        <f t="array" ref="AB5">_xlfn.IFS(OR(AB1="sam",AB1="sai"),1,AB1="sav","-",OR(AB1="sap",AB1="saa"),0,AB1="sar",0)</f>
        <v>-</v>
      </c>
      <c r="AC5" s="8" t="str" cm="1">
        <f t="array" ref="AC5">_xlfn.IFS(OR(AC1="sam",AC1="sai"),1,AC1="sav","-",OR(AC1="sap",AC1="saa"),0,AC1="sar",0)</f>
        <v>-</v>
      </c>
      <c r="AD5" s="8" t="str" cm="1">
        <f t="array" ref="AD5">_xlfn.IFS(OR(AD1="sam",AD1="sai"),1,AD1="sav","-",OR(AD1="sap",AD1="saa"),0,AD1="sar",0)</f>
        <v>-</v>
      </c>
      <c r="AE5" s="8" t="str" cm="1">
        <f t="array" ref="AE5">_xlfn.IFS(OR(AE1="sam",AE1="sai"),1,AE1="sav","-",OR(AE1="sap",AE1="saa"),0,AE1="sar",0)</f>
        <v>-</v>
      </c>
      <c r="AF5" s="8" t="str" cm="1">
        <f t="array" ref="AF5">_xlfn.IFS(OR(AF1="sam",AF1="sai"),1,AF1="sav","-",OR(AF1="sap",AF1="saa"),0,AF1="sar",0)</f>
        <v>-</v>
      </c>
      <c r="AG5" s="8" t="s">
        <v>52</v>
      </c>
      <c r="AH5" s="8" t="s">
        <v>52</v>
      </c>
      <c r="AI5" s="8" t="s">
        <v>52</v>
      </c>
      <c r="AJ5" s="8" t="str" cm="1">
        <f t="array" ref="AJ5">_xlfn.IFS(OR(AJ1="sam",AJ1="sai"),1,AJ1="sav","-",OR(AJ1="sap",AJ1="saa"),0,AJ1="sar",0)</f>
        <v>-</v>
      </c>
      <c r="AK5" s="8" t="str" cm="1">
        <f t="array" ref="AK5">_xlfn.IFS(OR(AK1="sam",AK1="sai"),1,AK1="sav","-",OR(AK1="sap",AK1="saa"),0,AK1="sar",0)</f>
        <v>-</v>
      </c>
      <c r="AL5" s="8" t="str" cm="1">
        <f t="array" ref="AL5">_xlfn.IFS(OR(AL1="sam",AL1="sai"),1,AL1="sav","-",OR(AL1="sap",AL1="saa"),0,AL1="sar",0)</f>
        <v>-</v>
      </c>
      <c r="AM5" s="8" cm="1">
        <f t="array" ref="AM5">_xlfn.IFS(OR(AM1="sam",AM1="sai"),1,AM1="sav","-",OR(AM1="sap",AM1="saa"),0,AM1="sar",0)</f>
        <v>1</v>
      </c>
      <c r="AN5" s="8" t="str" cm="1">
        <f t="array" ref="AN5">_xlfn.IFS(OR(AN1="sam",AN1="sai"),1,AN1="sav","-",OR(AN1="sap",AN1="saa"),0,AN1="sar",0)</f>
        <v>-</v>
      </c>
      <c r="AO5" s="8" cm="1">
        <f t="array" ref="AO5">_xlfn.IFS(OR(AO1="sam",AO1="sai"),1,AO1="sav","-",OR(AO1="sap",AO1="saa"),0,AO1="sar",0)</f>
        <v>1</v>
      </c>
      <c r="AP5" s="8" cm="1">
        <f t="array" ref="AP5">_xlfn.IFS(OR(AP1="sam",AP1="sai"),1,AP1="sav","-",OR(AP1="sap",AP1="saa"),0,AP1="sar",0)</f>
        <v>1</v>
      </c>
      <c r="AQ5" s="8" cm="1">
        <f t="array" ref="AQ5">_xlfn.IFS(OR(AQ1="sam",AQ1="sai"),1,AQ1="sav","-",OR(AQ1="sap",AQ1="saa"),0,AQ1="sar",0)</f>
        <v>1</v>
      </c>
      <c r="AR5" s="8" t="str" cm="1">
        <f t="array" ref="AR5">_xlfn.IFS(OR(AR1="sam",AR1="sai"),1,AR1="sav","-",OR(AR1="sap",AR1="saa"),0,AR1="sar",0)</f>
        <v>-</v>
      </c>
      <c r="AS5" s="8" t="str" cm="1">
        <f t="array" ref="AS5">_xlfn.IFS(OR(AS1="sam",AS1="sai"),1,AS1="sav","-",OR(AS1="sap",AS1="saa"),0,AS1="sar",0)</f>
        <v>-</v>
      </c>
      <c r="AT5" s="8" cm="1">
        <f t="array" ref="AT5">_xlfn.IFS(OR(AT1="sam",AT1="sai"),1,AT1="sav","-",OR(AT1="sap",AT1="saa"),0,AT1="sar",0)</f>
        <v>0</v>
      </c>
      <c r="AU5" s="8" t="str" cm="1">
        <f t="array" ref="AU5">_xlfn.IFS(OR(AU1="sam",AU1="sai"),1,AU1="sav","-",OR(AU1="sap",AU1="saa"),0,AU1="sar",0)</f>
        <v>-</v>
      </c>
      <c r="AV5" s="8" cm="1">
        <f t="array" ref="AV5">_xlfn.IFS(OR(AV1="sam",AV1="sai"),1,AV1="sav","-",OR(AV1="sap",AV1="saa"),0,AV1="sar",0)</f>
        <v>0</v>
      </c>
      <c r="AW5" s="8" cm="1">
        <f t="array" ref="AW5">_xlfn.IFS(OR(AW1="sam",AW1="sai"),1,AW1="sav","-",OR(AW1="sap",AW1="saa"),0,AW1="sar",0)</f>
        <v>0</v>
      </c>
      <c r="AX5" s="8" cm="1">
        <f t="array" ref="AX5">_xlfn.IFS(OR(AX1="sam",AX1="sai"),1,AX1="sav","-",OR(AX1="sap",AX1="saa"),0,AX1="sar",0)</f>
        <v>0</v>
      </c>
      <c r="AY5" s="8" cm="1">
        <f t="array" ref="AY5">_xlfn.IFS(OR(AY1="sam",AY1="sai"),1,AY1="sav","-",OR(AY1="sap",AY1="saa"),0,AY1="sar",0)</f>
        <v>0</v>
      </c>
      <c r="AZ5" s="14"/>
    </row>
    <row r="6" spans="1:52">
      <c r="A6" s="17"/>
      <c r="B6">
        <f>ROW(B6)-5</f>
        <v>1</v>
      </c>
      <c r="D6">
        <v>0</v>
      </c>
      <c r="E6" t="b">
        <v>1</v>
      </c>
      <c r="F6" t="b">
        <v>0</v>
      </c>
      <c r="G6" t="b">
        <v>0</v>
      </c>
      <c r="H6" s="3" t="s">
        <v>37</v>
      </c>
      <c r="I6" s="21" t="str">
        <f>IF(MATCH(H6,H$5:H6,0)=(COUNTA(H$5:H6)),"-","Dup")</f>
        <v>-</v>
      </c>
      <c r="J6" s="25" t="str">
        <f>J$5</f>
        <v>-</v>
      </c>
      <c r="K6" s="26" t="b">
        <v>0</v>
      </c>
      <c r="L6" s="26" t="b">
        <v>1</v>
      </c>
      <c r="M6" s="25" t="str">
        <f t="shared" ref="M6:O6" si="0">M$5</f>
        <v>-</v>
      </c>
      <c r="N6" s="25" t="str">
        <f t="shared" si="0"/>
        <v>-</v>
      </c>
      <c r="O6" s="25" t="str">
        <f t="shared" si="0"/>
        <v>-</v>
      </c>
      <c r="P6" s="25" t="str">
        <f t="shared" ref="P6:AY6" si="1">P$5</f>
        <v>-</v>
      </c>
      <c r="Q6" s="25" t="str">
        <f t="shared" si="1"/>
        <v>-</v>
      </c>
      <c r="R6" s="25" t="str">
        <f t="shared" si="1"/>
        <v>-</v>
      </c>
      <c r="S6" s="25" t="str">
        <f t="shared" si="1"/>
        <v>-</v>
      </c>
      <c r="T6" s="25" t="str">
        <f t="shared" si="1"/>
        <v>-</v>
      </c>
      <c r="U6" s="25">
        <v>0</v>
      </c>
      <c r="V6" s="25">
        <v>1</v>
      </c>
      <c r="W6" s="25" t="str">
        <f t="shared" si="1"/>
        <v>-</v>
      </c>
      <c r="X6" s="25" t="str">
        <f t="shared" si="1"/>
        <v>-</v>
      </c>
      <c r="Y6" s="25">
        <v>0</v>
      </c>
      <c r="Z6" s="25">
        <v>1</v>
      </c>
      <c r="AA6" s="25" t="str">
        <f>AA$5</f>
        <v>-</v>
      </c>
      <c r="AB6" s="25" t="str">
        <f>AB$5</f>
        <v>-</v>
      </c>
      <c r="AC6" s="25" t="str">
        <f>AC$5</f>
        <v>-</v>
      </c>
      <c r="AD6" s="25" t="str">
        <f>AD$5</f>
        <v>-</v>
      </c>
      <c r="AE6" s="25" t="str">
        <f>AE$5</f>
        <v>-</v>
      </c>
      <c r="AF6" s="25" t="str">
        <f>AF$5</f>
        <v>-</v>
      </c>
      <c r="AG6" s="25" t="str">
        <f>AG$5</f>
        <v>-</v>
      </c>
      <c r="AH6" s="25" t="str">
        <f>AH$5</f>
        <v>-</v>
      </c>
      <c r="AI6" s="25" t="str">
        <f>AI$5</f>
        <v>-</v>
      </c>
      <c r="AJ6" s="25" t="str">
        <f>AJ$5</f>
        <v>-</v>
      </c>
      <c r="AK6" s="25" t="str">
        <f>AK$5</f>
        <v>-</v>
      </c>
      <c r="AL6" s="25" t="str">
        <f>AL$5</f>
        <v>-</v>
      </c>
      <c r="AM6" s="25">
        <f>AM$5</f>
        <v>1</v>
      </c>
      <c r="AN6" s="25" t="str">
        <f>AN$5</f>
        <v>-</v>
      </c>
      <c r="AO6" s="25">
        <f>AO$5</f>
        <v>1</v>
      </c>
      <c r="AP6" s="25">
        <f>AP$5</f>
        <v>1</v>
      </c>
      <c r="AQ6" s="25">
        <f>AQ$5</f>
        <v>1</v>
      </c>
      <c r="AR6" s="25" t="str">
        <f>AR$5</f>
        <v>-</v>
      </c>
      <c r="AS6" s="25" t="str">
        <f>AS$5</f>
        <v>-</v>
      </c>
      <c r="AT6" s="25">
        <f>AT$5</f>
        <v>0</v>
      </c>
      <c r="AU6" s="25" t="str">
        <f t="shared" si="1"/>
        <v>-</v>
      </c>
      <c r="AV6" s="25">
        <f t="shared" si="1"/>
        <v>0</v>
      </c>
      <c r="AW6" s="25">
        <f t="shared" si="1"/>
        <v>0</v>
      </c>
      <c r="AX6" s="25">
        <f t="shared" si="1"/>
        <v>0</v>
      </c>
      <c r="AY6" s="25">
        <f t="shared" si="1"/>
        <v>0</v>
      </c>
      <c r="AZ6" s="14"/>
    </row>
    <row r="7" spans="1:52">
      <c r="A7" s="17"/>
      <c r="B7">
        <f>ROW(B7)-5</f>
        <v>2</v>
      </c>
      <c r="D7">
        <v>0</v>
      </c>
      <c r="E7" t="b">
        <v>0</v>
      </c>
      <c r="F7" t="b">
        <v>0</v>
      </c>
      <c r="G7" t="b">
        <v>0</v>
      </c>
      <c r="H7" s="3" t="s">
        <v>28</v>
      </c>
      <c r="I7" s="21" t="str">
        <f>IF(MATCH(H7,H$5:H7,0)=(COUNTA(H$5:H7)),"-","Dup")</f>
        <v>-</v>
      </c>
      <c r="J7" s="35" t="b">
        <v>1</v>
      </c>
      <c r="K7" s="27" t="b">
        <f t="shared" ref="K7:AY7" si="2">K$6</f>
        <v>0</v>
      </c>
      <c r="L7" s="27" t="b">
        <f t="shared" si="2"/>
        <v>1</v>
      </c>
      <c r="M7" s="27" t="str">
        <f t="shared" si="2"/>
        <v>-</v>
      </c>
      <c r="N7" s="27" t="str">
        <f t="shared" si="2"/>
        <v>-</v>
      </c>
      <c r="O7" s="27" t="str">
        <f t="shared" si="2"/>
        <v>-</v>
      </c>
      <c r="P7" s="27" t="str">
        <f t="shared" si="2"/>
        <v>-</v>
      </c>
      <c r="Q7" s="27" t="str">
        <f t="shared" si="2"/>
        <v>-</v>
      </c>
      <c r="R7" s="27" t="str">
        <f t="shared" si="2"/>
        <v>-</v>
      </c>
      <c r="S7" s="27" t="str">
        <f t="shared" si="2"/>
        <v>-</v>
      </c>
      <c r="T7" s="27" t="str">
        <f t="shared" si="2"/>
        <v>-</v>
      </c>
      <c r="U7" s="27">
        <f t="shared" si="2"/>
        <v>0</v>
      </c>
      <c r="V7" s="27">
        <f t="shared" si="2"/>
        <v>1</v>
      </c>
      <c r="W7" s="27" t="str">
        <f t="shared" si="2"/>
        <v>-</v>
      </c>
      <c r="X7" s="27" t="str">
        <f t="shared" si="2"/>
        <v>-</v>
      </c>
      <c r="Y7" s="27">
        <f t="shared" si="2"/>
        <v>0</v>
      </c>
      <c r="Z7" s="27">
        <f t="shared" si="2"/>
        <v>1</v>
      </c>
      <c r="AA7" s="27" t="str">
        <f>AA$6</f>
        <v>-</v>
      </c>
      <c r="AB7" s="27" t="str">
        <f>AB$6</f>
        <v>-</v>
      </c>
      <c r="AC7" s="27" t="str">
        <f>AC$6</f>
        <v>-</v>
      </c>
      <c r="AD7" s="27" t="str">
        <f>AD$6</f>
        <v>-</v>
      </c>
      <c r="AE7" s="27" t="str">
        <f>AE$6</f>
        <v>-</v>
      </c>
      <c r="AF7" s="27" t="str">
        <f>AF$6</f>
        <v>-</v>
      </c>
      <c r="AG7" s="27" t="str">
        <f>AG$6</f>
        <v>-</v>
      </c>
      <c r="AH7" s="27" t="str">
        <f>AH$6</f>
        <v>-</v>
      </c>
      <c r="AI7" s="27" t="str">
        <f>AI$6</f>
        <v>-</v>
      </c>
      <c r="AJ7" s="27" t="str">
        <f>AJ$6</f>
        <v>-</v>
      </c>
      <c r="AK7" s="27" t="str">
        <f>AK$6</f>
        <v>-</v>
      </c>
      <c r="AL7" s="27" t="str">
        <f>AL$6</f>
        <v>-</v>
      </c>
      <c r="AM7" s="27">
        <f>AM$6</f>
        <v>1</v>
      </c>
      <c r="AN7" s="27" t="str">
        <f>AN$6</f>
        <v>-</v>
      </c>
      <c r="AO7" s="27">
        <f>AO$6</f>
        <v>1</v>
      </c>
      <c r="AP7" s="27">
        <f>AP$6</f>
        <v>1</v>
      </c>
      <c r="AQ7" s="27">
        <f>AQ$6</f>
        <v>1</v>
      </c>
      <c r="AR7" s="27" t="str">
        <f>AR$6</f>
        <v>-</v>
      </c>
      <c r="AS7" s="27" t="str">
        <f>AS$6</f>
        <v>-</v>
      </c>
      <c r="AT7" s="27">
        <f>AT$6</f>
        <v>0</v>
      </c>
      <c r="AU7" s="27" t="str">
        <f t="shared" si="2"/>
        <v>-</v>
      </c>
      <c r="AV7" s="27">
        <f t="shared" si="2"/>
        <v>0</v>
      </c>
      <c r="AW7" s="27">
        <f t="shared" si="2"/>
        <v>0</v>
      </c>
      <c r="AX7" s="27">
        <f t="shared" si="2"/>
        <v>0</v>
      </c>
      <c r="AY7" s="27">
        <f t="shared" si="2"/>
        <v>0</v>
      </c>
      <c r="AZ7" s="14"/>
    </row>
    <row r="8" spans="1:52">
      <c r="A8" s="17"/>
      <c r="E8" t="b">
        <v>0</v>
      </c>
      <c r="F8" s="28"/>
      <c r="G8" s="28"/>
      <c r="H8" s="23" t="s">
        <v>54</v>
      </c>
      <c r="I8" s="21" t="str">
        <f>IF(MATCH(H8,H$5:H8,0)=(COUNTA(H$5:H8)),"-","Dup")</f>
        <v>-</v>
      </c>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14"/>
    </row>
    <row r="9" spans="1:52">
      <c r="A9" s="17"/>
      <c r="B9">
        <f>ROW(B9)-5</f>
        <v>4</v>
      </c>
      <c r="D9">
        <v>0</v>
      </c>
      <c r="E9" t="b">
        <v>1</v>
      </c>
      <c r="F9" t="b">
        <v>0</v>
      </c>
      <c r="G9" t="b">
        <v>1</v>
      </c>
      <c r="H9" s="3" t="s">
        <v>120</v>
      </c>
      <c r="I9" s="21" t="str">
        <f>IF(MATCH(H9,H$5:H9,0)=(COUNTA(H$5:H9)),"-","Dup")</f>
        <v>-</v>
      </c>
      <c r="J9" s="27" t="str">
        <f t="shared" ref="J9:L9" si="3">J$6</f>
        <v>-</v>
      </c>
      <c r="K9" s="27" t="b">
        <f t="shared" si="3"/>
        <v>0</v>
      </c>
      <c r="L9" s="27" t="b">
        <f t="shared" si="3"/>
        <v>1</v>
      </c>
      <c r="M9" s="27" t="str">
        <f t="shared" ref="M9" si="4">M$6</f>
        <v>-</v>
      </c>
      <c r="N9" s="27" t="str">
        <f t="shared" ref="N9:AY9" si="5">N$6</f>
        <v>-</v>
      </c>
      <c r="O9" s="27" t="str">
        <f t="shared" si="5"/>
        <v>-</v>
      </c>
      <c r="P9" s="27" t="str">
        <f t="shared" si="5"/>
        <v>-</v>
      </c>
      <c r="Q9" s="27" t="str">
        <f t="shared" si="5"/>
        <v>-</v>
      </c>
      <c r="R9" s="27" t="str">
        <f t="shared" si="5"/>
        <v>-</v>
      </c>
      <c r="S9" s="27" t="str">
        <f t="shared" si="5"/>
        <v>-</v>
      </c>
      <c r="T9" s="27" t="str">
        <f t="shared" si="5"/>
        <v>-</v>
      </c>
      <c r="U9" s="27">
        <f t="shared" ref="U9:Z9" si="6">U$6</f>
        <v>0</v>
      </c>
      <c r="V9" s="27">
        <f t="shared" si="6"/>
        <v>1</v>
      </c>
      <c r="W9" s="27" t="str">
        <f t="shared" si="6"/>
        <v>-</v>
      </c>
      <c r="X9" s="27" t="str">
        <f t="shared" si="6"/>
        <v>-</v>
      </c>
      <c r="Y9" s="27">
        <f t="shared" si="6"/>
        <v>0</v>
      </c>
      <c r="Z9" s="27">
        <f t="shared" si="6"/>
        <v>1</v>
      </c>
      <c r="AA9" s="27" t="str">
        <f>AA$6</f>
        <v>-</v>
      </c>
      <c r="AB9" s="27" t="str">
        <f>AB$6</f>
        <v>-</v>
      </c>
      <c r="AC9" s="27" t="str">
        <f>AC$6</f>
        <v>-</v>
      </c>
      <c r="AD9" s="27" t="str">
        <f>AD$6</f>
        <v>-</v>
      </c>
      <c r="AE9" s="27" t="str">
        <f>AE$6</f>
        <v>-</v>
      </c>
      <c r="AF9" s="27" t="str">
        <f>AF$6</f>
        <v>-</v>
      </c>
      <c r="AG9" s="27" t="str">
        <f>AG$6</f>
        <v>-</v>
      </c>
      <c r="AH9" s="27" t="str">
        <f>AH$6</f>
        <v>-</v>
      </c>
      <c r="AI9" s="27" t="str">
        <f>AI$6</f>
        <v>-</v>
      </c>
      <c r="AJ9" s="27" t="str">
        <f>AJ$6</f>
        <v>-</v>
      </c>
      <c r="AK9" s="27" t="str">
        <f>AK$6</f>
        <v>-</v>
      </c>
      <c r="AL9" s="36">
        <v>57</v>
      </c>
      <c r="AM9" s="36">
        <v>1.1499999999999999</v>
      </c>
      <c r="AN9" s="36" t="str">
        <f>AN$6</f>
        <v>-</v>
      </c>
      <c r="AO9" s="36">
        <v>1.1000000000000001</v>
      </c>
      <c r="AP9" s="27">
        <f>AP$6</f>
        <v>1</v>
      </c>
      <c r="AQ9" s="27">
        <f>AQ$6</f>
        <v>1</v>
      </c>
      <c r="AR9" s="27" t="str">
        <f>AR$6</f>
        <v>-</v>
      </c>
      <c r="AS9" s="27" t="str">
        <f>AS$6</f>
        <v>-</v>
      </c>
      <c r="AT9" s="27">
        <f>AT$6</f>
        <v>0</v>
      </c>
      <c r="AU9" s="27" t="str">
        <f t="shared" si="5"/>
        <v>-</v>
      </c>
      <c r="AV9" s="27">
        <f t="shared" si="5"/>
        <v>0</v>
      </c>
      <c r="AW9" s="27">
        <f t="shared" si="5"/>
        <v>0</v>
      </c>
      <c r="AX9" s="27">
        <f t="shared" si="5"/>
        <v>0</v>
      </c>
      <c r="AY9" s="27">
        <f t="shared" si="5"/>
        <v>0</v>
      </c>
      <c r="AZ9" s="14"/>
    </row>
    <row r="10" spans="1:52">
      <c r="A10" s="17"/>
      <c r="B10">
        <f t="shared" ref="B10:B39" si="7">ROW(B10)-5</f>
        <v>5</v>
      </c>
      <c r="C10" s="37">
        <f>$B$9</f>
        <v>4</v>
      </c>
      <c r="D10">
        <v>0</v>
      </c>
      <c r="E10" t="b">
        <v>1</v>
      </c>
      <c r="F10" t="b">
        <v>0</v>
      </c>
      <c r="G10" t="b">
        <v>1</v>
      </c>
      <c r="H10" s="3" t="str">
        <f ca="1">"G0_sfw"&amp;TEXT($AP10,"0%")&amp;"_sfd"&amp;TEXT($AQ10,"0.0")&amp;""</f>
        <v>G0_sfw50%_sfd1.0</v>
      </c>
      <c r="I10" s="21" t="str">
        <f ca="1">IF(MATCH(H10,H$5:H10,0)=(COUNTA(H$5:H10)),"-","Dup")</f>
        <v>-</v>
      </c>
      <c r="J10" s="39" t="str">
        <f ca="1">OFFSET(J$5,$C10,0)</f>
        <v>-</v>
      </c>
      <c r="K10" s="39" t="b">
        <f t="shared" ref="K10:AY30" ca="1" si="8">OFFSET(K$5,$C10,0)</f>
        <v>0</v>
      </c>
      <c r="L10" s="39" t="b">
        <f t="shared" ca="1" si="8"/>
        <v>1</v>
      </c>
      <c r="M10" s="39" t="str">
        <f t="shared" ca="1" si="8"/>
        <v>-</v>
      </c>
      <c r="N10" s="39" t="str">
        <f t="shared" ca="1" si="8"/>
        <v>-</v>
      </c>
      <c r="O10" s="39" t="str">
        <f t="shared" ca="1" si="8"/>
        <v>-</v>
      </c>
      <c r="P10" s="39" t="str">
        <f t="shared" ca="1" si="8"/>
        <v>-</v>
      </c>
      <c r="Q10" s="39" t="str">
        <f t="shared" ca="1" si="8"/>
        <v>-</v>
      </c>
      <c r="R10" s="39" t="str">
        <f t="shared" ca="1" si="8"/>
        <v>-</v>
      </c>
      <c r="S10" s="39" t="str">
        <f t="shared" ca="1" si="8"/>
        <v>-</v>
      </c>
      <c r="T10" s="39" t="str">
        <f t="shared" ca="1" si="8"/>
        <v>-</v>
      </c>
      <c r="U10" s="39">
        <f t="shared" ca="1" si="8"/>
        <v>0</v>
      </c>
      <c r="V10" s="39">
        <f t="shared" ca="1" si="8"/>
        <v>1</v>
      </c>
      <c r="W10" s="39" t="str">
        <f t="shared" ca="1" si="8"/>
        <v>-</v>
      </c>
      <c r="X10" s="39" t="str">
        <f t="shared" ca="1" si="8"/>
        <v>-</v>
      </c>
      <c r="Y10" s="39">
        <f t="shared" ca="1" si="8"/>
        <v>0</v>
      </c>
      <c r="Z10" s="39">
        <f t="shared" ca="1" si="8"/>
        <v>1</v>
      </c>
      <c r="AA10" s="39" t="str">
        <f ca="1">OFFSET(AA$5,$C10,0)</f>
        <v>-</v>
      </c>
      <c r="AB10" s="39" t="str">
        <f ca="1">OFFSET(AB$5,$C10,0)</f>
        <v>-</v>
      </c>
      <c r="AC10" s="39" t="str">
        <f ca="1">OFFSET(AC$5,$C10,0)</f>
        <v>-</v>
      </c>
      <c r="AD10" s="39" t="str">
        <f ca="1">OFFSET(AD$5,$C10,0)</f>
        <v>-</v>
      </c>
      <c r="AE10" s="39" t="str">
        <f ca="1">OFFSET(AE$5,$C10,0)</f>
        <v>-</v>
      </c>
      <c r="AF10" s="39" t="str">
        <f ca="1">OFFSET(AF$5,$C10,0)</f>
        <v>-</v>
      </c>
      <c r="AG10" s="39" t="str">
        <f ca="1">OFFSET(AG$5,$C10,0)</f>
        <v>-</v>
      </c>
      <c r="AH10" s="39" t="str">
        <f ca="1">OFFSET(AH$5,$C10,0)</f>
        <v>-</v>
      </c>
      <c r="AI10" s="39" t="str">
        <f ca="1">OFFSET(AI$5,$C10,0)</f>
        <v>-</v>
      </c>
      <c r="AJ10" s="39" t="str">
        <f ca="1">OFFSET(AJ$5,$C10,0)</f>
        <v>-</v>
      </c>
      <c r="AK10" s="39" t="str">
        <f ca="1">OFFSET(AK$5,$C10,0)</f>
        <v>-</v>
      </c>
      <c r="AL10" s="39">
        <f t="shared" ca="1" si="8"/>
        <v>57</v>
      </c>
      <c r="AM10" s="39">
        <f t="shared" ca="1" si="8"/>
        <v>1.1499999999999999</v>
      </c>
      <c r="AN10" s="39" t="str">
        <f t="shared" ca="1" si="8"/>
        <v>-</v>
      </c>
      <c r="AO10" s="39">
        <f t="shared" ca="1" si="8"/>
        <v>1.1000000000000001</v>
      </c>
      <c r="AP10" s="36">
        <v>0.5</v>
      </c>
      <c r="AQ10" s="39">
        <f t="shared" ca="1" si="8"/>
        <v>1</v>
      </c>
      <c r="AR10" s="39" t="str">
        <f t="shared" ca="1" si="8"/>
        <v>-</v>
      </c>
      <c r="AS10" s="39" t="str">
        <f t="shared" ca="1" si="8"/>
        <v>-</v>
      </c>
      <c r="AT10" s="39">
        <f ca="1">OFFSET(AT$5,$C10,0)</f>
        <v>0</v>
      </c>
      <c r="AU10" s="39" t="str">
        <f t="shared" ca="1" si="8"/>
        <v>-</v>
      </c>
      <c r="AV10" s="39">
        <f t="shared" ca="1" si="8"/>
        <v>0</v>
      </c>
      <c r="AW10" s="39">
        <f t="shared" ca="1" si="8"/>
        <v>0</v>
      </c>
      <c r="AX10" s="39">
        <f t="shared" ca="1" si="8"/>
        <v>0</v>
      </c>
      <c r="AY10" s="39">
        <f t="shared" ca="1" si="8"/>
        <v>0</v>
      </c>
      <c r="AZ10" s="14"/>
    </row>
    <row r="11" spans="1:52">
      <c r="A11" s="17"/>
      <c r="B11">
        <f t="shared" si="7"/>
        <v>6</v>
      </c>
      <c r="C11" s="38">
        <f>C10</f>
        <v>4</v>
      </c>
      <c r="D11">
        <v>0</v>
      </c>
      <c r="E11" t="b">
        <v>1</v>
      </c>
      <c r="F11" t="b">
        <v>0</v>
      </c>
      <c r="G11" t="b">
        <v>1</v>
      </c>
      <c r="H11" s="3" t="str">
        <f t="shared" ref="H11:H30" ca="1" si="9">"G0_sfw"&amp;TEXT($AP11,"0%")&amp;"_sfd"&amp;TEXT($AQ11,"0.0")&amp;""</f>
        <v>G0_sfw60%_sfd1.0</v>
      </c>
      <c r="I11" s="21" t="str">
        <f ca="1">IF(MATCH(H11,H$5:H11,0)=(COUNTA(H$5:H11)),"-","Dup")</f>
        <v>-</v>
      </c>
      <c r="J11" s="39" t="str">
        <f t="shared" ref="J11:Y33" ca="1" si="10">OFFSET(J$5,$C11,0)</f>
        <v>-</v>
      </c>
      <c r="K11" s="39" t="b">
        <f t="shared" ca="1" si="8"/>
        <v>0</v>
      </c>
      <c r="L11" s="39" t="b">
        <f t="shared" ca="1" si="8"/>
        <v>1</v>
      </c>
      <c r="M11" s="39" t="str">
        <f t="shared" ca="1" si="8"/>
        <v>-</v>
      </c>
      <c r="N11" s="39" t="str">
        <f t="shared" ca="1" si="8"/>
        <v>-</v>
      </c>
      <c r="O11" s="39" t="str">
        <f t="shared" ca="1" si="8"/>
        <v>-</v>
      </c>
      <c r="P11" s="39" t="str">
        <f t="shared" ca="1" si="8"/>
        <v>-</v>
      </c>
      <c r="Q11" s="39" t="str">
        <f t="shared" ca="1" si="8"/>
        <v>-</v>
      </c>
      <c r="R11" s="39" t="str">
        <f t="shared" ca="1" si="8"/>
        <v>-</v>
      </c>
      <c r="S11" s="39" t="str">
        <f t="shared" ca="1" si="8"/>
        <v>-</v>
      </c>
      <c r="T11" s="39" t="str">
        <f t="shared" ca="1" si="8"/>
        <v>-</v>
      </c>
      <c r="U11" s="39">
        <f t="shared" ca="1" si="8"/>
        <v>0</v>
      </c>
      <c r="V11" s="39">
        <f t="shared" ca="1" si="8"/>
        <v>1</v>
      </c>
      <c r="W11" s="39" t="str">
        <f t="shared" ca="1" si="8"/>
        <v>-</v>
      </c>
      <c r="X11" s="39" t="str">
        <f t="shared" ca="1" si="8"/>
        <v>-</v>
      </c>
      <c r="Y11" s="39">
        <f t="shared" ca="1" si="8"/>
        <v>0</v>
      </c>
      <c r="Z11" s="39">
        <f t="shared" ca="1" si="8"/>
        <v>1</v>
      </c>
      <c r="AA11" s="39" t="str">
        <f ca="1">OFFSET(AA$5,$C11,0)</f>
        <v>-</v>
      </c>
      <c r="AB11" s="39" t="str">
        <f ca="1">OFFSET(AB$5,$C11,0)</f>
        <v>-</v>
      </c>
      <c r="AC11" s="39" t="str">
        <f ca="1">OFFSET(AC$5,$C11,0)</f>
        <v>-</v>
      </c>
      <c r="AD11" s="39" t="str">
        <f ca="1">OFFSET(AD$5,$C11,0)</f>
        <v>-</v>
      </c>
      <c r="AE11" s="39" t="str">
        <f ca="1">OFFSET(AE$5,$C11,0)</f>
        <v>-</v>
      </c>
      <c r="AF11" s="39" t="str">
        <f ca="1">OFFSET(AF$5,$C11,0)</f>
        <v>-</v>
      </c>
      <c r="AG11" s="39" t="str">
        <f ca="1">OFFSET(AG$5,$C11,0)</f>
        <v>-</v>
      </c>
      <c r="AH11" s="39" t="str">
        <f ca="1">OFFSET(AH$5,$C11,0)</f>
        <v>-</v>
      </c>
      <c r="AI11" s="39" t="str">
        <f ca="1">OFFSET(AI$5,$C11,0)</f>
        <v>-</v>
      </c>
      <c r="AJ11" s="39" t="str">
        <f ca="1">OFFSET(AJ$5,$C11,0)</f>
        <v>-</v>
      </c>
      <c r="AK11" s="39" t="str">
        <f ca="1">OFFSET(AK$5,$C11,0)</f>
        <v>-</v>
      </c>
      <c r="AL11" s="39">
        <f t="shared" ca="1" si="8"/>
        <v>57</v>
      </c>
      <c r="AM11" s="39">
        <f t="shared" ca="1" si="8"/>
        <v>1.1499999999999999</v>
      </c>
      <c r="AN11" s="39" t="str">
        <f t="shared" ca="1" si="8"/>
        <v>-</v>
      </c>
      <c r="AO11" s="39">
        <f t="shared" ca="1" si="8"/>
        <v>1.1000000000000001</v>
      </c>
      <c r="AP11" s="36">
        <v>0.6</v>
      </c>
      <c r="AQ11" s="39">
        <f t="shared" ca="1" si="8"/>
        <v>1</v>
      </c>
      <c r="AR11" s="39" t="str">
        <f t="shared" ca="1" si="8"/>
        <v>-</v>
      </c>
      <c r="AS11" s="39" t="str">
        <f t="shared" ca="1" si="8"/>
        <v>-</v>
      </c>
      <c r="AT11" s="39">
        <f ca="1">OFFSET(AT$5,$C11,0)</f>
        <v>0</v>
      </c>
      <c r="AU11" s="39" t="str">
        <f t="shared" ca="1" si="8"/>
        <v>-</v>
      </c>
      <c r="AV11" s="39">
        <f t="shared" ca="1" si="8"/>
        <v>0</v>
      </c>
      <c r="AW11" s="39">
        <f t="shared" ca="1" si="8"/>
        <v>0</v>
      </c>
      <c r="AX11" s="39">
        <f t="shared" ca="1" si="8"/>
        <v>0</v>
      </c>
      <c r="AY11" s="39">
        <f t="shared" ca="1" si="8"/>
        <v>0</v>
      </c>
      <c r="AZ11" s="14"/>
    </row>
    <row r="12" spans="1:52">
      <c r="A12" s="17"/>
      <c r="B12">
        <f t="shared" si="7"/>
        <v>7</v>
      </c>
      <c r="C12" s="38">
        <f t="shared" ref="C12:C32" si="11">C11</f>
        <v>4</v>
      </c>
      <c r="D12">
        <v>0</v>
      </c>
      <c r="E12" t="b">
        <v>1</v>
      </c>
      <c r="F12" t="b">
        <v>0</v>
      </c>
      <c r="G12" t="b">
        <v>1</v>
      </c>
      <c r="H12" s="3" t="str">
        <f t="shared" ca="1" si="9"/>
        <v>G0_sfw70%_sfd1.0</v>
      </c>
      <c r="I12" s="21" t="str">
        <f ca="1">IF(MATCH(H12,H$5:H12,0)=(COUNTA(H$5:H12)),"-","Dup")</f>
        <v>-</v>
      </c>
      <c r="J12" s="39" t="str">
        <f t="shared" ca="1" si="10"/>
        <v>-</v>
      </c>
      <c r="K12" s="39" t="b">
        <f t="shared" ca="1" si="8"/>
        <v>0</v>
      </c>
      <c r="L12" s="39" t="b">
        <f t="shared" ca="1" si="8"/>
        <v>1</v>
      </c>
      <c r="M12" s="39" t="str">
        <f t="shared" ca="1" si="8"/>
        <v>-</v>
      </c>
      <c r="N12" s="39" t="str">
        <f t="shared" ca="1" si="8"/>
        <v>-</v>
      </c>
      <c r="O12" s="39" t="str">
        <f t="shared" ca="1" si="8"/>
        <v>-</v>
      </c>
      <c r="P12" s="39" t="str">
        <f t="shared" ca="1" si="8"/>
        <v>-</v>
      </c>
      <c r="Q12" s="39" t="str">
        <f t="shared" ca="1" si="8"/>
        <v>-</v>
      </c>
      <c r="R12" s="39" t="str">
        <f t="shared" ca="1" si="8"/>
        <v>-</v>
      </c>
      <c r="S12" s="39" t="str">
        <f t="shared" ca="1" si="8"/>
        <v>-</v>
      </c>
      <c r="T12" s="39" t="str">
        <f t="shared" ca="1" si="8"/>
        <v>-</v>
      </c>
      <c r="U12" s="39">
        <f t="shared" ca="1" si="8"/>
        <v>0</v>
      </c>
      <c r="V12" s="39">
        <f t="shared" ca="1" si="8"/>
        <v>1</v>
      </c>
      <c r="W12" s="39" t="str">
        <f t="shared" ca="1" si="8"/>
        <v>-</v>
      </c>
      <c r="X12" s="39" t="str">
        <f t="shared" ca="1" si="8"/>
        <v>-</v>
      </c>
      <c r="Y12" s="39">
        <f t="shared" ca="1" si="8"/>
        <v>0</v>
      </c>
      <c r="Z12" s="39">
        <f t="shared" ca="1" si="8"/>
        <v>1</v>
      </c>
      <c r="AA12" s="39" t="str">
        <f ca="1">OFFSET(AA$5,$C12,0)</f>
        <v>-</v>
      </c>
      <c r="AB12" s="39" t="str">
        <f ca="1">OFFSET(AB$5,$C12,0)</f>
        <v>-</v>
      </c>
      <c r="AC12" s="39" t="str">
        <f ca="1">OFFSET(AC$5,$C12,0)</f>
        <v>-</v>
      </c>
      <c r="AD12" s="39" t="str">
        <f ca="1">OFFSET(AD$5,$C12,0)</f>
        <v>-</v>
      </c>
      <c r="AE12" s="39" t="str">
        <f ca="1">OFFSET(AE$5,$C12,0)</f>
        <v>-</v>
      </c>
      <c r="AF12" s="39" t="str">
        <f ca="1">OFFSET(AF$5,$C12,0)</f>
        <v>-</v>
      </c>
      <c r="AG12" s="39" t="str">
        <f ca="1">OFFSET(AG$5,$C12,0)</f>
        <v>-</v>
      </c>
      <c r="AH12" s="39" t="str">
        <f ca="1">OFFSET(AH$5,$C12,0)</f>
        <v>-</v>
      </c>
      <c r="AI12" s="39" t="str">
        <f ca="1">OFFSET(AI$5,$C12,0)</f>
        <v>-</v>
      </c>
      <c r="AJ12" s="39" t="str">
        <f ca="1">OFFSET(AJ$5,$C12,0)</f>
        <v>-</v>
      </c>
      <c r="AK12" s="39" t="str">
        <f ca="1">OFFSET(AK$5,$C12,0)</f>
        <v>-</v>
      </c>
      <c r="AL12" s="39">
        <f t="shared" ca="1" si="8"/>
        <v>57</v>
      </c>
      <c r="AM12" s="39">
        <f t="shared" ca="1" si="8"/>
        <v>1.1499999999999999</v>
      </c>
      <c r="AN12" s="39" t="str">
        <f t="shared" ca="1" si="8"/>
        <v>-</v>
      </c>
      <c r="AO12" s="39">
        <f t="shared" ca="1" si="8"/>
        <v>1.1000000000000001</v>
      </c>
      <c r="AP12" s="36">
        <v>0.7</v>
      </c>
      <c r="AQ12" s="39">
        <f t="shared" ca="1" si="8"/>
        <v>1</v>
      </c>
      <c r="AR12" s="39" t="str">
        <f t="shared" ca="1" si="8"/>
        <v>-</v>
      </c>
      <c r="AS12" s="39" t="str">
        <f t="shared" ca="1" si="8"/>
        <v>-</v>
      </c>
      <c r="AT12" s="39">
        <f ca="1">OFFSET(AT$5,$C12,0)</f>
        <v>0</v>
      </c>
      <c r="AU12" s="39" t="str">
        <f t="shared" ca="1" si="8"/>
        <v>-</v>
      </c>
      <c r="AV12" s="39">
        <f t="shared" ca="1" si="8"/>
        <v>0</v>
      </c>
      <c r="AW12" s="39">
        <f t="shared" ca="1" si="8"/>
        <v>0</v>
      </c>
      <c r="AX12" s="39">
        <f t="shared" ca="1" si="8"/>
        <v>0</v>
      </c>
      <c r="AY12" s="39">
        <f t="shared" ca="1" si="8"/>
        <v>0</v>
      </c>
      <c r="AZ12" s="14"/>
    </row>
    <row r="13" spans="1:52">
      <c r="A13" s="17"/>
      <c r="B13">
        <f t="shared" si="7"/>
        <v>8</v>
      </c>
      <c r="C13" s="38">
        <f t="shared" ref="C13:C19" si="12">C12</f>
        <v>4</v>
      </c>
      <c r="D13">
        <v>0</v>
      </c>
      <c r="E13" t="b">
        <v>1</v>
      </c>
      <c r="F13" t="b">
        <v>0</v>
      </c>
      <c r="G13" t="b">
        <v>1</v>
      </c>
      <c r="H13" s="3" t="str">
        <f t="shared" ca="1" si="9"/>
        <v>G0_sfw80%_sfd1.0</v>
      </c>
      <c r="I13" s="21" t="str">
        <f ca="1">IF(MATCH(H13,H$5:H13,0)=(COUNTA(H$5:H13)),"-","Dup")</f>
        <v>-</v>
      </c>
      <c r="J13" s="39" t="str">
        <f t="shared" ca="1" si="10"/>
        <v>-</v>
      </c>
      <c r="K13" s="39" t="b">
        <f t="shared" ca="1" si="8"/>
        <v>0</v>
      </c>
      <c r="L13" s="39" t="b">
        <f t="shared" ca="1" si="8"/>
        <v>1</v>
      </c>
      <c r="M13" s="39" t="str">
        <f t="shared" ca="1" si="8"/>
        <v>-</v>
      </c>
      <c r="N13" s="39" t="str">
        <f t="shared" ca="1" si="8"/>
        <v>-</v>
      </c>
      <c r="O13" s="39" t="str">
        <f t="shared" ca="1" si="8"/>
        <v>-</v>
      </c>
      <c r="P13" s="39" t="str">
        <f t="shared" ca="1" si="8"/>
        <v>-</v>
      </c>
      <c r="Q13" s="39" t="str">
        <f t="shared" ca="1" si="8"/>
        <v>-</v>
      </c>
      <c r="R13" s="39" t="str">
        <f t="shared" ca="1" si="8"/>
        <v>-</v>
      </c>
      <c r="S13" s="39" t="str">
        <f t="shared" ca="1" si="8"/>
        <v>-</v>
      </c>
      <c r="T13" s="39" t="str">
        <f t="shared" ca="1" si="8"/>
        <v>-</v>
      </c>
      <c r="U13" s="39">
        <f t="shared" ca="1" si="8"/>
        <v>0</v>
      </c>
      <c r="V13" s="39">
        <f t="shared" ca="1" si="8"/>
        <v>1</v>
      </c>
      <c r="W13" s="39" t="str">
        <f t="shared" ca="1" si="8"/>
        <v>-</v>
      </c>
      <c r="X13" s="39" t="str">
        <f t="shared" ca="1" si="8"/>
        <v>-</v>
      </c>
      <c r="Y13" s="39">
        <f t="shared" ca="1" si="8"/>
        <v>0</v>
      </c>
      <c r="Z13" s="39">
        <f t="shared" ca="1" si="8"/>
        <v>1</v>
      </c>
      <c r="AA13" s="39" t="str">
        <f t="shared" ca="1" si="8"/>
        <v>-</v>
      </c>
      <c r="AB13" s="39" t="str">
        <f t="shared" ca="1" si="8"/>
        <v>-</v>
      </c>
      <c r="AC13" s="39" t="str">
        <f t="shared" ca="1" si="8"/>
        <v>-</v>
      </c>
      <c r="AD13" s="39" t="str">
        <f t="shared" ca="1" si="8"/>
        <v>-</v>
      </c>
      <c r="AE13" s="39" t="str">
        <f t="shared" ca="1" si="8"/>
        <v>-</v>
      </c>
      <c r="AF13" s="39" t="str">
        <f t="shared" ca="1" si="8"/>
        <v>-</v>
      </c>
      <c r="AG13" s="39" t="str">
        <f t="shared" ca="1" si="8"/>
        <v>-</v>
      </c>
      <c r="AH13" s="39" t="str">
        <f t="shared" ca="1" si="8"/>
        <v>-</v>
      </c>
      <c r="AI13" s="39" t="str">
        <f t="shared" ca="1" si="8"/>
        <v>-</v>
      </c>
      <c r="AJ13" s="39" t="str">
        <f ca="1">OFFSET(AJ$5,$C13,0)</f>
        <v>-</v>
      </c>
      <c r="AK13" s="39" t="str">
        <f ca="1">OFFSET(AK$5,$C13,0)</f>
        <v>-</v>
      </c>
      <c r="AL13" s="39">
        <f t="shared" ca="1" si="8"/>
        <v>57</v>
      </c>
      <c r="AM13" s="39">
        <f t="shared" ca="1" si="8"/>
        <v>1.1499999999999999</v>
      </c>
      <c r="AN13" s="39" t="str">
        <f t="shared" ca="1" si="8"/>
        <v>-</v>
      </c>
      <c r="AO13" s="39">
        <f t="shared" ca="1" si="8"/>
        <v>1.1000000000000001</v>
      </c>
      <c r="AP13" s="36">
        <v>0.8</v>
      </c>
      <c r="AQ13" s="39">
        <f t="shared" ca="1" si="8"/>
        <v>1</v>
      </c>
      <c r="AR13" s="39" t="str">
        <f t="shared" ca="1" si="8"/>
        <v>-</v>
      </c>
      <c r="AS13" s="39" t="str">
        <f t="shared" ca="1" si="8"/>
        <v>-</v>
      </c>
      <c r="AT13" s="39">
        <f t="shared" ca="1" si="8"/>
        <v>0</v>
      </c>
      <c r="AU13" s="39" t="str">
        <f t="shared" ca="1" si="8"/>
        <v>-</v>
      </c>
      <c r="AV13" s="39">
        <f t="shared" ca="1" si="8"/>
        <v>0</v>
      </c>
      <c r="AW13" s="39">
        <f t="shared" ca="1" si="8"/>
        <v>0</v>
      </c>
      <c r="AX13" s="39">
        <f t="shared" ca="1" si="8"/>
        <v>0</v>
      </c>
      <c r="AY13" s="39">
        <f t="shared" ca="1" si="8"/>
        <v>0</v>
      </c>
      <c r="AZ13" s="14"/>
    </row>
    <row r="14" spans="1:52">
      <c r="A14" s="17"/>
      <c r="B14">
        <f t="shared" si="7"/>
        <v>9</v>
      </c>
      <c r="C14" s="38">
        <f t="shared" si="12"/>
        <v>4</v>
      </c>
      <c r="D14">
        <v>0</v>
      </c>
      <c r="E14" t="b">
        <v>1</v>
      </c>
      <c r="F14" t="b">
        <v>0</v>
      </c>
      <c r="G14" t="b">
        <v>1</v>
      </c>
      <c r="H14" s="3" t="str">
        <f t="shared" ca="1" si="9"/>
        <v>G0_sfw90%_sfd1.0</v>
      </c>
      <c r="I14" s="21" t="str">
        <f ca="1">IF(MATCH(H14,H$5:H14,0)=(COUNTA(H$5:H14)),"-","Dup")</f>
        <v>-</v>
      </c>
      <c r="J14" s="39" t="str">
        <f t="shared" ca="1" si="10"/>
        <v>-</v>
      </c>
      <c r="K14" s="39" t="b">
        <f t="shared" ca="1" si="8"/>
        <v>0</v>
      </c>
      <c r="L14" s="39" t="b">
        <f t="shared" ca="1" si="8"/>
        <v>1</v>
      </c>
      <c r="M14" s="39" t="str">
        <f t="shared" ca="1" si="8"/>
        <v>-</v>
      </c>
      <c r="N14" s="39" t="str">
        <f t="shared" ca="1" si="8"/>
        <v>-</v>
      </c>
      <c r="O14" s="39" t="str">
        <f t="shared" ca="1" si="8"/>
        <v>-</v>
      </c>
      <c r="P14" s="39" t="str">
        <f t="shared" ca="1" si="8"/>
        <v>-</v>
      </c>
      <c r="Q14" s="39" t="str">
        <f t="shared" ca="1" si="8"/>
        <v>-</v>
      </c>
      <c r="R14" s="39" t="str">
        <f t="shared" ca="1" si="8"/>
        <v>-</v>
      </c>
      <c r="S14" s="39" t="str">
        <f t="shared" ca="1" si="8"/>
        <v>-</v>
      </c>
      <c r="T14" s="39" t="str">
        <f t="shared" ca="1" si="8"/>
        <v>-</v>
      </c>
      <c r="U14" s="39">
        <f t="shared" ca="1" si="8"/>
        <v>0</v>
      </c>
      <c r="V14" s="39">
        <f t="shared" ca="1" si="8"/>
        <v>1</v>
      </c>
      <c r="W14" s="39" t="str">
        <f t="shared" ca="1" si="8"/>
        <v>-</v>
      </c>
      <c r="X14" s="39" t="str">
        <f t="shared" ca="1" si="8"/>
        <v>-</v>
      </c>
      <c r="Y14" s="39">
        <f t="shared" ca="1" si="8"/>
        <v>0</v>
      </c>
      <c r="Z14" s="39">
        <f t="shared" ca="1" si="8"/>
        <v>1</v>
      </c>
      <c r="AA14" s="39" t="str">
        <f t="shared" ca="1" si="8"/>
        <v>-</v>
      </c>
      <c r="AB14" s="39" t="str">
        <f t="shared" ca="1" si="8"/>
        <v>-</v>
      </c>
      <c r="AC14" s="39" t="str">
        <f t="shared" ca="1" si="8"/>
        <v>-</v>
      </c>
      <c r="AD14" s="39" t="str">
        <f t="shared" ca="1" si="8"/>
        <v>-</v>
      </c>
      <c r="AE14" s="39" t="str">
        <f t="shared" ca="1" si="8"/>
        <v>-</v>
      </c>
      <c r="AF14" s="39" t="str">
        <f t="shared" ca="1" si="8"/>
        <v>-</v>
      </c>
      <c r="AG14" s="39" t="str">
        <f t="shared" ref="AG14:AV19" ca="1" si="13">OFFSET(AG$5,$C14,0)</f>
        <v>-</v>
      </c>
      <c r="AH14" s="39" t="str">
        <f t="shared" ca="1" si="13"/>
        <v>-</v>
      </c>
      <c r="AI14" s="39" t="str">
        <f t="shared" ca="1" si="13"/>
        <v>-</v>
      </c>
      <c r="AJ14" s="39" t="str">
        <f ca="1">OFFSET(AJ$5,$C14,0)</f>
        <v>-</v>
      </c>
      <c r="AK14" s="39" t="str">
        <f ca="1">OFFSET(AK$5,$C14,0)</f>
        <v>-</v>
      </c>
      <c r="AL14" s="39">
        <f t="shared" ca="1" si="13"/>
        <v>57</v>
      </c>
      <c r="AM14" s="39">
        <f t="shared" ca="1" si="13"/>
        <v>1.1499999999999999</v>
      </c>
      <c r="AN14" s="39" t="str">
        <f t="shared" ca="1" si="13"/>
        <v>-</v>
      </c>
      <c r="AO14" s="39">
        <f t="shared" ca="1" si="13"/>
        <v>1.1000000000000001</v>
      </c>
      <c r="AP14" s="36">
        <v>0.9</v>
      </c>
      <c r="AQ14" s="39">
        <f t="shared" ca="1" si="13"/>
        <v>1</v>
      </c>
      <c r="AR14" s="39" t="str">
        <f t="shared" ca="1" si="13"/>
        <v>-</v>
      </c>
      <c r="AS14" s="39" t="str">
        <f t="shared" ca="1" si="13"/>
        <v>-</v>
      </c>
      <c r="AT14" s="39">
        <f t="shared" ca="1" si="13"/>
        <v>0</v>
      </c>
      <c r="AU14" s="39" t="str">
        <f t="shared" ca="1" si="13"/>
        <v>-</v>
      </c>
      <c r="AV14" s="39">
        <f t="shared" ca="1" si="13"/>
        <v>0</v>
      </c>
      <c r="AW14" s="39">
        <f t="shared" ref="AW14:AY19" ca="1" si="14">OFFSET(AW$5,$C14,0)</f>
        <v>0</v>
      </c>
      <c r="AX14" s="39">
        <f t="shared" ca="1" si="14"/>
        <v>0</v>
      </c>
      <c r="AY14" s="39">
        <f t="shared" ca="1" si="14"/>
        <v>0</v>
      </c>
      <c r="AZ14" s="14"/>
    </row>
    <row r="15" spans="1:52">
      <c r="A15" s="17"/>
      <c r="B15">
        <f t="shared" si="7"/>
        <v>10</v>
      </c>
      <c r="C15" s="38">
        <f t="shared" si="12"/>
        <v>4</v>
      </c>
      <c r="D15">
        <v>0</v>
      </c>
      <c r="E15" t="b">
        <v>1</v>
      </c>
      <c r="F15" t="b">
        <v>0</v>
      </c>
      <c r="G15" t="b">
        <v>1</v>
      </c>
      <c r="H15" s="3" t="str">
        <f t="shared" ca="1" si="9"/>
        <v>G0_sfw110%_sfd1.0</v>
      </c>
      <c r="I15" s="21" t="str">
        <f ca="1">IF(MATCH(H15,H$5:H15,0)=(COUNTA(H$5:H15)),"-","Dup")</f>
        <v>-</v>
      </c>
      <c r="J15" s="39" t="str">
        <f t="shared" ca="1" si="10"/>
        <v>-</v>
      </c>
      <c r="K15" s="39" t="b">
        <f t="shared" ca="1" si="10"/>
        <v>0</v>
      </c>
      <c r="L15" s="39" t="b">
        <f t="shared" ca="1" si="10"/>
        <v>1</v>
      </c>
      <c r="M15" s="39" t="str">
        <f t="shared" ca="1" si="10"/>
        <v>-</v>
      </c>
      <c r="N15" s="39" t="str">
        <f t="shared" ca="1" si="10"/>
        <v>-</v>
      </c>
      <c r="O15" s="39" t="str">
        <f t="shared" ca="1" si="10"/>
        <v>-</v>
      </c>
      <c r="P15" s="39" t="str">
        <f t="shared" ca="1" si="10"/>
        <v>-</v>
      </c>
      <c r="Q15" s="39" t="str">
        <f t="shared" ca="1" si="10"/>
        <v>-</v>
      </c>
      <c r="R15" s="39" t="str">
        <f t="shared" ca="1" si="10"/>
        <v>-</v>
      </c>
      <c r="S15" s="39" t="str">
        <f t="shared" ca="1" si="10"/>
        <v>-</v>
      </c>
      <c r="T15" s="39" t="str">
        <f t="shared" ca="1" si="10"/>
        <v>-</v>
      </c>
      <c r="U15" s="39">
        <f t="shared" ca="1" si="10"/>
        <v>0</v>
      </c>
      <c r="V15" s="39">
        <f t="shared" ca="1" si="10"/>
        <v>1</v>
      </c>
      <c r="W15" s="39" t="str">
        <f t="shared" ca="1" si="10"/>
        <v>-</v>
      </c>
      <c r="X15" s="39" t="str">
        <f t="shared" ca="1" si="10"/>
        <v>-</v>
      </c>
      <c r="Y15" s="39">
        <f t="shared" ca="1" si="10"/>
        <v>0</v>
      </c>
      <c r="Z15" s="39">
        <f t="shared" ref="Z15:AQ19" ca="1" si="15">OFFSET(Z$5,$C15,0)</f>
        <v>1</v>
      </c>
      <c r="AA15" s="39" t="str">
        <f t="shared" ca="1" si="15"/>
        <v>-</v>
      </c>
      <c r="AB15" s="39" t="str">
        <f t="shared" ca="1" si="15"/>
        <v>-</v>
      </c>
      <c r="AC15" s="39" t="str">
        <f t="shared" ca="1" si="15"/>
        <v>-</v>
      </c>
      <c r="AD15" s="39" t="str">
        <f t="shared" ca="1" si="15"/>
        <v>-</v>
      </c>
      <c r="AE15" s="39" t="str">
        <f t="shared" ca="1" si="15"/>
        <v>-</v>
      </c>
      <c r="AF15" s="39" t="str">
        <f t="shared" ca="1" si="15"/>
        <v>-</v>
      </c>
      <c r="AG15" s="39" t="str">
        <f t="shared" ca="1" si="13"/>
        <v>-</v>
      </c>
      <c r="AH15" s="39" t="str">
        <f t="shared" ca="1" si="13"/>
        <v>-</v>
      </c>
      <c r="AI15" s="39" t="str">
        <f t="shared" ca="1" si="13"/>
        <v>-</v>
      </c>
      <c r="AJ15" s="39" t="str">
        <f ca="1">OFFSET(AJ$5,$C15,0)</f>
        <v>-</v>
      </c>
      <c r="AK15" s="39" t="str">
        <f ca="1">OFFSET(AK$5,$C15,0)</f>
        <v>-</v>
      </c>
      <c r="AL15" s="39">
        <f t="shared" ca="1" si="15"/>
        <v>57</v>
      </c>
      <c r="AM15" s="39">
        <f t="shared" ca="1" si="15"/>
        <v>1.1499999999999999</v>
      </c>
      <c r="AN15" s="39" t="str">
        <f t="shared" ca="1" si="15"/>
        <v>-</v>
      </c>
      <c r="AO15" s="39">
        <f t="shared" ca="1" si="15"/>
        <v>1.1000000000000001</v>
      </c>
      <c r="AP15" s="36">
        <v>1.1000000000000001</v>
      </c>
      <c r="AQ15" s="39">
        <f t="shared" ca="1" si="15"/>
        <v>1</v>
      </c>
      <c r="AR15" s="39" t="str">
        <f t="shared" ca="1" si="13"/>
        <v>-</v>
      </c>
      <c r="AS15" s="39" t="str">
        <f t="shared" ca="1" si="13"/>
        <v>-</v>
      </c>
      <c r="AT15" s="39">
        <f t="shared" ca="1" si="13"/>
        <v>0</v>
      </c>
      <c r="AU15" s="39" t="str">
        <f t="shared" ca="1" si="13"/>
        <v>-</v>
      </c>
      <c r="AV15" s="39">
        <f t="shared" ca="1" si="13"/>
        <v>0</v>
      </c>
      <c r="AW15" s="39">
        <f t="shared" ca="1" si="14"/>
        <v>0</v>
      </c>
      <c r="AX15" s="39">
        <f t="shared" ca="1" si="14"/>
        <v>0</v>
      </c>
      <c r="AY15" s="39">
        <f t="shared" ca="1" si="14"/>
        <v>0</v>
      </c>
      <c r="AZ15" s="14"/>
    </row>
    <row r="16" spans="1:52">
      <c r="A16" s="17"/>
      <c r="B16">
        <f t="shared" si="7"/>
        <v>11</v>
      </c>
      <c r="C16" s="38">
        <f t="shared" si="12"/>
        <v>4</v>
      </c>
      <c r="D16">
        <v>0</v>
      </c>
      <c r="E16" t="b">
        <v>1</v>
      </c>
      <c r="F16" t="b">
        <v>0</v>
      </c>
      <c r="G16" t="b">
        <v>1</v>
      </c>
      <c r="H16" s="3" t="str">
        <f t="shared" ca="1" si="9"/>
        <v>G0_sfw120%_sfd1.0</v>
      </c>
      <c r="I16" s="21" t="str">
        <f ca="1">IF(MATCH(H16,H$5:H16,0)=(COUNTA(H$5:H16)),"-","Dup")</f>
        <v>-</v>
      </c>
      <c r="J16" s="39" t="str">
        <f t="shared" ca="1" si="10"/>
        <v>-</v>
      </c>
      <c r="K16" s="39" t="b">
        <f t="shared" ca="1" si="10"/>
        <v>0</v>
      </c>
      <c r="L16" s="39" t="b">
        <f t="shared" ca="1" si="10"/>
        <v>1</v>
      </c>
      <c r="M16" s="39" t="str">
        <f t="shared" ca="1" si="10"/>
        <v>-</v>
      </c>
      <c r="N16" s="39" t="str">
        <f t="shared" ca="1" si="10"/>
        <v>-</v>
      </c>
      <c r="O16" s="39" t="str">
        <f t="shared" ca="1" si="10"/>
        <v>-</v>
      </c>
      <c r="P16" s="39" t="str">
        <f t="shared" ca="1" si="10"/>
        <v>-</v>
      </c>
      <c r="Q16" s="39" t="str">
        <f t="shared" ca="1" si="10"/>
        <v>-</v>
      </c>
      <c r="R16" s="39" t="str">
        <f t="shared" ca="1" si="10"/>
        <v>-</v>
      </c>
      <c r="S16" s="39" t="str">
        <f t="shared" ca="1" si="10"/>
        <v>-</v>
      </c>
      <c r="T16" s="39" t="str">
        <f t="shared" ca="1" si="10"/>
        <v>-</v>
      </c>
      <c r="U16" s="39">
        <f t="shared" ca="1" si="10"/>
        <v>0</v>
      </c>
      <c r="V16" s="39">
        <f t="shared" ca="1" si="10"/>
        <v>1</v>
      </c>
      <c r="W16" s="39" t="str">
        <f t="shared" ca="1" si="10"/>
        <v>-</v>
      </c>
      <c r="X16" s="39" t="str">
        <f t="shared" ca="1" si="10"/>
        <v>-</v>
      </c>
      <c r="Y16" s="39">
        <f t="shared" ca="1" si="10"/>
        <v>0</v>
      </c>
      <c r="Z16" s="39">
        <f t="shared" ca="1" si="15"/>
        <v>1</v>
      </c>
      <c r="AA16" s="39" t="str">
        <f t="shared" ca="1" si="15"/>
        <v>-</v>
      </c>
      <c r="AB16" s="39" t="str">
        <f t="shared" ca="1" si="15"/>
        <v>-</v>
      </c>
      <c r="AC16" s="39" t="str">
        <f t="shared" ca="1" si="15"/>
        <v>-</v>
      </c>
      <c r="AD16" s="39" t="str">
        <f t="shared" ca="1" si="15"/>
        <v>-</v>
      </c>
      <c r="AE16" s="39" t="str">
        <f t="shared" ca="1" si="15"/>
        <v>-</v>
      </c>
      <c r="AF16" s="39" t="str">
        <f t="shared" ca="1" si="15"/>
        <v>-</v>
      </c>
      <c r="AG16" s="39" t="str">
        <f t="shared" ca="1" si="13"/>
        <v>-</v>
      </c>
      <c r="AH16" s="39" t="str">
        <f t="shared" ca="1" si="13"/>
        <v>-</v>
      </c>
      <c r="AI16" s="39" t="str">
        <f t="shared" ca="1" si="13"/>
        <v>-</v>
      </c>
      <c r="AJ16" s="39" t="str">
        <f ca="1">OFFSET(AJ$5,$C16,0)</f>
        <v>-</v>
      </c>
      <c r="AK16" s="39" t="str">
        <f ca="1">OFFSET(AK$5,$C16,0)</f>
        <v>-</v>
      </c>
      <c r="AL16" s="39">
        <f t="shared" ca="1" si="15"/>
        <v>57</v>
      </c>
      <c r="AM16" s="39">
        <f t="shared" ca="1" si="15"/>
        <v>1.1499999999999999</v>
      </c>
      <c r="AN16" s="39" t="str">
        <f t="shared" ca="1" si="15"/>
        <v>-</v>
      </c>
      <c r="AO16" s="39">
        <f t="shared" ca="1" si="15"/>
        <v>1.1000000000000001</v>
      </c>
      <c r="AP16" s="36">
        <v>1.2</v>
      </c>
      <c r="AQ16" s="39">
        <f t="shared" ca="1" si="15"/>
        <v>1</v>
      </c>
      <c r="AR16" s="39" t="str">
        <f t="shared" ca="1" si="13"/>
        <v>-</v>
      </c>
      <c r="AS16" s="39" t="str">
        <f t="shared" ca="1" si="13"/>
        <v>-</v>
      </c>
      <c r="AT16" s="39">
        <f t="shared" ca="1" si="13"/>
        <v>0</v>
      </c>
      <c r="AU16" s="39" t="str">
        <f t="shared" ca="1" si="13"/>
        <v>-</v>
      </c>
      <c r="AV16" s="39">
        <f t="shared" ca="1" si="13"/>
        <v>0</v>
      </c>
      <c r="AW16" s="39">
        <f t="shared" ca="1" si="14"/>
        <v>0</v>
      </c>
      <c r="AX16" s="39">
        <f t="shared" ca="1" si="14"/>
        <v>0</v>
      </c>
      <c r="AY16" s="39">
        <f t="shared" ca="1" si="14"/>
        <v>0</v>
      </c>
      <c r="AZ16" s="14"/>
    </row>
    <row r="17" spans="1:52">
      <c r="A17" s="17"/>
      <c r="B17">
        <f t="shared" si="7"/>
        <v>12</v>
      </c>
      <c r="C17" s="38">
        <f t="shared" si="12"/>
        <v>4</v>
      </c>
      <c r="D17">
        <v>0</v>
      </c>
      <c r="E17" t="b">
        <v>1</v>
      </c>
      <c r="F17" t="b">
        <v>0</v>
      </c>
      <c r="G17" t="b">
        <v>1</v>
      </c>
      <c r="H17" s="3" t="str">
        <f t="shared" ca="1" si="9"/>
        <v>G0_sfw130%_sfd1.0</v>
      </c>
      <c r="I17" s="21" t="str">
        <f ca="1">IF(MATCH(H17,H$5:H17,0)=(COUNTA(H$5:H17)),"-","Dup")</f>
        <v>-</v>
      </c>
      <c r="J17" s="39" t="str">
        <f t="shared" ca="1" si="10"/>
        <v>-</v>
      </c>
      <c r="K17" s="39" t="b">
        <f t="shared" ca="1" si="10"/>
        <v>0</v>
      </c>
      <c r="L17" s="39" t="b">
        <f t="shared" ca="1" si="10"/>
        <v>1</v>
      </c>
      <c r="M17" s="39" t="str">
        <f t="shared" ca="1" si="10"/>
        <v>-</v>
      </c>
      <c r="N17" s="39" t="str">
        <f t="shared" ca="1" si="10"/>
        <v>-</v>
      </c>
      <c r="O17" s="39" t="str">
        <f t="shared" ca="1" si="10"/>
        <v>-</v>
      </c>
      <c r="P17" s="39" t="str">
        <f t="shared" ca="1" si="10"/>
        <v>-</v>
      </c>
      <c r="Q17" s="39" t="str">
        <f t="shared" ca="1" si="10"/>
        <v>-</v>
      </c>
      <c r="R17" s="39" t="str">
        <f t="shared" ca="1" si="10"/>
        <v>-</v>
      </c>
      <c r="S17" s="39" t="str">
        <f t="shared" ca="1" si="10"/>
        <v>-</v>
      </c>
      <c r="T17" s="39" t="str">
        <f t="shared" ca="1" si="10"/>
        <v>-</v>
      </c>
      <c r="U17" s="39">
        <f t="shared" ca="1" si="10"/>
        <v>0</v>
      </c>
      <c r="V17" s="39">
        <f t="shared" ca="1" si="10"/>
        <v>1</v>
      </c>
      <c r="W17" s="39" t="str">
        <f t="shared" ca="1" si="10"/>
        <v>-</v>
      </c>
      <c r="X17" s="39" t="str">
        <f t="shared" ca="1" si="10"/>
        <v>-</v>
      </c>
      <c r="Y17" s="39">
        <f t="shared" ca="1" si="10"/>
        <v>0</v>
      </c>
      <c r="Z17" s="39">
        <f t="shared" ca="1" si="15"/>
        <v>1</v>
      </c>
      <c r="AA17" s="39" t="str">
        <f t="shared" ca="1" si="15"/>
        <v>-</v>
      </c>
      <c r="AB17" s="39" t="str">
        <f t="shared" ca="1" si="15"/>
        <v>-</v>
      </c>
      <c r="AC17" s="39" t="str">
        <f t="shared" ca="1" si="15"/>
        <v>-</v>
      </c>
      <c r="AD17" s="39" t="str">
        <f t="shared" ca="1" si="15"/>
        <v>-</v>
      </c>
      <c r="AE17" s="39" t="str">
        <f t="shared" ca="1" si="15"/>
        <v>-</v>
      </c>
      <c r="AF17" s="39" t="str">
        <f t="shared" ca="1" si="15"/>
        <v>-</v>
      </c>
      <c r="AG17" s="39" t="str">
        <f t="shared" ca="1" si="13"/>
        <v>-</v>
      </c>
      <c r="AH17" s="39" t="str">
        <f t="shared" ca="1" si="13"/>
        <v>-</v>
      </c>
      <c r="AI17" s="39" t="str">
        <f t="shared" ca="1" si="13"/>
        <v>-</v>
      </c>
      <c r="AJ17" s="39" t="str">
        <f ca="1">OFFSET(AJ$5,$C17,0)</f>
        <v>-</v>
      </c>
      <c r="AK17" s="39" t="str">
        <f ca="1">OFFSET(AK$5,$C17,0)</f>
        <v>-</v>
      </c>
      <c r="AL17" s="39">
        <f t="shared" ca="1" si="15"/>
        <v>57</v>
      </c>
      <c r="AM17" s="39">
        <f t="shared" ca="1" si="15"/>
        <v>1.1499999999999999</v>
      </c>
      <c r="AN17" s="39" t="str">
        <f t="shared" ca="1" si="15"/>
        <v>-</v>
      </c>
      <c r="AO17" s="39">
        <f t="shared" ca="1" si="15"/>
        <v>1.1000000000000001</v>
      </c>
      <c r="AP17" s="36">
        <v>1.3</v>
      </c>
      <c r="AQ17" s="39">
        <f t="shared" ca="1" si="15"/>
        <v>1</v>
      </c>
      <c r="AR17" s="39" t="str">
        <f t="shared" ca="1" si="13"/>
        <v>-</v>
      </c>
      <c r="AS17" s="39" t="str">
        <f t="shared" ca="1" si="13"/>
        <v>-</v>
      </c>
      <c r="AT17" s="39">
        <f t="shared" ca="1" si="13"/>
        <v>0</v>
      </c>
      <c r="AU17" s="39" t="str">
        <f t="shared" ca="1" si="13"/>
        <v>-</v>
      </c>
      <c r="AV17" s="39">
        <f t="shared" ca="1" si="13"/>
        <v>0</v>
      </c>
      <c r="AW17" s="39">
        <f t="shared" ca="1" si="14"/>
        <v>0</v>
      </c>
      <c r="AX17" s="39">
        <f t="shared" ca="1" si="14"/>
        <v>0</v>
      </c>
      <c r="AY17" s="39">
        <f t="shared" ca="1" si="14"/>
        <v>0</v>
      </c>
      <c r="AZ17" s="14"/>
    </row>
    <row r="18" spans="1:52">
      <c r="A18" s="17"/>
      <c r="B18">
        <f t="shared" si="7"/>
        <v>13</v>
      </c>
      <c r="C18" s="38">
        <f t="shared" si="12"/>
        <v>4</v>
      </c>
      <c r="D18">
        <v>0</v>
      </c>
      <c r="E18" t="b">
        <v>1</v>
      </c>
      <c r="F18" t="b">
        <v>0</v>
      </c>
      <c r="G18" t="b">
        <v>1</v>
      </c>
      <c r="H18" s="3" t="str">
        <f t="shared" ca="1" si="9"/>
        <v>G0_sfw140%_sfd1.0</v>
      </c>
      <c r="I18" s="21" t="str">
        <f ca="1">IF(MATCH(H18,H$5:H18,0)=(COUNTA(H$5:H18)),"-","Dup")</f>
        <v>-</v>
      </c>
      <c r="J18" s="39" t="str">
        <f t="shared" ca="1" si="10"/>
        <v>-</v>
      </c>
      <c r="K18" s="39" t="b">
        <f t="shared" ca="1" si="10"/>
        <v>0</v>
      </c>
      <c r="L18" s="39" t="b">
        <f t="shared" ca="1" si="10"/>
        <v>1</v>
      </c>
      <c r="M18" s="39" t="str">
        <f t="shared" ca="1" si="10"/>
        <v>-</v>
      </c>
      <c r="N18" s="39" t="str">
        <f t="shared" ca="1" si="10"/>
        <v>-</v>
      </c>
      <c r="O18" s="39" t="str">
        <f t="shared" ca="1" si="10"/>
        <v>-</v>
      </c>
      <c r="P18" s="39" t="str">
        <f t="shared" ca="1" si="10"/>
        <v>-</v>
      </c>
      <c r="Q18" s="39" t="str">
        <f t="shared" ca="1" si="10"/>
        <v>-</v>
      </c>
      <c r="R18" s="39" t="str">
        <f t="shared" ca="1" si="10"/>
        <v>-</v>
      </c>
      <c r="S18" s="39" t="str">
        <f t="shared" ca="1" si="10"/>
        <v>-</v>
      </c>
      <c r="T18" s="39" t="str">
        <f t="shared" ca="1" si="10"/>
        <v>-</v>
      </c>
      <c r="U18" s="39">
        <f t="shared" ca="1" si="10"/>
        <v>0</v>
      </c>
      <c r="V18" s="39">
        <f t="shared" ca="1" si="10"/>
        <v>1</v>
      </c>
      <c r="W18" s="39" t="str">
        <f t="shared" ca="1" si="10"/>
        <v>-</v>
      </c>
      <c r="X18" s="39" t="str">
        <f t="shared" ca="1" si="10"/>
        <v>-</v>
      </c>
      <c r="Y18" s="39">
        <f t="shared" ca="1" si="10"/>
        <v>0</v>
      </c>
      <c r="Z18" s="39">
        <f t="shared" ca="1" si="15"/>
        <v>1</v>
      </c>
      <c r="AA18" s="39" t="str">
        <f t="shared" ca="1" si="15"/>
        <v>-</v>
      </c>
      <c r="AB18" s="39" t="str">
        <f t="shared" ca="1" si="15"/>
        <v>-</v>
      </c>
      <c r="AC18" s="39" t="str">
        <f t="shared" ca="1" si="15"/>
        <v>-</v>
      </c>
      <c r="AD18" s="39" t="str">
        <f t="shared" ca="1" si="15"/>
        <v>-</v>
      </c>
      <c r="AE18" s="39" t="str">
        <f t="shared" ca="1" si="15"/>
        <v>-</v>
      </c>
      <c r="AF18" s="39" t="str">
        <f t="shared" ca="1" si="15"/>
        <v>-</v>
      </c>
      <c r="AG18" s="39" t="str">
        <f t="shared" ca="1" si="13"/>
        <v>-</v>
      </c>
      <c r="AH18" s="39" t="str">
        <f t="shared" ca="1" si="13"/>
        <v>-</v>
      </c>
      <c r="AI18" s="39" t="str">
        <f t="shared" ca="1" si="13"/>
        <v>-</v>
      </c>
      <c r="AJ18" s="39" t="str">
        <f ca="1">OFFSET(AJ$5,$C18,0)</f>
        <v>-</v>
      </c>
      <c r="AK18" s="39" t="str">
        <f ca="1">OFFSET(AK$5,$C18,0)</f>
        <v>-</v>
      </c>
      <c r="AL18" s="39">
        <f t="shared" ca="1" si="15"/>
        <v>57</v>
      </c>
      <c r="AM18" s="39">
        <f t="shared" ca="1" si="15"/>
        <v>1.1499999999999999</v>
      </c>
      <c r="AN18" s="39" t="str">
        <f t="shared" ca="1" si="15"/>
        <v>-</v>
      </c>
      <c r="AO18" s="39">
        <f t="shared" ca="1" si="15"/>
        <v>1.1000000000000001</v>
      </c>
      <c r="AP18" s="36">
        <v>1.4</v>
      </c>
      <c r="AQ18" s="39">
        <f t="shared" ca="1" si="15"/>
        <v>1</v>
      </c>
      <c r="AR18" s="39" t="str">
        <f t="shared" ca="1" si="13"/>
        <v>-</v>
      </c>
      <c r="AS18" s="39" t="str">
        <f t="shared" ca="1" si="13"/>
        <v>-</v>
      </c>
      <c r="AT18" s="39">
        <f t="shared" ca="1" si="13"/>
        <v>0</v>
      </c>
      <c r="AU18" s="39" t="str">
        <f t="shared" ca="1" si="13"/>
        <v>-</v>
      </c>
      <c r="AV18" s="39">
        <f t="shared" ca="1" si="13"/>
        <v>0</v>
      </c>
      <c r="AW18" s="39">
        <f t="shared" ca="1" si="14"/>
        <v>0</v>
      </c>
      <c r="AX18" s="39">
        <f t="shared" ca="1" si="14"/>
        <v>0</v>
      </c>
      <c r="AY18" s="39">
        <f t="shared" ca="1" si="14"/>
        <v>0</v>
      </c>
      <c r="AZ18" s="14"/>
    </row>
    <row r="19" spans="1:52">
      <c r="A19" s="17"/>
      <c r="B19">
        <f t="shared" si="7"/>
        <v>14</v>
      </c>
      <c r="C19" s="38">
        <f t="shared" si="12"/>
        <v>4</v>
      </c>
      <c r="D19">
        <v>0</v>
      </c>
      <c r="E19" t="b">
        <v>1</v>
      </c>
      <c r="F19" t="b">
        <v>0</v>
      </c>
      <c r="G19" t="b">
        <v>1</v>
      </c>
      <c r="H19" s="3" t="str">
        <f t="shared" ca="1" si="9"/>
        <v>G0_sfw150%_sfd1.0</v>
      </c>
      <c r="I19" s="21" t="str">
        <f ca="1">IF(MATCH(H19,H$5:H19,0)=(COUNTA(H$5:H19)),"-","Dup")</f>
        <v>-</v>
      </c>
      <c r="J19" s="39" t="str">
        <f t="shared" ca="1" si="10"/>
        <v>-</v>
      </c>
      <c r="K19" s="39" t="b">
        <f t="shared" ca="1" si="10"/>
        <v>0</v>
      </c>
      <c r="L19" s="39" t="b">
        <f t="shared" ca="1" si="10"/>
        <v>1</v>
      </c>
      <c r="M19" s="39" t="str">
        <f t="shared" ca="1" si="10"/>
        <v>-</v>
      </c>
      <c r="N19" s="39" t="str">
        <f t="shared" ca="1" si="10"/>
        <v>-</v>
      </c>
      <c r="O19" s="39" t="str">
        <f t="shared" ca="1" si="10"/>
        <v>-</v>
      </c>
      <c r="P19" s="39" t="str">
        <f t="shared" ca="1" si="10"/>
        <v>-</v>
      </c>
      <c r="Q19" s="39" t="str">
        <f t="shared" ca="1" si="10"/>
        <v>-</v>
      </c>
      <c r="R19" s="39" t="str">
        <f t="shared" ca="1" si="10"/>
        <v>-</v>
      </c>
      <c r="S19" s="39" t="str">
        <f t="shared" ca="1" si="10"/>
        <v>-</v>
      </c>
      <c r="T19" s="39" t="str">
        <f t="shared" ca="1" si="10"/>
        <v>-</v>
      </c>
      <c r="U19" s="39">
        <f t="shared" ca="1" si="10"/>
        <v>0</v>
      </c>
      <c r="V19" s="39">
        <f t="shared" ca="1" si="10"/>
        <v>1</v>
      </c>
      <c r="W19" s="39" t="str">
        <f t="shared" ca="1" si="10"/>
        <v>-</v>
      </c>
      <c r="X19" s="39" t="str">
        <f t="shared" ca="1" si="10"/>
        <v>-</v>
      </c>
      <c r="Y19" s="39">
        <f t="shared" ca="1" si="10"/>
        <v>0</v>
      </c>
      <c r="Z19" s="39">
        <f t="shared" ca="1" si="15"/>
        <v>1</v>
      </c>
      <c r="AA19" s="39" t="str">
        <f t="shared" ca="1" si="15"/>
        <v>-</v>
      </c>
      <c r="AB19" s="39" t="str">
        <f t="shared" ca="1" si="15"/>
        <v>-</v>
      </c>
      <c r="AC19" s="39" t="str">
        <f t="shared" ca="1" si="15"/>
        <v>-</v>
      </c>
      <c r="AD19" s="39" t="str">
        <f t="shared" ca="1" si="15"/>
        <v>-</v>
      </c>
      <c r="AE19" s="39" t="str">
        <f t="shared" ca="1" si="15"/>
        <v>-</v>
      </c>
      <c r="AF19" s="39" t="str">
        <f t="shared" ca="1" si="15"/>
        <v>-</v>
      </c>
      <c r="AG19" s="39" t="str">
        <f t="shared" ca="1" si="13"/>
        <v>-</v>
      </c>
      <c r="AH19" s="39" t="str">
        <f t="shared" ca="1" si="13"/>
        <v>-</v>
      </c>
      <c r="AI19" s="39" t="str">
        <f t="shared" ca="1" si="13"/>
        <v>-</v>
      </c>
      <c r="AJ19" s="39" t="str">
        <f ca="1">OFFSET(AJ$5,$C19,0)</f>
        <v>-</v>
      </c>
      <c r="AK19" s="39" t="str">
        <f ca="1">OFFSET(AK$5,$C19,0)</f>
        <v>-</v>
      </c>
      <c r="AL19" s="39">
        <f t="shared" ca="1" si="15"/>
        <v>57</v>
      </c>
      <c r="AM19" s="39">
        <f t="shared" ca="1" si="15"/>
        <v>1.1499999999999999</v>
      </c>
      <c r="AN19" s="39" t="str">
        <f t="shared" ca="1" si="15"/>
        <v>-</v>
      </c>
      <c r="AO19" s="39">
        <f t="shared" ca="1" si="15"/>
        <v>1.1000000000000001</v>
      </c>
      <c r="AP19" s="36">
        <v>1.5</v>
      </c>
      <c r="AQ19" s="39">
        <f t="shared" ca="1" si="15"/>
        <v>1</v>
      </c>
      <c r="AR19" s="39" t="str">
        <f t="shared" ca="1" si="13"/>
        <v>-</v>
      </c>
      <c r="AS19" s="39" t="str">
        <f t="shared" ca="1" si="13"/>
        <v>-</v>
      </c>
      <c r="AT19" s="39">
        <f t="shared" ca="1" si="13"/>
        <v>0</v>
      </c>
      <c r="AU19" s="39" t="str">
        <f t="shared" ca="1" si="13"/>
        <v>-</v>
      </c>
      <c r="AV19" s="39">
        <f t="shared" ca="1" si="13"/>
        <v>0</v>
      </c>
      <c r="AW19" s="39">
        <f t="shared" ca="1" si="14"/>
        <v>0</v>
      </c>
      <c r="AX19" s="39">
        <f t="shared" ca="1" si="14"/>
        <v>0</v>
      </c>
      <c r="AY19" s="39">
        <f t="shared" ca="1" si="14"/>
        <v>0</v>
      </c>
      <c r="AZ19" s="14"/>
    </row>
    <row r="20" spans="1:52">
      <c r="A20" s="17"/>
      <c r="B20">
        <f t="shared" si="7"/>
        <v>15</v>
      </c>
      <c r="C20" s="38">
        <f>C12</f>
        <v>4</v>
      </c>
      <c r="D20">
        <v>0</v>
      </c>
      <c r="E20" t="b">
        <v>1</v>
      </c>
      <c r="F20" t="b">
        <v>0</v>
      </c>
      <c r="G20" t="b">
        <v>1</v>
      </c>
      <c r="H20" s="3" t="str">
        <f t="shared" ca="1" si="9"/>
        <v>G0_sfw100%_sfd-0.5</v>
      </c>
      <c r="I20" s="21" t="str">
        <f ca="1">IF(MATCH(H20,H$5:H20,0)=(COUNTA(H$5:H20)),"-","Dup")</f>
        <v>-</v>
      </c>
      <c r="J20" s="39" t="str">
        <f t="shared" ca="1" si="10"/>
        <v>-</v>
      </c>
      <c r="K20" s="39" t="b">
        <f t="shared" ca="1" si="8"/>
        <v>0</v>
      </c>
      <c r="L20" s="39" t="b">
        <f t="shared" ca="1" si="8"/>
        <v>1</v>
      </c>
      <c r="M20" s="39" t="str">
        <f t="shared" ca="1" si="8"/>
        <v>-</v>
      </c>
      <c r="N20" s="39" t="str">
        <f t="shared" ca="1" si="8"/>
        <v>-</v>
      </c>
      <c r="O20" s="39" t="str">
        <f t="shared" ca="1" si="8"/>
        <v>-</v>
      </c>
      <c r="P20" s="39" t="str">
        <f t="shared" ca="1" si="8"/>
        <v>-</v>
      </c>
      <c r="Q20" s="39" t="str">
        <f t="shared" ca="1" si="8"/>
        <v>-</v>
      </c>
      <c r="R20" s="39" t="str">
        <f t="shared" ca="1" si="8"/>
        <v>-</v>
      </c>
      <c r="S20" s="39" t="str">
        <f t="shared" ca="1" si="8"/>
        <v>-</v>
      </c>
      <c r="T20" s="39" t="str">
        <f t="shared" ca="1" si="8"/>
        <v>-</v>
      </c>
      <c r="U20" s="39">
        <f t="shared" ca="1" si="8"/>
        <v>0</v>
      </c>
      <c r="V20" s="39">
        <f t="shared" ca="1" si="8"/>
        <v>1</v>
      </c>
      <c r="W20" s="39" t="str">
        <f t="shared" ca="1" si="8"/>
        <v>-</v>
      </c>
      <c r="X20" s="39" t="str">
        <f t="shared" ca="1" si="8"/>
        <v>-</v>
      </c>
      <c r="Y20" s="39">
        <f t="shared" ca="1" si="8"/>
        <v>0</v>
      </c>
      <c r="Z20" s="39">
        <f t="shared" ca="1" si="8"/>
        <v>1</v>
      </c>
      <c r="AA20" s="39" t="str">
        <f ca="1">OFFSET(AA$5,$C20,0)</f>
        <v>-</v>
      </c>
      <c r="AB20" s="39" t="str">
        <f ca="1">OFFSET(AB$5,$C20,0)</f>
        <v>-</v>
      </c>
      <c r="AC20" s="39" t="str">
        <f ca="1">OFFSET(AC$5,$C20,0)</f>
        <v>-</v>
      </c>
      <c r="AD20" s="39" t="str">
        <f ca="1">OFFSET(AD$5,$C20,0)</f>
        <v>-</v>
      </c>
      <c r="AE20" s="39" t="str">
        <f ca="1">OFFSET(AE$5,$C20,0)</f>
        <v>-</v>
      </c>
      <c r="AF20" s="39" t="str">
        <f ca="1">OFFSET(AF$5,$C20,0)</f>
        <v>-</v>
      </c>
      <c r="AG20" s="39" t="str">
        <f ca="1">OFFSET(AG$5,$C20,0)</f>
        <v>-</v>
      </c>
      <c r="AH20" s="39" t="str">
        <f ca="1">OFFSET(AH$5,$C20,0)</f>
        <v>-</v>
      </c>
      <c r="AI20" s="39" t="str">
        <f ca="1">OFFSET(AI$5,$C20,0)</f>
        <v>-</v>
      </c>
      <c r="AJ20" s="39" t="str">
        <f ca="1">OFFSET(AJ$5,$C20,0)</f>
        <v>-</v>
      </c>
      <c r="AK20" s="39" t="str">
        <f ca="1">OFFSET(AK$5,$C20,0)</f>
        <v>-</v>
      </c>
      <c r="AL20" s="39">
        <f t="shared" ca="1" si="8"/>
        <v>57</v>
      </c>
      <c r="AM20" s="39">
        <f t="shared" ca="1" si="8"/>
        <v>1.1499999999999999</v>
      </c>
      <c r="AN20" s="39" t="str">
        <f t="shared" ca="1" si="8"/>
        <v>-</v>
      </c>
      <c r="AO20" s="39">
        <f t="shared" ca="1" si="8"/>
        <v>1.1000000000000001</v>
      </c>
      <c r="AP20" s="39">
        <f t="shared" ca="1" si="8"/>
        <v>1</v>
      </c>
      <c r="AQ20" s="36">
        <v>-0.5</v>
      </c>
      <c r="AR20" s="39" t="str">
        <f t="shared" ca="1" si="8"/>
        <v>-</v>
      </c>
      <c r="AS20" s="39" t="str">
        <f t="shared" ca="1" si="8"/>
        <v>-</v>
      </c>
      <c r="AT20" s="39">
        <f ca="1">OFFSET(AT$5,$C20,0)</f>
        <v>0</v>
      </c>
      <c r="AU20" s="39" t="str">
        <f t="shared" ca="1" si="8"/>
        <v>-</v>
      </c>
      <c r="AV20" s="39">
        <f t="shared" ca="1" si="8"/>
        <v>0</v>
      </c>
      <c r="AW20" s="39">
        <f t="shared" ca="1" si="8"/>
        <v>0</v>
      </c>
      <c r="AX20" s="39">
        <f t="shared" ca="1" si="8"/>
        <v>0</v>
      </c>
      <c r="AY20" s="39">
        <f t="shared" ca="1" si="8"/>
        <v>0</v>
      </c>
      <c r="AZ20" s="14"/>
    </row>
    <row r="21" spans="1:52">
      <c r="A21" s="17"/>
      <c r="B21">
        <f t="shared" si="7"/>
        <v>16</v>
      </c>
      <c r="C21" s="38">
        <f t="shared" si="11"/>
        <v>4</v>
      </c>
      <c r="D21">
        <v>0</v>
      </c>
      <c r="E21" t="b">
        <v>1</v>
      </c>
      <c r="F21" t="b">
        <v>0</v>
      </c>
      <c r="G21" t="b">
        <v>1</v>
      </c>
      <c r="H21" s="3" t="str">
        <f t="shared" ca="1" si="9"/>
        <v>G0_sfw100%_sfd-0.4</v>
      </c>
      <c r="I21" s="21" t="str">
        <f ca="1">IF(MATCH(H21,H$5:H21,0)=(COUNTA(H$5:H21)),"-","Dup")</f>
        <v>-</v>
      </c>
      <c r="J21" s="39" t="str">
        <f t="shared" ca="1" si="10"/>
        <v>-</v>
      </c>
      <c r="K21" s="39" t="b">
        <f t="shared" ca="1" si="8"/>
        <v>0</v>
      </c>
      <c r="L21" s="39" t="b">
        <f t="shared" ca="1" si="8"/>
        <v>1</v>
      </c>
      <c r="M21" s="39" t="str">
        <f t="shared" ca="1" si="8"/>
        <v>-</v>
      </c>
      <c r="N21" s="39" t="str">
        <f t="shared" ca="1" si="8"/>
        <v>-</v>
      </c>
      <c r="O21" s="39" t="str">
        <f t="shared" ca="1" si="8"/>
        <v>-</v>
      </c>
      <c r="P21" s="39" t="str">
        <f t="shared" ca="1" si="8"/>
        <v>-</v>
      </c>
      <c r="Q21" s="39" t="str">
        <f t="shared" ca="1" si="8"/>
        <v>-</v>
      </c>
      <c r="R21" s="39" t="str">
        <f t="shared" ca="1" si="8"/>
        <v>-</v>
      </c>
      <c r="S21" s="39" t="str">
        <f t="shared" ca="1" si="8"/>
        <v>-</v>
      </c>
      <c r="T21" s="39" t="str">
        <f t="shared" ca="1" si="8"/>
        <v>-</v>
      </c>
      <c r="U21" s="39">
        <f t="shared" ca="1" si="8"/>
        <v>0</v>
      </c>
      <c r="V21" s="39">
        <f t="shared" ca="1" si="8"/>
        <v>1</v>
      </c>
      <c r="W21" s="39" t="str">
        <f t="shared" ca="1" si="8"/>
        <v>-</v>
      </c>
      <c r="X21" s="39" t="str">
        <f t="shared" ca="1" si="8"/>
        <v>-</v>
      </c>
      <c r="Y21" s="39">
        <f t="shared" ca="1" si="8"/>
        <v>0</v>
      </c>
      <c r="Z21" s="39">
        <f t="shared" ca="1" si="8"/>
        <v>1</v>
      </c>
      <c r="AA21" s="39" t="str">
        <f ca="1">OFFSET(AA$5,$C21,0)</f>
        <v>-</v>
      </c>
      <c r="AB21" s="39" t="str">
        <f ca="1">OFFSET(AB$5,$C21,0)</f>
        <v>-</v>
      </c>
      <c r="AC21" s="39" t="str">
        <f ca="1">OFFSET(AC$5,$C21,0)</f>
        <v>-</v>
      </c>
      <c r="AD21" s="39" t="str">
        <f ca="1">OFFSET(AD$5,$C21,0)</f>
        <v>-</v>
      </c>
      <c r="AE21" s="39" t="str">
        <f ca="1">OFFSET(AE$5,$C21,0)</f>
        <v>-</v>
      </c>
      <c r="AF21" s="39" t="str">
        <f ca="1">OFFSET(AF$5,$C21,0)</f>
        <v>-</v>
      </c>
      <c r="AG21" s="39" t="str">
        <f ca="1">OFFSET(AG$5,$C21,0)</f>
        <v>-</v>
      </c>
      <c r="AH21" s="39" t="str">
        <f ca="1">OFFSET(AH$5,$C21,0)</f>
        <v>-</v>
      </c>
      <c r="AI21" s="39" t="str">
        <f ca="1">OFFSET(AI$5,$C21,0)</f>
        <v>-</v>
      </c>
      <c r="AJ21" s="39" t="str">
        <f ca="1">OFFSET(AJ$5,$C21,0)</f>
        <v>-</v>
      </c>
      <c r="AK21" s="39" t="str">
        <f ca="1">OFFSET(AK$5,$C21,0)</f>
        <v>-</v>
      </c>
      <c r="AL21" s="39">
        <f t="shared" ca="1" si="8"/>
        <v>57</v>
      </c>
      <c r="AM21" s="39">
        <f t="shared" ca="1" si="8"/>
        <v>1.1499999999999999</v>
      </c>
      <c r="AN21" s="39" t="str">
        <f t="shared" ca="1" si="8"/>
        <v>-</v>
      </c>
      <c r="AO21" s="39">
        <f t="shared" ca="1" si="8"/>
        <v>1.1000000000000001</v>
      </c>
      <c r="AP21" s="39">
        <f t="shared" ca="1" si="8"/>
        <v>1</v>
      </c>
      <c r="AQ21" s="36">
        <v>-0.4</v>
      </c>
      <c r="AR21" s="39" t="str">
        <f t="shared" ca="1" si="8"/>
        <v>-</v>
      </c>
      <c r="AS21" s="39" t="str">
        <f t="shared" ca="1" si="8"/>
        <v>-</v>
      </c>
      <c r="AT21" s="39">
        <f ca="1">OFFSET(AT$5,$C21,0)</f>
        <v>0</v>
      </c>
      <c r="AU21" s="39" t="str">
        <f t="shared" ca="1" si="8"/>
        <v>-</v>
      </c>
      <c r="AV21" s="39">
        <f t="shared" ca="1" si="8"/>
        <v>0</v>
      </c>
      <c r="AW21" s="39">
        <f t="shared" ca="1" si="8"/>
        <v>0</v>
      </c>
      <c r="AX21" s="39">
        <f t="shared" ca="1" si="8"/>
        <v>0</v>
      </c>
      <c r="AY21" s="39">
        <f t="shared" ca="1" si="8"/>
        <v>0</v>
      </c>
      <c r="AZ21" s="14"/>
    </row>
    <row r="22" spans="1:52">
      <c r="A22" s="17"/>
      <c r="B22">
        <f t="shared" si="7"/>
        <v>17</v>
      </c>
      <c r="C22" s="38">
        <f t="shared" si="11"/>
        <v>4</v>
      </c>
      <c r="D22">
        <v>0</v>
      </c>
      <c r="E22" t="b">
        <v>1</v>
      </c>
      <c r="F22" t="b">
        <v>0</v>
      </c>
      <c r="G22" t="b">
        <v>1</v>
      </c>
      <c r="H22" s="3" t="str">
        <f t="shared" ca="1" si="9"/>
        <v>G0_sfw100%_sfd-0.3</v>
      </c>
      <c r="I22" s="21" t="str">
        <f ca="1">IF(MATCH(H22,H$5:H22,0)=(COUNTA(H$5:H22)),"-","Dup")</f>
        <v>-</v>
      </c>
      <c r="J22" s="39" t="str">
        <f t="shared" ca="1" si="10"/>
        <v>-</v>
      </c>
      <c r="K22" s="39" t="b">
        <f t="shared" ca="1" si="8"/>
        <v>0</v>
      </c>
      <c r="L22" s="39" t="b">
        <f t="shared" ca="1" si="8"/>
        <v>1</v>
      </c>
      <c r="M22" s="39" t="str">
        <f t="shared" ca="1" si="8"/>
        <v>-</v>
      </c>
      <c r="N22" s="39" t="str">
        <f t="shared" ca="1" si="8"/>
        <v>-</v>
      </c>
      <c r="O22" s="39" t="str">
        <f t="shared" ca="1" si="8"/>
        <v>-</v>
      </c>
      <c r="P22" s="39" t="str">
        <f t="shared" ca="1" si="8"/>
        <v>-</v>
      </c>
      <c r="Q22" s="39" t="str">
        <f t="shared" ca="1" si="8"/>
        <v>-</v>
      </c>
      <c r="R22" s="39" t="str">
        <f t="shared" ca="1" si="8"/>
        <v>-</v>
      </c>
      <c r="S22" s="39" t="str">
        <f t="shared" ca="1" si="8"/>
        <v>-</v>
      </c>
      <c r="T22" s="39" t="str">
        <f t="shared" ca="1" si="8"/>
        <v>-</v>
      </c>
      <c r="U22" s="39">
        <f t="shared" ca="1" si="8"/>
        <v>0</v>
      </c>
      <c r="V22" s="39">
        <f t="shared" ca="1" si="8"/>
        <v>1</v>
      </c>
      <c r="W22" s="39" t="str">
        <f t="shared" ca="1" si="8"/>
        <v>-</v>
      </c>
      <c r="X22" s="39" t="str">
        <f t="shared" ca="1" si="8"/>
        <v>-</v>
      </c>
      <c r="Y22" s="39">
        <f t="shared" ca="1" si="8"/>
        <v>0</v>
      </c>
      <c r="Z22" s="39">
        <f t="shared" ca="1" si="8"/>
        <v>1</v>
      </c>
      <c r="AA22" s="39" t="str">
        <f ca="1">OFFSET(AA$5,$C22,0)</f>
        <v>-</v>
      </c>
      <c r="AB22" s="39" t="str">
        <f ca="1">OFFSET(AB$5,$C22,0)</f>
        <v>-</v>
      </c>
      <c r="AC22" s="39" t="str">
        <f ca="1">OFFSET(AC$5,$C22,0)</f>
        <v>-</v>
      </c>
      <c r="AD22" s="39" t="str">
        <f ca="1">OFFSET(AD$5,$C22,0)</f>
        <v>-</v>
      </c>
      <c r="AE22" s="39" t="str">
        <f ca="1">OFFSET(AE$5,$C22,0)</f>
        <v>-</v>
      </c>
      <c r="AF22" s="39" t="str">
        <f ca="1">OFFSET(AF$5,$C22,0)</f>
        <v>-</v>
      </c>
      <c r="AG22" s="39" t="str">
        <f ca="1">OFFSET(AG$5,$C22,0)</f>
        <v>-</v>
      </c>
      <c r="AH22" s="39" t="str">
        <f ca="1">OFFSET(AH$5,$C22,0)</f>
        <v>-</v>
      </c>
      <c r="AI22" s="39" t="str">
        <f ca="1">OFFSET(AI$5,$C22,0)</f>
        <v>-</v>
      </c>
      <c r="AJ22" s="39" t="str">
        <f ca="1">OFFSET(AJ$5,$C22,0)</f>
        <v>-</v>
      </c>
      <c r="AK22" s="39" t="str">
        <f ca="1">OFFSET(AK$5,$C22,0)</f>
        <v>-</v>
      </c>
      <c r="AL22" s="39">
        <f t="shared" ca="1" si="8"/>
        <v>57</v>
      </c>
      <c r="AM22" s="39">
        <f t="shared" ca="1" si="8"/>
        <v>1.1499999999999999</v>
      </c>
      <c r="AN22" s="39" t="str">
        <f t="shared" ca="1" si="8"/>
        <v>-</v>
      </c>
      <c r="AO22" s="39">
        <f t="shared" ca="1" si="8"/>
        <v>1.1000000000000001</v>
      </c>
      <c r="AP22" s="39">
        <f t="shared" ca="1" si="8"/>
        <v>1</v>
      </c>
      <c r="AQ22" s="36">
        <v>-0.3</v>
      </c>
      <c r="AR22" s="39" t="str">
        <f t="shared" ca="1" si="8"/>
        <v>-</v>
      </c>
      <c r="AS22" s="39" t="str">
        <f t="shared" ca="1" si="8"/>
        <v>-</v>
      </c>
      <c r="AT22" s="39">
        <f ca="1">OFFSET(AT$5,$C22,0)</f>
        <v>0</v>
      </c>
      <c r="AU22" s="39" t="str">
        <f t="shared" ca="1" si="8"/>
        <v>-</v>
      </c>
      <c r="AV22" s="39">
        <f t="shared" ca="1" si="8"/>
        <v>0</v>
      </c>
      <c r="AW22" s="39">
        <f t="shared" ca="1" si="8"/>
        <v>0</v>
      </c>
      <c r="AX22" s="39">
        <f t="shared" ca="1" si="8"/>
        <v>0</v>
      </c>
      <c r="AY22" s="39">
        <f t="shared" ca="1" si="8"/>
        <v>0</v>
      </c>
      <c r="AZ22" s="14"/>
    </row>
    <row r="23" spans="1:52">
      <c r="A23" s="17"/>
      <c r="B23">
        <f t="shared" si="7"/>
        <v>18</v>
      </c>
      <c r="C23" s="38">
        <f t="shared" ref="C23:C29" si="16">C22</f>
        <v>4</v>
      </c>
      <c r="D23">
        <v>0</v>
      </c>
      <c r="E23" t="b">
        <v>1</v>
      </c>
      <c r="F23" t="b">
        <v>0</v>
      </c>
      <c r="G23" t="b">
        <v>1</v>
      </c>
      <c r="H23" s="3" t="str">
        <f t="shared" ca="1" si="9"/>
        <v>G0_sfw100%_sfd-0.2</v>
      </c>
      <c r="I23" s="21" t="str">
        <f ca="1">IF(MATCH(H23,H$5:H23,0)=(COUNTA(H$5:H23)),"-","Dup")</f>
        <v>-</v>
      </c>
      <c r="J23" s="39" t="str">
        <f t="shared" ca="1" si="10"/>
        <v>-</v>
      </c>
      <c r="K23" s="39" t="b">
        <f t="shared" ca="1" si="10"/>
        <v>0</v>
      </c>
      <c r="L23" s="39" t="b">
        <f t="shared" ca="1" si="10"/>
        <v>1</v>
      </c>
      <c r="M23" s="39" t="str">
        <f t="shared" ca="1" si="10"/>
        <v>-</v>
      </c>
      <c r="N23" s="39" t="str">
        <f t="shared" ca="1" si="10"/>
        <v>-</v>
      </c>
      <c r="O23" s="39" t="str">
        <f t="shared" ca="1" si="10"/>
        <v>-</v>
      </c>
      <c r="P23" s="39" t="str">
        <f t="shared" ca="1" si="10"/>
        <v>-</v>
      </c>
      <c r="Q23" s="39" t="str">
        <f t="shared" ca="1" si="10"/>
        <v>-</v>
      </c>
      <c r="R23" s="39" t="str">
        <f t="shared" ca="1" si="10"/>
        <v>-</v>
      </c>
      <c r="S23" s="39" t="str">
        <f t="shared" ca="1" si="10"/>
        <v>-</v>
      </c>
      <c r="T23" s="39" t="str">
        <f t="shared" ca="1" si="10"/>
        <v>-</v>
      </c>
      <c r="U23" s="39">
        <f t="shared" ca="1" si="10"/>
        <v>0</v>
      </c>
      <c r="V23" s="39">
        <f t="shared" ca="1" si="10"/>
        <v>1</v>
      </c>
      <c r="W23" s="39" t="str">
        <f t="shared" ca="1" si="10"/>
        <v>-</v>
      </c>
      <c r="X23" s="39" t="str">
        <f t="shared" ca="1" si="10"/>
        <v>-</v>
      </c>
      <c r="Y23" s="39">
        <f t="shared" ca="1" si="10"/>
        <v>0</v>
      </c>
      <c r="Z23" s="39">
        <f t="shared" ref="Z23:AP29" ca="1" si="17">OFFSET(Z$5,$C23,0)</f>
        <v>1</v>
      </c>
      <c r="AA23" s="39" t="str">
        <f t="shared" ca="1" si="17"/>
        <v>-</v>
      </c>
      <c r="AB23" s="39" t="str">
        <f t="shared" ca="1" si="17"/>
        <v>-</v>
      </c>
      <c r="AC23" s="39" t="str">
        <f t="shared" ca="1" si="17"/>
        <v>-</v>
      </c>
      <c r="AD23" s="39" t="str">
        <f t="shared" ca="1" si="17"/>
        <v>-</v>
      </c>
      <c r="AE23" s="39" t="str">
        <f t="shared" ca="1" si="17"/>
        <v>-</v>
      </c>
      <c r="AF23" s="39" t="str">
        <f t="shared" ca="1" si="17"/>
        <v>-</v>
      </c>
      <c r="AG23" s="39" t="str">
        <f t="shared" ca="1" si="17"/>
        <v>-</v>
      </c>
      <c r="AH23" s="39" t="str">
        <f t="shared" ca="1" si="17"/>
        <v>-</v>
      </c>
      <c r="AI23" s="39" t="str">
        <f t="shared" ca="1" si="17"/>
        <v>-</v>
      </c>
      <c r="AJ23" s="39" t="str">
        <f ca="1">OFFSET(AJ$5,$C23,0)</f>
        <v>-</v>
      </c>
      <c r="AK23" s="39" t="str">
        <f ca="1">OFFSET(AK$5,$C23,0)</f>
        <v>-</v>
      </c>
      <c r="AL23" s="39">
        <f t="shared" ca="1" si="17"/>
        <v>57</v>
      </c>
      <c r="AM23" s="39">
        <f t="shared" ca="1" si="17"/>
        <v>1.1499999999999999</v>
      </c>
      <c r="AN23" s="39" t="str">
        <f t="shared" ca="1" si="17"/>
        <v>-</v>
      </c>
      <c r="AO23" s="39">
        <f t="shared" ca="1" si="17"/>
        <v>1.1000000000000001</v>
      </c>
      <c r="AP23" s="39">
        <f t="shared" ca="1" si="17"/>
        <v>1</v>
      </c>
      <c r="AQ23" s="36">
        <v>-0.2</v>
      </c>
      <c r="AR23" s="39" t="str">
        <f t="shared" ref="AR23:AY29" ca="1" si="18">OFFSET(AR$5,$C23,0)</f>
        <v>-</v>
      </c>
      <c r="AS23" s="39" t="str">
        <f t="shared" ca="1" si="18"/>
        <v>-</v>
      </c>
      <c r="AT23" s="39">
        <f t="shared" ca="1" si="18"/>
        <v>0</v>
      </c>
      <c r="AU23" s="39" t="str">
        <f t="shared" ca="1" si="18"/>
        <v>-</v>
      </c>
      <c r="AV23" s="39">
        <f t="shared" ca="1" si="18"/>
        <v>0</v>
      </c>
      <c r="AW23" s="39">
        <f t="shared" ca="1" si="18"/>
        <v>0</v>
      </c>
      <c r="AX23" s="39">
        <f t="shared" ca="1" si="18"/>
        <v>0</v>
      </c>
      <c r="AY23" s="39">
        <f t="shared" ca="1" si="18"/>
        <v>0</v>
      </c>
      <c r="AZ23" s="14"/>
    </row>
    <row r="24" spans="1:52">
      <c r="A24" s="17"/>
      <c r="B24">
        <f t="shared" si="7"/>
        <v>19</v>
      </c>
      <c r="C24" s="38">
        <f t="shared" si="16"/>
        <v>4</v>
      </c>
      <c r="D24">
        <v>0</v>
      </c>
      <c r="E24" t="b">
        <v>1</v>
      </c>
      <c r="F24" t="b">
        <v>0</v>
      </c>
      <c r="G24" t="b">
        <v>1</v>
      </c>
      <c r="H24" s="3" t="str">
        <f t="shared" ca="1" si="9"/>
        <v>G0_sfw100%_sfd-0.1</v>
      </c>
      <c r="I24" s="21" t="str">
        <f ca="1">IF(MATCH(H24,H$5:H24,0)=(COUNTA(H$5:H24)),"-","Dup")</f>
        <v>-</v>
      </c>
      <c r="J24" s="39" t="str">
        <f t="shared" ca="1" si="10"/>
        <v>-</v>
      </c>
      <c r="K24" s="39" t="b">
        <f t="shared" ca="1" si="10"/>
        <v>0</v>
      </c>
      <c r="L24" s="39" t="b">
        <f t="shared" ca="1" si="10"/>
        <v>1</v>
      </c>
      <c r="M24" s="39" t="str">
        <f t="shared" ca="1" si="10"/>
        <v>-</v>
      </c>
      <c r="N24" s="39" t="str">
        <f t="shared" ca="1" si="10"/>
        <v>-</v>
      </c>
      <c r="O24" s="39" t="str">
        <f t="shared" ca="1" si="10"/>
        <v>-</v>
      </c>
      <c r="P24" s="39" t="str">
        <f t="shared" ca="1" si="10"/>
        <v>-</v>
      </c>
      <c r="Q24" s="39" t="str">
        <f t="shared" ca="1" si="10"/>
        <v>-</v>
      </c>
      <c r="R24" s="39" t="str">
        <f t="shared" ca="1" si="10"/>
        <v>-</v>
      </c>
      <c r="S24" s="39" t="str">
        <f t="shared" ca="1" si="10"/>
        <v>-</v>
      </c>
      <c r="T24" s="39" t="str">
        <f t="shared" ca="1" si="10"/>
        <v>-</v>
      </c>
      <c r="U24" s="39">
        <f t="shared" ca="1" si="10"/>
        <v>0</v>
      </c>
      <c r="V24" s="39">
        <f t="shared" ca="1" si="10"/>
        <v>1</v>
      </c>
      <c r="W24" s="39" t="str">
        <f t="shared" ca="1" si="10"/>
        <v>-</v>
      </c>
      <c r="X24" s="39" t="str">
        <f t="shared" ca="1" si="10"/>
        <v>-</v>
      </c>
      <c r="Y24" s="39">
        <f t="shared" ca="1" si="10"/>
        <v>0</v>
      </c>
      <c r="Z24" s="39">
        <f t="shared" ca="1" si="17"/>
        <v>1</v>
      </c>
      <c r="AA24" s="39" t="str">
        <f t="shared" ca="1" si="17"/>
        <v>-</v>
      </c>
      <c r="AB24" s="39" t="str">
        <f t="shared" ca="1" si="17"/>
        <v>-</v>
      </c>
      <c r="AC24" s="39" t="str">
        <f t="shared" ca="1" si="17"/>
        <v>-</v>
      </c>
      <c r="AD24" s="39" t="str">
        <f t="shared" ca="1" si="17"/>
        <v>-</v>
      </c>
      <c r="AE24" s="39" t="str">
        <f t="shared" ca="1" si="17"/>
        <v>-</v>
      </c>
      <c r="AF24" s="39" t="str">
        <f t="shared" ca="1" si="17"/>
        <v>-</v>
      </c>
      <c r="AG24" s="39" t="str">
        <f t="shared" ca="1" si="17"/>
        <v>-</v>
      </c>
      <c r="AH24" s="39" t="str">
        <f t="shared" ca="1" si="17"/>
        <v>-</v>
      </c>
      <c r="AI24" s="39" t="str">
        <f t="shared" ca="1" si="17"/>
        <v>-</v>
      </c>
      <c r="AJ24" s="39" t="str">
        <f ca="1">OFFSET(AJ$5,$C24,0)</f>
        <v>-</v>
      </c>
      <c r="AK24" s="39" t="str">
        <f ca="1">OFFSET(AK$5,$C24,0)</f>
        <v>-</v>
      </c>
      <c r="AL24" s="39">
        <f t="shared" ca="1" si="17"/>
        <v>57</v>
      </c>
      <c r="AM24" s="39">
        <f t="shared" ca="1" si="17"/>
        <v>1.1499999999999999</v>
      </c>
      <c r="AN24" s="39" t="str">
        <f t="shared" ca="1" si="17"/>
        <v>-</v>
      </c>
      <c r="AO24" s="39">
        <f t="shared" ca="1" si="17"/>
        <v>1.1000000000000001</v>
      </c>
      <c r="AP24" s="39">
        <f t="shared" ca="1" si="17"/>
        <v>1</v>
      </c>
      <c r="AQ24" s="36">
        <v>-0.1</v>
      </c>
      <c r="AR24" s="39" t="str">
        <f t="shared" ca="1" si="18"/>
        <v>-</v>
      </c>
      <c r="AS24" s="39" t="str">
        <f t="shared" ca="1" si="18"/>
        <v>-</v>
      </c>
      <c r="AT24" s="39">
        <f t="shared" ca="1" si="18"/>
        <v>0</v>
      </c>
      <c r="AU24" s="39" t="str">
        <f t="shared" ca="1" si="18"/>
        <v>-</v>
      </c>
      <c r="AV24" s="39">
        <f t="shared" ca="1" si="18"/>
        <v>0</v>
      </c>
      <c r="AW24" s="39">
        <f t="shared" ca="1" si="18"/>
        <v>0</v>
      </c>
      <c r="AX24" s="39">
        <f t="shared" ca="1" si="18"/>
        <v>0</v>
      </c>
      <c r="AY24" s="39">
        <f t="shared" ca="1" si="18"/>
        <v>0</v>
      </c>
      <c r="AZ24" s="14"/>
    </row>
    <row r="25" spans="1:52">
      <c r="A25" s="17"/>
      <c r="B25">
        <f t="shared" si="7"/>
        <v>20</v>
      </c>
      <c r="C25" s="38">
        <f t="shared" si="16"/>
        <v>4</v>
      </c>
      <c r="D25">
        <v>0</v>
      </c>
      <c r="E25" t="b">
        <v>1</v>
      </c>
      <c r="F25" t="b">
        <v>0</v>
      </c>
      <c r="G25" t="b">
        <v>1</v>
      </c>
      <c r="H25" s="3" t="str">
        <f t="shared" ca="1" si="9"/>
        <v>G0_sfw100%_sfd0.1</v>
      </c>
      <c r="I25" s="21" t="str">
        <f ca="1">IF(MATCH(H25,H$5:H25,0)=(COUNTA(H$5:H25)),"-","Dup")</f>
        <v>-</v>
      </c>
      <c r="J25" s="39" t="str">
        <f t="shared" ca="1" si="10"/>
        <v>-</v>
      </c>
      <c r="K25" s="39" t="b">
        <f t="shared" ca="1" si="10"/>
        <v>0</v>
      </c>
      <c r="L25" s="39" t="b">
        <f t="shared" ca="1" si="10"/>
        <v>1</v>
      </c>
      <c r="M25" s="39" t="str">
        <f t="shared" ca="1" si="10"/>
        <v>-</v>
      </c>
      <c r="N25" s="39" t="str">
        <f t="shared" ca="1" si="10"/>
        <v>-</v>
      </c>
      <c r="O25" s="39" t="str">
        <f t="shared" ca="1" si="10"/>
        <v>-</v>
      </c>
      <c r="P25" s="39" t="str">
        <f t="shared" ca="1" si="10"/>
        <v>-</v>
      </c>
      <c r="Q25" s="39" t="str">
        <f t="shared" ca="1" si="10"/>
        <v>-</v>
      </c>
      <c r="R25" s="39" t="str">
        <f t="shared" ca="1" si="10"/>
        <v>-</v>
      </c>
      <c r="S25" s="39" t="str">
        <f t="shared" ca="1" si="10"/>
        <v>-</v>
      </c>
      <c r="T25" s="39" t="str">
        <f t="shared" ca="1" si="10"/>
        <v>-</v>
      </c>
      <c r="U25" s="39">
        <f t="shared" ca="1" si="10"/>
        <v>0</v>
      </c>
      <c r="V25" s="39">
        <f t="shared" ca="1" si="10"/>
        <v>1</v>
      </c>
      <c r="W25" s="39" t="str">
        <f t="shared" ca="1" si="10"/>
        <v>-</v>
      </c>
      <c r="X25" s="39" t="str">
        <f t="shared" ca="1" si="10"/>
        <v>-</v>
      </c>
      <c r="Y25" s="39">
        <f t="shared" ca="1" si="10"/>
        <v>0</v>
      </c>
      <c r="Z25" s="39">
        <f t="shared" ca="1" si="17"/>
        <v>1</v>
      </c>
      <c r="AA25" s="39" t="str">
        <f t="shared" ca="1" si="17"/>
        <v>-</v>
      </c>
      <c r="AB25" s="39" t="str">
        <f t="shared" ca="1" si="17"/>
        <v>-</v>
      </c>
      <c r="AC25" s="39" t="str">
        <f t="shared" ca="1" si="17"/>
        <v>-</v>
      </c>
      <c r="AD25" s="39" t="str">
        <f t="shared" ca="1" si="17"/>
        <v>-</v>
      </c>
      <c r="AE25" s="39" t="str">
        <f t="shared" ca="1" si="17"/>
        <v>-</v>
      </c>
      <c r="AF25" s="39" t="str">
        <f t="shared" ca="1" si="17"/>
        <v>-</v>
      </c>
      <c r="AG25" s="39" t="str">
        <f t="shared" ca="1" si="17"/>
        <v>-</v>
      </c>
      <c r="AH25" s="39" t="str">
        <f t="shared" ca="1" si="17"/>
        <v>-</v>
      </c>
      <c r="AI25" s="39" t="str">
        <f t="shared" ca="1" si="17"/>
        <v>-</v>
      </c>
      <c r="AJ25" s="39" t="str">
        <f ca="1">OFFSET(AJ$5,$C25,0)</f>
        <v>-</v>
      </c>
      <c r="AK25" s="39" t="str">
        <f ca="1">OFFSET(AK$5,$C25,0)</f>
        <v>-</v>
      </c>
      <c r="AL25" s="39">
        <f t="shared" ca="1" si="17"/>
        <v>57</v>
      </c>
      <c r="AM25" s="39">
        <f t="shared" ca="1" si="17"/>
        <v>1.1499999999999999</v>
      </c>
      <c r="AN25" s="39" t="str">
        <f t="shared" ca="1" si="17"/>
        <v>-</v>
      </c>
      <c r="AO25" s="39">
        <f t="shared" ca="1" si="17"/>
        <v>1.1000000000000001</v>
      </c>
      <c r="AP25" s="39">
        <f t="shared" ca="1" si="17"/>
        <v>1</v>
      </c>
      <c r="AQ25" s="36">
        <v>0.1</v>
      </c>
      <c r="AR25" s="39" t="str">
        <f t="shared" ca="1" si="18"/>
        <v>-</v>
      </c>
      <c r="AS25" s="39" t="str">
        <f t="shared" ca="1" si="18"/>
        <v>-</v>
      </c>
      <c r="AT25" s="39">
        <f t="shared" ca="1" si="18"/>
        <v>0</v>
      </c>
      <c r="AU25" s="39" t="str">
        <f t="shared" ca="1" si="18"/>
        <v>-</v>
      </c>
      <c r="AV25" s="39">
        <f t="shared" ca="1" si="18"/>
        <v>0</v>
      </c>
      <c r="AW25" s="39">
        <f t="shared" ca="1" si="18"/>
        <v>0</v>
      </c>
      <c r="AX25" s="39">
        <f t="shared" ca="1" si="18"/>
        <v>0</v>
      </c>
      <c r="AY25" s="39">
        <f t="shared" ca="1" si="18"/>
        <v>0</v>
      </c>
      <c r="AZ25" s="14"/>
    </row>
    <row r="26" spans="1:52">
      <c r="A26" s="17"/>
      <c r="B26">
        <f t="shared" si="7"/>
        <v>21</v>
      </c>
      <c r="C26" s="38">
        <f t="shared" si="16"/>
        <v>4</v>
      </c>
      <c r="D26">
        <v>0</v>
      </c>
      <c r="E26" t="b">
        <v>1</v>
      </c>
      <c r="F26" t="b">
        <v>0</v>
      </c>
      <c r="G26" t="b">
        <v>1</v>
      </c>
      <c r="H26" s="3" t="str">
        <f t="shared" ca="1" si="9"/>
        <v>G0_sfw100%_sfd0.2</v>
      </c>
      <c r="I26" s="21" t="str">
        <f ca="1">IF(MATCH(H26,H$5:H26,0)=(COUNTA(H$5:H26)),"-","Dup")</f>
        <v>-</v>
      </c>
      <c r="J26" s="39" t="str">
        <f t="shared" ca="1" si="10"/>
        <v>-</v>
      </c>
      <c r="K26" s="39" t="b">
        <f t="shared" ca="1" si="10"/>
        <v>0</v>
      </c>
      <c r="L26" s="39" t="b">
        <f t="shared" ca="1" si="10"/>
        <v>1</v>
      </c>
      <c r="M26" s="39" t="str">
        <f t="shared" ca="1" si="10"/>
        <v>-</v>
      </c>
      <c r="N26" s="39" t="str">
        <f t="shared" ca="1" si="10"/>
        <v>-</v>
      </c>
      <c r="O26" s="39" t="str">
        <f t="shared" ca="1" si="10"/>
        <v>-</v>
      </c>
      <c r="P26" s="39" t="str">
        <f t="shared" ca="1" si="10"/>
        <v>-</v>
      </c>
      <c r="Q26" s="39" t="str">
        <f t="shared" ca="1" si="10"/>
        <v>-</v>
      </c>
      <c r="R26" s="39" t="str">
        <f t="shared" ca="1" si="10"/>
        <v>-</v>
      </c>
      <c r="S26" s="39" t="str">
        <f t="shared" ca="1" si="10"/>
        <v>-</v>
      </c>
      <c r="T26" s="39" t="str">
        <f t="shared" ca="1" si="10"/>
        <v>-</v>
      </c>
      <c r="U26" s="39">
        <f t="shared" ca="1" si="10"/>
        <v>0</v>
      </c>
      <c r="V26" s="39">
        <f t="shared" ca="1" si="10"/>
        <v>1</v>
      </c>
      <c r="W26" s="39" t="str">
        <f t="shared" ca="1" si="10"/>
        <v>-</v>
      </c>
      <c r="X26" s="39" t="str">
        <f t="shared" ca="1" si="10"/>
        <v>-</v>
      </c>
      <c r="Y26" s="39">
        <f t="shared" ca="1" si="10"/>
        <v>0</v>
      </c>
      <c r="Z26" s="39">
        <f t="shared" ca="1" si="17"/>
        <v>1</v>
      </c>
      <c r="AA26" s="39" t="str">
        <f t="shared" ca="1" si="17"/>
        <v>-</v>
      </c>
      <c r="AB26" s="39" t="str">
        <f t="shared" ca="1" si="17"/>
        <v>-</v>
      </c>
      <c r="AC26" s="39" t="str">
        <f t="shared" ca="1" si="17"/>
        <v>-</v>
      </c>
      <c r="AD26" s="39" t="str">
        <f t="shared" ca="1" si="17"/>
        <v>-</v>
      </c>
      <c r="AE26" s="39" t="str">
        <f t="shared" ca="1" si="17"/>
        <v>-</v>
      </c>
      <c r="AF26" s="39" t="str">
        <f t="shared" ca="1" si="17"/>
        <v>-</v>
      </c>
      <c r="AG26" s="39" t="str">
        <f t="shared" ca="1" si="17"/>
        <v>-</v>
      </c>
      <c r="AH26" s="39" t="str">
        <f t="shared" ca="1" si="17"/>
        <v>-</v>
      </c>
      <c r="AI26" s="39" t="str">
        <f t="shared" ca="1" si="17"/>
        <v>-</v>
      </c>
      <c r="AJ26" s="39" t="str">
        <f ca="1">OFFSET(AJ$5,$C26,0)</f>
        <v>-</v>
      </c>
      <c r="AK26" s="39" t="str">
        <f ca="1">OFFSET(AK$5,$C26,0)</f>
        <v>-</v>
      </c>
      <c r="AL26" s="39">
        <f t="shared" ca="1" si="17"/>
        <v>57</v>
      </c>
      <c r="AM26" s="39">
        <f t="shared" ca="1" si="17"/>
        <v>1.1499999999999999</v>
      </c>
      <c r="AN26" s="39" t="str">
        <f t="shared" ca="1" si="17"/>
        <v>-</v>
      </c>
      <c r="AO26" s="39">
        <f t="shared" ca="1" si="17"/>
        <v>1.1000000000000001</v>
      </c>
      <c r="AP26" s="39">
        <f t="shared" ca="1" si="17"/>
        <v>1</v>
      </c>
      <c r="AQ26" s="36">
        <v>0.2</v>
      </c>
      <c r="AR26" s="39" t="str">
        <f t="shared" ca="1" si="18"/>
        <v>-</v>
      </c>
      <c r="AS26" s="39" t="str">
        <f t="shared" ca="1" si="18"/>
        <v>-</v>
      </c>
      <c r="AT26" s="39">
        <f t="shared" ca="1" si="18"/>
        <v>0</v>
      </c>
      <c r="AU26" s="39" t="str">
        <f t="shared" ca="1" si="18"/>
        <v>-</v>
      </c>
      <c r="AV26" s="39">
        <f t="shared" ca="1" si="18"/>
        <v>0</v>
      </c>
      <c r="AW26" s="39">
        <f t="shared" ca="1" si="18"/>
        <v>0</v>
      </c>
      <c r="AX26" s="39">
        <f t="shared" ca="1" si="18"/>
        <v>0</v>
      </c>
      <c r="AY26" s="39">
        <f t="shared" ca="1" si="18"/>
        <v>0</v>
      </c>
      <c r="AZ26" s="14"/>
    </row>
    <row r="27" spans="1:52">
      <c r="A27" s="17"/>
      <c r="B27">
        <f t="shared" si="7"/>
        <v>22</v>
      </c>
      <c r="C27" s="38">
        <f t="shared" si="16"/>
        <v>4</v>
      </c>
      <c r="D27">
        <v>0</v>
      </c>
      <c r="E27" t="b">
        <v>1</v>
      </c>
      <c r="F27" t="b">
        <v>0</v>
      </c>
      <c r="G27" t="b">
        <v>1</v>
      </c>
      <c r="H27" s="3" t="str">
        <f t="shared" ca="1" si="9"/>
        <v>G0_sfw100%_sfd0.3</v>
      </c>
      <c r="I27" s="21" t="str">
        <f ca="1">IF(MATCH(H27,H$5:H27,0)=(COUNTA(H$5:H27)),"-","Dup")</f>
        <v>-</v>
      </c>
      <c r="J27" s="39" t="str">
        <f t="shared" ca="1" si="10"/>
        <v>-</v>
      </c>
      <c r="K27" s="39" t="b">
        <f t="shared" ca="1" si="10"/>
        <v>0</v>
      </c>
      <c r="L27" s="39" t="b">
        <f t="shared" ca="1" si="10"/>
        <v>1</v>
      </c>
      <c r="M27" s="39" t="str">
        <f t="shared" ca="1" si="10"/>
        <v>-</v>
      </c>
      <c r="N27" s="39" t="str">
        <f t="shared" ca="1" si="10"/>
        <v>-</v>
      </c>
      <c r="O27" s="39" t="str">
        <f t="shared" ca="1" si="10"/>
        <v>-</v>
      </c>
      <c r="P27" s="39" t="str">
        <f t="shared" ca="1" si="10"/>
        <v>-</v>
      </c>
      <c r="Q27" s="39" t="str">
        <f t="shared" ca="1" si="10"/>
        <v>-</v>
      </c>
      <c r="R27" s="39" t="str">
        <f t="shared" ca="1" si="10"/>
        <v>-</v>
      </c>
      <c r="S27" s="39" t="str">
        <f t="shared" ca="1" si="10"/>
        <v>-</v>
      </c>
      <c r="T27" s="39" t="str">
        <f t="shared" ca="1" si="10"/>
        <v>-</v>
      </c>
      <c r="U27" s="39">
        <f t="shared" ca="1" si="10"/>
        <v>0</v>
      </c>
      <c r="V27" s="39">
        <f t="shared" ca="1" si="10"/>
        <v>1</v>
      </c>
      <c r="W27" s="39" t="str">
        <f t="shared" ca="1" si="10"/>
        <v>-</v>
      </c>
      <c r="X27" s="39" t="str">
        <f t="shared" ca="1" si="10"/>
        <v>-</v>
      </c>
      <c r="Y27" s="39">
        <f t="shared" ca="1" si="10"/>
        <v>0</v>
      </c>
      <c r="Z27" s="39">
        <f t="shared" ca="1" si="17"/>
        <v>1</v>
      </c>
      <c r="AA27" s="39" t="str">
        <f t="shared" ca="1" si="17"/>
        <v>-</v>
      </c>
      <c r="AB27" s="39" t="str">
        <f t="shared" ca="1" si="17"/>
        <v>-</v>
      </c>
      <c r="AC27" s="39" t="str">
        <f t="shared" ca="1" si="17"/>
        <v>-</v>
      </c>
      <c r="AD27" s="39" t="str">
        <f t="shared" ca="1" si="17"/>
        <v>-</v>
      </c>
      <c r="AE27" s="39" t="str">
        <f t="shared" ca="1" si="17"/>
        <v>-</v>
      </c>
      <c r="AF27" s="39" t="str">
        <f t="shared" ca="1" si="17"/>
        <v>-</v>
      </c>
      <c r="AG27" s="39" t="str">
        <f t="shared" ca="1" si="17"/>
        <v>-</v>
      </c>
      <c r="AH27" s="39" t="str">
        <f t="shared" ca="1" si="17"/>
        <v>-</v>
      </c>
      <c r="AI27" s="39" t="str">
        <f t="shared" ca="1" si="17"/>
        <v>-</v>
      </c>
      <c r="AJ27" s="39" t="str">
        <f ca="1">OFFSET(AJ$5,$C27,0)</f>
        <v>-</v>
      </c>
      <c r="AK27" s="39" t="str">
        <f ca="1">OFFSET(AK$5,$C27,0)</f>
        <v>-</v>
      </c>
      <c r="AL27" s="39">
        <f t="shared" ca="1" si="17"/>
        <v>57</v>
      </c>
      <c r="AM27" s="39">
        <f t="shared" ca="1" si="17"/>
        <v>1.1499999999999999</v>
      </c>
      <c r="AN27" s="39" t="str">
        <f t="shared" ca="1" si="17"/>
        <v>-</v>
      </c>
      <c r="AO27" s="39">
        <f t="shared" ca="1" si="17"/>
        <v>1.1000000000000001</v>
      </c>
      <c r="AP27" s="39">
        <f t="shared" ca="1" si="17"/>
        <v>1</v>
      </c>
      <c r="AQ27" s="36">
        <v>0.3</v>
      </c>
      <c r="AR27" s="39" t="str">
        <f t="shared" ca="1" si="18"/>
        <v>-</v>
      </c>
      <c r="AS27" s="39" t="str">
        <f t="shared" ca="1" si="18"/>
        <v>-</v>
      </c>
      <c r="AT27" s="39">
        <f t="shared" ca="1" si="18"/>
        <v>0</v>
      </c>
      <c r="AU27" s="39" t="str">
        <f t="shared" ca="1" si="18"/>
        <v>-</v>
      </c>
      <c r="AV27" s="39">
        <f t="shared" ca="1" si="18"/>
        <v>0</v>
      </c>
      <c r="AW27" s="39">
        <f t="shared" ca="1" si="18"/>
        <v>0</v>
      </c>
      <c r="AX27" s="39">
        <f t="shared" ca="1" si="18"/>
        <v>0</v>
      </c>
      <c r="AY27" s="39">
        <f t="shared" ca="1" si="18"/>
        <v>0</v>
      </c>
      <c r="AZ27" s="14"/>
    </row>
    <row r="28" spans="1:52">
      <c r="A28" s="17"/>
      <c r="B28">
        <f t="shared" si="7"/>
        <v>23</v>
      </c>
      <c r="C28" s="38">
        <f t="shared" si="16"/>
        <v>4</v>
      </c>
      <c r="D28">
        <v>0</v>
      </c>
      <c r="E28" t="b">
        <v>1</v>
      </c>
      <c r="F28" t="b">
        <v>0</v>
      </c>
      <c r="G28" t="b">
        <v>1</v>
      </c>
      <c r="H28" s="3" t="str">
        <f t="shared" ca="1" si="9"/>
        <v>G0_sfw100%_sfd0.4</v>
      </c>
      <c r="I28" s="21" t="str">
        <f ca="1">IF(MATCH(H28,H$5:H28,0)=(COUNTA(H$5:H28)),"-","Dup")</f>
        <v>-</v>
      </c>
      <c r="J28" s="39" t="str">
        <f t="shared" ca="1" si="10"/>
        <v>-</v>
      </c>
      <c r="K28" s="39" t="b">
        <f t="shared" ca="1" si="10"/>
        <v>0</v>
      </c>
      <c r="L28" s="39" t="b">
        <f t="shared" ca="1" si="10"/>
        <v>1</v>
      </c>
      <c r="M28" s="39" t="str">
        <f t="shared" ca="1" si="10"/>
        <v>-</v>
      </c>
      <c r="N28" s="39" t="str">
        <f t="shared" ca="1" si="10"/>
        <v>-</v>
      </c>
      <c r="O28" s="39" t="str">
        <f t="shared" ca="1" si="10"/>
        <v>-</v>
      </c>
      <c r="P28" s="39" t="str">
        <f t="shared" ca="1" si="10"/>
        <v>-</v>
      </c>
      <c r="Q28" s="39" t="str">
        <f t="shared" ca="1" si="10"/>
        <v>-</v>
      </c>
      <c r="R28" s="39" t="str">
        <f t="shared" ca="1" si="10"/>
        <v>-</v>
      </c>
      <c r="S28" s="39" t="str">
        <f t="shared" ca="1" si="10"/>
        <v>-</v>
      </c>
      <c r="T28" s="39" t="str">
        <f t="shared" ca="1" si="10"/>
        <v>-</v>
      </c>
      <c r="U28" s="39">
        <f t="shared" ca="1" si="10"/>
        <v>0</v>
      </c>
      <c r="V28" s="39">
        <f t="shared" ca="1" si="10"/>
        <v>1</v>
      </c>
      <c r="W28" s="39" t="str">
        <f t="shared" ca="1" si="10"/>
        <v>-</v>
      </c>
      <c r="X28" s="39" t="str">
        <f t="shared" ca="1" si="10"/>
        <v>-</v>
      </c>
      <c r="Y28" s="39">
        <f t="shared" ca="1" si="10"/>
        <v>0</v>
      </c>
      <c r="Z28" s="39">
        <f t="shared" ca="1" si="17"/>
        <v>1</v>
      </c>
      <c r="AA28" s="39" t="str">
        <f t="shared" ca="1" si="17"/>
        <v>-</v>
      </c>
      <c r="AB28" s="39" t="str">
        <f t="shared" ca="1" si="17"/>
        <v>-</v>
      </c>
      <c r="AC28" s="39" t="str">
        <f t="shared" ca="1" si="17"/>
        <v>-</v>
      </c>
      <c r="AD28" s="39" t="str">
        <f t="shared" ca="1" si="17"/>
        <v>-</v>
      </c>
      <c r="AE28" s="39" t="str">
        <f t="shared" ca="1" si="17"/>
        <v>-</v>
      </c>
      <c r="AF28" s="39" t="str">
        <f t="shared" ca="1" si="17"/>
        <v>-</v>
      </c>
      <c r="AG28" s="39" t="str">
        <f t="shared" ca="1" si="17"/>
        <v>-</v>
      </c>
      <c r="AH28" s="39" t="str">
        <f t="shared" ca="1" si="17"/>
        <v>-</v>
      </c>
      <c r="AI28" s="39" t="str">
        <f t="shared" ca="1" si="17"/>
        <v>-</v>
      </c>
      <c r="AJ28" s="39" t="str">
        <f ca="1">OFFSET(AJ$5,$C28,0)</f>
        <v>-</v>
      </c>
      <c r="AK28" s="39" t="str">
        <f ca="1">OFFSET(AK$5,$C28,0)</f>
        <v>-</v>
      </c>
      <c r="AL28" s="39">
        <f t="shared" ca="1" si="17"/>
        <v>57</v>
      </c>
      <c r="AM28" s="39">
        <f t="shared" ca="1" si="17"/>
        <v>1.1499999999999999</v>
      </c>
      <c r="AN28" s="39" t="str">
        <f t="shared" ca="1" si="17"/>
        <v>-</v>
      </c>
      <c r="AO28" s="39">
        <f t="shared" ca="1" si="17"/>
        <v>1.1000000000000001</v>
      </c>
      <c r="AP28" s="39">
        <f t="shared" ca="1" si="17"/>
        <v>1</v>
      </c>
      <c r="AQ28" s="36">
        <v>0.4</v>
      </c>
      <c r="AR28" s="39" t="str">
        <f t="shared" ca="1" si="18"/>
        <v>-</v>
      </c>
      <c r="AS28" s="39" t="str">
        <f t="shared" ca="1" si="18"/>
        <v>-</v>
      </c>
      <c r="AT28" s="39">
        <f t="shared" ca="1" si="18"/>
        <v>0</v>
      </c>
      <c r="AU28" s="39" t="str">
        <f t="shared" ca="1" si="18"/>
        <v>-</v>
      </c>
      <c r="AV28" s="39">
        <f t="shared" ca="1" si="18"/>
        <v>0</v>
      </c>
      <c r="AW28" s="39">
        <f t="shared" ca="1" si="18"/>
        <v>0</v>
      </c>
      <c r="AX28" s="39">
        <f t="shared" ca="1" si="18"/>
        <v>0</v>
      </c>
      <c r="AY28" s="39">
        <f t="shared" ca="1" si="18"/>
        <v>0</v>
      </c>
      <c r="AZ28" s="14"/>
    </row>
    <row r="29" spans="1:52">
      <c r="A29" s="17"/>
      <c r="B29">
        <f t="shared" si="7"/>
        <v>24</v>
      </c>
      <c r="C29" s="38">
        <f t="shared" si="16"/>
        <v>4</v>
      </c>
      <c r="D29">
        <v>0</v>
      </c>
      <c r="E29" t="b">
        <v>1</v>
      </c>
      <c r="F29" t="b">
        <v>0</v>
      </c>
      <c r="G29" t="b">
        <v>1</v>
      </c>
      <c r="H29" s="3" t="str">
        <f t="shared" ca="1" si="9"/>
        <v>G0_sfw100%_sfd0.5</v>
      </c>
      <c r="I29" s="21" t="str">
        <f ca="1">IF(MATCH(H29,H$5:H29,0)=(COUNTA(H$5:H29)),"-","Dup")</f>
        <v>-</v>
      </c>
      <c r="J29" s="39" t="str">
        <f t="shared" ca="1" si="10"/>
        <v>-</v>
      </c>
      <c r="K29" s="39" t="b">
        <f t="shared" ca="1" si="10"/>
        <v>0</v>
      </c>
      <c r="L29" s="39" t="b">
        <f t="shared" ca="1" si="10"/>
        <v>1</v>
      </c>
      <c r="M29" s="39" t="str">
        <f t="shared" ca="1" si="10"/>
        <v>-</v>
      </c>
      <c r="N29" s="39" t="str">
        <f t="shared" ca="1" si="10"/>
        <v>-</v>
      </c>
      <c r="O29" s="39" t="str">
        <f t="shared" ca="1" si="10"/>
        <v>-</v>
      </c>
      <c r="P29" s="39" t="str">
        <f t="shared" ca="1" si="10"/>
        <v>-</v>
      </c>
      <c r="Q29" s="39" t="str">
        <f t="shared" ca="1" si="10"/>
        <v>-</v>
      </c>
      <c r="R29" s="39" t="str">
        <f t="shared" ca="1" si="10"/>
        <v>-</v>
      </c>
      <c r="S29" s="39" t="str">
        <f t="shared" ca="1" si="10"/>
        <v>-</v>
      </c>
      <c r="T29" s="39" t="str">
        <f t="shared" ca="1" si="10"/>
        <v>-</v>
      </c>
      <c r="U29" s="39">
        <f t="shared" ca="1" si="10"/>
        <v>0</v>
      </c>
      <c r="V29" s="39">
        <f t="shared" ca="1" si="10"/>
        <v>1</v>
      </c>
      <c r="W29" s="39" t="str">
        <f t="shared" ca="1" si="10"/>
        <v>-</v>
      </c>
      <c r="X29" s="39" t="str">
        <f t="shared" ca="1" si="10"/>
        <v>-</v>
      </c>
      <c r="Y29" s="39">
        <f t="shared" ca="1" si="10"/>
        <v>0</v>
      </c>
      <c r="Z29" s="39">
        <f t="shared" ca="1" si="17"/>
        <v>1</v>
      </c>
      <c r="AA29" s="39" t="str">
        <f t="shared" ca="1" si="17"/>
        <v>-</v>
      </c>
      <c r="AB29" s="39" t="str">
        <f t="shared" ca="1" si="17"/>
        <v>-</v>
      </c>
      <c r="AC29" s="39" t="str">
        <f t="shared" ca="1" si="17"/>
        <v>-</v>
      </c>
      <c r="AD29" s="39" t="str">
        <f t="shared" ca="1" si="17"/>
        <v>-</v>
      </c>
      <c r="AE29" s="39" t="str">
        <f t="shared" ca="1" si="17"/>
        <v>-</v>
      </c>
      <c r="AF29" s="39" t="str">
        <f t="shared" ca="1" si="17"/>
        <v>-</v>
      </c>
      <c r="AG29" s="39" t="str">
        <f t="shared" ca="1" si="17"/>
        <v>-</v>
      </c>
      <c r="AH29" s="39" t="str">
        <f t="shared" ca="1" si="17"/>
        <v>-</v>
      </c>
      <c r="AI29" s="39" t="str">
        <f t="shared" ca="1" si="17"/>
        <v>-</v>
      </c>
      <c r="AJ29" s="39" t="str">
        <f ca="1">OFFSET(AJ$5,$C29,0)</f>
        <v>-</v>
      </c>
      <c r="AK29" s="39" t="str">
        <f ca="1">OFFSET(AK$5,$C29,0)</f>
        <v>-</v>
      </c>
      <c r="AL29" s="39">
        <f t="shared" ca="1" si="17"/>
        <v>57</v>
      </c>
      <c r="AM29" s="39">
        <f t="shared" ca="1" si="17"/>
        <v>1.1499999999999999</v>
      </c>
      <c r="AN29" s="39" t="str">
        <f t="shared" ca="1" si="17"/>
        <v>-</v>
      </c>
      <c r="AO29" s="39">
        <f t="shared" ca="1" si="17"/>
        <v>1.1000000000000001</v>
      </c>
      <c r="AP29" s="39">
        <f t="shared" ca="1" si="17"/>
        <v>1</v>
      </c>
      <c r="AQ29" s="36">
        <v>0.5</v>
      </c>
      <c r="AR29" s="39" t="str">
        <f t="shared" ca="1" si="18"/>
        <v>-</v>
      </c>
      <c r="AS29" s="39" t="str">
        <f t="shared" ca="1" si="18"/>
        <v>-</v>
      </c>
      <c r="AT29" s="39">
        <f t="shared" ca="1" si="18"/>
        <v>0</v>
      </c>
      <c r="AU29" s="39" t="str">
        <f t="shared" ca="1" si="18"/>
        <v>-</v>
      </c>
      <c r="AV29" s="39">
        <f t="shared" ca="1" si="18"/>
        <v>0</v>
      </c>
      <c r="AW29" s="39">
        <f t="shared" ca="1" si="18"/>
        <v>0</v>
      </c>
      <c r="AX29" s="39">
        <f t="shared" ca="1" si="18"/>
        <v>0</v>
      </c>
      <c r="AY29" s="39">
        <f t="shared" ca="1" si="18"/>
        <v>0</v>
      </c>
      <c r="AZ29" s="14"/>
    </row>
    <row r="30" spans="1:52">
      <c r="A30" s="17"/>
      <c r="B30">
        <f t="shared" si="7"/>
        <v>25</v>
      </c>
      <c r="C30" s="38">
        <f>C22</f>
        <v>4</v>
      </c>
      <c r="D30">
        <v>0</v>
      </c>
      <c r="E30" t="b">
        <v>1</v>
      </c>
      <c r="F30" t="b">
        <v>0</v>
      </c>
      <c r="G30" t="b">
        <v>1</v>
      </c>
      <c r="H30" s="3" t="str">
        <f>"G0_conc"&amp;TEXT($AR30,"0.0")&amp;"_prlf"&amp;TEXT($AS30,"0.0")&amp;"_ra"&amp;TEXT($AT30,"00%")</f>
        <v>G0_conc1.8_prlf2.4_ra-25%</v>
      </c>
      <c r="I30" s="21" t="str">
        <f ca="1">IF(MATCH(H30,H$5:H30,0)=(COUNTA(H$5:H30)),"-","Dup")</f>
        <v>-</v>
      </c>
      <c r="J30" s="39" t="str">
        <f t="shared" ca="1" si="10"/>
        <v>-</v>
      </c>
      <c r="K30" s="39" t="b">
        <f t="shared" ca="1" si="8"/>
        <v>0</v>
      </c>
      <c r="L30" s="39" t="b">
        <f t="shared" ca="1" si="8"/>
        <v>1</v>
      </c>
      <c r="M30" s="39" t="str">
        <f t="shared" ca="1" si="8"/>
        <v>-</v>
      </c>
      <c r="N30" s="39" t="str">
        <f t="shared" ca="1" si="8"/>
        <v>-</v>
      </c>
      <c r="O30" s="39" t="str">
        <f t="shared" ca="1" si="8"/>
        <v>-</v>
      </c>
      <c r="P30" s="39" t="str">
        <f t="shared" ca="1" si="8"/>
        <v>-</v>
      </c>
      <c r="Q30" s="39" t="str">
        <f t="shared" ca="1" si="8"/>
        <v>-</v>
      </c>
      <c r="R30" s="39" t="str">
        <f t="shared" ca="1" si="8"/>
        <v>-</v>
      </c>
      <c r="S30" s="39" t="str">
        <f t="shared" ca="1" si="8"/>
        <v>-</v>
      </c>
      <c r="T30" s="39" t="str">
        <f t="shared" ref="T30:AU39" ca="1" si="19">OFFSET(T$5,$C30,0)</f>
        <v>-</v>
      </c>
      <c r="U30" s="39">
        <f t="shared" ca="1" si="19"/>
        <v>0</v>
      </c>
      <c r="V30" s="39">
        <f t="shared" ca="1" si="19"/>
        <v>1</v>
      </c>
      <c r="W30" s="39" t="str">
        <f t="shared" ca="1" si="19"/>
        <v>-</v>
      </c>
      <c r="X30" s="39" t="str">
        <f t="shared" ca="1" si="19"/>
        <v>-</v>
      </c>
      <c r="Y30" s="39">
        <f t="shared" ca="1" si="19"/>
        <v>0</v>
      </c>
      <c r="Z30" s="39">
        <f t="shared" ca="1" si="19"/>
        <v>1</v>
      </c>
      <c r="AA30" s="39" t="str">
        <f ca="1">OFFSET(AA$5,$C30,0)</f>
        <v>-</v>
      </c>
      <c r="AB30" s="39" t="str">
        <f ca="1">OFFSET(AB$5,$C30,0)</f>
        <v>-</v>
      </c>
      <c r="AC30" s="39" t="str">
        <f ca="1">OFFSET(AC$5,$C30,0)</f>
        <v>-</v>
      </c>
      <c r="AD30" s="39" t="str">
        <f ca="1">OFFSET(AD$5,$C30,0)</f>
        <v>-</v>
      </c>
      <c r="AE30" s="39" t="str">
        <f ca="1">OFFSET(AE$5,$C30,0)</f>
        <v>-</v>
      </c>
      <c r="AF30" s="39" t="str">
        <f ca="1">OFFSET(AF$5,$C30,0)</f>
        <v>-</v>
      </c>
      <c r="AG30" s="39" t="str">
        <f ca="1">OFFSET(AG$5,$C30,0)</f>
        <v>-</v>
      </c>
      <c r="AH30" s="39" t="str">
        <f ca="1">OFFSET(AH$5,$C30,0)</f>
        <v>-</v>
      </c>
      <c r="AI30" s="39" t="str">
        <f ca="1">OFFSET(AI$5,$C30,0)</f>
        <v>-</v>
      </c>
      <c r="AJ30" s="39" t="str">
        <f ca="1">OFFSET(AJ$5,$C30,0)</f>
        <v>-</v>
      </c>
      <c r="AK30" s="39" t="str">
        <f ca="1">OFFSET(AK$5,$C30,0)</f>
        <v>-</v>
      </c>
      <c r="AL30" s="39">
        <f t="shared" ca="1" si="19"/>
        <v>57</v>
      </c>
      <c r="AM30" s="39">
        <f t="shared" ca="1" si="19"/>
        <v>1.1499999999999999</v>
      </c>
      <c r="AN30" s="39" t="str">
        <f t="shared" ca="1" si="19"/>
        <v>-</v>
      </c>
      <c r="AO30" s="39">
        <f t="shared" ca="1" si="19"/>
        <v>1.1000000000000001</v>
      </c>
      <c r="AP30" s="39">
        <f t="shared" ca="1" si="19"/>
        <v>1</v>
      </c>
      <c r="AQ30" s="39">
        <f t="shared" ca="1" si="19"/>
        <v>1</v>
      </c>
      <c r="AR30" s="36">
        <v>1.8</v>
      </c>
      <c r="AS30" s="36">
        <v>2.35</v>
      </c>
      <c r="AT30" s="36">
        <v>-0.25</v>
      </c>
      <c r="AU30" s="39" t="str">
        <f t="shared" ca="1" si="19"/>
        <v>-</v>
      </c>
      <c r="AV30" s="39">
        <f t="shared" ref="AV30:AY39" ca="1" si="20">OFFSET(AV$5,$C30,0)</f>
        <v>0</v>
      </c>
      <c r="AW30" s="39">
        <f t="shared" ca="1" si="20"/>
        <v>0</v>
      </c>
      <c r="AX30" s="39">
        <f t="shared" ca="1" si="20"/>
        <v>0</v>
      </c>
      <c r="AY30" s="39">
        <f t="shared" ca="1" si="20"/>
        <v>0</v>
      </c>
      <c r="AZ30" s="14"/>
    </row>
    <row r="31" spans="1:52">
      <c r="A31" s="17"/>
      <c r="B31">
        <f t="shared" si="7"/>
        <v>26</v>
      </c>
      <c r="C31" s="38">
        <f t="shared" si="11"/>
        <v>4</v>
      </c>
      <c r="D31">
        <v>0</v>
      </c>
      <c r="E31" t="b">
        <v>1</v>
      </c>
      <c r="F31" t="b">
        <v>0</v>
      </c>
      <c r="G31" t="b">
        <v>1</v>
      </c>
      <c r="H31" s="3" t="str">
        <f t="shared" ref="H31:H39" si="21">"G0_conc"&amp;TEXT($AR31,"0.0")&amp;"_prlf"&amp;TEXT($AS31,"0.0")&amp;"_ra"&amp;TEXT($AT31,"00%")</f>
        <v>G0_conc1.7_prlf2.3_ra-20%</v>
      </c>
      <c r="I31" s="21" t="str">
        <f ca="1">IF(MATCH(H31,H$5:H31,0)=(COUNTA(H$5:H31)),"-","Dup")</f>
        <v>-</v>
      </c>
      <c r="J31" s="39" t="str">
        <f t="shared" ca="1" si="10"/>
        <v>-</v>
      </c>
      <c r="K31" s="39" t="b">
        <f t="shared" ca="1" si="10"/>
        <v>0</v>
      </c>
      <c r="L31" s="39" t="b">
        <f t="shared" ca="1" si="10"/>
        <v>1</v>
      </c>
      <c r="M31" s="39" t="str">
        <f t="shared" ca="1" si="10"/>
        <v>-</v>
      </c>
      <c r="N31" s="39" t="str">
        <f t="shared" ca="1" si="10"/>
        <v>-</v>
      </c>
      <c r="O31" s="39" t="str">
        <f t="shared" ca="1" si="10"/>
        <v>-</v>
      </c>
      <c r="P31" s="39" t="str">
        <f t="shared" ca="1" si="10"/>
        <v>-</v>
      </c>
      <c r="Q31" s="39" t="str">
        <f t="shared" ca="1" si="10"/>
        <v>-</v>
      </c>
      <c r="R31" s="39" t="str">
        <f t="shared" ca="1" si="10"/>
        <v>-</v>
      </c>
      <c r="S31" s="39" t="str">
        <f t="shared" ca="1" si="10"/>
        <v>-</v>
      </c>
      <c r="T31" s="39" t="str">
        <f t="shared" ca="1" si="10"/>
        <v>-</v>
      </c>
      <c r="U31" s="39">
        <f t="shared" ca="1" si="10"/>
        <v>0</v>
      </c>
      <c r="V31" s="39">
        <f t="shared" ca="1" si="10"/>
        <v>1</v>
      </c>
      <c r="W31" s="39" t="str">
        <f t="shared" ca="1" si="10"/>
        <v>-</v>
      </c>
      <c r="X31" s="39" t="str">
        <f t="shared" ca="1" si="10"/>
        <v>-</v>
      </c>
      <c r="Y31" s="39">
        <f t="shared" ca="1" si="10"/>
        <v>0</v>
      </c>
      <c r="Z31" s="39">
        <f t="shared" ca="1" si="19"/>
        <v>1</v>
      </c>
      <c r="AA31" s="39" t="str">
        <f ca="1">OFFSET(AA$5,$C31,0)</f>
        <v>-</v>
      </c>
      <c r="AB31" s="39" t="str">
        <f ca="1">OFFSET(AB$5,$C31,0)</f>
        <v>-</v>
      </c>
      <c r="AC31" s="39" t="str">
        <f ca="1">OFFSET(AC$5,$C31,0)</f>
        <v>-</v>
      </c>
      <c r="AD31" s="39" t="str">
        <f ca="1">OFFSET(AD$5,$C31,0)</f>
        <v>-</v>
      </c>
      <c r="AE31" s="39" t="str">
        <f ca="1">OFFSET(AE$5,$C31,0)</f>
        <v>-</v>
      </c>
      <c r="AF31" s="39" t="str">
        <f ca="1">OFFSET(AF$5,$C31,0)</f>
        <v>-</v>
      </c>
      <c r="AG31" s="39" t="str">
        <f ca="1">OFFSET(AG$5,$C31,0)</f>
        <v>-</v>
      </c>
      <c r="AH31" s="39" t="str">
        <f ca="1">OFFSET(AH$5,$C31,0)</f>
        <v>-</v>
      </c>
      <c r="AI31" s="39" t="str">
        <f ca="1">OFFSET(AI$5,$C31,0)</f>
        <v>-</v>
      </c>
      <c r="AJ31" s="39" t="str">
        <f ca="1">OFFSET(AJ$5,$C31,0)</f>
        <v>-</v>
      </c>
      <c r="AK31" s="39" t="str">
        <f ca="1">OFFSET(AK$5,$C31,0)</f>
        <v>-</v>
      </c>
      <c r="AL31" s="39">
        <f t="shared" ca="1" si="19"/>
        <v>57</v>
      </c>
      <c r="AM31" s="39">
        <f t="shared" ca="1" si="19"/>
        <v>1.1499999999999999</v>
      </c>
      <c r="AN31" s="39" t="str">
        <f t="shared" ca="1" si="19"/>
        <v>-</v>
      </c>
      <c r="AO31" s="39">
        <f t="shared" ca="1" si="19"/>
        <v>1.1000000000000001</v>
      </c>
      <c r="AP31" s="39">
        <f t="shared" ca="1" si="19"/>
        <v>1</v>
      </c>
      <c r="AQ31" s="39">
        <f t="shared" ca="1" si="19"/>
        <v>1</v>
      </c>
      <c r="AR31" s="36">
        <v>1.7</v>
      </c>
      <c r="AS31" s="36">
        <v>2.2999999999999998</v>
      </c>
      <c r="AT31" s="36">
        <v>-0.2</v>
      </c>
      <c r="AU31" s="39" t="str">
        <f t="shared" ca="1" si="19"/>
        <v>-</v>
      </c>
      <c r="AV31" s="39">
        <f t="shared" ca="1" si="20"/>
        <v>0</v>
      </c>
      <c r="AW31" s="39">
        <f t="shared" ca="1" si="20"/>
        <v>0</v>
      </c>
      <c r="AX31" s="39">
        <f t="shared" ca="1" si="20"/>
        <v>0</v>
      </c>
      <c r="AY31" s="39">
        <f t="shared" ca="1" si="20"/>
        <v>0</v>
      </c>
      <c r="AZ31" s="14"/>
    </row>
    <row r="32" spans="1:52">
      <c r="A32" s="17"/>
      <c r="B32">
        <f t="shared" si="7"/>
        <v>27</v>
      </c>
      <c r="C32" s="38">
        <f t="shared" si="11"/>
        <v>4</v>
      </c>
      <c r="D32">
        <v>0</v>
      </c>
      <c r="E32" t="b">
        <v>1</v>
      </c>
      <c r="F32" t="b">
        <v>0</v>
      </c>
      <c r="G32" t="b">
        <v>1</v>
      </c>
      <c r="H32" s="3" t="str">
        <f t="shared" si="21"/>
        <v>G0_conc1.6_prlf2.3_ra-15%</v>
      </c>
      <c r="I32" s="21" t="str">
        <f ca="1">IF(MATCH(H32,H$5:H32,0)=(COUNTA(H$5:H32)),"-","Dup")</f>
        <v>-</v>
      </c>
      <c r="J32" s="39" t="str">
        <f t="shared" ca="1" si="10"/>
        <v>-</v>
      </c>
      <c r="K32" s="39" t="b">
        <f t="shared" ca="1" si="10"/>
        <v>0</v>
      </c>
      <c r="L32" s="39" t="b">
        <f t="shared" ca="1" si="10"/>
        <v>1</v>
      </c>
      <c r="M32" s="39" t="str">
        <f t="shared" ca="1" si="10"/>
        <v>-</v>
      </c>
      <c r="N32" s="39" t="str">
        <f t="shared" ca="1" si="10"/>
        <v>-</v>
      </c>
      <c r="O32" s="39" t="str">
        <f t="shared" ca="1" si="10"/>
        <v>-</v>
      </c>
      <c r="P32" s="39" t="str">
        <f t="shared" ca="1" si="10"/>
        <v>-</v>
      </c>
      <c r="Q32" s="39" t="str">
        <f t="shared" ca="1" si="10"/>
        <v>-</v>
      </c>
      <c r="R32" s="39" t="str">
        <f t="shared" ca="1" si="10"/>
        <v>-</v>
      </c>
      <c r="S32" s="39" t="str">
        <f t="shared" ca="1" si="10"/>
        <v>-</v>
      </c>
      <c r="T32" s="39" t="str">
        <f t="shared" ca="1" si="10"/>
        <v>-</v>
      </c>
      <c r="U32" s="39">
        <f t="shared" ca="1" si="10"/>
        <v>0</v>
      </c>
      <c r="V32" s="39">
        <f t="shared" ca="1" si="10"/>
        <v>1</v>
      </c>
      <c r="W32" s="39" t="str">
        <f t="shared" ca="1" si="10"/>
        <v>-</v>
      </c>
      <c r="X32" s="39" t="str">
        <f t="shared" ca="1" si="10"/>
        <v>-</v>
      </c>
      <c r="Y32" s="39">
        <f t="shared" ca="1" si="10"/>
        <v>0</v>
      </c>
      <c r="Z32" s="39">
        <f t="shared" ca="1" si="19"/>
        <v>1</v>
      </c>
      <c r="AA32" s="39" t="str">
        <f ca="1">OFFSET(AA$5,$C32,0)</f>
        <v>-</v>
      </c>
      <c r="AB32" s="39" t="str">
        <f ca="1">OFFSET(AB$5,$C32,0)</f>
        <v>-</v>
      </c>
      <c r="AC32" s="39" t="str">
        <f ca="1">OFFSET(AC$5,$C32,0)</f>
        <v>-</v>
      </c>
      <c r="AD32" s="39" t="str">
        <f ca="1">OFFSET(AD$5,$C32,0)</f>
        <v>-</v>
      </c>
      <c r="AE32" s="39" t="str">
        <f ca="1">OFFSET(AE$5,$C32,0)</f>
        <v>-</v>
      </c>
      <c r="AF32" s="39" t="str">
        <f ca="1">OFFSET(AF$5,$C32,0)</f>
        <v>-</v>
      </c>
      <c r="AG32" s="39" t="str">
        <f ca="1">OFFSET(AG$5,$C32,0)</f>
        <v>-</v>
      </c>
      <c r="AH32" s="39" t="str">
        <f ca="1">OFFSET(AH$5,$C32,0)</f>
        <v>-</v>
      </c>
      <c r="AI32" s="39" t="str">
        <f ca="1">OFFSET(AI$5,$C32,0)</f>
        <v>-</v>
      </c>
      <c r="AJ32" s="39" t="str">
        <f ca="1">OFFSET(AJ$5,$C32,0)</f>
        <v>-</v>
      </c>
      <c r="AK32" s="39" t="str">
        <f ca="1">OFFSET(AK$5,$C32,0)</f>
        <v>-</v>
      </c>
      <c r="AL32" s="39">
        <f t="shared" ca="1" si="19"/>
        <v>57</v>
      </c>
      <c r="AM32" s="39">
        <f t="shared" ca="1" si="19"/>
        <v>1.1499999999999999</v>
      </c>
      <c r="AN32" s="39" t="str">
        <f t="shared" ca="1" si="19"/>
        <v>-</v>
      </c>
      <c r="AO32" s="39">
        <f t="shared" ca="1" si="19"/>
        <v>1.1000000000000001</v>
      </c>
      <c r="AP32" s="39">
        <f t="shared" ca="1" si="19"/>
        <v>1</v>
      </c>
      <c r="AQ32" s="39">
        <f t="shared" ca="1" si="19"/>
        <v>1</v>
      </c>
      <c r="AR32" s="36">
        <v>1.6</v>
      </c>
      <c r="AS32" s="36">
        <v>2.25</v>
      </c>
      <c r="AT32" s="36">
        <v>-0.15</v>
      </c>
      <c r="AU32" s="39" t="str">
        <f t="shared" ca="1" si="19"/>
        <v>-</v>
      </c>
      <c r="AV32" s="39">
        <f t="shared" ca="1" si="20"/>
        <v>0</v>
      </c>
      <c r="AW32" s="39">
        <f t="shared" ca="1" si="20"/>
        <v>0</v>
      </c>
      <c r="AX32" s="39">
        <f t="shared" ca="1" si="20"/>
        <v>0</v>
      </c>
      <c r="AY32" s="39">
        <f t="shared" ca="1" si="20"/>
        <v>0</v>
      </c>
      <c r="AZ32" s="14"/>
    </row>
    <row r="33" spans="1:52">
      <c r="A33" s="17"/>
      <c r="B33">
        <f t="shared" si="7"/>
        <v>28</v>
      </c>
      <c r="C33" s="38">
        <f t="shared" ref="C33:C39" si="22">C32</f>
        <v>4</v>
      </c>
      <c r="D33">
        <v>0</v>
      </c>
      <c r="E33" t="b">
        <v>1</v>
      </c>
      <c r="F33" t="b">
        <v>0</v>
      </c>
      <c r="G33" t="b">
        <v>1</v>
      </c>
      <c r="H33" s="3" t="str">
        <f t="shared" si="21"/>
        <v>G0_conc1.5_prlf2.2_ra-10%</v>
      </c>
      <c r="I33" s="21" t="str">
        <f ca="1">IF(MATCH(H33,H$5:H33,0)=(COUNTA(H$5:H33)),"-","Dup")</f>
        <v>-</v>
      </c>
      <c r="J33" s="39" t="str">
        <f t="shared" ca="1" si="10"/>
        <v>-</v>
      </c>
      <c r="K33" s="39" t="b">
        <f t="shared" ca="1" si="10"/>
        <v>0</v>
      </c>
      <c r="L33" s="39" t="b">
        <f t="shared" ca="1" si="10"/>
        <v>1</v>
      </c>
      <c r="M33" s="39" t="str">
        <f t="shared" ca="1" si="10"/>
        <v>-</v>
      </c>
      <c r="N33" s="39" t="str">
        <f t="shared" ca="1" si="10"/>
        <v>-</v>
      </c>
      <c r="O33" s="39" t="str">
        <f t="shared" ca="1" si="10"/>
        <v>-</v>
      </c>
      <c r="P33" s="39" t="str">
        <f t="shared" ca="1" si="10"/>
        <v>-</v>
      </c>
      <c r="Q33" s="39" t="str">
        <f t="shared" ca="1" si="10"/>
        <v>-</v>
      </c>
      <c r="R33" s="39" t="str">
        <f t="shared" ca="1" si="10"/>
        <v>-</v>
      </c>
      <c r="S33" s="39" t="str">
        <f t="shared" ca="1" si="10"/>
        <v>-</v>
      </c>
      <c r="T33" s="39" t="str">
        <f t="shared" ca="1" si="10"/>
        <v>-</v>
      </c>
      <c r="U33" s="39">
        <f t="shared" ca="1" si="10"/>
        <v>0</v>
      </c>
      <c r="V33" s="39">
        <f t="shared" ca="1" si="10"/>
        <v>1</v>
      </c>
      <c r="W33" s="39" t="str">
        <f t="shared" ca="1" si="10"/>
        <v>-</v>
      </c>
      <c r="X33" s="39" t="str">
        <f t="shared" ca="1" si="10"/>
        <v>-</v>
      </c>
      <c r="Y33" s="39">
        <f t="shared" ca="1" si="10"/>
        <v>0</v>
      </c>
      <c r="Z33" s="39">
        <f t="shared" ca="1" si="19"/>
        <v>1</v>
      </c>
      <c r="AA33" s="39" t="str">
        <f t="shared" ca="1" si="19"/>
        <v>-</v>
      </c>
      <c r="AB33" s="39" t="str">
        <f t="shared" ca="1" si="19"/>
        <v>-</v>
      </c>
      <c r="AC33" s="39" t="str">
        <f t="shared" ca="1" si="19"/>
        <v>-</v>
      </c>
      <c r="AD33" s="39" t="str">
        <f t="shared" ca="1" si="19"/>
        <v>-</v>
      </c>
      <c r="AE33" s="39" t="str">
        <f t="shared" ca="1" si="19"/>
        <v>-</v>
      </c>
      <c r="AF33" s="39" t="str">
        <f t="shared" ca="1" si="19"/>
        <v>-</v>
      </c>
      <c r="AG33" s="39" t="str">
        <f t="shared" ca="1" si="19"/>
        <v>-</v>
      </c>
      <c r="AH33" s="39" t="str">
        <f t="shared" ca="1" si="19"/>
        <v>-</v>
      </c>
      <c r="AI33" s="39" t="str">
        <f t="shared" ca="1" si="19"/>
        <v>-</v>
      </c>
      <c r="AJ33" s="39" t="str">
        <f ca="1">OFFSET(AJ$5,$C33,0)</f>
        <v>-</v>
      </c>
      <c r="AK33" s="39" t="str">
        <f ca="1">OFFSET(AK$5,$C33,0)</f>
        <v>-</v>
      </c>
      <c r="AL33" s="39">
        <f t="shared" ca="1" si="19"/>
        <v>57</v>
      </c>
      <c r="AM33" s="39">
        <f t="shared" ca="1" si="19"/>
        <v>1.1499999999999999</v>
      </c>
      <c r="AN33" s="39" t="str">
        <f t="shared" ca="1" si="19"/>
        <v>-</v>
      </c>
      <c r="AO33" s="39">
        <f t="shared" ca="1" si="19"/>
        <v>1.1000000000000001</v>
      </c>
      <c r="AP33" s="39">
        <f t="shared" ca="1" si="19"/>
        <v>1</v>
      </c>
      <c r="AQ33" s="39">
        <f t="shared" ca="1" si="19"/>
        <v>1</v>
      </c>
      <c r="AR33" s="36">
        <v>1.5</v>
      </c>
      <c r="AS33" s="36">
        <v>2.2000000000000002</v>
      </c>
      <c r="AT33" s="36">
        <v>-0.1</v>
      </c>
      <c r="AU33" s="39" t="str">
        <f t="shared" ca="1" si="19"/>
        <v>-</v>
      </c>
      <c r="AV33" s="39">
        <f t="shared" ca="1" si="20"/>
        <v>0</v>
      </c>
      <c r="AW33" s="39">
        <f t="shared" ca="1" si="20"/>
        <v>0</v>
      </c>
      <c r="AX33" s="39">
        <f t="shared" ca="1" si="20"/>
        <v>0</v>
      </c>
      <c r="AY33" s="39">
        <f t="shared" ca="1" si="20"/>
        <v>0</v>
      </c>
      <c r="AZ33" s="14"/>
    </row>
    <row r="34" spans="1:52">
      <c r="A34" s="17"/>
      <c r="B34">
        <f t="shared" si="7"/>
        <v>29</v>
      </c>
      <c r="C34" s="38">
        <f t="shared" si="22"/>
        <v>4</v>
      </c>
      <c r="D34">
        <v>0</v>
      </c>
      <c r="E34" t="b">
        <v>1</v>
      </c>
      <c r="F34" t="b">
        <v>0</v>
      </c>
      <c r="G34" t="b">
        <v>1</v>
      </c>
      <c r="H34" s="3" t="str">
        <f t="shared" si="21"/>
        <v>G0_conc1.4_prlf2.1_ra-05%</v>
      </c>
      <c r="I34" s="21" t="str">
        <f ca="1">IF(MATCH(H34,H$5:H34,0)=(COUNTA(H$5:H34)),"-","Dup")</f>
        <v>-</v>
      </c>
      <c r="J34" s="39" t="str">
        <f t="shared" ref="J34:Y39" ca="1" si="23">OFFSET(J$5,$C34,0)</f>
        <v>-</v>
      </c>
      <c r="K34" s="39" t="b">
        <f t="shared" ca="1" si="23"/>
        <v>0</v>
      </c>
      <c r="L34" s="39" t="b">
        <f t="shared" ca="1" si="23"/>
        <v>1</v>
      </c>
      <c r="M34" s="39" t="str">
        <f t="shared" ca="1" si="23"/>
        <v>-</v>
      </c>
      <c r="N34" s="39" t="str">
        <f t="shared" ca="1" si="23"/>
        <v>-</v>
      </c>
      <c r="O34" s="39" t="str">
        <f t="shared" ca="1" si="23"/>
        <v>-</v>
      </c>
      <c r="P34" s="39" t="str">
        <f t="shared" ca="1" si="23"/>
        <v>-</v>
      </c>
      <c r="Q34" s="39" t="str">
        <f t="shared" ca="1" si="23"/>
        <v>-</v>
      </c>
      <c r="R34" s="39" t="str">
        <f t="shared" ca="1" si="23"/>
        <v>-</v>
      </c>
      <c r="S34" s="39" t="str">
        <f t="shared" ca="1" si="23"/>
        <v>-</v>
      </c>
      <c r="T34" s="39" t="str">
        <f t="shared" ca="1" si="23"/>
        <v>-</v>
      </c>
      <c r="U34" s="39">
        <f t="shared" ca="1" si="23"/>
        <v>0</v>
      </c>
      <c r="V34" s="39">
        <f t="shared" ca="1" si="23"/>
        <v>1</v>
      </c>
      <c r="W34" s="39" t="str">
        <f t="shared" ca="1" si="23"/>
        <v>-</v>
      </c>
      <c r="X34" s="39" t="str">
        <f t="shared" ca="1" si="23"/>
        <v>-</v>
      </c>
      <c r="Y34" s="39">
        <f t="shared" ca="1" si="23"/>
        <v>0</v>
      </c>
      <c r="Z34" s="39">
        <f t="shared" ca="1" si="19"/>
        <v>1</v>
      </c>
      <c r="AA34" s="39" t="str">
        <f t="shared" ca="1" si="19"/>
        <v>-</v>
      </c>
      <c r="AB34" s="39" t="str">
        <f t="shared" ca="1" si="19"/>
        <v>-</v>
      </c>
      <c r="AC34" s="39" t="str">
        <f t="shared" ca="1" si="19"/>
        <v>-</v>
      </c>
      <c r="AD34" s="39" t="str">
        <f t="shared" ca="1" si="19"/>
        <v>-</v>
      </c>
      <c r="AE34" s="39" t="str">
        <f t="shared" ca="1" si="19"/>
        <v>-</v>
      </c>
      <c r="AF34" s="39" t="str">
        <f t="shared" ca="1" si="19"/>
        <v>-</v>
      </c>
      <c r="AG34" s="39" t="str">
        <f t="shared" ca="1" si="19"/>
        <v>-</v>
      </c>
      <c r="AH34" s="39" t="str">
        <f t="shared" ca="1" si="19"/>
        <v>-</v>
      </c>
      <c r="AI34" s="39" t="str">
        <f t="shared" ca="1" si="19"/>
        <v>-</v>
      </c>
      <c r="AJ34" s="39" t="str">
        <f ca="1">OFFSET(AJ$5,$C34,0)</f>
        <v>-</v>
      </c>
      <c r="AK34" s="39" t="str">
        <f ca="1">OFFSET(AK$5,$C34,0)</f>
        <v>-</v>
      </c>
      <c r="AL34" s="39">
        <f t="shared" ca="1" si="19"/>
        <v>57</v>
      </c>
      <c r="AM34" s="39">
        <f t="shared" ca="1" si="19"/>
        <v>1.1499999999999999</v>
      </c>
      <c r="AN34" s="39" t="str">
        <f t="shared" ca="1" si="19"/>
        <v>-</v>
      </c>
      <c r="AO34" s="39">
        <f t="shared" ca="1" si="19"/>
        <v>1.1000000000000001</v>
      </c>
      <c r="AP34" s="39">
        <f t="shared" ca="1" si="19"/>
        <v>1</v>
      </c>
      <c r="AQ34" s="39">
        <f t="shared" ca="1" si="19"/>
        <v>1</v>
      </c>
      <c r="AR34" s="36">
        <v>1.4</v>
      </c>
      <c r="AS34" s="36">
        <v>2.1</v>
      </c>
      <c r="AT34" s="36">
        <v>-0.05</v>
      </c>
      <c r="AU34" s="39" t="str">
        <f t="shared" ca="1" si="19"/>
        <v>-</v>
      </c>
      <c r="AV34" s="39">
        <f t="shared" ca="1" si="20"/>
        <v>0</v>
      </c>
      <c r="AW34" s="39">
        <f t="shared" ca="1" si="20"/>
        <v>0</v>
      </c>
      <c r="AX34" s="39">
        <f t="shared" ca="1" si="20"/>
        <v>0</v>
      </c>
      <c r="AY34" s="39">
        <f t="shared" ca="1" si="20"/>
        <v>0</v>
      </c>
      <c r="AZ34" s="14"/>
    </row>
    <row r="35" spans="1:52">
      <c r="A35" s="17"/>
      <c r="B35">
        <f t="shared" si="7"/>
        <v>30</v>
      </c>
      <c r="C35" s="38">
        <f t="shared" si="22"/>
        <v>4</v>
      </c>
      <c r="D35">
        <v>0</v>
      </c>
      <c r="E35" t="b">
        <v>1</v>
      </c>
      <c r="F35" t="b">
        <v>0</v>
      </c>
      <c r="G35" t="b">
        <v>1</v>
      </c>
      <c r="H35" s="3" t="str">
        <f t="shared" si="21"/>
        <v>G0_conc1.3_prlf2.0_ra10%</v>
      </c>
      <c r="I35" s="21" t="str">
        <f ca="1">IF(MATCH(H35,H$5:H35,0)=(COUNTA(H$5:H35)),"-","Dup")</f>
        <v>-</v>
      </c>
      <c r="J35" s="39" t="str">
        <f t="shared" ca="1" si="23"/>
        <v>-</v>
      </c>
      <c r="K35" s="39" t="b">
        <f t="shared" ca="1" si="23"/>
        <v>0</v>
      </c>
      <c r="L35" s="39" t="b">
        <f t="shared" ca="1" si="23"/>
        <v>1</v>
      </c>
      <c r="M35" s="39" t="str">
        <f t="shared" ca="1" si="23"/>
        <v>-</v>
      </c>
      <c r="N35" s="39" t="str">
        <f t="shared" ca="1" si="23"/>
        <v>-</v>
      </c>
      <c r="O35" s="39" t="str">
        <f t="shared" ca="1" si="23"/>
        <v>-</v>
      </c>
      <c r="P35" s="39" t="str">
        <f t="shared" ca="1" si="23"/>
        <v>-</v>
      </c>
      <c r="Q35" s="39" t="str">
        <f t="shared" ca="1" si="23"/>
        <v>-</v>
      </c>
      <c r="R35" s="39" t="str">
        <f t="shared" ca="1" si="23"/>
        <v>-</v>
      </c>
      <c r="S35" s="39" t="str">
        <f t="shared" ca="1" si="23"/>
        <v>-</v>
      </c>
      <c r="T35" s="39" t="str">
        <f t="shared" ca="1" si="23"/>
        <v>-</v>
      </c>
      <c r="U35" s="39">
        <f t="shared" ca="1" si="23"/>
        <v>0</v>
      </c>
      <c r="V35" s="39">
        <f t="shared" ca="1" si="23"/>
        <v>1</v>
      </c>
      <c r="W35" s="39" t="str">
        <f t="shared" ca="1" si="23"/>
        <v>-</v>
      </c>
      <c r="X35" s="39" t="str">
        <f t="shared" ca="1" si="23"/>
        <v>-</v>
      </c>
      <c r="Y35" s="39">
        <f t="shared" ca="1" si="23"/>
        <v>0</v>
      </c>
      <c r="Z35" s="39">
        <f t="shared" ca="1" si="19"/>
        <v>1</v>
      </c>
      <c r="AA35" s="39" t="str">
        <f t="shared" ca="1" si="19"/>
        <v>-</v>
      </c>
      <c r="AB35" s="39" t="str">
        <f t="shared" ca="1" si="19"/>
        <v>-</v>
      </c>
      <c r="AC35" s="39" t="str">
        <f t="shared" ca="1" si="19"/>
        <v>-</v>
      </c>
      <c r="AD35" s="39" t="str">
        <f t="shared" ca="1" si="19"/>
        <v>-</v>
      </c>
      <c r="AE35" s="39" t="str">
        <f t="shared" ca="1" si="19"/>
        <v>-</v>
      </c>
      <c r="AF35" s="39" t="str">
        <f t="shared" ca="1" si="19"/>
        <v>-</v>
      </c>
      <c r="AG35" s="39" t="str">
        <f t="shared" ca="1" si="19"/>
        <v>-</v>
      </c>
      <c r="AH35" s="39" t="str">
        <f t="shared" ca="1" si="19"/>
        <v>-</v>
      </c>
      <c r="AI35" s="39" t="str">
        <f t="shared" ca="1" si="19"/>
        <v>-</v>
      </c>
      <c r="AJ35" s="39" t="str">
        <f ca="1">OFFSET(AJ$5,$C35,0)</f>
        <v>-</v>
      </c>
      <c r="AK35" s="39" t="str">
        <f ca="1">OFFSET(AK$5,$C35,0)</f>
        <v>-</v>
      </c>
      <c r="AL35" s="39">
        <f t="shared" ca="1" si="19"/>
        <v>57</v>
      </c>
      <c r="AM35" s="39">
        <f t="shared" ca="1" si="19"/>
        <v>1.1499999999999999</v>
      </c>
      <c r="AN35" s="39" t="str">
        <f t="shared" ca="1" si="19"/>
        <v>-</v>
      </c>
      <c r="AO35" s="39">
        <f t="shared" ca="1" si="19"/>
        <v>1.1000000000000001</v>
      </c>
      <c r="AP35" s="39">
        <f t="shared" ca="1" si="19"/>
        <v>1</v>
      </c>
      <c r="AQ35" s="39">
        <f t="shared" ca="1" si="19"/>
        <v>1</v>
      </c>
      <c r="AR35" s="36">
        <v>1.3</v>
      </c>
      <c r="AS35" s="36">
        <v>2</v>
      </c>
      <c r="AT35" s="36">
        <v>0.1</v>
      </c>
      <c r="AU35" s="39" t="str">
        <f t="shared" ca="1" si="19"/>
        <v>-</v>
      </c>
      <c r="AV35" s="39">
        <f t="shared" ca="1" si="20"/>
        <v>0</v>
      </c>
      <c r="AW35" s="39">
        <f t="shared" ca="1" si="20"/>
        <v>0</v>
      </c>
      <c r="AX35" s="39">
        <f t="shared" ca="1" si="20"/>
        <v>0</v>
      </c>
      <c r="AY35" s="39">
        <f t="shared" ca="1" si="20"/>
        <v>0</v>
      </c>
      <c r="AZ35" s="14"/>
    </row>
    <row r="36" spans="1:52">
      <c r="A36" s="17"/>
      <c r="B36">
        <f t="shared" si="7"/>
        <v>31</v>
      </c>
      <c r="C36" s="38">
        <f t="shared" si="22"/>
        <v>4</v>
      </c>
      <c r="D36">
        <v>0</v>
      </c>
      <c r="E36" t="b">
        <v>1</v>
      </c>
      <c r="F36" t="b">
        <v>0</v>
      </c>
      <c r="G36" t="b">
        <v>1</v>
      </c>
      <c r="H36" s="3" t="str">
        <f t="shared" si="21"/>
        <v>G0_conc1.2_prlf1.9_ra20%</v>
      </c>
      <c r="I36" s="21" t="str">
        <f ca="1">IF(MATCH(H36,H$5:H36,0)=(COUNTA(H$5:H36)),"-","Dup")</f>
        <v>-</v>
      </c>
      <c r="J36" s="39" t="str">
        <f t="shared" ca="1" si="23"/>
        <v>-</v>
      </c>
      <c r="K36" s="39" t="b">
        <f t="shared" ca="1" si="23"/>
        <v>0</v>
      </c>
      <c r="L36" s="39" t="b">
        <f t="shared" ca="1" si="23"/>
        <v>1</v>
      </c>
      <c r="M36" s="39" t="str">
        <f t="shared" ca="1" si="23"/>
        <v>-</v>
      </c>
      <c r="N36" s="39" t="str">
        <f t="shared" ca="1" si="23"/>
        <v>-</v>
      </c>
      <c r="O36" s="39" t="str">
        <f t="shared" ca="1" si="23"/>
        <v>-</v>
      </c>
      <c r="P36" s="39" t="str">
        <f t="shared" ca="1" si="23"/>
        <v>-</v>
      </c>
      <c r="Q36" s="39" t="str">
        <f t="shared" ca="1" si="23"/>
        <v>-</v>
      </c>
      <c r="R36" s="39" t="str">
        <f t="shared" ca="1" si="23"/>
        <v>-</v>
      </c>
      <c r="S36" s="39" t="str">
        <f t="shared" ca="1" si="23"/>
        <v>-</v>
      </c>
      <c r="T36" s="39" t="str">
        <f t="shared" ca="1" si="23"/>
        <v>-</v>
      </c>
      <c r="U36" s="39">
        <f t="shared" ca="1" si="23"/>
        <v>0</v>
      </c>
      <c r="V36" s="39">
        <f t="shared" ca="1" si="23"/>
        <v>1</v>
      </c>
      <c r="W36" s="39" t="str">
        <f t="shared" ca="1" si="23"/>
        <v>-</v>
      </c>
      <c r="X36" s="39" t="str">
        <f t="shared" ca="1" si="23"/>
        <v>-</v>
      </c>
      <c r="Y36" s="39">
        <f t="shared" ca="1" si="23"/>
        <v>0</v>
      </c>
      <c r="Z36" s="39">
        <f t="shared" ca="1" si="19"/>
        <v>1</v>
      </c>
      <c r="AA36" s="39" t="str">
        <f t="shared" ca="1" si="19"/>
        <v>-</v>
      </c>
      <c r="AB36" s="39" t="str">
        <f t="shared" ca="1" si="19"/>
        <v>-</v>
      </c>
      <c r="AC36" s="39" t="str">
        <f t="shared" ca="1" si="19"/>
        <v>-</v>
      </c>
      <c r="AD36" s="39" t="str">
        <f t="shared" ca="1" si="19"/>
        <v>-</v>
      </c>
      <c r="AE36" s="39" t="str">
        <f t="shared" ca="1" si="19"/>
        <v>-</v>
      </c>
      <c r="AF36" s="39" t="str">
        <f t="shared" ca="1" si="19"/>
        <v>-</v>
      </c>
      <c r="AG36" s="39" t="str">
        <f t="shared" ca="1" si="19"/>
        <v>-</v>
      </c>
      <c r="AH36" s="39" t="str">
        <f t="shared" ca="1" si="19"/>
        <v>-</v>
      </c>
      <c r="AI36" s="39" t="str">
        <f t="shared" ca="1" si="19"/>
        <v>-</v>
      </c>
      <c r="AJ36" s="39" t="str">
        <f ca="1">OFFSET(AJ$5,$C36,0)</f>
        <v>-</v>
      </c>
      <c r="AK36" s="39" t="str">
        <f ca="1">OFFSET(AK$5,$C36,0)</f>
        <v>-</v>
      </c>
      <c r="AL36" s="39">
        <f t="shared" ca="1" si="19"/>
        <v>57</v>
      </c>
      <c r="AM36" s="39">
        <f t="shared" ca="1" si="19"/>
        <v>1.1499999999999999</v>
      </c>
      <c r="AN36" s="39" t="str">
        <f t="shared" ca="1" si="19"/>
        <v>-</v>
      </c>
      <c r="AO36" s="39">
        <f t="shared" ca="1" si="19"/>
        <v>1.1000000000000001</v>
      </c>
      <c r="AP36" s="39">
        <f t="shared" ca="1" si="19"/>
        <v>1</v>
      </c>
      <c r="AQ36" s="39">
        <f t="shared" ca="1" si="19"/>
        <v>1</v>
      </c>
      <c r="AR36" s="36">
        <v>1.2</v>
      </c>
      <c r="AS36" s="36">
        <v>1.9</v>
      </c>
      <c r="AT36" s="36">
        <v>0.2</v>
      </c>
      <c r="AU36" s="39" t="str">
        <f t="shared" ca="1" si="19"/>
        <v>-</v>
      </c>
      <c r="AV36" s="39">
        <f t="shared" ca="1" si="20"/>
        <v>0</v>
      </c>
      <c r="AW36" s="39">
        <f t="shared" ca="1" si="20"/>
        <v>0</v>
      </c>
      <c r="AX36" s="39">
        <f t="shared" ca="1" si="20"/>
        <v>0</v>
      </c>
      <c r="AY36" s="39">
        <f t="shared" ca="1" si="20"/>
        <v>0</v>
      </c>
      <c r="AZ36" s="14"/>
    </row>
    <row r="37" spans="1:52">
      <c r="A37" s="17"/>
      <c r="B37">
        <f t="shared" si="7"/>
        <v>32</v>
      </c>
      <c r="C37" s="38">
        <f t="shared" si="22"/>
        <v>4</v>
      </c>
      <c r="D37">
        <v>0</v>
      </c>
      <c r="E37" t="b">
        <v>1</v>
      </c>
      <c r="F37" t="b">
        <v>0</v>
      </c>
      <c r="G37" t="b">
        <v>1</v>
      </c>
      <c r="H37" s="3" t="str">
        <f t="shared" si="21"/>
        <v>G0_conc1.1_prlf1.8_ra30%</v>
      </c>
      <c r="I37" s="21" t="str">
        <f ca="1">IF(MATCH(H37,H$5:H37,0)=(COUNTA(H$5:H37)),"-","Dup")</f>
        <v>-</v>
      </c>
      <c r="J37" s="39" t="str">
        <f t="shared" ca="1" si="23"/>
        <v>-</v>
      </c>
      <c r="K37" s="39" t="b">
        <f t="shared" ca="1" si="23"/>
        <v>0</v>
      </c>
      <c r="L37" s="39" t="b">
        <f t="shared" ca="1" si="23"/>
        <v>1</v>
      </c>
      <c r="M37" s="39" t="str">
        <f t="shared" ca="1" si="23"/>
        <v>-</v>
      </c>
      <c r="N37" s="39" t="str">
        <f t="shared" ca="1" si="23"/>
        <v>-</v>
      </c>
      <c r="O37" s="39" t="str">
        <f t="shared" ca="1" si="23"/>
        <v>-</v>
      </c>
      <c r="P37" s="39" t="str">
        <f t="shared" ca="1" si="23"/>
        <v>-</v>
      </c>
      <c r="Q37" s="39" t="str">
        <f t="shared" ca="1" si="23"/>
        <v>-</v>
      </c>
      <c r="R37" s="39" t="str">
        <f t="shared" ca="1" si="23"/>
        <v>-</v>
      </c>
      <c r="S37" s="39" t="str">
        <f t="shared" ca="1" si="23"/>
        <v>-</v>
      </c>
      <c r="T37" s="39" t="str">
        <f t="shared" ca="1" si="23"/>
        <v>-</v>
      </c>
      <c r="U37" s="39">
        <f t="shared" ca="1" si="23"/>
        <v>0</v>
      </c>
      <c r="V37" s="39">
        <f t="shared" ca="1" si="23"/>
        <v>1</v>
      </c>
      <c r="W37" s="39" t="str">
        <f t="shared" ca="1" si="23"/>
        <v>-</v>
      </c>
      <c r="X37" s="39" t="str">
        <f t="shared" ca="1" si="23"/>
        <v>-</v>
      </c>
      <c r="Y37" s="39">
        <f t="shared" ca="1" si="23"/>
        <v>0</v>
      </c>
      <c r="Z37" s="39">
        <f t="shared" ca="1" si="19"/>
        <v>1</v>
      </c>
      <c r="AA37" s="39" t="str">
        <f t="shared" ca="1" si="19"/>
        <v>-</v>
      </c>
      <c r="AB37" s="39" t="str">
        <f t="shared" ca="1" si="19"/>
        <v>-</v>
      </c>
      <c r="AC37" s="39" t="str">
        <f t="shared" ca="1" si="19"/>
        <v>-</v>
      </c>
      <c r="AD37" s="39" t="str">
        <f t="shared" ca="1" si="19"/>
        <v>-</v>
      </c>
      <c r="AE37" s="39" t="str">
        <f t="shared" ca="1" si="19"/>
        <v>-</v>
      </c>
      <c r="AF37" s="39" t="str">
        <f t="shared" ca="1" si="19"/>
        <v>-</v>
      </c>
      <c r="AG37" s="39" t="str">
        <f t="shared" ca="1" si="19"/>
        <v>-</v>
      </c>
      <c r="AH37" s="39" t="str">
        <f t="shared" ca="1" si="19"/>
        <v>-</v>
      </c>
      <c r="AI37" s="39" t="str">
        <f t="shared" ca="1" si="19"/>
        <v>-</v>
      </c>
      <c r="AJ37" s="39" t="str">
        <f ca="1">OFFSET(AJ$5,$C37,0)</f>
        <v>-</v>
      </c>
      <c r="AK37" s="39" t="str">
        <f ca="1">OFFSET(AK$5,$C37,0)</f>
        <v>-</v>
      </c>
      <c r="AL37" s="39">
        <f t="shared" ca="1" si="19"/>
        <v>57</v>
      </c>
      <c r="AM37" s="39">
        <f t="shared" ca="1" si="19"/>
        <v>1.1499999999999999</v>
      </c>
      <c r="AN37" s="39" t="str">
        <f t="shared" ca="1" si="19"/>
        <v>-</v>
      </c>
      <c r="AO37" s="39">
        <f t="shared" ca="1" si="19"/>
        <v>1.1000000000000001</v>
      </c>
      <c r="AP37" s="39">
        <f t="shared" ca="1" si="19"/>
        <v>1</v>
      </c>
      <c r="AQ37" s="39">
        <f t="shared" ca="1" si="19"/>
        <v>1</v>
      </c>
      <c r="AR37" s="36">
        <v>1.1000000000000001</v>
      </c>
      <c r="AS37" s="36">
        <v>1.8</v>
      </c>
      <c r="AT37" s="36">
        <v>0.3</v>
      </c>
      <c r="AU37" s="39" t="str">
        <f t="shared" ca="1" si="19"/>
        <v>-</v>
      </c>
      <c r="AV37" s="39">
        <f t="shared" ca="1" si="20"/>
        <v>0</v>
      </c>
      <c r="AW37" s="39">
        <f t="shared" ca="1" si="20"/>
        <v>0</v>
      </c>
      <c r="AX37" s="39">
        <f t="shared" ca="1" si="20"/>
        <v>0</v>
      </c>
      <c r="AY37" s="39">
        <f t="shared" ca="1" si="20"/>
        <v>0</v>
      </c>
      <c r="AZ37" s="14"/>
    </row>
    <row r="38" spans="1:52">
      <c r="A38" s="17"/>
      <c r="B38">
        <f t="shared" si="7"/>
        <v>33</v>
      </c>
      <c r="C38" s="38">
        <f t="shared" si="22"/>
        <v>4</v>
      </c>
      <c r="D38">
        <v>0</v>
      </c>
      <c r="E38" t="b">
        <v>1</v>
      </c>
      <c r="F38" t="b">
        <v>0</v>
      </c>
      <c r="G38" t="b">
        <v>1</v>
      </c>
      <c r="H38" s="3" t="str">
        <f t="shared" si="21"/>
        <v>G0_conc1.0_prlf1.7_ra40%</v>
      </c>
      <c r="I38" s="21" t="str">
        <f ca="1">IF(MATCH(H38,H$5:H38,0)=(COUNTA(H$5:H38)),"-","Dup")</f>
        <v>-</v>
      </c>
      <c r="J38" s="39" t="str">
        <f t="shared" ca="1" si="23"/>
        <v>-</v>
      </c>
      <c r="K38" s="39" t="b">
        <f t="shared" ca="1" si="23"/>
        <v>0</v>
      </c>
      <c r="L38" s="39" t="b">
        <f t="shared" ca="1" si="23"/>
        <v>1</v>
      </c>
      <c r="M38" s="39" t="str">
        <f t="shared" ca="1" si="23"/>
        <v>-</v>
      </c>
      <c r="N38" s="39" t="str">
        <f t="shared" ca="1" si="23"/>
        <v>-</v>
      </c>
      <c r="O38" s="39" t="str">
        <f t="shared" ca="1" si="23"/>
        <v>-</v>
      </c>
      <c r="P38" s="39" t="str">
        <f t="shared" ca="1" si="23"/>
        <v>-</v>
      </c>
      <c r="Q38" s="39" t="str">
        <f t="shared" ca="1" si="23"/>
        <v>-</v>
      </c>
      <c r="R38" s="39" t="str">
        <f t="shared" ca="1" si="23"/>
        <v>-</v>
      </c>
      <c r="S38" s="39" t="str">
        <f t="shared" ca="1" si="23"/>
        <v>-</v>
      </c>
      <c r="T38" s="39" t="str">
        <f t="shared" ca="1" si="23"/>
        <v>-</v>
      </c>
      <c r="U38" s="39">
        <f t="shared" ca="1" si="23"/>
        <v>0</v>
      </c>
      <c r="V38" s="39">
        <f t="shared" ca="1" si="23"/>
        <v>1</v>
      </c>
      <c r="W38" s="39" t="str">
        <f t="shared" ca="1" si="23"/>
        <v>-</v>
      </c>
      <c r="X38" s="39" t="str">
        <f t="shared" ca="1" si="23"/>
        <v>-</v>
      </c>
      <c r="Y38" s="39">
        <f t="shared" ca="1" si="23"/>
        <v>0</v>
      </c>
      <c r="Z38" s="39">
        <f t="shared" ca="1" si="19"/>
        <v>1</v>
      </c>
      <c r="AA38" s="39" t="str">
        <f t="shared" ca="1" si="19"/>
        <v>-</v>
      </c>
      <c r="AB38" s="39" t="str">
        <f t="shared" ca="1" si="19"/>
        <v>-</v>
      </c>
      <c r="AC38" s="39" t="str">
        <f t="shared" ca="1" si="19"/>
        <v>-</v>
      </c>
      <c r="AD38" s="39" t="str">
        <f t="shared" ca="1" si="19"/>
        <v>-</v>
      </c>
      <c r="AE38" s="39" t="str">
        <f t="shared" ca="1" si="19"/>
        <v>-</v>
      </c>
      <c r="AF38" s="39" t="str">
        <f t="shared" ca="1" si="19"/>
        <v>-</v>
      </c>
      <c r="AG38" s="39" t="str">
        <f t="shared" ca="1" si="19"/>
        <v>-</v>
      </c>
      <c r="AH38" s="39" t="str">
        <f t="shared" ca="1" si="19"/>
        <v>-</v>
      </c>
      <c r="AI38" s="39" t="str">
        <f t="shared" ca="1" si="19"/>
        <v>-</v>
      </c>
      <c r="AJ38" s="39" t="str">
        <f ca="1">OFFSET(AJ$5,$C38,0)</f>
        <v>-</v>
      </c>
      <c r="AK38" s="39" t="str">
        <f ca="1">OFFSET(AK$5,$C38,0)</f>
        <v>-</v>
      </c>
      <c r="AL38" s="39">
        <f t="shared" ca="1" si="19"/>
        <v>57</v>
      </c>
      <c r="AM38" s="39">
        <f t="shared" ca="1" si="19"/>
        <v>1.1499999999999999</v>
      </c>
      <c r="AN38" s="39" t="str">
        <f t="shared" ca="1" si="19"/>
        <v>-</v>
      </c>
      <c r="AO38" s="39">
        <f t="shared" ca="1" si="19"/>
        <v>1.1000000000000001</v>
      </c>
      <c r="AP38" s="39">
        <f t="shared" ca="1" si="19"/>
        <v>1</v>
      </c>
      <c r="AQ38" s="39">
        <f t="shared" ca="1" si="19"/>
        <v>1</v>
      </c>
      <c r="AR38" s="36">
        <v>1</v>
      </c>
      <c r="AS38" s="36">
        <v>1.7</v>
      </c>
      <c r="AT38" s="36">
        <v>0.4</v>
      </c>
      <c r="AU38" s="39" t="str">
        <f t="shared" ca="1" si="19"/>
        <v>-</v>
      </c>
      <c r="AV38" s="39">
        <f t="shared" ca="1" si="20"/>
        <v>0</v>
      </c>
      <c r="AW38" s="39">
        <f t="shared" ca="1" si="20"/>
        <v>0</v>
      </c>
      <c r="AX38" s="39">
        <f t="shared" ca="1" si="20"/>
        <v>0</v>
      </c>
      <c r="AY38" s="39">
        <f t="shared" ca="1" si="20"/>
        <v>0</v>
      </c>
      <c r="AZ38" s="14"/>
    </row>
    <row r="39" spans="1:52">
      <c r="A39" s="17"/>
      <c r="B39">
        <f t="shared" si="7"/>
        <v>34</v>
      </c>
      <c r="C39" s="38">
        <f t="shared" si="22"/>
        <v>4</v>
      </c>
      <c r="D39">
        <v>0</v>
      </c>
      <c r="E39" t="b">
        <v>1</v>
      </c>
      <c r="F39" t="b">
        <v>0</v>
      </c>
      <c r="G39" t="b">
        <v>1</v>
      </c>
      <c r="H39" s="3" t="str">
        <f t="shared" si="21"/>
        <v>G0_conc0.9_prlf1.6_ra50%</v>
      </c>
      <c r="I39" s="21" t="str">
        <f ca="1">IF(MATCH(H39,H$5:H39,0)=(COUNTA(H$5:H39)),"-","Dup")</f>
        <v>-</v>
      </c>
      <c r="J39" s="39" t="str">
        <f t="shared" ca="1" si="23"/>
        <v>-</v>
      </c>
      <c r="K39" s="39" t="b">
        <f t="shared" ca="1" si="23"/>
        <v>0</v>
      </c>
      <c r="L39" s="39" t="b">
        <f t="shared" ca="1" si="23"/>
        <v>1</v>
      </c>
      <c r="M39" s="39" t="str">
        <f t="shared" ca="1" si="23"/>
        <v>-</v>
      </c>
      <c r="N39" s="39" t="str">
        <f t="shared" ca="1" si="23"/>
        <v>-</v>
      </c>
      <c r="O39" s="39" t="str">
        <f t="shared" ca="1" si="23"/>
        <v>-</v>
      </c>
      <c r="P39" s="39" t="str">
        <f t="shared" ca="1" si="23"/>
        <v>-</v>
      </c>
      <c r="Q39" s="39" t="str">
        <f t="shared" ca="1" si="23"/>
        <v>-</v>
      </c>
      <c r="R39" s="39" t="str">
        <f t="shared" ca="1" si="23"/>
        <v>-</v>
      </c>
      <c r="S39" s="39" t="str">
        <f t="shared" ca="1" si="23"/>
        <v>-</v>
      </c>
      <c r="T39" s="39" t="str">
        <f t="shared" ca="1" si="23"/>
        <v>-</v>
      </c>
      <c r="U39" s="39">
        <f t="shared" ca="1" si="23"/>
        <v>0</v>
      </c>
      <c r="V39" s="39">
        <f t="shared" ca="1" si="23"/>
        <v>1</v>
      </c>
      <c r="W39" s="39" t="str">
        <f t="shared" ca="1" si="23"/>
        <v>-</v>
      </c>
      <c r="X39" s="39" t="str">
        <f t="shared" ca="1" si="23"/>
        <v>-</v>
      </c>
      <c r="Y39" s="39">
        <f t="shared" ca="1" si="23"/>
        <v>0</v>
      </c>
      <c r="Z39" s="39">
        <f t="shared" ca="1" si="19"/>
        <v>1</v>
      </c>
      <c r="AA39" s="39" t="str">
        <f t="shared" ca="1" si="19"/>
        <v>-</v>
      </c>
      <c r="AB39" s="39" t="str">
        <f t="shared" ca="1" si="19"/>
        <v>-</v>
      </c>
      <c r="AC39" s="39" t="str">
        <f t="shared" ca="1" si="19"/>
        <v>-</v>
      </c>
      <c r="AD39" s="39" t="str">
        <f t="shared" ca="1" si="19"/>
        <v>-</v>
      </c>
      <c r="AE39" s="39" t="str">
        <f t="shared" ca="1" si="19"/>
        <v>-</v>
      </c>
      <c r="AF39" s="39" t="str">
        <f t="shared" ca="1" si="19"/>
        <v>-</v>
      </c>
      <c r="AG39" s="39" t="str">
        <f t="shared" ca="1" si="19"/>
        <v>-</v>
      </c>
      <c r="AH39" s="39" t="str">
        <f t="shared" ca="1" si="19"/>
        <v>-</v>
      </c>
      <c r="AI39" s="39" t="str">
        <f t="shared" ca="1" si="19"/>
        <v>-</v>
      </c>
      <c r="AJ39" s="39" t="str">
        <f ca="1">OFFSET(AJ$5,$C39,0)</f>
        <v>-</v>
      </c>
      <c r="AK39" s="39" t="str">
        <f ca="1">OFFSET(AK$5,$C39,0)</f>
        <v>-</v>
      </c>
      <c r="AL39" s="39">
        <f t="shared" ca="1" si="19"/>
        <v>57</v>
      </c>
      <c r="AM39" s="39">
        <f t="shared" ca="1" si="19"/>
        <v>1.1499999999999999</v>
      </c>
      <c r="AN39" s="39" t="str">
        <f t="shared" ca="1" si="19"/>
        <v>-</v>
      </c>
      <c r="AO39" s="39">
        <f t="shared" ca="1" si="19"/>
        <v>1.1000000000000001</v>
      </c>
      <c r="AP39" s="39">
        <f t="shared" ca="1" si="19"/>
        <v>1</v>
      </c>
      <c r="AQ39" s="39">
        <f t="shared" ca="1" si="19"/>
        <v>1</v>
      </c>
      <c r="AR39" s="36">
        <v>0.9</v>
      </c>
      <c r="AS39" s="36">
        <v>1.6</v>
      </c>
      <c r="AT39" s="36">
        <v>0.5</v>
      </c>
      <c r="AU39" s="39" t="str">
        <f t="shared" ca="1" si="19"/>
        <v>-</v>
      </c>
      <c r="AV39" s="39">
        <f t="shared" ca="1" si="20"/>
        <v>0</v>
      </c>
      <c r="AW39" s="39">
        <f t="shared" ca="1" si="20"/>
        <v>0</v>
      </c>
      <c r="AX39" s="39">
        <f t="shared" ca="1" si="20"/>
        <v>0</v>
      </c>
      <c r="AY39" s="39">
        <f t="shared" ca="1" si="20"/>
        <v>0</v>
      </c>
      <c r="AZ39" s="14"/>
    </row>
    <row r="40" spans="1:52" ht="6.75" customHeight="1">
      <c r="A40" s="18">
        <v>44283.745671296296</v>
      </c>
      <c r="B40" s="14">
        <f>ROW(B40)-5</f>
        <v>35</v>
      </c>
      <c r="C40" s="14"/>
      <c r="D40" s="14" t="b">
        <v>0</v>
      </c>
      <c r="E40" s="14" t="b">
        <v>0</v>
      </c>
      <c r="F40" s="14" t="b">
        <v>0</v>
      </c>
      <c r="G40" s="14" t="b">
        <v>0</v>
      </c>
      <c r="H40" s="14" t="s">
        <v>36</v>
      </c>
      <c r="I40" s="22" t="str">
        <f ca="1">IF(MATCH(H40,H$5:H40,0)=(COUNTA(H$5:H40)),"-","Dup")</f>
        <v>-</v>
      </c>
      <c r="J40" s="20" t="str">
        <f>J$5</f>
        <v>-</v>
      </c>
      <c r="K40" s="20" t="str">
        <f t="shared" ref="K40:O40" si="24">K$5</f>
        <v>-</v>
      </c>
      <c r="L40" s="20" t="str">
        <f t="shared" si="24"/>
        <v>-</v>
      </c>
      <c r="M40" s="20" t="str">
        <f t="shared" si="24"/>
        <v>-</v>
      </c>
      <c r="N40" s="20" t="str">
        <f t="shared" si="24"/>
        <v>-</v>
      </c>
      <c r="O40" s="20" t="str">
        <f t="shared" si="24"/>
        <v>-</v>
      </c>
      <c r="P40" s="20" t="str">
        <f t="shared" ref="P40:Q40" si="25">P$5</f>
        <v>-</v>
      </c>
      <c r="Q40" s="20" t="str">
        <f t="shared" si="25"/>
        <v>-</v>
      </c>
      <c r="R40" s="20" t="str">
        <f t="shared" ref="R40:AY40" si="26">R$5</f>
        <v>-</v>
      </c>
      <c r="S40" s="20" t="str">
        <f t="shared" si="26"/>
        <v>-</v>
      </c>
      <c r="T40" s="20" t="str">
        <f t="shared" si="26"/>
        <v>-</v>
      </c>
      <c r="U40" s="20" t="str">
        <f t="shared" si="26"/>
        <v>-</v>
      </c>
      <c r="V40" s="20" t="str">
        <f t="shared" si="26"/>
        <v>-</v>
      </c>
      <c r="W40" s="20" t="str">
        <f t="shared" si="26"/>
        <v>-</v>
      </c>
      <c r="X40" s="20" t="str">
        <f t="shared" si="26"/>
        <v>-</v>
      </c>
      <c r="Y40" s="20" t="str">
        <f t="shared" si="26"/>
        <v>-</v>
      </c>
      <c r="Z40" s="20" t="str">
        <f t="shared" si="26"/>
        <v>-</v>
      </c>
      <c r="AA40" s="20" t="str">
        <f>AA$5</f>
        <v>-</v>
      </c>
      <c r="AB40" s="20" t="str">
        <f>AB$5</f>
        <v>-</v>
      </c>
      <c r="AC40" s="20" t="str">
        <f>AC$5</f>
        <v>-</v>
      </c>
      <c r="AD40" s="20" t="str">
        <f>AD$5</f>
        <v>-</v>
      </c>
      <c r="AE40" s="20" t="str">
        <f>AE$5</f>
        <v>-</v>
      </c>
      <c r="AF40" s="20" t="str">
        <f>AF$5</f>
        <v>-</v>
      </c>
      <c r="AG40" s="14" t="s">
        <v>52</v>
      </c>
      <c r="AH40" s="14" t="s">
        <v>52</v>
      </c>
      <c r="AI40" s="14" t="s">
        <v>52</v>
      </c>
      <c r="AJ40" s="20" t="str">
        <f>AJ$5</f>
        <v>-</v>
      </c>
      <c r="AK40" s="20" t="str">
        <f>AK$5</f>
        <v>-</v>
      </c>
      <c r="AL40" s="20" t="str">
        <f>AL$5</f>
        <v>-</v>
      </c>
      <c r="AM40" s="20">
        <f>AM$5</f>
        <v>1</v>
      </c>
      <c r="AN40" s="20" t="str">
        <f>AN$5</f>
        <v>-</v>
      </c>
      <c r="AO40" s="20">
        <f>AO$5</f>
        <v>1</v>
      </c>
      <c r="AP40" s="20">
        <f>AP$5</f>
        <v>1</v>
      </c>
      <c r="AQ40" s="20">
        <f>AQ$5</f>
        <v>1</v>
      </c>
      <c r="AR40" s="20" t="str">
        <f>AR$5</f>
        <v>-</v>
      </c>
      <c r="AS40" s="20" t="str">
        <f>AS$5</f>
        <v>-</v>
      </c>
      <c r="AT40" s="20">
        <f>AT$5</f>
        <v>0</v>
      </c>
      <c r="AU40" s="20" t="str">
        <f t="shared" si="26"/>
        <v>-</v>
      </c>
      <c r="AV40" s="20">
        <f t="shared" si="26"/>
        <v>0</v>
      </c>
      <c r="AW40" s="20">
        <f t="shared" si="26"/>
        <v>0</v>
      </c>
      <c r="AX40" s="20">
        <f t="shared" si="26"/>
        <v>0</v>
      </c>
      <c r="AY40" s="20">
        <f t="shared" si="26"/>
        <v>0</v>
      </c>
      <c r="AZ40" s="14">
        <v>0</v>
      </c>
    </row>
  </sheetData>
  <autoFilter ref="A4:AZ40" xr:uid="{A5DE918E-332D-4563-9BCB-E13ECBAD8AE1}"/>
  <phoneticPr fontId="4" type="noConversion"/>
  <conditionalFormatting sqref="E1:G12 E20:G22 E30:G32 E40:G1048576">
    <cfRule type="cellIs" dxfId="7" priority="48" operator="equal">
      <formula>TRUE</formula>
    </cfRule>
  </conditionalFormatting>
  <conditionalFormatting sqref="A1:XFD1">
    <cfRule type="cellIs" dxfId="6" priority="81" operator="equal">
      <formula>"sav"</formula>
    </cfRule>
    <cfRule type="containsText" dxfId="5" priority="85" operator="containsText" text="sam">
      <formula>NOT(ISERROR(SEARCH("sam",A1)))</formula>
    </cfRule>
    <cfRule type="containsText" dxfId="4" priority="86" operator="containsText" text="sap">
      <formula>NOT(ISERROR(SEARCH("sap",A1)))</formula>
    </cfRule>
    <cfRule type="containsText" dxfId="3" priority="87" operator="containsText" text="saa">
      <formula>NOT(ISERROR(SEARCH("saa",A1)))</formula>
    </cfRule>
  </conditionalFormatting>
  <conditionalFormatting sqref="E13:G19">
    <cfRule type="cellIs" dxfId="2" priority="3" operator="equal">
      <formula>TRUE</formula>
    </cfRule>
  </conditionalFormatting>
  <conditionalFormatting sqref="E23:G29">
    <cfRule type="cellIs" dxfId="1" priority="2" operator="equal">
      <formula>TRUE</formula>
    </cfRule>
  </conditionalFormatting>
  <conditionalFormatting sqref="E33:G3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5"/>
  <cols>
    <col min="1" max="1" width="145.140625" customWidth="1"/>
  </cols>
  <sheetData>
    <row r="1" spans="1:1">
      <c r="A1" t="s">
        <v>29</v>
      </c>
    </row>
    <row r="2" spans="1:1">
      <c r="A2" s="9" t="s">
        <v>118</v>
      </c>
    </row>
    <row r="3" spans="1:1">
      <c r="A3" s="9"/>
    </row>
    <row r="4" spans="1:1">
      <c r="A4" s="9"/>
    </row>
    <row r="5" spans="1:1">
      <c r="A5" s="9"/>
    </row>
    <row r="6" spans="1:1">
      <c r="A6" s="9"/>
    </row>
    <row r="7" spans="1:1">
      <c r="A7" s="9"/>
    </row>
    <row r="8" spans="1:1">
      <c r="A8" s="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1"/>
  <sheetViews>
    <sheetView workbookViewId="0">
      <selection activeCell="B9" sqref="B9:B13"/>
    </sheetView>
  </sheetViews>
  <sheetFormatPr defaultRowHeight="15"/>
  <cols>
    <col min="1" max="1" width="21" bestFit="1" customWidth="1"/>
  </cols>
  <sheetData>
    <row r="1" spans="1:3">
      <c r="A1" s="31" t="s">
        <v>55</v>
      </c>
      <c r="B1" s="31" t="s">
        <v>56</v>
      </c>
      <c r="C1" s="31" t="s">
        <v>57</v>
      </c>
    </row>
    <row r="2" spans="1:3">
      <c r="A2" s="30" t="s">
        <v>58</v>
      </c>
      <c r="B2" t="b">
        <v>1</v>
      </c>
      <c r="C2" s="32" t="s">
        <v>63</v>
      </c>
    </row>
    <row r="3" spans="1:3">
      <c r="A3" s="30" t="s">
        <v>59</v>
      </c>
      <c r="B3" t="b">
        <v>1</v>
      </c>
      <c r="C3" s="32" t="s">
        <v>64</v>
      </c>
    </row>
    <row r="4" spans="1:3">
      <c r="A4" s="30" t="s">
        <v>61</v>
      </c>
      <c r="B4" t="b">
        <v>1</v>
      </c>
      <c r="C4" s="32" t="s">
        <v>65</v>
      </c>
    </row>
    <row r="5" spans="1:3">
      <c r="A5" s="30" t="s">
        <v>62</v>
      </c>
      <c r="B5" t="b">
        <v>1</v>
      </c>
      <c r="C5" s="33" t="s">
        <v>66</v>
      </c>
    </row>
    <row r="6" spans="1:3">
      <c r="A6" s="30" t="s">
        <v>67</v>
      </c>
      <c r="B6" t="b">
        <v>1</v>
      </c>
      <c r="C6" s="33" t="s">
        <v>68</v>
      </c>
    </row>
    <row r="7" spans="1:3">
      <c r="A7" s="30" t="s">
        <v>116</v>
      </c>
      <c r="B7" t="b">
        <v>1</v>
      </c>
      <c r="C7" s="33" t="s">
        <v>117</v>
      </c>
    </row>
    <row r="8" spans="1:3">
      <c r="A8" s="30" t="s">
        <v>69</v>
      </c>
      <c r="B8" t="b">
        <v>1</v>
      </c>
      <c r="C8" s="33" t="s">
        <v>70</v>
      </c>
    </row>
    <row r="9" spans="1:3">
      <c r="A9" s="30" t="s">
        <v>71</v>
      </c>
      <c r="B9" t="b">
        <v>0</v>
      </c>
      <c r="C9" s="33" t="s">
        <v>72</v>
      </c>
    </row>
    <row r="10" spans="1:3">
      <c r="A10" s="30" t="s">
        <v>73</v>
      </c>
      <c r="B10" t="b">
        <v>0</v>
      </c>
      <c r="C10" s="33" t="s">
        <v>74</v>
      </c>
    </row>
    <row r="11" spans="1:3">
      <c r="A11" s="30" t="s">
        <v>75</v>
      </c>
      <c r="B11" t="b">
        <v>0</v>
      </c>
      <c r="C11" s="33" t="s">
        <v>76</v>
      </c>
    </row>
    <row r="12" spans="1:3">
      <c r="A12" s="30" t="s">
        <v>77</v>
      </c>
      <c r="B12" t="b">
        <v>0</v>
      </c>
      <c r="C12" s="33" t="s">
        <v>78</v>
      </c>
    </row>
    <row r="13" spans="1:3">
      <c r="A13" s="30" t="s">
        <v>79</v>
      </c>
      <c r="B13" t="b">
        <v>0</v>
      </c>
      <c r="C13" s="33" t="s">
        <v>76</v>
      </c>
    </row>
    <row r="14" spans="1:3">
      <c r="A14" s="30" t="s">
        <v>80</v>
      </c>
      <c r="B14" t="b">
        <v>1</v>
      </c>
      <c r="C14" s="33" t="s">
        <v>81</v>
      </c>
    </row>
    <row r="15" spans="1:3">
      <c r="A15" s="30" t="s">
        <v>82</v>
      </c>
      <c r="B15" t="b">
        <v>1</v>
      </c>
      <c r="C15" s="33" t="s">
        <v>83</v>
      </c>
    </row>
    <row r="16" spans="1:3">
      <c r="A16" s="30" t="s">
        <v>84</v>
      </c>
      <c r="B16" t="b">
        <v>1</v>
      </c>
      <c r="C16" s="33" t="s">
        <v>85</v>
      </c>
    </row>
    <row r="17" spans="1:3">
      <c r="A17" s="30" t="s">
        <v>60</v>
      </c>
      <c r="B17" t="b">
        <v>1</v>
      </c>
      <c r="C17" s="33" t="s">
        <v>86</v>
      </c>
    </row>
    <row r="18" spans="1:3">
      <c r="A18" s="30" t="s">
        <v>87</v>
      </c>
      <c r="B18" t="b">
        <v>1</v>
      </c>
      <c r="C18" s="33" t="s">
        <v>88</v>
      </c>
    </row>
    <row r="19" spans="1:3">
      <c r="A19" s="30" t="s">
        <v>89</v>
      </c>
      <c r="B19" t="b">
        <v>1</v>
      </c>
      <c r="C19" s="33" t="s">
        <v>90</v>
      </c>
    </row>
    <row r="20" spans="1:3">
      <c r="A20" s="30" t="s">
        <v>91</v>
      </c>
      <c r="B20" t="b">
        <v>1</v>
      </c>
      <c r="C20" s="33" t="s">
        <v>92</v>
      </c>
    </row>
    <row r="21" spans="1:3">
      <c r="A21" s="30" t="s">
        <v>93</v>
      </c>
      <c r="B21" t="b">
        <v>1</v>
      </c>
      <c r="C21" s="33" t="s">
        <v>94</v>
      </c>
    </row>
    <row r="22" spans="1:3">
      <c r="A22" s="30" t="s">
        <v>95</v>
      </c>
      <c r="B22" t="b">
        <v>1</v>
      </c>
      <c r="C22" s="33" t="s">
        <v>96</v>
      </c>
    </row>
    <row r="23" spans="1:3">
      <c r="A23" s="30" t="s">
        <v>97</v>
      </c>
      <c r="B23" t="b">
        <v>1</v>
      </c>
      <c r="C23" s="33" t="s">
        <v>98</v>
      </c>
    </row>
    <row r="24" spans="1:3">
      <c r="A24" s="30" t="s">
        <v>99</v>
      </c>
      <c r="B24" t="b">
        <v>1</v>
      </c>
      <c r="C24" s="33" t="s">
        <v>100</v>
      </c>
    </row>
    <row r="25" spans="1:3">
      <c r="A25" s="30" t="s">
        <v>101</v>
      </c>
      <c r="B25" t="b">
        <v>1</v>
      </c>
      <c r="C25" s="33" t="s">
        <v>102</v>
      </c>
    </row>
    <row r="26" spans="1:3">
      <c r="A26" s="30" t="s">
        <v>103</v>
      </c>
      <c r="B26" t="b">
        <v>1</v>
      </c>
      <c r="C26" s="33" t="s">
        <v>104</v>
      </c>
    </row>
    <row r="27" spans="1:3">
      <c r="A27" s="30" t="s">
        <v>105</v>
      </c>
      <c r="B27" t="b">
        <v>1</v>
      </c>
      <c r="C27" s="33" t="s">
        <v>106</v>
      </c>
    </row>
    <row r="28" spans="1:3">
      <c r="A28" s="30" t="s">
        <v>107</v>
      </c>
      <c r="B28" t="b">
        <v>1</v>
      </c>
      <c r="C28" s="33" t="s">
        <v>108</v>
      </c>
    </row>
    <row r="29" spans="1:3">
      <c r="A29" s="30" t="s">
        <v>109</v>
      </c>
      <c r="B29" t="b">
        <v>1</v>
      </c>
      <c r="C29" s="33" t="s">
        <v>108</v>
      </c>
    </row>
    <row r="30" spans="1:3">
      <c r="A30" s="30" t="s">
        <v>110</v>
      </c>
      <c r="B30" t="b">
        <v>1</v>
      </c>
      <c r="C30" s="33" t="s">
        <v>111</v>
      </c>
    </row>
    <row r="31" spans="1:3">
      <c r="A31" s="30" t="s">
        <v>112</v>
      </c>
      <c r="B31" t="b">
        <v>1</v>
      </c>
      <c r="C31" s="33" t="s">
        <v>113</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2021-03-29T14:08:13Z</dcterms:modified>
</cp:coreProperties>
</file>