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AFO\"/>
    </mc:Choice>
  </mc:AlternateContent>
  <xr:revisionPtr revIDLastSave="0" documentId="13_ncr:1_{17B7C2CD-9537-4BDB-9BB9-E9E67603AB26}" xr6:coauthVersionLast="46" xr6:coauthVersionMax="46" xr10:uidLastSave="{00000000-0000-0000-0000-000000000000}"/>
  <bookViews>
    <workbookView xWindow="-120" yWindow="-120" windowWidth="29040" windowHeight="15840" xr2:uid="{92F76B5C-EE3B-4928-B619-32EB52950B18}"/>
  </bookViews>
  <sheets>
    <sheet name="Sheet1" sheetId="1" r:id="rId1"/>
    <sheet name="Description" sheetId="2" r:id="rId2"/>
  </sheets>
  <definedNames>
    <definedName name="_xlnm._FilterDatabase" localSheetId="0" hidden="1">Sheet1!$F$4:$AR$4</definedName>
    <definedName name="ExpData">Sheet1!$B$5:$AS$46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31" i="1" l="1"/>
  <c r="AL31" i="1"/>
  <c r="AK31" i="1"/>
  <c r="AJ31" i="1"/>
  <c r="AI31" i="1"/>
  <c r="AH31" i="1"/>
  <c r="AG31" i="1"/>
  <c r="AF31" i="1"/>
  <c r="AE31" i="1"/>
  <c r="AD31" i="1"/>
  <c r="AC31" i="1"/>
  <c r="AM30" i="1"/>
  <c r="AL30" i="1"/>
  <c r="AK30" i="1"/>
  <c r="AJ30" i="1"/>
  <c r="AI30" i="1"/>
  <c r="AH30" i="1"/>
  <c r="AG30" i="1"/>
  <c r="AF30" i="1"/>
  <c r="AE30" i="1"/>
  <c r="AD30" i="1"/>
  <c r="AC30" i="1"/>
  <c r="AN29" i="1"/>
  <c r="AL29" i="1"/>
  <c r="AK29" i="1"/>
  <c r="AJ29" i="1"/>
  <c r="AI29" i="1"/>
  <c r="AH29" i="1"/>
  <c r="AG29" i="1"/>
  <c r="AF29" i="1"/>
  <c r="AE29" i="1"/>
  <c r="AD29" i="1"/>
  <c r="AC29" i="1"/>
  <c r="AN28" i="1"/>
  <c r="AL28" i="1"/>
  <c r="AK28" i="1"/>
  <c r="AJ28" i="1"/>
  <c r="AI28" i="1"/>
  <c r="AH28" i="1"/>
  <c r="AG28" i="1"/>
  <c r="AF28" i="1"/>
  <c r="AE28" i="1"/>
  <c r="AD28" i="1"/>
  <c r="AC28" i="1"/>
  <c r="AN27" i="1"/>
  <c r="AM27" i="1"/>
  <c r="AK27" i="1"/>
  <c r="AJ27" i="1"/>
  <c r="AI27" i="1"/>
  <c r="AH27" i="1"/>
  <c r="AG27" i="1"/>
  <c r="AF27" i="1"/>
  <c r="AE27" i="1"/>
  <c r="AD27" i="1"/>
  <c r="AC27" i="1"/>
  <c r="AN26" i="1"/>
  <c r="AM26" i="1"/>
  <c r="AK26" i="1"/>
  <c r="AJ26" i="1"/>
  <c r="AI26" i="1"/>
  <c r="AH26" i="1"/>
  <c r="AG26" i="1"/>
  <c r="AF26" i="1"/>
  <c r="AE26" i="1"/>
  <c r="AD26" i="1"/>
  <c r="AC26" i="1"/>
  <c r="AN25" i="1"/>
  <c r="AM25" i="1"/>
  <c r="AL25" i="1"/>
  <c r="AJ25" i="1"/>
  <c r="AI25" i="1"/>
  <c r="AH25" i="1"/>
  <c r="AG25" i="1"/>
  <c r="AF25" i="1"/>
  <c r="AE25" i="1"/>
  <c r="AD25" i="1"/>
  <c r="AC25" i="1"/>
  <c r="AN24" i="1"/>
  <c r="AM24" i="1"/>
  <c r="AL24" i="1"/>
  <c r="AJ24" i="1"/>
  <c r="AI24" i="1"/>
  <c r="AH24" i="1"/>
  <c r="AG24" i="1"/>
  <c r="AF24" i="1"/>
  <c r="AE24" i="1"/>
  <c r="AD24" i="1"/>
  <c r="AC24" i="1"/>
  <c r="AN23" i="1"/>
  <c r="AM23" i="1"/>
  <c r="AL23" i="1"/>
  <c r="AK23" i="1"/>
  <c r="AI23" i="1"/>
  <c r="AH23" i="1"/>
  <c r="AG23" i="1"/>
  <c r="AF23" i="1"/>
  <c r="AE23" i="1"/>
  <c r="AD23" i="1"/>
  <c r="AC23" i="1"/>
  <c r="AN22" i="1"/>
  <c r="AM22" i="1"/>
  <c r="AL22" i="1"/>
  <c r="AK22" i="1"/>
  <c r="AI22" i="1"/>
  <c r="AH22" i="1"/>
  <c r="AG22" i="1"/>
  <c r="AF22" i="1"/>
  <c r="AE22" i="1"/>
  <c r="AD22" i="1"/>
  <c r="AC22" i="1"/>
  <c r="AN21" i="1"/>
  <c r="AM21" i="1"/>
  <c r="AL21" i="1"/>
  <c r="AK21" i="1"/>
  <c r="AJ21" i="1"/>
  <c r="AH21" i="1"/>
  <c r="AG21" i="1"/>
  <c r="AF21" i="1"/>
  <c r="AE21" i="1"/>
  <c r="AD21" i="1"/>
  <c r="AC21" i="1"/>
  <c r="AN20" i="1"/>
  <c r="AM20" i="1"/>
  <c r="AL20" i="1"/>
  <c r="AK20" i="1"/>
  <c r="AJ20" i="1"/>
  <c r="AH20" i="1"/>
  <c r="AG20" i="1"/>
  <c r="AF20" i="1"/>
  <c r="AE20" i="1"/>
  <c r="AD20" i="1"/>
  <c r="AC20" i="1"/>
  <c r="AN19" i="1"/>
  <c r="AM19" i="1"/>
  <c r="AL19" i="1"/>
  <c r="AK19" i="1"/>
  <c r="AJ19" i="1"/>
  <c r="AI19" i="1"/>
  <c r="AG19" i="1"/>
  <c r="AF19" i="1"/>
  <c r="AE19" i="1"/>
  <c r="AD19" i="1"/>
  <c r="AC19" i="1"/>
  <c r="AN18" i="1"/>
  <c r="AM18" i="1"/>
  <c r="AL18" i="1"/>
  <c r="AK18" i="1"/>
  <c r="AJ18" i="1"/>
  <c r="AI18" i="1"/>
  <c r="AG18" i="1"/>
  <c r="AF18" i="1"/>
  <c r="AE18" i="1"/>
  <c r="AD18" i="1"/>
  <c r="AC18" i="1"/>
  <c r="AN17" i="1"/>
  <c r="AM17" i="1"/>
  <c r="AL17" i="1"/>
  <c r="AK17" i="1"/>
  <c r="AJ17" i="1"/>
  <c r="AI17" i="1"/>
  <c r="AH17" i="1"/>
  <c r="AF17" i="1"/>
  <c r="AE17" i="1"/>
  <c r="AD17" i="1"/>
  <c r="AC17" i="1"/>
  <c r="AN16" i="1"/>
  <c r="AM16" i="1"/>
  <c r="AL16" i="1"/>
  <c r="AK16" i="1"/>
  <c r="AJ16" i="1"/>
  <c r="AI16" i="1"/>
  <c r="AH16" i="1"/>
  <c r="AF16" i="1"/>
  <c r="AE16" i="1"/>
  <c r="AD16" i="1"/>
  <c r="AC16" i="1"/>
  <c r="AN15" i="1"/>
  <c r="AM15" i="1"/>
  <c r="AL15" i="1"/>
  <c r="AK15" i="1"/>
  <c r="AJ15" i="1"/>
  <c r="AI15" i="1"/>
  <c r="AH15" i="1"/>
  <c r="AG15" i="1"/>
  <c r="AE15" i="1"/>
  <c r="AD15" i="1"/>
  <c r="AC15" i="1"/>
  <c r="AN14" i="1"/>
  <c r="AM14" i="1"/>
  <c r="AL14" i="1"/>
  <c r="AK14" i="1"/>
  <c r="AJ14" i="1"/>
  <c r="AI14" i="1"/>
  <c r="AH14" i="1"/>
  <c r="AG14" i="1"/>
  <c r="AE14" i="1"/>
  <c r="AD14" i="1"/>
  <c r="AC14" i="1"/>
  <c r="AN13" i="1"/>
  <c r="AM13" i="1"/>
  <c r="AL13" i="1"/>
  <c r="AK13" i="1"/>
  <c r="AJ13" i="1"/>
  <c r="AI13" i="1"/>
  <c r="AH13" i="1"/>
  <c r="AG13" i="1"/>
  <c r="AF13" i="1"/>
  <c r="AD13" i="1"/>
  <c r="AC13" i="1"/>
  <c r="AN12" i="1"/>
  <c r="AM12" i="1"/>
  <c r="AL12" i="1"/>
  <c r="AK12" i="1"/>
  <c r="AJ12" i="1"/>
  <c r="AI12" i="1"/>
  <c r="AH12" i="1"/>
  <c r="AG12" i="1"/>
  <c r="AF12" i="1"/>
  <c r="AD12" i="1"/>
  <c r="AC12" i="1"/>
  <c r="AN11" i="1"/>
  <c r="AM11" i="1"/>
  <c r="AL11" i="1"/>
  <c r="AK11" i="1"/>
  <c r="AJ11" i="1"/>
  <c r="AI11" i="1"/>
  <c r="AH11" i="1"/>
  <c r="AG11" i="1"/>
  <c r="AF11" i="1"/>
  <c r="AE11" i="1"/>
  <c r="AC11" i="1"/>
  <c r="AN10" i="1"/>
  <c r="AM10" i="1"/>
  <c r="AL10" i="1"/>
  <c r="AK10" i="1"/>
  <c r="AJ10" i="1"/>
  <c r="AI10" i="1"/>
  <c r="AH10" i="1"/>
  <c r="AG10" i="1"/>
  <c r="AF10" i="1"/>
  <c r="AE10" i="1"/>
  <c r="AC10" i="1"/>
  <c r="AN9" i="1"/>
  <c r="AM9" i="1"/>
  <c r="AL9" i="1"/>
  <c r="AK9" i="1"/>
  <c r="AJ9" i="1"/>
  <c r="AI9" i="1"/>
  <c r="AH9" i="1"/>
  <c r="AG9" i="1"/>
  <c r="AF9" i="1"/>
  <c r="AE9" i="1"/>
  <c r="AD9" i="1"/>
  <c r="AN8" i="1"/>
  <c r="AM8" i="1"/>
  <c r="AL8" i="1"/>
  <c r="AK8" i="1"/>
  <c r="AJ8" i="1"/>
  <c r="AI8" i="1"/>
  <c r="AH8" i="1"/>
  <c r="AG8" i="1"/>
  <c r="AF8" i="1"/>
  <c r="AE8" i="1"/>
  <c r="AD8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Y45" i="1"/>
  <c r="X45" i="1"/>
  <c r="W45" i="1"/>
  <c r="N45" i="1"/>
  <c r="M45" i="1"/>
  <c r="L45" i="1"/>
  <c r="K45" i="1"/>
  <c r="J45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Y44" i="1"/>
  <c r="X44" i="1"/>
  <c r="W44" i="1"/>
  <c r="N44" i="1"/>
  <c r="M44" i="1"/>
  <c r="L44" i="1"/>
  <c r="K44" i="1"/>
  <c r="J44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Y43" i="1"/>
  <c r="X43" i="1"/>
  <c r="W43" i="1"/>
  <c r="N43" i="1"/>
  <c r="M43" i="1"/>
  <c r="L43" i="1"/>
  <c r="K43" i="1"/>
  <c r="J43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Y42" i="1"/>
  <c r="X42" i="1"/>
  <c r="W42" i="1"/>
  <c r="N42" i="1"/>
  <c r="M42" i="1"/>
  <c r="L42" i="1"/>
  <c r="K42" i="1"/>
  <c r="J42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Y41" i="1"/>
  <c r="X41" i="1"/>
  <c r="W41" i="1"/>
  <c r="N41" i="1"/>
  <c r="M41" i="1"/>
  <c r="L41" i="1"/>
  <c r="K41" i="1"/>
  <c r="J41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Y40" i="1"/>
  <c r="X40" i="1"/>
  <c r="W40" i="1"/>
  <c r="N40" i="1"/>
  <c r="M40" i="1"/>
  <c r="L40" i="1"/>
  <c r="K40" i="1"/>
  <c r="J40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N39" i="1"/>
  <c r="M39" i="1"/>
  <c r="K39" i="1"/>
  <c r="J39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N38" i="1"/>
  <c r="M38" i="1"/>
  <c r="L38" i="1"/>
  <c r="K38" i="1"/>
  <c r="J38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Y37" i="1"/>
  <c r="X37" i="1"/>
  <c r="W37" i="1"/>
  <c r="N37" i="1"/>
  <c r="M37" i="1"/>
  <c r="L37" i="1"/>
  <c r="K37" i="1"/>
  <c r="J37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N36" i="1"/>
  <c r="M36" i="1"/>
  <c r="L36" i="1"/>
  <c r="K36" i="1"/>
  <c r="J36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W35" i="1"/>
  <c r="N35" i="1"/>
  <c r="M35" i="1"/>
  <c r="L35" i="1"/>
  <c r="K35" i="1"/>
  <c r="J35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W34" i="1"/>
  <c r="N34" i="1"/>
  <c r="M34" i="1"/>
  <c r="L34" i="1"/>
  <c r="K34" i="1"/>
  <c r="J34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W33" i="1"/>
  <c r="N33" i="1"/>
  <c r="M33" i="1"/>
  <c r="L33" i="1"/>
  <c r="K33" i="1"/>
  <c r="J33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W32" i="1"/>
  <c r="N32" i="1"/>
  <c r="M32" i="1"/>
  <c r="L32" i="1"/>
  <c r="K32" i="1"/>
  <c r="J32" i="1"/>
  <c r="O41" i="1"/>
  <c r="J7" i="1"/>
  <c r="AR6" i="1"/>
  <c r="AR31" i="1" s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B25" i="1" s="1"/>
  <c r="AA6" i="1"/>
  <c r="AA30" i="1" s="1"/>
  <c r="Z6" i="1"/>
  <c r="Z30" i="1" s="1"/>
  <c r="Y6" i="1"/>
  <c r="Y30" i="1" s="1"/>
  <c r="X6" i="1"/>
  <c r="X9" i="1" s="1"/>
  <c r="W6" i="1"/>
  <c r="W14" i="1" s="1"/>
  <c r="V6" i="1"/>
  <c r="V24" i="1" s="1"/>
  <c r="U6" i="1"/>
  <c r="U29" i="1" s="1"/>
  <c r="T6" i="1"/>
  <c r="T41" i="1" s="1"/>
  <c r="S6" i="1"/>
  <c r="S41" i="1" s="1"/>
  <c r="R6" i="1"/>
  <c r="R8" i="1" s="1"/>
  <c r="Q6" i="1"/>
  <c r="Q13" i="1" s="1"/>
  <c r="P6" i="1"/>
  <c r="P23" i="1" s="1"/>
  <c r="O6" i="1"/>
  <c r="O28" i="1" s="1"/>
  <c r="N6" i="1"/>
  <c r="N10" i="1" s="1"/>
  <c r="M6" i="1"/>
  <c r="M28" i="1" s="1"/>
  <c r="L6" i="1"/>
  <c r="L28" i="1" s="1"/>
  <c r="K6" i="1"/>
  <c r="J6" i="1"/>
  <c r="G6" i="1"/>
  <c r="G22" i="1" s="1"/>
  <c r="I45" i="1"/>
  <c r="H45" i="1"/>
  <c r="I44" i="1"/>
  <c r="H44" i="1"/>
  <c r="I43" i="1"/>
  <c r="H43" i="1"/>
  <c r="I42" i="1"/>
  <c r="H42" i="1"/>
  <c r="I41" i="1"/>
  <c r="H41" i="1"/>
  <c r="I39" i="1"/>
  <c r="H39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V41" i="1"/>
  <c r="U41" i="1"/>
  <c r="U39" i="1"/>
  <c r="V38" i="1"/>
  <c r="U38" i="1"/>
  <c r="T38" i="1"/>
  <c r="S38" i="1"/>
  <c r="R38" i="1"/>
  <c r="Q38" i="1"/>
  <c r="P38" i="1"/>
  <c r="V37" i="1"/>
  <c r="U37" i="1"/>
  <c r="AB35" i="1"/>
  <c r="V35" i="1"/>
  <c r="U35" i="1"/>
  <c r="I35" i="1"/>
  <c r="H35" i="1"/>
  <c r="AB34" i="1"/>
  <c r="Z34" i="1"/>
  <c r="V34" i="1"/>
  <c r="U34" i="1"/>
  <c r="I34" i="1"/>
  <c r="H34" i="1"/>
  <c r="P33" i="1"/>
  <c r="I33" i="1"/>
  <c r="H33" i="1"/>
  <c r="AB32" i="1"/>
  <c r="V32" i="1"/>
  <c r="U32" i="1"/>
  <c r="T32" i="1"/>
  <c r="Q32" i="1"/>
  <c r="P32" i="1"/>
  <c r="O32" i="1"/>
  <c r="I32" i="1"/>
  <c r="H32" i="1"/>
  <c r="AQ31" i="1"/>
  <c r="AP31" i="1"/>
  <c r="AO31" i="1"/>
  <c r="Q31" i="1"/>
  <c r="P31" i="1"/>
  <c r="L31" i="1"/>
  <c r="K31" i="1"/>
  <c r="J31" i="1"/>
  <c r="I31" i="1"/>
  <c r="H31" i="1"/>
  <c r="AR30" i="1"/>
  <c r="AQ30" i="1"/>
  <c r="AP30" i="1"/>
  <c r="AO30" i="1"/>
  <c r="AB30" i="1"/>
  <c r="L30" i="1"/>
  <c r="K30" i="1"/>
  <c r="J30" i="1"/>
  <c r="I30" i="1"/>
  <c r="H30" i="1"/>
  <c r="G30" i="1"/>
  <c r="AR29" i="1"/>
  <c r="AQ29" i="1"/>
  <c r="AP29" i="1"/>
  <c r="AO29" i="1"/>
  <c r="AB29" i="1"/>
  <c r="AA29" i="1"/>
  <c r="Y29" i="1"/>
  <c r="X29" i="1"/>
  <c r="W29" i="1"/>
  <c r="V29" i="1"/>
  <c r="K29" i="1"/>
  <c r="J29" i="1"/>
  <c r="I29" i="1"/>
  <c r="H29" i="1"/>
  <c r="G29" i="1"/>
  <c r="AR28" i="1"/>
  <c r="AQ28" i="1"/>
  <c r="AP28" i="1"/>
  <c r="AO28" i="1"/>
  <c r="AB28" i="1"/>
  <c r="Y28" i="1"/>
  <c r="X28" i="1"/>
  <c r="W28" i="1"/>
  <c r="V28" i="1"/>
  <c r="U28" i="1"/>
  <c r="T28" i="1"/>
  <c r="Q28" i="1"/>
  <c r="P28" i="1"/>
  <c r="K28" i="1"/>
  <c r="J28" i="1"/>
  <c r="I28" i="1"/>
  <c r="H28" i="1"/>
  <c r="AR27" i="1"/>
  <c r="AQ27" i="1"/>
  <c r="AP27" i="1"/>
  <c r="AO27" i="1"/>
  <c r="Y27" i="1"/>
  <c r="X27" i="1"/>
  <c r="W27" i="1"/>
  <c r="V27" i="1"/>
  <c r="U27" i="1"/>
  <c r="T27" i="1"/>
  <c r="Q27" i="1"/>
  <c r="P27" i="1"/>
  <c r="O27" i="1"/>
  <c r="L27" i="1"/>
  <c r="K27" i="1"/>
  <c r="J27" i="1"/>
  <c r="I27" i="1"/>
  <c r="H27" i="1"/>
  <c r="G27" i="1"/>
  <c r="AQ26" i="1"/>
  <c r="AP26" i="1"/>
  <c r="AO26" i="1"/>
  <c r="Q26" i="1"/>
  <c r="P26" i="1"/>
  <c r="L26" i="1"/>
  <c r="K26" i="1"/>
  <c r="J26" i="1"/>
  <c r="I26" i="1"/>
  <c r="H26" i="1"/>
  <c r="G26" i="1"/>
  <c r="AR25" i="1"/>
  <c r="AQ25" i="1"/>
  <c r="AP25" i="1"/>
  <c r="AO25" i="1"/>
  <c r="L25" i="1"/>
  <c r="K25" i="1"/>
  <c r="J25" i="1"/>
  <c r="I25" i="1"/>
  <c r="H25" i="1"/>
  <c r="G25" i="1"/>
  <c r="AR24" i="1"/>
  <c r="AQ24" i="1"/>
  <c r="AP24" i="1"/>
  <c r="AO24" i="1"/>
  <c r="AB24" i="1"/>
  <c r="Y24" i="1"/>
  <c r="X24" i="1"/>
  <c r="W24" i="1"/>
  <c r="L24" i="1"/>
  <c r="K24" i="1"/>
  <c r="J24" i="1"/>
  <c r="I24" i="1"/>
  <c r="H24" i="1"/>
  <c r="G24" i="1"/>
  <c r="AR23" i="1"/>
  <c r="AQ23" i="1"/>
  <c r="AP23" i="1"/>
  <c r="AO23" i="1"/>
  <c r="AB23" i="1"/>
  <c r="Y23" i="1"/>
  <c r="X23" i="1"/>
  <c r="W23" i="1"/>
  <c r="V23" i="1"/>
  <c r="U23" i="1"/>
  <c r="T23" i="1"/>
  <c r="S23" i="1"/>
  <c r="R23" i="1"/>
  <c r="Q23" i="1"/>
  <c r="K23" i="1"/>
  <c r="J23" i="1"/>
  <c r="I23" i="1"/>
  <c r="H23" i="1"/>
  <c r="AQ22" i="1"/>
  <c r="AP22" i="1"/>
  <c r="AO22" i="1"/>
  <c r="Y22" i="1"/>
  <c r="X22" i="1"/>
  <c r="W22" i="1"/>
  <c r="V22" i="1"/>
  <c r="U22" i="1"/>
  <c r="T22" i="1"/>
  <c r="Q22" i="1"/>
  <c r="P22" i="1"/>
  <c r="O22" i="1"/>
  <c r="L22" i="1"/>
  <c r="K22" i="1"/>
  <c r="J22" i="1"/>
  <c r="I22" i="1"/>
  <c r="H22" i="1"/>
  <c r="AQ21" i="1"/>
  <c r="AP21" i="1"/>
  <c r="AO21" i="1"/>
  <c r="Q21" i="1"/>
  <c r="P21" i="1"/>
  <c r="L21" i="1"/>
  <c r="K21" i="1"/>
  <c r="J21" i="1"/>
  <c r="I21" i="1"/>
  <c r="H21" i="1"/>
  <c r="G21" i="1"/>
  <c r="AR20" i="1"/>
  <c r="AQ20" i="1"/>
  <c r="AP20" i="1"/>
  <c r="AO20" i="1"/>
  <c r="L20" i="1"/>
  <c r="K20" i="1"/>
  <c r="J20" i="1"/>
  <c r="I20" i="1"/>
  <c r="H20" i="1"/>
  <c r="G20" i="1"/>
  <c r="AR19" i="1"/>
  <c r="AQ19" i="1"/>
  <c r="AP19" i="1"/>
  <c r="AO19" i="1"/>
  <c r="AB19" i="1"/>
  <c r="Y19" i="1"/>
  <c r="X19" i="1"/>
  <c r="W19" i="1"/>
  <c r="L19" i="1"/>
  <c r="K19" i="1"/>
  <c r="J19" i="1"/>
  <c r="I19" i="1"/>
  <c r="H19" i="1"/>
  <c r="G19" i="1"/>
  <c r="AR18" i="1"/>
  <c r="AQ18" i="1"/>
  <c r="AP18" i="1"/>
  <c r="AO18" i="1"/>
  <c r="AB18" i="1"/>
  <c r="Y18" i="1"/>
  <c r="X18" i="1"/>
  <c r="W18" i="1"/>
  <c r="V18" i="1"/>
  <c r="U18" i="1"/>
  <c r="T18" i="1"/>
  <c r="S18" i="1"/>
  <c r="R18" i="1"/>
  <c r="Q18" i="1"/>
  <c r="K18" i="1"/>
  <c r="J18" i="1"/>
  <c r="I18" i="1"/>
  <c r="H18" i="1"/>
  <c r="AQ17" i="1"/>
  <c r="AP17" i="1"/>
  <c r="AO17" i="1"/>
  <c r="Y17" i="1"/>
  <c r="X17" i="1"/>
  <c r="W17" i="1"/>
  <c r="V17" i="1"/>
  <c r="U17" i="1"/>
  <c r="T17" i="1"/>
  <c r="Q17" i="1"/>
  <c r="P17" i="1"/>
  <c r="O17" i="1"/>
  <c r="L17" i="1"/>
  <c r="K17" i="1"/>
  <c r="J17" i="1"/>
  <c r="I17" i="1"/>
  <c r="H17" i="1"/>
  <c r="G17" i="1"/>
  <c r="AQ16" i="1"/>
  <c r="AP16" i="1"/>
  <c r="AO16" i="1"/>
  <c r="T16" i="1"/>
  <c r="Q16" i="1"/>
  <c r="P16" i="1"/>
  <c r="L16" i="1"/>
  <c r="K16" i="1"/>
  <c r="J16" i="1"/>
  <c r="I16" i="1"/>
  <c r="H16" i="1"/>
  <c r="G16" i="1"/>
  <c r="AR15" i="1"/>
  <c r="AQ15" i="1"/>
  <c r="AP15" i="1"/>
  <c r="AO15" i="1"/>
  <c r="L15" i="1"/>
  <c r="K15" i="1"/>
  <c r="J15" i="1"/>
  <c r="I15" i="1"/>
  <c r="H15" i="1"/>
  <c r="G15" i="1"/>
  <c r="AR14" i="1"/>
  <c r="AQ14" i="1"/>
  <c r="AP14" i="1"/>
  <c r="AO14" i="1"/>
  <c r="AB14" i="1"/>
  <c r="AA14" i="1"/>
  <c r="Z14" i="1"/>
  <c r="Y14" i="1"/>
  <c r="X14" i="1"/>
  <c r="L14" i="1"/>
  <c r="K14" i="1"/>
  <c r="J14" i="1"/>
  <c r="I14" i="1"/>
  <c r="H14" i="1"/>
  <c r="G14" i="1"/>
  <c r="AR13" i="1"/>
  <c r="AQ13" i="1"/>
  <c r="AP13" i="1"/>
  <c r="AO13" i="1"/>
  <c r="AB13" i="1"/>
  <c r="AA13" i="1"/>
  <c r="Y13" i="1"/>
  <c r="X13" i="1"/>
  <c r="W13" i="1"/>
  <c r="V13" i="1"/>
  <c r="U13" i="1"/>
  <c r="T13" i="1"/>
  <c r="S13" i="1"/>
  <c r="R13" i="1"/>
  <c r="K13" i="1"/>
  <c r="J13" i="1"/>
  <c r="I13" i="1"/>
  <c r="H13" i="1"/>
  <c r="G13" i="1"/>
  <c r="AR12" i="1"/>
  <c r="AQ12" i="1"/>
  <c r="AP12" i="1"/>
  <c r="AO12" i="1"/>
  <c r="AB12" i="1"/>
  <c r="Y12" i="1"/>
  <c r="X12" i="1"/>
  <c r="W12" i="1"/>
  <c r="V12" i="1"/>
  <c r="U12" i="1"/>
  <c r="T12" i="1"/>
  <c r="R12" i="1"/>
  <c r="Q12" i="1"/>
  <c r="P12" i="1"/>
  <c r="L12" i="1"/>
  <c r="K12" i="1"/>
  <c r="J12" i="1"/>
  <c r="I12" i="1"/>
  <c r="H12" i="1"/>
  <c r="AR11" i="1"/>
  <c r="AQ11" i="1"/>
  <c r="AP11" i="1"/>
  <c r="AO11" i="1"/>
  <c r="V11" i="1"/>
  <c r="U11" i="1"/>
  <c r="T11" i="1"/>
  <c r="Q11" i="1"/>
  <c r="P11" i="1"/>
  <c r="L11" i="1"/>
  <c r="K11" i="1"/>
  <c r="J11" i="1"/>
  <c r="I11" i="1"/>
  <c r="H11" i="1"/>
  <c r="G11" i="1"/>
  <c r="AR10" i="1"/>
  <c r="AQ10" i="1"/>
  <c r="AP10" i="1"/>
  <c r="AO10" i="1"/>
  <c r="L10" i="1"/>
  <c r="K10" i="1"/>
  <c r="J10" i="1"/>
  <c r="I10" i="1"/>
  <c r="H10" i="1"/>
  <c r="G10" i="1"/>
  <c r="AR9" i="1"/>
  <c r="AQ9" i="1"/>
  <c r="AP9" i="1"/>
  <c r="AO9" i="1"/>
  <c r="AB9" i="1"/>
  <c r="AA9" i="1"/>
  <c r="Z9" i="1"/>
  <c r="Y9" i="1"/>
  <c r="L9" i="1"/>
  <c r="K9" i="1"/>
  <c r="J9" i="1"/>
  <c r="I9" i="1"/>
  <c r="H9" i="1"/>
  <c r="G9" i="1"/>
  <c r="AR8" i="1"/>
  <c r="AQ8" i="1"/>
  <c r="AP8" i="1"/>
  <c r="AO8" i="1"/>
  <c r="AB8" i="1"/>
  <c r="AA8" i="1"/>
  <c r="Z8" i="1"/>
  <c r="Y8" i="1"/>
  <c r="X8" i="1"/>
  <c r="W8" i="1"/>
  <c r="V8" i="1"/>
  <c r="U8" i="1"/>
  <c r="T8" i="1"/>
  <c r="S8" i="1"/>
  <c r="L8" i="1"/>
  <c r="K8" i="1"/>
  <c r="J8" i="1"/>
  <c r="I8" i="1"/>
  <c r="H8" i="1"/>
  <c r="G8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L7" i="1"/>
  <c r="K7" i="1"/>
  <c r="I7" i="1"/>
  <c r="H7" i="1"/>
  <c r="G7" i="1"/>
  <c r="B7" i="1"/>
  <c r="B46" i="1"/>
  <c r="E4" i="1"/>
  <c r="D4" i="1"/>
  <c r="O38" i="1" l="1"/>
  <c r="R28" i="1"/>
  <c r="O12" i="1"/>
  <c r="M17" i="1"/>
  <c r="Z19" i="1"/>
  <c r="M22" i="1"/>
  <c r="Z24" i="1"/>
  <c r="S28" i="1"/>
  <c r="R32" i="1"/>
  <c r="AA34" i="1"/>
  <c r="N12" i="1"/>
  <c r="N17" i="1"/>
  <c r="AA19" i="1"/>
  <c r="N22" i="1"/>
  <c r="AA24" i="1"/>
  <c r="M27" i="1"/>
  <c r="Z29" i="1"/>
  <c r="S32" i="1"/>
  <c r="S12" i="1"/>
  <c r="O35" i="1"/>
  <c r="M11" i="1"/>
  <c r="Z13" i="1"/>
  <c r="R17" i="1"/>
  <c r="R22" i="1"/>
  <c r="Z32" i="1"/>
  <c r="P35" i="1"/>
  <c r="M16" i="1"/>
  <c r="S17" i="1"/>
  <c r="Z18" i="1"/>
  <c r="S22" i="1"/>
  <c r="Z23" i="1"/>
  <c r="R27" i="1"/>
  <c r="AA32" i="1"/>
  <c r="Q35" i="1"/>
  <c r="N11" i="1"/>
  <c r="O11" i="1"/>
  <c r="N16" i="1"/>
  <c r="AA18" i="1"/>
  <c r="M21" i="1"/>
  <c r="AA23" i="1"/>
  <c r="M26" i="1"/>
  <c r="S27" i="1"/>
  <c r="Z28" i="1"/>
  <c r="M31" i="1"/>
  <c r="R35" i="1"/>
  <c r="O39" i="1"/>
  <c r="O16" i="1"/>
  <c r="N21" i="1"/>
  <c r="N26" i="1"/>
  <c r="AA28" i="1"/>
  <c r="N31" i="1"/>
  <c r="S35" i="1"/>
  <c r="P39" i="1"/>
  <c r="O21" i="1"/>
  <c r="O26" i="1"/>
  <c r="O31" i="1"/>
  <c r="T35" i="1"/>
  <c r="Q39" i="1"/>
  <c r="R16" i="1"/>
  <c r="R31" i="1"/>
  <c r="Q33" i="1"/>
  <c r="Z35" i="1"/>
  <c r="T39" i="1"/>
  <c r="N25" i="1"/>
  <c r="V39" i="1"/>
  <c r="N27" i="1"/>
  <c r="O40" i="1"/>
  <c r="M10" i="1"/>
  <c r="S39" i="1"/>
  <c r="R33" i="1"/>
  <c r="U31" i="1"/>
  <c r="S10" i="1"/>
  <c r="Q20" i="1"/>
  <c r="W21" i="1"/>
  <c r="Q25" i="1"/>
  <c r="W26" i="1"/>
  <c r="P30" i="1"/>
  <c r="W31" i="1"/>
  <c r="V33" i="1"/>
  <c r="Q36" i="1"/>
  <c r="Q40" i="1"/>
  <c r="S16" i="1"/>
  <c r="R21" i="1"/>
  <c r="T26" i="1"/>
  <c r="U26" i="1"/>
  <c r="X11" i="1"/>
  <c r="P36" i="1"/>
  <c r="X21" i="1"/>
  <c r="R25" i="1"/>
  <c r="Q30" i="1"/>
  <c r="X31" i="1"/>
  <c r="Z33" i="1"/>
  <c r="R36" i="1"/>
  <c r="R40" i="1"/>
  <c r="O10" i="1"/>
  <c r="AB22" i="1"/>
  <c r="N7" i="1"/>
  <c r="M14" i="1"/>
  <c r="R20" i="1"/>
  <c r="X26" i="1"/>
  <c r="O7" i="1"/>
  <c r="O9" i="1"/>
  <c r="U10" i="1"/>
  <c r="AA11" i="1"/>
  <c r="N14" i="1"/>
  <c r="T15" i="1"/>
  <c r="Z16" i="1"/>
  <c r="AR17" i="1"/>
  <c r="M19" i="1"/>
  <c r="S20" i="1"/>
  <c r="Y21" i="1"/>
  <c r="AR22" i="1"/>
  <c r="M24" i="1"/>
  <c r="S25" i="1"/>
  <c r="Y26" i="1"/>
  <c r="L29" i="1"/>
  <c r="R30" i="1"/>
  <c r="Y31" i="1"/>
  <c r="AA33" i="1"/>
  <c r="S36" i="1"/>
  <c r="S40" i="1"/>
  <c r="Z12" i="1"/>
  <c r="M15" i="1"/>
  <c r="S21" i="1"/>
  <c r="N20" i="1"/>
  <c r="V26" i="1"/>
  <c r="O14" i="1"/>
  <c r="N19" i="1"/>
  <c r="T25" i="1"/>
  <c r="M29" i="1"/>
  <c r="S30" i="1"/>
  <c r="Z31" i="1"/>
  <c r="AB33" i="1"/>
  <c r="T36" i="1"/>
  <c r="T40" i="1"/>
  <c r="R11" i="1"/>
  <c r="S11" i="1"/>
  <c r="M20" i="1"/>
  <c r="S31" i="1"/>
  <c r="AA22" i="1"/>
  <c r="Z27" i="1"/>
  <c r="O20" i="1"/>
  <c r="T33" i="1"/>
  <c r="Q15" i="1"/>
  <c r="U33" i="1"/>
  <c r="Y11" i="1"/>
  <c r="Y16" i="1"/>
  <c r="Q9" i="1"/>
  <c r="W10" i="1"/>
  <c r="P14" i="1"/>
  <c r="V15" i="1"/>
  <c r="AB16" i="1"/>
  <c r="O19" i="1"/>
  <c r="U20" i="1"/>
  <c r="AA21" i="1"/>
  <c r="O24" i="1"/>
  <c r="U25" i="1"/>
  <c r="AA26" i="1"/>
  <c r="N29" i="1"/>
  <c r="T30" i="1"/>
  <c r="AA31" i="1"/>
  <c r="U36" i="1"/>
  <c r="U40" i="1"/>
  <c r="O33" i="1"/>
  <c r="R26" i="1"/>
  <c r="W11" i="1"/>
  <c r="U21" i="1"/>
  <c r="R15" i="1"/>
  <c r="N9" i="1"/>
  <c r="U15" i="1"/>
  <c r="Q14" i="1"/>
  <c r="W15" i="1"/>
  <c r="P19" i="1"/>
  <c r="V20" i="1"/>
  <c r="AB21" i="1"/>
  <c r="P24" i="1"/>
  <c r="V25" i="1"/>
  <c r="AB26" i="1"/>
  <c r="O29" i="1"/>
  <c r="U30" i="1"/>
  <c r="AB31" i="1"/>
  <c r="V36" i="1"/>
  <c r="V40" i="1"/>
  <c r="M12" i="1"/>
  <c r="N15" i="1"/>
  <c r="U16" i="1"/>
  <c r="T31" i="1"/>
  <c r="V16" i="1"/>
  <c r="AA27" i="1"/>
  <c r="O30" i="1"/>
  <c r="M7" i="1"/>
  <c r="X16" i="1"/>
  <c r="Z11" i="1"/>
  <c r="AB11" i="1"/>
  <c r="Z21" i="1"/>
  <c r="R9" i="1"/>
  <c r="S7" i="1"/>
  <c r="M8" i="1"/>
  <c r="S9" i="1"/>
  <c r="Y10" i="1"/>
  <c r="L13" i="1"/>
  <c r="R14" i="1"/>
  <c r="X15" i="1"/>
  <c r="Q19" i="1"/>
  <c r="W20" i="1"/>
  <c r="Q24" i="1"/>
  <c r="W25" i="1"/>
  <c r="P29" i="1"/>
  <c r="V30" i="1"/>
  <c r="O34" i="1"/>
  <c r="O37" i="1"/>
  <c r="Z17" i="1"/>
  <c r="Z22" i="1"/>
  <c r="M25" i="1"/>
  <c r="S26" i="1"/>
  <c r="AA17" i="1"/>
  <c r="S33" i="1"/>
  <c r="AB17" i="1"/>
  <c r="O25" i="1"/>
  <c r="R10" i="1"/>
  <c r="P40" i="1"/>
  <c r="M9" i="1"/>
  <c r="N24" i="1"/>
  <c r="T7" i="1"/>
  <c r="N8" i="1"/>
  <c r="T9" i="1"/>
  <c r="Z10" i="1"/>
  <c r="M13" i="1"/>
  <c r="S14" i="1"/>
  <c r="Y15" i="1"/>
  <c r="L18" i="1"/>
  <c r="R19" i="1"/>
  <c r="X20" i="1"/>
  <c r="L23" i="1"/>
  <c r="R24" i="1"/>
  <c r="X25" i="1"/>
  <c r="Q29" i="1"/>
  <c r="W30" i="1"/>
  <c r="P34" i="1"/>
  <c r="P37" i="1"/>
  <c r="P41" i="1"/>
  <c r="AA12" i="1"/>
  <c r="P10" i="1"/>
  <c r="Q10" i="1"/>
  <c r="O36" i="1"/>
  <c r="V31" i="1"/>
  <c r="T10" i="1"/>
  <c r="S15" i="1"/>
  <c r="P9" i="1"/>
  <c r="AA16" i="1"/>
  <c r="T20" i="1"/>
  <c r="X10" i="1"/>
  <c r="U7" i="1"/>
  <c r="O8" i="1"/>
  <c r="U9" i="1"/>
  <c r="AA10" i="1"/>
  <c r="N13" i="1"/>
  <c r="T14" i="1"/>
  <c r="Z15" i="1"/>
  <c r="AR16" i="1"/>
  <c r="M18" i="1"/>
  <c r="S19" i="1"/>
  <c r="Y20" i="1"/>
  <c r="M23" i="1"/>
  <c r="S24" i="1"/>
  <c r="Y25" i="1"/>
  <c r="R29" i="1"/>
  <c r="X30" i="1"/>
  <c r="Q34" i="1"/>
  <c r="Q37" i="1"/>
  <c r="Q41" i="1"/>
  <c r="R39" i="1"/>
  <c r="T21" i="1"/>
  <c r="M30" i="1"/>
  <c r="N30" i="1"/>
  <c r="W16" i="1"/>
  <c r="P7" i="1"/>
  <c r="Z26" i="1"/>
  <c r="Q7" i="1"/>
  <c r="V7" i="1"/>
  <c r="P8" i="1"/>
  <c r="V9" i="1"/>
  <c r="AB10" i="1"/>
  <c r="O13" i="1"/>
  <c r="U14" i="1"/>
  <c r="AA15" i="1"/>
  <c r="N18" i="1"/>
  <c r="T19" i="1"/>
  <c r="Z20" i="1"/>
  <c r="AR21" i="1"/>
  <c r="N23" i="1"/>
  <c r="T24" i="1"/>
  <c r="Z25" i="1"/>
  <c r="AR26" i="1"/>
  <c r="S29" i="1"/>
  <c r="R34" i="1"/>
  <c r="R37" i="1"/>
  <c r="R41" i="1"/>
  <c r="O15" i="1"/>
  <c r="P15" i="1"/>
  <c r="V21" i="1"/>
  <c r="AB27" i="1"/>
  <c r="V10" i="1"/>
  <c r="R7" i="1"/>
  <c r="W7" i="1"/>
  <c r="Q8" i="1"/>
  <c r="W9" i="1"/>
  <c r="P13" i="1"/>
  <c r="V14" i="1"/>
  <c r="AB15" i="1"/>
  <c r="O18" i="1"/>
  <c r="U19" i="1"/>
  <c r="AA20" i="1"/>
  <c r="O23" i="1"/>
  <c r="U24" i="1"/>
  <c r="AA25" i="1"/>
  <c r="N28" i="1"/>
  <c r="T29" i="1"/>
  <c r="S34" i="1"/>
  <c r="S37" i="1"/>
  <c r="AA35" i="1"/>
  <c r="P20" i="1"/>
  <c r="P25" i="1"/>
  <c r="X7" i="1"/>
  <c r="P18" i="1"/>
  <c r="V19" i="1"/>
  <c r="AB20" i="1"/>
  <c r="T34" i="1"/>
  <c r="T37" i="1"/>
  <c r="G45" i="1"/>
  <c r="G18" i="1"/>
  <c r="G23" i="1"/>
  <c r="G12" i="1"/>
  <c r="G28" i="1"/>
  <c r="C4" i="1"/>
  <c r="B43" i="1"/>
  <c r="B45" i="1"/>
  <c r="B44" i="1"/>
  <c r="B42" i="1"/>
  <c r="V5" i="1" a="1"/>
  <c r="V5" i="1" s="1"/>
  <c r="T5" i="1" a="1"/>
  <c r="T5" i="1" s="1"/>
  <c r="T46" i="1" s="1"/>
  <c r="R5" i="1" a="1"/>
  <c r="R5" i="1" s="1"/>
  <c r="R46" i="1" s="1"/>
  <c r="P5" i="1" a="1"/>
  <c r="P5" i="1" s="1"/>
  <c r="P46" i="1" s="1"/>
  <c r="V46" i="1" l="1"/>
  <c r="AA5" i="1" l="1" a="1"/>
  <c r="AA5" i="1" s="1"/>
  <c r="AA46" i="1" s="1"/>
  <c r="AB5" i="1" a="1"/>
  <c r="AB5" i="1" s="1"/>
  <c r="AB46" i="1" s="1"/>
  <c r="B41" i="1" l="1"/>
  <c r="B6" i="1" l="1"/>
  <c r="H5" i="1" a="1"/>
  <c r="H5" i="1" s="1"/>
  <c r="H46" i="1" l="1"/>
  <c r="O5" i="1" a="1"/>
  <c r="O5" i="1" s="1"/>
  <c r="O46" i="1" s="1"/>
  <c r="Q5" i="1" a="1"/>
  <c r="Q5" i="1" s="1"/>
  <c r="Q46" i="1" s="1"/>
  <c r="S5" i="1" a="1"/>
  <c r="S5" i="1" s="1"/>
  <c r="S46" i="1" s="1"/>
  <c r="U5" i="1" a="1"/>
  <c r="U5" i="1" s="1"/>
  <c r="U46" i="1" s="1"/>
  <c r="B38" i="1" l="1"/>
  <c r="B37" i="1" l="1"/>
  <c r="B39" i="1" l="1"/>
  <c r="B40" i="1" l="1"/>
  <c r="Z5" i="1" a="1"/>
  <c r="Z5" i="1" s="1"/>
  <c r="Z46" i="1" l="1"/>
  <c r="M5" i="1" a="1"/>
  <c r="M5" i="1" s="1"/>
  <c r="B36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5" i="1"/>
  <c r="B4" i="1" l="1"/>
  <c r="M46" i="1"/>
  <c r="Y5" i="1" a="1"/>
  <c r="Y5" i="1" s="1"/>
  <c r="X5" i="1" a="1"/>
  <c r="X5" i="1" s="1"/>
  <c r="Y46" i="1" l="1"/>
  <c r="X46" i="1"/>
  <c r="W5" i="1" a="1"/>
  <c r="W5" i="1" s="1"/>
  <c r="W46" i="1" l="1"/>
  <c r="N5" i="1" l="1" a="1"/>
  <c r="N5" i="1" s="1"/>
  <c r="N46" i="1" l="1"/>
  <c r="I5" i="1" a="1"/>
  <c r="I5" i="1" s="1"/>
  <c r="J5" i="1" a="1"/>
  <c r="J5" i="1" s="1"/>
  <c r="K5" i="1" a="1"/>
  <c r="K5" i="1" s="1"/>
  <c r="L5" i="1" a="1"/>
  <c r="L5" i="1" s="1"/>
  <c r="AC5" i="1" a="1"/>
  <c r="AC5" i="1" s="1"/>
  <c r="AD5" i="1" a="1"/>
  <c r="AD5" i="1" s="1"/>
  <c r="AE5" i="1" a="1"/>
  <c r="AE5" i="1" s="1"/>
  <c r="AF5" i="1" a="1"/>
  <c r="AF5" i="1" s="1"/>
  <c r="AG5" i="1" a="1"/>
  <c r="AG5" i="1" s="1"/>
  <c r="AH5" i="1" a="1"/>
  <c r="AH5" i="1" s="1"/>
  <c r="AI5" i="1" a="1"/>
  <c r="AI5" i="1" s="1"/>
  <c r="AJ5" i="1" a="1"/>
  <c r="AJ5" i="1" s="1"/>
  <c r="AK5" i="1" a="1"/>
  <c r="AK5" i="1" s="1"/>
  <c r="AL5" i="1" a="1"/>
  <c r="AL5" i="1" s="1"/>
  <c r="AM5" i="1" a="1"/>
  <c r="AM5" i="1" s="1"/>
  <c r="AN5" i="1" a="1"/>
  <c r="AN5" i="1" s="1"/>
  <c r="AO5" i="1" a="1"/>
  <c r="AO5" i="1" s="1"/>
  <c r="AP5" i="1" a="1"/>
  <c r="AP5" i="1" s="1"/>
  <c r="AQ5" i="1" a="1"/>
  <c r="AQ5" i="1" s="1"/>
  <c r="AR5" i="1" a="1"/>
  <c r="AR5" i="1" s="1"/>
  <c r="G5" i="1" a="1"/>
  <c r="G5" i="1" s="1"/>
  <c r="AG46" i="1" l="1"/>
  <c r="AK46" i="1"/>
  <c r="AE46" i="1"/>
  <c r="AH46" i="1"/>
  <c r="AD46" i="1"/>
  <c r="J46" i="1"/>
  <c r="AQ46" i="1"/>
  <c r="AJ46" i="1"/>
  <c r="AF46" i="1"/>
  <c r="AC46" i="1"/>
  <c r="K46" i="1"/>
  <c r="AP46" i="1"/>
  <c r="AO46" i="1"/>
  <c r="AI46" i="1"/>
  <c r="L46" i="1"/>
  <c r="I46" i="1"/>
  <c r="G46" i="1"/>
  <c r="AR46" i="1"/>
  <c r="AN46" i="1"/>
  <c r="AM46" i="1"/>
  <c r="AL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Young (21512438)</author>
    <author>Michael Young</author>
    <author>John</author>
  </authors>
  <commentList>
    <comment ref="B1" authorId="0" shapeId="0" xr:uid="{37D6CE8F-CE51-4B7D-8E5C-A1A0A18133AE}">
      <text>
        <r>
          <rPr>
            <b/>
            <sz val="9"/>
            <color indexed="81"/>
            <rFont val="Tahoma"/>
            <family val="2"/>
          </rPr>
          <t xml:space="preserve">Michael Young (21512438): 
</t>
        </r>
        <r>
          <rPr>
            <sz val="9"/>
            <color indexed="81"/>
            <rFont val="Tahoma"/>
            <family val="2"/>
          </rPr>
          <t xml:space="preserve">Can add cols that are just for personal use (eg not used by code) by adding the word Drop in the top row.
</t>
        </r>
      </text>
    </comment>
    <comment ref="C1" authorId="1" shapeId="0" xr:uid="{CCB77013-F05A-42FB-A15C-BBB0BA6C23F4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to keep the conditional formatting rules tidy, you can only insert a blank row or column (can't copy and insert paste) then you can copy and paste the formulas from a given row or column it into your newly inserted row or column. </t>
        </r>
      </text>
    </comment>
    <comment ref="F1" authorId="0" shapeId="0" xr:uid="{10B3F34B-4772-43FF-8769-97F5228546B0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Pandas doesn’t like it if you use % in the trial name description. The code will run fine you just wont be able to view the df.</t>
        </r>
      </text>
    </comment>
    <comment ref="A2" authorId="2" shapeId="0" xr:uid="{BCCD4931-9FC5-4352-A342-899CDCC99998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Must be first because it is updated by a macro</t>
        </r>
      </text>
    </comment>
    <comment ref="F2" authorId="0" shapeId="0" xr:uid="{28A87732-DFBE-4E72-8AD9-CC58CDE1082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Must match the key assigned in Sensitivity.py</t>
        </r>
      </text>
    </comment>
    <comment ref="F3" authorId="1" shapeId="0" xr:uid="{3BDB7BEB-FC53-4975-ADDB-A81C02A033DC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pas</t>
        </r>
      </text>
    </comment>
    <comment ref="B4" authorId="2" shapeId="0" xr:uid="{CD85CAB6-9789-4C7A-ADAE-EF4BFD67B6CA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Total number of trials defined</t>
        </r>
      </text>
    </comment>
    <comment ref="C4" authorId="2" shapeId="0" xr:uid="{356E8614-0E2F-4117-B344-BA1B78753371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Number of the trials being run (TRUE)</t>
        </r>
      </text>
    </comment>
    <comment ref="D4" authorId="2" shapeId="0" xr:uid="{3F8B7C71-9F70-474B-BC80-D6D9B8C12D5D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Full output includes storing the .lp file, the Variable summary &amp; the RC &amp; Duals.
(% of the trials being run)</t>
        </r>
      </text>
    </comment>
    <comment ref="E4" authorId="2" shapeId="0" xr:uid="{08A47554-D3C3-4B37-B753-8416C6049C55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Proportion of the trials to report
(% of all the trials)</t>
        </r>
      </text>
    </comment>
    <comment ref="F4" authorId="1" shapeId="0" xr:uid="{7875E08E-43A6-4F76-BAD2-431E3C040A9B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arrays
- can handle complex slicing. Use comma between each axis slice. Eg 2:3,1:2</t>
        </r>
      </text>
    </comment>
    <comment ref="F5" authorId="1" shapeId="0" xr:uid="{86423575-3B9D-46A2-9D4D-B5C8EEE47047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This trial uses a formula to select the defalut values
'-' for SAV
1 for SAM
0 for SAA and SAP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<sst xmlns="http://schemas.openxmlformats.org/spreadsheetml/2006/main" count="160" uniqueCount="83">
  <si>
    <t>sam</t>
  </si>
  <si>
    <t>germ_l</t>
  </si>
  <si>
    <t>Dict</t>
  </si>
  <si>
    <t>Key1</t>
  </si>
  <si>
    <t>Key2</t>
  </si>
  <si>
    <t>slice</t>
  </si>
  <si>
    <t>annual</t>
  </si>
  <si>
    <t>Default</t>
  </si>
  <si>
    <t>germ</t>
  </si>
  <si>
    <t>pgr</t>
  </si>
  <si>
    <t>pgr_l</t>
  </si>
  <si>
    <t>Germ low</t>
  </si>
  <si>
    <t>Germ high</t>
  </si>
  <si>
    <t>Lmu 0 Germ low</t>
  </si>
  <si>
    <t>Lmu 0 Germ high</t>
  </si>
  <si>
    <t>Lmu 1 Germ low</t>
  </si>
  <si>
    <t>Lmu 1 Germ high</t>
  </si>
  <si>
    <t>Lmu 2 Germ high</t>
  </si>
  <si>
    <t>Lmu 3 Germ low</t>
  </si>
  <si>
    <t>Lmu 3 Germ high</t>
  </si>
  <si>
    <t>Lmu 40 Germ low</t>
  </si>
  <si>
    <t>Lmu 4 Germ high</t>
  </si>
  <si>
    <t>Lmu 2 Germ low</t>
  </si>
  <si>
    <t>PGR low</t>
  </si>
  <si>
    <t>PGR high</t>
  </si>
  <si>
    <t>Lmu 0 PGR low</t>
  </si>
  <si>
    <t>Lmu 0 PGR high</t>
  </si>
  <si>
    <t>Lmu 1 PGR low</t>
  </si>
  <si>
    <t>Lmu 1 PGR high</t>
  </si>
  <si>
    <t>Lmu 2 PGR low</t>
  </si>
  <si>
    <t>Lmu 2 PGR high</t>
  </si>
  <si>
    <t>Lmu 3 PGR low</t>
  </si>
  <si>
    <t>Lmu 3 PGR high</t>
  </si>
  <si>
    <t>Lmu 40 PGR low</t>
  </si>
  <si>
    <t>Lmu 4 PGR high</t>
  </si>
  <si>
    <t>0:1</t>
  </si>
  <si>
    <t>1:2</t>
  </si>
  <si>
    <t>2:3</t>
  </si>
  <si>
    <t>3:4</t>
  </si>
  <si>
    <t>4:5</t>
  </si>
  <si>
    <t>saa</t>
  </si>
  <si>
    <t>sav</t>
  </si>
  <si>
    <t>sap</t>
  </si>
  <si>
    <t>Note on formatting</t>
  </si>
  <si>
    <t>eqn_compare</t>
  </si>
  <si>
    <t>TOL_inc</t>
  </si>
  <si>
    <t>g3_included</t>
  </si>
  <si>
    <t>woolp_mpg</t>
  </si>
  <si>
    <t>bnd_total_pas_area</t>
  </si>
  <si>
    <t>bnd_pasarea_inc</t>
  </si>
  <si>
    <t>Drop</t>
  </si>
  <si>
    <t>Pas area 10per</t>
  </si>
  <si>
    <t>Pas area 40per</t>
  </si>
  <si>
    <t>Pas area 60per</t>
  </si>
  <si>
    <t>Pas area 80per</t>
  </si>
  <si>
    <t>Both TOL inc</t>
  </si>
  <si>
    <t>scan_og1</t>
  </si>
  <si>
    <t>2:3,:</t>
  </si>
  <si>
    <t>fec_inc</t>
  </si>
  <si>
    <t>BBT inc</t>
  </si>
  <si>
    <t>TOL 1 only</t>
  </si>
  <si>
    <t>TOL 2 only</t>
  </si>
  <si>
    <t>eqn_used_g0_q1p7</t>
  </si>
  <si>
    <t>eqn_used_g3_q1p7</t>
  </si>
  <si>
    <t>eqn_used_g2_q1p7</t>
  </si>
  <si>
    <t>eqn_used_g1_q1p7</t>
  </si>
  <si>
    <t>steady_state</t>
  </si>
  <si>
    <t>season test</t>
  </si>
  <si>
    <t>Report FEC TOL1</t>
  </si>
  <si>
    <t>Description of this experiment</t>
  </si>
  <si>
    <t>lw_inc</t>
  </si>
  <si>
    <t>ffcfw_inc</t>
  </si>
  <si>
    <t>1:2,:</t>
  </si>
  <si>
    <t>10:11,:</t>
  </si>
  <si>
    <t>TOL2 FEC</t>
  </si>
  <si>
    <t>TOL2 FEC LTW</t>
  </si>
  <si>
    <t>Jul PJ-</t>
  </si>
  <si>
    <t>Jul New</t>
  </si>
  <si>
    <t>Last change</t>
  </si>
  <si>
    <t>This column must remain first</t>
  </si>
  <si>
    <t>BlankLast</t>
  </si>
  <si>
    <t>Jul Opt</t>
  </si>
  <si>
    <t>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</si>
</sst>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 h:mm"/>
  </numFmts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0000CC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3">
    <xf numFmtId="0" fontId="0" fillId="0" borderId="0"/>
    <xf numFmtId="0" fontId="3" fillId="3" borderId="1" applyNumberFormat="0" applyAlignment="0" applyProtection="0"/>
    <xf numFmtId="0" fontId="6" fillId="5" borderId="2" applyNumberFormat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49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 textRotation="90"/>
    </xf>
    <xf numFmtId="49" fontId="0" fillId="2" borderId="0" xfId="0" applyNumberFormat="1" applyFill="1" applyAlignment="1">
      <alignment horizontal="center" textRotation="90"/>
    </xf>
    <xf numFmtId="0" fontId="0" fillId="0" borderId="0" xfId="0" applyAlignment="1">
      <alignment horizontal="center" textRotation="90"/>
    </xf>
    <xf numFmtId="20" fontId="0" fillId="0" borderId="0" xfId="0" quotePrefix="1" applyNumberFormat="1" applyAlignment="1">
      <alignment horizontal="center" textRotation="90"/>
    </xf>
    <xf numFmtId="49" fontId="0" fillId="0" borderId="0" xfId="0" quotePrefix="1" applyNumberFormat="1" applyAlignment="1">
      <alignment horizontal="center" textRotation="90"/>
    </xf>
    <xf numFmtId="0" fontId="3" fillId="3" borderId="1" xfId="1"/>
    <xf numFmtId="0" fontId="0" fillId="0" borderId="0" xfId="0" applyAlignment="1">
      <alignment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 applyAlignmen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textRotation="90"/>
    </xf>
    <xf numFmtId="49" fontId="0" fillId="4" borderId="0" xfId="0" applyNumberFormat="1" applyFill="1"/>
    <xf numFmtId="22" fontId="0" fillId="0" borderId="0" xfId="0" applyNumberFormat="1" applyAlignment="1">
      <alignment horizontal="center" wrapText="1"/>
    </xf>
    <xf numFmtId="164" fontId="5" fillId="0" borderId="0" xfId="0" applyNumberFormat="1" applyFont="1" applyAlignment="1">
      <alignment horizontal="center"/>
    </xf>
    <xf numFmtId="22" fontId="0" fillId="4" borderId="0" xfId="0" applyNumberFormat="1" applyFill="1"/>
    <xf numFmtId="22" fontId="0" fillId="0" borderId="0" xfId="0" applyNumberFormat="1" applyAlignment="1">
      <alignment horizontal="center" textRotation="90"/>
    </xf>
    <xf numFmtId="0" fontId="6" fillId="5" borderId="2" xfId="2"/>
  </cellXfs>
  <cellStyles count="3">
    <cellStyle name="Calculation" xfId="1" builtinId="22"/>
    <cellStyle name="Input" xfId="2" builtinId="20" customBuiltin="1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EBAC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F8F8F8"/>
      <color rgb="FFFEBA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5A7EB-445E-4E8E-983C-F21CAA7EBF41}">
  <sheetPr codeName="Sheet1"/>
  <dimension ref="A1:AS46"/>
  <sheetViews>
    <sheetView tabSelected="1" workbookViewId="0">
      <pane xSplit="6" ySplit="6" topLeftCell="G26" activePane="bottomRight" state="frozen"/>
      <selection pane="topRight" activeCell="G1" sqref="G1"/>
      <selection pane="bottomLeft" activeCell="A7" sqref="A7"/>
      <selection pane="bottomRight" activeCell="A48" sqref="A48"/>
    </sheetView>
  </sheetViews>
  <sheetFormatPr defaultRowHeight="15" x14ac:dyDescent="0.25"/>
  <cols>
    <col min="1" max="1" width="11" customWidth="1"/>
    <col min="3" max="3" width="10.5703125" customWidth="1"/>
    <col min="6" max="6" width="17.5703125" style="3" customWidth="1"/>
    <col min="23" max="23" width="10.85546875" bestFit="1" customWidth="1"/>
    <col min="24" max="28" width="9.85546875" customWidth="1"/>
    <col min="45" max="45" width="2.85546875" customWidth="1"/>
  </cols>
  <sheetData>
    <row r="1" spans="1:45" s="1" customFormat="1" ht="41.25" customHeight="1" x14ac:dyDescent="0.25">
      <c r="A1" s="21" t="s">
        <v>50</v>
      </c>
      <c r="B1" s="6" t="s">
        <v>50</v>
      </c>
      <c r="C1" s="10" t="s">
        <v>43</v>
      </c>
      <c r="F1" s="4" t="s">
        <v>2</v>
      </c>
      <c r="G1" s="6" t="s">
        <v>41</v>
      </c>
      <c r="H1" s="6" t="s">
        <v>41</v>
      </c>
      <c r="I1" s="6" t="s">
        <v>41</v>
      </c>
      <c r="J1" s="6" t="s">
        <v>41</v>
      </c>
      <c r="K1" s="6" t="s">
        <v>41</v>
      </c>
      <c r="L1" s="6" t="s">
        <v>41</v>
      </c>
      <c r="M1" s="6" t="s">
        <v>41</v>
      </c>
      <c r="N1" s="6" t="s">
        <v>41</v>
      </c>
      <c r="O1" s="6" t="s">
        <v>41</v>
      </c>
      <c r="P1" s="6" t="s">
        <v>41</v>
      </c>
      <c r="Q1" s="6" t="s">
        <v>41</v>
      </c>
      <c r="R1" s="6" t="s">
        <v>41</v>
      </c>
      <c r="S1" s="6" t="s">
        <v>41</v>
      </c>
      <c r="T1" s="6" t="s">
        <v>41</v>
      </c>
      <c r="U1" s="6" t="s">
        <v>41</v>
      </c>
      <c r="V1" s="6" t="s">
        <v>41</v>
      </c>
      <c r="W1" s="6" t="s">
        <v>41</v>
      </c>
      <c r="X1" s="6" t="s">
        <v>41</v>
      </c>
      <c r="Y1" s="6" t="s">
        <v>41</v>
      </c>
      <c r="Z1" s="6" t="s">
        <v>41</v>
      </c>
      <c r="AA1" s="6" t="s">
        <v>41</v>
      </c>
      <c r="AB1" s="6" t="s">
        <v>41</v>
      </c>
      <c r="AC1" s="6" t="s">
        <v>0</v>
      </c>
      <c r="AD1" s="6" t="s">
        <v>0</v>
      </c>
      <c r="AE1" s="6" t="s">
        <v>0</v>
      </c>
      <c r="AF1" s="6" t="s">
        <v>0</v>
      </c>
      <c r="AG1" s="6" t="s">
        <v>0</v>
      </c>
      <c r="AH1" s="6" t="s">
        <v>0</v>
      </c>
      <c r="AI1" s="6" t="s">
        <v>0</v>
      </c>
      <c r="AJ1" s="6" t="s">
        <v>0</v>
      </c>
      <c r="AK1" s="6" t="s">
        <v>0</v>
      </c>
      <c r="AL1" s="6" t="s">
        <v>0</v>
      </c>
      <c r="AM1" s="6" t="s">
        <v>0</v>
      </c>
      <c r="AN1" s="6" t="s">
        <v>0</v>
      </c>
      <c r="AO1" s="6" t="s">
        <v>40</v>
      </c>
      <c r="AP1" s="6" t="s">
        <v>40</v>
      </c>
      <c r="AQ1" s="6" t="s">
        <v>40</v>
      </c>
      <c r="AR1" s="1" t="s">
        <v>42</v>
      </c>
      <c r="AS1" s="16"/>
    </row>
    <row r="2" spans="1:45" s="2" customFormat="1" ht="72.75" customHeight="1" x14ac:dyDescent="0.25">
      <c r="A2" s="14" t="s">
        <v>79</v>
      </c>
      <c r="F2" s="5" t="s">
        <v>3</v>
      </c>
      <c r="G2" s="6" t="s">
        <v>66</v>
      </c>
      <c r="H2" s="6" t="s">
        <v>45</v>
      </c>
      <c r="I2" s="6" t="s">
        <v>45</v>
      </c>
      <c r="J2" s="6" t="s">
        <v>46</v>
      </c>
      <c r="K2" s="6" t="s">
        <v>46</v>
      </c>
      <c r="L2" s="6" t="s">
        <v>46</v>
      </c>
      <c r="M2" s="6" t="s">
        <v>56</v>
      </c>
      <c r="N2" s="6" t="s">
        <v>44</v>
      </c>
      <c r="O2" s="6" t="s">
        <v>62</v>
      </c>
      <c r="P2" s="6" t="s">
        <v>62</v>
      </c>
      <c r="Q2" s="6" t="s">
        <v>65</v>
      </c>
      <c r="R2" s="6" t="s">
        <v>65</v>
      </c>
      <c r="S2" s="6" t="s">
        <v>64</v>
      </c>
      <c r="T2" s="6" t="s">
        <v>64</v>
      </c>
      <c r="U2" s="6" t="s">
        <v>63</v>
      </c>
      <c r="V2" s="6" t="s">
        <v>63</v>
      </c>
      <c r="W2" s="6" t="s">
        <v>47</v>
      </c>
      <c r="X2" s="6" t="s">
        <v>48</v>
      </c>
      <c r="Y2" s="6" t="s">
        <v>49</v>
      </c>
      <c r="Z2" s="6" t="s">
        <v>58</v>
      </c>
      <c r="AA2" s="6" t="s">
        <v>70</v>
      </c>
      <c r="AB2" s="6" t="s">
        <v>71</v>
      </c>
      <c r="AC2" s="6" t="s">
        <v>8</v>
      </c>
      <c r="AD2" s="6" t="s">
        <v>1</v>
      </c>
      <c r="AE2" s="6" t="s">
        <v>1</v>
      </c>
      <c r="AF2" s="6" t="s">
        <v>1</v>
      </c>
      <c r="AG2" s="6" t="s">
        <v>1</v>
      </c>
      <c r="AH2" s="6" t="s">
        <v>1</v>
      </c>
      <c r="AI2" s="6" t="s">
        <v>9</v>
      </c>
      <c r="AJ2" s="6" t="s">
        <v>10</v>
      </c>
      <c r="AK2" s="6" t="s">
        <v>10</v>
      </c>
      <c r="AL2" s="6" t="s">
        <v>10</v>
      </c>
      <c r="AM2" s="6" t="s">
        <v>10</v>
      </c>
      <c r="AN2" s="6" t="s">
        <v>10</v>
      </c>
      <c r="AO2" s="6"/>
      <c r="AP2" s="6"/>
      <c r="AQ2" s="6"/>
      <c r="AS2" s="17"/>
    </row>
    <row r="3" spans="1:45" s="2" customFormat="1" ht="42.6" customHeight="1" x14ac:dyDescent="0.25">
      <c r="F3" s="5" t="s">
        <v>4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 t="s">
        <v>6</v>
      </c>
      <c r="AD3" s="6" t="s">
        <v>6</v>
      </c>
      <c r="AE3" s="6" t="s">
        <v>6</v>
      </c>
      <c r="AF3" s="6" t="s">
        <v>6</v>
      </c>
      <c r="AG3" s="6" t="s">
        <v>6</v>
      </c>
      <c r="AH3" s="6" t="s">
        <v>6</v>
      </c>
      <c r="AI3" s="6" t="s">
        <v>6</v>
      </c>
      <c r="AJ3" s="6" t="s">
        <v>6</v>
      </c>
      <c r="AK3" s="6" t="s">
        <v>6</v>
      </c>
      <c r="AL3" s="6" t="s">
        <v>6</v>
      </c>
      <c r="AM3" s="6" t="s">
        <v>6</v>
      </c>
      <c r="AN3" s="6" t="s">
        <v>6</v>
      </c>
      <c r="AO3" s="6"/>
      <c r="AP3" s="6"/>
      <c r="AQ3" s="6"/>
      <c r="AS3" s="17"/>
    </row>
    <row r="4" spans="1:45" s="2" customFormat="1" ht="42.6" customHeight="1" x14ac:dyDescent="0.25">
      <c r="A4" s="13" t="s">
        <v>78</v>
      </c>
      <c r="B4" s="11" t="str">
        <f>"Trial Number
("&amp;COUNT(B$5:B$46)-1&amp;")"</f>
        <v>Trial Number
(41)</v>
      </c>
      <c r="C4" s="11" t="str">
        <f>"Run Trials
("&amp;COUNTIFS(C$5:C$46,TRUE)&amp;")"</f>
        <v>Run Trials
(2)</v>
      </c>
      <c r="D4" s="18" t="str">
        <f>"Full output
("&amp;TEXT(COUNTIFS($C$5:$C$46,TRUE,D$5:D$46,TRUE)/COUNTIFS($C$5:$C$46,TRUE),"0%)")</f>
        <v>Full output
(100%)</v>
      </c>
      <c r="E4" s="11" t="str">
        <f>"Report
("&amp;TEXT(COUNTIFS(E$5:E$46,TRUE)/COUNTA(E$5:E$46),"0%)")</f>
        <v>Report
(5%)</v>
      </c>
      <c r="F4" s="5" t="s">
        <v>5</v>
      </c>
      <c r="G4" s="8"/>
      <c r="H4" s="8" t="s">
        <v>35</v>
      </c>
      <c r="I4" s="8" t="s">
        <v>36</v>
      </c>
      <c r="J4" s="8" t="s">
        <v>35</v>
      </c>
      <c r="K4" s="8" t="s">
        <v>36</v>
      </c>
      <c r="L4" s="8" t="s">
        <v>37</v>
      </c>
      <c r="M4" s="8" t="s">
        <v>57</v>
      </c>
      <c r="N4" s="8"/>
      <c r="O4" s="8" t="s">
        <v>72</v>
      </c>
      <c r="P4" s="8" t="s">
        <v>73</v>
      </c>
      <c r="Q4" s="8" t="s">
        <v>72</v>
      </c>
      <c r="R4" s="8" t="s">
        <v>73</v>
      </c>
      <c r="S4" s="8" t="s">
        <v>72</v>
      </c>
      <c r="T4" s="8" t="s">
        <v>73</v>
      </c>
      <c r="U4" s="8" t="s">
        <v>72</v>
      </c>
      <c r="V4" s="8" t="s">
        <v>73</v>
      </c>
      <c r="W4" s="8"/>
      <c r="X4" s="8"/>
      <c r="Y4" s="8"/>
      <c r="Z4" s="8"/>
      <c r="AA4" s="8"/>
      <c r="AB4" s="8"/>
      <c r="AC4" s="7"/>
      <c r="AD4" s="7" t="s">
        <v>35</v>
      </c>
      <c r="AE4" s="8" t="s">
        <v>36</v>
      </c>
      <c r="AF4" s="8" t="s">
        <v>37</v>
      </c>
      <c r="AG4" s="8" t="s">
        <v>38</v>
      </c>
      <c r="AH4" s="8" t="s">
        <v>39</v>
      </c>
      <c r="AI4" s="7"/>
      <c r="AJ4" s="7" t="s">
        <v>35</v>
      </c>
      <c r="AK4" s="8" t="s">
        <v>36</v>
      </c>
      <c r="AL4" s="8" t="s">
        <v>37</v>
      </c>
      <c r="AM4" s="8" t="s">
        <v>38</v>
      </c>
      <c r="AN4" s="8" t="s">
        <v>39</v>
      </c>
      <c r="AO4" s="8"/>
      <c r="AP4" s="8"/>
      <c r="AQ4" s="8"/>
      <c r="AR4" s="12"/>
      <c r="AS4" s="17"/>
    </row>
    <row r="5" spans="1:45" x14ac:dyDescent="0.25">
      <c r="A5" s="19"/>
      <c r="B5">
        <f>ROW(B5)-5</f>
        <v>0</v>
      </c>
      <c r="C5" t="b">
        <v>0</v>
      </c>
      <c r="D5" t="b">
        <v>0</v>
      </c>
      <c r="E5" t="b">
        <v>0</v>
      </c>
      <c r="F5" s="3" t="s">
        <v>7</v>
      </c>
      <c r="G5" s="9" t="str" cm="1">
        <f t="array" ref="G5">_xlfn.IFS(OR(G1="sam",G1="sai"),1,G1="sav","-",OR(G1="sap",G1="saa"),0)</f>
        <v>-</v>
      </c>
      <c r="H5" s="9" t="str" cm="1">
        <f t="array" ref="H5">_xlfn.IFS(OR(H1="sam",H1="sai"),1,H1="sav","-",OR(H1="sap",H1="saa"),0)</f>
        <v>-</v>
      </c>
      <c r="I5" s="9" t="str" cm="1">
        <f t="array" ref="I5">_xlfn.IFS(OR(I1="sam",I1="sai"),1,I1="sav","-",OR(I1="sap",I1="saa"),0)</f>
        <v>-</v>
      </c>
      <c r="J5" s="9" t="str" cm="1">
        <f t="array" ref="J5">_xlfn.IFS(OR(J1="sam",J1="sai"),1,J1="sav","-",OR(J1="sap",J1="saa"),0)</f>
        <v>-</v>
      </c>
      <c r="K5" s="9" t="str" cm="1">
        <f t="array" ref="K5">_xlfn.IFS(OR(K1="sam",K1="sai"),1,K1="sav","-",OR(K1="sap",K1="saa"),0)</f>
        <v>-</v>
      </c>
      <c r="L5" s="9" t="str" cm="1">
        <f t="array" ref="L5">_xlfn.IFS(OR(L1="sam",L1="sai"),1,L1="sav","-",OR(L1="sap",L1="saa"),0)</f>
        <v>-</v>
      </c>
      <c r="M5" s="9" t="str" cm="1">
        <f t="array" ref="M5">_xlfn.IFS(OR(M1="sam",M1="sai"),1,M1="sav","-",OR(M1="sap",M1="saa"),0)</f>
        <v>-</v>
      </c>
      <c r="N5" s="9" t="str" cm="1">
        <f t="array" ref="N5">_xlfn.IFS(OR(N1="sam",N1="sai"),1,N1="sav","-",OR(N1="sap",N1="saa"),0)</f>
        <v>-</v>
      </c>
      <c r="O5" s="9" t="str" cm="1">
        <f t="array" ref="O5">_xlfn.IFS(OR(O1="sam",O1="sai"),1,O1="sav","-",OR(O1="sap",O1="saa"),0)</f>
        <v>-</v>
      </c>
      <c r="P5" s="9" t="str" cm="1">
        <f t="array" ref="P5">_xlfn.IFS(OR(P1="sam",P1="sai"),1,P1="sav","-",OR(P1="sap",P1="saa"),0)</f>
        <v>-</v>
      </c>
      <c r="Q5" s="9" t="str" cm="1">
        <f t="array" ref="Q5">_xlfn.IFS(OR(Q1="sam",Q1="sai"),1,Q1="sav","-",OR(Q1="sap",Q1="saa"),0)</f>
        <v>-</v>
      </c>
      <c r="R5" s="9" t="str" cm="1">
        <f t="array" ref="R5">_xlfn.IFS(OR(R1="sam",R1="sai"),1,R1="sav","-",OR(R1="sap",R1="saa"),0)</f>
        <v>-</v>
      </c>
      <c r="S5" s="9" t="str" cm="1">
        <f t="array" ref="S5">_xlfn.IFS(OR(S1="sam",S1="sai"),1,S1="sav","-",OR(S1="sap",S1="saa"),0)</f>
        <v>-</v>
      </c>
      <c r="T5" s="9" t="str" cm="1">
        <f t="array" ref="T5">_xlfn.IFS(OR(T1="sam",T1="sai"),1,T1="sav","-",OR(T1="sap",T1="saa"),0)</f>
        <v>-</v>
      </c>
      <c r="U5" s="9" t="str" cm="1">
        <f t="array" ref="U5">_xlfn.IFS(OR(U1="sam",U1="sai"),1,U1="sav","-",OR(U1="sap",U1="saa"),0)</f>
        <v>-</v>
      </c>
      <c r="V5" s="9" t="str" cm="1">
        <f t="array" ref="V5">_xlfn.IFS(OR(V1="sam",V1="sai"),1,V1="sav","-",OR(V1="sap",V1="saa"),0)</f>
        <v>-</v>
      </c>
      <c r="W5" s="9" t="str" cm="1">
        <f t="array" ref="W5">_xlfn.IFS(OR(W1="sam",W1="sai"),1,W1="sav","-",OR(W1="sap",W1="saa"),0)</f>
        <v>-</v>
      </c>
      <c r="X5" s="9" t="str" cm="1">
        <f t="array" ref="X5">_xlfn.IFS(OR(X1="sam",X1="sai"),1,X1="sav","-",OR(X1="sap",X1="saa"),0)</f>
        <v>-</v>
      </c>
      <c r="Y5" s="9" t="str" cm="1">
        <f t="array" ref="Y5">_xlfn.IFS(OR(Y1="sam",Y1="sai"),1,Y1="sav","-",OR(Y1="sap",Y1="saa"),0)</f>
        <v>-</v>
      </c>
      <c r="Z5" s="9" t="str" cm="1">
        <f t="array" ref="Z5">_xlfn.IFS(OR(Z1="sam",Z1="sai"),1,Z1="sav","-",OR(Z1="sap",Z1="saa"),0)</f>
        <v>-</v>
      </c>
      <c r="AA5" s="9" t="str" cm="1">
        <f t="array" ref="AA5">_xlfn.IFS(OR(AA1="sam",AA1="sai"),1,AA1="sav","-",OR(AA1="sap",AA1="saa"),0)</f>
        <v>-</v>
      </c>
      <c r="AB5" s="9" t="str" cm="1">
        <f t="array" ref="AB5">_xlfn.IFS(OR(AB1="sam",AB1="sai"),1,AB1="sav","-",OR(AB1="sap",AB1="saa"),0)</f>
        <v>-</v>
      </c>
      <c r="AC5" s="9" cm="1">
        <f t="array" ref="AC5">_xlfn.IFS(OR(AC1="sam",AC1="sai"),1,AC1="sav","-",OR(AC1="sap",AC1="saa"),0)</f>
        <v>1</v>
      </c>
      <c r="AD5" s="9" cm="1">
        <f t="array" ref="AD5">_xlfn.IFS(OR(AD1="sam",AD1="sai"),1,AD1="sav","-",OR(AD1="sap",AD1="saa"),0)</f>
        <v>1</v>
      </c>
      <c r="AE5" s="9" cm="1">
        <f t="array" ref="AE5">_xlfn.IFS(OR(AE1="sam",AE1="sai"),1,AE1="sav","-",OR(AE1="sap",AE1="saa"),0)</f>
        <v>1</v>
      </c>
      <c r="AF5" s="9" cm="1">
        <f t="array" ref="AF5">_xlfn.IFS(OR(AF1="sam",AF1="sai"),1,AF1="sav","-",OR(AF1="sap",AF1="saa"),0)</f>
        <v>1</v>
      </c>
      <c r="AG5" s="9" cm="1">
        <f t="array" ref="AG5">_xlfn.IFS(OR(AG1="sam",AG1="sai"),1,AG1="sav","-",OR(AG1="sap",AG1="saa"),0)</f>
        <v>1</v>
      </c>
      <c r="AH5" s="9" cm="1">
        <f t="array" ref="AH5">_xlfn.IFS(OR(AH1="sam",AH1="sai"),1,AH1="sav","-",OR(AH1="sap",AH1="saa"),0)</f>
        <v>1</v>
      </c>
      <c r="AI5" s="9" cm="1">
        <f t="array" ref="AI5">_xlfn.IFS(OR(AI1="sam",AI1="sai"),1,AI1="sav","-",OR(AI1="sap",AI1="saa"),0)</f>
        <v>1</v>
      </c>
      <c r="AJ5" s="9" cm="1">
        <f t="array" ref="AJ5">_xlfn.IFS(OR(AJ1="sam",AJ1="sai"),1,AJ1="sav","-",OR(AJ1="sap",AJ1="saa"),0)</f>
        <v>1</v>
      </c>
      <c r="AK5" s="9" cm="1">
        <f t="array" ref="AK5">_xlfn.IFS(OR(AK1="sam",AK1="sai"),1,AK1="sav","-",OR(AK1="sap",AK1="saa"),0)</f>
        <v>1</v>
      </c>
      <c r="AL5" s="9" cm="1">
        <f t="array" ref="AL5">_xlfn.IFS(OR(AL1="sam",AL1="sai"),1,AL1="sav","-",OR(AL1="sap",AL1="saa"),0)</f>
        <v>1</v>
      </c>
      <c r="AM5" s="9" cm="1">
        <f t="array" ref="AM5">_xlfn.IFS(OR(AM1="sam",AM1="sai"),1,AM1="sav","-",OR(AM1="sap",AM1="saa"),0)</f>
        <v>1</v>
      </c>
      <c r="AN5" s="9" cm="1">
        <f t="array" ref="AN5">_xlfn.IFS(OR(AN1="sam",AN1="sai"),1,AN1="sav","-",OR(AN1="sap",AN1="saa"),0)</f>
        <v>1</v>
      </c>
      <c r="AO5" s="9" cm="1">
        <f t="array" ref="AO5">_xlfn.IFS(OR(AO1="sam",AO1="sai"),1,AO1="sav","-",OR(AO1="sap",AO1="saa"),0)</f>
        <v>0</v>
      </c>
      <c r="AP5" s="9" cm="1">
        <f t="array" ref="AP5">_xlfn.IFS(OR(AP1="sam",AP1="sai"),1,AP1="sav","-",OR(AP1="sap",AP1="saa"),0)</f>
        <v>0</v>
      </c>
      <c r="AQ5" s="9" cm="1">
        <f t="array" ref="AQ5">_xlfn.IFS(OR(AQ1="sam",AQ1="sai"),1,AQ1="sav","-",OR(AQ1="sap",AQ1="saa"),0)</f>
        <v>0</v>
      </c>
      <c r="AR5" s="9" cm="1">
        <f t="array" ref="AR5">_xlfn.IFS(OR(AR1="sam",AR1="sai"),1,AR1="sav","-",OR(AR1="sap",AR1="saa"),0)</f>
        <v>0</v>
      </c>
      <c r="AS5" s="15">
        <v>0</v>
      </c>
    </row>
    <row r="6" spans="1:45" x14ac:dyDescent="0.25">
      <c r="A6" s="19">
        <v>44273.935752314814</v>
      </c>
      <c r="B6">
        <f>ROW(B6)-5</f>
        <v>1</v>
      </c>
      <c r="C6" t="b">
        <v>0</v>
      </c>
      <c r="D6" t="b">
        <v>0</v>
      </c>
      <c r="E6" t="b">
        <v>0</v>
      </c>
      <c r="F6" s="3" t="s">
        <v>82</v>
      </c>
      <c r="G6" t="str">
        <f>G$5</f>
        <v>-</v>
      </c>
      <c r="H6" s="22" t="b">
        <v>0</v>
      </c>
      <c r="I6" s="22" t="b">
        <v>1</v>
      </c>
      <c r="J6" t="str">
        <f t="shared" ref="J6:AR6" si="0">J$5</f>
        <v>-</v>
      </c>
      <c r="K6" t="str">
        <f t="shared" si="0"/>
        <v>-</v>
      </c>
      <c r="L6" t="str">
        <f t="shared" si="0"/>
        <v>-</v>
      </c>
      <c r="M6" t="str">
        <f t="shared" si="0"/>
        <v>-</v>
      </c>
      <c r="N6" t="str">
        <f t="shared" si="0"/>
        <v>-</v>
      </c>
      <c r="O6" t="str">
        <f t="shared" si="0"/>
        <v>-</v>
      </c>
      <c r="P6" t="str">
        <f t="shared" si="0"/>
        <v>-</v>
      </c>
      <c r="Q6" t="str">
        <f t="shared" si="0"/>
        <v>-</v>
      </c>
      <c r="R6" t="str">
        <f t="shared" si="0"/>
        <v>-</v>
      </c>
      <c r="S6" t="str">
        <f t="shared" si="0"/>
        <v>-</v>
      </c>
      <c r="T6" t="str">
        <f t="shared" si="0"/>
        <v>-</v>
      </c>
      <c r="U6" t="str">
        <f t="shared" si="0"/>
        <v>-</v>
      </c>
      <c r="V6" t="str">
        <f t="shared" si="0"/>
        <v>-</v>
      </c>
      <c r="W6" t="str">
        <f t="shared" si="0"/>
        <v>-</v>
      </c>
      <c r="X6" t="str">
        <f t="shared" si="0"/>
        <v>-</v>
      </c>
      <c r="Y6" t="str">
        <f t="shared" si="0"/>
        <v>-</v>
      </c>
      <c r="Z6" t="str">
        <f t="shared" si="0"/>
        <v>-</v>
      </c>
      <c r="AA6" t="str">
        <f t="shared" si="0"/>
        <v>-</v>
      </c>
      <c r="AB6" t="str">
        <f t="shared" si="0"/>
        <v>-</v>
      </c>
      <c r="AC6">
        <f t="shared" si="0"/>
        <v>1</v>
      </c>
      <c r="AD6">
        <f t="shared" si="0"/>
        <v>1</v>
      </c>
      <c r="AE6">
        <f t="shared" si="0"/>
        <v>1</v>
      </c>
      <c r="AF6">
        <f t="shared" si="0"/>
        <v>1</v>
      </c>
      <c r="AG6">
        <f t="shared" si="0"/>
        <v>1</v>
      </c>
      <c r="AH6">
        <f t="shared" si="0"/>
        <v>1</v>
      </c>
      <c r="AI6">
        <f t="shared" si="0"/>
        <v>1</v>
      </c>
      <c r="AJ6">
        <f t="shared" si="0"/>
        <v>1</v>
      </c>
      <c r="AK6">
        <f t="shared" si="0"/>
        <v>1</v>
      </c>
      <c r="AL6">
        <f t="shared" si="0"/>
        <v>1</v>
      </c>
      <c r="AM6">
        <f t="shared" si="0"/>
        <v>1</v>
      </c>
      <c r="AN6">
        <f t="shared" si="0"/>
        <v>1</v>
      </c>
      <c r="AO6">
        <f t="shared" si="0"/>
        <v>0</v>
      </c>
      <c r="AP6">
        <f t="shared" si="0"/>
        <v>0</v>
      </c>
      <c r="AQ6">
        <f t="shared" si="0"/>
        <v>0</v>
      </c>
      <c r="AR6">
        <f t="shared" si="0"/>
        <v>0</v>
      </c>
      <c r="AS6" s="15">
        <v>0</v>
      </c>
    </row>
    <row r="7" spans="1:45" x14ac:dyDescent="0.25">
      <c r="A7" s="19"/>
      <c r="B7">
        <f>ROW(B7)-5</f>
        <v>2</v>
      </c>
      <c r="C7" t="b">
        <v>0</v>
      </c>
      <c r="D7" t="b">
        <v>0</v>
      </c>
      <c r="E7" t="b">
        <v>0</v>
      </c>
      <c r="F7" s="3" t="s">
        <v>67</v>
      </c>
      <c r="G7" t="str">
        <f>G$6</f>
        <v>-</v>
      </c>
      <c r="H7" t="b">
        <f>H$6</f>
        <v>0</v>
      </c>
      <c r="I7" t="b">
        <f>I$6</f>
        <v>1</v>
      </c>
      <c r="J7" t="str">
        <f>J$6</f>
        <v>-</v>
      </c>
      <c r="K7" t="str">
        <f>K$6</f>
        <v>-</v>
      </c>
      <c r="L7" t="str">
        <f>L$6</f>
        <v>-</v>
      </c>
      <c r="M7" t="str">
        <f>M$6</f>
        <v>-</v>
      </c>
      <c r="N7" t="str">
        <f>N$6</f>
        <v>-</v>
      </c>
      <c r="O7" t="str">
        <f>O$6</f>
        <v>-</v>
      </c>
      <c r="P7" t="str">
        <f>P$6</f>
        <v>-</v>
      </c>
      <c r="Q7" t="str">
        <f>Q$6</f>
        <v>-</v>
      </c>
      <c r="R7" t="str">
        <f>R$6</f>
        <v>-</v>
      </c>
      <c r="S7" t="str">
        <f>S$6</f>
        <v>-</v>
      </c>
      <c r="T7" t="str">
        <f>T$6</f>
        <v>-</v>
      </c>
      <c r="U7" t="str">
        <f>U$6</f>
        <v>-</v>
      </c>
      <c r="V7" t="str">
        <f>V$6</f>
        <v>-</v>
      </c>
      <c r="W7" t="str">
        <f>W$6</f>
        <v>-</v>
      </c>
      <c r="X7" t="str">
        <f>X$6</f>
        <v>-</v>
      </c>
      <c r="Y7" t="str">
        <f>Y$6</f>
        <v>-</v>
      </c>
      <c r="Z7" t="str">
        <f>Z$6</f>
        <v>-</v>
      </c>
      <c r="AA7" t="str">
        <f>AA$6</f>
        <v>-</v>
      </c>
      <c r="AB7" t="str">
        <f>AB$6</f>
        <v>-</v>
      </c>
      <c r="AC7">
        <f>AC$6</f>
        <v>1</v>
      </c>
      <c r="AD7">
        <f>AD$6</f>
        <v>1</v>
      </c>
      <c r="AE7">
        <f>AE$6</f>
        <v>1</v>
      </c>
      <c r="AF7">
        <f>AF$6</f>
        <v>1</v>
      </c>
      <c r="AG7">
        <f>AG$6</f>
        <v>1</v>
      </c>
      <c r="AH7">
        <f>AH$6</f>
        <v>1</v>
      </c>
      <c r="AI7">
        <f>AI$6</f>
        <v>1</v>
      </c>
      <c r="AJ7">
        <f>AJ$6</f>
        <v>1</v>
      </c>
      <c r="AK7">
        <f>AK$6</f>
        <v>1</v>
      </c>
      <c r="AL7">
        <f>AL$6</f>
        <v>1</v>
      </c>
      <c r="AM7">
        <f>AM$6</f>
        <v>1</v>
      </c>
      <c r="AN7">
        <f>AN$6</f>
        <v>1</v>
      </c>
      <c r="AO7">
        <f>AO$6</f>
        <v>0</v>
      </c>
      <c r="AP7">
        <f>AP$6</f>
        <v>0</v>
      </c>
      <c r="AQ7">
        <f>AQ$6</f>
        <v>0</v>
      </c>
      <c r="AR7">
        <f>AR$6</f>
        <v>0</v>
      </c>
      <c r="AS7" s="15">
        <v>0</v>
      </c>
    </row>
    <row r="8" spans="1:45" x14ac:dyDescent="0.25">
      <c r="A8" s="19"/>
      <c r="B8">
        <f t="shared" ref="B8:B46" si="1">ROW(B8)-5</f>
        <v>3</v>
      </c>
      <c r="C8" t="b">
        <v>0</v>
      </c>
      <c r="D8" t="b">
        <v>0</v>
      </c>
      <c r="E8" t="b">
        <v>0</v>
      </c>
      <c r="F8" s="3" t="s">
        <v>11</v>
      </c>
      <c r="G8" t="str">
        <f>G$6</f>
        <v>-</v>
      </c>
      <c r="H8" t="b">
        <f>H$6</f>
        <v>0</v>
      </c>
      <c r="I8" t="b">
        <f>I$6</f>
        <v>1</v>
      </c>
      <c r="J8" t="str">
        <f>J$6</f>
        <v>-</v>
      </c>
      <c r="K8" t="str">
        <f>K$6</f>
        <v>-</v>
      </c>
      <c r="L8" t="str">
        <f>L$6</f>
        <v>-</v>
      </c>
      <c r="M8" t="str">
        <f>M$6</f>
        <v>-</v>
      </c>
      <c r="N8" t="str">
        <f>N$6</f>
        <v>-</v>
      </c>
      <c r="O8" t="str">
        <f>O$6</f>
        <v>-</v>
      </c>
      <c r="P8" t="str">
        <f>P$6</f>
        <v>-</v>
      </c>
      <c r="Q8" t="str">
        <f>Q$6</f>
        <v>-</v>
      </c>
      <c r="R8" t="str">
        <f>R$6</f>
        <v>-</v>
      </c>
      <c r="S8" t="str">
        <f>S$6</f>
        <v>-</v>
      </c>
      <c r="T8" t="str">
        <f>T$6</f>
        <v>-</v>
      </c>
      <c r="U8" t="str">
        <f>U$6</f>
        <v>-</v>
      </c>
      <c r="V8" t="str">
        <f>V$6</f>
        <v>-</v>
      </c>
      <c r="W8" t="str">
        <f>W$6</f>
        <v>-</v>
      </c>
      <c r="X8" t="str">
        <f>X$6</f>
        <v>-</v>
      </c>
      <c r="Y8" t="str">
        <f>Y$6</f>
        <v>-</v>
      </c>
      <c r="Z8" t="str">
        <f>Z$6</f>
        <v>-</v>
      </c>
      <c r="AA8" t="str">
        <f>AA$6</f>
        <v>-</v>
      </c>
      <c r="AB8" t="str">
        <f>AB$6</f>
        <v>-</v>
      </c>
      <c r="AC8" s="22">
        <v>0.9</v>
      </c>
      <c r="AD8">
        <f>AD$6</f>
        <v>1</v>
      </c>
      <c r="AE8">
        <f>AE$6</f>
        <v>1</v>
      </c>
      <c r="AF8">
        <f>AF$6</f>
        <v>1</v>
      </c>
      <c r="AG8">
        <f>AG$6</f>
        <v>1</v>
      </c>
      <c r="AH8">
        <f>AH$6</f>
        <v>1</v>
      </c>
      <c r="AI8">
        <f>AI$6</f>
        <v>1</v>
      </c>
      <c r="AJ8">
        <f>AJ$6</f>
        <v>1</v>
      </c>
      <c r="AK8">
        <f>AK$6</f>
        <v>1</v>
      </c>
      <c r="AL8">
        <f>AL$6</f>
        <v>1</v>
      </c>
      <c r="AM8">
        <f>AM$6</f>
        <v>1</v>
      </c>
      <c r="AN8">
        <f>AN$6</f>
        <v>1</v>
      </c>
      <c r="AO8">
        <f>AO$6</f>
        <v>0</v>
      </c>
      <c r="AP8">
        <f>AP$6</f>
        <v>0</v>
      </c>
      <c r="AQ8">
        <f>AQ$6</f>
        <v>0</v>
      </c>
      <c r="AR8">
        <f>AR$6</f>
        <v>0</v>
      </c>
      <c r="AS8" s="15">
        <v>0</v>
      </c>
    </row>
    <row r="9" spans="1:45" x14ac:dyDescent="0.25">
      <c r="A9" s="19"/>
      <c r="B9">
        <f t="shared" si="1"/>
        <v>4</v>
      </c>
      <c r="C9" t="b">
        <v>0</v>
      </c>
      <c r="D9" t="b">
        <v>0</v>
      </c>
      <c r="E9" t="b">
        <v>0</v>
      </c>
      <c r="F9" s="3" t="s">
        <v>12</v>
      </c>
      <c r="G9" t="str">
        <f>G$6</f>
        <v>-</v>
      </c>
      <c r="H9" t="b">
        <f>H$6</f>
        <v>0</v>
      </c>
      <c r="I9" t="b">
        <f>I$6</f>
        <v>1</v>
      </c>
      <c r="J9" t="str">
        <f>J$6</f>
        <v>-</v>
      </c>
      <c r="K9" t="str">
        <f>K$6</f>
        <v>-</v>
      </c>
      <c r="L9" t="str">
        <f>L$6</f>
        <v>-</v>
      </c>
      <c r="M9" t="str">
        <f>M$6</f>
        <v>-</v>
      </c>
      <c r="N9" t="str">
        <f>N$6</f>
        <v>-</v>
      </c>
      <c r="O9" t="str">
        <f>O$6</f>
        <v>-</v>
      </c>
      <c r="P9" t="str">
        <f>P$6</f>
        <v>-</v>
      </c>
      <c r="Q9" t="str">
        <f>Q$6</f>
        <v>-</v>
      </c>
      <c r="R9" t="str">
        <f>R$6</f>
        <v>-</v>
      </c>
      <c r="S9" t="str">
        <f>S$6</f>
        <v>-</v>
      </c>
      <c r="T9" t="str">
        <f>T$6</f>
        <v>-</v>
      </c>
      <c r="U9" t="str">
        <f>U$6</f>
        <v>-</v>
      </c>
      <c r="V9" t="str">
        <f>V$6</f>
        <v>-</v>
      </c>
      <c r="W9" t="str">
        <f>W$6</f>
        <v>-</v>
      </c>
      <c r="X9" t="str">
        <f>X$6</f>
        <v>-</v>
      </c>
      <c r="Y9" t="str">
        <f>Y$6</f>
        <v>-</v>
      </c>
      <c r="Z9" t="str">
        <f>Z$6</f>
        <v>-</v>
      </c>
      <c r="AA9" t="str">
        <f>AA$6</f>
        <v>-</v>
      </c>
      <c r="AB9" t="str">
        <f>AB$6</f>
        <v>-</v>
      </c>
      <c r="AC9" s="22">
        <v>1.1000000000000001</v>
      </c>
      <c r="AD9">
        <f>AD$6</f>
        <v>1</v>
      </c>
      <c r="AE9">
        <f>AE$6</f>
        <v>1</v>
      </c>
      <c r="AF9">
        <f>AF$6</f>
        <v>1</v>
      </c>
      <c r="AG9">
        <f>AG$6</f>
        <v>1</v>
      </c>
      <c r="AH9">
        <f>AH$6</f>
        <v>1</v>
      </c>
      <c r="AI9">
        <f>AI$6</f>
        <v>1</v>
      </c>
      <c r="AJ9">
        <f>AJ$6</f>
        <v>1</v>
      </c>
      <c r="AK9">
        <f>AK$6</f>
        <v>1</v>
      </c>
      <c r="AL9">
        <f>AL$6</f>
        <v>1</v>
      </c>
      <c r="AM9">
        <f>AM$6</f>
        <v>1</v>
      </c>
      <c r="AN9">
        <f>AN$6</f>
        <v>1</v>
      </c>
      <c r="AO9">
        <f>AO$6</f>
        <v>0</v>
      </c>
      <c r="AP9">
        <f>AP$6</f>
        <v>0</v>
      </c>
      <c r="AQ9">
        <f>AQ$6</f>
        <v>0</v>
      </c>
      <c r="AR9">
        <f>AR$6</f>
        <v>0</v>
      </c>
      <c r="AS9" s="15">
        <v>0</v>
      </c>
    </row>
    <row r="10" spans="1:45" x14ac:dyDescent="0.25">
      <c r="A10" s="19"/>
      <c r="B10">
        <f t="shared" si="1"/>
        <v>5</v>
      </c>
      <c r="C10" t="b">
        <v>0</v>
      </c>
      <c r="D10" t="b">
        <v>0</v>
      </c>
      <c r="E10" t="b">
        <v>0</v>
      </c>
      <c r="F10" s="3" t="s">
        <v>13</v>
      </c>
      <c r="G10" t="str">
        <f>G$6</f>
        <v>-</v>
      </c>
      <c r="H10" t="b">
        <f>H$6</f>
        <v>0</v>
      </c>
      <c r="I10" t="b">
        <f>I$6</f>
        <v>1</v>
      </c>
      <c r="J10" t="str">
        <f>J$6</f>
        <v>-</v>
      </c>
      <c r="K10" t="str">
        <f>K$6</f>
        <v>-</v>
      </c>
      <c r="L10" t="str">
        <f>L$6</f>
        <v>-</v>
      </c>
      <c r="M10" t="str">
        <f>M$6</f>
        <v>-</v>
      </c>
      <c r="N10" t="str">
        <f>N$6</f>
        <v>-</v>
      </c>
      <c r="O10" t="str">
        <f>O$6</f>
        <v>-</v>
      </c>
      <c r="P10" t="str">
        <f>P$6</f>
        <v>-</v>
      </c>
      <c r="Q10" t="str">
        <f>Q$6</f>
        <v>-</v>
      </c>
      <c r="R10" t="str">
        <f>R$6</f>
        <v>-</v>
      </c>
      <c r="S10" t="str">
        <f>S$6</f>
        <v>-</v>
      </c>
      <c r="T10" t="str">
        <f>T$6</f>
        <v>-</v>
      </c>
      <c r="U10" t="str">
        <f>U$6</f>
        <v>-</v>
      </c>
      <c r="V10" t="str">
        <f>V$6</f>
        <v>-</v>
      </c>
      <c r="W10" t="str">
        <f>W$6</f>
        <v>-</v>
      </c>
      <c r="X10" t="str">
        <f>X$6</f>
        <v>-</v>
      </c>
      <c r="Y10" t="str">
        <f>Y$6</f>
        <v>-</v>
      </c>
      <c r="Z10" t="str">
        <f>Z$6</f>
        <v>-</v>
      </c>
      <c r="AA10" t="str">
        <f>AA$6</f>
        <v>-</v>
      </c>
      <c r="AB10" t="str">
        <f>AB$6</f>
        <v>-</v>
      </c>
      <c r="AC10">
        <f>AC$6</f>
        <v>1</v>
      </c>
      <c r="AD10" s="22">
        <v>0.9</v>
      </c>
      <c r="AE10">
        <f>AE$6</f>
        <v>1</v>
      </c>
      <c r="AF10">
        <f>AF$6</f>
        <v>1</v>
      </c>
      <c r="AG10">
        <f>AG$6</f>
        <v>1</v>
      </c>
      <c r="AH10">
        <f>AH$6</f>
        <v>1</v>
      </c>
      <c r="AI10">
        <f>AI$6</f>
        <v>1</v>
      </c>
      <c r="AJ10">
        <f>AJ$6</f>
        <v>1</v>
      </c>
      <c r="AK10">
        <f>AK$6</f>
        <v>1</v>
      </c>
      <c r="AL10">
        <f>AL$6</f>
        <v>1</v>
      </c>
      <c r="AM10">
        <f>AM$6</f>
        <v>1</v>
      </c>
      <c r="AN10">
        <f>AN$6</f>
        <v>1</v>
      </c>
      <c r="AO10">
        <f>AO$6</f>
        <v>0</v>
      </c>
      <c r="AP10">
        <f>AP$6</f>
        <v>0</v>
      </c>
      <c r="AQ10">
        <f>AQ$6</f>
        <v>0</v>
      </c>
      <c r="AR10">
        <f>AR$6</f>
        <v>0</v>
      </c>
      <c r="AS10" s="15">
        <v>0</v>
      </c>
    </row>
    <row r="11" spans="1:45" x14ac:dyDescent="0.25">
      <c r="A11" s="19"/>
      <c r="B11">
        <f t="shared" si="1"/>
        <v>6</v>
      </c>
      <c r="C11" t="b">
        <v>0</v>
      </c>
      <c r="D11" t="b">
        <v>0</v>
      </c>
      <c r="E11" t="b">
        <v>0</v>
      </c>
      <c r="F11" s="3" t="s">
        <v>14</v>
      </c>
      <c r="G11" t="str">
        <f>G$6</f>
        <v>-</v>
      </c>
      <c r="H11" t="b">
        <f>H$6</f>
        <v>0</v>
      </c>
      <c r="I11" t="b">
        <f>I$6</f>
        <v>1</v>
      </c>
      <c r="J11" t="str">
        <f>J$6</f>
        <v>-</v>
      </c>
      <c r="K11" t="str">
        <f>K$6</f>
        <v>-</v>
      </c>
      <c r="L11" t="str">
        <f>L$6</f>
        <v>-</v>
      </c>
      <c r="M11" t="str">
        <f>M$6</f>
        <v>-</v>
      </c>
      <c r="N11" t="str">
        <f>N$6</f>
        <v>-</v>
      </c>
      <c r="O11" t="str">
        <f>O$6</f>
        <v>-</v>
      </c>
      <c r="P11" t="str">
        <f>P$6</f>
        <v>-</v>
      </c>
      <c r="Q11" t="str">
        <f>Q$6</f>
        <v>-</v>
      </c>
      <c r="R11" t="str">
        <f>R$6</f>
        <v>-</v>
      </c>
      <c r="S11" t="str">
        <f>S$6</f>
        <v>-</v>
      </c>
      <c r="T11" t="str">
        <f>T$6</f>
        <v>-</v>
      </c>
      <c r="U11" t="str">
        <f>U$6</f>
        <v>-</v>
      </c>
      <c r="V11" t="str">
        <f>V$6</f>
        <v>-</v>
      </c>
      <c r="W11" t="str">
        <f>W$6</f>
        <v>-</v>
      </c>
      <c r="X11" t="str">
        <f>X$6</f>
        <v>-</v>
      </c>
      <c r="Y11" t="str">
        <f>Y$6</f>
        <v>-</v>
      </c>
      <c r="Z11" t="str">
        <f>Z$6</f>
        <v>-</v>
      </c>
      <c r="AA11" t="str">
        <f>AA$6</f>
        <v>-</v>
      </c>
      <c r="AB11" t="str">
        <f>AB$6</f>
        <v>-</v>
      </c>
      <c r="AC11">
        <f>AC$6</f>
        <v>1</v>
      </c>
      <c r="AD11" s="22">
        <v>1.1000000000000001</v>
      </c>
      <c r="AE11">
        <f>AE$6</f>
        <v>1</v>
      </c>
      <c r="AF11">
        <f>AF$6</f>
        <v>1</v>
      </c>
      <c r="AG11">
        <f>AG$6</f>
        <v>1</v>
      </c>
      <c r="AH11">
        <f>AH$6</f>
        <v>1</v>
      </c>
      <c r="AI11">
        <f>AI$6</f>
        <v>1</v>
      </c>
      <c r="AJ11">
        <f>AJ$6</f>
        <v>1</v>
      </c>
      <c r="AK11">
        <f>AK$6</f>
        <v>1</v>
      </c>
      <c r="AL11">
        <f>AL$6</f>
        <v>1</v>
      </c>
      <c r="AM11">
        <f>AM$6</f>
        <v>1</v>
      </c>
      <c r="AN11">
        <f>AN$6</f>
        <v>1</v>
      </c>
      <c r="AO11">
        <f>AO$6</f>
        <v>0</v>
      </c>
      <c r="AP11">
        <f>AP$6</f>
        <v>0</v>
      </c>
      <c r="AQ11">
        <f>AQ$6</f>
        <v>0</v>
      </c>
      <c r="AR11">
        <f>AR$6</f>
        <v>0</v>
      </c>
      <c r="AS11" s="15">
        <v>0</v>
      </c>
    </row>
    <row r="12" spans="1:45" x14ac:dyDescent="0.25">
      <c r="A12" s="19"/>
      <c r="B12">
        <f t="shared" si="1"/>
        <v>7</v>
      </c>
      <c r="C12" t="b">
        <v>0</v>
      </c>
      <c r="D12" t="b">
        <v>0</v>
      </c>
      <c r="E12" t="b">
        <v>0</v>
      </c>
      <c r="F12" s="3" t="s">
        <v>15</v>
      </c>
      <c r="G12" t="str">
        <f>G$6</f>
        <v>-</v>
      </c>
      <c r="H12" t="b">
        <f>H$6</f>
        <v>0</v>
      </c>
      <c r="I12" t="b">
        <f>I$6</f>
        <v>1</v>
      </c>
      <c r="J12" t="str">
        <f>J$6</f>
        <v>-</v>
      </c>
      <c r="K12" t="str">
        <f>K$6</f>
        <v>-</v>
      </c>
      <c r="L12" t="str">
        <f>L$6</f>
        <v>-</v>
      </c>
      <c r="M12" t="str">
        <f>M$6</f>
        <v>-</v>
      </c>
      <c r="N12" t="str">
        <f>N$6</f>
        <v>-</v>
      </c>
      <c r="O12" t="str">
        <f>O$6</f>
        <v>-</v>
      </c>
      <c r="P12" t="str">
        <f>P$6</f>
        <v>-</v>
      </c>
      <c r="Q12" t="str">
        <f>Q$6</f>
        <v>-</v>
      </c>
      <c r="R12" t="str">
        <f>R$6</f>
        <v>-</v>
      </c>
      <c r="S12" t="str">
        <f>S$6</f>
        <v>-</v>
      </c>
      <c r="T12" t="str">
        <f>T$6</f>
        <v>-</v>
      </c>
      <c r="U12" t="str">
        <f>U$6</f>
        <v>-</v>
      </c>
      <c r="V12" t="str">
        <f>V$6</f>
        <v>-</v>
      </c>
      <c r="W12" t="str">
        <f>W$6</f>
        <v>-</v>
      </c>
      <c r="X12" t="str">
        <f>X$6</f>
        <v>-</v>
      </c>
      <c r="Y12" t="str">
        <f>Y$6</f>
        <v>-</v>
      </c>
      <c r="Z12" t="str">
        <f>Z$6</f>
        <v>-</v>
      </c>
      <c r="AA12" t="str">
        <f>AA$6</f>
        <v>-</v>
      </c>
      <c r="AB12" t="str">
        <f>AB$6</f>
        <v>-</v>
      </c>
      <c r="AC12">
        <f>AC$6</f>
        <v>1</v>
      </c>
      <c r="AD12">
        <f>AD$6</f>
        <v>1</v>
      </c>
      <c r="AE12" s="22">
        <v>0.9</v>
      </c>
      <c r="AF12">
        <f>AF$6</f>
        <v>1</v>
      </c>
      <c r="AG12">
        <f>AG$6</f>
        <v>1</v>
      </c>
      <c r="AH12">
        <f>AH$6</f>
        <v>1</v>
      </c>
      <c r="AI12">
        <f>AI$6</f>
        <v>1</v>
      </c>
      <c r="AJ12">
        <f>AJ$6</f>
        <v>1</v>
      </c>
      <c r="AK12">
        <f>AK$6</f>
        <v>1</v>
      </c>
      <c r="AL12">
        <f>AL$6</f>
        <v>1</v>
      </c>
      <c r="AM12">
        <f>AM$6</f>
        <v>1</v>
      </c>
      <c r="AN12">
        <f>AN$6</f>
        <v>1</v>
      </c>
      <c r="AO12">
        <f>AO$6</f>
        <v>0</v>
      </c>
      <c r="AP12">
        <f>AP$6</f>
        <v>0</v>
      </c>
      <c r="AQ12">
        <f>AQ$6</f>
        <v>0</v>
      </c>
      <c r="AR12">
        <f>AR$6</f>
        <v>0</v>
      </c>
      <c r="AS12" s="15">
        <v>0</v>
      </c>
    </row>
    <row r="13" spans="1:45" x14ac:dyDescent="0.25">
      <c r="A13" s="19"/>
      <c r="B13">
        <f t="shared" si="1"/>
        <v>8</v>
      </c>
      <c r="C13" t="b">
        <v>0</v>
      </c>
      <c r="D13" t="b">
        <v>0</v>
      </c>
      <c r="E13" t="b">
        <v>0</v>
      </c>
      <c r="F13" s="3" t="s">
        <v>16</v>
      </c>
      <c r="G13" t="str">
        <f>G$6</f>
        <v>-</v>
      </c>
      <c r="H13" t="b">
        <f>H$6</f>
        <v>0</v>
      </c>
      <c r="I13" t="b">
        <f>I$6</f>
        <v>1</v>
      </c>
      <c r="J13" t="str">
        <f>J$6</f>
        <v>-</v>
      </c>
      <c r="K13" t="str">
        <f>K$6</f>
        <v>-</v>
      </c>
      <c r="L13" t="str">
        <f>L$6</f>
        <v>-</v>
      </c>
      <c r="M13" t="str">
        <f>M$6</f>
        <v>-</v>
      </c>
      <c r="N13" t="str">
        <f>N$6</f>
        <v>-</v>
      </c>
      <c r="O13" t="str">
        <f>O$6</f>
        <v>-</v>
      </c>
      <c r="P13" t="str">
        <f>P$6</f>
        <v>-</v>
      </c>
      <c r="Q13" t="str">
        <f>Q$6</f>
        <v>-</v>
      </c>
      <c r="R13" t="str">
        <f>R$6</f>
        <v>-</v>
      </c>
      <c r="S13" t="str">
        <f>S$6</f>
        <v>-</v>
      </c>
      <c r="T13" t="str">
        <f>T$6</f>
        <v>-</v>
      </c>
      <c r="U13" t="str">
        <f>U$6</f>
        <v>-</v>
      </c>
      <c r="V13" t="str">
        <f>V$6</f>
        <v>-</v>
      </c>
      <c r="W13" t="str">
        <f>W$6</f>
        <v>-</v>
      </c>
      <c r="X13" t="str">
        <f>X$6</f>
        <v>-</v>
      </c>
      <c r="Y13" t="str">
        <f>Y$6</f>
        <v>-</v>
      </c>
      <c r="Z13" t="str">
        <f>Z$6</f>
        <v>-</v>
      </c>
      <c r="AA13" t="str">
        <f>AA$6</f>
        <v>-</v>
      </c>
      <c r="AB13" t="str">
        <f>AB$6</f>
        <v>-</v>
      </c>
      <c r="AC13">
        <f>AC$6</f>
        <v>1</v>
      </c>
      <c r="AD13">
        <f>AD$6</f>
        <v>1</v>
      </c>
      <c r="AE13" s="22">
        <v>1.1000000000000001</v>
      </c>
      <c r="AF13">
        <f>AF$6</f>
        <v>1</v>
      </c>
      <c r="AG13">
        <f>AG$6</f>
        <v>1</v>
      </c>
      <c r="AH13">
        <f>AH$6</f>
        <v>1</v>
      </c>
      <c r="AI13">
        <f>AI$6</f>
        <v>1</v>
      </c>
      <c r="AJ13">
        <f>AJ$6</f>
        <v>1</v>
      </c>
      <c r="AK13">
        <f>AK$6</f>
        <v>1</v>
      </c>
      <c r="AL13">
        <f>AL$6</f>
        <v>1</v>
      </c>
      <c r="AM13">
        <f>AM$6</f>
        <v>1</v>
      </c>
      <c r="AN13">
        <f>AN$6</f>
        <v>1</v>
      </c>
      <c r="AO13">
        <f>AO$6</f>
        <v>0</v>
      </c>
      <c r="AP13">
        <f>AP$6</f>
        <v>0</v>
      </c>
      <c r="AQ13">
        <f>AQ$6</f>
        <v>0</v>
      </c>
      <c r="AR13">
        <f>AR$6</f>
        <v>0</v>
      </c>
      <c r="AS13" s="15">
        <v>0</v>
      </c>
    </row>
    <row r="14" spans="1:45" x14ac:dyDescent="0.25">
      <c r="A14" s="19"/>
      <c r="B14">
        <f t="shared" si="1"/>
        <v>9</v>
      </c>
      <c r="C14" t="b">
        <v>0</v>
      </c>
      <c r="D14" t="b">
        <v>0</v>
      </c>
      <c r="E14" t="b">
        <v>0</v>
      </c>
      <c r="F14" s="3" t="s">
        <v>22</v>
      </c>
      <c r="G14" t="str">
        <f>G$6</f>
        <v>-</v>
      </c>
      <c r="H14" t="b">
        <f>H$6</f>
        <v>0</v>
      </c>
      <c r="I14" t="b">
        <f>I$6</f>
        <v>1</v>
      </c>
      <c r="J14" t="str">
        <f>J$6</f>
        <v>-</v>
      </c>
      <c r="K14" t="str">
        <f>K$6</f>
        <v>-</v>
      </c>
      <c r="L14" t="str">
        <f>L$6</f>
        <v>-</v>
      </c>
      <c r="M14" t="str">
        <f>M$6</f>
        <v>-</v>
      </c>
      <c r="N14" t="str">
        <f>N$6</f>
        <v>-</v>
      </c>
      <c r="O14" t="str">
        <f>O$6</f>
        <v>-</v>
      </c>
      <c r="P14" t="str">
        <f>P$6</f>
        <v>-</v>
      </c>
      <c r="Q14" t="str">
        <f>Q$6</f>
        <v>-</v>
      </c>
      <c r="R14" t="str">
        <f>R$6</f>
        <v>-</v>
      </c>
      <c r="S14" t="str">
        <f>S$6</f>
        <v>-</v>
      </c>
      <c r="T14" t="str">
        <f>T$6</f>
        <v>-</v>
      </c>
      <c r="U14" t="str">
        <f>U$6</f>
        <v>-</v>
      </c>
      <c r="V14" t="str">
        <f>V$6</f>
        <v>-</v>
      </c>
      <c r="W14" t="str">
        <f>W$6</f>
        <v>-</v>
      </c>
      <c r="X14" t="str">
        <f>X$6</f>
        <v>-</v>
      </c>
      <c r="Y14" t="str">
        <f>Y$6</f>
        <v>-</v>
      </c>
      <c r="Z14" t="str">
        <f>Z$6</f>
        <v>-</v>
      </c>
      <c r="AA14" t="str">
        <f>AA$6</f>
        <v>-</v>
      </c>
      <c r="AB14" t="str">
        <f>AB$6</f>
        <v>-</v>
      </c>
      <c r="AC14">
        <f>AC$6</f>
        <v>1</v>
      </c>
      <c r="AD14">
        <f>AD$6</f>
        <v>1</v>
      </c>
      <c r="AE14">
        <f>AE$6</f>
        <v>1</v>
      </c>
      <c r="AF14" s="22">
        <v>0.9</v>
      </c>
      <c r="AG14">
        <f>AG$6</f>
        <v>1</v>
      </c>
      <c r="AH14">
        <f>AH$6</f>
        <v>1</v>
      </c>
      <c r="AI14">
        <f>AI$6</f>
        <v>1</v>
      </c>
      <c r="AJ14">
        <f>AJ$6</f>
        <v>1</v>
      </c>
      <c r="AK14">
        <f>AK$6</f>
        <v>1</v>
      </c>
      <c r="AL14">
        <f>AL$6</f>
        <v>1</v>
      </c>
      <c r="AM14">
        <f>AM$6</f>
        <v>1</v>
      </c>
      <c r="AN14">
        <f>AN$6</f>
        <v>1</v>
      </c>
      <c r="AO14">
        <f>AO$6</f>
        <v>0</v>
      </c>
      <c r="AP14">
        <f>AP$6</f>
        <v>0</v>
      </c>
      <c r="AQ14">
        <f>AQ$6</f>
        <v>0</v>
      </c>
      <c r="AR14">
        <f>AR$6</f>
        <v>0</v>
      </c>
      <c r="AS14" s="15">
        <v>0</v>
      </c>
    </row>
    <row r="15" spans="1:45" x14ac:dyDescent="0.25">
      <c r="A15" s="19"/>
      <c r="B15">
        <f t="shared" si="1"/>
        <v>10</v>
      </c>
      <c r="C15" t="b">
        <v>0</v>
      </c>
      <c r="D15" t="b">
        <v>0</v>
      </c>
      <c r="E15" t="b">
        <v>0</v>
      </c>
      <c r="F15" s="3" t="s">
        <v>17</v>
      </c>
      <c r="G15" t="str">
        <f>G$6</f>
        <v>-</v>
      </c>
      <c r="H15" t="b">
        <f>H$6</f>
        <v>0</v>
      </c>
      <c r="I15" t="b">
        <f>I$6</f>
        <v>1</v>
      </c>
      <c r="J15" t="str">
        <f>J$6</f>
        <v>-</v>
      </c>
      <c r="K15" t="str">
        <f>K$6</f>
        <v>-</v>
      </c>
      <c r="L15" t="str">
        <f>L$6</f>
        <v>-</v>
      </c>
      <c r="M15" t="str">
        <f>M$6</f>
        <v>-</v>
      </c>
      <c r="N15" t="str">
        <f>N$6</f>
        <v>-</v>
      </c>
      <c r="O15" t="str">
        <f>O$6</f>
        <v>-</v>
      </c>
      <c r="P15" t="str">
        <f>P$6</f>
        <v>-</v>
      </c>
      <c r="Q15" t="str">
        <f>Q$6</f>
        <v>-</v>
      </c>
      <c r="R15" t="str">
        <f>R$6</f>
        <v>-</v>
      </c>
      <c r="S15" t="str">
        <f>S$6</f>
        <v>-</v>
      </c>
      <c r="T15" t="str">
        <f>T$6</f>
        <v>-</v>
      </c>
      <c r="U15" t="str">
        <f>U$6</f>
        <v>-</v>
      </c>
      <c r="V15" t="str">
        <f>V$6</f>
        <v>-</v>
      </c>
      <c r="W15" t="str">
        <f>W$6</f>
        <v>-</v>
      </c>
      <c r="X15" t="str">
        <f>X$6</f>
        <v>-</v>
      </c>
      <c r="Y15" t="str">
        <f>Y$6</f>
        <v>-</v>
      </c>
      <c r="Z15" t="str">
        <f>Z$6</f>
        <v>-</v>
      </c>
      <c r="AA15" t="str">
        <f>AA$6</f>
        <v>-</v>
      </c>
      <c r="AB15" t="str">
        <f>AB$6</f>
        <v>-</v>
      </c>
      <c r="AC15">
        <f>AC$6</f>
        <v>1</v>
      </c>
      <c r="AD15">
        <f>AD$6</f>
        <v>1</v>
      </c>
      <c r="AE15">
        <f>AE$6</f>
        <v>1</v>
      </c>
      <c r="AF15" s="22">
        <v>1.1000000000000001</v>
      </c>
      <c r="AG15">
        <f>AG$6</f>
        <v>1</v>
      </c>
      <c r="AH15">
        <f>AH$6</f>
        <v>1</v>
      </c>
      <c r="AI15">
        <f>AI$6</f>
        <v>1</v>
      </c>
      <c r="AJ15">
        <f>AJ$6</f>
        <v>1</v>
      </c>
      <c r="AK15">
        <f>AK$6</f>
        <v>1</v>
      </c>
      <c r="AL15">
        <f>AL$6</f>
        <v>1</v>
      </c>
      <c r="AM15">
        <f>AM$6</f>
        <v>1</v>
      </c>
      <c r="AN15">
        <f>AN$6</f>
        <v>1</v>
      </c>
      <c r="AO15">
        <f>AO$6</f>
        <v>0</v>
      </c>
      <c r="AP15">
        <f>AP$6</f>
        <v>0</v>
      </c>
      <c r="AQ15">
        <f>AQ$6</f>
        <v>0</v>
      </c>
      <c r="AR15">
        <f>AR$6</f>
        <v>0</v>
      </c>
      <c r="AS15" s="15">
        <v>0</v>
      </c>
    </row>
    <row r="16" spans="1:45" x14ac:dyDescent="0.25">
      <c r="A16" s="19"/>
      <c r="B16">
        <f t="shared" si="1"/>
        <v>11</v>
      </c>
      <c r="C16" t="b">
        <v>0</v>
      </c>
      <c r="D16" t="b">
        <v>0</v>
      </c>
      <c r="E16" t="b">
        <v>0</v>
      </c>
      <c r="F16" s="3" t="s">
        <v>18</v>
      </c>
      <c r="G16" t="str">
        <f>G$6</f>
        <v>-</v>
      </c>
      <c r="H16" t="b">
        <f>H$6</f>
        <v>0</v>
      </c>
      <c r="I16" t="b">
        <f>I$6</f>
        <v>1</v>
      </c>
      <c r="J16" t="str">
        <f>J$6</f>
        <v>-</v>
      </c>
      <c r="K16" t="str">
        <f>K$6</f>
        <v>-</v>
      </c>
      <c r="L16" t="str">
        <f>L$6</f>
        <v>-</v>
      </c>
      <c r="M16" t="str">
        <f>M$6</f>
        <v>-</v>
      </c>
      <c r="N16" t="str">
        <f>N$6</f>
        <v>-</v>
      </c>
      <c r="O16" t="str">
        <f>O$6</f>
        <v>-</v>
      </c>
      <c r="P16" t="str">
        <f>P$6</f>
        <v>-</v>
      </c>
      <c r="Q16" t="str">
        <f>Q$6</f>
        <v>-</v>
      </c>
      <c r="R16" t="str">
        <f>R$6</f>
        <v>-</v>
      </c>
      <c r="S16" t="str">
        <f>S$6</f>
        <v>-</v>
      </c>
      <c r="T16" t="str">
        <f>T$6</f>
        <v>-</v>
      </c>
      <c r="U16" t="str">
        <f>U$6</f>
        <v>-</v>
      </c>
      <c r="V16" t="str">
        <f>V$6</f>
        <v>-</v>
      </c>
      <c r="W16" t="str">
        <f>W$6</f>
        <v>-</v>
      </c>
      <c r="X16" t="str">
        <f>X$6</f>
        <v>-</v>
      </c>
      <c r="Y16" t="str">
        <f>Y$6</f>
        <v>-</v>
      </c>
      <c r="Z16" t="str">
        <f>Z$6</f>
        <v>-</v>
      </c>
      <c r="AA16" t="str">
        <f>AA$6</f>
        <v>-</v>
      </c>
      <c r="AB16" t="str">
        <f>AB$6</f>
        <v>-</v>
      </c>
      <c r="AC16">
        <f>AC$6</f>
        <v>1</v>
      </c>
      <c r="AD16">
        <f>AD$6</f>
        <v>1</v>
      </c>
      <c r="AE16">
        <f>AE$6</f>
        <v>1</v>
      </c>
      <c r="AF16">
        <f>AF$6</f>
        <v>1</v>
      </c>
      <c r="AG16" s="22">
        <v>0.9</v>
      </c>
      <c r="AH16">
        <f>AH$6</f>
        <v>1</v>
      </c>
      <c r="AI16">
        <f>AI$6</f>
        <v>1</v>
      </c>
      <c r="AJ16">
        <f>AJ$6</f>
        <v>1</v>
      </c>
      <c r="AK16">
        <f>AK$6</f>
        <v>1</v>
      </c>
      <c r="AL16">
        <f>AL$6</f>
        <v>1</v>
      </c>
      <c r="AM16">
        <f>AM$6</f>
        <v>1</v>
      </c>
      <c r="AN16">
        <f>AN$6</f>
        <v>1</v>
      </c>
      <c r="AO16">
        <f>AO$6</f>
        <v>0</v>
      </c>
      <c r="AP16">
        <f>AP$6</f>
        <v>0</v>
      </c>
      <c r="AQ16">
        <f>AQ$6</f>
        <v>0</v>
      </c>
      <c r="AR16">
        <f>AR$6</f>
        <v>0</v>
      </c>
      <c r="AS16" s="15">
        <v>0</v>
      </c>
    </row>
    <row r="17" spans="1:45" x14ac:dyDescent="0.25">
      <c r="A17" s="19"/>
      <c r="B17">
        <f t="shared" si="1"/>
        <v>12</v>
      </c>
      <c r="C17" t="b">
        <v>0</v>
      </c>
      <c r="D17" t="b">
        <v>0</v>
      </c>
      <c r="E17" t="b">
        <v>0</v>
      </c>
      <c r="F17" s="3" t="s">
        <v>19</v>
      </c>
      <c r="G17" t="str">
        <f>G$6</f>
        <v>-</v>
      </c>
      <c r="H17" t="b">
        <f>H$6</f>
        <v>0</v>
      </c>
      <c r="I17" t="b">
        <f>I$6</f>
        <v>1</v>
      </c>
      <c r="J17" t="str">
        <f>J$6</f>
        <v>-</v>
      </c>
      <c r="K17" t="str">
        <f>K$6</f>
        <v>-</v>
      </c>
      <c r="L17" t="str">
        <f>L$6</f>
        <v>-</v>
      </c>
      <c r="M17" t="str">
        <f>M$6</f>
        <v>-</v>
      </c>
      <c r="N17" t="str">
        <f>N$6</f>
        <v>-</v>
      </c>
      <c r="O17" t="str">
        <f>O$6</f>
        <v>-</v>
      </c>
      <c r="P17" t="str">
        <f>P$6</f>
        <v>-</v>
      </c>
      <c r="Q17" t="str">
        <f>Q$6</f>
        <v>-</v>
      </c>
      <c r="R17" t="str">
        <f>R$6</f>
        <v>-</v>
      </c>
      <c r="S17" t="str">
        <f>S$6</f>
        <v>-</v>
      </c>
      <c r="T17" t="str">
        <f>T$6</f>
        <v>-</v>
      </c>
      <c r="U17" t="str">
        <f>U$6</f>
        <v>-</v>
      </c>
      <c r="V17" t="str">
        <f>V$6</f>
        <v>-</v>
      </c>
      <c r="W17" t="str">
        <f>W$6</f>
        <v>-</v>
      </c>
      <c r="X17" t="str">
        <f>X$6</f>
        <v>-</v>
      </c>
      <c r="Y17" t="str">
        <f>Y$6</f>
        <v>-</v>
      </c>
      <c r="Z17" t="str">
        <f>Z$6</f>
        <v>-</v>
      </c>
      <c r="AA17" t="str">
        <f>AA$6</f>
        <v>-</v>
      </c>
      <c r="AB17" t="str">
        <f>AB$6</f>
        <v>-</v>
      </c>
      <c r="AC17">
        <f>AC$6</f>
        <v>1</v>
      </c>
      <c r="AD17">
        <f>AD$6</f>
        <v>1</v>
      </c>
      <c r="AE17">
        <f>AE$6</f>
        <v>1</v>
      </c>
      <c r="AF17">
        <f>AF$6</f>
        <v>1</v>
      </c>
      <c r="AG17" s="22">
        <v>1.1000000000000001</v>
      </c>
      <c r="AH17">
        <f>AH$6</f>
        <v>1</v>
      </c>
      <c r="AI17">
        <f>AI$6</f>
        <v>1</v>
      </c>
      <c r="AJ17">
        <f>AJ$6</f>
        <v>1</v>
      </c>
      <c r="AK17">
        <f>AK$6</f>
        <v>1</v>
      </c>
      <c r="AL17">
        <f>AL$6</f>
        <v>1</v>
      </c>
      <c r="AM17">
        <f>AM$6</f>
        <v>1</v>
      </c>
      <c r="AN17">
        <f>AN$6</f>
        <v>1</v>
      </c>
      <c r="AO17">
        <f>AO$6</f>
        <v>0</v>
      </c>
      <c r="AP17">
        <f>AP$6</f>
        <v>0</v>
      </c>
      <c r="AQ17">
        <f>AQ$6</f>
        <v>0</v>
      </c>
      <c r="AR17">
        <f>AR$6</f>
        <v>0</v>
      </c>
      <c r="AS17" s="15">
        <v>0</v>
      </c>
    </row>
    <row r="18" spans="1:45" x14ac:dyDescent="0.25">
      <c r="A18" s="19"/>
      <c r="B18">
        <f t="shared" si="1"/>
        <v>13</v>
      </c>
      <c r="C18" t="b">
        <v>0</v>
      </c>
      <c r="D18" t="b">
        <v>0</v>
      </c>
      <c r="E18" t="b">
        <v>0</v>
      </c>
      <c r="F18" s="3" t="s">
        <v>20</v>
      </c>
      <c r="G18" t="str">
        <f>G$6</f>
        <v>-</v>
      </c>
      <c r="H18" t="b">
        <f>H$6</f>
        <v>0</v>
      </c>
      <c r="I18" t="b">
        <f>I$6</f>
        <v>1</v>
      </c>
      <c r="J18" t="str">
        <f>J$6</f>
        <v>-</v>
      </c>
      <c r="K18" t="str">
        <f>K$6</f>
        <v>-</v>
      </c>
      <c r="L18" t="str">
        <f>L$6</f>
        <v>-</v>
      </c>
      <c r="M18" t="str">
        <f>M$6</f>
        <v>-</v>
      </c>
      <c r="N18" t="str">
        <f>N$6</f>
        <v>-</v>
      </c>
      <c r="O18" t="str">
        <f>O$6</f>
        <v>-</v>
      </c>
      <c r="P18" t="str">
        <f>P$6</f>
        <v>-</v>
      </c>
      <c r="Q18" t="str">
        <f>Q$6</f>
        <v>-</v>
      </c>
      <c r="R18" t="str">
        <f>R$6</f>
        <v>-</v>
      </c>
      <c r="S18" t="str">
        <f>S$6</f>
        <v>-</v>
      </c>
      <c r="T18" t="str">
        <f>T$6</f>
        <v>-</v>
      </c>
      <c r="U18" t="str">
        <f>U$6</f>
        <v>-</v>
      </c>
      <c r="V18" t="str">
        <f>V$6</f>
        <v>-</v>
      </c>
      <c r="W18" t="str">
        <f>W$6</f>
        <v>-</v>
      </c>
      <c r="X18" t="str">
        <f>X$6</f>
        <v>-</v>
      </c>
      <c r="Y18" t="str">
        <f>Y$6</f>
        <v>-</v>
      </c>
      <c r="Z18" t="str">
        <f>Z$6</f>
        <v>-</v>
      </c>
      <c r="AA18" t="str">
        <f>AA$6</f>
        <v>-</v>
      </c>
      <c r="AB18" t="str">
        <f>AB$6</f>
        <v>-</v>
      </c>
      <c r="AC18">
        <f>AC$6</f>
        <v>1</v>
      </c>
      <c r="AD18">
        <f>AD$6</f>
        <v>1</v>
      </c>
      <c r="AE18">
        <f>AE$6</f>
        <v>1</v>
      </c>
      <c r="AF18">
        <f>AF$6</f>
        <v>1</v>
      </c>
      <c r="AG18">
        <f>AG$6</f>
        <v>1</v>
      </c>
      <c r="AH18" s="22">
        <v>0.9</v>
      </c>
      <c r="AI18">
        <f>AI$6</f>
        <v>1</v>
      </c>
      <c r="AJ18">
        <f>AJ$6</f>
        <v>1</v>
      </c>
      <c r="AK18">
        <f>AK$6</f>
        <v>1</v>
      </c>
      <c r="AL18">
        <f>AL$6</f>
        <v>1</v>
      </c>
      <c r="AM18">
        <f>AM$6</f>
        <v>1</v>
      </c>
      <c r="AN18">
        <f>AN$6</f>
        <v>1</v>
      </c>
      <c r="AO18">
        <f>AO$6</f>
        <v>0</v>
      </c>
      <c r="AP18">
        <f>AP$6</f>
        <v>0</v>
      </c>
      <c r="AQ18">
        <f>AQ$6</f>
        <v>0</v>
      </c>
      <c r="AR18">
        <f>AR$6</f>
        <v>0</v>
      </c>
      <c r="AS18" s="15">
        <v>0</v>
      </c>
    </row>
    <row r="19" spans="1:45" x14ac:dyDescent="0.25">
      <c r="A19" s="19"/>
      <c r="B19">
        <f t="shared" si="1"/>
        <v>14</v>
      </c>
      <c r="C19" t="b">
        <v>0</v>
      </c>
      <c r="D19" t="b">
        <v>0</v>
      </c>
      <c r="E19" t="b">
        <v>0</v>
      </c>
      <c r="F19" s="3" t="s">
        <v>21</v>
      </c>
      <c r="G19" t="str">
        <f>G$6</f>
        <v>-</v>
      </c>
      <c r="H19" t="b">
        <f>H$6</f>
        <v>0</v>
      </c>
      <c r="I19" t="b">
        <f>I$6</f>
        <v>1</v>
      </c>
      <c r="J19" t="str">
        <f>J$6</f>
        <v>-</v>
      </c>
      <c r="K19" t="str">
        <f>K$6</f>
        <v>-</v>
      </c>
      <c r="L19" t="str">
        <f>L$6</f>
        <v>-</v>
      </c>
      <c r="M19" t="str">
        <f>M$6</f>
        <v>-</v>
      </c>
      <c r="N19" t="str">
        <f>N$6</f>
        <v>-</v>
      </c>
      <c r="O19" t="str">
        <f>O$6</f>
        <v>-</v>
      </c>
      <c r="P19" t="str">
        <f>P$6</f>
        <v>-</v>
      </c>
      <c r="Q19" t="str">
        <f>Q$6</f>
        <v>-</v>
      </c>
      <c r="R19" t="str">
        <f>R$6</f>
        <v>-</v>
      </c>
      <c r="S19" t="str">
        <f>S$6</f>
        <v>-</v>
      </c>
      <c r="T19" t="str">
        <f>T$6</f>
        <v>-</v>
      </c>
      <c r="U19" t="str">
        <f>U$6</f>
        <v>-</v>
      </c>
      <c r="V19" t="str">
        <f>V$6</f>
        <v>-</v>
      </c>
      <c r="W19" t="str">
        <f>W$6</f>
        <v>-</v>
      </c>
      <c r="X19" t="str">
        <f>X$6</f>
        <v>-</v>
      </c>
      <c r="Y19" t="str">
        <f>Y$6</f>
        <v>-</v>
      </c>
      <c r="Z19" t="str">
        <f>Z$6</f>
        <v>-</v>
      </c>
      <c r="AA19" t="str">
        <f>AA$6</f>
        <v>-</v>
      </c>
      <c r="AB19" t="str">
        <f>AB$6</f>
        <v>-</v>
      </c>
      <c r="AC19">
        <f>AC$6</f>
        <v>1</v>
      </c>
      <c r="AD19">
        <f>AD$6</f>
        <v>1</v>
      </c>
      <c r="AE19">
        <f>AE$6</f>
        <v>1</v>
      </c>
      <c r="AF19">
        <f>AF$6</f>
        <v>1</v>
      </c>
      <c r="AG19">
        <f>AG$6</f>
        <v>1</v>
      </c>
      <c r="AH19" s="22">
        <v>1.1000000000000001</v>
      </c>
      <c r="AI19">
        <f>AI$6</f>
        <v>1</v>
      </c>
      <c r="AJ19">
        <f>AJ$6</f>
        <v>1</v>
      </c>
      <c r="AK19">
        <f>AK$6</f>
        <v>1</v>
      </c>
      <c r="AL19">
        <f>AL$6</f>
        <v>1</v>
      </c>
      <c r="AM19">
        <f>AM$6</f>
        <v>1</v>
      </c>
      <c r="AN19">
        <f>AN$6</f>
        <v>1</v>
      </c>
      <c r="AO19">
        <f>AO$6</f>
        <v>0</v>
      </c>
      <c r="AP19">
        <f>AP$6</f>
        <v>0</v>
      </c>
      <c r="AQ19">
        <f>AQ$6</f>
        <v>0</v>
      </c>
      <c r="AR19">
        <f>AR$6</f>
        <v>0</v>
      </c>
      <c r="AS19" s="15">
        <v>0</v>
      </c>
    </row>
    <row r="20" spans="1:45" x14ac:dyDescent="0.25">
      <c r="A20" s="19"/>
      <c r="B20">
        <f t="shared" si="1"/>
        <v>15</v>
      </c>
      <c r="C20" t="b">
        <v>0</v>
      </c>
      <c r="D20" t="b">
        <v>0</v>
      </c>
      <c r="E20" t="b">
        <v>0</v>
      </c>
      <c r="F20" s="3" t="s">
        <v>23</v>
      </c>
      <c r="G20" t="str">
        <f>G$6</f>
        <v>-</v>
      </c>
      <c r="H20" t="b">
        <f>H$6</f>
        <v>0</v>
      </c>
      <c r="I20" t="b">
        <f>I$6</f>
        <v>1</v>
      </c>
      <c r="J20" t="str">
        <f>J$6</f>
        <v>-</v>
      </c>
      <c r="K20" t="str">
        <f>K$6</f>
        <v>-</v>
      </c>
      <c r="L20" t="str">
        <f>L$6</f>
        <v>-</v>
      </c>
      <c r="M20" t="str">
        <f>M$6</f>
        <v>-</v>
      </c>
      <c r="N20" t="str">
        <f>N$6</f>
        <v>-</v>
      </c>
      <c r="O20" t="str">
        <f>O$6</f>
        <v>-</v>
      </c>
      <c r="P20" t="str">
        <f>P$6</f>
        <v>-</v>
      </c>
      <c r="Q20" t="str">
        <f>Q$6</f>
        <v>-</v>
      </c>
      <c r="R20" t="str">
        <f>R$6</f>
        <v>-</v>
      </c>
      <c r="S20" t="str">
        <f>S$6</f>
        <v>-</v>
      </c>
      <c r="T20" t="str">
        <f>T$6</f>
        <v>-</v>
      </c>
      <c r="U20" t="str">
        <f>U$6</f>
        <v>-</v>
      </c>
      <c r="V20" t="str">
        <f>V$6</f>
        <v>-</v>
      </c>
      <c r="W20" t="str">
        <f>W$6</f>
        <v>-</v>
      </c>
      <c r="X20" t="str">
        <f>X$6</f>
        <v>-</v>
      </c>
      <c r="Y20" t="str">
        <f>Y$6</f>
        <v>-</v>
      </c>
      <c r="Z20" t="str">
        <f>Z$6</f>
        <v>-</v>
      </c>
      <c r="AA20" t="str">
        <f>AA$6</f>
        <v>-</v>
      </c>
      <c r="AB20" t="str">
        <f>AB$6</f>
        <v>-</v>
      </c>
      <c r="AC20">
        <f>AC$6</f>
        <v>1</v>
      </c>
      <c r="AD20">
        <f>AD$6</f>
        <v>1</v>
      </c>
      <c r="AE20">
        <f>AE$6</f>
        <v>1</v>
      </c>
      <c r="AF20">
        <f>AF$6</f>
        <v>1</v>
      </c>
      <c r="AG20">
        <f>AG$6</f>
        <v>1</v>
      </c>
      <c r="AH20">
        <f>AH$6</f>
        <v>1</v>
      </c>
      <c r="AI20" s="22">
        <v>0.9</v>
      </c>
      <c r="AJ20">
        <f>AJ$6</f>
        <v>1</v>
      </c>
      <c r="AK20">
        <f>AK$6</f>
        <v>1</v>
      </c>
      <c r="AL20">
        <f>AL$6</f>
        <v>1</v>
      </c>
      <c r="AM20">
        <f>AM$6</f>
        <v>1</v>
      </c>
      <c r="AN20">
        <f>AN$6</f>
        <v>1</v>
      </c>
      <c r="AO20">
        <f>AO$6</f>
        <v>0</v>
      </c>
      <c r="AP20">
        <f>AP$6</f>
        <v>0</v>
      </c>
      <c r="AQ20">
        <f>AQ$6</f>
        <v>0</v>
      </c>
      <c r="AR20">
        <f>AR$6</f>
        <v>0</v>
      </c>
      <c r="AS20" s="15">
        <v>0</v>
      </c>
    </row>
    <row r="21" spans="1:45" x14ac:dyDescent="0.25">
      <c r="A21" s="19"/>
      <c r="B21">
        <f t="shared" si="1"/>
        <v>16</v>
      </c>
      <c r="C21" t="b">
        <v>0</v>
      </c>
      <c r="D21" t="b">
        <v>0</v>
      </c>
      <c r="E21" t="b">
        <v>0</v>
      </c>
      <c r="F21" s="3" t="s">
        <v>24</v>
      </c>
      <c r="G21" t="str">
        <f>G$6</f>
        <v>-</v>
      </c>
      <c r="H21" t="b">
        <f>H$6</f>
        <v>0</v>
      </c>
      <c r="I21" t="b">
        <f>I$6</f>
        <v>1</v>
      </c>
      <c r="J21" t="str">
        <f>J$6</f>
        <v>-</v>
      </c>
      <c r="K21" t="str">
        <f>K$6</f>
        <v>-</v>
      </c>
      <c r="L21" t="str">
        <f>L$6</f>
        <v>-</v>
      </c>
      <c r="M21" t="str">
        <f>M$6</f>
        <v>-</v>
      </c>
      <c r="N21" t="str">
        <f>N$6</f>
        <v>-</v>
      </c>
      <c r="O21" t="str">
        <f>O$6</f>
        <v>-</v>
      </c>
      <c r="P21" t="str">
        <f>P$6</f>
        <v>-</v>
      </c>
      <c r="Q21" t="str">
        <f>Q$6</f>
        <v>-</v>
      </c>
      <c r="R21" t="str">
        <f>R$6</f>
        <v>-</v>
      </c>
      <c r="S21" t="str">
        <f>S$6</f>
        <v>-</v>
      </c>
      <c r="T21" t="str">
        <f>T$6</f>
        <v>-</v>
      </c>
      <c r="U21" t="str">
        <f>U$6</f>
        <v>-</v>
      </c>
      <c r="V21" t="str">
        <f>V$6</f>
        <v>-</v>
      </c>
      <c r="W21" t="str">
        <f>W$6</f>
        <v>-</v>
      </c>
      <c r="X21" t="str">
        <f>X$6</f>
        <v>-</v>
      </c>
      <c r="Y21" t="str">
        <f>Y$6</f>
        <v>-</v>
      </c>
      <c r="Z21" t="str">
        <f>Z$6</f>
        <v>-</v>
      </c>
      <c r="AA21" t="str">
        <f>AA$6</f>
        <v>-</v>
      </c>
      <c r="AB21" t="str">
        <f>AB$6</f>
        <v>-</v>
      </c>
      <c r="AC21">
        <f>AC$6</f>
        <v>1</v>
      </c>
      <c r="AD21">
        <f>AD$6</f>
        <v>1</v>
      </c>
      <c r="AE21">
        <f>AE$6</f>
        <v>1</v>
      </c>
      <c r="AF21">
        <f>AF$6</f>
        <v>1</v>
      </c>
      <c r="AG21">
        <f>AG$6</f>
        <v>1</v>
      </c>
      <c r="AH21">
        <f>AH$6</f>
        <v>1</v>
      </c>
      <c r="AI21" s="22">
        <v>1.1000000000000001</v>
      </c>
      <c r="AJ21">
        <f>AJ$6</f>
        <v>1</v>
      </c>
      <c r="AK21">
        <f>AK$6</f>
        <v>1</v>
      </c>
      <c r="AL21">
        <f>AL$6</f>
        <v>1</v>
      </c>
      <c r="AM21">
        <f>AM$6</f>
        <v>1</v>
      </c>
      <c r="AN21">
        <f>AN$6</f>
        <v>1</v>
      </c>
      <c r="AO21">
        <f>AO$6</f>
        <v>0</v>
      </c>
      <c r="AP21">
        <f>AP$6</f>
        <v>0</v>
      </c>
      <c r="AQ21">
        <f>AQ$6</f>
        <v>0</v>
      </c>
      <c r="AR21">
        <f>AR$6</f>
        <v>0</v>
      </c>
      <c r="AS21" s="15">
        <v>0</v>
      </c>
    </row>
    <row r="22" spans="1:45" x14ac:dyDescent="0.25">
      <c r="A22" s="19"/>
      <c r="B22">
        <f t="shared" si="1"/>
        <v>17</v>
      </c>
      <c r="C22" t="b">
        <v>0</v>
      </c>
      <c r="D22" t="b">
        <v>0</v>
      </c>
      <c r="E22" t="b">
        <v>0</v>
      </c>
      <c r="F22" s="3" t="s">
        <v>25</v>
      </c>
      <c r="G22" t="str">
        <f>G$6</f>
        <v>-</v>
      </c>
      <c r="H22" t="b">
        <f>H$6</f>
        <v>0</v>
      </c>
      <c r="I22" t="b">
        <f>I$6</f>
        <v>1</v>
      </c>
      <c r="J22" t="str">
        <f>J$6</f>
        <v>-</v>
      </c>
      <c r="K22" t="str">
        <f>K$6</f>
        <v>-</v>
      </c>
      <c r="L22" t="str">
        <f>L$6</f>
        <v>-</v>
      </c>
      <c r="M22" t="str">
        <f>M$6</f>
        <v>-</v>
      </c>
      <c r="N22" t="str">
        <f>N$6</f>
        <v>-</v>
      </c>
      <c r="O22" t="str">
        <f>O$6</f>
        <v>-</v>
      </c>
      <c r="P22" t="str">
        <f>P$6</f>
        <v>-</v>
      </c>
      <c r="Q22" t="str">
        <f>Q$6</f>
        <v>-</v>
      </c>
      <c r="R22" t="str">
        <f>R$6</f>
        <v>-</v>
      </c>
      <c r="S22" t="str">
        <f>S$6</f>
        <v>-</v>
      </c>
      <c r="T22" t="str">
        <f>T$6</f>
        <v>-</v>
      </c>
      <c r="U22" t="str">
        <f>U$6</f>
        <v>-</v>
      </c>
      <c r="V22" t="str">
        <f>V$6</f>
        <v>-</v>
      </c>
      <c r="W22" t="str">
        <f>W$6</f>
        <v>-</v>
      </c>
      <c r="X22" t="str">
        <f>X$6</f>
        <v>-</v>
      </c>
      <c r="Y22" t="str">
        <f>Y$6</f>
        <v>-</v>
      </c>
      <c r="Z22" t="str">
        <f>Z$6</f>
        <v>-</v>
      </c>
      <c r="AA22" t="str">
        <f>AA$6</f>
        <v>-</v>
      </c>
      <c r="AB22" t="str">
        <f>AB$6</f>
        <v>-</v>
      </c>
      <c r="AC22">
        <f>AC$6</f>
        <v>1</v>
      </c>
      <c r="AD22">
        <f>AD$6</f>
        <v>1</v>
      </c>
      <c r="AE22">
        <f>AE$6</f>
        <v>1</v>
      </c>
      <c r="AF22">
        <f>AF$6</f>
        <v>1</v>
      </c>
      <c r="AG22">
        <f>AG$6</f>
        <v>1</v>
      </c>
      <c r="AH22">
        <f>AH$6</f>
        <v>1</v>
      </c>
      <c r="AI22">
        <f>AI$6</f>
        <v>1</v>
      </c>
      <c r="AJ22" s="22">
        <v>0.9</v>
      </c>
      <c r="AK22">
        <f>AK$6</f>
        <v>1</v>
      </c>
      <c r="AL22">
        <f>AL$6</f>
        <v>1</v>
      </c>
      <c r="AM22">
        <f>AM$6</f>
        <v>1</v>
      </c>
      <c r="AN22">
        <f>AN$6</f>
        <v>1</v>
      </c>
      <c r="AO22">
        <f>AO$6</f>
        <v>0</v>
      </c>
      <c r="AP22">
        <f>AP$6</f>
        <v>0</v>
      </c>
      <c r="AQ22">
        <f>AQ$6</f>
        <v>0</v>
      </c>
      <c r="AR22">
        <f>AR$6</f>
        <v>0</v>
      </c>
      <c r="AS22" s="15">
        <v>0</v>
      </c>
    </row>
    <row r="23" spans="1:45" x14ac:dyDescent="0.25">
      <c r="A23" s="19"/>
      <c r="B23">
        <f t="shared" si="1"/>
        <v>18</v>
      </c>
      <c r="C23" t="b">
        <v>0</v>
      </c>
      <c r="D23" t="b">
        <v>0</v>
      </c>
      <c r="E23" t="b">
        <v>0</v>
      </c>
      <c r="F23" s="3" t="s">
        <v>26</v>
      </c>
      <c r="G23" t="str">
        <f>G$6</f>
        <v>-</v>
      </c>
      <c r="H23" t="b">
        <f>H$6</f>
        <v>0</v>
      </c>
      <c r="I23" t="b">
        <f>I$6</f>
        <v>1</v>
      </c>
      <c r="J23" t="str">
        <f>J$6</f>
        <v>-</v>
      </c>
      <c r="K23" t="str">
        <f>K$6</f>
        <v>-</v>
      </c>
      <c r="L23" t="str">
        <f>L$6</f>
        <v>-</v>
      </c>
      <c r="M23" t="str">
        <f>M$6</f>
        <v>-</v>
      </c>
      <c r="N23" t="str">
        <f>N$6</f>
        <v>-</v>
      </c>
      <c r="O23" t="str">
        <f>O$6</f>
        <v>-</v>
      </c>
      <c r="P23" t="str">
        <f>P$6</f>
        <v>-</v>
      </c>
      <c r="Q23" t="str">
        <f>Q$6</f>
        <v>-</v>
      </c>
      <c r="R23" t="str">
        <f>R$6</f>
        <v>-</v>
      </c>
      <c r="S23" t="str">
        <f>S$6</f>
        <v>-</v>
      </c>
      <c r="T23" t="str">
        <f>T$6</f>
        <v>-</v>
      </c>
      <c r="U23" t="str">
        <f>U$6</f>
        <v>-</v>
      </c>
      <c r="V23" t="str">
        <f>V$6</f>
        <v>-</v>
      </c>
      <c r="W23" t="str">
        <f>W$6</f>
        <v>-</v>
      </c>
      <c r="X23" t="str">
        <f>X$6</f>
        <v>-</v>
      </c>
      <c r="Y23" t="str">
        <f>Y$6</f>
        <v>-</v>
      </c>
      <c r="Z23" t="str">
        <f>Z$6</f>
        <v>-</v>
      </c>
      <c r="AA23" t="str">
        <f>AA$6</f>
        <v>-</v>
      </c>
      <c r="AB23" t="str">
        <f>AB$6</f>
        <v>-</v>
      </c>
      <c r="AC23">
        <f>AC$6</f>
        <v>1</v>
      </c>
      <c r="AD23">
        <f>AD$6</f>
        <v>1</v>
      </c>
      <c r="AE23">
        <f>AE$6</f>
        <v>1</v>
      </c>
      <c r="AF23">
        <f>AF$6</f>
        <v>1</v>
      </c>
      <c r="AG23">
        <f>AG$6</f>
        <v>1</v>
      </c>
      <c r="AH23">
        <f>AH$6</f>
        <v>1</v>
      </c>
      <c r="AI23">
        <f>AI$6</f>
        <v>1</v>
      </c>
      <c r="AJ23" s="22">
        <v>1.1000000000000001</v>
      </c>
      <c r="AK23">
        <f>AK$6</f>
        <v>1</v>
      </c>
      <c r="AL23">
        <f>AL$6</f>
        <v>1</v>
      </c>
      <c r="AM23">
        <f>AM$6</f>
        <v>1</v>
      </c>
      <c r="AN23">
        <f>AN$6</f>
        <v>1</v>
      </c>
      <c r="AO23">
        <f>AO$6</f>
        <v>0</v>
      </c>
      <c r="AP23">
        <f>AP$6</f>
        <v>0</v>
      </c>
      <c r="AQ23">
        <f>AQ$6</f>
        <v>0</v>
      </c>
      <c r="AR23">
        <f>AR$6</f>
        <v>0</v>
      </c>
      <c r="AS23" s="15">
        <v>0</v>
      </c>
    </row>
    <row r="24" spans="1:45" x14ac:dyDescent="0.25">
      <c r="A24" s="19"/>
      <c r="B24">
        <f t="shared" si="1"/>
        <v>19</v>
      </c>
      <c r="C24" t="b">
        <v>0</v>
      </c>
      <c r="D24" t="b">
        <v>0</v>
      </c>
      <c r="E24" t="b">
        <v>0</v>
      </c>
      <c r="F24" s="3" t="s">
        <v>27</v>
      </c>
      <c r="G24" t="str">
        <f>G$6</f>
        <v>-</v>
      </c>
      <c r="H24" t="b">
        <f>H$6</f>
        <v>0</v>
      </c>
      <c r="I24" t="b">
        <f>I$6</f>
        <v>1</v>
      </c>
      <c r="J24" t="str">
        <f>J$6</f>
        <v>-</v>
      </c>
      <c r="K24" t="str">
        <f>K$6</f>
        <v>-</v>
      </c>
      <c r="L24" t="str">
        <f>L$6</f>
        <v>-</v>
      </c>
      <c r="M24" t="str">
        <f>M$6</f>
        <v>-</v>
      </c>
      <c r="N24" t="str">
        <f>N$6</f>
        <v>-</v>
      </c>
      <c r="O24" t="str">
        <f>O$6</f>
        <v>-</v>
      </c>
      <c r="P24" t="str">
        <f>P$6</f>
        <v>-</v>
      </c>
      <c r="Q24" t="str">
        <f>Q$6</f>
        <v>-</v>
      </c>
      <c r="R24" t="str">
        <f>R$6</f>
        <v>-</v>
      </c>
      <c r="S24" t="str">
        <f>S$6</f>
        <v>-</v>
      </c>
      <c r="T24" t="str">
        <f>T$6</f>
        <v>-</v>
      </c>
      <c r="U24" t="str">
        <f>U$6</f>
        <v>-</v>
      </c>
      <c r="V24" t="str">
        <f>V$6</f>
        <v>-</v>
      </c>
      <c r="W24" t="str">
        <f>W$6</f>
        <v>-</v>
      </c>
      <c r="X24" t="str">
        <f>X$6</f>
        <v>-</v>
      </c>
      <c r="Y24" t="str">
        <f>Y$6</f>
        <v>-</v>
      </c>
      <c r="Z24" t="str">
        <f>Z$6</f>
        <v>-</v>
      </c>
      <c r="AA24" t="str">
        <f>AA$6</f>
        <v>-</v>
      </c>
      <c r="AB24" t="str">
        <f>AB$6</f>
        <v>-</v>
      </c>
      <c r="AC24">
        <f>AC$6</f>
        <v>1</v>
      </c>
      <c r="AD24">
        <f>AD$6</f>
        <v>1</v>
      </c>
      <c r="AE24">
        <f>AE$6</f>
        <v>1</v>
      </c>
      <c r="AF24">
        <f>AF$6</f>
        <v>1</v>
      </c>
      <c r="AG24">
        <f>AG$6</f>
        <v>1</v>
      </c>
      <c r="AH24">
        <f>AH$6</f>
        <v>1</v>
      </c>
      <c r="AI24">
        <f>AI$6</f>
        <v>1</v>
      </c>
      <c r="AJ24">
        <f>AJ$6</f>
        <v>1</v>
      </c>
      <c r="AK24" s="22">
        <v>0.9</v>
      </c>
      <c r="AL24">
        <f>AL$6</f>
        <v>1</v>
      </c>
      <c r="AM24">
        <f>AM$6</f>
        <v>1</v>
      </c>
      <c r="AN24">
        <f>AN$6</f>
        <v>1</v>
      </c>
      <c r="AO24">
        <f>AO$6</f>
        <v>0</v>
      </c>
      <c r="AP24">
        <f>AP$6</f>
        <v>0</v>
      </c>
      <c r="AQ24">
        <f>AQ$6</f>
        <v>0</v>
      </c>
      <c r="AR24">
        <f>AR$6</f>
        <v>0</v>
      </c>
      <c r="AS24" s="15">
        <v>0</v>
      </c>
    </row>
    <row r="25" spans="1:45" x14ac:dyDescent="0.25">
      <c r="A25" s="19"/>
      <c r="B25">
        <f t="shared" si="1"/>
        <v>20</v>
      </c>
      <c r="C25" t="b">
        <v>0</v>
      </c>
      <c r="D25" t="b">
        <v>0</v>
      </c>
      <c r="E25" t="b">
        <v>0</v>
      </c>
      <c r="F25" s="3" t="s">
        <v>28</v>
      </c>
      <c r="G25" t="str">
        <f>G$6</f>
        <v>-</v>
      </c>
      <c r="H25" t="b">
        <f>H$6</f>
        <v>0</v>
      </c>
      <c r="I25" t="b">
        <f>I$6</f>
        <v>1</v>
      </c>
      <c r="J25" t="str">
        <f>J$6</f>
        <v>-</v>
      </c>
      <c r="K25" t="str">
        <f>K$6</f>
        <v>-</v>
      </c>
      <c r="L25" t="str">
        <f>L$6</f>
        <v>-</v>
      </c>
      <c r="M25" t="str">
        <f>M$6</f>
        <v>-</v>
      </c>
      <c r="N25" t="str">
        <f>N$6</f>
        <v>-</v>
      </c>
      <c r="O25" t="str">
        <f>O$6</f>
        <v>-</v>
      </c>
      <c r="P25" t="str">
        <f>P$6</f>
        <v>-</v>
      </c>
      <c r="Q25" t="str">
        <f>Q$6</f>
        <v>-</v>
      </c>
      <c r="R25" t="str">
        <f>R$6</f>
        <v>-</v>
      </c>
      <c r="S25" t="str">
        <f>S$6</f>
        <v>-</v>
      </c>
      <c r="T25" t="str">
        <f>T$6</f>
        <v>-</v>
      </c>
      <c r="U25" t="str">
        <f>U$6</f>
        <v>-</v>
      </c>
      <c r="V25" t="str">
        <f>V$6</f>
        <v>-</v>
      </c>
      <c r="W25" t="str">
        <f>W$6</f>
        <v>-</v>
      </c>
      <c r="X25" t="str">
        <f>X$6</f>
        <v>-</v>
      </c>
      <c r="Y25" t="str">
        <f>Y$6</f>
        <v>-</v>
      </c>
      <c r="Z25" t="str">
        <f>Z$6</f>
        <v>-</v>
      </c>
      <c r="AA25" t="str">
        <f>AA$6</f>
        <v>-</v>
      </c>
      <c r="AB25" t="str">
        <f>AB$6</f>
        <v>-</v>
      </c>
      <c r="AC25">
        <f>AC$6</f>
        <v>1</v>
      </c>
      <c r="AD25">
        <f>AD$6</f>
        <v>1</v>
      </c>
      <c r="AE25">
        <f>AE$6</f>
        <v>1</v>
      </c>
      <c r="AF25">
        <f>AF$6</f>
        <v>1</v>
      </c>
      <c r="AG25">
        <f>AG$6</f>
        <v>1</v>
      </c>
      <c r="AH25">
        <f>AH$6</f>
        <v>1</v>
      </c>
      <c r="AI25">
        <f>AI$6</f>
        <v>1</v>
      </c>
      <c r="AJ25">
        <f>AJ$6</f>
        <v>1</v>
      </c>
      <c r="AK25" s="22">
        <v>1.1000000000000001</v>
      </c>
      <c r="AL25">
        <f>AL$6</f>
        <v>1</v>
      </c>
      <c r="AM25">
        <f>AM$6</f>
        <v>1</v>
      </c>
      <c r="AN25">
        <f>AN$6</f>
        <v>1</v>
      </c>
      <c r="AO25">
        <f>AO$6</f>
        <v>0</v>
      </c>
      <c r="AP25">
        <f>AP$6</f>
        <v>0</v>
      </c>
      <c r="AQ25">
        <f>AQ$6</f>
        <v>0</v>
      </c>
      <c r="AR25">
        <f>AR$6</f>
        <v>0</v>
      </c>
      <c r="AS25" s="15">
        <v>0</v>
      </c>
    </row>
    <row r="26" spans="1:45" x14ac:dyDescent="0.25">
      <c r="A26" s="19"/>
      <c r="B26">
        <f t="shared" si="1"/>
        <v>21</v>
      </c>
      <c r="C26" t="b">
        <v>0</v>
      </c>
      <c r="D26" t="b">
        <v>0</v>
      </c>
      <c r="E26" t="b">
        <v>0</v>
      </c>
      <c r="F26" s="3" t="s">
        <v>29</v>
      </c>
      <c r="G26" t="str">
        <f>G$6</f>
        <v>-</v>
      </c>
      <c r="H26" t="b">
        <f>H$6</f>
        <v>0</v>
      </c>
      <c r="I26" t="b">
        <f>I$6</f>
        <v>1</v>
      </c>
      <c r="J26" t="str">
        <f>J$6</f>
        <v>-</v>
      </c>
      <c r="K26" t="str">
        <f>K$6</f>
        <v>-</v>
      </c>
      <c r="L26" t="str">
        <f>L$6</f>
        <v>-</v>
      </c>
      <c r="M26" t="str">
        <f>M$6</f>
        <v>-</v>
      </c>
      <c r="N26" t="str">
        <f>N$6</f>
        <v>-</v>
      </c>
      <c r="O26" t="str">
        <f>O$6</f>
        <v>-</v>
      </c>
      <c r="P26" t="str">
        <f>P$6</f>
        <v>-</v>
      </c>
      <c r="Q26" t="str">
        <f>Q$6</f>
        <v>-</v>
      </c>
      <c r="R26" t="str">
        <f>R$6</f>
        <v>-</v>
      </c>
      <c r="S26" t="str">
        <f>S$6</f>
        <v>-</v>
      </c>
      <c r="T26" t="str">
        <f>T$6</f>
        <v>-</v>
      </c>
      <c r="U26" t="str">
        <f>U$6</f>
        <v>-</v>
      </c>
      <c r="V26" t="str">
        <f>V$6</f>
        <v>-</v>
      </c>
      <c r="W26" t="str">
        <f>W$6</f>
        <v>-</v>
      </c>
      <c r="X26" t="str">
        <f>X$6</f>
        <v>-</v>
      </c>
      <c r="Y26" t="str">
        <f>Y$6</f>
        <v>-</v>
      </c>
      <c r="Z26" t="str">
        <f>Z$6</f>
        <v>-</v>
      </c>
      <c r="AA26" t="str">
        <f>AA$6</f>
        <v>-</v>
      </c>
      <c r="AB26" t="str">
        <f>AB$6</f>
        <v>-</v>
      </c>
      <c r="AC26">
        <f>AC$6</f>
        <v>1</v>
      </c>
      <c r="AD26">
        <f>AD$6</f>
        <v>1</v>
      </c>
      <c r="AE26">
        <f>AE$6</f>
        <v>1</v>
      </c>
      <c r="AF26">
        <f>AF$6</f>
        <v>1</v>
      </c>
      <c r="AG26">
        <f>AG$6</f>
        <v>1</v>
      </c>
      <c r="AH26">
        <f>AH$6</f>
        <v>1</v>
      </c>
      <c r="AI26">
        <f>AI$6</f>
        <v>1</v>
      </c>
      <c r="AJ26">
        <f>AJ$6</f>
        <v>1</v>
      </c>
      <c r="AK26">
        <f>AK$6</f>
        <v>1</v>
      </c>
      <c r="AL26" s="22">
        <v>0.9</v>
      </c>
      <c r="AM26">
        <f>AM$6</f>
        <v>1</v>
      </c>
      <c r="AN26">
        <f>AN$6</f>
        <v>1</v>
      </c>
      <c r="AO26">
        <f>AO$6</f>
        <v>0</v>
      </c>
      <c r="AP26">
        <f>AP$6</f>
        <v>0</v>
      </c>
      <c r="AQ26">
        <f>AQ$6</f>
        <v>0</v>
      </c>
      <c r="AR26">
        <f>AR$6</f>
        <v>0</v>
      </c>
      <c r="AS26" s="15">
        <v>0</v>
      </c>
    </row>
    <row r="27" spans="1:45" x14ac:dyDescent="0.25">
      <c r="A27" s="19"/>
      <c r="B27">
        <f t="shared" si="1"/>
        <v>22</v>
      </c>
      <c r="C27" t="b">
        <v>0</v>
      </c>
      <c r="D27" t="b">
        <v>0</v>
      </c>
      <c r="E27" t="b">
        <v>0</v>
      </c>
      <c r="F27" s="3" t="s">
        <v>30</v>
      </c>
      <c r="G27" t="str">
        <f>G$6</f>
        <v>-</v>
      </c>
      <c r="H27" t="b">
        <f>H$6</f>
        <v>0</v>
      </c>
      <c r="I27" t="b">
        <f>I$6</f>
        <v>1</v>
      </c>
      <c r="J27" t="str">
        <f>J$6</f>
        <v>-</v>
      </c>
      <c r="K27" t="str">
        <f>K$6</f>
        <v>-</v>
      </c>
      <c r="L27" t="str">
        <f>L$6</f>
        <v>-</v>
      </c>
      <c r="M27" t="str">
        <f>M$6</f>
        <v>-</v>
      </c>
      <c r="N27" t="str">
        <f>N$6</f>
        <v>-</v>
      </c>
      <c r="O27" t="str">
        <f>O$6</f>
        <v>-</v>
      </c>
      <c r="P27" t="str">
        <f>P$6</f>
        <v>-</v>
      </c>
      <c r="Q27" t="str">
        <f>Q$6</f>
        <v>-</v>
      </c>
      <c r="R27" t="str">
        <f>R$6</f>
        <v>-</v>
      </c>
      <c r="S27" t="str">
        <f>S$6</f>
        <v>-</v>
      </c>
      <c r="T27" t="str">
        <f>T$6</f>
        <v>-</v>
      </c>
      <c r="U27" t="str">
        <f>U$6</f>
        <v>-</v>
      </c>
      <c r="V27" t="str">
        <f>V$6</f>
        <v>-</v>
      </c>
      <c r="W27" t="str">
        <f>W$6</f>
        <v>-</v>
      </c>
      <c r="X27" t="str">
        <f>X$6</f>
        <v>-</v>
      </c>
      <c r="Y27" t="str">
        <f>Y$6</f>
        <v>-</v>
      </c>
      <c r="Z27" t="str">
        <f>Z$6</f>
        <v>-</v>
      </c>
      <c r="AA27" t="str">
        <f>AA$6</f>
        <v>-</v>
      </c>
      <c r="AB27" t="str">
        <f>AB$6</f>
        <v>-</v>
      </c>
      <c r="AC27">
        <f>AC$6</f>
        <v>1</v>
      </c>
      <c r="AD27">
        <f>AD$6</f>
        <v>1</v>
      </c>
      <c r="AE27">
        <f>AE$6</f>
        <v>1</v>
      </c>
      <c r="AF27">
        <f>AF$6</f>
        <v>1</v>
      </c>
      <c r="AG27">
        <f>AG$6</f>
        <v>1</v>
      </c>
      <c r="AH27">
        <f>AH$6</f>
        <v>1</v>
      </c>
      <c r="AI27">
        <f>AI$6</f>
        <v>1</v>
      </c>
      <c r="AJ27">
        <f>AJ$6</f>
        <v>1</v>
      </c>
      <c r="AK27">
        <f>AK$6</f>
        <v>1</v>
      </c>
      <c r="AL27" s="22">
        <v>1.1000000000000001</v>
      </c>
      <c r="AM27">
        <f>AM$6</f>
        <v>1</v>
      </c>
      <c r="AN27">
        <f>AN$6</f>
        <v>1</v>
      </c>
      <c r="AO27">
        <f>AO$6</f>
        <v>0</v>
      </c>
      <c r="AP27">
        <f>AP$6</f>
        <v>0</v>
      </c>
      <c r="AQ27">
        <f>AQ$6</f>
        <v>0</v>
      </c>
      <c r="AR27">
        <f>AR$6</f>
        <v>0</v>
      </c>
      <c r="AS27" s="15">
        <v>0</v>
      </c>
    </row>
    <row r="28" spans="1:45" x14ac:dyDescent="0.25">
      <c r="A28" s="19"/>
      <c r="B28">
        <f t="shared" si="1"/>
        <v>23</v>
      </c>
      <c r="C28" t="b">
        <v>0</v>
      </c>
      <c r="D28" t="b">
        <v>0</v>
      </c>
      <c r="E28" t="b">
        <v>0</v>
      </c>
      <c r="F28" s="3" t="s">
        <v>31</v>
      </c>
      <c r="G28" t="str">
        <f>G$6</f>
        <v>-</v>
      </c>
      <c r="H28" t="b">
        <f>H$6</f>
        <v>0</v>
      </c>
      <c r="I28" t="b">
        <f>I$6</f>
        <v>1</v>
      </c>
      <c r="J28" t="str">
        <f>J$6</f>
        <v>-</v>
      </c>
      <c r="K28" t="str">
        <f>K$6</f>
        <v>-</v>
      </c>
      <c r="L28" t="str">
        <f>L$6</f>
        <v>-</v>
      </c>
      <c r="M28" t="str">
        <f>M$6</f>
        <v>-</v>
      </c>
      <c r="N28" t="str">
        <f>N$6</f>
        <v>-</v>
      </c>
      <c r="O28" t="str">
        <f>O$6</f>
        <v>-</v>
      </c>
      <c r="P28" t="str">
        <f>P$6</f>
        <v>-</v>
      </c>
      <c r="Q28" t="str">
        <f>Q$6</f>
        <v>-</v>
      </c>
      <c r="R28" t="str">
        <f>R$6</f>
        <v>-</v>
      </c>
      <c r="S28" t="str">
        <f>S$6</f>
        <v>-</v>
      </c>
      <c r="T28" t="str">
        <f>T$6</f>
        <v>-</v>
      </c>
      <c r="U28" t="str">
        <f>U$6</f>
        <v>-</v>
      </c>
      <c r="V28" t="str">
        <f>V$6</f>
        <v>-</v>
      </c>
      <c r="W28" t="str">
        <f>W$6</f>
        <v>-</v>
      </c>
      <c r="X28" t="str">
        <f>X$6</f>
        <v>-</v>
      </c>
      <c r="Y28" t="str">
        <f>Y$6</f>
        <v>-</v>
      </c>
      <c r="Z28" t="str">
        <f>Z$6</f>
        <v>-</v>
      </c>
      <c r="AA28" t="str">
        <f>AA$6</f>
        <v>-</v>
      </c>
      <c r="AB28" t="str">
        <f>AB$6</f>
        <v>-</v>
      </c>
      <c r="AC28">
        <f>AC$6</f>
        <v>1</v>
      </c>
      <c r="AD28">
        <f>AD$6</f>
        <v>1</v>
      </c>
      <c r="AE28">
        <f>AE$6</f>
        <v>1</v>
      </c>
      <c r="AF28">
        <f>AF$6</f>
        <v>1</v>
      </c>
      <c r="AG28">
        <f>AG$6</f>
        <v>1</v>
      </c>
      <c r="AH28">
        <f>AH$6</f>
        <v>1</v>
      </c>
      <c r="AI28">
        <f>AI$6</f>
        <v>1</v>
      </c>
      <c r="AJ28">
        <f>AJ$6</f>
        <v>1</v>
      </c>
      <c r="AK28">
        <f>AK$6</f>
        <v>1</v>
      </c>
      <c r="AL28">
        <f>AL$6</f>
        <v>1</v>
      </c>
      <c r="AM28" s="22">
        <v>0.9</v>
      </c>
      <c r="AN28">
        <f>AN$6</f>
        <v>1</v>
      </c>
      <c r="AO28">
        <f>AO$6</f>
        <v>0</v>
      </c>
      <c r="AP28">
        <f>AP$6</f>
        <v>0</v>
      </c>
      <c r="AQ28">
        <f>AQ$6</f>
        <v>0</v>
      </c>
      <c r="AR28">
        <f>AR$6</f>
        <v>0</v>
      </c>
      <c r="AS28" s="15">
        <v>0</v>
      </c>
    </row>
    <row r="29" spans="1:45" x14ac:dyDescent="0.25">
      <c r="A29" s="19"/>
      <c r="B29">
        <f t="shared" si="1"/>
        <v>24</v>
      </c>
      <c r="C29" t="b">
        <v>0</v>
      </c>
      <c r="D29" t="b">
        <v>0</v>
      </c>
      <c r="E29" t="b">
        <v>0</v>
      </c>
      <c r="F29" s="3" t="s">
        <v>32</v>
      </c>
      <c r="G29" t="str">
        <f>G$6</f>
        <v>-</v>
      </c>
      <c r="H29" t="b">
        <f>H$6</f>
        <v>0</v>
      </c>
      <c r="I29" t="b">
        <f>I$6</f>
        <v>1</v>
      </c>
      <c r="J29" t="str">
        <f>J$6</f>
        <v>-</v>
      </c>
      <c r="K29" t="str">
        <f>K$6</f>
        <v>-</v>
      </c>
      <c r="L29" t="str">
        <f>L$6</f>
        <v>-</v>
      </c>
      <c r="M29" t="str">
        <f>M$6</f>
        <v>-</v>
      </c>
      <c r="N29" t="str">
        <f>N$6</f>
        <v>-</v>
      </c>
      <c r="O29" t="str">
        <f>O$6</f>
        <v>-</v>
      </c>
      <c r="P29" t="str">
        <f>P$6</f>
        <v>-</v>
      </c>
      <c r="Q29" t="str">
        <f>Q$6</f>
        <v>-</v>
      </c>
      <c r="R29" t="str">
        <f>R$6</f>
        <v>-</v>
      </c>
      <c r="S29" t="str">
        <f>S$6</f>
        <v>-</v>
      </c>
      <c r="T29" t="str">
        <f>T$6</f>
        <v>-</v>
      </c>
      <c r="U29" t="str">
        <f>U$6</f>
        <v>-</v>
      </c>
      <c r="V29" t="str">
        <f>V$6</f>
        <v>-</v>
      </c>
      <c r="W29" t="str">
        <f>W$6</f>
        <v>-</v>
      </c>
      <c r="X29" t="str">
        <f>X$6</f>
        <v>-</v>
      </c>
      <c r="Y29" t="str">
        <f>Y$6</f>
        <v>-</v>
      </c>
      <c r="Z29" t="str">
        <f>Z$6</f>
        <v>-</v>
      </c>
      <c r="AA29" t="str">
        <f>AA$6</f>
        <v>-</v>
      </c>
      <c r="AB29" t="str">
        <f>AB$6</f>
        <v>-</v>
      </c>
      <c r="AC29">
        <f>AC$6</f>
        <v>1</v>
      </c>
      <c r="AD29">
        <f>AD$6</f>
        <v>1</v>
      </c>
      <c r="AE29">
        <f>AE$6</f>
        <v>1</v>
      </c>
      <c r="AF29">
        <f>AF$6</f>
        <v>1</v>
      </c>
      <c r="AG29">
        <f>AG$6</f>
        <v>1</v>
      </c>
      <c r="AH29">
        <f>AH$6</f>
        <v>1</v>
      </c>
      <c r="AI29">
        <f>AI$6</f>
        <v>1</v>
      </c>
      <c r="AJ29">
        <f>AJ$6</f>
        <v>1</v>
      </c>
      <c r="AK29">
        <f>AK$6</f>
        <v>1</v>
      </c>
      <c r="AL29">
        <f>AL$6</f>
        <v>1</v>
      </c>
      <c r="AM29" s="22">
        <v>1.1000000000000001</v>
      </c>
      <c r="AN29">
        <f>AN$6</f>
        <v>1</v>
      </c>
      <c r="AO29">
        <f>AO$6</f>
        <v>0</v>
      </c>
      <c r="AP29">
        <f>AP$6</f>
        <v>0</v>
      </c>
      <c r="AQ29">
        <f>AQ$6</f>
        <v>0</v>
      </c>
      <c r="AR29">
        <f>AR$6</f>
        <v>0</v>
      </c>
      <c r="AS29" s="15">
        <v>0</v>
      </c>
    </row>
    <row r="30" spans="1:45" x14ac:dyDescent="0.25">
      <c r="A30" s="19"/>
      <c r="B30">
        <f t="shared" si="1"/>
        <v>25</v>
      </c>
      <c r="C30" t="b">
        <v>0</v>
      </c>
      <c r="D30" t="b">
        <v>0</v>
      </c>
      <c r="E30" t="b">
        <v>0</v>
      </c>
      <c r="F30" s="3" t="s">
        <v>33</v>
      </c>
      <c r="G30" t="str">
        <f>G$6</f>
        <v>-</v>
      </c>
      <c r="H30" t="b">
        <f>H$6</f>
        <v>0</v>
      </c>
      <c r="I30" t="b">
        <f>I$6</f>
        <v>1</v>
      </c>
      <c r="J30" t="str">
        <f>J$6</f>
        <v>-</v>
      </c>
      <c r="K30" t="str">
        <f>K$6</f>
        <v>-</v>
      </c>
      <c r="L30" t="str">
        <f>L$6</f>
        <v>-</v>
      </c>
      <c r="M30" t="str">
        <f>M$6</f>
        <v>-</v>
      </c>
      <c r="N30" t="str">
        <f>N$6</f>
        <v>-</v>
      </c>
      <c r="O30" t="str">
        <f>O$6</f>
        <v>-</v>
      </c>
      <c r="P30" t="str">
        <f>P$6</f>
        <v>-</v>
      </c>
      <c r="Q30" t="str">
        <f>Q$6</f>
        <v>-</v>
      </c>
      <c r="R30" t="str">
        <f>R$6</f>
        <v>-</v>
      </c>
      <c r="S30" t="str">
        <f>S$6</f>
        <v>-</v>
      </c>
      <c r="T30" t="str">
        <f>T$6</f>
        <v>-</v>
      </c>
      <c r="U30" t="str">
        <f>U$6</f>
        <v>-</v>
      </c>
      <c r="V30" t="str">
        <f>V$6</f>
        <v>-</v>
      </c>
      <c r="W30" t="str">
        <f>W$6</f>
        <v>-</v>
      </c>
      <c r="X30" t="str">
        <f>X$6</f>
        <v>-</v>
      </c>
      <c r="Y30" t="str">
        <f>Y$6</f>
        <v>-</v>
      </c>
      <c r="Z30" t="str">
        <f>Z$6</f>
        <v>-</v>
      </c>
      <c r="AA30" t="str">
        <f>AA$6</f>
        <v>-</v>
      </c>
      <c r="AB30" t="str">
        <f>AB$6</f>
        <v>-</v>
      </c>
      <c r="AC30">
        <f>AC$6</f>
        <v>1</v>
      </c>
      <c r="AD30">
        <f>AD$6</f>
        <v>1</v>
      </c>
      <c r="AE30">
        <f>AE$6</f>
        <v>1</v>
      </c>
      <c r="AF30">
        <f>AF$6</f>
        <v>1</v>
      </c>
      <c r="AG30">
        <f>AG$6</f>
        <v>1</v>
      </c>
      <c r="AH30">
        <f>AH$6</f>
        <v>1</v>
      </c>
      <c r="AI30">
        <f>AI$6</f>
        <v>1</v>
      </c>
      <c r="AJ30">
        <f>AJ$6</f>
        <v>1</v>
      </c>
      <c r="AK30">
        <f>AK$6</f>
        <v>1</v>
      </c>
      <c r="AL30">
        <f>AL$6</f>
        <v>1</v>
      </c>
      <c r="AM30">
        <f>AM$6</f>
        <v>1</v>
      </c>
      <c r="AN30" s="22">
        <v>0.9</v>
      </c>
      <c r="AO30">
        <f>AO$6</f>
        <v>0</v>
      </c>
      <c r="AP30">
        <f>AP$6</f>
        <v>0</v>
      </c>
      <c r="AQ30">
        <f>AQ$6</f>
        <v>0</v>
      </c>
      <c r="AR30">
        <f>AR$6</f>
        <v>0</v>
      </c>
      <c r="AS30" s="15">
        <v>0</v>
      </c>
    </row>
    <row r="31" spans="1:45" x14ac:dyDescent="0.25">
      <c r="A31" s="19"/>
      <c r="B31">
        <f t="shared" si="1"/>
        <v>26</v>
      </c>
      <c r="C31" t="b">
        <v>0</v>
      </c>
      <c r="D31" t="b">
        <v>0</v>
      </c>
      <c r="E31" t="b">
        <v>0</v>
      </c>
      <c r="F31" s="3" t="s">
        <v>34</v>
      </c>
      <c r="G31" t="str">
        <f t="shared" ref="G31:I45" si="2">G$6</f>
        <v>-</v>
      </c>
      <c r="H31" t="b">
        <f>H$6</f>
        <v>0</v>
      </c>
      <c r="I31" t="b">
        <f>I$6</f>
        <v>1</v>
      </c>
      <c r="J31" t="str">
        <f>J$6</f>
        <v>-</v>
      </c>
      <c r="K31" t="str">
        <f>K$6</f>
        <v>-</v>
      </c>
      <c r="L31" t="str">
        <f>L$6</f>
        <v>-</v>
      </c>
      <c r="M31" t="str">
        <f>M$6</f>
        <v>-</v>
      </c>
      <c r="N31" t="str">
        <f>N$6</f>
        <v>-</v>
      </c>
      <c r="O31" t="str">
        <f>O$6</f>
        <v>-</v>
      </c>
      <c r="P31" t="str">
        <f>P$6</f>
        <v>-</v>
      </c>
      <c r="Q31" t="str">
        <f>Q$6</f>
        <v>-</v>
      </c>
      <c r="R31" t="str">
        <f>R$6</f>
        <v>-</v>
      </c>
      <c r="S31" t="str">
        <f>S$6</f>
        <v>-</v>
      </c>
      <c r="T31" t="str">
        <f>T$6</f>
        <v>-</v>
      </c>
      <c r="U31" t="str">
        <f>U$6</f>
        <v>-</v>
      </c>
      <c r="V31" t="str">
        <f>V$6</f>
        <v>-</v>
      </c>
      <c r="W31" t="str">
        <f>W$6</f>
        <v>-</v>
      </c>
      <c r="X31" t="str">
        <f>X$6</f>
        <v>-</v>
      </c>
      <c r="Y31" t="str">
        <f>Y$6</f>
        <v>-</v>
      </c>
      <c r="Z31" t="str">
        <f>Z$6</f>
        <v>-</v>
      </c>
      <c r="AA31" t="str">
        <f>AA$6</f>
        <v>-</v>
      </c>
      <c r="AB31" t="str">
        <f>AB$6</f>
        <v>-</v>
      </c>
      <c r="AC31">
        <f>AC$6</f>
        <v>1</v>
      </c>
      <c r="AD31">
        <f>AD$6</f>
        <v>1</v>
      </c>
      <c r="AE31">
        <f>AE$6</f>
        <v>1</v>
      </c>
      <c r="AF31">
        <f>AF$6</f>
        <v>1</v>
      </c>
      <c r="AG31">
        <f>AG$6</f>
        <v>1</v>
      </c>
      <c r="AH31">
        <f>AH$6</f>
        <v>1</v>
      </c>
      <c r="AI31">
        <f>AI$6</f>
        <v>1</v>
      </c>
      <c r="AJ31">
        <f>AJ$6</f>
        <v>1</v>
      </c>
      <c r="AK31">
        <f>AK$6</f>
        <v>1</v>
      </c>
      <c r="AL31">
        <f>AL$6</f>
        <v>1</v>
      </c>
      <c r="AM31">
        <f>AM$6</f>
        <v>1</v>
      </c>
      <c r="AN31" s="22">
        <v>1.1000000000000001</v>
      </c>
      <c r="AO31">
        <f>AO$6</f>
        <v>0</v>
      </c>
      <c r="AP31">
        <f>AP$6</f>
        <v>0</v>
      </c>
      <c r="AQ31">
        <f>AQ$6</f>
        <v>0</v>
      </c>
      <c r="AR31">
        <f>AR$6</f>
        <v>0</v>
      </c>
      <c r="AS31" s="15">
        <v>0</v>
      </c>
    </row>
    <row r="32" spans="1:45" x14ac:dyDescent="0.25">
      <c r="A32" s="19"/>
      <c r="B32">
        <f t="shared" si="1"/>
        <v>27</v>
      </c>
      <c r="C32" t="b">
        <v>0</v>
      </c>
      <c r="D32" t="b">
        <v>0</v>
      </c>
      <c r="E32" t="b">
        <v>0</v>
      </c>
      <c r="F32" s="3" t="s">
        <v>51</v>
      </c>
      <c r="G32" t="str">
        <f t="shared" si="2"/>
        <v>-</v>
      </c>
      <c r="H32" t="b">
        <f>H$6</f>
        <v>0</v>
      </c>
      <c r="I32" t="b">
        <f>I$6</f>
        <v>1</v>
      </c>
      <c r="J32" t="str">
        <f>J$6</f>
        <v>-</v>
      </c>
      <c r="K32" t="str">
        <f>K$6</f>
        <v>-</v>
      </c>
      <c r="L32" t="str">
        <f>L$6</f>
        <v>-</v>
      </c>
      <c r="M32" t="str">
        <f>M$6</f>
        <v>-</v>
      </c>
      <c r="N32" t="str">
        <f>N$6</f>
        <v>-</v>
      </c>
      <c r="O32" t="str">
        <f>O$6</f>
        <v>-</v>
      </c>
      <c r="P32" t="str">
        <f>P$6</f>
        <v>-</v>
      </c>
      <c r="Q32" t="str">
        <f>Q$6</f>
        <v>-</v>
      </c>
      <c r="R32" t="str">
        <f>R$6</f>
        <v>-</v>
      </c>
      <c r="S32" t="str">
        <f>S$6</f>
        <v>-</v>
      </c>
      <c r="T32" t="str">
        <f>T$6</f>
        <v>-</v>
      </c>
      <c r="U32" t="str">
        <f>U$6</f>
        <v>-</v>
      </c>
      <c r="V32" t="str">
        <f>V$6</f>
        <v>-</v>
      </c>
      <c r="W32" t="str">
        <f>W$6</f>
        <v>-</v>
      </c>
      <c r="X32" s="22">
        <v>200</v>
      </c>
      <c r="Y32" s="22" t="b">
        <v>1</v>
      </c>
      <c r="Z32" t="str">
        <f>Z$6</f>
        <v>-</v>
      </c>
      <c r="AA32" t="str">
        <f>AA$6</f>
        <v>-</v>
      </c>
      <c r="AB32" t="str">
        <f>AB$6</f>
        <v>-</v>
      </c>
      <c r="AC32">
        <f>AC$6</f>
        <v>1</v>
      </c>
      <c r="AD32">
        <f>AD$6</f>
        <v>1</v>
      </c>
      <c r="AE32">
        <f>AE$6</f>
        <v>1</v>
      </c>
      <c r="AF32">
        <f>AF$6</f>
        <v>1</v>
      </c>
      <c r="AG32">
        <f>AG$6</f>
        <v>1</v>
      </c>
      <c r="AH32">
        <f>AH$6</f>
        <v>1</v>
      </c>
      <c r="AI32">
        <f>AI$6</f>
        <v>1</v>
      </c>
      <c r="AJ32">
        <f>AJ$6</f>
        <v>1</v>
      </c>
      <c r="AK32">
        <f>AK$6</f>
        <v>1</v>
      </c>
      <c r="AL32">
        <f>AL$6</f>
        <v>1</v>
      </c>
      <c r="AM32">
        <f>AM$6</f>
        <v>1</v>
      </c>
      <c r="AN32">
        <f>AN$6</f>
        <v>1</v>
      </c>
      <c r="AO32">
        <f>AO$6</f>
        <v>0</v>
      </c>
      <c r="AP32">
        <f>AP$6</f>
        <v>0</v>
      </c>
      <c r="AQ32">
        <f>AQ$6</f>
        <v>0</v>
      </c>
      <c r="AR32">
        <f>AR$6</f>
        <v>0</v>
      </c>
      <c r="AS32" s="15">
        <v>0</v>
      </c>
    </row>
    <row r="33" spans="1:45" x14ac:dyDescent="0.25">
      <c r="A33" s="19"/>
      <c r="B33">
        <f t="shared" si="1"/>
        <v>28</v>
      </c>
      <c r="C33" t="b">
        <v>0</v>
      </c>
      <c r="D33" t="b">
        <v>0</v>
      </c>
      <c r="E33" t="b">
        <v>0</v>
      </c>
      <c r="F33" s="3" t="s">
        <v>52</v>
      </c>
      <c r="G33" t="str">
        <f t="shared" si="2"/>
        <v>-</v>
      </c>
      <c r="H33" t="b">
        <f>H$6</f>
        <v>0</v>
      </c>
      <c r="I33" t="b">
        <f>I$6</f>
        <v>1</v>
      </c>
      <c r="J33" t="str">
        <f>J$6</f>
        <v>-</v>
      </c>
      <c r="K33" t="str">
        <f>K$6</f>
        <v>-</v>
      </c>
      <c r="L33" t="str">
        <f>L$6</f>
        <v>-</v>
      </c>
      <c r="M33" t="str">
        <f>M$6</f>
        <v>-</v>
      </c>
      <c r="N33" t="str">
        <f>N$6</f>
        <v>-</v>
      </c>
      <c r="O33" t="str">
        <f>O$6</f>
        <v>-</v>
      </c>
      <c r="P33" t="str">
        <f>P$6</f>
        <v>-</v>
      </c>
      <c r="Q33" t="str">
        <f>Q$6</f>
        <v>-</v>
      </c>
      <c r="R33" t="str">
        <f>R$6</f>
        <v>-</v>
      </c>
      <c r="S33" t="str">
        <f>S$6</f>
        <v>-</v>
      </c>
      <c r="T33" t="str">
        <f>T$6</f>
        <v>-</v>
      </c>
      <c r="U33" t="str">
        <f>U$6</f>
        <v>-</v>
      </c>
      <c r="V33" t="str">
        <f>V$6</f>
        <v>-</v>
      </c>
      <c r="W33" t="str">
        <f>W$6</f>
        <v>-</v>
      </c>
      <c r="X33" s="22">
        <v>800</v>
      </c>
      <c r="Y33" s="22" t="b">
        <v>1</v>
      </c>
      <c r="Z33" t="str">
        <f>Z$6</f>
        <v>-</v>
      </c>
      <c r="AA33" t="str">
        <f>AA$6</f>
        <v>-</v>
      </c>
      <c r="AB33" t="str">
        <f>AB$6</f>
        <v>-</v>
      </c>
      <c r="AC33">
        <f>AC$6</f>
        <v>1</v>
      </c>
      <c r="AD33">
        <f>AD$6</f>
        <v>1</v>
      </c>
      <c r="AE33">
        <f>AE$6</f>
        <v>1</v>
      </c>
      <c r="AF33">
        <f>AF$6</f>
        <v>1</v>
      </c>
      <c r="AG33">
        <f>AG$6</f>
        <v>1</v>
      </c>
      <c r="AH33">
        <f>AH$6</f>
        <v>1</v>
      </c>
      <c r="AI33">
        <f>AI$6</f>
        <v>1</v>
      </c>
      <c r="AJ33">
        <f>AJ$6</f>
        <v>1</v>
      </c>
      <c r="AK33">
        <f>AK$6</f>
        <v>1</v>
      </c>
      <c r="AL33">
        <f>AL$6</f>
        <v>1</v>
      </c>
      <c r="AM33">
        <f>AM$6</f>
        <v>1</v>
      </c>
      <c r="AN33">
        <f>AN$6</f>
        <v>1</v>
      </c>
      <c r="AO33">
        <f>AO$6</f>
        <v>0</v>
      </c>
      <c r="AP33">
        <f>AP$6</f>
        <v>0</v>
      </c>
      <c r="AQ33">
        <f>AQ$6</f>
        <v>0</v>
      </c>
      <c r="AR33">
        <f>AR$6</f>
        <v>0</v>
      </c>
      <c r="AS33" s="15">
        <v>0</v>
      </c>
    </row>
    <row r="34" spans="1:45" x14ac:dyDescent="0.25">
      <c r="A34" s="19"/>
      <c r="B34">
        <f t="shared" si="1"/>
        <v>29</v>
      </c>
      <c r="C34" t="b">
        <v>0</v>
      </c>
      <c r="D34" t="b">
        <v>0</v>
      </c>
      <c r="E34" t="b">
        <v>0</v>
      </c>
      <c r="F34" s="3" t="s">
        <v>53</v>
      </c>
      <c r="G34" t="str">
        <f t="shared" si="2"/>
        <v>-</v>
      </c>
      <c r="H34" t="b">
        <f>H$6</f>
        <v>0</v>
      </c>
      <c r="I34" t="b">
        <f>I$6</f>
        <v>1</v>
      </c>
      <c r="J34" t="str">
        <f>J$6</f>
        <v>-</v>
      </c>
      <c r="K34" t="str">
        <f>K$6</f>
        <v>-</v>
      </c>
      <c r="L34" t="str">
        <f>L$6</f>
        <v>-</v>
      </c>
      <c r="M34" t="str">
        <f>M$6</f>
        <v>-</v>
      </c>
      <c r="N34" t="str">
        <f>N$6</f>
        <v>-</v>
      </c>
      <c r="O34" t="str">
        <f>O$6</f>
        <v>-</v>
      </c>
      <c r="P34" t="str">
        <f>P$6</f>
        <v>-</v>
      </c>
      <c r="Q34" t="str">
        <f>Q$6</f>
        <v>-</v>
      </c>
      <c r="R34" t="str">
        <f>R$6</f>
        <v>-</v>
      </c>
      <c r="S34" t="str">
        <f>S$6</f>
        <v>-</v>
      </c>
      <c r="T34" t="str">
        <f>T$6</f>
        <v>-</v>
      </c>
      <c r="U34" t="str">
        <f>U$6</f>
        <v>-</v>
      </c>
      <c r="V34" t="str">
        <f>V$6</f>
        <v>-</v>
      </c>
      <c r="W34" t="str">
        <f>W$6</f>
        <v>-</v>
      </c>
      <c r="X34" s="22">
        <v>1200</v>
      </c>
      <c r="Y34" s="22" t="b">
        <v>1</v>
      </c>
      <c r="Z34" t="str">
        <f>Z$6</f>
        <v>-</v>
      </c>
      <c r="AA34" t="str">
        <f>AA$6</f>
        <v>-</v>
      </c>
      <c r="AB34" t="str">
        <f>AB$6</f>
        <v>-</v>
      </c>
      <c r="AC34">
        <f>AC$6</f>
        <v>1</v>
      </c>
      <c r="AD34">
        <f>AD$6</f>
        <v>1</v>
      </c>
      <c r="AE34">
        <f>AE$6</f>
        <v>1</v>
      </c>
      <c r="AF34">
        <f>AF$6</f>
        <v>1</v>
      </c>
      <c r="AG34">
        <f>AG$6</f>
        <v>1</v>
      </c>
      <c r="AH34">
        <f>AH$6</f>
        <v>1</v>
      </c>
      <c r="AI34">
        <f>AI$6</f>
        <v>1</v>
      </c>
      <c r="AJ34">
        <f>AJ$6</f>
        <v>1</v>
      </c>
      <c r="AK34">
        <f>AK$6</f>
        <v>1</v>
      </c>
      <c r="AL34">
        <f>AL$6</f>
        <v>1</v>
      </c>
      <c r="AM34">
        <f>AM$6</f>
        <v>1</v>
      </c>
      <c r="AN34">
        <f>AN$6</f>
        <v>1</v>
      </c>
      <c r="AO34">
        <f>AO$6</f>
        <v>0</v>
      </c>
      <c r="AP34">
        <f>AP$6</f>
        <v>0</v>
      </c>
      <c r="AQ34">
        <f>AQ$6</f>
        <v>0</v>
      </c>
      <c r="AR34">
        <f>AR$6</f>
        <v>0</v>
      </c>
      <c r="AS34" s="15">
        <v>0</v>
      </c>
    </row>
    <row r="35" spans="1:45" x14ac:dyDescent="0.25">
      <c r="A35" s="19"/>
      <c r="B35">
        <f t="shared" si="1"/>
        <v>30</v>
      </c>
      <c r="C35" t="b">
        <v>0</v>
      </c>
      <c r="D35" t="b">
        <v>0</v>
      </c>
      <c r="E35" t="b">
        <v>0</v>
      </c>
      <c r="F35" s="3" t="s">
        <v>54</v>
      </c>
      <c r="G35" t="str">
        <f t="shared" si="2"/>
        <v>-</v>
      </c>
      <c r="H35" t="b">
        <f>H$6</f>
        <v>0</v>
      </c>
      <c r="I35" t="b">
        <f>I$6</f>
        <v>1</v>
      </c>
      <c r="J35" t="str">
        <f>J$6</f>
        <v>-</v>
      </c>
      <c r="K35" t="str">
        <f>K$6</f>
        <v>-</v>
      </c>
      <c r="L35" t="str">
        <f>L$6</f>
        <v>-</v>
      </c>
      <c r="M35" t="str">
        <f>M$6</f>
        <v>-</v>
      </c>
      <c r="N35" t="str">
        <f>N$6</f>
        <v>-</v>
      </c>
      <c r="O35" t="str">
        <f>O$6</f>
        <v>-</v>
      </c>
      <c r="P35" t="str">
        <f>P$6</f>
        <v>-</v>
      </c>
      <c r="Q35" t="str">
        <f>Q$6</f>
        <v>-</v>
      </c>
      <c r="R35" t="str">
        <f>R$6</f>
        <v>-</v>
      </c>
      <c r="S35" t="str">
        <f>S$6</f>
        <v>-</v>
      </c>
      <c r="T35" t="str">
        <f>T$6</f>
        <v>-</v>
      </c>
      <c r="U35" t="str">
        <f>U$6</f>
        <v>-</v>
      </c>
      <c r="V35" t="str">
        <f>V$6</f>
        <v>-</v>
      </c>
      <c r="W35" t="str">
        <f>W$6</f>
        <v>-</v>
      </c>
      <c r="X35" s="22">
        <v>1600</v>
      </c>
      <c r="Y35" s="22" t="b">
        <v>1</v>
      </c>
      <c r="Z35" t="str">
        <f>Z$6</f>
        <v>-</v>
      </c>
      <c r="AA35" t="str">
        <f>AA$6</f>
        <v>-</v>
      </c>
      <c r="AB35" t="str">
        <f>AB$6</f>
        <v>-</v>
      </c>
      <c r="AC35">
        <f>AC$6</f>
        <v>1</v>
      </c>
      <c r="AD35">
        <f>AD$6</f>
        <v>1</v>
      </c>
      <c r="AE35">
        <f>AE$6</f>
        <v>1</v>
      </c>
      <c r="AF35">
        <f>AF$6</f>
        <v>1</v>
      </c>
      <c r="AG35">
        <f>AG$6</f>
        <v>1</v>
      </c>
      <c r="AH35">
        <f>AH$6</f>
        <v>1</v>
      </c>
      <c r="AI35">
        <f>AI$6</f>
        <v>1</v>
      </c>
      <c r="AJ35">
        <f>AJ$6</f>
        <v>1</v>
      </c>
      <c r="AK35">
        <f>AK$6</f>
        <v>1</v>
      </c>
      <c r="AL35">
        <f>AL$6</f>
        <v>1</v>
      </c>
      <c r="AM35">
        <f>AM$6</f>
        <v>1</v>
      </c>
      <c r="AN35">
        <f>AN$6</f>
        <v>1</v>
      </c>
      <c r="AO35">
        <f>AO$6</f>
        <v>0</v>
      </c>
      <c r="AP35">
        <f>AP$6</f>
        <v>0</v>
      </c>
      <c r="AQ35">
        <f>AQ$6</f>
        <v>0</v>
      </c>
      <c r="AR35">
        <f>AR$6</f>
        <v>0</v>
      </c>
      <c r="AS35" s="15">
        <v>0</v>
      </c>
    </row>
    <row r="36" spans="1:45" x14ac:dyDescent="0.25">
      <c r="A36" s="19"/>
      <c r="B36">
        <f t="shared" si="1"/>
        <v>31</v>
      </c>
      <c r="C36" t="b">
        <v>0</v>
      </c>
      <c r="D36" t="b">
        <v>1</v>
      </c>
      <c r="E36" t="b">
        <v>0</v>
      </c>
      <c r="F36" s="3" t="s">
        <v>55</v>
      </c>
      <c r="G36" t="str">
        <f t="shared" si="2"/>
        <v>-</v>
      </c>
      <c r="H36" s="22" t="b">
        <v>1</v>
      </c>
      <c r="I36" s="22" t="b">
        <v>1</v>
      </c>
      <c r="J36" t="str">
        <f>J$6</f>
        <v>-</v>
      </c>
      <c r="K36" t="str">
        <f>K$6</f>
        <v>-</v>
      </c>
      <c r="L36" t="str">
        <f>L$6</f>
        <v>-</v>
      </c>
      <c r="M36" t="str">
        <f>M$6</f>
        <v>-</v>
      </c>
      <c r="N36" t="str">
        <f>N$6</f>
        <v>-</v>
      </c>
      <c r="O36" t="str">
        <f>O$6</f>
        <v>-</v>
      </c>
      <c r="P36" t="str">
        <f>P$6</f>
        <v>-</v>
      </c>
      <c r="Q36" t="str">
        <f>Q$6</f>
        <v>-</v>
      </c>
      <c r="R36" t="str">
        <f>R$6</f>
        <v>-</v>
      </c>
      <c r="S36" t="str">
        <f>S$6</f>
        <v>-</v>
      </c>
      <c r="T36" t="str">
        <f>T$6</f>
        <v>-</v>
      </c>
      <c r="U36" t="str">
        <f>U$6</f>
        <v>-</v>
      </c>
      <c r="V36" t="str">
        <f>V$6</f>
        <v>-</v>
      </c>
      <c r="W36" t="str">
        <f>W$6</f>
        <v>-</v>
      </c>
      <c r="X36" t="str">
        <f>X$6</f>
        <v>-</v>
      </c>
      <c r="Y36" t="str">
        <f>Y$6</f>
        <v>-</v>
      </c>
      <c r="Z36" t="str">
        <f>Z$6</f>
        <v>-</v>
      </c>
      <c r="AA36" t="str">
        <f>AA$6</f>
        <v>-</v>
      </c>
      <c r="AB36" t="str">
        <f>AB$6</f>
        <v>-</v>
      </c>
      <c r="AC36">
        <f>AC$6</f>
        <v>1</v>
      </c>
      <c r="AD36">
        <f>AD$6</f>
        <v>1</v>
      </c>
      <c r="AE36">
        <f>AE$6</f>
        <v>1</v>
      </c>
      <c r="AF36">
        <f>AF$6</f>
        <v>1</v>
      </c>
      <c r="AG36">
        <f>AG$6</f>
        <v>1</v>
      </c>
      <c r="AH36">
        <f>AH$6</f>
        <v>1</v>
      </c>
      <c r="AI36">
        <f>AI$6</f>
        <v>1</v>
      </c>
      <c r="AJ36">
        <f>AJ$6</f>
        <v>1</v>
      </c>
      <c r="AK36">
        <f>AK$6</f>
        <v>1</v>
      </c>
      <c r="AL36">
        <f>AL$6</f>
        <v>1</v>
      </c>
      <c r="AM36">
        <f>AM$6</f>
        <v>1</v>
      </c>
      <c r="AN36">
        <f>AN$6</f>
        <v>1</v>
      </c>
      <c r="AO36">
        <f>AO$6</f>
        <v>0</v>
      </c>
      <c r="AP36">
        <f>AP$6</f>
        <v>0</v>
      </c>
      <c r="AQ36">
        <f>AQ$6</f>
        <v>0</v>
      </c>
      <c r="AR36">
        <f>AR$6</f>
        <v>0</v>
      </c>
      <c r="AS36" s="15">
        <v>0</v>
      </c>
    </row>
    <row r="37" spans="1:45" x14ac:dyDescent="0.25">
      <c r="A37" s="19"/>
      <c r="B37">
        <f t="shared" si="1"/>
        <v>32</v>
      </c>
      <c r="C37" t="b">
        <v>1</v>
      </c>
      <c r="D37" t="b">
        <v>1</v>
      </c>
      <c r="E37" t="b">
        <v>1</v>
      </c>
      <c r="F37" s="3" t="s">
        <v>60</v>
      </c>
      <c r="G37" t="str">
        <f t="shared" si="2"/>
        <v>-</v>
      </c>
      <c r="H37" s="22" t="b">
        <v>1</v>
      </c>
      <c r="I37" s="22" t="b">
        <v>0</v>
      </c>
      <c r="J37" t="str">
        <f>J$6</f>
        <v>-</v>
      </c>
      <c r="K37" t="str">
        <f>K$6</f>
        <v>-</v>
      </c>
      <c r="L37" t="str">
        <f>L$6</f>
        <v>-</v>
      </c>
      <c r="M37" t="str">
        <f>M$6</f>
        <v>-</v>
      </c>
      <c r="N37" t="str">
        <f>N$6</f>
        <v>-</v>
      </c>
      <c r="O37" t="str">
        <f>O$6</f>
        <v>-</v>
      </c>
      <c r="P37" t="str">
        <f>P$6</f>
        <v>-</v>
      </c>
      <c r="Q37" t="str">
        <f>Q$6</f>
        <v>-</v>
      </c>
      <c r="R37" t="str">
        <f>R$6</f>
        <v>-</v>
      </c>
      <c r="S37" t="str">
        <f>S$6</f>
        <v>-</v>
      </c>
      <c r="T37" t="str">
        <f>T$6</f>
        <v>-</v>
      </c>
      <c r="U37" t="str">
        <f>U$6</f>
        <v>-</v>
      </c>
      <c r="V37" t="str">
        <f>V$6</f>
        <v>-</v>
      </c>
      <c r="W37" t="str">
        <f>W$6</f>
        <v>-</v>
      </c>
      <c r="X37" t="str">
        <f>X$6</f>
        <v>-</v>
      </c>
      <c r="Y37" t="str">
        <f>Y$6</f>
        <v>-</v>
      </c>
      <c r="Z37" s="22" t="b">
        <v>1</v>
      </c>
      <c r="AA37" s="22" t="b">
        <v>0</v>
      </c>
      <c r="AB37" s="22" t="b">
        <v>1</v>
      </c>
      <c r="AC37">
        <f>AC$6</f>
        <v>1</v>
      </c>
      <c r="AD37">
        <f>AD$6</f>
        <v>1</v>
      </c>
      <c r="AE37">
        <f>AE$6</f>
        <v>1</v>
      </c>
      <c r="AF37">
        <f>AF$6</f>
        <v>1</v>
      </c>
      <c r="AG37">
        <f>AG$6</f>
        <v>1</v>
      </c>
      <c r="AH37">
        <f>AH$6</f>
        <v>1</v>
      </c>
      <c r="AI37">
        <f>AI$6</f>
        <v>1</v>
      </c>
      <c r="AJ37">
        <f>AJ$6</f>
        <v>1</v>
      </c>
      <c r="AK37">
        <f>AK$6</f>
        <v>1</v>
      </c>
      <c r="AL37">
        <f>AL$6</f>
        <v>1</v>
      </c>
      <c r="AM37">
        <f>AM$6</f>
        <v>1</v>
      </c>
      <c r="AN37">
        <f>AN$6</f>
        <v>1</v>
      </c>
      <c r="AO37">
        <f>AO$6</f>
        <v>0</v>
      </c>
      <c r="AP37">
        <f>AP$6</f>
        <v>0</v>
      </c>
      <c r="AQ37">
        <f>AQ$6</f>
        <v>0</v>
      </c>
      <c r="AR37">
        <f>AR$6</f>
        <v>0</v>
      </c>
      <c r="AS37" s="15">
        <v>0</v>
      </c>
    </row>
    <row r="38" spans="1:45" x14ac:dyDescent="0.25">
      <c r="A38" s="19"/>
      <c r="B38">
        <f t="shared" si="1"/>
        <v>33</v>
      </c>
      <c r="C38" t="b">
        <v>0</v>
      </c>
      <c r="D38" t="b">
        <v>1</v>
      </c>
      <c r="E38" t="b">
        <v>0</v>
      </c>
      <c r="F38" s="3" t="s">
        <v>61</v>
      </c>
      <c r="G38" t="str">
        <f t="shared" si="2"/>
        <v>-</v>
      </c>
      <c r="H38" s="22" t="b">
        <v>0</v>
      </c>
      <c r="I38" s="22" t="b">
        <v>1</v>
      </c>
      <c r="J38" t="str">
        <f>J$6</f>
        <v>-</v>
      </c>
      <c r="K38" t="str">
        <f>K$6</f>
        <v>-</v>
      </c>
      <c r="L38" t="str">
        <f>L$6</f>
        <v>-</v>
      </c>
      <c r="M38" t="str">
        <f>M$6</f>
        <v>-</v>
      </c>
      <c r="N38" t="str">
        <f>N$6</f>
        <v>-</v>
      </c>
      <c r="O38" t="str">
        <f>O$6</f>
        <v>-</v>
      </c>
      <c r="P38" t="str">
        <f>P$6</f>
        <v>-</v>
      </c>
      <c r="Q38" t="str">
        <f>Q$6</f>
        <v>-</v>
      </c>
      <c r="R38" t="str">
        <f>R$6</f>
        <v>-</v>
      </c>
      <c r="S38" t="str">
        <f>S$6</f>
        <v>-</v>
      </c>
      <c r="T38" t="str">
        <f>T$6</f>
        <v>-</v>
      </c>
      <c r="U38" t="str">
        <f>U$6</f>
        <v>-</v>
      </c>
      <c r="V38" t="str">
        <f>V$6</f>
        <v>-</v>
      </c>
      <c r="W38" t="str">
        <f>W$6</f>
        <v>-</v>
      </c>
      <c r="X38" t="str">
        <f>X$6</f>
        <v>-</v>
      </c>
      <c r="Y38" t="str">
        <f>Y$6</f>
        <v>-</v>
      </c>
      <c r="Z38" t="str">
        <f>Z$6</f>
        <v>-</v>
      </c>
      <c r="AA38" t="str">
        <f>AA$6</f>
        <v>-</v>
      </c>
      <c r="AB38" t="str">
        <f>AB$6</f>
        <v>-</v>
      </c>
      <c r="AC38">
        <f>AC$6</f>
        <v>1</v>
      </c>
      <c r="AD38">
        <f>AD$6</f>
        <v>1</v>
      </c>
      <c r="AE38">
        <f>AE$6</f>
        <v>1</v>
      </c>
      <c r="AF38">
        <f>AF$6</f>
        <v>1</v>
      </c>
      <c r="AG38">
        <f>AG$6</f>
        <v>1</v>
      </c>
      <c r="AH38">
        <f>AH$6</f>
        <v>1</v>
      </c>
      <c r="AI38">
        <f>AI$6</f>
        <v>1</v>
      </c>
      <c r="AJ38">
        <f>AJ$6</f>
        <v>1</v>
      </c>
      <c r="AK38">
        <f>AK$6</f>
        <v>1</v>
      </c>
      <c r="AL38">
        <f>AL$6</f>
        <v>1</v>
      </c>
      <c r="AM38">
        <f>AM$6</f>
        <v>1</v>
      </c>
      <c r="AN38">
        <f>AN$6</f>
        <v>1</v>
      </c>
      <c r="AO38">
        <f>AO$6</f>
        <v>0</v>
      </c>
      <c r="AP38">
        <f>AP$6</f>
        <v>0</v>
      </c>
      <c r="AQ38">
        <f>AQ$6</f>
        <v>0</v>
      </c>
      <c r="AR38">
        <f>AR$6</f>
        <v>0</v>
      </c>
      <c r="AS38" s="15">
        <v>0</v>
      </c>
    </row>
    <row r="39" spans="1:45" x14ac:dyDescent="0.25">
      <c r="A39" s="19"/>
      <c r="B39">
        <f t="shared" si="1"/>
        <v>34</v>
      </c>
      <c r="C39" t="b">
        <v>0</v>
      </c>
      <c r="D39" t="b">
        <v>0</v>
      </c>
      <c r="E39" t="b">
        <v>0</v>
      </c>
      <c r="F39" s="3" t="s">
        <v>59</v>
      </c>
      <c r="G39" t="str">
        <f t="shared" si="2"/>
        <v>-</v>
      </c>
      <c r="H39" t="b">
        <f>H$6</f>
        <v>0</v>
      </c>
      <c r="I39" t="b">
        <f>I$6</f>
        <v>1</v>
      </c>
      <c r="J39" t="str">
        <f>J$6</f>
        <v>-</v>
      </c>
      <c r="K39" t="str">
        <f>K$6</f>
        <v>-</v>
      </c>
      <c r="L39" s="22" t="b">
        <v>1</v>
      </c>
      <c r="M39" t="str">
        <f>M$6</f>
        <v>-</v>
      </c>
      <c r="N39" t="str">
        <f>N$6</f>
        <v>-</v>
      </c>
      <c r="O39" t="str">
        <f>O$6</f>
        <v>-</v>
      </c>
      <c r="P39" t="str">
        <f>P$6</f>
        <v>-</v>
      </c>
      <c r="Q39" t="str">
        <f>Q$6</f>
        <v>-</v>
      </c>
      <c r="R39" t="str">
        <f>R$6</f>
        <v>-</v>
      </c>
      <c r="S39" t="str">
        <f>S$6</f>
        <v>-</v>
      </c>
      <c r="T39" t="str">
        <f>T$6</f>
        <v>-</v>
      </c>
      <c r="U39" t="str">
        <f>U$6</f>
        <v>-</v>
      </c>
      <c r="V39" t="str">
        <f>V$6</f>
        <v>-</v>
      </c>
      <c r="W39" t="str">
        <f>W$6</f>
        <v>-</v>
      </c>
      <c r="X39" t="str">
        <f>X$6</f>
        <v>-</v>
      </c>
      <c r="Y39" t="str">
        <f>Y$6</f>
        <v>-</v>
      </c>
      <c r="Z39" t="str">
        <f>Z$6</f>
        <v>-</v>
      </c>
      <c r="AA39" t="str">
        <f>AA$6</f>
        <v>-</v>
      </c>
      <c r="AB39" t="str">
        <f>AB$6</f>
        <v>-</v>
      </c>
      <c r="AC39">
        <f>AC$6</f>
        <v>1</v>
      </c>
      <c r="AD39">
        <f>AD$6</f>
        <v>1</v>
      </c>
      <c r="AE39">
        <f>AE$6</f>
        <v>1</v>
      </c>
      <c r="AF39">
        <f>AF$6</f>
        <v>1</v>
      </c>
      <c r="AG39">
        <f>AG$6</f>
        <v>1</v>
      </c>
      <c r="AH39">
        <f>AH$6</f>
        <v>1</v>
      </c>
      <c r="AI39">
        <f>AI$6</f>
        <v>1</v>
      </c>
      <c r="AJ39">
        <f>AJ$6</f>
        <v>1</v>
      </c>
      <c r="AK39">
        <f>AK$6</f>
        <v>1</v>
      </c>
      <c r="AL39">
        <f>AL$6</f>
        <v>1</v>
      </c>
      <c r="AM39">
        <f>AM$6</f>
        <v>1</v>
      </c>
      <c r="AN39">
        <f>AN$6</f>
        <v>1</v>
      </c>
      <c r="AO39">
        <f>AO$6</f>
        <v>0</v>
      </c>
      <c r="AP39">
        <f>AP$6</f>
        <v>0</v>
      </c>
      <c r="AQ39">
        <f>AQ$6</f>
        <v>0</v>
      </c>
      <c r="AR39">
        <f>AR$6</f>
        <v>0</v>
      </c>
      <c r="AS39" s="15">
        <v>0</v>
      </c>
    </row>
    <row r="40" spans="1:45" x14ac:dyDescent="0.25">
      <c r="A40" s="19"/>
      <c r="B40">
        <f t="shared" si="1"/>
        <v>35</v>
      </c>
      <c r="C40" t="b">
        <v>0</v>
      </c>
      <c r="D40" t="b">
        <v>1</v>
      </c>
      <c r="E40" t="b">
        <v>0</v>
      </c>
      <c r="F40" s="3" t="s">
        <v>68</v>
      </c>
      <c r="G40" t="str">
        <f t="shared" si="2"/>
        <v>-</v>
      </c>
      <c r="H40" s="22" t="b">
        <v>1</v>
      </c>
      <c r="I40" s="22" t="b">
        <v>0</v>
      </c>
      <c r="J40" t="str">
        <f>J$6</f>
        <v>-</v>
      </c>
      <c r="K40" t="str">
        <f>K$6</f>
        <v>-</v>
      </c>
      <c r="L40" t="str">
        <f>L$6</f>
        <v>-</v>
      </c>
      <c r="M40" t="str">
        <f>M$6</f>
        <v>-</v>
      </c>
      <c r="N40" t="str">
        <f>N$6</f>
        <v>-</v>
      </c>
      <c r="O40" t="str">
        <f>O$6</f>
        <v>-</v>
      </c>
      <c r="P40" t="str">
        <f>P$6</f>
        <v>-</v>
      </c>
      <c r="Q40" t="str">
        <f>Q$6</f>
        <v>-</v>
      </c>
      <c r="R40" t="str">
        <f>R$6</f>
        <v>-</v>
      </c>
      <c r="S40" t="str">
        <f>S$6</f>
        <v>-</v>
      </c>
      <c r="T40" t="str">
        <f>T$6</f>
        <v>-</v>
      </c>
      <c r="U40" t="str">
        <f>U$6</f>
        <v>-</v>
      </c>
      <c r="V40" t="str">
        <f>V$6</f>
        <v>-</v>
      </c>
      <c r="W40" t="str">
        <f>W$6</f>
        <v>-</v>
      </c>
      <c r="X40" t="str">
        <f>X$6</f>
        <v>-</v>
      </c>
      <c r="Y40" t="str">
        <f>Y$6</f>
        <v>-</v>
      </c>
      <c r="Z40" s="22" t="b">
        <v>1</v>
      </c>
      <c r="AA40" s="22" t="b">
        <v>0</v>
      </c>
      <c r="AB40" s="22" t="b">
        <v>1</v>
      </c>
      <c r="AC40">
        <f>AC$6</f>
        <v>1</v>
      </c>
      <c r="AD40">
        <f>AD$6</f>
        <v>1</v>
      </c>
      <c r="AE40">
        <f>AE$6</f>
        <v>1</v>
      </c>
      <c r="AF40">
        <f>AF$6</f>
        <v>1</v>
      </c>
      <c r="AG40">
        <f>AG$6</f>
        <v>1</v>
      </c>
      <c r="AH40">
        <f>AH$6</f>
        <v>1</v>
      </c>
      <c r="AI40">
        <f>AI$6</f>
        <v>1</v>
      </c>
      <c r="AJ40">
        <f>AJ$6</f>
        <v>1</v>
      </c>
      <c r="AK40">
        <f>AK$6</f>
        <v>1</v>
      </c>
      <c r="AL40">
        <f>AL$6</f>
        <v>1</v>
      </c>
      <c r="AM40">
        <f>AM$6</f>
        <v>1</v>
      </c>
      <c r="AN40">
        <f>AN$6</f>
        <v>1</v>
      </c>
      <c r="AO40">
        <f>AO$6</f>
        <v>0</v>
      </c>
      <c r="AP40">
        <f>AP$6</f>
        <v>0</v>
      </c>
      <c r="AQ40">
        <f>AQ$6</f>
        <v>0</v>
      </c>
      <c r="AR40">
        <f>AR$6</f>
        <v>0</v>
      </c>
      <c r="AS40" s="15">
        <v>0</v>
      </c>
    </row>
    <row r="41" spans="1:45" x14ac:dyDescent="0.25">
      <c r="A41" s="19"/>
      <c r="B41">
        <f t="shared" si="1"/>
        <v>36</v>
      </c>
      <c r="C41" t="b">
        <v>0</v>
      </c>
      <c r="D41" t="b">
        <v>1</v>
      </c>
      <c r="E41" t="b">
        <v>0</v>
      </c>
      <c r="F41" s="3" t="s">
        <v>74</v>
      </c>
      <c r="G41" t="str">
        <f t="shared" si="2"/>
        <v>-</v>
      </c>
      <c r="H41" t="b">
        <f t="shared" si="2"/>
        <v>0</v>
      </c>
      <c r="I41" t="b">
        <f t="shared" si="2"/>
        <v>1</v>
      </c>
      <c r="J41" t="str">
        <f>J$6</f>
        <v>-</v>
      </c>
      <c r="K41" t="str">
        <f>K$6</f>
        <v>-</v>
      </c>
      <c r="L41" t="str">
        <f>L$6</f>
        <v>-</v>
      </c>
      <c r="M41" t="str">
        <f>M$6</f>
        <v>-</v>
      </c>
      <c r="N41" t="str">
        <f>N$6</f>
        <v>-</v>
      </c>
      <c r="O41" t="str">
        <f>O$6</f>
        <v>-</v>
      </c>
      <c r="P41" t="str">
        <f>P$6</f>
        <v>-</v>
      </c>
      <c r="Q41" t="str">
        <f>Q$6</f>
        <v>-</v>
      </c>
      <c r="R41" t="str">
        <f>R$6</f>
        <v>-</v>
      </c>
      <c r="S41" t="str">
        <f>S$6</f>
        <v>-</v>
      </c>
      <c r="T41" t="str">
        <f>T$6</f>
        <v>-</v>
      </c>
      <c r="U41" t="str">
        <f>U$6</f>
        <v>-</v>
      </c>
      <c r="V41" t="str">
        <f>V$6</f>
        <v>-</v>
      </c>
      <c r="W41" t="str">
        <f>W$6</f>
        <v>-</v>
      </c>
      <c r="X41" t="str">
        <f>X$6</f>
        <v>-</v>
      </c>
      <c r="Y41" t="str">
        <f>Y$6</f>
        <v>-</v>
      </c>
      <c r="Z41" s="22" t="b">
        <v>1</v>
      </c>
      <c r="AA41" s="22" t="b">
        <v>0</v>
      </c>
      <c r="AB41" s="22" t="b">
        <v>1</v>
      </c>
      <c r="AC41">
        <f>AC$6</f>
        <v>1</v>
      </c>
      <c r="AD41">
        <f>AD$6</f>
        <v>1</v>
      </c>
      <c r="AE41">
        <f>AE$6</f>
        <v>1</v>
      </c>
      <c r="AF41">
        <f>AF$6</f>
        <v>1</v>
      </c>
      <c r="AG41">
        <f>AG$6</f>
        <v>1</v>
      </c>
      <c r="AH41">
        <f>AH$6</f>
        <v>1</v>
      </c>
      <c r="AI41">
        <f>AI$6</f>
        <v>1</v>
      </c>
      <c r="AJ41">
        <f>AJ$6</f>
        <v>1</v>
      </c>
      <c r="AK41">
        <f>AK$6</f>
        <v>1</v>
      </c>
      <c r="AL41">
        <f>AL$6</f>
        <v>1</v>
      </c>
      <c r="AM41">
        <f>AM$6</f>
        <v>1</v>
      </c>
      <c r="AN41">
        <f>AN$6</f>
        <v>1</v>
      </c>
      <c r="AO41">
        <f>AO$6</f>
        <v>0</v>
      </c>
      <c r="AP41">
        <f>AP$6</f>
        <v>0</v>
      </c>
      <c r="AQ41">
        <f>AQ$6</f>
        <v>0</v>
      </c>
      <c r="AR41">
        <f>AR$6</f>
        <v>0</v>
      </c>
      <c r="AS41" s="15">
        <v>0</v>
      </c>
    </row>
    <row r="42" spans="1:45" x14ac:dyDescent="0.25">
      <c r="A42" s="19"/>
      <c r="B42">
        <f t="shared" si="1"/>
        <v>37</v>
      </c>
      <c r="C42" t="b">
        <v>0</v>
      </c>
      <c r="D42" t="b">
        <v>1</v>
      </c>
      <c r="E42" t="b">
        <v>0</v>
      </c>
      <c r="F42" s="3" t="s">
        <v>75</v>
      </c>
      <c r="G42" t="str">
        <f t="shared" si="2"/>
        <v>-</v>
      </c>
      <c r="H42" t="b">
        <f t="shared" si="2"/>
        <v>0</v>
      </c>
      <c r="I42" t="b">
        <f t="shared" si="2"/>
        <v>1</v>
      </c>
      <c r="J42" t="str">
        <f>J$6</f>
        <v>-</v>
      </c>
      <c r="K42" t="str">
        <f>K$6</f>
        <v>-</v>
      </c>
      <c r="L42" t="str">
        <f>L$6</f>
        <v>-</v>
      </c>
      <c r="M42" t="str">
        <f>M$6</f>
        <v>-</v>
      </c>
      <c r="N42" t="str">
        <f>N$6</f>
        <v>-</v>
      </c>
      <c r="O42" s="22">
        <v>1</v>
      </c>
      <c r="P42" s="22">
        <v>1</v>
      </c>
      <c r="Q42" s="22">
        <v>1</v>
      </c>
      <c r="R42" s="22">
        <v>1</v>
      </c>
      <c r="S42" s="22">
        <v>1</v>
      </c>
      <c r="T42" s="22">
        <v>1</v>
      </c>
      <c r="U42" s="22">
        <v>1</v>
      </c>
      <c r="V42" s="22">
        <v>1</v>
      </c>
      <c r="W42" t="str">
        <f>W$6</f>
        <v>-</v>
      </c>
      <c r="X42" t="str">
        <f>X$6</f>
        <v>-</v>
      </c>
      <c r="Y42" t="str">
        <f>Y$6</f>
        <v>-</v>
      </c>
      <c r="Z42" s="22" t="b">
        <v>1</v>
      </c>
      <c r="AA42" s="22" t="b">
        <v>0</v>
      </c>
      <c r="AB42" s="22" t="b">
        <v>1</v>
      </c>
      <c r="AC42">
        <f>AC$6</f>
        <v>1</v>
      </c>
      <c r="AD42">
        <f>AD$6</f>
        <v>1</v>
      </c>
      <c r="AE42">
        <f>AE$6</f>
        <v>1</v>
      </c>
      <c r="AF42">
        <f>AF$6</f>
        <v>1</v>
      </c>
      <c r="AG42">
        <f>AG$6</f>
        <v>1</v>
      </c>
      <c r="AH42">
        <f>AH$6</f>
        <v>1</v>
      </c>
      <c r="AI42">
        <f>AI$6</f>
        <v>1</v>
      </c>
      <c r="AJ42">
        <f>AJ$6</f>
        <v>1</v>
      </c>
      <c r="AK42">
        <f>AK$6</f>
        <v>1</v>
      </c>
      <c r="AL42">
        <f>AL$6</f>
        <v>1</v>
      </c>
      <c r="AM42">
        <f>AM$6</f>
        <v>1</v>
      </c>
      <c r="AN42">
        <f>AN$6</f>
        <v>1</v>
      </c>
      <c r="AO42">
        <f>AO$6</f>
        <v>0</v>
      </c>
      <c r="AP42">
        <f>AP$6</f>
        <v>0</v>
      </c>
      <c r="AQ42">
        <f>AQ$6</f>
        <v>0</v>
      </c>
      <c r="AR42">
        <f>AR$6</f>
        <v>0</v>
      </c>
      <c r="AS42" s="15">
        <v>0</v>
      </c>
    </row>
    <row r="43" spans="1:45" x14ac:dyDescent="0.25">
      <c r="A43" s="19"/>
      <c r="B43">
        <f t="shared" si="1"/>
        <v>38</v>
      </c>
      <c r="C43" t="b">
        <v>0</v>
      </c>
      <c r="D43" t="b">
        <v>1</v>
      </c>
      <c r="E43" t="b">
        <v>0</v>
      </c>
      <c r="F43" s="3" t="s">
        <v>77</v>
      </c>
      <c r="G43" t="str">
        <f t="shared" si="2"/>
        <v>-</v>
      </c>
      <c r="H43" t="b">
        <f t="shared" si="2"/>
        <v>0</v>
      </c>
      <c r="I43" t="b">
        <f t="shared" si="2"/>
        <v>1</v>
      </c>
      <c r="J43" t="str">
        <f>J$6</f>
        <v>-</v>
      </c>
      <c r="K43" t="str">
        <f>K$6</f>
        <v>-</v>
      </c>
      <c r="L43" t="str">
        <f>L$6</f>
        <v>-</v>
      </c>
      <c r="M43" t="str">
        <f>M$6</f>
        <v>-</v>
      </c>
      <c r="N43" t="str">
        <f>N$6</f>
        <v>-</v>
      </c>
      <c r="O43" s="22">
        <v>1</v>
      </c>
      <c r="P43" s="22">
        <v>1</v>
      </c>
      <c r="Q43" s="22">
        <v>1</v>
      </c>
      <c r="R43" s="22">
        <v>1</v>
      </c>
      <c r="S43" s="22">
        <v>1</v>
      </c>
      <c r="T43" s="22">
        <v>1</v>
      </c>
      <c r="U43" s="22">
        <v>1</v>
      </c>
      <c r="V43" s="22">
        <v>1</v>
      </c>
      <c r="W43" t="str">
        <f>W$6</f>
        <v>-</v>
      </c>
      <c r="X43" t="str">
        <f>X$6</f>
        <v>-</v>
      </c>
      <c r="Y43" t="str">
        <f>Y$6</f>
        <v>-</v>
      </c>
      <c r="Z43" s="22" t="b">
        <v>1</v>
      </c>
      <c r="AA43" s="22" t="b">
        <v>0</v>
      </c>
      <c r="AB43" s="22" t="b">
        <v>1</v>
      </c>
      <c r="AC43">
        <f>AC$6</f>
        <v>1</v>
      </c>
      <c r="AD43">
        <f>AD$6</f>
        <v>1</v>
      </c>
      <c r="AE43">
        <f>AE$6</f>
        <v>1</v>
      </c>
      <c r="AF43">
        <f>AF$6</f>
        <v>1</v>
      </c>
      <c r="AG43">
        <f>AG$6</f>
        <v>1</v>
      </c>
      <c r="AH43">
        <f>AH$6</f>
        <v>1</v>
      </c>
      <c r="AI43">
        <f>AI$6</f>
        <v>1</v>
      </c>
      <c r="AJ43">
        <f>AJ$6</f>
        <v>1</v>
      </c>
      <c r="AK43">
        <f>AK$6</f>
        <v>1</v>
      </c>
      <c r="AL43">
        <f>AL$6</f>
        <v>1</v>
      </c>
      <c r="AM43">
        <f>AM$6</f>
        <v>1</v>
      </c>
      <c r="AN43">
        <f>AN$6</f>
        <v>1</v>
      </c>
      <c r="AO43">
        <f>AO$6</f>
        <v>0</v>
      </c>
      <c r="AP43">
        <f>AP$6</f>
        <v>0</v>
      </c>
      <c r="AQ43">
        <f>AQ$6</f>
        <v>0</v>
      </c>
      <c r="AR43">
        <f>AR$6</f>
        <v>0</v>
      </c>
      <c r="AS43" s="15">
        <v>0</v>
      </c>
    </row>
    <row r="44" spans="1:45" x14ac:dyDescent="0.25">
      <c r="A44" s="19"/>
      <c r="B44">
        <f t="shared" si="1"/>
        <v>39</v>
      </c>
      <c r="C44" t="b">
        <v>0</v>
      </c>
      <c r="D44" t="b">
        <v>1</v>
      </c>
      <c r="E44" t="b">
        <v>0</v>
      </c>
      <c r="F44" s="3" t="s">
        <v>76</v>
      </c>
      <c r="G44" t="str">
        <f t="shared" si="2"/>
        <v>-</v>
      </c>
      <c r="H44" t="b">
        <f t="shared" si="2"/>
        <v>0</v>
      </c>
      <c r="I44" t="b">
        <f t="shared" si="2"/>
        <v>1</v>
      </c>
      <c r="J44" t="str">
        <f>J$6</f>
        <v>-</v>
      </c>
      <c r="K44" t="str">
        <f>K$6</f>
        <v>-</v>
      </c>
      <c r="L44" t="str">
        <f>L$6</f>
        <v>-</v>
      </c>
      <c r="M44" t="str">
        <f>M$6</f>
        <v>-</v>
      </c>
      <c r="N44" t="str">
        <f>N$6</f>
        <v>-</v>
      </c>
      <c r="O44" s="22">
        <v>1</v>
      </c>
      <c r="P44" s="22">
        <v>1</v>
      </c>
      <c r="Q44" s="22">
        <v>1</v>
      </c>
      <c r="R44" s="22">
        <v>1</v>
      </c>
      <c r="S44" s="22">
        <v>1</v>
      </c>
      <c r="T44" s="22">
        <v>1</v>
      </c>
      <c r="U44" s="22">
        <v>1</v>
      </c>
      <c r="V44" s="22">
        <v>1</v>
      </c>
      <c r="W44" t="str">
        <f>W$6</f>
        <v>-</v>
      </c>
      <c r="X44" t="str">
        <f>X$6</f>
        <v>-</v>
      </c>
      <c r="Y44" t="str">
        <f>Y$6</f>
        <v>-</v>
      </c>
      <c r="Z44" s="22" t="b">
        <v>1</v>
      </c>
      <c r="AA44" s="22" t="b">
        <v>0</v>
      </c>
      <c r="AB44" s="22" t="b">
        <v>1</v>
      </c>
      <c r="AC44">
        <f>AC$6</f>
        <v>1</v>
      </c>
      <c r="AD44">
        <f>AD$6</f>
        <v>1</v>
      </c>
      <c r="AE44">
        <f>AE$6</f>
        <v>1</v>
      </c>
      <c r="AF44">
        <f>AF$6</f>
        <v>1</v>
      </c>
      <c r="AG44">
        <f>AG$6</f>
        <v>1</v>
      </c>
      <c r="AH44">
        <f>AH$6</f>
        <v>1</v>
      </c>
      <c r="AI44">
        <f>AI$6</f>
        <v>1</v>
      </c>
      <c r="AJ44">
        <f>AJ$6</f>
        <v>1</v>
      </c>
      <c r="AK44">
        <f>AK$6</f>
        <v>1</v>
      </c>
      <c r="AL44">
        <f>AL$6</f>
        <v>1</v>
      </c>
      <c r="AM44">
        <f>AM$6</f>
        <v>1</v>
      </c>
      <c r="AN44">
        <f>AN$6</f>
        <v>1</v>
      </c>
      <c r="AO44">
        <f>AO$6</f>
        <v>0</v>
      </c>
      <c r="AP44">
        <f>AP$6</f>
        <v>0</v>
      </c>
      <c r="AQ44">
        <f>AQ$6</f>
        <v>0</v>
      </c>
      <c r="AR44">
        <f>AR$6</f>
        <v>0</v>
      </c>
      <c r="AS44" s="15">
        <v>0</v>
      </c>
    </row>
    <row r="45" spans="1:45" x14ac:dyDescent="0.25">
      <c r="A45" s="19"/>
      <c r="B45">
        <f t="shared" si="1"/>
        <v>40</v>
      </c>
      <c r="C45" t="b">
        <v>1</v>
      </c>
      <c r="D45" t="b">
        <v>1</v>
      </c>
      <c r="E45" t="b">
        <v>1</v>
      </c>
      <c r="F45" s="3" t="s">
        <v>81</v>
      </c>
      <c r="G45" t="str">
        <f t="shared" si="2"/>
        <v>-</v>
      </c>
      <c r="H45" t="b">
        <f t="shared" si="2"/>
        <v>0</v>
      </c>
      <c r="I45" t="b">
        <f t="shared" si="2"/>
        <v>1</v>
      </c>
      <c r="J45" t="str">
        <f>J$6</f>
        <v>-</v>
      </c>
      <c r="K45" t="str">
        <f>K$6</f>
        <v>-</v>
      </c>
      <c r="L45" t="str">
        <f>L$6</f>
        <v>-</v>
      </c>
      <c r="M45" t="str">
        <f>M$6</f>
        <v>-</v>
      </c>
      <c r="N45" t="str">
        <f>N$6</f>
        <v>-</v>
      </c>
      <c r="O45" s="22">
        <v>1</v>
      </c>
      <c r="P45" s="22">
        <v>1</v>
      </c>
      <c r="Q45" s="22">
        <v>1</v>
      </c>
      <c r="R45" s="22">
        <v>1</v>
      </c>
      <c r="S45" s="22">
        <v>1</v>
      </c>
      <c r="T45" s="22">
        <v>1</v>
      </c>
      <c r="U45" s="22">
        <v>1</v>
      </c>
      <c r="V45" s="22">
        <v>1</v>
      </c>
      <c r="W45" t="str">
        <f>W$6</f>
        <v>-</v>
      </c>
      <c r="X45" t="str">
        <f>X$6</f>
        <v>-</v>
      </c>
      <c r="Y45" t="str">
        <f>Y$6</f>
        <v>-</v>
      </c>
      <c r="Z45" s="22" t="b">
        <v>1</v>
      </c>
      <c r="AA45" s="22" t="b">
        <v>0</v>
      </c>
      <c r="AB45" s="22" t="b">
        <v>1</v>
      </c>
      <c r="AC45">
        <f>AC$6</f>
        <v>1</v>
      </c>
      <c r="AD45">
        <f>AD$6</f>
        <v>1</v>
      </c>
      <c r="AE45">
        <f>AE$6</f>
        <v>1</v>
      </c>
      <c r="AF45">
        <f>AF$6</f>
        <v>1</v>
      </c>
      <c r="AG45">
        <f>AG$6</f>
        <v>1</v>
      </c>
      <c r="AH45">
        <f>AH$6</f>
        <v>1</v>
      </c>
      <c r="AI45">
        <f>AI$6</f>
        <v>1</v>
      </c>
      <c r="AJ45">
        <f>AJ$6</f>
        <v>1</v>
      </c>
      <c r="AK45">
        <f>AK$6</f>
        <v>1</v>
      </c>
      <c r="AL45">
        <f>AL$6</f>
        <v>1</v>
      </c>
      <c r="AM45">
        <f>AM$6</f>
        <v>1</v>
      </c>
      <c r="AN45">
        <f>AN$6</f>
        <v>1</v>
      </c>
      <c r="AO45">
        <f>AO$6</f>
        <v>0</v>
      </c>
      <c r="AP45">
        <f>AP$6</f>
        <v>0</v>
      </c>
      <c r="AQ45">
        <f>AQ$6</f>
        <v>0</v>
      </c>
      <c r="AR45">
        <f>AR$6</f>
        <v>0</v>
      </c>
      <c r="AS45" s="15">
        <v>0</v>
      </c>
    </row>
    <row r="46" spans="1:45" ht="6.75" customHeight="1" x14ac:dyDescent="0.25">
      <c r="A46" s="20">
        <v>44273.922303240739</v>
      </c>
      <c r="B46" s="15">
        <f t="shared" si="1"/>
        <v>41</v>
      </c>
      <c r="C46" s="15" t="b">
        <v>0</v>
      </c>
      <c r="D46" s="15" t="b">
        <v>0</v>
      </c>
      <c r="E46" s="15" t="b">
        <v>0</v>
      </c>
      <c r="F46" s="15" t="s">
        <v>80</v>
      </c>
      <c r="G46" s="15" t="str">
        <f>G$5</f>
        <v>-</v>
      </c>
      <c r="H46" s="15" t="str">
        <f t="shared" ref="H46:I46" si="3">H$5</f>
        <v>-</v>
      </c>
      <c r="I46" s="15" t="str">
        <f t="shared" si="3"/>
        <v>-</v>
      </c>
      <c r="J46" s="15" t="str">
        <f t="shared" ref="G43:K46" si="4">J$5</f>
        <v>-</v>
      </c>
      <c r="K46" s="15" t="str">
        <f t="shared" si="4"/>
        <v>-</v>
      </c>
      <c r="L46" s="15" t="str">
        <f t="shared" ref="L42:AR46" si="5">L$5</f>
        <v>-</v>
      </c>
      <c r="M46" s="15" t="str">
        <f t="shared" si="5"/>
        <v>-</v>
      </c>
      <c r="N46" s="15" t="str">
        <f t="shared" si="5"/>
        <v>-</v>
      </c>
      <c r="O46" s="15" t="str">
        <f t="shared" si="5"/>
        <v>-</v>
      </c>
      <c r="P46" s="15" t="str">
        <f t="shared" si="5"/>
        <v>-</v>
      </c>
      <c r="Q46" s="15" t="str">
        <f t="shared" si="5"/>
        <v>-</v>
      </c>
      <c r="R46" s="15" t="str">
        <f t="shared" si="5"/>
        <v>-</v>
      </c>
      <c r="S46" s="15" t="str">
        <f t="shared" si="5"/>
        <v>-</v>
      </c>
      <c r="T46" s="15" t="str">
        <f t="shared" si="5"/>
        <v>-</v>
      </c>
      <c r="U46" s="15" t="str">
        <f t="shared" si="5"/>
        <v>-</v>
      </c>
      <c r="V46" s="15" t="str">
        <f t="shared" si="5"/>
        <v>-</v>
      </c>
      <c r="W46" s="15" t="str">
        <f t="shared" si="5"/>
        <v>-</v>
      </c>
      <c r="X46" s="15" t="str">
        <f t="shared" si="5"/>
        <v>-</v>
      </c>
      <c r="Y46" s="15" t="str">
        <f t="shared" si="5"/>
        <v>-</v>
      </c>
      <c r="Z46" s="15" t="str">
        <f t="shared" si="5"/>
        <v>-</v>
      </c>
      <c r="AA46" s="15" t="str">
        <f t="shared" si="5"/>
        <v>-</v>
      </c>
      <c r="AB46" s="15" t="str">
        <f t="shared" si="5"/>
        <v>-</v>
      </c>
      <c r="AC46" s="15">
        <f t="shared" si="5"/>
        <v>1</v>
      </c>
      <c r="AD46" s="15">
        <f t="shared" si="5"/>
        <v>1</v>
      </c>
      <c r="AE46" s="15">
        <f t="shared" si="5"/>
        <v>1</v>
      </c>
      <c r="AF46" s="15">
        <f t="shared" si="5"/>
        <v>1</v>
      </c>
      <c r="AG46" s="15">
        <f t="shared" si="5"/>
        <v>1</v>
      </c>
      <c r="AH46" s="15">
        <f t="shared" si="5"/>
        <v>1</v>
      </c>
      <c r="AI46" s="15">
        <f t="shared" si="5"/>
        <v>1</v>
      </c>
      <c r="AJ46" s="15">
        <f t="shared" si="5"/>
        <v>1</v>
      </c>
      <c r="AK46" s="15">
        <f t="shared" si="5"/>
        <v>1</v>
      </c>
      <c r="AL46" s="15">
        <f t="shared" si="5"/>
        <v>1</v>
      </c>
      <c r="AM46" s="15">
        <f t="shared" si="5"/>
        <v>1</v>
      </c>
      <c r="AN46" s="15">
        <f t="shared" si="5"/>
        <v>1</v>
      </c>
      <c r="AO46" s="15">
        <f t="shared" si="5"/>
        <v>0</v>
      </c>
      <c r="AP46" s="15">
        <f t="shared" si="5"/>
        <v>0</v>
      </c>
      <c r="AQ46" s="15">
        <f t="shared" si="5"/>
        <v>0</v>
      </c>
      <c r="AR46" s="15">
        <f t="shared" si="5"/>
        <v>0</v>
      </c>
      <c r="AS46" s="15">
        <v>0</v>
      </c>
    </row>
  </sheetData>
  <autoFilter ref="F4:AR4" xr:uid="{74BD5C81-DA63-4249-A1B4-6F29577A4105}"/>
  <phoneticPr fontId="4" type="noConversion"/>
  <conditionalFormatting sqref="C1:E1048576">
    <cfRule type="cellIs" dxfId="4" priority="36" operator="equal">
      <formula>TRUE</formula>
    </cfRule>
  </conditionalFormatting>
  <conditionalFormatting sqref="A1:XFD1">
    <cfRule type="cellIs" dxfId="3" priority="69" operator="equal">
      <formula>"sav"</formula>
    </cfRule>
    <cfRule type="containsText" dxfId="2" priority="73" operator="containsText" text="sam">
      <formula>NOT(ISERROR(SEARCH("sam",A1)))</formula>
    </cfRule>
    <cfRule type="containsText" dxfId="1" priority="74" operator="containsText" text="sap">
      <formula>NOT(ISERROR(SEARCH("sap",A1)))</formula>
    </cfRule>
    <cfRule type="containsText" dxfId="0" priority="75" operator="containsText" text="saa">
      <formula>NOT(ISERROR(SEARCH("saa",A1)))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8C2D2-3F1B-4735-BAB2-C6257B1D4323}">
  <sheetPr codeName="Sheet2"/>
  <dimension ref="A1:A8"/>
  <sheetViews>
    <sheetView workbookViewId="0">
      <selection activeCell="A2" sqref="A2"/>
    </sheetView>
  </sheetViews>
  <sheetFormatPr defaultRowHeight="15" x14ac:dyDescent="0.25"/>
  <cols>
    <col min="1" max="1" width="145.140625" customWidth="1"/>
  </cols>
  <sheetData>
    <row r="1" spans="1:1" x14ac:dyDescent="0.25">
      <c r="A1" t="s">
        <v>69</v>
      </c>
    </row>
    <row r="2" spans="1:1" x14ac:dyDescent="0.25">
      <c r="A2" s="10"/>
    </row>
    <row r="3" spans="1:1" x14ac:dyDescent="0.25">
      <c r="A3" s="10"/>
    </row>
    <row r="4" spans="1:1" x14ac:dyDescent="0.25">
      <c r="A4" s="10"/>
    </row>
    <row r="5" spans="1:1" x14ac:dyDescent="0.25">
      <c r="A5" s="10"/>
    </row>
    <row r="6" spans="1:1" x14ac:dyDescent="0.25">
      <c r="A6" s="10"/>
    </row>
    <row r="7" spans="1:1" x14ac:dyDescent="0.25">
      <c r="A7" s="10"/>
    </row>
    <row r="8" spans="1:1" x14ac:dyDescent="0.25">
      <c r="A8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Description</vt:lpstr>
      <vt:lpstr>ExpData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Young</dc:creator>
  <cp:lastModifiedBy>John</cp:lastModifiedBy>
  <dcterms:created xsi:type="dcterms:W3CDTF">2019-11-05T07:30:33Z</dcterms:created>
  <dcterms:modified xsi:type="dcterms:W3CDTF">2021-03-18T14:37:57Z</dcterms:modified>
</cp:coreProperties>
</file>