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AFO\"/>
    </mc:Choice>
  </mc:AlternateContent>
  <xr:revisionPtr revIDLastSave="0" documentId="13_ncr:1_{996089C6-E471-4059-8A60-886A3B58CE7B}" xr6:coauthVersionLast="46" xr6:coauthVersionMax="46" xr10:uidLastSave="{00000000-0000-0000-0000-000000000000}"/>
  <bookViews>
    <workbookView xWindow="45" yWindow="735" windowWidth="28305" windowHeight="14565" xr2:uid="{92F76B5C-EE3B-4928-B619-32EB52950B18}"/>
  </bookViews>
  <sheets>
    <sheet name="Sheet1" sheetId="1" r:id="rId1"/>
    <sheet name="Description" sheetId="2" r:id="rId2"/>
  </sheets>
  <definedNames>
    <definedName name="_xlnm._FilterDatabase" localSheetId="0" hidden="1">Sheet1!$F$4:$BO$4</definedName>
    <definedName name="ExpData">Sheet1!$B$5:$BP$94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55" i="1" l="1"/>
  <c r="AO59" i="1" s="1"/>
  <c r="AQ54" i="1"/>
  <c r="AQ58" i="1" s="1"/>
  <c r="AQ62" i="1" s="1"/>
  <c r="AP54" i="1"/>
  <c r="AP58" i="1" s="1"/>
  <c r="AO54" i="1"/>
  <c r="AO58" i="1" s="1"/>
  <c r="AO62" i="1" s="1"/>
  <c r="AQ53" i="1"/>
  <c r="AQ57" i="1" s="1"/>
  <c r="AQ61" i="1" s="1"/>
  <c r="AP53" i="1"/>
  <c r="AP57" i="1" s="1"/>
  <c r="AP61" i="1" s="1"/>
  <c r="AO53" i="1"/>
  <c r="AO57" i="1" s="1"/>
  <c r="AO61" i="1" s="1"/>
  <c r="AQ52" i="1"/>
  <c r="AQ56" i="1" s="1"/>
  <c r="AQ60" i="1" s="1"/>
  <c r="AP52" i="1"/>
  <c r="AP56" i="1" s="1"/>
  <c r="AP60" i="1" s="1"/>
  <c r="AO52" i="1"/>
  <c r="AO56" i="1" s="1"/>
  <c r="AO60" i="1" s="1"/>
  <c r="AQ51" i="1"/>
  <c r="AQ55" i="1" s="1"/>
  <c r="AQ59" i="1" s="1"/>
  <c r="AP51" i="1"/>
  <c r="AP55" i="1" s="1"/>
  <c r="AP59" i="1" s="1"/>
  <c r="AO49" i="1"/>
  <c r="AO50" i="1" s="1"/>
  <c r="AO48" i="1"/>
  <c r="G46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6" i="1"/>
  <c r="G7" i="1"/>
  <c r="B93" i="1"/>
  <c r="B92" i="1"/>
  <c r="B91" i="1"/>
  <c r="B90" i="1"/>
  <c r="B63" i="1"/>
  <c r="AR93" i="1"/>
  <c r="AR91" i="1"/>
  <c r="AS93" i="1"/>
  <c r="AS92" i="1"/>
  <c r="AT78" i="1"/>
  <c r="AT79" i="1" s="1"/>
  <c r="AT80" i="1" s="1"/>
  <c r="AT81" i="1" s="1"/>
  <c r="AT82" i="1" s="1"/>
  <c r="AT83" i="1" s="1"/>
  <c r="AT84" i="1" s="1"/>
  <c r="AT85" i="1" s="1"/>
  <c r="AT86" i="1" s="1"/>
  <c r="AT87" i="1" s="1"/>
  <c r="AT88" i="1" s="1"/>
  <c r="AR80" i="1"/>
  <c r="AR83" i="1" s="1"/>
  <c r="AR86" i="1" s="1"/>
  <c r="AR68" i="1"/>
  <c r="AR71" i="1" s="1"/>
  <c r="AR74" i="1" s="1"/>
  <c r="B88" i="1" l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AR78" i="1"/>
  <c r="AR81" i="1" s="1"/>
  <c r="AR84" i="1" s="1"/>
  <c r="AR87" i="1" s="1"/>
  <c r="AQ66" i="1"/>
  <c r="AQ67" i="1" s="1"/>
  <c r="AQ68" i="1" s="1"/>
  <c r="AQ69" i="1" s="1"/>
  <c r="AQ70" i="1" s="1"/>
  <c r="AQ71" i="1" s="1"/>
  <c r="AQ72" i="1" s="1"/>
  <c r="AQ73" i="1" s="1"/>
  <c r="AQ74" i="1" s="1"/>
  <c r="AQ75" i="1" s="1"/>
  <c r="AQ76" i="1" s="1"/>
  <c r="AQ77" i="1" s="1"/>
  <c r="AQ78" i="1" s="1"/>
  <c r="AQ79" i="1" s="1"/>
  <c r="AQ80" i="1" s="1"/>
  <c r="AQ81" i="1" s="1"/>
  <c r="AQ82" i="1" s="1"/>
  <c r="AQ83" i="1" s="1"/>
  <c r="AQ84" i="1" s="1"/>
  <c r="AQ85" i="1" s="1"/>
  <c r="AQ86" i="1" s="1"/>
  <c r="AQ87" i="1" s="1"/>
  <c r="AQ88" i="1" s="1"/>
  <c r="AQ90" i="1" s="1"/>
  <c r="AP66" i="1"/>
  <c r="AP67" i="1" s="1"/>
  <c r="AP68" i="1" s="1"/>
  <c r="AP69" i="1" s="1"/>
  <c r="AP70" i="1" s="1"/>
  <c r="AP71" i="1" s="1"/>
  <c r="AP72" i="1" s="1"/>
  <c r="AP73" i="1" s="1"/>
  <c r="AP74" i="1" s="1"/>
  <c r="AP75" i="1" s="1"/>
  <c r="AP76" i="1" s="1"/>
  <c r="AP77" i="1" s="1"/>
  <c r="AP78" i="1" s="1"/>
  <c r="AP79" i="1" s="1"/>
  <c r="AP80" i="1" s="1"/>
  <c r="AP81" i="1" s="1"/>
  <c r="AP82" i="1" s="1"/>
  <c r="AP83" i="1" s="1"/>
  <c r="AP84" i="1" s="1"/>
  <c r="AP85" i="1" s="1"/>
  <c r="AP86" i="1" s="1"/>
  <c r="AP87" i="1" s="1"/>
  <c r="AP88" i="1" s="1"/>
  <c r="AP90" i="1" s="1"/>
  <c r="AO66" i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90" i="1" s="1"/>
  <c r="F93" i="1"/>
  <c r="F92" i="1"/>
  <c r="F91" i="1"/>
  <c r="F90" i="1"/>
  <c r="G94" i="1"/>
  <c r="AS77" i="1"/>
  <c r="F65" i="1"/>
  <c r="AR66" i="1"/>
  <c r="AT65" i="1"/>
  <c r="AT68" i="1" s="1"/>
  <c r="AT71" i="1" s="1"/>
  <c r="AT74" i="1" s="1"/>
  <c r="AS65" i="1"/>
  <c r="AS68" i="1" s="1"/>
  <c r="AS71" i="1" s="1"/>
  <c r="AS74" i="1" s="1"/>
  <c r="B62" i="1"/>
  <c r="B61" i="1"/>
  <c r="B60" i="1"/>
  <c r="B59" i="1"/>
  <c r="B58" i="1"/>
  <c r="B57" i="1"/>
  <c r="B56" i="1"/>
  <c r="B55" i="1"/>
  <c r="B54" i="1"/>
  <c r="B53" i="1"/>
  <c r="B52" i="1"/>
  <c r="B51" i="1"/>
  <c r="AQ50" i="1"/>
  <c r="AQ49" i="1"/>
  <c r="AQ48" i="1"/>
  <c r="AQ47" i="1"/>
  <c r="AP50" i="1"/>
  <c r="AP49" i="1"/>
  <c r="AP48" i="1"/>
  <c r="AP47" i="1"/>
  <c r="AO51" i="1"/>
  <c r="J50" i="1"/>
  <c r="I50" i="1"/>
  <c r="B50" i="1"/>
  <c r="I47" i="1"/>
  <c r="J47" i="1"/>
  <c r="I48" i="1"/>
  <c r="J48" i="1"/>
  <c r="I49" i="1"/>
  <c r="J49" i="1"/>
  <c r="B47" i="1"/>
  <c r="B48" i="1"/>
  <c r="B49" i="1"/>
  <c r="AQ5" i="1" a="1"/>
  <c r="AQ5" i="1" s="1"/>
  <c r="AP5" i="1" a="1"/>
  <c r="AP5" i="1" s="1"/>
  <c r="AP94" i="1" s="1"/>
  <c r="AO5" i="1" a="1"/>
  <c r="AO5" i="1" s="1"/>
  <c r="G65" i="1" l="1"/>
  <c r="AS66" i="1"/>
  <c r="AR69" i="1"/>
  <c r="AR72" i="1" s="1"/>
  <c r="AR75" i="1" s="1"/>
  <c r="F77" i="1"/>
  <c r="AS80" i="1"/>
  <c r="AS83" i="1" s="1"/>
  <c r="AS86" i="1" s="1"/>
  <c r="AR79" i="1"/>
  <c r="AS78" i="1"/>
  <c r="AP91" i="1"/>
  <c r="AP92" i="1" s="1"/>
  <c r="AP93" i="1" s="1"/>
  <c r="AQ91" i="1"/>
  <c r="AQ92" i="1" s="1"/>
  <c r="AQ93" i="1" s="1"/>
  <c r="AO91" i="1"/>
  <c r="AO92" i="1" s="1"/>
  <c r="AO93" i="1" s="1"/>
  <c r="AR67" i="1"/>
  <c r="AR70" i="1" s="1"/>
  <c r="AR73" i="1" s="1"/>
  <c r="AR76" i="1" s="1"/>
  <c r="F68" i="1"/>
  <c r="AS67" i="1"/>
  <c r="AS70" i="1" s="1"/>
  <c r="AS73" i="1" s="1"/>
  <c r="AS76" i="1" s="1"/>
  <c r="AT66" i="1"/>
  <c r="AT69" i="1" s="1"/>
  <c r="AT72" i="1" s="1"/>
  <c r="AT75" i="1" s="1"/>
  <c r="AO94" i="1"/>
  <c r="AO6" i="1"/>
  <c r="AO45" i="1" s="1"/>
  <c r="AQ94" i="1"/>
  <c r="AQ6" i="1"/>
  <c r="AQ45" i="1" s="1"/>
  <c r="AP6" i="1"/>
  <c r="AP45" i="1" s="1"/>
  <c r="M5" i="1" a="1"/>
  <c r="M5" i="1" s="1"/>
  <c r="M6" i="1" s="1"/>
  <c r="L5" i="1" a="1"/>
  <c r="L5" i="1" s="1"/>
  <c r="L6" i="1" s="1"/>
  <c r="K5" i="1" a="1"/>
  <c r="K5" i="1" s="1"/>
  <c r="K6" i="1" s="1"/>
  <c r="F78" i="1" l="1"/>
  <c r="AS81" i="1"/>
  <c r="AS84" i="1" s="1"/>
  <c r="AS87" i="1" s="1"/>
  <c r="AS79" i="1"/>
  <c r="AR82" i="1"/>
  <c r="AR85" i="1" s="1"/>
  <c r="AR88" i="1" s="1"/>
  <c r="AS69" i="1"/>
  <c r="F66" i="1"/>
  <c r="AT67" i="1"/>
  <c r="AT70" i="1" s="1"/>
  <c r="AT73" i="1" s="1"/>
  <c r="AT76" i="1" s="1"/>
  <c r="F67" i="1"/>
  <c r="G67" i="1" s="1"/>
  <c r="F71" i="1"/>
  <c r="K50" i="1"/>
  <c r="K47" i="1"/>
  <c r="K48" i="1"/>
  <c r="K49" i="1"/>
  <c r="K35" i="1"/>
  <c r="K36" i="1"/>
  <c r="K38" i="1"/>
  <c r="K39" i="1"/>
  <c r="K40" i="1"/>
  <c r="K41" i="1"/>
  <c r="K42" i="1"/>
  <c r="K43" i="1"/>
  <c r="K37" i="1"/>
  <c r="L50" i="1"/>
  <c r="L47" i="1"/>
  <c r="L45" i="1"/>
  <c r="L48" i="1"/>
  <c r="L49" i="1"/>
  <c r="L35" i="1"/>
  <c r="L37" i="1"/>
  <c r="L38" i="1"/>
  <c r="L39" i="1"/>
  <c r="L40" i="1"/>
  <c r="L41" i="1"/>
  <c r="L42" i="1"/>
  <c r="L36" i="1"/>
  <c r="L43" i="1"/>
  <c r="M50" i="1"/>
  <c r="M47" i="1"/>
  <c r="M49" i="1"/>
  <c r="M45" i="1"/>
  <c r="M48" i="1"/>
  <c r="M35" i="1"/>
  <c r="M43" i="1"/>
  <c r="M36" i="1"/>
  <c r="M37" i="1"/>
  <c r="M38" i="1"/>
  <c r="M39" i="1"/>
  <c r="M40" i="1"/>
  <c r="M41" i="1"/>
  <c r="M42" i="1"/>
  <c r="AQ40" i="1"/>
  <c r="AQ32" i="1"/>
  <c r="AQ24" i="1"/>
  <c r="AQ16" i="1"/>
  <c r="AQ8" i="1"/>
  <c r="AQ37" i="1"/>
  <c r="AQ29" i="1"/>
  <c r="AQ21" i="1"/>
  <c r="AQ13" i="1"/>
  <c r="AQ42" i="1"/>
  <c r="AQ34" i="1"/>
  <c r="AQ26" i="1"/>
  <c r="AQ18" i="1"/>
  <c r="AQ10" i="1"/>
  <c r="AQ39" i="1"/>
  <c r="AQ31" i="1"/>
  <c r="AQ23" i="1"/>
  <c r="AQ15" i="1"/>
  <c r="AQ7" i="1"/>
  <c r="AQ44" i="1"/>
  <c r="AQ36" i="1"/>
  <c r="AQ28" i="1"/>
  <c r="AQ20" i="1"/>
  <c r="AQ12" i="1"/>
  <c r="AQ41" i="1"/>
  <c r="AQ33" i="1"/>
  <c r="AQ25" i="1"/>
  <c r="AQ17" i="1"/>
  <c r="AQ9" i="1"/>
  <c r="AQ38" i="1"/>
  <c r="AQ30" i="1"/>
  <c r="AQ22" i="1"/>
  <c r="AQ14" i="1"/>
  <c r="AQ43" i="1"/>
  <c r="AQ35" i="1"/>
  <c r="AQ27" i="1"/>
  <c r="AQ19" i="1"/>
  <c r="AQ11" i="1"/>
  <c r="AP43" i="1"/>
  <c r="AP35" i="1"/>
  <c r="AP27" i="1"/>
  <c r="AP19" i="1"/>
  <c r="AP11" i="1"/>
  <c r="AP40" i="1"/>
  <c r="AP32" i="1"/>
  <c r="AP24" i="1"/>
  <c r="AP16" i="1"/>
  <c r="AP8" i="1"/>
  <c r="AP37" i="1"/>
  <c r="AP29" i="1"/>
  <c r="AP21" i="1"/>
  <c r="AP13" i="1"/>
  <c r="AP42" i="1"/>
  <c r="AP34" i="1"/>
  <c r="AP26" i="1"/>
  <c r="AP18" i="1"/>
  <c r="AP10" i="1"/>
  <c r="AP39" i="1"/>
  <c r="AP31" i="1"/>
  <c r="AP23" i="1"/>
  <c r="AP15" i="1"/>
  <c r="AP7" i="1"/>
  <c r="AP36" i="1"/>
  <c r="AP28" i="1"/>
  <c r="AP20" i="1"/>
  <c r="AP12" i="1"/>
  <c r="AP41" i="1"/>
  <c r="AP33" i="1"/>
  <c r="AP25" i="1"/>
  <c r="AP17" i="1"/>
  <c r="AP9" i="1"/>
  <c r="AP38" i="1"/>
  <c r="AP30" i="1"/>
  <c r="AP22" i="1"/>
  <c r="AP14" i="1"/>
  <c r="AP44" i="1"/>
  <c r="AO38" i="1"/>
  <c r="AO30" i="1"/>
  <c r="AO22" i="1"/>
  <c r="AO14" i="1"/>
  <c r="AO43" i="1"/>
  <c r="AO35" i="1"/>
  <c r="AO27" i="1"/>
  <c r="AO19" i="1"/>
  <c r="AO11" i="1"/>
  <c r="AO40" i="1"/>
  <c r="AO32" i="1"/>
  <c r="AO24" i="1"/>
  <c r="AO16" i="1"/>
  <c r="AO8" i="1"/>
  <c r="AO37" i="1"/>
  <c r="AO29" i="1"/>
  <c r="AO21" i="1"/>
  <c r="AO13" i="1"/>
  <c r="AO42" i="1"/>
  <c r="AO34" i="1"/>
  <c r="AO26" i="1"/>
  <c r="AO18" i="1"/>
  <c r="AO10" i="1"/>
  <c r="AO39" i="1"/>
  <c r="AO31" i="1"/>
  <c r="AO23" i="1"/>
  <c r="AO15" i="1"/>
  <c r="AO7" i="1"/>
  <c r="AO44" i="1"/>
  <c r="AO36" i="1"/>
  <c r="AO28" i="1"/>
  <c r="AO20" i="1"/>
  <c r="AO12" i="1"/>
  <c r="AO41" i="1"/>
  <c r="AO33" i="1"/>
  <c r="AO25" i="1"/>
  <c r="AO17" i="1"/>
  <c r="AO9" i="1"/>
  <c r="K94" i="1"/>
  <c r="L94" i="1"/>
  <c r="M94" i="1"/>
  <c r="F81" i="1" l="1"/>
  <c r="G66" i="1"/>
  <c r="G68" i="1"/>
  <c r="AS72" i="1"/>
  <c r="F69" i="1"/>
  <c r="G69" i="1" s="1"/>
  <c r="F79" i="1"/>
  <c r="AS82" i="1"/>
  <c r="AS85" i="1" s="1"/>
  <c r="AS88" i="1" s="1"/>
  <c r="F87" i="1"/>
  <c r="F84" i="1"/>
  <c r="F80" i="1"/>
  <c r="F74" i="1"/>
  <c r="F70" i="1"/>
  <c r="G70" i="1" s="1"/>
  <c r="L30" i="1"/>
  <c r="L22" i="1"/>
  <c r="L14" i="1"/>
  <c r="L13" i="1"/>
  <c r="L18" i="1"/>
  <c r="L27" i="1"/>
  <c r="L19" i="1"/>
  <c r="L11" i="1"/>
  <c r="L31" i="1"/>
  <c r="L23" i="1"/>
  <c r="L7" i="1"/>
  <c r="L28" i="1"/>
  <c r="L20" i="1"/>
  <c r="L12" i="1"/>
  <c r="L32" i="1"/>
  <c r="L24" i="1"/>
  <c r="L16" i="1"/>
  <c r="L8" i="1"/>
  <c r="L29" i="1"/>
  <c r="L21" i="1"/>
  <c r="L15" i="1"/>
  <c r="L34" i="1"/>
  <c r="L26" i="1"/>
  <c r="L10" i="1"/>
  <c r="L44" i="1"/>
  <c r="L33" i="1"/>
  <c r="L25" i="1"/>
  <c r="L17" i="1"/>
  <c r="L9" i="1"/>
  <c r="M27" i="1"/>
  <c r="M19" i="1"/>
  <c r="M11" i="1"/>
  <c r="M20" i="1"/>
  <c r="M32" i="1"/>
  <c r="M24" i="1"/>
  <c r="M16" i="1"/>
  <c r="M8" i="1"/>
  <c r="M23" i="1"/>
  <c r="M28" i="1"/>
  <c r="M29" i="1"/>
  <c r="M21" i="1"/>
  <c r="M13" i="1"/>
  <c r="M18" i="1"/>
  <c r="M34" i="1"/>
  <c r="M26" i="1"/>
  <c r="M10" i="1"/>
  <c r="M15" i="1"/>
  <c r="M7" i="1"/>
  <c r="M44" i="1"/>
  <c r="M31" i="1"/>
  <c r="M12" i="1"/>
  <c r="M33" i="1"/>
  <c r="M25" i="1"/>
  <c r="M17" i="1"/>
  <c r="M9" i="1"/>
  <c r="M30" i="1"/>
  <c r="M22" i="1"/>
  <c r="M14" i="1"/>
  <c r="K44" i="1"/>
  <c r="K33" i="1"/>
  <c r="K25" i="1"/>
  <c r="K17" i="1"/>
  <c r="K9" i="1"/>
  <c r="K8" i="1"/>
  <c r="K30" i="1"/>
  <c r="K22" i="1"/>
  <c r="K14" i="1"/>
  <c r="K16" i="1"/>
  <c r="K13" i="1"/>
  <c r="K45" i="1"/>
  <c r="K34" i="1"/>
  <c r="K18" i="1"/>
  <c r="K27" i="1"/>
  <c r="K19" i="1"/>
  <c r="K11" i="1"/>
  <c r="K32" i="1"/>
  <c r="K24" i="1"/>
  <c r="K26" i="1"/>
  <c r="K10" i="1"/>
  <c r="K31" i="1"/>
  <c r="K23" i="1"/>
  <c r="K15" i="1"/>
  <c r="K7" i="1"/>
  <c r="K29" i="1"/>
  <c r="K21" i="1"/>
  <c r="K28" i="1"/>
  <c r="K20" i="1"/>
  <c r="K12" i="1"/>
  <c r="G71" i="1" l="1"/>
  <c r="AS75" i="1"/>
  <c r="F75" i="1" s="1"/>
  <c r="G75" i="1" s="1"/>
  <c r="F72" i="1"/>
  <c r="G72" i="1" s="1"/>
  <c r="F73" i="1"/>
  <c r="G73" i="1" s="1"/>
  <c r="F83" i="1"/>
  <c r="I5" i="1" a="1"/>
  <c r="I5" i="1" s="1"/>
  <c r="J5" i="1" a="1"/>
  <c r="J5" i="1" s="1"/>
  <c r="N5" i="1" a="1"/>
  <c r="N5" i="1" s="1"/>
  <c r="O5" i="1" a="1"/>
  <c r="O5" i="1" s="1"/>
  <c r="P5" i="1" a="1"/>
  <c r="P5" i="1" s="1"/>
  <c r="Q5" i="1" a="1"/>
  <c r="Q5" i="1" s="1"/>
  <c r="R5" i="1" a="1"/>
  <c r="R5" i="1" s="1"/>
  <c r="S5" i="1" a="1"/>
  <c r="S5" i="1" s="1"/>
  <c r="T5" i="1" a="1"/>
  <c r="T5" i="1" s="1"/>
  <c r="U5" i="1" a="1"/>
  <c r="U5" i="1" s="1"/>
  <c r="V5" i="1" a="1"/>
  <c r="V5" i="1" s="1"/>
  <c r="W5" i="1" a="1"/>
  <c r="W5" i="1" s="1"/>
  <c r="X5" i="1" a="1"/>
  <c r="X5" i="1" s="1"/>
  <c r="Y5" i="1" a="1"/>
  <c r="Y5" i="1" s="1"/>
  <c r="Z5" i="1" a="1"/>
  <c r="Z5" i="1" s="1"/>
  <c r="AA5" i="1" a="1"/>
  <c r="AA5" i="1" s="1"/>
  <c r="AB5" i="1" a="1"/>
  <c r="AB5" i="1" s="1"/>
  <c r="AC5" i="1" a="1"/>
  <c r="AC5" i="1" s="1"/>
  <c r="AD5" i="1" a="1"/>
  <c r="AD5" i="1" s="1"/>
  <c r="AE5" i="1" a="1"/>
  <c r="AE5" i="1" s="1"/>
  <c r="AF5" i="1" a="1"/>
  <c r="AF5" i="1" s="1"/>
  <c r="AG5" i="1" a="1"/>
  <c r="AG5" i="1" s="1"/>
  <c r="AH5" i="1" a="1"/>
  <c r="AH5" i="1" s="1"/>
  <c r="AI5" i="1" a="1"/>
  <c r="AI5" i="1" s="1"/>
  <c r="AJ5" i="1" a="1"/>
  <c r="AJ5" i="1" s="1"/>
  <c r="AK5" i="1" a="1"/>
  <c r="AK5" i="1" s="1"/>
  <c r="AL5" i="1" a="1"/>
  <c r="AL5" i="1" s="1"/>
  <c r="AM5" i="1" a="1"/>
  <c r="AM5" i="1" s="1"/>
  <c r="AN5" i="1" a="1"/>
  <c r="AN5" i="1" s="1"/>
  <c r="AU5" i="1" a="1"/>
  <c r="AU5" i="1" s="1"/>
  <c r="AV5" i="1" a="1"/>
  <c r="AV5" i="1" s="1"/>
  <c r="AW5" i="1" a="1"/>
  <c r="AW5" i="1" s="1"/>
  <c r="AX5" i="1" a="1"/>
  <c r="AX5" i="1" s="1"/>
  <c r="AY5" i="1" a="1"/>
  <c r="AY5" i="1" s="1"/>
  <c r="AZ5" i="1" a="1"/>
  <c r="AZ5" i="1" s="1"/>
  <c r="BA5" i="1" a="1"/>
  <c r="BA5" i="1" s="1"/>
  <c r="BB5" i="1" a="1"/>
  <c r="BB5" i="1" s="1"/>
  <c r="BC5" i="1" a="1"/>
  <c r="BC5" i="1" s="1"/>
  <c r="BD5" i="1" a="1"/>
  <c r="BD5" i="1" s="1"/>
  <c r="BE5" i="1" a="1"/>
  <c r="BE5" i="1" s="1"/>
  <c r="BF5" i="1" a="1"/>
  <c r="BF5" i="1" s="1"/>
  <c r="BG5" i="1" a="1"/>
  <c r="BG5" i="1" s="1"/>
  <c r="BH5" i="1" a="1"/>
  <c r="BH5" i="1" s="1"/>
  <c r="BI5" i="1" a="1"/>
  <c r="BI5" i="1" s="1"/>
  <c r="BJ5" i="1" a="1"/>
  <c r="BJ5" i="1" s="1"/>
  <c r="BK5" i="1" a="1"/>
  <c r="BK5" i="1" s="1"/>
  <c r="BL5" i="1" a="1"/>
  <c r="BL5" i="1" s="1"/>
  <c r="BM5" i="1" a="1"/>
  <c r="BM5" i="1" s="1"/>
  <c r="BN5" i="1" a="1"/>
  <c r="BN5" i="1" s="1"/>
  <c r="BO5" i="1" a="1"/>
  <c r="BO5" i="1" s="1"/>
  <c r="H5" i="1" a="1"/>
  <c r="H5" i="1" s="1"/>
  <c r="G74" i="1" l="1"/>
  <c r="F86" i="1"/>
  <c r="F82" i="1"/>
  <c r="G82" i="1" s="1"/>
  <c r="F76" i="1"/>
  <c r="G76" i="1" s="1"/>
  <c r="BN94" i="1"/>
  <c r="BN6" i="1"/>
  <c r="BJ94" i="1"/>
  <c r="BJ6" i="1"/>
  <c r="BI94" i="1"/>
  <c r="BI6" i="1"/>
  <c r="BH94" i="1"/>
  <c r="BH6" i="1"/>
  <c r="BG94" i="1"/>
  <c r="BG6" i="1"/>
  <c r="AN94" i="1"/>
  <c r="AN6" i="1"/>
  <c r="AL94" i="1"/>
  <c r="AL6" i="1"/>
  <c r="AM94" i="1"/>
  <c r="AM6" i="1"/>
  <c r="V94" i="1"/>
  <c r="V6" i="1"/>
  <c r="Y94" i="1"/>
  <c r="Y6" i="1"/>
  <c r="AB94" i="1"/>
  <c r="AB6" i="1"/>
  <c r="S94" i="1"/>
  <c r="S6" i="1"/>
  <c r="AK94" i="1"/>
  <c r="AK6" i="1"/>
  <c r="J45" i="1"/>
  <c r="I45" i="1"/>
  <c r="J44" i="1"/>
  <c r="I44" i="1"/>
  <c r="J43" i="1"/>
  <c r="I43" i="1"/>
  <c r="J42" i="1"/>
  <c r="I42" i="1"/>
  <c r="J41" i="1"/>
  <c r="I41" i="1"/>
  <c r="J39" i="1"/>
  <c r="I39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8" i="1"/>
  <c r="I28" i="1"/>
  <c r="J27" i="1"/>
  <c r="I27" i="1"/>
  <c r="J26" i="1"/>
  <c r="I26" i="1"/>
  <c r="J25" i="1"/>
  <c r="I25" i="1"/>
  <c r="J24" i="1"/>
  <c r="I24" i="1"/>
  <c r="J23" i="1"/>
  <c r="I23" i="1"/>
  <c r="J22" i="1"/>
  <c r="I22" i="1"/>
  <c r="J21" i="1"/>
  <c r="I21" i="1"/>
  <c r="J20" i="1"/>
  <c r="I20" i="1"/>
  <c r="J19" i="1"/>
  <c r="I19" i="1"/>
  <c r="J18" i="1"/>
  <c r="I18" i="1"/>
  <c r="J17" i="1"/>
  <c r="I17" i="1"/>
  <c r="J16" i="1"/>
  <c r="I16" i="1"/>
  <c r="J15" i="1"/>
  <c r="I15" i="1"/>
  <c r="J14" i="1"/>
  <c r="I14" i="1"/>
  <c r="J13" i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B7" i="1"/>
  <c r="B94" i="1"/>
  <c r="E4" i="1"/>
  <c r="D4" i="1"/>
  <c r="G77" i="1" l="1"/>
  <c r="G80" i="1"/>
  <c r="G78" i="1"/>
  <c r="G79" i="1"/>
  <c r="G83" i="1"/>
  <c r="G84" i="1"/>
  <c r="G81" i="1"/>
  <c r="F85" i="1"/>
  <c r="G85" i="1" s="1"/>
  <c r="AB50" i="1"/>
  <c r="AB49" i="1"/>
  <c r="AB47" i="1"/>
  <c r="AB48" i="1"/>
  <c r="AB45" i="1"/>
  <c r="V48" i="1"/>
  <c r="V50" i="1"/>
  <c r="V49" i="1"/>
  <c r="V47" i="1"/>
  <c r="V45" i="1"/>
  <c r="AM45" i="1"/>
  <c r="AM48" i="1"/>
  <c r="AM49" i="1"/>
  <c r="AM50" i="1"/>
  <c r="AM47" i="1"/>
  <c r="AL48" i="1"/>
  <c r="AL45" i="1"/>
  <c r="AL47" i="1"/>
  <c r="AL50" i="1"/>
  <c r="AL49" i="1"/>
  <c r="AN47" i="1"/>
  <c r="AN45" i="1"/>
  <c r="AN48" i="1"/>
  <c r="AN49" i="1"/>
  <c r="AN50" i="1"/>
  <c r="S47" i="1"/>
  <c r="S49" i="1"/>
  <c r="S50" i="1"/>
  <c r="S45" i="1"/>
  <c r="S48" i="1"/>
  <c r="Y48" i="1"/>
  <c r="Y49" i="1"/>
  <c r="Y45" i="1"/>
  <c r="Y47" i="1"/>
  <c r="Y50" i="1"/>
  <c r="AK45" i="1"/>
  <c r="AK49" i="1"/>
  <c r="AK47" i="1"/>
  <c r="AK48" i="1"/>
  <c r="AK50" i="1"/>
  <c r="BG47" i="1"/>
  <c r="BG49" i="1"/>
  <c r="BG48" i="1"/>
  <c r="BG50" i="1"/>
  <c r="BG45" i="1"/>
  <c r="BH47" i="1"/>
  <c r="BH49" i="1"/>
  <c r="BH50" i="1"/>
  <c r="BH45" i="1"/>
  <c r="BH48" i="1"/>
  <c r="BI45" i="1"/>
  <c r="BI50" i="1"/>
  <c r="BI47" i="1"/>
  <c r="BI48" i="1"/>
  <c r="BI49" i="1"/>
  <c r="BJ45" i="1"/>
  <c r="BJ49" i="1"/>
  <c r="BJ47" i="1"/>
  <c r="BJ50" i="1"/>
  <c r="BJ48" i="1"/>
  <c r="BN50" i="1"/>
  <c r="BN45" i="1"/>
  <c r="BN48" i="1"/>
  <c r="BN49" i="1"/>
  <c r="BN47" i="1"/>
  <c r="BN38" i="1"/>
  <c r="BN30" i="1"/>
  <c r="BN22" i="1"/>
  <c r="BN14" i="1"/>
  <c r="BN27" i="1"/>
  <c r="BN32" i="1"/>
  <c r="BN7" i="1"/>
  <c r="BN37" i="1"/>
  <c r="BN29" i="1"/>
  <c r="BN21" i="1"/>
  <c r="BN13" i="1"/>
  <c r="BN11" i="1"/>
  <c r="BN40" i="1"/>
  <c r="BN8" i="1"/>
  <c r="BN44" i="1"/>
  <c r="BN36" i="1"/>
  <c r="BN28" i="1"/>
  <c r="BN20" i="1"/>
  <c r="BN12" i="1"/>
  <c r="BN43" i="1"/>
  <c r="BN35" i="1"/>
  <c r="BN19" i="1"/>
  <c r="BN15" i="1"/>
  <c r="BN42" i="1"/>
  <c r="BN34" i="1"/>
  <c r="BN26" i="1"/>
  <c r="BN18" i="1"/>
  <c r="BN10" i="1"/>
  <c r="BN25" i="1"/>
  <c r="BN9" i="1"/>
  <c r="BN24" i="1"/>
  <c r="BN41" i="1"/>
  <c r="BN33" i="1"/>
  <c r="BN17" i="1"/>
  <c r="BN16" i="1"/>
  <c r="BN39" i="1"/>
  <c r="BN31" i="1"/>
  <c r="BN23" i="1"/>
  <c r="BH28" i="1"/>
  <c r="BH30" i="1"/>
  <c r="BH31" i="1"/>
  <c r="BH29" i="1"/>
  <c r="BI29" i="1"/>
  <c r="BI28" i="1"/>
  <c r="BI30" i="1"/>
  <c r="BI31" i="1"/>
  <c r="BG28" i="1"/>
  <c r="BG30" i="1"/>
  <c r="BG29" i="1"/>
  <c r="BG31" i="1"/>
  <c r="BJ28" i="1"/>
  <c r="BJ30" i="1"/>
  <c r="BJ29" i="1"/>
  <c r="BJ31" i="1"/>
  <c r="BJ38" i="1"/>
  <c r="BJ20" i="1"/>
  <c r="BJ12" i="1"/>
  <c r="BJ37" i="1"/>
  <c r="BJ27" i="1"/>
  <c r="BJ19" i="1"/>
  <c r="BJ11" i="1"/>
  <c r="BJ22" i="1"/>
  <c r="BJ44" i="1"/>
  <c r="BJ36" i="1"/>
  <c r="BJ26" i="1"/>
  <c r="BJ18" i="1"/>
  <c r="BJ10" i="1"/>
  <c r="BJ32" i="1"/>
  <c r="BJ43" i="1"/>
  <c r="BJ35" i="1"/>
  <c r="BJ25" i="1"/>
  <c r="BJ17" i="1"/>
  <c r="BJ9" i="1"/>
  <c r="BJ13" i="1"/>
  <c r="BJ42" i="1"/>
  <c r="BJ34" i="1"/>
  <c r="BJ24" i="1"/>
  <c r="BJ16" i="1"/>
  <c r="BJ8" i="1"/>
  <c r="BJ15" i="1"/>
  <c r="BJ40" i="1"/>
  <c r="BJ14" i="1"/>
  <c r="BJ41" i="1"/>
  <c r="BJ33" i="1"/>
  <c r="BJ23" i="1"/>
  <c r="BJ7" i="1"/>
  <c r="BJ39" i="1"/>
  <c r="BJ21" i="1"/>
  <c r="BI38" i="1"/>
  <c r="BI20" i="1"/>
  <c r="BI12" i="1"/>
  <c r="BI44" i="1"/>
  <c r="BI36" i="1"/>
  <c r="BI26" i="1"/>
  <c r="BI18" i="1"/>
  <c r="BI10" i="1"/>
  <c r="BI34" i="1"/>
  <c r="BI8" i="1"/>
  <c r="BI14" i="1"/>
  <c r="BI43" i="1"/>
  <c r="BI35" i="1"/>
  <c r="BI25" i="1"/>
  <c r="BI17" i="1"/>
  <c r="BI9" i="1"/>
  <c r="BI16" i="1"/>
  <c r="BI22" i="1"/>
  <c r="BI19" i="1"/>
  <c r="BI42" i="1"/>
  <c r="BI24" i="1"/>
  <c r="BI37" i="1"/>
  <c r="BI11" i="1"/>
  <c r="BI41" i="1"/>
  <c r="BI33" i="1"/>
  <c r="BI23" i="1"/>
  <c r="BI15" i="1"/>
  <c r="BI7" i="1"/>
  <c r="BI40" i="1"/>
  <c r="BI32" i="1"/>
  <c r="BI39" i="1"/>
  <c r="BI21" i="1"/>
  <c r="BI13" i="1"/>
  <c r="BI27" i="1"/>
  <c r="BH38" i="1"/>
  <c r="BH20" i="1"/>
  <c r="BH12" i="1"/>
  <c r="BH37" i="1"/>
  <c r="BH27" i="1"/>
  <c r="BH19" i="1"/>
  <c r="BH11" i="1"/>
  <c r="BH25" i="1"/>
  <c r="BH44" i="1"/>
  <c r="BH36" i="1"/>
  <c r="BH26" i="1"/>
  <c r="BH18" i="1"/>
  <c r="BH10" i="1"/>
  <c r="BH35" i="1"/>
  <c r="BH9" i="1"/>
  <c r="BH43" i="1"/>
  <c r="BH17" i="1"/>
  <c r="BH42" i="1"/>
  <c r="BH34" i="1"/>
  <c r="BH24" i="1"/>
  <c r="BH16" i="1"/>
  <c r="BH8" i="1"/>
  <c r="BH40" i="1"/>
  <c r="BH22" i="1"/>
  <c r="BH21" i="1"/>
  <c r="BH41" i="1"/>
  <c r="BH33" i="1"/>
  <c r="BH23" i="1"/>
  <c r="BH15" i="1"/>
  <c r="BH7" i="1"/>
  <c r="BH32" i="1"/>
  <c r="BH14" i="1"/>
  <c r="BH13" i="1"/>
  <c r="BH39" i="1"/>
  <c r="BG38" i="1"/>
  <c r="BG20" i="1"/>
  <c r="BG12" i="1"/>
  <c r="BG37" i="1"/>
  <c r="BG27" i="1"/>
  <c r="BG19" i="1"/>
  <c r="BG11" i="1"/>
  <c r="BG18" i="1"/>
  <c r="BG35" i="1"/>
  <c r="BG25" i="1"/>
  <c r="BG17" i="1"/>
  <c r="BG33" i="1"/>
  <c r="BG7" i="1"/>
  <c r="BG32" i="1"/>
  <c r="BG44" i="1"/>
  <c r="BG36" i="1"/>
  <c r="BG26" i="1"/>
  <c r="BG10" i="1"/>
  <c r="BG9" i="1"/>
  <c r="BG23" i="1"/>
  <c r="BG22" i="1"/>
  <c r="BG13" i="1"/>
  <c r="BG43" i="1"/>
  <c r="BG42" i="1"/>
  <c r="BG34" i="1"/>
  <c r="BG24" i="1"/>
  <c r="BG16" i="1"/>
  <c r="BG8" i="1"/>
  <c r="BG15" i="1"/>
  <c r="BG40" i="1"/>
  <c r="BG41" i="1"/>
  <c r="BG14" i="1"/>
  <c r="BG39" i="1"/>
  <c r="BG21" i="1"/>
  <c r="AN38" i="1"/>
  <c r="AN30" i="1"/>
  <c r="AN22" i="1"/>
  <c r="AN14" i="1"/>
  <c r="AN12" i="1"/>
  <c r="AN35" i="1"/>
  <c r="AN19" i="1"/>
  <c r="AN11" i="1"/>
  <c r="AN32" i="1"/>
  <c r="AN16" i="1"/>
  <c r="AN31" i="1"/>
  <c r="AN37" i="1"/>
  <c r="AN29" i="1"/>
  <c r="AN21" i="1"/>
  <c r="AN13" i="1"/>
  <c r="AN27" i="1"/>
  <c r="AN40" i="1"/>
  <c r="AN8" i="1"/>
  <c r="AN15" i="1"/>
  <c r="AN44" i="1"/>
  <c r="AN36" i="1"/>
  <c r="AN28" i="1"/>
  <c r="AN20" i="1"/>
  <c r="AN43" i="1"/>
  <c r="AN7" i="1"/>
  <c r="AN42" i="1"/>
  <c r="AN34" i="1"/>
  <c r="AN26" i="1"/>
  <c r="AN18" i="1"/>
  <c r="AN10" i="1"/>
  <c r="AN41" i="1"/>
  <c r="AN33" i="1"/>
  <c r="AN25" i="1"/>
  <c r="AN17" i="1"/>
  <c r="AN9" i="1"/>
  <c r="AN24" i="1"/>
  <c r="AN39" i="1"/>
  <c r="AN23" i="1"/>
  <c r="AL38" i="1"/>
  <c r="AL30" i="1"/>
  <c r="AL22" i="1"/>
  <c r="AL14" i="1"/>
  <c r="AL11" i="1"/>
  <c r="AL8" i="1"/>
  <c r="AL37" i="1"/>
  <c r="AL29" i="1"/>
  <c r="AL21" i="1"/>
  <c r="AL13" i="1"/>
  <c r="AL27" i="1"/>
  <c r="AL23" i="1"/>
  <c r="AL44" i="1"/>
  <c r="AL36" i="1"/>
  <c r="AL28" i="1"/>
  <c r="AL20" i="1"/>
  <c r="AL12" i="1"/>
  <c r="AL43" i="1"/>
  <c r="AL35" i="1"/>
  <c r="AL19" i="1"/>
  <c r="AL15" i="1"/>
  <c r="AL42" i="1"/>
  <c r="AL34" i="1"/>
  <c r="AL26" i="1"/>
  <c r="AL18" i="1"/>
  <c r="AL10" i="1"/>
  <c r="AL40" i="1"/>
  <c r="AL16" i="1"/>
  <c r="AL7" i="1"/>
  <c r="AL41" i="1"/>
  <c r="AL33" i="1"/>
  <c r="AL25" i="1"/>
  <c r="AL17" i="1"/>
  <c r="AL9" i="1"/>
  <c r="AL32" i="1"/>
  <c r="AL24" i="1"/>
  <c r="AL31" i="1"/>
  <c r="AL39" i="1"/>
  <c r="AM38" i="1"/>
  <c r="AM30" i="1"/>
  <c r="AM22" i="1"/>
  <c r="AM14" i="1"/>
  <c r="AM27" i="1"/>
  <c r="AM19" i="1"/>
  <c r="AM17" i="1"/>
  <c r="AM32" i="1"/>
  <c r="AM23" i="1"/>
  <c r="AM37" i="1"/>
  <c r="AM29" i="1"/>
  <c r="AM21" i="1"/>
  <c r="AM13" i="1"/>
  <c r="AM35" i="1"/>
  <c r="AM11" i="1"/>
  <c r="AM40" i="1"/>
  <c r="AM8" i="1"/>
  <c r="AM15" i="1"/>
  <c r="AM44" i="1"/>
  <c r="AM36" i="1"/>
  <c r="AM28" i="1"/>
  <c r="AM20" i="1"/>
  <c r="AM12" i="1"/>
  <c r="AM43" i="1"/>
  <c r="AM16" i="1"/>
  <c r="AM42" i="1"/>
  <c r="AM34" i="1"/>
  <c r="AM26" i="1"/>
  <c r="AM18" i="1"/>
  <c r="AM10" i="1"/>
  <c r="AM41" i="1"/>
  <c r="AM25" i="1"/>
  <c r="AM9" i="1"/>
  <c r="AM24" i="1"/>
  <c r="AM31" i="1"/>
  <c r="AM33" i="1"/>
  <c r="AM39" i="1"/>
  <c r="AM7" i="1"/>
  <c r="AB44" i="1"/>
  <c r="AB42" i="1"/>
  <c r="AB43" i="1"/>
  <c r="Y42" i="1"/>
  <c r="Y43" i="1"/>
  <c r="Y44" i="1"/>
  <c r="V43" i="1"/>
  <c r="V42" i="1"/>
  <c r="V44" i="1"/>
  <c r="V34" i="1"/>
  <c r="V26" i="1"/>
  <c r="V18" i="1"/>
  <c r="V10" i="1"/>
  <c r="V23" i="1"/>
  <c r="V29" i="1"/>
  <c r="V20" i="1"/>
  <c r="V41" i="1"/>
  <c r="V33" i="1"/>
  <c r="V25" i="1"/>
  <c r="V17" i="1"/>
  <c r="V9" i="1"/>
  <c r="V31" i="1"/>
  <c r="V11" i="1"/>
  <c r="V40" i="1"/>
  <c r="V32" i="1"/>
  <c r="V24" i="1"/>
  <c r="V16" i="1"/>
  <c r="V8" i="1"/>
  <c r="V15" i="1"/>
  <c r="V7" i="1"/>
  <c r="V13" i="1"/>
  <c r="V36" i="1"/>
  <c r="V39" i="1"/>
  <c r="V12" i="1"/>
  <c r="V38" i="1"/>
  <c r="V30" i="1"/>
  <c r="V22" i="1"/>
  <c r="V14" i="1"/>
  <c r="V21" i="1"/>
  <c r="V28" i="1"/>
  <c r="V37" i="1"/>
  <c r="V35" i="1"/>
  <c r="V27" i="1"/>
  <c r="V19" i="1"/>
  <c r="Y34" i="1"/>
  <c r="Y26" i="1"/>
  <c r="Y18" i="1"/>
  <c r="Y10" i="1"/>
  <c r="Y15" i="1"/>
  <c r="Y19" i="1"/>
  <c r="Y41" i="1"/>
  <c r="Y33" i="1"/>
  <c r="Y25" i="1"/>
  <c r="Y17" i="1"/>
  <c r="Y9" i="1"/>
  <c r="Y7" i="1"/>
  <c r="Y35" i="1"/>
  <c r="Y40" i="1"/>
  <c r="Y32" i="1"/>
  <c r="Y24" i="1"/>
  <c r="Y16" i="1"/>
  <c r="Y8" i="1"/>
  <c r="Y23" i="1"/>
  <c r="Y11" i="1"/>
  <c r="Y39" i="1"/>
  <c r="Y31" i="1"/>
  <c r="Y38" i="1"/>
  <c r="Y30" i="1"/>
  <c r="Y22" i="1"/>
  <c r="Y14" i="1"/>
  <c r="Y21" i="1"/>
  <c r="Y37" i="1"/>
  <c r="Y29" i="1"/>
  <c r="Y13" i="1"/>
  <c r="Y27" i="1"/>
  <c r="Y36" i="1"/>
  <c r="Y28" i="1"/>
  <c r="Y20" i="1"/>
  <c r="Y12" i="1"/>
  <c r="AB34" i="1"/>
  <c r="AB26" i="1"/>
  <c r="AB18" i="1"/>
  <c r="AB10" i="1"/>
  <c r="AB39" i="1"/>
  <c r="AB7" i="1"/>
  <c r="AB29" i="1"/>
  <c r="AB41" i="1"/>
  <c r="AB33" i="1"/>
  <c r="AB25" i="1"/>
  <c r="AB17" i="1"/>
  <c r="AB9" i="1"/>
  <c r="AB24" i="1"/>
  <c r="AB8" i="1"/>
  <c r="AB23" i="1"/>
  <c r="AB30" i="1"/>
  <c r="AB21" i="1"/>
  <c r="AB27" i="1"/>
  <c r="AB40" i="1"/>
  <c r="AB32" i="1"/>
  <c r="AB16" i="1"/>
  <c r="AB15" i="1"/>
  <c r="AB22" i="1"/>
  <c r="AB14" i="1"/>
  <c r="AB37" i="1"/>
  <c r="AB35" i="1"/>
  <c r="AB11" i="1"/>
  <c r="AB31" i="1"/>
  <c r="AB19" i="1"/>
  <c r="AB38" i="1"/>
  <c r="AB13" i="1"/>
  <c r="AB36" i="1"/>
  <c r="AB28" i="1"/>
  <c r="AB20" i="1"/>
  <c r="AB12" i="1"/>
  <c r="S43" i="1"/>
  <c r="S44" i="1"/>
  <c r="S42" i="1"/>
  <c r="S34" i="1"/>
  <c r="S26" i="1"/>
  <c r="S18" i="1"/>
  <c r="S10" i="1"/>
  <c r="S8" i="1"/>
  <c r="S31" i="1"/>
  <c r="S29" i="1"/>
  <c r="S20" i="1"/>
  <c r="S11" i="1"/>
  <c r="S41" i="1"/>
  <c r="S33" i="1"/>
  <c r="S25" i="1"/>
  <c r="S17" i="1"/>
  <c r="S9" i="1"/>
  <c r="S16" i="1"/>
  <c r="S23" i="1"/>
  <c r="S7" i="1"/>
  <c r="S14" i="1"/>
  <c r="S13" i="1"/>
  <c r="S28" i="1"/>
  <c r="S19" i="1"/>
  <c r="S40" i="1"/>
  <c r="S32" i="1"/>
  <c r="S24" i="1"/>
  <c r="S15" i="1"/>
  <c r="S22" i="1"/>
  <c r="S21" i="1"/>
  <c r="S36" i="1"/>
  <c r="S39" i="1"/>
  <c r="S27" i="1"/>
  <c r="S38" i="1"/>
  <c r="S30" i="1"/>
  <c r="S12" i="1"/>
  <c r="S37" i="1"/>
  <c r="S35" i="1"/>
  <c r="AK37" i="1"/>
  <c r="AK44" i="1"/>
  <c r="AK38" i="1"/>
  <c r="AK43" i="1"/>
  <c r="AK39" i="1"/>
  <c r="AK40" i="1"/>
  <c r="AK41" i="1"/>
  <c r="AK42" i="1"/>
  <c r="AK31" i="1"/>
  <c r="AK23" i="1"/>
  <c r="AK15" i="1"/>
  <c r="AK7" i="1"/>
  <c r="AK30" i="1"/>
  <c r="AK22" i="1"/>
  <c r="AK14" i="1"/>
  <c r="AK29" i="1"/>
  <c r="AK21" i="1"/>
  <c r="AK28" i="1"/>
  <c r="AK12" i="1"/>
  <c r="AK19" i="1"/>
  <c r="AK26" i="1"/>
  <c r="AK10" i="1"/>
  <c r="AK33" i="1"/>
  <c r="AK24" i="1"/>
  <c r="AK13" i="1"/>
  <c r="AK20" i="1"/>
  <c r="AK27" i="1"/>
  <c r="AK11" i="1"/>
  <c r="AK34" i="1"/>
  <c r="AK18" i="1"/>
  <c r="AK25" i="1"/>
  <c r="AK9" i="1"/>
  <c r="AK16" i="1"/>
  <c r="AK36" i="1"/>
  <c r="AK17" i="1"/>
  <c r="AK8" i="1"/>
  <c r="AK35" i="1"/>
  <c r="AK32" i="1"/>
  <c r="C4" i="1"/>
  <c r="B43" i="1"/>
  <c r="B45" i="1"/>
  <c r="B44" i="1"/>
  <c r="B42" i="1"/>
  <c r="AD6" i="1"/>
  <c r="G87" i="1" l="1"/>
  <c r="G86" i="1"/>
  <c r="F88" i="1"/>
  <c r="AD9" i="1"/>
  <c r="AD48" i="1"/>
  <c r="AD45" i="1"/>
  <c r="AD50" i="1"/>
  <c r="AD49" i="1"/>
  <c r="AD47" i="1"/>
  <c r="U94" i="1"/>
  <c r="U6" i="1"/>
  <c r="AD7" i="1"/>
  <c r="AD40" i="1"/>
  <c r="AD33" i="1"/>
  <c r="AD31" i="1"/>
  <c r="AD36" i="1"/>
  <c r="AD20" i="1"/>
  <c r="AD26" i="1"/>
  <c r="AA94" i="1"/>
  <c r="AA6" i="1"/>
  <c r="AD14" i="1"/>
  <c r="AD21" i="1"/>
  <c r="AD15" i="1"/>
  <c r="AD19" i="1"/>
  <c r="AD16" i="1"/>
  <c r="AD10" i="1"/>
  <c r="X94" i="1"/>
  <c r="X6" i="1"/>
  <c r="AD24" i="1"/>
  <c r="AD37" i="1"/>
  <c r="AD38" i="1"/>
  <c r="AD34" i="1"/>
  <c r="AD35" i="1"/>
  <c r="AD41" i="1"/>
  <c r="AD32" i="1"/>
  <c r="AD8" i="1"/>
  <c r="AD18" i="1"/>
  <c r="AD17" i="1"/>
  <c r="AD23" i="1"/>
  <c r="AD22" i="1"/>
  <c r="AD13" i="1"/>
  <c r="AD28" i="1"/>
  <c r="AD27" i="1"/>
  <c r="AD11" i="1"/>
  <c r="AD12" i="1"/>
  <c r="AD29" i="1"/>
  <c r="AD30" i="1"/>
  <c r="AD25" i="1"/>
  <c r="AD39" i="1"/>
  <c r="AD94" i="1"/>
  <c r="G88" i="1" l="1"/>
  <c r="G90" i="1"/>
  <c r="G91" i="1"/>
  <c r="G93" i="1"/>
  <c r="G92" i="1"/>
  <c r="G89" i="1"/>
  <c r="X50" i="1"/>
  <c r="X49" i="1"/>
  <c r="X47" i="1"/>
  <c r="X45" i="1"/>
  <c r="X48" i="1"/>
  <c r="AA45" i="1"/>
  <c r="AA50" i="1"/>
  <c r="AA48" i="1"/>
  <c r="AA49" i="1"/>
  <c r="AA47" i="1"/>
  <c r="U49" i="1"/>
  <c r="U47" i="1"/>
  <c r="U45" i="1"/>
  <c r="U50" i="1"/>
  <c r="U48" i="1"/>
  <c r="X8" i="1"/>
  <c r="X38" i="1"/>
  <c r="X12" i="1"/>
  <c r="X18" i="1"/>
  <c r="X23" i="1"/>
  <c r="X13" i="1"/>
  <c r="X32" i="1"/>
  <c r="X25" i="1"/>
  <c r="X37" i="1"/>
  <c r="X41" i="1"/>
  <c r="X28" i="1"/>
  <c r="X14" i="1"/>
  <c r="X16" i="1"/>
  <c r="X21" i="1"/>
  <c r="X20" i="1"/>
  <c r="X24" i="1"/>
  <c r="X29" i="1"/>
  <c r="X31" i="1"/>
  <c r="X9" i="1"/>
  <c r="X10" i="1"/>
  <c r="X35" i="1"/>
  <c r="X36" i="1"/>
  <c r="X30" i="1"/>
  <c r="X26" i="1"/>
  <c r="X33" i="1"/>
  <c r="X40" i="1"/>
  <c r="X17" i="1"/>
  <c r="X22" i="1"/>
  <c r="X27" i="1"/>
  <c r="X11" i="1"/>
  <c r="X15" i="1"/>
  <c r="X19" i="1"/>
  <c r="X39" i="1"/>
  <c r="X34" i="1"/>
  <c r="X7" i="1"/>
  <c r="U23" i="1"/>
  <c r="U38" i="1"/>
  <c r="U28" i="1"/>
  <c r="U27" i="1"/>
  <c r="U11" i="1"/>
  <c r="U12" i="1"/>
  <c r="U21" i="1"/>
  <c r="U16" i="1"/>
  <c r="U33" i="1"/>
  <c r="U32" i="1"/>
  <c r="U31" i="1"/>
  <c r="U26" i="1"/>
  <c r="U17" i="1"/>
  <c r="U22" i="1"/>
  <c r="U41" i="1"/>
  <c r="U9" i="1"/>
  <c r="U8" i="1"/>
  <c r="U20" i="1"/>
  <c r="U35" i="1"/>
  <c r="U10" i="1"/>
  <c r="U25" i="1"/>
  <c r="U36" i="1"/>
  <c r="U15" i="1"/>
  <c r="U13" i="1"/>
  <c r="U34" i="1"/>
  <c r="U39" i="1"/>
  <c r="U30" i="1"/>
  <c r="U19" i="1"/>
  <c r="U40" i="1"/>
  <c r="U7" i="1"/>
  <c r="U18" i="1"/>
  <c r="U14" i="1"/>
  <c r="U24" i="1"/>
  <c r="U29" i="1"/>
  <c r="U37" i="1"/>
  <c r="AA41" i="1"/>
  <c r="AA38" i="1"/>
  <c r="AA16" i="1"/>
  <c r="AA32" i="1"/>
  <c r="AA18" i="1"/>
  <c r="AA17" i="1"/>
  <c r="AA8" i="1"/>
  <c r="AA23" i="1"/>
  <c r="AA22" i="1"/>
  <c r="AA13" i="1"/>
  <c r="AA27" i="1"/>
  <c r="AA11" i="1"/>
  <c r="AA12" i="1"/>
  <c r="AA28" i="1"/>
  <c r="AA35" i="1"/>
  <c r="AA25" i="1"/>
  <c r="AA21" i="1"/>
  <c r="AA37" i="1"/>
  <c r="AA15" i="1"/>
  <c r="AA9" i="1"/>
  <c r="AA14" i="1"/>
  <c r="AA29" i="1"/>
  <c r="AA31" i="1"/>
  <c r="AA20" i="1"/>
  <c r="AA33" i="1"/>
  <c r="AA26" i="1"/>
  <c r="AA24" i="1"/>
  <c r="AA36" i="1"/>
  <c r="AA39" i="1"/>
  <c r="AA10" i="1"/>
  <c r="AA30" i="1"/>
  <c r="AA7" i="1"/>
  <c r="AA19" i="1"/>
  <c r="AA34" i="1"/>
  <c r="AA40" i="1"/>
  <c r="AJ94" i="1" l="1"/>
  <c r="AJ6" i="1"/>
  <c r="AJ45" i="1" s="1"/>
  <c r="AI94" i="1"/>
  <c r="AI6" i="1"/>
  <c r="AI45" i="1" s="1"/>
  <c r="B41" i="1"/>
  <c r="AI30" i="1" l="1"/>
  <c r="AI39" i="1"/>
  <c r="AI38" i="1"/>
  <c r="AI14" i="1"/>
  <c r="AI29" i="1"/>
  <c r="AI36" i="1"/>
  <c r="AI8" i="1"/>
  <c r="AI7" i="1"/>
  <c r="AI13" i="1"/>
  <c r="AI9" i="1"/>
  <c r="AI32" i="1"/>
  <c r="AI31" i="1"/>
  <c r="AI20" i="1"/>
  <c r="AI35" i="1"/>
  <c r="AI34" i="1"/>
  <c r="AI28" i="1"/>
  <c r="AI12" i="1"/>
  <c r="AI16" i="1"/>
  <c r="AI21" i="1"/>
  <c r="AI22" i="1"/>
  <c r="AI25" i="1"/>
  <c r="AI15" i="1"/>
  <c r="AI24" i="1"/>
  <c r="AI33" i="1"/>
  <c r="AI19" i="1"/>
  <c r="AI27" i="1"/>
  <c r="AI18" i="1"/>
  <c r="AI26" i="1"/>
  <c r="AI23" i="1"/>
  <c r="AI11" i="1"/>
  <c r="AI17" i="1"/>
  <c r="AI10" i="1"/>
  <c r="AJ25" i="1"/>
  <c r="AJ38" i="1"/>
  <c r="AJ36" i="1"/>
  <c r="AJ34" i="1"/>
  <c r="AJ28" i="1"/>
  <c r="AJ29" i="1"/>
  <c r="AJ24" i="1"/>
  <c r="AJ12" i="1"/>
  <c r="AJ8" i="1"/>
  <c r="AJ7" i="1"/>
  <c r="AJ35" i="1"/>
  <c r="AJ18" i="1"/>
  <c r="AJ9" i="1"/>
  <c r="AJ23" i="1"/>
  <c r="AJ13" i="1"/>
  <c r="AJ19" i="1"/>
  <c r="AJ14" i="1"/>
  <c r="AJ39" i="1"/>
  <c r="AJ30" i="1"/>
  <c r="AJ32" i="1"/>
  <c r="AJ26" i="1"/>
  <c r="AJ11" i="1"/>
  <c r="AJ17" i="1"/>
  <c r="AJ10" i="1"/>
  <c r="AJ15" i="1"/>
  <c r="AJ33" i="1"/>
  <c r="AJ31" i="1"/>
  <c r="AJ27" i="1"/>
  <c r="AJ22" i="1"/>
  <c r="AJ16" i="1"/>
  <c r="AJ21" i="1"/>
  <c r="AJ20" i="1"/>
  <c r="B6" i="1"/>
  <c r="I94" i="1" l="1"/>
  <c r="AC94" i="1" l="1"/>
  <c r="AC6" i="1"/>
  <c r="Z94" i="1"/>
  <c r="Z6" i="1"/>
  <c r="W94" i="1"/>
  <c r="W6" i="1"/>
  <c r="T94" i="1"/>
  <c r="T6" i="1"/>
  <c r="B38" i="1"/>
  <c r="T50" i="1" l="1"/>
  <c r="T47" i="1"/>
  <c r="T49" i="1"/>
  <c r="T45" i="1"/>
  <c r="T48" i="1"/>
  <c r="W27" i="1"/>
  <c r="W50" i="1"/>
  <c r="W48" i="1"/>
  <c r="W49" i="1"/>
  <c r="W47" i="1"/>
  <c r="W45" i="1"/>
  <c r="Z45" i="1"/>
  <c r="Z49" i="1"/>
  <c r="Z48" i="1"/>
  <c r="Z47" i="1"/>
  <c r="Z50" i="1"/>
  <c r="AC48" i="1"/>
  <c r="AC50" i="1"/>
  <c r="AC49" i="1"/>
  <c r="AC45" i="1"/>
  <c r="AC47" i="1"/>
  <c r="T28" i="1"/>
  <c r="T22" i="1"/>
  <c r="T41" i="1"/>
  <c r="T27" i="1"/>
  <c r="T32" i="1"/>
  <c r="T17" i="1"/>
  <c r="T38" i="1"/>
  <c r="T19" i="1"/>
  <c r="T34" i="1"/>
  <c r="T23" i="1"/>
  <c r="T15" i="1"/>
  <c r="T12" i="1"/>
  <c r="T40" i="1"/>
  <c r="T29" i="1"/>
  <c r="T37" i="1"/>
  <c r="T25" i="1"/>
  <c r="T26" i="1"/>
  <c r="T35" i="1"/>
  <c r="T11" i="1"/>
  <c r="T24" i="1"/>
  <c r="T33" i="1"/>
  <c r="T13" i="1"/>
  <c r="T10" i="1"/>
  <c r="T18" i="1"/>
  <c r="T7" i="1"/>
  <c r="T36" i="1"/>
  <c r="T39" i="1"/>
  <c r="T21" i="1"/>
  <c r="T9" i="1"/>
  <c r="T20" i="1"/>
  <c r="T30" i="1"/>
  <c r="T8" i="1"/>
  <c r="T14" i="1"/>
  <c r="T31" i="1"/>
  <c r="T16" i="1"/>
  <c r="Z41" i="1"/>
  <c r="Z38" i="1"/>
  <c r="Z18" i="1"/>
  <c r="Z8" i="1"/>
  <c r="Z23" i="1"/>
  <c r="Z13" i="1"/>
  <c r="Z40" i="1"/>
  <c r="Z11" i="1"/>
  <c r="Z33" i="1"/>
  <c r="Z24" i="1"/>
  <c r="Z32" i="1"/>
  <c r="Z27" i="1"/>
  <c r="Z16" i="1"/>
  <c r="Z25" i="1"/>
  <c r="Z12" i="1"/>
  <c r="Z30" i="1"/>
  <c r="Z31" i="1"/>
  <c r="Z17" i="1"/>
  <c r="Z35" i="1"/>
  <c r="Z21" i="1"/>
  <c r="Z9" i="1"/>
  <c r="Z39" i="1"/>
  <c r="Z7" i="1"/>
  <c r="Z14" i="1"/>
  <c r="Z22" i="1"/>
  <c r="Z20" i="1"/>
  <c r="Z19" i="1"/>
  <c r="Z26" i="1"/>
  <c r="Z34" i="1"/>
  <c r="Z28" i="1"/>
  <c r="Z10" i="1"/>
  <c r="Z36" i="1"/>
  <c r="Z15" i="1"/>
  <c r="Z37" i="1"/>
  <c r="Z29" i="1"/>
  <c r="AC29" i="1"/>
  <c r="AC41" i="1"/>
  <c r="AC39" i="1"/>
  <c r="AC37" i="1"/>
  <c r="AC18" i="1"/>
  <c r="AC38" i="1"/>
  <c r="AC34" i="1"/>
  <c r="AC32" i="1"/>
  <c r="AC17" i="1"/>
  <c r="AC8" i="1"/>
  <c r="AC23" i="1"/>
  <c r="AC22" i="1"/>
  <c r="AC13" i="1"/>
  <c r="AC35" i="1"/>
  <c r="AC28" i="1"/>
  <c r="AC27" i="1"/>
  <c r="AC11" i="1"/>
  <c r="AC12" i="1"/>
  <c r="AC33" i="1"/>
  <c r="AC24" i="1"/>
  <c r="AC20" i="1"/>
  <c r="AC36" i="1"/>
  <c r="AC15" i="1"/>
  <c r="AC16" i="1"/>
  <c r="AC40" i="1"/>
  <c r="AC21" i="1"/>
  <c r="AC9" i="1"/>
  <c r="AC30" i="1"/>
  <c r="AC31" i="1"/>
  <c r="AC26" i="1"/>
  <c r="AC25" i="1"/>
  <c r="AC7" i="1"/>
  <c r="AC14" i="1"/>
  <c r="AC10" i="1"/>
  <c r="AC19" i="1"/>
  <c r="W13" i="1"/>
  <c r="W23" i="1"/>
  <c r="W21" i="1"/>
  <c r="W16" i="1"/>
  <c r="W12" i="1"/>
  <c r="W38" i="1"/>
  <c r="W32" i="1"/>
  <c r="W31" i="1"/>
  <c r="W26" i="1"/>
  <c r="W17" i="1"/>
  <c r="W28" i="1"/>
  <c r="W22" i="1"/>
  <c r="W18" i="1"/>
  <c r="W11" i="1"/>
  <c r="W20" i="1"/>
  <c r="W40" i="1"/>
  <c r="W35" i="1"/>
  <c r="W39" i="1"/>
  <c r="W30" i="1"/>
  <c r="W8" i="1"/>
  <c r="W25" i="1"/>
  <c r="W14" i="1"/>
  <c r="W37" i="1"/>
  <c r="W7" i="1"/>
  <c r="W9" i="1"/>
  <c r="W19" i="1"/>
  <c r="W10" i="1"/>
  <c r="W41" i="1"/>
  <c r="W33" i="1"/>
  <c r="W29" i="1"/>
  <c r="W34" i="1"/>
  <c r="W24" i="1"/>
  <c r="W36" i="1"/>
  <c r="W15" i="1"/>
  <c r="B37" i="1"/>
  <c r="B39" i="1" l="1"/>
  <c r="B40" i="1" l="1"/>
  <c r="AH6" i="1"/>
  <c r="AH45" i="1" s="1"/>
  <c r="AH30" i="1" l="1"/>
  <c r="AH39" i="1"/>
  <c r="AH34" i="1"/>
  <c r="AH36" i="1"/>
  <c r="AH38" i="1"/>
  <c r="AH14" i="1"/>
  <c r="AH8" i="1"/>
  <c r="AH7" i="1"/>
  <c r="AH9" i="1"/>
  <c r="AH29" i="1"/>
  <c r="AH32" i="1"/>
  <c r="AH11" i="1"/>
  <c r="AH20" i="1"/>
  <c r="AH12" i="1"/>
  <c r="AH28" i="1"/>
  <c r="AH16" i="1"/>
  <c r="AH21" i="1"/>
  <c r="AH10" i="1"/>
  <c r="AH15" i="1"/>
  <c r="AH24" i="1"/>
  <c r="AH23" i="1"/>
  <c r="AH33" i="1"/>
  <c r="AH31" i="1"/>
  <c r="AH17" i="1"/>
  <c r="AH19" i="1"/>
  <c r="AH18" i="1"/>
  <c r="AH27" i="1"/>
  <c r="AH22" i="1"/>
  <c r="AH25" i="1"/>
  <c r="AH13" i="1"/>
  <c r="AH35" i="1"/>
  <c r="AH26" i="1"/>
  <c r="AH94" i="1"/>
  <c r="Q6" i="1"/>
  <c r="B36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5" i="1"/>
  <c r="Q49" i="1" l="1"/>
  <c r="Q50" i="1"/>
  <c r="Q47" i="1"/>
  <c r="Q48" i="1"/>
  <c r="Q45" i="1"/>
  <c r="Q28" i="1"/>
  <c r="Q38" i="1"/>
  <c r="Q37" i="1"/>
  <c r="Q35" i="1"/>
  <c r="Q39" i="1"/>
  <c r="Q44" i="1"/>
  <c r="Q43" i="1"/>
  <c r="Q41" i="1"/>
  <c r="Q36" i="1"/>
  <c r="Q42" i="1"/>
  <c r="Q32" i="1"/>
  <c r="Q40" i="1"/>
  <c r="Q34" i="1"/>
  <c r="Q33" i="1"/>
  <c r="Q26" i="1"/>
  <c r="Q24" i="1"/>
  <c r="Q14" i="1"/>
  <c r="Q29" i="1"/>
  <c r="Q20" i="1"/>
  <c r="Q30" i="1"/>
  <c r="Q16" i="1"/>
  <c r="Q15" i="1"/>
  <c r="Q7" i="1"/>
  <c r="Q17" i="1"/>
  <c r="Q31" i="1"/>
  <c r="Q10" i="1"/>
  <c r="Q13" i="1"/>
  <c r="Q11" i="1"/>
  <c r="Q19" i="1"/>
  <c r="Q18" i="1"/>
  <c r="Q22" i="1"/>
  <c r="Q8" i="1"/>
  <c r="Q25" i="1"/>
  <c r="Q9" i="1"/>
  <c r="Q21" i="1"/>
  <c r="Q27" i="1"/>
  <c r="Q12" i="1"/>
  <c r="Q23" i="1"/>
  <c r="B4" i="1"/>
  <c r="Q94" i="1"/>
  <c r="AG6" i="1"/>
  <c r="AF6" i="1"/>
  <c r="AF50" i="1" l="1"/>
  <c r="AF49" i="1"/>
  <c r="AF45" i="1"/>
  <c r="AF48" i="1"/>
  <c r="AF47" i="1"/>
  <c r="AG45" i="1"/>
  <c r="AG49" i="1"/>
  <c r="AG48" i="1"/>
  <c r="AG50" i="1"/>
  <c r="AG47" i="1"/>
  <c r="AF9" i="1"/>
  <c r="AF44" i="1"/>
  <c r="AF43" i="1"/>
  <c r="AF42" i="1"/>
  <c r="AF41" i="1"/>
  <c r="AF40" i="1"/>
  <c r="AF36" i="1"/>
  <c r="AF39" i="1"/>
  <c r="AF23" i="1"/>
  <c r="AF22" i="1"/>
  <c r="AF19" i="1"/>
  <c r="AF13" i="1"/>
  <c r="AF38" i="1"/>
  <c r="AF28" i="1"/>
  <c r="AF27" i="1"/>
  <c r="AF37" i="1"/>
  <c r="AF24" i="1"/>
  <c r="AF14" i="1"/>
  <c r="AF12" i="1"/>
  <c r="AF29" i="1"/>
  <c r="AF18" i="1"/>
  <c r="AF17" i="1"/>
  <c r="AF8" i="1"/>
  <c r="AF20" i="1"/>
  <c r="AF31" i="1"/>
  <c r="AF15" i="1"/>
  <c r="AF26" i="1"/>
  <c r="AF25" i="1"/>
  <c r="AF10" i="1"/>
  <c r="AF30" i="1"/>
  <c r="AF7" i="1"/>
  <c r="AF11" i="1"/>
  <c r="AF21" i="1"/>
  <c r="AF16" i="1"/>
  <c r="AG30" i="1"/>
  <c r="AG39" i="1"/>
  <c r="AG38" i="1"/>
  <c r="AG37" i="1"/>
  <c r="AG23" i="1"/>
  <c r="AG22" i="1"/>
  <c r="AG19" i="1"/>
  <c r="AG13" i="1"/>
  <c r="AG9" i="1"/>
  <c r="AG28" i="1"/>
  <c r="AG27" i="1"/>
  <c r="AG12" i="1"/>
  <c r="AG44" i="1"/>
  <c r="AG24" i="1"/>
  <c r="AG14" i="1"/>
  <c r="AG43" i="1"/>
  <c r="AG29" i="1"/>
  <c r="AG42" i="1"/>
  <c r="AG41" i="1"/>
  <c r="AG36" i="1"/>
  <c r="AG40" i="1"/>
  <c r="AG18" i="1"/>
  <c r="AG7" i="1"/>
  <c r="AG8" i="1"/>
  <c r="AG17" i="1"/>
  <c r="AG11" i="1"/>
  <c r="AG25" i="1"/>
  <c r="AG26" i="1"/>
  <c r="AG16" i="1"/>
  <c r="AG21" i="1"/>
  <c r="AG31" i="1"/>
  <c r="AG15" i="1"/>
  <c r="AG10" i="1"/>
  <c r="AG20" i="1"/>
  <c r="AG94" i="1"/>
  <c r="AF94" i="1"/>
  <c r="AE6" i="1"/>
  <c r="AE48" i="1" l="1"/>
  <c r="AE49" i="1"/>
  <c r="AE50" i="1"/>
  <c r="AE47" i="1"/>
  <c r="AE45" i="1"/>
  <c r="AE14" i="1"/>
  <c r="AE44" i="1"/>
  <c r="AE43" i="1"/>
  <c r="AE42" i="1"/>
  <c r="AE41" i="1"/>
  <c r="AE40" i="1"/>
  <c r="AE36" i="1"/>
  <c r="AE32" i="1"/>
  <c r="AE39" i="1"/>
  <c r="AE38" i="1"/>
  <c r="AE37" i="1"/>
  <c r="AE18" i="1"/>
  <c r="AE17" i="1"/>
  <c r="AE8" i="1"/>
  <c r="AE13" i="1"/>
  <c r="AE19" i="1"/>
  <c r="AE23" i="1"/>
  <c r="AE22" i="1"/>
  <c r="AE28" i="1"/>
  <c r="AE27" i="1"/>
  <c r="AE34" i="1"/>
  <c r="AE24" i="1"/>
  <c r="AE12" i="1"/>
  <c r="AE33" i="1"/>
  <c r="AE29" i="1"/>
  <c r="AE35" i="1"/>
  <c r="AE7" i="1"/>
  <c r="AE21" i="1"/>
  <c r="AE9" i="1"/>
  <c r="AE26" i="1"/>
  <c r="AE15" i="1"/>
  <c r="AE16" i="1"/>
  <c r="AE10" i="1"/>
  <c r="AE20" i="1"/>
  <c r="AE31" i="1"/>
  <c r="AE11" i="1"/>
  <c r="AE30" i="1"/>
  <c r="AE25" i="1"/>
  <c r="AE94" i="1"/>
  <c r="R6" i="1" l="1"/>
  <c r="R47" i="1" l="1"/>
  <c r="R49" i="1"/>
  <c r="R48" i="1"/>
  <c r="R45" i="1"/>
  <c r="R50" i="1"/>
  <c r="R10" i="1"/>
  <c r="R35" i="1"/>
  <c r="R44" i="1"/>
  <c r="R43" i="1"/>
  <c r="R42" i="1"/>
  <c r="R41" i="1"/>
  <c r="R40" i="1"/>
  <c r="R36" i="1"/>
  <c r="R32" i="1"/>
  <c r="R33" i="1"/>
  <c r="R34" i="1"/>
  <c r="R39" i="1"/>
  <c r="R38" i="1"/>
  <c r="R37" i="1"/>
  <c r="R26" i="1"/>
  <c r="R7" i="1"/>
  <c r="R14" i="1"/>
  <c r="R9" i="1"/>
  <c r="R15" i="1"/>
  <c r="R8" i="1"/>
  <c r="R13" i="1"/>
  <c r="R27" i="1"/>
  <c r="R12" i="1"/>
  <c r="R11" i="1"/>
  <c r="R31" i="1"/>
  <c r="R30" i="1"/>
  <c r="R23" i="1"/>
  <c r="R24" i="1"/>
  <c r="R17" i="1"/>
  <c r="R16" i="1"/>
  <c r="R20" i="1"/>
  <c r="R28" i="1"/>
  <c r="R22" i="1"/>
  <c r="R29" i="1"/>
  <c r="R18" i="1"/>
  <c r="R21" i="1"/>
  <c r="R25" i="1"/>
  <c r="R19" i="1"/>
  <c r="R94" i="1"/>
  <c r="N6" i="1"/>
  <c r="O6" i="1"/>
  <c r="P6" i="1"/>
  <c r="AU6" i="1"/>
  <c r="AV6" i="1"/>
  <c r="AW6" i="1"/>
  <c r="AX6" i="1"/>
  <c r="AY6" i="1"/>
  <c r="AZ6" i="1"/>
  <c r="BA6" i="1"/>
  <c r="BB6" i="1"/>
  <c r="BC6" i="1"/>
  <c r="BD6" i="1"/>
  <c r="BE6" i="1"/>
  <c r="BF6" i="1"/>
  <c r="BK6" i="1"/>
  <c r="BL6" i="1"/>
  <c r="BM6" i="1"/>
  <c r="BO6" i="1"/>
  <c r="H6" i="1"/>
  <c r="BF50" i="1" l="1"/>
  <c r="BF49" i="1"/>
  <c r="BF48" i="1"/>
  <c r="BF47" i="1"/>
  <c r="BF45" i="1"/>
  <c r="BM50" i="1"/>
  <c r="BM49" i="1"/>
  <c r="BM47" i="1"/>
  <c r="BM48" i="1"/>
  <c r="BM45" i="1"/>
  <c r="BL50" i="1"/>
  <c r="BL48" i="1"/>
  <c r="BL49" i="1"/>
  <c r="BL47" i="1"/>
  <c r="BL45" i="1"/>
  <c r="BD49" i="1"/>
  <c r="BD50" i="1"/>
  <c r="BD47" i="1"/>
  <c r="BD48" i="1"/>
  <c r="BD45" i="1"/>
  <c r="BB50" i="1"/>
  <c r="BB49" i="1"/>
  <c r="BB47" i="1"/>
  <c r="BB48" i="1"/>
  <c r="BB45" i="1"/>
  <c r="BA49" i="1"/>
  <c r="BA48" i="1"/>
  <c r="BA45" i="1"/>
  <c r="BA47" i="1"/>
  <c r="BA50" i="1"/>
  <c r="AZ50" i="1"/>
  <c r="AZ47" i="1"/>
  <c r="AZ49" i="1"/>
  <c r="AZ48" i="1"/>
  <c r="AZ45" i="1"/>
  <c r="AW49" i="1"/>
  <c r="AW47" i="1"/>
  <c r="AW50" i="1"/>
  <c r="AW48" i="1"/>
  <c r="AW45" i="1"/>
  <c r="AU47" i="1"/>
  <c r="AU48" i="1"/>
  <c r="AU50" i="1"/>
  <c r="AU45" i="1"/>
  <c r="AU49" i="1"/>
  <c r="P49" i="1"/>
  <c r="P48" i="1"/>
  <c r="P45" i="1"/>
  <c r="P50" i="1"/>
  <c r="P47" i="1"/>
  <c r="O49" i="1"/>
  <c r="O50" i="1"/>
  <c r="O47" i="1"/>
  <c r="O48" i="1"/>
  <c r="O45" i="1"/>
  <c r="N47" i="1"/>
  <c r="N45" i="1"/>
  <c r="N49" i="1"/>
  <c r="N50" i="1"/>
  <c r="N48" i="1"/>
  <c r="BC49" i="1"/>
  <c r="BC50" i="1"/>
  <c r="BC47" i="1"/>
  <c r="BC45" i="1"/>
  <c r="BC48" i="1"/>
  <c r="H50" i="1"/>
  <c r="H48" i="1"/>
  <c r="H47" i="1"/>
  <c r="H49" i="1"/>
  <c r="BK48" i="1"/>
  <c r="BK45" i="1"/>
  <c r="BK50" i="1"/>
  <c r="BK49" i="1"/>
  <c r="BK47" i="1"/>
  <c r="BE49" i="1"/>
  <c r="BE47" i="1"/>
  <c r="BE45" i="1"/>
  <c r="BE50" i="1"/>
  <c r="BE48" i="1"/>
  <c r="AX50" i="1"/>
  <c r="AX49" i="1"/>
  <c r="AX48" i="1"/>
  <c r="AX47" i="1"/>
  <c r="AX45" i="1"/>
  <c r="AV49" i="1"/>
  <c r="AV47" i="1"/>
  <c r="AV50" i="1"/>
  <c r="AV48" i="1"/>
  <c r="AV45" i="1"/>
  <c r="BO50" i="1"/>
  <c r="BO48" i="1"/>
  <c r="BO49" i="1"/>
  <c r="BO45" i="1"/>
  <c r="BO47" i="1"/>
  <c r="AY47" i="1"/>
  <c r="AY50" i="1"/>
  <c r="AY49" i="1"/>
  <c r="AY48" i="1"/>
  <c r="AY45" i="1"/>
  <c r="AY30" i="1"/>
  <c r="AY22" i="1"/>
  <c r="AY9" i="1"/>
  <c r="AY34" i="1"/>
  <c r="AY27" i="1"/>
  <c r="AY19" i="1"/>
  <c r="AY14" i="1"/>
  <c r="AY24" i="1"/>
  <c r="AY11" i="1"/>
  <c r="AY44" i="1"/>
  <c r="AY43" i="1"/>
  <c r="AY42" i="1"/>
  <c r="AY41" i="1"/>
  <c r="AY40" i="1"/>
  <c r="AY39" i="1"/>
  <c r="AY35" i="1"/>
  <c r="AY26" i="1"/>
  <c r="AY18" i="1"/>
  <c r="AY13" i="1"/>
  <c r="AY38" i="1"/>
  <c r="AY32" i="1"/>
  <c r="AY28" i="1"/>
  <c r="AY20" i="1"/>
  <c r="AY15" i="1"/>
  <c r="AY33" i="1"/>
  <c r="AY12" i="1"/>
  <c r="AY10" i="1"/>
  <c r="AY8" i="1"/>
  <c r="AY37" i="1"/>
  <c r="AY31" i="1"/>
  <c r="AY29" i="1"/>
  <c r="AY36" i="1"/>
  <c r="AY25" i="1"/>
  <c r="AY23" i="1"/>
  <c r="AY21" i="1"/>
  <c r="AY7" i="1"/>
  <c r="BF28" i="1"/>
  <c r="BF20" i="1"/>
  <c r="BF12" i="1"/>
  <c r="BF37" i="1"/>
  <c r="BF36" i="1"/>
  <c r="BF25" i="1"/>
  <c r="BF17" i="1"/>
  <c r="BF9" i="1"/>
  <c r="BF34" i="1"/>
  <c r="BF22" i="1"/>
  <c r="BF14" i="1"/>
  <c r="BF24" i="1"/>
  <c r="BF16" i="1"/>
  <c r="BF8" i="1"/>
  <c r="BF26" i="1"/>
  <c r="BF18" i="1"/>
  <c r="BF10" i="1"/>
  <c r="BF29" i="1"/>
  <c r="BF27" i="1"/>
  <c r="BF41" i="1"/>
  <c r="BF23" i="1"/>
  <c r="BF21" i="1"/>
  <c r="BF19" i="1"/>
  <c r="BF40" i="1"/>
  <c r="BF35" i="1"/>
  <c r="BF15" i="1"/>
  <c r="BF13" i="1"/>
  <c r="BF11" i="1"/>
  <c r="BF39" i="1"/>
  <c r="BF33" i="1"/>
  <c r="BF32" i="1"/>
  <c r="BF38" i="1"/>
  <c r="BF43" i="1"/>
  <c r="BF44" i="1"/>
  <c r="BF7" i="1"/>
  <c r="BF42" i="1"/>
  <c r="AX25" i="1"/>
  <c r="AX17" i="1"/>
  <c r="AX12" i="1"/>
  <c r="AX37" i="1"/>
  <c r="AX36" i="1"/>
  <c r="AX30" i="1"/>
  <c r="AX22" i="1"/>
  <c r="AX9" i="1"/>
  <c r="AX34" i="1"/>
  <c r="AX27" i="1"/>
  <c r="AX19" i="1"/>
  <c r="AX29" i="1"/>
  <c r="AX21" i="1"/>
  <c r="AX8" i="1"/>
  <c r="AX31" i="1"/>
  <c r="AX23" i="1"/>
  <c r="AX10" i="1"/>
  <c r="AX20" i="1"/>
  <c r="AX18" i="1"/>
  <c r="AX16" i="1"/>
  <c r="AX44" i="1"/>
  <c r="AX43" i="1"/>
  <c r="AX42" i="1"/>
  <c r="AX41" i="1"/>
  <c r="AX40" i="1"/>
  <c r="AX35" i="1"/>
  <c r="AX13" i="1"/>
  <c r="AX11" i="1"/>
  <c r="AX39" i="1"/>
  <c r="AX33" i="1"/>
  <c r="AX32" i="1"/>
  <c r="AX28" i="1"/>
  <c r="AX26" i="1"/>
  <c r="AX24" i="1"/>
  <c r="AX38" i="1"/>
  <c r="AX7" i="1"/>
  <c r="AW28" i="1"/>
  <c r="AW20" i="1"/>
  <c r="AW33" i="1"/>
  <c r="AW25" i="1"/>
  <c r="AW17" i="1"/>
  <c r="AW37" i="1"/>
  <c r="AW36" i="1"/>
  <c r="AW30" i="1"/>
  <c r="AW22" i="1"/>
  <c r="AW14" i="1"/>
  <c r="AW9" i="1"/>
  <c r="AW34" i="1"/>
  <c r="AW24" i="1"/>
  <c r="AW16" i="1"/>
  <c r="AW11" i="1"/>
  <c r="AW44" i="1"/>
  <c r="AW43" i="1"/>
  <c r="AW42" i="1"/>
  <c r="AW41" i="1"/>
  <c r="AW40" i="1"/>
  <c r="AW39" i="1"/>
  <c r="AW35" i="1"/>
  <c r="AW26" i="1"/>
  <c r="AW18" i="1"/>
  <c r="AW38" i="1"/>
  <c r="AW32" i="1"/>
  <c r="AW7" i="1"/>
  <c r="AW10" i="1"/>
  <c r="AW8" i="1"/>
  <c r="AW31" i="1"/>
  <c r="AW29" i="1"/>
  <c r="AW27" i="1"/>
  <c r="AW23" i="1"/>
  <c r="AW21" i="1"/>
  <c r="AW19" i="1"/>
  <c r="AW15" i="1"/>
  <c r="BD31" i="1"/>
  <c r="BD18" i="1"/>
  <c r="BD10" i="1"/>
  <c r="BD28" i="1"/>
  <c r="BD23" i="1"/>
  <c r="BD15" i="1"/>
  <c r="BD33" i="1"/>
  <c r="BD20" i="1"/>
  <c r="BD12" i="1"/>
  <c r="BD37" i="1"/>
  <c r="BD36" i="1"/>
  <c r="BD22" i="1"/>
  <c r="BD14" i="1"/>
  <c r="BD29" i="1"/>
  <c r="BD24" i="1"/>
  <c r="BD16" i="1"/>
  <c r="BD8" i="1"/>
  <c r="BD42" i="1"/>
  <c r="BD25" i="1"/>
  <c r="BD41" i="1"/>
  <c r="BD7" i="1"/>
  <c r="BD21" i="1"/>
  <c r="BD19" i="1"/>
  <c r="BD17" i="1"/>
  <c r="BD40" i="1"/>
  <c r="BD35" i="1"/>
  <c r="BD34" i="1"/>
  <c r="BD13" i="1"/>
  <c r="BD11" i="1"/>
  <c r="BD9" i="1"/>
  <c r="BD39" i="1"/>
  <c r="BD32" i="1"/>
  <c r="BD44" i="1"/>
  <c r="BD30" i="1"/>
  <c r="BD38" i="1"/>
  <c r="BD43" i="1"/>
  <c r="AV31" i="1"/>
  <c r="AV23" i="1"/>
  <c r="AV15" i="1"/>
  <c r="AV28" i="1"/>
  <c r="AV20" i="1"/>
  <c r="AV12" i="1"/>
  <c r="AV33" i="1"/>
  <c r="AV25" i="1"/>
  <c r="AV17" i="1"/>
  <c r="AV37" i="1"/>
  <c r="AV36" i="1"/>
  <c r="AV27" i="1"/>
  <c r="AV19" i="1"/>
  <c r="AV29" i="1"/>
  <c r="AV21" i="1"/>
  <c r="AV13" i="1"/>
  <c r="AV8" i="1"/>
  <c r="AV26" i="1"/>
  <c r="AV24" i="1"/>
  <c r="AV22" i="1"/>
  <c r="AV38" i="1"/>
  <c r="AV7" i="1"/>
  <c r="AV18" i="1"/>
  <c r="AV16" i="1"/>
  <c r="AV14" i="1"/>
  <c r="AV44" i="1"/>
  <c r="AV43" i="1"/>
  <c r="AV42" i="1"/>
  <c r="AV39" i="1"/>
  <c r="AV41" i="1"/>
  <c r="AV40" i="1"/>
  <c r="AV35" i="1"/>
  <c r="AV34" i="1"/>
  <c r="AV9" i="1"/>
  <c r="AV32" i="1"/>
  <c r="AV30" i="1"/>
  <c r="H22" i="1"/>
  <c r="H37" i="1"/>
  <c r="H44" i="1"/>
  <c r="H36" i="1"/>
  <c r="H43" i="1"/>
  <c r="H35" i="1"/>
  <c r="H41" i="1"/>
  <c r="H33" i="1"/>
  <c r="H39" i="1"/>
  <c r="H31" i="1"/>
  <c r="H21" i="1"/>
  <c r="H19" i="1"/>
  <c r="H16" i="1"/>
  <c r="H10" i="1"/>
  <c r="H15" i="1"/>
  <c r="H14" i="1"/>
  <c r="H24" i="1"/>
  <c r="H8" i="1"/>
  <c r="H26" i="1"/>
  <c r="H20" i="1"/>
  <c r="H42" i="1"/>
  <c r="H29" i="1"/>
  <c r="H7" i="1"/>
  <c r="H40" i="1"/>
  <c r="H30" i="1"/>
  <c r="H25" i="1"/>
  <c r="H17" i="1"/>
  <c r="H13" i="1"/>
  <c r="H38" i="1"/>
  <c r="H27" i="1"/>
  <c r="H11" i="1"/>
  <c r="H9" i="1"/>
  <c r="H32" i="1"/>
  <c r="H34" i="1"/>
  <c r="H45" i="1"/>
  <c r="H18" i="1"/>
  <c r="H23" i="1"/>
  <c r="H12" i="1"/>
  <c r="H28" i="1"/>
  <c r="BC26" i="1"/>
  <c r="BC21" i="1"/>
  <c r="BC13" i="1"/>
  <c r="BC38" i="1"/>
  <c r="BC32" i="1"/>
  <c r="BC31" i="1"/>
  <c r="BC18" i="1"/>
  <c r="BC10" i="1"/>
  <c r="BC28" i="1"/>
  <c r="BC23" i="1"/>
  <c r="BC15" i="1"/>
  <c r="BC33" i="1"/>
  <c r="BC30" i="1"/>
  <c r="BC17" i="1"/>
  <c r="BC9" i="1"/>
  <c r="BC34" i="1"/>
  <c r="BC19" i="1"/>
  <c r="BC11" i="1"/>
  <c r="BC44" i="1"/>
  <c r="BC43" i="1"/>
  <c r="BC42" i="1"/>
  <c r="BC41" i="1"/>
  <c r="BC40" i="1"/>
  <c r="BC39" i="1"/>
  <c r="BC35" i="1"/>
  <c r="BC8" i="1"/>
  <c r="BC36" i="1"/>
  <c r="BC7" i="1"/>
  <c r="BC22" i="1"/>
  <c r="BC29" i="1"/>
  <c r="BC27" i="1"/>
  <c r="BC20" i="1"/>
  <c r="BC14" i="1"/>
  <c r="BC12" i="1"/>
  <c r="BC37" i="1"/>
  <c r="BC16" i="1"/>
  <c r="AU26" i="1"/>
  <c r="AU18" i="1"/>
  <c r="AU10" i="1"/>
  <c r="AU38" i="1"/>
  <c r="AU32" i="1"/>
  <c r="AU31" i="1"/>
  <c r="AU23" i="1"/>
  <c r="AU15" i="1"/>
  <c r="AU28" i="1"/>
  <c r="AU20" i="1"/>
  <c r="AU12" i="1"/>
  <c r="AU33" i="1"/>
  <c r="AU30" i="1"/>
  <c r="AU22" i="1"/>
  <c r="AU14" i="1"/>
  <c r="AU34" i="1"/>
  <c r="AU24" i="1"/>
  <c r="AU16" i="1"/>
  <c r="AU44" i="1"/>
  <c r="AU43" i="1"/>
  <c r="AU42" i="1"/>
  <c r="AU41" i="1"/>
  <c r="AU40" i="1"/>
  <c r="AU39" i="1"/>
  <c r="AU35" i="1"/>
  <c r="AU7" i="1"/>
  <c r="AU37" i="1"/>
  <c r="AU36" i="1"/>
  <c r="AU13" i="1"/>
  <c r="AU29" i="1"/>
  <c r="AU27" i="1"/>
  <c r="AU25" i="1"/>
  <c r="AU11" i="1"/>
  <c r="AU21" i="1"/>
  <c r="AU19" i="1"/>
  <c r="AU17" i="1"/>
  <c r="BO31" i="1"/>
  <c r="BO38" i="1"/>
  <c r="BO32" i="1"/>
  <c r="BO37" i="1"/>
  <c r="BO36" i="1"/>
  <c r="BO40" i="1"/>
  <c r="BO35" i="1"/>
  <c r="BO34" i="1"/>
  <c r="BO33" i="1"/>
  <c r="BO11" i="1"/>
  <c r="BO39" i="1"/>
  <c r="BO20" i="1"/>
  <c r="BO18" i="1"/>
  <c r="BO15" i="1"/>
  <c r="BO9" i="1"/>
  <c r="BO13" i="1"/>
  <c r="BO30" i="1"/>
  <c r="BO25" i="1"/>
  <c r="BO23" i="1"/>
  <c r="BO19" i="1"/>
  <c r="BO14" i="1"/>
  <c r="BO7" i="1"/>
  <c r="BO44" i="1"/>
  <c r="BO28" i="1"/>
  <c r="BO43" i="1"/>
  <c r="BO29" i="1"/>
  <c r="BO27" i="1"/>
  <c r="BO24" i="1"/>
  <c r="BO12" i="1"/>
  <c r="BO42" i="1"/>
  <c r="BO41" i="1"/>
  <c r="BO10" i="1"/>
  <c r="BO8" i="1"/>
  <c r="BO21" i="1"/>
  <c r="BO26" i="1"/>
  <c r="BO17" i="1"/>
  <c r="BO16" i="1"/>
  <c r="BO22" i="1"/>
  <c r="BB29" i="1"/>
  <c r="BB16" i="1"/>
  <c r="BB8" i="1"/>
  <c r="BB26" i="1"/>
  <c r="BB21" i="1"/>
  <c r="BB13" i="1"/>
  <c r="BB38" i="1"/>
  <c r="BB32" i="1"/>
  <c r="BB31" i="1"/>
  <c r="BB18" i="1"/>
  <c r="BB10" i="1"/>
  <c r="BB25" i="1"/>
  <c r="BB20" i="1"/>
  <c r="BB12" i="1"/>
  <c r="BB37" i="1"/>
  <c r="BB36" i="1"/>
  <c r="BB27" i="1"/>
  <c r="BB14" i="1"/>
  <c r="BB43" i="1"/>
  <c r="BB42" i="1"/>
  <c r="BB41" i="1"/>
  <c r="BB19" i="1"/>
  <c r="BB17" i="1"/>
  <c r="BB15" i="1"/>
  <c r="BB40" i="1"/>
  <c r="BB35" i="1"/>
  <c r="BB34" i="1"/>
  <c r="BB33" i="1"/>
  <c r="BB7" i="1"/>
  <c r="BB11" i="1"/>
  <c r="BB9" i="1"/>
  <c r="BB39" i="1"/>
  <c r="BB30" i="1"/>
  <c r="BB28" i="1"/>
  <c r="BB24" i="1"/>
  <c r="BB44" i="1"/>
  <c r="P28" i="1"/>
  <c r="P34" i="1"/>
  <c r="P38" i="1"/>
  <c r="P37" i="1"/>
  <c r="P35" i="1"/>
  <c r="P44" i="1"/>
  <c r="P43" i="1"/>
  <c r="P42" i="1"/>
  <c r="P41" i="1"/>
  <c r="P40" i="1"/>
  <c r="P36" i="1"/>
  <c r="P32" i="1"/>
  <c r="P33" i="1"/>
  <c r="P9" i="1"/>
  <c r="P22" i="1"/>
  <c r="P11" i="1"/>
  <c r="P27" i="1"/>
  <c r="P21" i="1"/>
  <c r="P19" i="1"/>
  <c r="P16" i="1"/>
  <c r="P12" i="1"/>
  <c r="P10" i="1"/>
  <c r="P14" i="1"/>
  <c r="P31" i="1"/>
  <c r="P26" i="1"/>
  <c r="P24" i="1"/>
  <c r="P20" i="1"/>
  <c r="P15" i="1"/>
  <c r="P8" i="1"/>
  <c r="P17" i="1"/>
  <c r="P30" i="1"/>
  <c r="P7" i="1"/>
  <c r="P25" i="1"/>
  <c r="P13" i="1"/>
  <c r="P23" i="1"/>
  <c r="P29" i="1"/>
  <c r="P18" i="1"/>
  <c r="O34" i="1"/>
  <c r="O38" i="1"/>
  <c r="O37" i="1"/>
  <c r="O40" i="1"/>
  <c r="O33" i="1"/>
  <c r="O32" i="1"/>
  <c r="O30" i="1"/>
  <c r="O25" i="1"/>
  <c r="O17" i="1"/>
  <c r="O13" i="1"/>
  <c r="O7" i="1"/>
  <c r="O9" i="1"/>
  <c r="O28" i="1"/>
  <c r="O23" i="1"/>
  <c r="O39" i="1"/>
  <c r="O22" i="1"/>
  <c r="O11" i="1"/>
  <c r="O27" i="1"/>
  <c r="O44" i="1"/>
  <c r="O21" i="1"/>
  <c r="O19" i="1"/>
  <c r="O16" i="1"/>
  <c r="O12" i="1"/>
  <c r="O10" i="1"/>
  <c r="O43" i="1"/>
  <c r="O14" i="1"/>
  <c r="O42" i="1"/>
  <c r="O20" i="1"/>
  <c r="O15" i="1"/>
  <c r="O41" i="1"/>
  <c r="O35" i="1"/>
  <c r="O8" i="1"/>
  <c r="O29" i="1"/>
  <c r="O26" i="1"/>
  <c r="O18" i="1"/>
  <c r="O24" i="1"/>
  <c r="O36" i="1"/>
  <c r="O31" i="1"/>
  <c r="BE23" i="1"/>
  <c r="BE15" i="1"/>
  <c r="BE33" i="1"/>
  <c r="BE20" i="1"/>
  <c r="BE12" i="1"/>
  <c r="BE37" i="1"/>
  <c r="BE36" i="1"/>
  <c r="BE30" i="1"/>
  <c r="BE25" i="1"/>
  <c r="BE17" i="1"/>
  <c r="BE9" i="1"/>
  <c r="BE34" i="1"/>
  <c r="BE27" i="1"/>
  <c r="BE19" i="1"/>
  <c r="BE11" i="1"/>
  <c r="BE44" i="1"/>
  <c r="BE43" i="1"/>
  <c r="BE42" i="1"/>
  <c r="BE41" i="1"/>
  <c r="BE40" i="1"/>
  <c r="BE39" i="1"/>
  <c r="BE35" i="1"/>
  <c r="BE21" i="1"/>
  <c r="BE13" i="1"/>
  <c r="BE38" i="1"/>
  <c r="BE32" i="1"/>
  <c r="BE31" i="1"/>
  <c r="BE7" i="1"/>
  <c r="BE16" i="1"/>
  <c r="BE26" i="1"/>
  <c r="BE24" i="1"/>
  <c r="BE22" i="1"/>
  <c r="BE14" i="1"/>
  <c r="BE10" i="1"/>
  <c r="BE18" i="1"/>
  <c r="BE8" i="1"/>
  <c r="BM44" i="1"/>
  <c r="BM43" i="1"/>
  <c r="BM42" i="1"/>
  <c r="BM41" i="1"/>
  <c r="BM40" i="1"/>
  <c r="BM39" i="1"/>
  <c r="BM35" i="1"/>
  <c r="BM38" i="1"/>
  <c r="BM32" i="1"/>
  <c r="BM33" i="1"/>
  <c r="BM34" i="1"/>
  <c r="BM31" i="1"/>
  <c r="BM26" i="1"/>
  <c r="BM10" i="1"/>
  <c r="BM8" i="1"/>
  <c r="BM11" i="1"/>
  <c r="BM15" i="1"/>
  <c r="BM9" i="1"/>
  <c r="BM20" i="1"/>
  <c r="BM18" i="1"/>
  <c r="BM30" i="1"/>
  <c r="BM17" i="1"/>
  <c r="BM13" i="1"/>
  <c r="BM25" i="1"/>
  <c r="BM23" i="1"/>
  <c r="BM19" i="1"/>
  <c r="BM14" i="1"/>
  <c r="BM7" i="1"/>
  <c r="BM37" i="1"/>
  <c r="BM28" i="1"/>
  <c r="BM22" i="1"/>
  <c r="BM16" i="1"/>
  <c r="BM36" i="1"/>
  <c r="BM24" i="1"/>
  <c r="BM12" i="1"/>
  <c r="BM27" i="1"/>
  <c r="BM21" i="1"/>
  <c r="BM29" i="1"/>
  <c r="BA24" i="1"/>
  <c r="BA19" i="1"/>
  <c r="BA11" i="1"/>
  <c r="BA44" i="1"/>
  <c r="BA43" i="1"/>
  <c r="BA42" i="1"/>
  <c r="BA41" i="1"/>
  <c r="BA40" i="1"/>
  <c r="BA39" i="1"/>
  <c r="BA35" i="1"/>
  <c r="BA29" i="1"/>
  <c r="BA16" i="1"/>
  <c r="BA8" i="1"/>
  <c r="BA26" i="1"/>
  <c r="BA13" i="1"/>
  <c r="BA38" i="1"/>
  <c r="BA32" i="1"/>
  <c r="BA28" i="1"/>
  <c r="BA15" i="1"/>
  <c r="BA33" i="1"/>
  <c r="BA30" i="1"/>
  <c r="BA22" i="1"/>
  <c r="BA17" i="1"/>
  <c r="BA9" i="1"/>
  <c r="BA34" i="1"/>
  <c r="BA14" i="1"/>
  <c r="BA12" i="1"/>
  <c r="BA10" i="1"/>
  <c r="BA37" i="1"/>
  <c r="BA31" i="1"/>
  <c r="BA36" i="1"/>
  <c r="BA27" i="1"/>
  <c r="BA25" i="1"/>
  <c r="BA23" i="1"/>
  <c r="BA7" i="1"/>
  <c r="BA18" i="1"/>
  <c r="BL44" i="1"/>
  <c r="BL43" i="1"/>
  <c r="BL42" i="1"/>
  <c r="BL41" i="1"/>
  <c r="BL40" i="1"/>
  <c r="BL39" i="1"/>
  <c r="BL35" i="1"/>
  <c r="BL37" i="1"/>
  <c r="BL36" i="1"/>
  <c r="BL10" i="1"/>
  <c r="BL34" i="1"/>
  <c r="BL33" i="1"/>
  <c r="BL32" i="1"/>
  <c r="BL31" i="1"/>
  <c r="BL26" i="1"/>
  <c r="BL8" i="1"/>
  <c r="BL11" i="1"/>
  <c r="BL38" i="1"/>
  <c r="BL20" i="1"/>
  <c r="BL18" i="1"/>
  <c r="BL15" i="1"/>
  <c r="BL9" i="1"/>
  <c r="BL30" i="1"/>
  <c r="BL17" i="1"/>
  <c r="BL13" i="1"/>
  <c r="BL25" i="1"/>
  <c r="BL23" i="1"/>
  <c r="BL19" i="1"/>
  <c r="BL14" i="1"/>
  <c r="BL7" i="1"/>
  <c r="BL29" i="1"/>
  <c r="BL12" i="1"/>
  <c r="BL28" i="1"/>
  <c r="BL21" i="1"/>
  <c r="BL24" i="1"/>
  <c r="BL27" i="1"/>
  <c r="BL16" i="1"/>
  <c r="BL22" i="1"/>
  <c r="AZ27" i="1"/>
  <c r="AZ14" i="1"/>
  <c r="AZ24" i="1"/>
  <c r="AZ11" i="1"/>
  <c r="AZ44" i="1"/>
  <c r="AZ43" i="1"/>
  <c r="AZ42" i="1"/>
  <c r="AZ41" i="1"/>
  <c r="AZ40" i="1"/>
  <c r="AZ39" i="1"/>
  <c r="AZ35" i="1"/>
  <c r="AZ29" i="1"/>
  <c r="AZ21" i="1"/>
  <c r="AZ16" i="1"/>
  <c r="AZ8" i="1"/>
  <c r="AZ31" i="1"/>
  <c r="AZ23" i="1"/>
  <c r="AZ10" i="1"/>
  <c r="AZ25" i="1"/>
  <c r="AZ12" i="1"/>
  <c r="AZ37" i="1"/>
  <c r="AZ36" i="1"/>
  <c r="AZ28" i="1"/>
  <c r="AZ17" i="1"/>
  <c r="AZ15" i="1"/>
  <c r="AZ13" i="1"/>
  <c r="AZ34" i="1"/>
  <c r="AZ33" i="1"/>
  <c r="AZ32" i="1"/>
  <c r="AZ30" i="1"/>
  <c r="AZ38" i="1"/>
  <c r="AZ9" i="1"/>
  <c r="AZ7" i="1"/>
  <c r="AZ26" i="1"/>
  <c r="AZ22" i="1"/>
  <c r="AZ20" i="1"/>
  <c r="N39" i="1"/>
  <c r="N33" i="1"/>
  <c r="N7" i="1"/>
  <c r="N34" i="1"/>
  <c r="N35" i="1"/>
  <c r="N44" i="1"/>
  <c r="N43" i="1"/>
  <c r="N42" i="1"/>
  <c r="N41" i="1"/>
  <c r="N40" i="1"/>
  <c r="N36" i="1"/>
  <c r="N32" i="1"/>
  <c r="N29" i="1"/>
  <c r="N18" i="1"/>
  <c r="N30" i="1"/>
  <c r="N25" i="1"/>
  <c r="N17" i="1"/>
  <c r="N13" i="1"/>
  <c r="N28" i="1"/>
  <c r="N23" i="1"/>
  <c r="N22" i="1"/>
  <c r="N11" i="1"/>
  <c r="N9" i="1"/>
  <c r="N38" i="1"/>
  <c r="N27" i="1"/>
  <c r="N37" i="1"/>
  <c r="N21" i="1"/>
  <c r="N19" i="1"/>
  <c r="N16" i="1"/>
  <c r="N12" i="1"/>
  <c r="N10" i="1"/>
  <c r="N31" i="1"/>
  <c r="N20" i="1"/>
  <c r="N15" i="1"/>
  <c r="N24" i="1"/>
  <c r="N26" i="1"/>
  <c r="N14" i="1"/>
  <c r="N8" i="1"/>
  <c r="BK34" i="1"/>
  <c r="BK44" i="1"/>
  <c r="BK43" i="1"/>
  <c r="BK42" i="1"/>
  <c r="BK41" i="1"/>
  <c r="BK40" i="1"/>
  <c r="BK39" i="1"/>
  <c r="BK35" i="1"/>
  <c r="BK38" i="1"/>
  <c r="BK32" i="1"/>
  <c r="BK33" i="1"/>
  <c r="BK29" i="1"/>
  <c r="BK27" i="1"/>
  <c r="BK24" i="1"/>
  <c r="BK21" i="1"/>
  <c r="BK12" i="1"/>
  <c r="BK10" i="1"/>
  <c r="BK8" i="1"/>
  <c r="BK31" i="1"/>
  <c r="BK26" i="1"/>
  <c r="BK11" i="1"/>
  <c r="BK20" i="1"/>
  <c r="BK18" i="1"/>
  <c r="BK15" i="1"/>
  <c r="BK9" i="1"/>
  <c r="BK37" i="1"/>
  <c r="BK30" i="1"/>
  <c r="BK17" i="1"/>
  <c r="BK13" i="1"/>
  <c r="BK23" i="1"/>
  <c r="BK7" i="1"/>
  <c r="BK16" i="1"/>
  <c r="BK19" i="1"/>
  <c r="BK14" i="1"/>
  <c r="BK36" i="1"/>
  <c r="BK28" i="1"/>
  <c r="BK25" i="1"/>
  <c r="BK22" i="1"/>
  <c r="AY94" i="1"/>
  <c r="BC94" i="1"/>
  <c r="AW94" i="1"/>
  <c r="AZ94" i="1"/>
  <c r="AV94" i="1"/>
  <c r="N94" i="1"/>
  <c r="BM94" i="1"/>
  <c r="BB94" i="1"/>
  <c r="AX94" i="1"/>
  <c r="AU94" i="1"/>
  <c r="O94" i="1"/>
  <c r="BL94" i="1"/>
  <c r="BK94" i="1"/>
  <c r="BA94" i="1"/>
  <c r="P94" i="1"/>
  <c r="J94" i="1"/>
  <c r="H94" i="1"/>
  <c r="BO94" i="1"/>
  <c r="BF94" i="1"/>
  <c r="BE94" i="1"/>
  <c r="BD9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Young (21512438)</author>
    <author>Michael Young</author>
    <author>John</author>
  </authors>
  <commentList>
    <comment ref="B1" authorId="0" shapeId="0" xr:uid="{37D6CE8F-CE51-4B7D-8E5C-A1A0A18133AE}">
      <text>
        <r>
          <rPr>
            <b/>
            <sz val="9"/>
            <color indexed="81"/>
            <rFont val="Tahoma"/>
            <family val="2"/>
          </rPr>
          <t xml:space="preserve">Michael Young (21512438): 
</t>
        </r>
        <r>
          <rPr>
            <sz val="9"/>
            <color indexed="81"/>
            <rFont val="Tahoma"/>
            <family val="2"/>
          </rPr>
          <t xml:space="preserve">Can add cols that are just for personal use (eg not used by code) by adding the word Drop in the top row.
</t>
        </r>
      </text>
    </comment>
    <comment ref="C1" authorId="1" shapeId="0" xr:uid="{CCB77013-F05A-42FB-A15C-BBB0BA6C23F4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to keep the conditional formatting rules tidy, you can only insert a blank row or column (can't copy and insert paste) then you can copy and paste the formulas from a given row or column it into your newly inserted row or column. </t>
        </r>
      </text>
    </comment>
    <comment ref="F1" authorId="0" shapeId="0" xr:uid="{10B3F34B-4772-43FF-8769-97F5228546B0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Pandas doesn’t like it if you use % in the trial name description. The code will run fine you just wont be able to view the df.</t>
        </r>
      </text>
    </comment>
    <comment ref="A2" authorId="2" shapeId="0" xr:uid="{BCCD4931-9FC5-4352-A342-899CDCC99998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Must be first because it is updated by a macro</t>
        </r>
      </text>
    </comment>
    <comment ref="F2" authorId="0" shapeId="0" xr:uid="{28A87732-DFBE-4E72-8AD9-CC58CDE1082B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Must match the key assigned in Sensitivity.py</t>
        </r>
      </text>
    </comment>
    <comment ref="F3" authorId="1" shapeId="0" xr:uid="{3BDB7BEB-FC53-4975-ADDB-A81C02A033DC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Optional
- Needed for pas</t>
        </r>
      </text>
    </comment>
    <comment ref="B4" authorId="2" shapeId="0" xr:uid="{CD85CAB6-9789-4C7A-ADAE-EF4BFD67B6CA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Total number of trials defined</t>
        </r>
      </text>
    </comment>
    <comment ref="C4" authorId="2" shapeId="0" xr:uid="{356E8614-0E2F-4117-B344-BA1B78753371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Number of the trials being run (TRUE)</t>
        </r>
      </text>
    </comment>
    <comment ref="D4" authorId="2" shapeId="0" xr:uid="{3F8B7C71-9F70-474B-BC80-D6D9B8C12D5D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Full output includes storing the .lp file, the Variable summary &amp; the RC &amp; Duals.
(% of the trials being run)</t>
        </r>
      </text>
    </comment>
    <comment ref="E4" authorId="2" shapeId="0" xr:uid="{08A47554-D3C3-4B37-B753-8416C6049C55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Proportion of the trials to report
(% of all the trials)</t>
        </r>
      </text>
    </comment>
    <comment ref="F4" authorId="1" shapeId="0" xr:uid="{7875E08E-43A6-4F76-BAD2-431E3C040A9B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Optional
- needed for arrays
- can handle complex slicing. Use comma between each axis slice. Eg 2:3,1:2</t>
        </r>
      </text>
    </comment>
    <comment ref="G4" authorId="2" shapeId="0" xr:uid="{4F36A228-3F1E-4704-9598-6A61A0F5D5E9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This cell will be '-' or 'Dup' 
Note: Will return Dup if there is an empty cell in a trial above the current trial</t>
        </r>
      </text>
    </comment>
    <comment ref="S4" authorId="0" shapeId="0" xr:uid="{5E9937B7-593D-4C08-A5F4-680E01B068E4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T4" authorId="0" shapeId="0" xr:uid="{DFEED9F5-DAF3-439E-9282-67343199380A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U4" authorId="0" shapeId="0" xr:uid="{5DB71789-2A0E-4D55-924F-B2B3E6AAC9FF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V4" authorId="0" shapeId="0" xr:uid="{A688DF82-6F38-4E55-A9CC-B23BA9F38B87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W4" authorId="0" shapeId="0" xr:uid="{2CE129D6-0396-4382-8FDF-E442EAF91709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X4" authorId="0" shapeId="0" xr:uid="{9E0EA609-9502-454F-B389-2CE90420ED02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Y4" authorId="0" shapeId="0" xr:uid="{5E1F6867-DE89-4325-A0D6-6371F2CA6D61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Z4" authorId="0" shapeId="0" xr:uid="{5AED2239-480A-40F4-B377-23AC17261327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AA4" authorId="0" shapeId="0" xr:uid="{577087E1-068B-4478-8D20-702DF1F08598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AB4" authorId="0" shapeId="0" xr:uid="{C96C639B-9387-4B8A-8C94-16B8B4592166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AC4" authorId="0" shapeId="0" xr:uid="{000F0FC5-C81D-4D0D-8F2E-435FA99D835B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AD4" authorId="0" shapeId="0" xr:uid="{D68E2321-B490-4AB8-90C7-2F78558E7A65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AM4" authorId="0" shapeId="0" xr:uid="{B326D098-177C-461D-85E0-A915E55A4969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95% conception 1 young</t>
        </r>
      </text>
    </comment>
    <comment ref="AN4" authorId="0" shapeId="0" xr:uid="{4F79B1BA-0287-46DF-95A1-6398C138451F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95% conception 2 young</t>
        </r>
      </text>
    </comment>
    <comment ref="AO4" authorId="0" shapeId="0" xr:uid="{9648FC39-DD26-4FCB-9715-EA41A6CC1E54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if n=3: medium nut
if n=2: high nut</t>
        </r>
      </text>
    </comment>
    <comment ref="AP4" authorId="0" shapeId="0" xr:uid="{800BE066-933B-4798-B666-2F7C85E751B1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if n=3: high nut
if n=2: low nut</t>
        </r>
      </text>
    </comment>
    <comment ref="AQ4" authorId="0" shapeId="0" xr:uid="{379C25E9-FF87-4188-9EFA-48F297371AB8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if n=3: low nut
if n=2: doesn't exist</t>
        </r>
      </text>
    </comment>
    <comment ref="BG4" authorId="0" shapeId="0" xr:uid="{13C81614-D294-404F-8AEB-2661A28CF526}">
      <text>
        <r>
          <rPr>
            <b/>
            <sz val="9"/>
            <color indexed="81"/>
            <rFont val="Tahoma"/>
            <charset val="1"/>
          </rPr>
          <t>Michael Young (21512438):</t>
        </r>
        <r>
          <rPr>
            <sz val="9"/>
            <color indexed="81"/>
            <rFont val="Tahoma"/>
            <charset val="1"/>
          </rPr>
          <t xml:space="preserve">
potential intake</t>
        </r>
      </text>
    </comment>
    <comment ref="F5" authorId="1" shapeId="0" xr:uid="{86423575-3B9D-46A2-9D4D-B5C8EEE47047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This trial uses a formula to select the defalut values
'-' for SAV
1 for SAM
0 for SAA and SAP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<sst xmlns="http://schemas.openxmlformats.org/spreadsheetml/2006/main" count="1562" uniqueCount="120">
  <si>
    <t>sam</t>
  </si>
  <si>
    <t>germ_l</t>
  </si>
  <si>
    <t>Dict</t>
  </si>
  <si>
    <t>Key1</t>
  </si>
  <si>
    <t>Key2</t>
  </si>
  <si>
    <t>slice</t>
  </si>
  <si>
    <t>annual</t>
  </si>
  <si>
    <t>Default</t>
  </si>
  <si>
    <t>germ</t>
  </si>
  <si>
    <t>pgr</t>
  </si>
  <si>
    <t>pgr_l</t>
  </si>
  <si>
    <t>Germ low</t>
  </si>
  <si>
    <t>Germ high</t>
  </si>
  <si>
    <t>Lmu 0 Germ low</t>
  </si>
  <si>
    <t>Lmu 0 Germ high</t>
  </si>
  <si>
    <t>Lmu 1 Germ low</t>
  </si>
  <si>
    <t>Lmu 1 Germ high</t>
  </si>
  <si>
    <t>Lmu 2 Germ high</t>
  </si>
  <si>
    <t>Lmu 3 Germ low</t>
  </si>
  <si>
    <t>Lmu 3 Germ high</t>
  </si>
  <si>
    <t>Lmu 40 Germ low</t>
  </si>
  <si>
    <t>Lmu 4 Germ high</t>
  </si>
  <si>
    <t>Lmu 2 Germ low</t>
  </si>
  <si>
    <t>PGR low</t>
  </si>
  <si>
    <t>PGR high</t>
  </si>
  <si>
    <t>Lmu 0 PGR low</t>
  </si>
  <si>
    <t>Lmu 0 PGR high</t>
  </si>
  <si>
    <t>Lmu 1 PGR low</t>
  </si>
  <si>
    <t>Lmu 1 PGR high</t>
  </si>
  <si>
    <t>Lmu 2 PGR low</t>
  </si>
  <si>
    <t>Lmu 2 PGR high</t>
  </si>
  <si>
    <t>Lmu 3 PGR low</t>
  </si>
  <si>
    <t>Lmu 3 PGR high</t>
  </si>
  <si>
    <t>Lmu 40 PGR low</t>
  </si>
  <si>
    <t>Lmu 4 PGR high</t>
  </si>
  <si>
    <t>0:1</t>
  </si>
  <si>
    <t>1:2</t>
  </si>
  <si>
    <t>2:3</t>
  </si>
  <si>
    <t>3:4</t>
  </si>
  <si>
    <t>4:5</t>
  </si>
  <si>
    <t>saa</t>
  </si>
  <si>
    <t>sav</t>
  </si>
  <si>
    <t>sap</t>
  </si>
  <si>
    <t>Note on formatting</t>
  </si>
  <si>
    <t>eqn_compare</t>
  </si>
  <si>
    <t>TOL_inc</t>
  </si>
  <si>
    <t>g3_included</t>
  </si>
  <si>
    <t>woolp_mpg</t>
  </si>
  <si>
    <t>bnd_total_pas_area</t>
  </si>
  <si>
    <t>bnd_pasarea_inc</t>
  </si>
  <si>
    <t>Drop</t>
  </si>
  <si>
    <t>Pas area 10per</t>
  </si>
  <si>
    <t>Pas area 40per</t>
  </si>
  <si>
    <t>Pas area 60per</t>
  </si>
  <si>
    <t>Pas area 80per</t>
  </si>
  <si>
    <t>Both TOL inc</t>
  </si>
  <si>
    <t>scan_og1</t>
  </si>
  <si>
    <t>2:3,:</t>
  </si>
  <si>
    <t>fec_inc</t>
  </si>
  <si>
    <t>BBT inc</t>
  </si>
  <si>
    <t>TOL 1 only</t>
  </si>
  <si>
    <t>TOL 2 only</t>
  </si>
  <si>
    <t>eqn_used_g0_q1p7</t>
  </si>
  <si>
    <t>eqn_used_g3_q1p7</t>
  </si>
  <si>
    <t>eqn_used_g2_q1p7</t>
  </si>
  <si>
    <t>eqn_used_g1_q1p7</t>
  </si>
  <si>
    <t>steady_state</t>
  </si>
  <si>
    <t>season test</t>
  </si>
  <si>
    <t>Report FEC TOL1</t>
  </si>
  <si>
    <t>Description of this experiment</t>
  </si>
  <si>
    <t>lw_inc</t>
  </si>
  <si>
    <t>ffcfw_inc</t>
  </si>
  <si>
    <t>1:2,:</t>
  </si>
  <si>
    <t>10:11,:</t>
  </si>
  <si>
    <t>TOL2 FEC</t>
  </si>
  <si>
    <t>TOL2 FEC LTW</t>
  </si>
  <si>
    <t>Jul PJ-</t>
  </si>
  <si>
    <t>Jul New</t>
  </si>
  <si>
    <t>Last change</t>
  </si>
  <si>
    <t>This column must remain first</t>
  </si>
  <si>
    <t>BlankLast</t>
  </si>
  <si>
    <t>Jul Opt</t>
  </si>
  <si>
    <t>Standard</t>
  </si>
  <si>
    <t>evg_c2</t>
  </si>
  <si>
    <t>srw_c2</t>
  </si>
  <si>
    <t>cl0_c2</t>
  </si>
  <si>
    <t>ci_c2</t>
  </si>
  <si>
    <t>sfw_c2</t>
  </si>
  <si>
    <t>sfd_c2</t>
  </si>
  <si>
    <t>kg</t>
  </si>
  <si>
    <t>sar</t>
  </si>
  <si>
    <t>mortalityp</t>
  </si>
  <si>
    <t>8:9,:</t>
  </si>
  <si>
    <t>3:4,1:2,:</t>
  </si>
  <si>
    <t>3:4,2:3,:</t>
  </si>
  <si>
    <t>genotype</t>
  </si>
  <si>
    <t>nut_spread_n1</t>
  </si>
  <si>
    <t>-</t>
  </si>
  <si>
    <t>nut_-p5_p5</t>
  </si>
  <si>
    <t>nut_-p5_1</t>
  </si>
  <si>
    <t>nut_-p5_1p5</t>
  </si>
  <si>
    <t>nut_-p5_2</t>
  </si>
  <si>
    <t>nut_0_p5</t>
  </si>
  <si>
    <t>nut_0_1</t>
  </si>
  <si>
    <t>nut_0_1p5</t>
  </si>
  <si>
    <t>nut_0_2</t>
  </si>
  <si>
    <t>nut_+p5_p5</t>
  </si>
  <si>
    <t>nut_+p5_1</t>
  </si>
  <si>
    <t>nut_+p5_1p5</t>
  </si>
  <si>
    <t>nut_+p5_2</t>
  </si>
  <si>
    <t>nut_1_p5</t>
  </si>
  <si>
    <t>nut_1_1</t>
  </si>
  <si>
    <t>nut_1_1p5</t>
  </si>
  <si>
    <t>nut_1_2</t>
  </si>
  <si>
    <t>nut_spread_n3</t>
  </si>
  <si>
    <t>Dup</t>
  </si>
  <si>
    <t>2 offs nutrition profiles only</t>
  </si>
  <si>
    <t>nut_1_2+p5</t>
  </si>
  <si>
    <t>Dam nutrition profiles</t>
  </si>
  <si>
    <t>Offspring nutrition profiles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</si>
</sst>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 h:mm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CC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0000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</borders>
  <cellStyleXfs count="10">
    <xf numFmtId="0" fontId="0" fillId="0" borderId="0"/>
    <xf numFmtId="0" fontId="3" fillId="3" borderId="1" applyNumberFormat="0" applyAlignment="0" applyProtection="0"/>
    <xf numFmtId="0" fontId="6" fillId="5" borderId="2" applyNumberFormat="0" applyAlignment="0" applyProtection="0"/>
    <xf numFmtId="0" fontId="6" fillId="7" borderId="2" applyNumberFormat="0" applyFont="0" applyBorder="0" applyAlignment="0" applyProtection="0"/>
    <xf numFmtId="0" fontId="6" fillId="8" borderId="2" applyNumberFormat="0" applyFont="0" applyBorder="0" applyAlignment="0" applyProtection="0"/>
    <xf numFmtId="0" fontId="6" fillId="9" borderId="2" applyNumberFormat="0" applyFont="0" applyBorder="0" applyAlignment="0" applyProtection="0"/>
    <xf numFmtId="0" fontId="9" fillId="6" borderId="0" applyNumberFormat="0" applyFont="0" applyBorder="0" applyAlignment="0" applyProtection="0"/>
    <xf numFmtId="0" fontId="9" fillId="10" borderId="0" applyNumberFormat="0" applyFont="0" applyBorder="0" applyAlignment="0" applyProtection="0"/>
    <xf numFmtId="0" fontId="6" fillId="11" borderId="2" applyNumberFormat="0" applyFont="0" applyBorder="0" applyAlignment="0" applyProtection="0"/>
    <xf numFmtId="0" fontId="6" fillId="12" borderId="2" applyNumberFormat="0" applyFont="0" applyBorder="0" applyAlignment="0" applyProtection="0"/>
  </cellStyleXfs>
  <cellXfs count="35">
    <xf numFmtId="0" fontId="0" fillId="0" borderId="0" xfId="0"/>
    <xf numFmtId="0" fontId="0" fillId="0" borderId="0" xfId="0" applyAlignment="1">
      <alignment textRotation="90"/>
    </xf>
    <xf numFmtId="49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 textRotation="90"/>
    </xf>
    <xf numFmtId="49" fontId="0" fillId="2" borderId="0" xfId="0" applyNumberFormat="1" applyFill="1" applyAlignment="1">
      <alignment horizontal="center" textRotation="90"/>
    </xf>
    <xf numFmtId="0" fontId="0" fillId="0" borderId="0" xfId="0" applyAlignment="1">
      <alignment horizontal="center" textRotation="90"/>
    </xf>
    <xf numFmtId="20" fontId="0" fillId="0" borderId="0" xfId="0" quotePrefix="1" applyNumberFormat="1" applyAlignment="1">
      <alignment horizontal="center" textRotation="90"/>
    </xf>
    <xf numFmtId="49" fontId="0" fillId="0" borderId="0" xfId="0" quotePrefix="1" applyNumberFormat="1" applyAlignment="1">
      <alignment horizontal="center" textRotation="90"/>
    </xf>
    <xf numFmtId="0" fontId="3" fillId="3" borderId="1" xfId="1"/>
    <xf numFmtId="0" fontId="0" fillId="0" borderId="0" xfId="0" applyAlignment="1">
      <alignment wrapText="1"/>
    </xf>
    <xf numFmtId="0" fontId="0" fillId="0" borderId="0" xfId="0" applyNumberFormat="1" applyAlignment="1">
      <alignment horizontal="center" wrapText="1"/>
    </xf>
    <xf numFmtId="49" fontId="0" fillId="0" borderId="0" xfId="0" applyNumberFormat="1" applyAlignmen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textRotation="90"/>
    </xf>
    <xf numFmtId="49" fontId="0" fillId="4" borderId="0" xfId="0" applyNumberFormat="1" applyFill="1"/>
    <xf numFmtId="22" fontId="0" fillId="0" borderId="0" xfId="0" applyNumberFormat="1" applyAlignment="1">
      <alignment horizontal="center" wrapText="1"/>
    </xf>
    <xf numFmtId="164" fontId="5" fillId="0" borderId="0" xfId="0" applyNumberFormat="1" applyFont="1" applyAlignment="1">
      <alignment horizontal="center"/>
    </xf>
    <xf numFmtId="22" fontId="0" fillId="4" borderId="0" xfId="0" applyNumberFormat="1" applyFill="1"/>
    <xf numFmtId="22" fontId="0" fillId="0" borderId="0" xfId="0" applyNumberFormat="1" applyAlignment="1">
      <alignment horizontal="center" textRotation="90"/>
    </xf>
    <xf numFmtId="0" fontId="6" fillId="5" borderId="2" xfId="2"/>
    <xf numFmtId="0" fontId="6" fillId="7" borderId="2" xfId="3"/>
    <xf numFmtId="0" fontId="6" fillId="8" borderId="2" xfId="4"/>
    <xf numFmtId="0" fontId="6" fillId="9" borderId="2" xfId="5"/>
    <xf numFmtId="0" fontId="0" fillId="10" borderId="0" xfId="7" applyFont="1"/>
    <xf numFmtId="0" fontId="0" fillId="4" borderId="0" xfId="7" applyFont="1" applyFill="1"/>
    <xf numFmtId="0" fontId="0" fillId="11" borderId="0" xfId="8" applyFont="1" applyBorder="1"/>
    <xf numFmtId="0" fontId="6" fillId="11" borderId="2" xfId="8"/>
    <xf numFmtId="0" fontId="0" fillId="12" borderId="0" xfId="9" applyFont="1" applyBorder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10" fillId="4" borderId="0" xfId="7" applyFont="1" applyFill="1"/>
    <xf numFmtId="0" fontId="10" fillId="2" borderId="0" xfId="0" applyFont="1" applyFill="1" applyAlignment="1">
      <alignment horizontal="right"/>
    </xf>
  </cellXfs>
  <cellStyles count="10">
    <cellStyle name="Above" xfId="8" xr:uid="{72CEC041-4C58-4048-94A0-F2D8C1D87BE4}"/>
    <cellStyle name="Above2" xfId="9" xr:uid="{0F0E7D07-52C8-4C8B-BF71-5781CB577BF2}"/>
    <cellStyle name="Calc01" xfId="3" xr:uid="{59654C54-EF1B-49EB-A662-AE50B3C26DCC}"/>
    <cellStyle name="Calc02" xfId="4" xr:uid="{8ABB5764-F1D3-4F1B-8F51-7A906C51FFB3}"/>
    <cellStyle name="Calc03" xfId="5" xr:uid="{31DA6CCE-AC7A-488E-8BF2-B65A9598F609}"/>
    <cellStyle name="Calculation" xfId="1" builtinId="22"/>
    <cellStyle name="Default" xfId="7" xr:uid="{3B722F22-6F66-4DE8-A397-5DA5F343F529}"/>
    <cellStyle name="Input" xfId="2" builtinId="20" customBuiltin="1"/>
    <cellStyle name="Normal" xfId="0" builtinId="0"/>
    <cellStyle name="Std" xfId="6" xr:uid="{7F900438-BD5A-45A7-97C8-C912120AAA44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EBAC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F8F8F8"/>
      <color rgb="FFFEBA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5A7EB-445E-4E8E-983C-F21CAA7EBF41}">
  <sheetPr codeName="Sheet1"/>
  <dimension ref="A1:BP94"/>
  <sheetViews>
    <sheetView tabSelected="1" workbookViewId="0">
      <pane xSplit="7" ySplit="6" topLeftCell="AM45" activePane="bottomRight" state="frozen"/>
      <selection pane="topRight" activeCell="H1" sqref="H1"/>
      <selection pane="bottomLeft" activeCell="A7" sqref="A7"/>
      <selection pane="bottomRight" activeCell="AO47" sqref="AO47"/>
    </sheetView>
  </sheetViews>
  <sheetFormatPr defaultRowHeight="15" x14ac:dyDescent="0.25"/>
  <cols>
    <col min="1" max="1" width="11" customWidth="1"/>
    <col min="3" max="3" width="10.5703125" customWidth="1"/>
    <col min="6" max="6" width="17.5703125" style="3" customWidth="1"/>
    <col min="7" max="7" width="6.140625" customWidth="1"/>
    <col min="8" max="67" width="6.28515625" customWidth="1"/>
    <col min="68" max="68" width="2.85546875" customWidth="1"/>
  </cols>
  <sheetData>
    <row r="1" spans="1:68" s="1" customFormat="1" ht="41.25" customHeight="1" x14ac:dyDescent="0.25">
      <c r="A1" s="21" t="s">
        <v>50</v>
      </c>
      <c r="B1" s="6" t="s">
        <v>50</v>
      </c>
      <c r="C1" s="10" t="s">
        <v>43</v>
      </c>
      <c r="F1" s="4" t="s">
        <v>2</v>
      </c>
      <c r="G1" s="21" t="s">
        <v>50</v>
      </c>
      <c r="H1" s="6" t="s">
        <v>41</v>
      </c>
      <c r="I1" s="6" t="s">
        <v>41</v>
      </c>
      <c r="J1" s="6" t="s">
        <v>41</v>
      </c>
      <c r="K1" s="6" t="s">
        <v>41</v>
      </c>
      <c r="L1" s="6" t="s">
        <v>41</v>
      </c>
      <c r="M1" s="6" t="s">
        <v>41</v>
      </c>
      <c r="N1" s="6" t="s">
        <v>41</v>
      </c>
      <c r="O1" s="6" t="s">
        <v>41</v>
      </c>
      <c r="P1" s="6" t="s">
        <v>41</v>
      </c>
      <c r="Q1" s="6" t="s">
        <v>41</v>
      </c>
      <c r="R1" s="6" t="s">
        <v>41</v>
      </c>
      <c r="S1" s="6" t="s">
        <v>41</v>
      </c>
      <c r="T1" s="6" t="s">
        <v>41</v>
      </c>
      <c r="U1" s="6" t="s">
        <v>41</v>
      </c>
      <c r="V1" s="6" t="s">
        <v>41</v>
      </c>
      <c r="W1" s="6" t="s">
        <v>41</v>
      </c>
      <c r="X1" s="6" t="s">
        <v>41</v>
      </c>
      <c r="Y1" s="6" t="s">
        <v>41</v>
      </c>
      <c r="Z1" s="6" t="s">
        <v>41</v>
      </c>
      <c r="AA1" s="6" t="s">
        <v>41</v>
      </c>
      <c r="AB1" s="6" t="s">
        <v>41</v>
      </c>
      <c r="AC1" s="6" t="s">
        <v>41</v>
      </c>
      <c r="AD1" s="6" t="s">
        <v>41</v>
      </c>
      <c r="AE1" s="6" t="s">
        <v>41</v>
      </c>
      <c r="AF1" s="6" t="s">
        <v>41</v>
      </c>
      <c r="AG1" s="6" t="s">
        <v>41</v>
      </c>
      <c r="AH1" s="6" t="s">
        <v>41</v>
      </c>
      <c r="AI1" s="6" t="s">
        <v>41</v>
      </c>
      <c r="AJ1" s="6" t="s">
        <v>41</v>
      </c>
      <c r="AK1" s="6" t="s">
        <v>41</v>
      </c>
      <c r="AL1" s="6" t="s">
        <v>41</v>
      </c>
      <c r="AM1" s="6" t="s">
        <v>41</v>
      </c>
      <c r="AN1" s="6" t="s">
        <v>41</v>
      </c>
      <c r="AO1" s="6" t="s">
        <v>41</v>
      </c>
      <c r="AP1" s="6" t="s">
        <v>41</v>
      </c>
      <c r="AQ1" s="6" t="s">
        <v>41</v>
      </c>
      <c r="AR1" s="6" t="s">
        <v>41</v>
      </c>
      <c r="AS1" s="6" t="s">
        <v>41</v>
      </c>
      <c r="AT1" s="6" t="s">
        <v>41</v>
      </c>
      <c r="AU1" s="6" t="s">
        <v>0</v>
      </c>
      <c r="AV1" s="6" t="s">
        <v>0</v>
      </c>
      <c r="AW1" s="6" t="s">
        <v>0</v>
      </c>
      <c r="AX1" s="6" t="s">
        <v>0</v>
      </c>
      <c r="AY1" s="6" t="s">
        <v>0</v>
      </c>
      <c r="AZ1" s="6" t="s">
        <v>0</v>
      </c>
      <c r="BA1" s="6" t="s">
        <v>0</v>
      </c>
      <c r="BB1" s="6" t="s">
        <v>0</v>
      </c>
      <c r="BC1" s="6" t="s">
        <v>0</v>
      </c>
      <c r="BD1" s="6" t="s">
        <v>0</v>
      </c>
      <c r="BE1" s="6" t="s">
        <v>0</v>
      </c>
      <c r="BF1" s="6" t="s">
        <v>0</v>
      </c>
      <c r="BG1" s="6" t="s">
        <v>0</v>
      </c>
      <c r="BH1" s="6" t="s">
        <v>0</v>
      </c>
      <c r="BI1" s="6" t="s">
        <v>0</v>
      </c>
      <c r="BJ1" s="6" t="s">
        <v>0</v>
      </c>
      <c r="BK1" s="6" t="s">
        <v>40</v>
      </c>
      <c r="BL1" s="6" t="s">
        <v>40</v>
      </c>
      <c r="BM1" s="6" t="s">
        <v>40</v>
      </c>
      <c r="BN1" s="6" t="s">
        <v>90</v>
      </c>
      <c r="BO1" s="1" t="s">
        <v>42</v>
      </c>
      <c r="BP1" s="16"/>
    </row>
    <row r="2" spans="1:68" s="2" customFormat="1" ht="72.75" customHeight="1" x14ac:dyDescent="0.25">
      <c r="A2" s="14" t="s">
        <v>79</v>
      </c>
      <c r="F2" s="5" t="s">
        <v>3</v>
      </c>
      <c r="G2"/>
      <c r="H2" s="6" t="s">
        <v>66</v>
      </c>
      <c r="I2" s="6" t="s">
        <v>45</v>
      </c>
      <c r="J2" s="6" t="s">
        <v>45</v>
      </c>
      <c r="K2" s="6" t="s">
        <v>95</v>
      </c>
      <c r="L2" s="6" t="s">
        <v>95</v>
      </c>
      <c r="M2" s="6" t="s">
        <v>95</v>
      </c>
      <c r="N2" s="6" t="s">
        <v>46</v>
      </c>
      <c r="O2" s="6" t="s">
        <v>46</v>
      </c>
      <c r="P2" s="6" t="s">
        <v>46</v>
      </c>
      <c r="Q2" s="6" t="s">
        <v>56</v>
      </c>
      <c r="R2" s="6" t="s">
        <v>44</v>
      </c>
      <c r="S2" s="6" t="s">
        <v>62</v>
      </c>
      <c r="T2" s="6" t="s">
        <v>62</v>
      </c>
      <c r="U2" s="6" t="s">
        <v>62</v>
      </c>
      <c r="V2" s="6" t="s">
        <v>65</v>
      </c>
      <c r="W2" s="6" t="s">
        <v>65</v>
      </c>
      <c r="X2" s="6" t="s">
        <v>65</v>
      </c>
      <c r="Y2" s="6" t="s">
        <v>64</v>
      </c>
      <c r="Z2" s="6" t="s">
        <v>64</v>
      </c>
      <c r="AA2" s="6" t="s">
        <v>64</v>
      </c>
      <c r="AB2" s="6" t="s">
        <v>63</v>
      </c>
      <c r="AC2" s="6" t="s">
        <v>63</v>
      </c>
      <c r="AD2" s="6" t="s">
        <v>63</v>
      </c>
      <c r="AE2" s="6" t="s">
        <v>47</v>
      </c>
      <c r="AF2" s="6" t="s">
        <v>48</v>
      </c>
      <c r="AG2" s="6" t="s">
        <v>49</v>
      </c>
      <c r="AH2" s="6" t="s">
        <v>58</v>
      </c>
      <c r="AI2" s="6" t="s">
        <v>70</v>
      </c>
      <c r="AJ2" s="6" t="s">
        <v>71</v>
      </c>
      <c r="AK2" s="6" t="s">
        <v>83</v>
      </c>
      <c r="AL2" s="6" t="s">
        <v>84</v>
      </c>
      <c r="AM2" s="6" t="s">
        <v>85</v>
      </c>
      <c r="AN2" s="6" t="s">
        <v>85</v>
      </c>
      <c r="AO2" s="6" t="s">
        <v>96</v>
      </c>
      <c r="AP2" s="6" t="s">
        <v>96</v>
      </c>
      <c r="AQ2" s="6" t="s">
        <v>96</v>
      </c>
      <c r="AR2" s="6" t="s">
        <v>114</v>
      </c>
      <c r="AS2" s="6" t="s">
        <v>114</v>
      </c>
      <c r="AT2" s="6" t="s">
        <v>114</v>
      </c>
      <c r="AU2" s="6" t="s">
        <v>8</v>
      </c>
      <c r="AV2" s="6" t="s">
        <v>1</v>
      </c>
      <c r="AW2" s="6" t="s">
        <v>1</v>
      </c>
      <c r="AX2" s="6" t="s">
        <v>1</v>
      </c>
      <c r="AY2" s="6" t="s">
        <v>1</v>
      </c>
      <c r="AZ2" s="6" t="s">
        <v>1</v>
      </c>
      <c r="BA2" s="6" t="s">
        <v>9</v>
      </c>
      <c r="BB2" s="6" t="s">
        <v>10</v>
      </c>
      <c r="BC2" s="6" t="s">
        <v>10</v>
      </c>
      <c r="BD2" s="6" t="s">
        <v>10</v>
      </c>
      <c r="BE2" s="6" t="s">
        <v>10</v>
      </c>
      <c r="BF2" s="6" t="s">
        <v>10</v>
      </c>
      <c r="BG2" s="6" t="s">
        <v>86</v>
      </c>
      <c r="BH2" s="6" t="s">
        <v>87</v>
      </c>
      <c r="BI2" s="6" t="s">
        <v>88</v>
      </c>
      <c r="BJ2" s="6" t="s">
        <v>89</v>
      </c>
      <c r="BK2" s="6"/>
      <c r="BL2" s="6"/>
      <c r="BM2" s="6"/>
      <c r="BN2" s="6" t="s">
        <v>91</v>
      </c>
      <c r="BP2" s="17"/>
    </row>
    <row r="3" spans="1:68" s="2" customFormat="1" ht="42.6" customHeight="1" x14ac:dyDescent="0.25">
      <c r="F3" s="5" t="s">
        <v>4</v>
      </c>
      <c r="G3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 t="s">
        <v>6</v>
      </c>
      <c r="AV3" s="6" t="s">
        <v>6</v>
      </c>
      <c r="AW3" s="6" t="s">
        <v>6</v>
      </c>
      <c r="AX3" s="6" t="s">
        <v>6</v>
      </c>
      <c r="AY3" s="6" t="s">
        <v>6</v>
      </c>
      <c r="AZ3" s="6" t="s">
        <v>6</v>
      </c>
      <c r="BA3" s="6" t="s">
        <v>6</v>
      </c>
      <c r="BB3" s="6" t="s">
        <v>6</v>
      </c>
      <c r="BC3" s="6" t="s">
        <v>6</v>
      </c>
      <c r="BD3" s="6" t="s">
        <v>6</v>
      </c>
      <c r="BE3" s="6" t="s">
        <v>6</v>
      </c>
      <c r="BF3" s="6" t="s">
        <v>6</v>
      </c>
      <c r="BG3" s="6"/>
      <c r="BH3" s="6"/>
      <c r="BI3" s="6"/>
      <c r="BJ3" s="6"/>
      <c r="BK3" s="6"/>
      <c r="BL3" s="6"/>
      <c r="BM3" s="6"/>
      <c r="BN3" s="6"/>
      <c r="BP3" s="17"/>
    </row>
    <row r="4" spans="1:68" s="2" customFormat="1" ht="42.6" customHeight="1" x14ac:dyDescent="0.25">
      <c r="A4" s="13" t="s">
        <v>78</v>
      </c>
      <c r="B4" s="11" t="str">
        <f>"Trial Number
("&amp;COUNT(B$5:B$94)-1&amp;")"</f>
        <v>Trial Number
(86)</v>
      </c>
      <c r="C4" s="11" t="str">
        <f>"Run Trials
("&amp;COUNTIFS(C$5:C$94,TRUE)&amp;")"</f>
        <v>Run Trials
(3)</v>
      </c>
      <c r="D4" s="18" t="str">
        <f>"Full output
("&amp;TEXT(COUNTIFS($C$5:$C$94,TRUE,D$5:D$94,TRUE)/COUNTIFS($C$5:$C$94,TRUE),"0%)")</f>
        <v>Full output
(0%)</v>
      </c>
      <c r="E4" s="11" t="str">
        <f>"Report
("&amp;TEXT(COUNTIFS(E$5:E$94,TRUE)/COUNTA(E$5:E$94),"0%)")</f>
        <v>Report
(20%)</v>
      </c>
      <c r="F4" s="5" t="s">
        <v>5</v>
      </c>
      <c r="G4" s="21" t="s">
        <v>115</v>
      </c>
      <c r="H4" s="8"/>
      <c r="I4" s="8" t="s">
        <v>35</v>
      </c>
      <c r="J4" s="8" t="s">
        <v>36</v>
      </c>
      <c r="K4" s="8" t="s">
        <v>35</v>
      </c>
      <c r="L4" s="8" t="s">
        <v>36</v>
      </c>
      <c r="M4" s="8" t="s">
        <v>37</v>
      </c>
      <c r="N4" s="8" t="s">
        <v>35</v>
      </c>
      <c r="O4" s="8" t="s">
        <v>36</v>
      </c>
      <c r="P4" s="8" t="s">
        <v>37</v>
      </c>
      <c r="Q4" s="8" t="s">
        <v>57</v>
      </c>
      <c r="R4" s="8"/>
      <c r="S4" s="8" t="s">
        <v>92</v>
      </c>
      <c r="T4" s="8" t="s">
        <v>72</v>
      </c>
      <c r="U4" s="8" t="s">
        <v>73</v>
      </c>
      <c r="V4" s="8" t="s">
        <v>92</v>
      </c>
      <c r="W4" s="8" t="s">
        <v>72</v>
      </c>
      <c r="X4" s="8" t="s">
        <v>73</v>
      </c>
      <c r="Y4" s="8" t="s">
        <v>92</v>
      </c>
      <c r="Z4" s="8" t="s">
        <v>72</v>
      </c>
      <c r="AA4" s="8" t="s">
        <v>73</v>
      </c>
      <c r="AB4" s="8" t="s">
        <v>92</v>
      </c>
      <c r="AC4" s="8" t="s">
        <v>72</v>
      </c>
      <c r="AD4" s="8" t="s">
        <v>73</v>
      </c>
      <c r="AE4" s="8"/>
      <c r="AF4" s="8"/>
      <c r="AG4" s="8"/>
      <c r="AH4" s="8"/>
      <c r="AI4" s="8"/>
      <c r="AJ4" s="8"/>
      <c r="AK4" s="8"/>
      <c r="AL4" s="8"/>
      <c r="AM4" s="8" t="s">
        <v>93</v>
      </c>
      <c r="AN4" s="8" t="s">
        <v>94</v>
      </c>
      <c r="AO4" s="8" t="s">
        <v>35</v>
      </c>
      <c r="AP4" s="8" t="s">
        <v>36</v>
      </c>
      <c r="AQ4" s="8" t="s">
        <v>37</v>
      </c>
      <c r="AR4" s="8" t="s">
        <v>35</v>
      </c>
      <c r="AS4" s="8" t="s">
        <v>36</v>
      </c>
      <c r="AT4" s="8" t="s">
        <v>37</v>
      </c>
      <c r="AU4" s="7"/>
      <c r="AV4" s="7" t="s">
        <v>35</v>
      </c>
      <c r="AW4" s="8" t="s">
        <v>36</v>
      </c>
      <c r="AX4" s="8" t="s">
        <v>37</v>
      </c>
      <c r="AY4" s="8" t="s">
        <v>38</v>
      </c>
      <c r="AZ4" s="8" t="s">
        <v>39</v>
      </c>
      <c r="BA4" s="7"/>
      <c r="BB4" s="7" t="s">
        <v>35</v>
      </c>
      <c r="BC4" s="8" t="s">
        <v>36</v>
      </c>
      <c r="BD4" s="8" t="s">
        <v>37</v>
      </c>
      <c r="BE4" s="8" t="s">
        <v>38</v>
      </c>
      <c r="BF4" s="8" t="s">
        <v>39</v>
      </c>
      <c r="BG4" s="8" t="s">
        <v>72</v>
      </c>
      <c r="BH4" s="8"/>
      <c r="BI4" s="8"/>
      <c r="BJ4" s="8"/>
      <c r="BK4" s="8"/>
      <c r="BL4" s="8"/>
      <c r="BM4" s="8"/>
      <c r="BN4" s="8"/>
      <c r="BO4" s="12"/>
      <c r="BP4" s="17"/>
    </row>
    <row r="5" spans="1:68" x14ac:dyDescent="0.25">
      <c r="A5" s="19"/>
      <c r="B5">
        <f>ROW(B5)-5</f>
        <v>0</v>
      </c>
      <c r="C5" t="b">
        <v>0</v>
      </c>
      <c r="D5" t="b">
        <v>0</v>
      </c>
      <c r="E5" t="b">
        <v>0</v>
      </c>
      <c r="F5" s="3" t="s">
        <v>7</v>
      </c>
      <c r="H5" s="9" t="str" cm="1">
        <f t="array" ref="H5">_xlfn.IFS(OR(H1="sam",H1="sai"),1,H1="sav","-",OR(H1="sap",H1="saa"),0,H1="sar",0)</f>
        <v>-</v>
      </c>
      <c r="I5" s="9" t="str" cm="1">
        <f t="array" ref="I5">_xlfn.IFS(OR(I1="sam",I1="sai"),1,I1="sav","-",OR(I1="sap",I1="saa"),0,I1="sar",0)</f>
        <v>-</v>
      </c>
      <c r="J5" s="9" t="str" cm="1">
        <f t="array" ref="J5">_xlfn.IFS(OR(J1="sam",J1="sai"),1,J1="sav","-",OR(J1="sap",J1="saa"),0,J1="sar",0)</f>
        <v>-</v>
      </c>
      <c r="K5" s="9" t="str" cm="1">
        <f t="array" ref="K5">_xlfn.IFS(OR(K1="sam",K1="sai"),1,K1="sav","-",OR(K1="sap",K1="saa"),0,K1="sar",0)</f>
        <v>-</v>
      </c>
      <c r="L5" s="9" t="str" cm="1">
        <f t="array" ref="L5">_xlfn.IFS(OR(L1="sam",L1="sai"),1,L1="sav","-",OR(L1="sap",L1="saa"),0,L1="sar",0)</f>
        <v>-</v>
      </c>
      <c r="M5" s="9" t="str" cm="1">
        <f t="array" ref="M5">_xlfn.IFS(OR(M1="sam",M1="sai"),1,M1="sav","-",OR(M1="sap",M1="saa"),0,M1="sar",0)</f>
        <v>-</v>
      </c>
      <c r="N5" s="9" t="str" cm="1">
        <f t="array" ref="N5">_xlfn.IFS(OR(N1="sam",N1="sai"),1,N1="sav","-",OR(N1="sap",N1="saa"),0,N1="sar",0)</f>
        <v>-</v>
      </c>
      <c r="O5" s="9" t="str" cm="1">
        <f t="array" ref="O5">_xlfn.IFS(OR(O1="sam",O1="sai"),1,O1="sav","-",OR(O1="sap",O1="saa"),0,O1="sar",0)</f>
        <v>-</v>
      </c>
      <c r="P5" s="9" t="str" cm="1">
        <f t="array" ref="P5">_xlfn.IFS(OR(P1="sam",P1="sai"),1,P1="sav","-",OR(P1="sap",P1="saa"),0,P1="sar",0)</f>
        <v>-</v>
      </c>
      <c r="Q5" s="9" t="str" cm="1">
        <f t="array" ref="Q5">_xlfn.IFS(OR(Q1="sam",Q1="sai"),1,Q1="sav","-",OR(Q1="sap",Q1="saa"),0,Q1="sar",0)</f>
        <v>-</v>
      </c>
      <c r="R5" s="9" t="str" cm="1">
        <f t="array" ref="R5">_xlfn.IFS(OR(R1="sam",R1="sai"),1,R1="sav","-",OR(R1="sap",R1="saa"),0,R1="sar",0)</f>
        <v>-</v>
      </c>
      <c r="S5" s="9" t="str" cm="1">
        <f t="array" ref="S5">_xlfn.IFS(OR(S1="sam",S1="sai"),1,S1="sav","-",OR(S1="sap",S1="saa"),0,S1="sar",0)</f>
        <v>-</v>
      </c>
      <c r="T5" s="9" t="str" cm="1">
        <f t="array" ref="T5">_xlfn.IFS(OR(T1="sam",T1="sai"),1,T1="sav","-",OR(T1="sap",T1="saa"),0,T1="sar",0)</f>
        <v>-</v>
      </c>
      <c r="U5" s="9" t="str" cm="1">
        <f t="array" ref="U5">_xlfn.IFS(OR(U1="sam",U1="sai"),1,U1="sav","-",OR(U1="sap",U1="saa"),0,U1="sar",0)</f>
        <v>-</v>
      </c>
      <c r="V5" s="9" t="str" cm="1">
        <f t="array" ref="V5">_xlfn.IFS(OR(V1="sam",V1="sai"),1,V1="sav","-",OR(V1="sap",V1="saa"),0,V1="sar",0)</f>
        <v>-</v>
      </c>
      <c r="W5" s="9" t="str" cm="1">
        <f t="array" ref="W5">_xlfn.IFS(OR(W1="sam",W1="sai"),1,W1="sav","-",OR(W1="sap",W1="saa"),0,W1="sar",0)</f>
        <v>-</v>
      </c>
      <c r="X5" s="9" t="str" cm="1">
        <f t="array" ref="X5">_xlfn.IFS(OR(X1="sam",X1="sai"),1,X1="sav","-",OR(X1="sap",X1="saa"),0,X1="sar",0)</f>
        <v>-</v>
      </c>
      <c r="Y5" s="9" t="str" cm="1">
        <f t="array" ref="Y5">_xlfn.IFS(OR(Y1="sam",Y1="sai"),1,Y1="sav","-",OR(Y1="sap",Y1="saa"),0,Y1="sar",0)</f>
        <v>-</v>
      </c>
      <c r="Z5" s="9" t="str" cm="1">
        <f t="array" ref="Z5">_xlfn.IFS(OR(Z1="sam",Z1="sai"),1,Z1="sav","-",OR(Z1="sap",Z1="saa"),0,Z1="sar",0)</f>
        <v>-</v>
      </c>
      <c r="AA5" s="9" t="str" cm="1">
        <f t="array" ref="AA5">_xlfn.IFS(OR(AA1="sam",AA1="sai"),1,AA1="sav","-",OR(AA1="sap",AA1="saa"),0,AA1="sar",0)</f>
        <v>-</v>
      </c>
      <c r="AB5" s="9" t="str" cm="1">
        <f t="array" ref="AB5">_xlfn.IFS(OR(AB1="sam",AB1="sai"),1,AB1="sav","-",OR(AB1="sap",AB1="saa"),0,AB1="sar",0)</f>
        <v>-</v>
      </c>
      <c r="AC5" s="9" t="str" cm="1">
        <f t="array" ref="AC5">_xlfn.IFS(OR(AC1="sam",AC1="sai"),1,AC1="sav","-",OR(AC1="sap",AC1="saa"),0,AC1="sar",0)</f>
        <v>-</v>
      </c>
      <c r="AD5" s="9" t="str" cm="1">
        <f t="array" ref="AD5">_xlfn.IFS(OR(AD1="sam",AD1="sai"),1,AD1="sav","-",OR(AD1="sap",AD1="saa"),0,AD1="sar",0)</f>
        <v>-</v>
      </c>
      <c r="AE5" s="9" t="str" cm="1">
        <f t="array" ref="AE5">_xlfn.IFS(OR(AE1="sam",AE1="sai"),1,AE1="sav","-",OR(AE1="sap",AE1="saa"),0,AE1="sar",0)</f>
        <v>-</v>
      </c>
      <c r="AF5" s="9" t="str" cm="1">
        <f t="array" ref="AF5">_xlfn.IFS(OR(AF1="sam",AF1="sai"),1,AF1="sav","-",OR(AF1="sap",AF1="saa"),0,AF1="sar",0)</f>
        <v>-</v>
      </c>
      <c r="AG5" s="9" t="str" cm="1">
        <f t="array" ref="AG5">_xlfn.IFS(OR(AG1="sam",AG1="sai"),1,AG1="sav","-",OR(AG1="sap",AG1="saa"),0,AG1="sar",0)</f>
        <v>-</v>
      </c>
      <c r="AH5" s="9" t="str" cm="1">
        <f t="array" ref="AH5">_xlfn.IFS(OR(AH1="sam",AH1="sai"),1,AH1="sav","-",OR(AH1="sap",AH1="saa"),0,AH1="sar",0)</f>
        <v>-</v>
      </c>
      <c r="AI5" s="9" t="str" cm="1">
        <f t="array" ref="AI5">_xlfn.IFS(OR(AI1="sam",AI1="sai"),1,AI1="sav","-",OR(AI1="sap",AI1="saa"),0,AI1="sar",0)</f>
        <v>-</v>
      </c>
      <c r="AJ5" s="9" t="str" cm="1">
        <f t="array" ref="AJ5">_xlfn.IFS(OR(AJ1="sam",AJ1="sai"),1,AJ1="sav","-",OR(AJ1="sap",AJ1="saa"),0,AJ1="sar",0)</f>
        <v>-</v>
      </c>
      <c r="AK5" s="9" t="str" cm="1">
        <f t="array" ref="AK5">_xlfn.IFS(OR(AK1="sam",AK1="sai"),1,AK1="sav","-",OR(AK1="sap",AK1="saa"),0,AK1="sar",0)</f>
        <v>-</v>
      </c>
      <c r="AL5" s="9" t="str" cm="1">
        <f t="array" ref="AL5">_xlfn.IFS(OR(AL1="sam",AL1="sai"),1,AL1="sav","-",OR(AL1="sap",AL1="saa"),0,AL1="sar",0)</f>
        <v>-</v>
      </c>
      <c r="AM5" s="9" t="str" cm="1">
        <f t="array" ref="AM5">_xlfn.IFS(OR(AM1="sam",AM1="sai"),1,AM1="sav","-",OR(AM1="sap",AM1="saa"),0,AM1="sar",0)</f>
        <v>-</v>
      </c>
      <c r="AN5" s="9" t="str" cm="1">
        <f t="array" ref="AN5">_xlfn.IFS(OR(AN1="sam",AN1="sai"),1,AN1="sav","-",OR(AN1="sap",AN1="saa"),0,AN1="sar",0)</f>
        <v>-</v>
      </c>
      <c r="AO5" s="9" t="str" cm="1">
        <f t="array" ref="AO5">_xlfn.IFS(OR(AO1="sam",AO1="sai"),1,AO1="sav","-",OR(AO1="sap",AO1="saa"),0,AO1="sar",0)</f>
        <v>-</v>
      </c>
      <c r="AP5" s="9" t="str" cm="1">
        <f t="array" ref="AP5">_xlfn.IFS(OR(AP1="sam",AP1="sai"),1,AP1="sav","-",OR(AP1="sap",AP1="saa"),0,AP1="sar",0)</f>
        <v>-</v>
      </c>
      <c r="AQ5" s="9" t="str" cm="1">
        <f t="array" ref="AQ5">_xlfn.IFS(OR(AQ1="sam",AQ1="sai"),1,AQ1="sav","-",OR(AQ1="sap",AQ1="saa"),0,AQ1="sar",0)</f>
        <v>-</v>
      </c>
      <c r="AR5" s="9" t="s">
        <v>97</v>
      </c>
      <c r="AS5" s="9" t="s">
        <v>97</v>
      </c>
      <c r="AT5" s="9" t="s">
        <v>97</v>
      </c>
      <c r="AU5" s="9" cm="1">
        <f t="array" ref="AU5">_xlfn.IFS(OR(AU1="sam",AU1="sai"),1,AU1="sav","-",OR(AU1="sap",AU1="saa"),0,AU1="sar",0)</f>
        <v>1</v>
      </c>
      <c r="AV5" s="9" cm="1">
        <f t="array" ref="AV5">_xlfn.IFS(OR(AV1="sam",AV1="sai"),1,AV1="sav","-",OR(AV1="sap",AV1="saa"),0,AV1="sar",0)</f>
        <v>1</v>
      </c>
      <c r="AW5" s="9" cm="1">
        <f t="array" ref="AW5">_xlfn.IFS(OR(AW1="sam",AW1="sai"),1,AW1="sav","-",OR(AW1="sap",AW1="saa"),0,AW1="sar",0)</f>
        <v>1</v>
      </c>
      <c r="AX5" s="9" cm="1">
        <f t="array" ref="AX5">_xlfn.IFS(OR(AX1="sam",AX1="sai"),1,AX1="sav","-",OR(AX1="sap",AX1="saa"),0,AX1="sar",0)</f>
        <v>1</v>
      </c>
      <c r="AY5" s="9" cm="1">
        <f t="array" ref="AY5">_xlfn.IFS(OR(AY1="sam",AY1="sai"),1,AY1="sav","-",OR(AY1="sap",AY1="saa"),0,AY1="sar",0)</f>
        <v>1</v>
      </c>
      <c r="AZ5" s="9" cm="1">
        <f t="array" ref="AZ5">_xlfn.IFS(OR(AZ1="sam",AZ1="sai"),1,AZ1="sav","-",OR(AZ1="sap",AZ1="saa"),0,AZ1="sar",0)</f>
        <v>1</v>
      </c>
      <c r="BA5" s="9" cm="1">
        <f t="array" ref="BA5">_xlfn.IFS(OR(BA1="sam",BA1="sai"),1,BA1="sav","-",OR(BA1="sap",BA1="saa"),0,BA1="sar",0)</f>
        <v>1</v>
      </c>
      <c r="BB5" s="9" cm="1">
        <f t="array" ref="BB5">_xlfn.IFS(OR(BB1="sam",BB1="sai"),1,BB1="sav","-",OR(BB1="sap",BB1="saa"),0,BB1="sar",0)</f>
        <v>1</v>
      </c>
      <c r="BC5" s="9" cm="1">
        <f t="array" ref="BC5">_xlfn.IFS(OR(BC1="sam",BC1="sai"),1,BC1="sav","-",OR(BC1="sap",BC1="saa"),0,BC1="sar",0)</f>
        <v>1</v>
      </c>
      <c r="BD5" s="9" cm="1">
        <f t="array" ref="BD5">_xlfn.IFS(OR(BD1="sam",BD1="sai"),1,BD1="sav","-",OR(BD1="sap",BD1="saa"),0,BD1="sar",0)</f>
        <v>1</v>
      </c>
      <c r="BE5" s="9" cm="1">
        <f t="array" ref="BE5">_xlfn.IFS(OR(BE1="sam",BE1="sai"),1,BE1="sav","-",OR(BE1="sap",BE1="saa"),0,BE1="sar",0)</f>
        <v>1</v>
      </c>
      <c r="BF5" s="9" cm="1">
        <f t="array" ref="BF5">_xlfn.IFS(OR(BF1="sam",BF1="sai"),1,BF1="sav","-",OR(BF1="sap",BF1="saa"),0,BF1="sar",0)</f>
        <v>1</v>
      </c>
      <c r="BG5" s="9" cm="1">
        <f t="array" ref="BG5">_xlfn.IFS(OR(BG1="sam",BG1="sai"),1,BG1="sav","-",OR(BG1="sap",BG1="saa"),0,BG1="sar",0)</f>
        <v>1</v>
      </c>
      <c r="BH5" s="9" cm="1">
        <f t="array" ref="BH5">_xlfn.IFS(OR(BH1="sam",BH1="sai"),1,BH1="sav","-",OR(BH1="sap",BH1="saa"),0,BH1="sar",0)</f>
        <v>1</v>
      </c>
      <c r="BI5" s="9" cm="1">
        <f t="array" ref="BI5">_xlfn.IFS(OR(BI1="sam",BI1="sai"),1,BI1="sav","-",OR(BI1="sap",BI1="saa"),0,BI1="sar",0)</f>
        <v>1</v>
      </c>
      <c r="BJ5" s="9" cm="1">
        <f t="array" ref="BJ5">_xlfn.IFS(OR(BJ1="sam",BJ1="sai"),1,BJ1="sav","-",OR(BJ1="sap",BJ1="saa"),0,BJ1="sar",0)</f>
        <v>1</v>
      </c>
      <c r="BK5" s="9" cm="1">
        <f t="array" ref="BK5">_xlfn.IFS(OR(BK1="sam",BK1="sai"),1,BK1="sav","-",OR(BK1="sap",BK1="saa"),0,BK1="sar",0)</f>
        <v>0</v>
      </c>
      <c r="BL5" s="9" cm="1">
        <f t="array" ref="BL5">_xlfn.IFS(OR(BL1="sam",BL1="sai"),1,BL1="sav","-",OR(BL1="sap",BL1="saa"),0,BL1="sar",0)</f>
        <v>0</v>
      </c>
      <c r="BM5" s="9" cm="1">
        <f t="array" ref="BM5">_xlfn.IFS(OR(BM1="sam",BM1="sai"),1,BM1="sav","-",OR(BM1="sap",BM1="saa"),0,BM1="sar",0)</f>
        <v>0</v>
      </c>
      <c r="BN5" s="9" cm="1">
        <f t="array" ref="BN5">_xlfn.IFS(OR(BN1="sam",BN1="sai"),1,BN1="sav","-",OR(BN1="sap",BN1="saa"),0,BN1="sar",0)</f>
        <v>0</v>
      </c>
      <c r="BO5" s="9" cm="1">
        <f t="array" ref="BO5">_xlfn.IFS(OR(BO1="sam",BO1="sai"),1,BO1="sav","-",OR(BO1="sap",BO1="saa"),0,BO1="sar",0)</f>
        <v>0</v>
      </c>
      <c r="BP5" s="15">
        <v>0</v>
      </c>
    </row>
    <row r="6" spans="1:68" x14ac:dyDescent="0.25">
      <c r="A6" s="19"/>
      <c r="B6">
        <f>ROW(B6)-5</f>
        <v>1</v>
      </c>
      <c r="C6" t="b">
        <v>0</v>
      </c>
      <c r="D6" t="b">
        <v>0</v>
      </c>
      <c r="E6" t="b">
        <v>0</v>
      </c>
      <c r="F6" s="3" t="s">
        <v>82</v>
      </c>
      <c r="G6" s="31" t="str">
        <f>IF(MATCH(F6,F$5:F6,0)=(COUNTA(F$5:F6)),"-","Dup")</f>
        <v>-</v>
      </c>
      <c r="H6" s="26" t="str">
        <f>H$5</f>
        <v>-</v>
      </c>
      <c r="I6" s="22" t="b">
        <v>0</v>
      </c>
      <c r="J6" s="22" t="b">
        <v>1</v>
      </c>
      <c r="K6" s="26" t="str">
        <f t="shared" ref="K6:M6" si="0">K$5</f>
        <v>-</v>
      </c>
      <c r="L6" s="26" t="str">
        <f t="shared" si="0"/>
        <v>-</v>
      </c>
      <c r="M6" s="26" t="str">
        <f t="shared" si="0"/>
        <v>-</v>
      </c>
      <c r="N6" s="26" t="str">
        <f t="shared" ref="N6:BO6" si="1">N$5</f>
        <v>-</v>
      </c>
      <c r="O6" s="26" t="str">
        <f t="shared" si="1"/>
        <v>-</v>
      </c>
      <c r="P6" s="26" t="str">
        <f t="shared" si="1"/>
        <v>-</v>
      </c>
      <c r="Q6" s="26" t="str">
        <f t="shared" si="1"/>
        <v>-</v>
      </c>
      <c r="R6" s="26" t="str">
        <f t="shared" si="1"/>
        <v>-</v>
      </c>
      <c r="S6" s="26" t="str">
        <f t="shared" si="1"/>
        <v>-</v>
      </c>
      <c r="T6" s="26" t="str">
        <f t="shared" si="1"/>
        <v>-</v>
      </c>
      <c r="U6" s="26" t="str">
        <f t="shared" si="1"/>
        <v>-</v>
      </c>
      <c r="V6" s="26" t="str">
        <f t="shared" si="1"/>
        <v>-</v>
      </c>
      <c r="W6" s="26" t="str">
        <f t="shared" si="1"/>
        <v>-</v>
      </c>
      <c r="X6" s="26" t="str">
        <f t="shared" si="1"/>
        <v>-</v>
      </c>
      <c r="Y6" s="26" t="str">
        <f t="shared" si="1"/>
        <v>-</v>
      </c>
      <c r="Z6" s="26" t="str">
        <f t="shared" si="1"/>
        <v>-</v>
      </c>
      <c r="AA6" s="26" t="str">
        <f t="shared" si="1"/>
        <v>-</v>
      </c>
      <c r="AB6" s="26" t="str">
        <f t="shared" si="1"/>
        <v>-</v>
      </c>
      <c r="AC6" s="26" t="str">
        <f t="shared" si="1"/>
        <v>-</v>
      </c>
      <c r="AD6" s="26" t="str">
        <f t="shared" si="1"/>
        <v>-</v>
      </c>
      <c r="AE6" s="26" t="str">
        <f t="shared" si="1"/>
        <v>-</v>
      </c>
      <c r="AF6" s="26" t="str">
        <f t="shared" si="1"/>
        <v>-</v>
      </c>
      <c r="AG6" s="26" t="str">
        <f t="shared" si="1"/>
        <v>-</v>
      </c>
      <c r="AH6" s="26" t="str">
        <f t="shared" si="1"/>
        <v>-</v>
      </c>
      <c r="AI6" s="26" t="str">
        <f t="shared" si="1"/>
        <v>-</v>
      </c>
      <c r="AJ6" s="26" t="str">
        <f t="shared" si="1"/>
        <v>-</v>
      </c>
      <c r="AK6" s="26" t="str">
        <f t="shared" si="1"/>
        <v>-</v>
      </c>
      <c r="AL6" s="26" t="str">
        <f t="shared" si="1"/>
        <v>-</v>
      </c>
      <c r="AM6" s="26" t="str">
        <f t="shared" si="1"/>
        <v>-</v>
      </c>
      <c r="AN6" s="26" t="str">
        <f t="shared" si="1"/>
        <v>-</v>
      </c>
      <c r="AO6" s="26" t="str">
        <f t="shared" si="1"/>
        <v>-</v>
      </c>
      <c r="AP6" s="26" t="str">
        <f t="shared" si="1"/>
        <v>-</v>
      </c>
      <c r="AQ6" s="26" t="str">
        <f t="shared" si="1"/>
        <v>-</v>
      </c>
      <c r="AR6" t="s">
        <v>97</v>
      </c>
      <c r="AS6" t="s">
        <v>97</v>
      </c>
      <c r="AT6" t="s">
        <v>97</v>
      </c>
      <c r="AU6" s="26">
        <f t="shared" si="1"/>
        <v>1</v>
      </c>
      <c r="AV6" s="26">
        <f t="shared" si="1"/>
        <v>1</v>
      </c>
      <c r="AW6" s="26">
        <f t="shared" si="1"/>
        <v>1</v>
      </c>
      <c r="AX6" s="26">
        <f t="shared" si="1"/>
        <v>1</v>
      </c>
      <c r="AY6" s="26">
        <f t="shared" si="1"/>
        <v>1</v>
      </c>
      <c r="AZ6" s="26">
        <f t="shared" si="1"/>
        <v>1</v>
      </c>
      <c r="BA6" s="26">
        <f t="shared" si="1"/>
        <v>1</v>
      </c>
      <c r="BB6" s="26">
        <f t="shared" si="1"/>
        <v>1</v>
      </c>
      <c r="BC6" s="26">
        <f t="shared" si="1"/>
        <v>1</v>
      </c>
      <c r="BD6" s="26">
        <f t="shared" si="1"/>
        <v>1</v>
      </c>
      <c r="BE6" s="26">
        <f t="shared" si="1"/>
        <v>1</v>
      </c>
      <c r="BF6" s="26">
        <f t="shared" si="1"/>
        <v>1</v>
      </c>
      <c r="BG6" s="26">
        <f t="shared" si="1"/>
        <v>1</v>
      </c>
      <c r="BH6" s="26">
        <f t="shared" si="1"/>
        <v>1</v>
      </c>
      <c r="BI6" s="26">
        <f t="shared" si="1"/>
        <v>1</v>
      </c>
      <c r="BJ6" s="26">
        <f t="shared" si="1"/>
        <v>1</v>
      </c>
      <c r="BK6" s="26">
        <f t="shared" si="1"/>
        <v>0</v>
      </c>
      <c r="BL6" s="26">
        <f t="shared" si="1"/>
        <v>0</v>
      </c>
      <c r="BM6" s="26">
        <f t="shared" si="1"/>
        <v>0</v>
      </c>
      <c r="BN6" s="26">
        <f t="shared" si="1"/>
        <v>0</v>
      </c>
      <c r="BO6" s="26">
        <f t="shared" si="1"/>
        <v>0</v>
      </c>
      <c r="BP6" s="15">
        <v>0</v>
      </c>
    </row>
    <row r="7" spans="1:68" x14ac:dyDescent="0.25">
      <c r="A7" s="19"/>
      <c r="B7">
        <f>ROW(B7)-5</f>
        <v>2</v>
      </c>
      <c r="C7" t="b">
        <v>0</v>
      </c>
      <c r="D7" t="b">
        <v>0</v>
      </c>
      <c r="E7" t="b">
        <v>0</v>
      </c>
      <c r="F7" s="3" t="s">
        <v>67</v>
      </c>
      <c r="G7" s="31" t="str">
        <f>IF(MATCH(F7,F$5:F7,0)=(COUNTA(F$5:F7)),"-","Dup")</f>
        <v>-</v>
      </c>
      <c r="H7" t="str">
        <f t="shared" ref="H7:BO22" si="2">H$6</f>
        <v>-</v>
      </c>
      <c r="I7" t="b">
        <f t="shared" si="2"/>
        <v>0</v>
      </c>
      <c r="J7" t="b">
        <f t="shared" si="2"/>
        <v>1</v>
      </c>
      <c r="K7" t="str">
        <f t="shared" si="2"/>
        <v>-</v>
      </c>
      <c r="L7" t="str">
        <f t="shared" si="2"/>
        <v>-</v>
      </c>
      <c r="M7" t="str">
        <f t="shared" si="2"/>
        <v>-</v>
      </c>
      <c r="N7" t="str">
        <f t="shared" si="2"/>
        <v>-</v>
      </c>
      <c r="O7" t="str">
        <f t="shared" si="2"/>
        <v>-</v>
      </c>
      <c r="P7" t="str">
        <f t="shared" si="2"/>
        <v>-</v>
      </c>
      <c r="Q7" t="str">
        <f t="shared" si="2"/>
        <v>-</v>
      </c>
      <c r="R7" t="str">
        <f t="shared" si="2"/>
        <v>-</v>
      </c>
      <c r="S7" t="str">
        <f t="shared" si="2"/>
        <v>-</v>
      </c>
      <c r="T7" t="str">
        <f t="shared" si="2"/>
        <v>-</v>
      </c>
      <c r="U7" t="str">
        <f t="shared" si="2"/>
        <v>-</v>
      </c>
      <c r="V7" t="str">
        <f t="shared" si="2"/>
        <v>-</v>
      </c>
      <c r="W7" t="str">
        <f t="shared" si="2"/>
        <v>-</v>
      </c>
      <c r="X7" t="str">
        <f t="shared" si="2"/>
        <v>-</v>
      </c>
      <c r="Y7" t="str">
        <f t="shared" si="2"/>
        <v>-</v>
      </c>
      <c r="Z7" t="str">
        <f t="shared" si="2"/>
        <v>-</v>
      </c>
      <c r="AA7" t="str">
        <f t="shared" si="2"/>
        <v>-</v>
      </c>
      <c r="AB7" t="str">
        <f t="shared" si="2"/>
        <v>-</v>
      </c>
      <c r="AC7" t="str">
        <f t="shared" si="2"/>
        <v>-</v>
      </c>
      <c r="AD7" t="str">
        <f t="shared" si="2"/>
        <v>-</v>
      </c>
      <c r="AE7" t="str">
        <f t="shared" si="2"/>
        <v>-</v>
      </c>
      <c r="AF7" t="str">
        <f t="shared" si="2"/>
        <v>-</v>
      </c>
      <c r="AG7" t="str">
        <f t="shared" si="2"/>
        <v>-</v>
      </c>
      <c r="AH7" t="str">
        <f t="shared" si="2"/>
        <v>-</v>
      </c>
      <c r="AI7" t="str">
        <f t="shared" si="2"/>
        <v>-</v>
      </c>
      <c r="AJ7" t="str">
        <f t="shared" si="2"/>
        <v>-</v>
      </c>
      <c r="AK7" t="str">
        <f t="shared" si="2"/>
        <v>-</v>
      </c>
      <c r="AL7" t="str">
        <f t="shared" si="2"/>
        <v>-</v>
      </c>
      <c r="AM7" t="str">
        <f t="shared" si="2"/>
        <v>-</v>
      </c>
      <c r="AN7" t="str">
        <f t="shared" si="2"/>
        <v>-</v>
      </c>
      <c r="AO7" t="str">
        <f t="shared" si="2"/>
        <v>-</v>
      </c>
      <c r="AP7" t="str">
        <f t="shared" si="2"/>
        <v>-</v>
      </c>
      <c r="AQ7" t="str">
        <f t="shared" si="2"/>
        <v>-</v>
      </c>
      <c r="AR7" t="s">
        <v>97</v>
      </c>
      <c r="AS7" t="s">
        <v>97</v>
      </c>
      <c r="AT7" t="s">
        <v>97</v>
      </c>
      <c r="AU7">
        <f t="shared" si="2"/>
        <v>1</v>
      </c>
      <c r="AV7">
        <f t="shared" si="2"/>
        <v>1</v>
      </c>
      <c r="AW7">
        <f t="shared" si="2"/>
        <v>1</v>
      </c>
      <c r="AX7">
        <f t="shared" si="2"/>
        <v>1</v>
      </c>
      <c r="AY7">
        <f t="shared" si="2"/>
        <v>1</v>
      </c>
      <c r="AZ7">
        <f t="shared" si="2"/>
        <v>1</v>
      </c>
      <c r="BA7">
        <f t="shared" si="2"/>
        <v>1</v>
      </c>
      <c r="BB7">
        <f t="shared" si="2"/>
        <v>1</v>
      </c>
      <c r="BC7">
        <f t="shared" si="2"/>
        <v>1</v>
      </c>
      <c r="BD7">
        <f t="shared" si="2"/>
        <v>1</v>
      </c>
      <c r="BE7">
        <f t="shared" si="2"/>
        <v>1</v>
      </c>
      <c r="BF7">
        <f t="shared" si="2"/>
        <v>1</v>
      </c>
      <c r="BG7">
        <f t="shared" si="2"/>
        <v>1</v>
      </c>
      <c r="BH7">
        <f t="shared" si="2"/>
        <v>1</v>
      </c>
      <c r="BI7">
        <f t="shared" si="2"/>
        <v>1</v>
      </c>
      <c r="BJ7">
        <f t="shared" si="2"/>
        <v>1</v>
      </c>
      <c r="BK7">
        <f t="shared" si="2"/>
        <v>0</v>
      </c>
      <c r="BL7">
        <f t="shared" si="2"/>
        <v>0</v>
      </c>
      <c r="BM7">
        <f t="shared" si="2"/>
        <v>0</v>
      </c>
      <c r="BN7">
        <f t="shared" si="2"/>
        <v>0</v>
      </c>
      <c r="BO7">
        <f t="shared" si="2"/>
        <v>0</v>
      </c>
      <c r="BP7" s="15">
        <v>0</v>
      </c>
    </row>
    <row r="8" spans="1:68" x14ac:dyDescent="0.25">
      <c r="A8" s="19"/>
      <c r="B8">
        <f t="shared" ref="B8:B94" si="3">ROW(B8)-5</f>
        <v>3</v>
      </c>
      <c r="C8" t="b">
        <v>0</v>
      </c>
      <c r="D8" t="b">
        <v>0</v>
      </c>
      <c r="E8" t="b">
        <v>0</v>
      </c>
      <c r="F8" s="3" t="s">
        <v>11</v>
      </c>
      <c r="G8" s="31" t="str">
        <f>IF(MATCH(F8,F$5:F8,0)=(COUNTA(F$5:F8)),"-","Dup")</f>
        <v>-</v>
      </c>
      <c r="H8" t="str">
        <f t="shared" ref="H8:U17" si="4">H$6</f>
        <v>-</v>
      </c>
      <c r="I8" t="b">
        <f t="shared" si="4"/>
        <v>0</v>
      </c>
      <c r="J8" t="b">
        <f t="shared" si="4"/>
        <v>1</v>
      </c>
      <c r="K8" t="str">
        <f t="shared" si="4"/>
        <v>-</v>
      </c>
      <c r="L8" t="str">
        <f t="shared" si="4"/>
        <v>-</v>
      </c>
      <c r="M8" t="str">
        <f t="shared" si="4"/>
        <v>-</v>
      </c>
      <c r="N8" t="str">
        <f t="shared" si="4"/>
        <v>-</v>
      </c>
      <c r="O8" t="str">
        <f t="shared" si="4"/>
        <v>-</v>
      </c>
      <c r="P8" t="str">
        <f t="shared" si="4"/>
        <v>-</v>
      </c>
      <c r="Q8" t="str">
        <f t="shared" si="4"/>
        <v>-</v>
      </c>
      <c r="R8" t="str">
        <f t="shared" si="4"/>
        <v>-</v>
      </c>
      <c r="S8" t="str">
        <f t="shared" si="4"/>
        <v>-</v>
      </c>
      <c r="T8" t="str">
        <f t="shared" si="4"/>
        <v>-</v>
      </c>
      <c r="U8" t="str">
        <f t="shared" si="4"/>
        <v>-</v>
      </c>
      <c r="V8" t="str">
        <f t="shared" ref="V8:AO17" si="5">V$6</f>
        <v>-</v>
      </c>
      <c r="W8" t="str">
        <f t="shared" si="5"/>
        <v>-</v>
      </c>
      <c r="X8" t="str">
        <f t="shared" si="5"/>
        <v>-</v>
      </c>
      <c r="Y8" t="str">
        <f t="shared" si="5"/>
        <v>-</v>
      </c>
      <c r="Z8" t="str">
        <f t="shared" si="5"/>
        <v>-</v>
      </c>
      <c r="AA8" t="str">
        <f t="shared" si="5"/>
        <v>-</v>
      </c>
      <c r="AB8" t="str">
        <f t="shared" si="5"/>
        <v>-</v>
      </c>
      <c r="AC8" t="str">
        <f t="shared" si="5"/>
        <v>-</v>
      </c>
      <c r="AD8" t="str">
        <f t="shared" si="5"/>
        <v>-</v>
      </c>
      <c r="AE8" t="str">
        <f t="shared" si="5"/>
        <v>-</v>
      </c>
      <c r="AF8" t="str">
        <f t="shared" si="5"/>
        <v>-</v>
      </c>
      <c r="AG8" t="str">
        <f t="shared" si="5"/>
        <v>-</v>
      </c>
      <c r="AH8" t="str">
        <f t="shared" si="5"/>
        <v>-</v>
      </c>
      <c r="AI8" t="str">
        <f t="shared" si="5"/>
        <v>-</v>
      </c>
      <c r="AJ8" t="str">
        <f t="shared" si="5"/>
        <v>-</v>
      </c>
      <c r="AK8" t="str">
        <f t="shared" si="5"/>
        <v>-</v>
      </c>
      <c r="AL8" t="str">
        <f t="shared" si="5"/>
        <v>-</v>
      </c>
      <c r="AM8" t="str">
        <f t="shared" si="5"/>
        <v>-</v>
      </c>
      <c r="AN8" t="str">
        <f t="shared" si="5"/>
        <v>-</v>
      </c>
      <c r="AO8" t="str">
        <f t="shared" si="5"/>
        <v>-</v>
      </c>
      <c r="AP8" t="str">
        <f t="shared" si="2"/>
        <v>-</v>
      </c>
      <c r="AQ8" t="str">
        <f t="shared" si="2"/>
        <v>-</v>
      </c>
      <c r="AR8" t="s">
        <v>97</v>
      </c>
      <c r="AS8" t="s">
        <v>97</v>
      </c>
      <c r="AT8" t="s">
        <v>97</v>
      </c>
      <c r="AU8" s="22">
        <v>0.9</v>
      </c>
      <c r="AV8">
        <f t="shared" ref="AV8:BO9" si="6">AV$6</f>
        <v>1</v>
      </c>
      <c r="AW8">
        <f t="shared" si="6"/>
        <v>1</v>
      </c>
      <c r="AX8">
        <f t="shared" si="6"/>
        <v>1</v>
      </c>
      <c r="AY8">
        <f t="shared" si="6"/>
        <v>1</v>
      </c>
      <c r="AZ8">
        <f t="shared" si="6"/>
        <v>1</v>
      </c>
      <c r="BA8">
        <f t="shared" si="6"/>
        <v>1</v>
      </c>
      <c r="BB8">
        <f t="shared" si="6"/>
        <v>1</v>
      </c>
      <c r="BC8">
        <f t="shared" si="6"/>
        <v>1</v>
      </c>
      <c r="BD8">
        <f t="shared" si="6"/>
        <v>1</v>
      </c>
      <c r="BE8">
        <f t="shared" si="6"/>
        <v>1</v>
      </c>
      <c r="BF8">
        <f t="shared" si="6"/>
        <v>1</v>
      </c>
      <c r="BG8">
        <f t="shared" si="6"/>
        <v>1</v>
      </c>
      <c r="BH8">
        <f t="shared" si="6"/>
        <v>1</v>
      </c>
      <c r="BI8">
        <f t="shared" si="6"/>
        <v>1</v>
      </c>
      <c r="BJ8">
        <f t="shared" si="6"/>
        <v>1</v>
      </c>
      <c r="BK8">
        <f t="shared" si="6"/>
        <v>0</v>
      </c>
      <c r="BL8">
        <f t="shared" si="6"/>
        <v>0</v>
      </c>
      <c r="BM8">
        <f t="shared" si="6"/>
        <v>0</v>
      </c>
      <c r="BN8">
        <f t="shared" si="6"/>
        <v>0</v>
      </c>
      <c r="BO8">
        <f t="shared" si="6"/>
        <v>0</v>
      </c>
      <c r="BP8" s="15">
        <v>0</v>
      </c>
    </row>
    <row r="9" spans="1:68" x14ac:dyDescent="0.25">
      <c r="A9" s="19"/>
      <c r="B9">
        <f t="shared" si="3"/>
        <v>4</v>
      </c>
      <c r="C9" t="b">
        <v>0</v>
      </c>
      <c r="D9" t="b">
        <v>0</v>
      </c>
      <c r="E9" t="b">
        <v>0</v>
      </c>
      <c r="F9" s="3" t="s">
        <v>12</v>
      </c>
      <c r="G9" s="31" t="str">
        <f>IF(MATCH(F9,F$5:F9,0)=(COUNTA(F$5:F9)),"-","Dup")</f>
        <v>-</v>
      </c>
      <c r="H9" t="str">
        <f t="shared" si="4"/>
        <v>-</v>
      </c>
      <c r="I9" t="b">
        <f t="shared" si="4"/>
        <v>0</v>
      </c>
      <c r="J9" t="b">
        <f t="shared" si="4"/>
        <v>1</v>
      </c>
      <c r="K9" t="str">
        <f t="shared" si="4"/>
        <v>-</v>
      </c>
      <c r="L9" t="str">
        <f t="shared" si="4"/>
        <v>-</v>
      </c>
      <c r="M9" t="str">
        <f t="shared" si="4"/>
        <v>-</v>
      </c>
      <c r="N9" t="str">
        <f t="shared" si="4"/>
        <v>-</v>
      </c>
      <c r="O9" t="str">
        <f t="shared" si="4"/>
        <v>-</v>
      </c>
      <c r="P9" t="str">
        <f t="shared" si="4"/>
        <v>-</v>
      </c>
      <c r="Q9" t="str">
        <f t="shared" si="4"/>
        <v>-</v>
      </c>
      <c r="R9" t="str">
        <f t="shared" si="4"/>
        <v>-</v>
      </c>
      <c r="S9" t="str">
        <f t="shared" si="4"/>
        <v>-</v>
      </c>
      <c r="T9" t="str">
        <f t="shared" si="4"/>
        <v>-</v>
      </c>
      <c r="U9" t="str">
        <f t="shared" si="4"/>
        <v>-</v>
      </c>
      <c r="V9" t="str">
        <f t="shared" si="5"/>
        <v>-</v>
      </c>
      <c r="W9" t="str">
        <f t="shared" si="5"/>
        <v>-</v>
      </c>
      <c r="X9" t="str">
        <f t="shared" si="5"/>
        <v>-</v>
      </c>
      <c r="Y9" t="str">
        <f t="shared" si="5"/>
        <v>-</v>
      </c>
      <c r="Z9" t="str">
        <f t="shared" si="5"/>
        <v>-</v>
      </c>
      <c r="AA9" t="str">
        <f t="shared" si="5"/>
        <v>-</v>
      </c>
      <c r="AB9" t="str">
        <f t="shared" si="5"/>
        <v>-</v>
      </c>
      <c r="AC9" t="str">
        <f t="shared" si="5"/>
        <v>-</v>
      </c>
      <c r="AD9" t="str">
        <f t="shared" si="5"/>
        <v>-</v>
      </c>
      <c r="AE9" t="str">
        <f t="shared" si="5"/>
        <v>-</v>
      </c>
      <c r="AF9" t="str">
        <f t="shared" si="5"/>
        <v>-</v>
      </c>
      <c r="AG9" t="str">
        <f t="shared" si="5"/>
        <v>-</v>
      </c>
      <c r="AH9" t="str">
        <f t="shared" si="5"/>
        <v>-</v>
      </c>
      <c r="AI9" t="str">
        <f t="shared" si="5"/>
        <v>-</v>
      </c>
      <c r="AJ9" t="str">
        <f t="shared" si="5"/>
        <v>-</v>
      </c>
      <c r="AK9" t="str">
        <f t="shared" si="5"/>
        <v>-</v>
      </c>
      <c r="AL9" t="str">
        <f t="shared" si="5"/>
        <v>-</v>
      </c>
      <c r="AM9" t="str">
        <f t="shared" si="5"/>
        <v>-</v>
      </c>
      <c r="AN9" t="str">
        <f t="shared" si="5"/>
        <v>-</v>
      </c>
      <c r="AO9" t="str">
        <f t="shared" si="2"/>
        <v>-</v>
      </c>
      <c r="AP9" t="str">
        <f t="shared" si="2"/>
        <v>-</v>
      </c>
      <c r="AQ9" t="str">
        <f t="shared" si="2"/>
        <v>-</v>
      </c>
      <c r="AR9" t="s">
        <v>97</v>
      </c>
      <c r="AS9" t="s">
        <v>97</v>
      </c>
      <c r="AT9" t="s">
        <v>97</v>
      </c>
      <c r="AU9" s="22">
        <v>1.1000000000000001</v>
      </c>
      <c r="AV9">
        <f t="shared" si="6"/>
        <v>1</v>
      </c>
      <c r="AW9">
        <f t="shared" si="6"/>
        <v>1</v>
      </c>
      <c r="AX9">
        <f t="shared" si="6"/>
        <v>1</v>
      </c>
      <c r="AY9">
        <f t="shared" si="6"/>
        <v>1</v>
      </c>
      <c r="AZ9">
        <f t="shared" si="6"/>
        <v>1</v>
      </c>
      <c r="BA9">
        <f t="shared" si="6"/>
        <v>1</v>
      </c>
      <c r="BB9">
        <f t="shared" si="6"/>
        <v>1</v>
      </c>
      <c r="BC9">
        <f t="shared" si="6"/>
        <v>1</v>
      </c>
      <c r="BD9">
        <f t="shared" si="6"/>
        <v>1</v>
      </c>
      <c r="BE9">
        <f t="shared" si="6"/>
        <v>1</v>
      </c>
      <c r="BF9">
        <f t="shared" si="6"/>
        <v>1</v>
      </c>
      <c r="BG9">
        <f t="shared" si="6"/>
        <v>1</v>
      </c>
      <c r="BH9">
        <f t="shared" si="6"/>
        <v>1</v>
      </c>
      <c r="BI9">
        <f t="shared" si="6"/>
        <v>1</v>
      </c>
      <c r="BJ9">
        <f t="shared" si="6"/>
        <v>1</v>
      </c>
      <c r="BK9">
        <f t="shared" si="6"/>
        <v>0</v>
      </c>
      <c r="BL9">
        <f t="shared" si="6"/>
        <v>0</v>
      </c>
      <c r="BM9">
        <f t="shared" si="6"/>
        <v>0</v>
      </c>
      <c r="BN9">
        <f t="shared" si="6"/>
        <v>0</v>
      </c>
      <c r="BO9">
        <f t="shared" si="6"/>
        <v>0</v>
      </c>
      <c r="BP9" s="15">
        <v>0</v>
      </c>
    </row>
    <row r="10" spans="1:68" x14ac:dyDescent="0.25">
      <c r="A10" s="19"/>
      <c r="B10">
        <f t="shared" si="3"/>
        <v>5</v>
      </c>
      <c r="C10" t="b">
        <v>0</v>
      </c>
      <c r="D10" t="b">
        <v>0</v>
      </c>
      <c r="E10" t="b">
        <v>0</v>
      </c>
      <c r="F10" s="3" t="s">
        <v>13</v>
      </c>
      <c r="G10" s="31" t="str">
        <f>IF(MATCH(F10,F$5:F10,0)=(COUNTA(F$5:F10)),"-","Dup")</f>
        <v>-</v>
      </c>
      <c r="H10" t="str">
        <f t="shared" si="4"/>
        <v>-</v>
      </c>
      <c r="I10" t="b">
        <f t="shared" si="4"/>
        <v>0</v>
      </c>
      <c r="J10" t="b">
        <f t="shared" si="4"/>
        <v>1</v>
      </c>
      <c r="K10" t="str">
        <f t="shared" si="4"/>
        <v>-</v>
      </c>
      <c r="L10" t="str">
        <f t="shared" si="4"/>
        <v>-</v>
      </c>
      <c r="M10" t="str">
        <f t="shared" si="4"/>
        <v>-</v>
      </c>
      <c r="N10" t="str">
        <f t="shared" si="4"/>
        <v>-</v>
      </c>
      <c r="O10" t="str">
        <f t="shared" si="4"/>
        <v>-</v>
      </c>
      <c r="P10" t="str">
        <f t="shared" si="4"/>
        <v>-</v>
      </c>
      <c r="Q10" t="str">
        <f t="shared" si="4"/>
        <v>-</v>
      </c>
      <c r="R10" t="str">
        <f t="shared" si="4"/>
        <v>-</v>
      </c>
      <c r="S10" t="str">
        <f t="shared" si="4"/>
        <v>-</v>
      </c>
      <c r="T10" t="str">
        <f t="shared" si="4"/>
        <v>-</v>
      </c>
      <c r="U10" t="str">
        <f t="shared" si="4"/>
        <v>-</v>
      </c>
      <c r="V10" t="str">
        <f t="shared" si="5"/>
        <v>-</v>
      </c>
      <c r="W10" t="str">
        <f t="shared" si="5"/>
        <v>-</v>
      </c>
      <c r="X10" t="str">
        <f t="shared" si="5"/>
        <v>-</v>
      </c>
      <c r="Y10" t="str">
        <f t="shared" si="5"/>
        <v>-</v>
      </c>
      <c r="Z10" t="str">
        <f t="shared" si="5"/>
        <v>-</v>
      </c>
      <c r="AA10" t="str">
        <f t="shared" si="5"/>
        <v>-</v>
      </c>
      <c r="AB10" t="str">
        <f t="shared" si="5"/>
        <v>-</v>
      </c>
      <c r="AC10" t="str">
        <f t="shared" si="5"/>
        <v>-</v>
      </c>
      <c r="AD10" t="str">
        <f t="shared" si="5"/>
        <v>-</v>
      </c>
      <c r="AE10" t="str">
        <f t="shared" si="5"/>
        <v>-</v>
      </c>
      <c r="AF10" t="str">
        <f t="shared" si="5"/>
        <v>-</v>
      </c>
      <c r="AG10" t="str">
        <f t="shared" si="5"/>
        <v>-</v>
      </c>
      <c r="AH10" t="str">
        <f t="shared" si="5"/>
        <v>-</v>
      </c>
      <c r="AI10" t="str">
        <f t="shared" si="5"/>
        <v>-</v>
      </c>
      <c r="AJ10" t="str">
        <f t="shared" si="5"/>
        <v>-</v>
      </c>
      <c r="AK10" t="str">
        <f t="shared" si="5"/>
        <v>-</v>
      </c>
      <c r="AL10" t="str">
        <f t="shared" si="5"/>
        <v>-</v>
      </c>
      <c r="AM10" t="str">
        <f t="shared" si="5"/>
        <v>-</v>
      </c>
      <c r="AN10" t="str">
        <f t="shared" si="5"/>
        <v>-</v>
      </c>
      <c r="AO10" t="str">
        <f t="shared" si="2"/>
        <v>-</v>
      </c>
      <c r="AP10" t="str">
        <f t="shared" si="2"/>
        <v>-</v>
      </c>
      <c r="AQ10" t="str">
        <f t="shared" si="2"/>
        <v>-</v>
      </c>
      <c r="AR10" t="s">
        <v>97</v>
      </c>
      <c r="AS10" t="s">
        <v>97</v>
      </c>
      <c r="AT10" t="s">
        <v>97</v>
      </c>
      <c r="AU10">
        <f t="shared" ref="AU10:AU44" si="7">AU$6</f>
        <v>1</v>
      </c>
      <c r="AV10" s="22">
        <v>0.9</v>
      </c>
      <c r="AW10">
        <f t="shared" ref="AW10:BO11" si="8">AW$6</f>
        <v>1</v>
      </c>
      <c r="AX10">
        <f t="shared" si="8"/>
        <v>1</v>
      </c>
      <c r="AY10">
        <f t="shared" si="8"/>
        <v>1</v>
      </c>
      <c r="AZ10">
        <f t="shared" si="8"/>
        <v>1</v>
      </c>
      <c r="BA10">
        <f t="shared" si="8"/>
        <v>1</v>
      </c>
      <c r="BB10">
        <f t="shared" si="8"/>
        <v>1</v>
      </c>
      <c r="BC10">
        <f t="shared" si="8"/>
        <v>1</v>
      </c>
      <c r="BD10">
        <f t="shared" si="8"/>
        <v>1</v>
      </c>
      <c r="BE10">
        <f t="shared" si="8"/>
        <v>1</v>
      </c>
      <c r="BF10">
        <f t="shared" si="8"/>
        <v>1</v>
      </c>
      <c r="BG10">
        <f t="shared" si="8"/>
        <v>1</v>
      </c>
      <c r="BH10">
        <f t="shared" si="8"/>
        <v>1</v>
      </c>
      <c r="BI10">
        <f t="shared" si="8"/>
        <v>1</v>
      </c>
      <c r="BJ10">
        <f t="shared" si="8"/>
        <v>1</v>
      </c>
      <c r="BK10">
        <f t="shared" si="8"/>
        <v>0</v>
      </c>
      <c r="BL10">
        <f t="shared" si="8"/>
        <v>0</v>
      </c>
      <c r="BM10">
        <f t="shared" si="8"/>
        <v>0</v>
      </c>
      <c r="BN10">
        <f t="shared" si="8"/>
        <v>0</v>
      </c>
      <c r="BO10">
        <f t="shared" si="8"/>
        <v>0</v>
      </c>
      <c r="BP10" s="15">
        <v>0</v>
      </c>
    </row>
    <row r="11" spans="1:68" x14ac:dyDescent="0.25">
      <c r="A11" s="19"/>
      <c r="B11">
        <f t="shared" si="3"/>
        <v>6</v>
      </c>
      <c r="C11" t="b">
        <v>0</v>
      </c>
      <c r="D11" t="b">
        <v>0</v>
      </c>
      <c r="E11" t="b">
        <v>0</v>
      </c>
      <c r="F11" s="3" t="s">
        <v>14</v>
      </c>
      <c r="G11" s="31" t="str">
        <f>IF(MATCH(F11,F$5:F11,0)=(COUNTA(F$5:F11)),"-","Dup")</f>
        <v>-</v>
      </c>
      <c r="H11" t="str">
        <f t="shared" si="4"/>
        <v>-</v>
      </c>
      <c r="I11" t="b">
        <f t="shared" si="4"/>
        <v>0</v>
      </c>
      <c r="J11" t="b">
        <f t="shared" si="4"/>
        <v>1</v>
      </c>
      <c r="K11" t="str">
        <f t="shared" si="4"/>
        <v>-</v>
      </c>
      <c r="L11" t="str">
        <f t="shared" si="4"/>
        <v>-</v>
      </c>
      <c r="M11" t="str">
        <f t="shared" si="4"/>
        <v>-</v>
      </c>
      <c r="N11" t="str">
        <f t="shared" si="4"/>
        <v>-</v>
      </c>
      <c r="O11" t="str">
        <f t="shared" si="4"/>
        <v>-</v>
      </c>
      <c r="P11" t="str">
        <f t="shared" si="4"/>
        <v>-</v>
      </c>
      <c r="Q11" t="str">
        <f t="shared" si="4"/>
        <v>-</v>
      </c>
      <c r="R11" t="str">
        <f t="shared" si="4"/>
        <v>-</v>
      </c>
      <c r="S11" t="str">
        <f t="shared" si="4"/>
        <v>-</v>
      </c>
      <c r="T11" t="str">
        <f t="shared" si="4"/>
        <v>-</v>
      </c>
      <c r="U11" t="str">
        <f t="shared" si="4"/>
        <v>-</v>
      </c>
      <c r="V11" t="str">
        <f t="shared" si="5"/>
        <v>-</v>
      </c>
      <c r="W11" t="str">
        <f t="shared" si="5"/>
        <v>-</v>
      </c>
      <c r="X11" t="str">
        <f t="shared" si="5"/>
        <v>-</v>
      </c>
      <c r="Y11" t="str">
        <f t="shared" si="5"/>
        <v>-</v>
      </c>
      <c r="Z11" t="str">
        <f t="shared" si="5"/>
        <v>-</v>
      </c>
      <c r="AA11" t="str">
        <f t="shared" si="5"/>
        <v>-</v>
      </c>
      <c r="AB11" t="str">
        <f t="shared" si="5"/>
        <v>-</v>
      </c>
      <c r="AC11" t="str">
        <f t="shared" si="5"/>
        <v>-</v>
      </c>
      <c r="AD11" t="str">
        <f t="shared" si="5"/>
        <v>-</v>
      </c>
      <c r="AE11" t="str">
        <f t="shared" si="5"/>
        <v>-</v>
      </c>
      <c r="AF11" t="str">
        <f t="shared" si="5"/>
        <v>-</v>
      </c>
      <c r="AG11" t="str">
        <f t="shared" si="5"/>
        <v>-</v>
      </c>
      <c r="AH11" t="str">
        <f t="shared" si="5"/>
        <v>-</v>
      </c>
      <c r="AI11" t="str">
        <f t="shared" si="5"/>
        <v>-</v>
      </c>
      <c r="AJ11" t="str">
        <f t="shared" si="5"/>
        <v>-</v>
      </c>
      <c r="AK11" t="str">
        <f t="shared" si="5"/>
        <v>-</v>
      </c>
      <c r="AL11" t="str">
        <f t="shared" si="5"/>
        <v>-</v>
      </c>
      <c r="AM11" t="str">
        <f t="shared" si="5"/>
        <v>-</v>
      </c>
      <c r="AN11" t="str">
        <f t="shared" si="5"/>
        <v>-</v>
      </c>
      <c r="AO11" t="str">
        <f t="shared" si="2"/>
        <v>-</v>
      </c>
      <c r="AP11" t="str">
        <f t="shared" si="2"/>
        <v>-</v>
      </c>
      <c r="AQ11" t="str">
        <f t="shared" si="2"/>
        <v>-</v>
      </c>
      <c r="AR11" t="s">
        <v>97</v>
      </c>
      <c r="AS11" t="s">
        <v>97</v>
      </c>
      <c r="AT11" t="s">
        <v>97</v>
      </c>
      <c r="AU11">
        <f t="shared" si="7"/>
        <v>1</v>
      </c>
      <c r="AV11" s="22">
        <v>1.1000000000000001</v>
      </c>
      <c r="AW11">
        <f t="shared" si="8"/>
        <v>1</v>
      </c>
      <c r="AX11">
        <f t="shared" si="8"/>
        <v>1</v>
      </c>
      <c r="AY11">
        <f t="shared" si="8"/>
        <v>1</v>
      </c>
      <c r="AZ11">
        <f t="shared" si="8"/>
        <v>1</v>
      </c>
      <c r="BA11">
        <f t="shared" si="8"/>
        <v>1</v>
      </c>
      <c r="BB11">
        <f t="shared" si="8"/>
        <v>1</v>
      </c>
      <c r="BC11">
        <f t="shared" si="8"/>
        <v>1</v>
      </c>
      <c r="BD11">
        <f t="shared" si="8"/>
        <v>1</v>
      </c>
      <c r="BE11">
        <f t="shared" si="8"/>
        <v>1</v>
      </c>
      <c r="BF11">
        <f t="shared" si="8"/>
        <v>1</v>
      </c>
      <c r="BG11">
        <f t="shared" si="8"/>
        <v>1</v>
      </c>
      <c r="BH11">
        <f t="shared" si="8"/>
        <v>1</v>
      </c>
      <c r="BI11">
        <f t="shared" si="8"/>
        <v>1</v>
      </c>
      <c r="BJ11">
        <f t="shared" si="8"/>
        <v>1</v>
      </c>
      <c r="BK11">
        <f t="shared" si="8"/>
        <v>0</v>
      </c>
      <c r="BL11">
        <f t="shared" si="8"/>
        <v>0</v>
      </c>
      <c r="BM11">
        <f t="shared" si="8"/>
        <v>0</v>
      </c>
      <c r="BN11">
        <f t="shared" si="8"/>
        <v>0</v>
      </c>
      <c r="BO11">
        <f t="shared" si="8"/>
        <v>0</v>
      </c>
      <c r="BP11" s="15">
        <v>0</v>
      </c>
    </row>
    <row r="12" spans="1:68" x14ac:dyDescent="0.25">
      <c r="A12" s="19"/>
      <c r="B12">
        <f t="shared" si="3"/>
        <v>7</v>
      </c>
      <c r="C12" t="b">
        <v>0</v>
      </c>
      <c r="D12" t="b">
        <v>0</v>
      </c>
      <c r="E12" t="b">
        <v>0</v>
      </c>
      <c r="F12" s="3" t="s">
        <v>15</v>
      </c>
      <c r="G12" s="31" t="str">
        <f>IF(MATCH(F12,F$5:F12,0)=(COUNTA(F$5:F12)),"-","Dup")</f>
        <v>-</v>
      </c>
      <c r="H12" t="str">
        <f t="shared" si="4"/>
        <v>-</v>
      </c>
      <c r="I12" t="b">
        <f t="shared" si="4"/>
        <v>0</v>
      </c>
      <c r="J12" t="b">
        <f t="shared" si="4"/>
        <v>1</v>
      </c>
      <c r="K12" t="str">
        <f t="shared" si="4"/>
        <v>-</v>
      </c>
      <c r="L12" t="str">
        <f t="shared" si="4"/>
        <v>-</v>
      </c>
      <c r="M12" t="str">
        <f t="shared" si="4"/>
        <v>-</v>
      </c>
      <c r="N12" t="str">
        <f t="shared" si="4"/>
        <v>-</v>
      </c>
      <c r="O12" t="str">
        <f t="shared" si="4"/>
        <v>-</v>
      </c>
      <c r="P12" t="str">
        <f t="shared" si="4"/>
        <v>-</v>
      </c>
      <c r="Q12" t="str">
        <f t="shared" si="4"/>
        <v>-</v>
      </c>
      <c r="R12" t="str">
        <f t="shared" si="4"/>
        <v>-</v>
      </c>
      <c r="S12" t="str">
        <f t="shared" si="4"/>
        <v>-</v>
      </c>
      <c r="T12" t="str">
        <f t="shared" si="4"/>
        <v>-</v>
      </c>
      <c r="U12" t="str">
        <f t="shared" si="4"/>
        <v>-</v>
      </c>
      <c r="V12" t="str">
        <f t="shared" si="5"/>
        <v>-</v>
      </c>
      <c r="W12" t="str">
        <f t="shared" si="5"/>
        <v>-</v>
      </c>
      <c r="X12" t="str">
        <f t="shared" si="5"/>
        <v>-</v>
      </c>
      <c r="Y12" t="str">
        <f t="shared" si="5"/>
        <v>-</v>
      </c>
      <c r="Z12" t="str">
        <f t="shared" si="5"/>
        <v>-</v>
      </c>
      <c r="AA12" t="str">
        <f t="shared" si="5"/>
        <v>-</v>
      </c>
      <c r="AB12" t="str">
        <f t="shared" si="5"/>
        <v>-</v>
      </c>
      <c r="AC12" t="str">
        <f t="shared" si="5"/>
        <v>-</v>
      </c>
      <c r="AD12" t="str">
        <f t="shared" si="5"/>
        <v>-</v>
      </c>
      <c r="AE12" t="str">
        <f t="shared" si="5"/>
        <v>-</v>
      </c>
      <c r="AF12" t="str">
        <f t="shared" si="5"/>
        <v>-</v>
      </c>
      <c r="AG12" t="str">
        <f t="shared" si="5"/>
        <v>-</v>
      </c>
      <c r="AH12" t="str">
        <f t="shared" si="5"/>
        <v>-</v>
      </c>
      <c r="AI12" t="str">
        <f t="shared" si="5"/>
        <v>-</v>
      </c>
      <c r="AJ12" t="str">
        <f t="shared" si="5"/>
        <v>-</v>
      </c>
      <c r="AK12" t="str">
        <f t="shared" si="5"/>
        <v>-</v>
      </c>
      <c r="AL12" t="str">
        <f t="shared" si="5"/>
        <v>-</v>
      </c>
      <c r="AM12" t="str">
        <f t="shared" si="5"/>
        <v>-</v>
      </c>
      <c r="AN12" t="str">
        <f t="shared" si="5"/>
        <v>-</v>
      </c>
      <c r="AO12" t="str">
        <f t="shared" si="2"/>
        <v>-</v>
      </c>
      <c r="AP12" t="str">
        <f t="shared" si="2"/>
        <v>-</v>
      </c>
      <c r="AQ12" t="str">
        <f t="shared" si="2"/>
        <v>-</v>
      </c>
      <c r="AR12" t="s">
        <v>97</v>
      </c>
      <c r="AS12" t="s">
        <v>97</v>
      </c>
      <c r="AT12" t="s">
        <v>97</v>
      </c>
      <c r="AU12">
        <f t="shared" si="7"/>
        <v>1</v>
      </c>
      <c r="AV12">
        <f t="shared" ref="AV12:AV44" si="9">AV$6</f>
        <v>1</v>
      </c>
      <c r="AW12" s="22">
        <v>0.9</v>
      </c>
      <c r="AX12">
        <f t="shared" ref="AX12:BO13" si="10">AX$6</f>
        <v>1</v>
      </c>
      <c r="AY12">
        <f t="shared" si="10"/>
        <v>1</v>
      </c>
      <c r="AZ12">
        <f t="shared" si="10"/>
        <v>1</v>
      </c>
      <c r="BA12">
        <f t="shared" si="10"/>
        <v>1</v>
      </c>
      <c r="BB12">
        <f t="shared" si="10"/>
        <v>1</v>
      </c>
      <c r="BC12">
        <f t="shared" si="10"/>
        <v>1</v>
      </c>
      <c r="BD12">
        <f t="shared" si="10"/>
        <v>1</v>
      </c>
      <c r="BE12">
        <f t="shared" si="10"/>
        <v>1</v>
      </c>
      <c r="BF12">
        <f t="shared" si="10"/>
        <v>1</v>
      </c>
      <c r="BG12">
        <f t="shared" si="10"/>
        <v>1</v>
      </c>
      <c r="BH12">
        <f t="shared" si="10"/>
        <v>1</v>
      </c>
      <c r="BI12">
        <f t="shared" si="10"/>
        <v>1</v>
      </c>
      <c r="BJ12">
        <f t="shared" si="10"/>
        <v>1</v>
      </c>
      <c r="BK12">
        <f t="shared" si="10"/>
        <v>0</v>
      </c>
      <c r="BL12">
        <f t="shared" si="10"/>
        <v>0</v>
      </c>
      <c r="BM12">
        <f t="shared" si="10"/>
        <v>0</v>
      </c>
      <c r="BN12">
        <f t="shared" si="10"/>
        <v>0</v>
      </c>
      <c r="BO12">
        <f t="shared" si="10"/>
        <v>0</v>
      </c>
      <c r="BP12" s="15">
        <v>0</v>
      </c>
    </row>
    <row r="13" spans="1:68" x14ac:dyDescent="0.25">
      <c r="A13" s="19"/>
      <c r="B13">
        <f t="shared" si="3"/>
        <v>8</v>
      </c>
      <c r="C13" t="b">
        <v>0</v>
      </c>
      <c r="D13" t="b">
        <v>0</v>
      </c>
      <c r="E13" t="b">
        <v>0</v>
      </c>
      <c r="F13" s="3" t="s">
        <v>16</v>
      </c>
      <c r="G13" s="31" t="str">
        <f>IF(MATCH(F13,F$5:F13,0)=(COUNTA(F$5:F13)),"-","Dup")</f>
        <v>-</v>
      </c>
      <c r="H13" t="str">
        <f t="shared" si="4"/>
        <v>-</v>
      </c>
      <c r="I13" t="b">
        <f t="shared" si="4"/>
        <v>0</v>
      </c>
      <c r="J13" t="b">
        <f t="shared" si="4"/>
        <v>1</v>
      </c>
      <c r="K13" t="str">
        <f t="shared" si="4"/>
        <v>-</v>
      </c>
      <c r="L13" t="str">
        <f t="shared" si="4"/>
        <v>-</v>
      </c>
      <c r="M13" t="str">
        <f t="shared" si="4"/>
        <v>-</v>
      </c>
      <c r="N13" t="str">
        <f t="shared" si="4"/>
        <v>-</v>
      </c>
      <c r="O13" t="str">
        <f t="shared" si="4"/>
        <v>-</v>
      </c>
      <c r="P13" t="str">
        <f t="shared" si="4"/>
        <v>-</v>
      </c>
      <c r="Q13" t="str">
        <f t="shared" si="4"/>
        <v>-</v>
      </c>
      <c r="R13" t="str">
        <f t="shared" si="4"/>
        <v>-</v>
      </c>
      <c r="S13" t="str">
        <f t="shared" si="4"/>
        <v>-</v>
      </c>
      <c r="T13" t="str">
        <f t="shared" si="4"/>
        <v>-</v>
      </c>
      <c r="U13" t="str">
        <f t="shared" si="4"/>
        <v>-</v>
      </c>
      <c r="V13" t="str">
        <f t="shared" si="5"/>
        <v>-</v>
      </c>
      <c r="W13" t="str">
        <f t="shared" si="5"/>
        <v>-</v>
      </c>
      <c r="X13" t="str">
        <f t="shared" si="5"/>
        <v>-</v>
      </c>
      <c r="Y13" t="str">
        <f t="shared" si="5"/>
        <v>-</v>
      </c>
      <c r="Z13" t="str">
        <f t="shared" si="5"/>
        <v>-</v>
      </c>
      <c r="AA13" t="str">
        <f t="shared" si="5"/>
        <v>-</v>
      </c>
      <c r="AB13" t="str">
        <f t="shared" si="5"/>
        <v>-</v>
      </c>
      <c r="AC13" t="str">
        <f t="shared" si="5"/>
        <v>-</v>
      </c>
      <c r="AD13" t="str">
        <f t="shared" si="5"/>
        <v>-</v>
      </c>
      <c r="AE13" t="str">
        <f t="shared" si="5"/>
        <v>-</v>
      </c>
      <c r="AF13" t="str">
        <f t="shared" si="5"/>
        <v>-</v>
      </c>
      <c r="AG13" t="str">
        <f t="shared" si="5"/>
        <v>-</v>
      </c>
      <c r="AH13" t="str">
        <f t="shared" si="5"/>
        <v>-</v>
      </c>
      <c r="AI13" t="str">
        <f t="shared" si="5"/>
        <v>-</v>
      </c>
      <c r="AJ13" t="str">
        <f t="shared" si="5"/>
        <v>-</v>
      </c>
      <c r="AK13" t="str">
        <f t="shared" si="5"/>
        <v>-</v>
      </c>
      <c r="AL13" t="str">
        <f t="shared" si="5"/>
        <v>-</v>
      </c>
      <c r="AM13" t="str">
        <f t="shared" si="5"/>
        <v>-</v>
      </c>
      <c r="AN13" t="str">
        <f t="shared" si="5"/>
        <v>-</v>
      </c>
      <c r="AO13" t="str">
        <f t="shared" si="2"/>
        <v>-</v>
      </c>
      <c r="AP13" t="str">
        <f t="shared" si="2"/>
        <v>-</v>
      </c>
      <c r="AQ13" t="str">
        <f t="shared" si="2"/>
        <v>-</v>
      </c>
      <c r="AR13" t="s">
        <v>97</v>
      </c>
      <c r="AS13" t="s">
        <v>97</v>
      </c>
      <c r="AT13" t="s">
        <v>97</v>
      </c>
      <c r="AU13">
        <f t="shared" si="7"/>
        <v>1</v>
      </c>
      <c r="AV13">
        <f t="shared" si="9"/>
        <v>1</v>
      </c>
      <c r="AW13" s="22">
        <v>1.1000000000000001</v>
      </c>
      <c r="AX13">
        <f t="shared" si="10"/>
        <v>1</v>
      </c>
      <c r="AY13">
        <f t="shared" si="10"/>
        <v>1</v>
      </c>
      <c r="AZ13">
        <f t="shared" si="10"/>
        <v>1</v>
      </c>
      <c r="BA13">
        <f t="shared" si="10"/>
        <v>1</v>
      </c>
      <c r="BB13">
        <f t="shared" si="10"/>
        <v>1</v>
      </c>
      <c r="BC13">
        <f t="shared" si="10"/>
        <v>1</v>
      </c>
      <c r="BD13">
        <f t="shared" si="10"/>
        <v>1</v>
      </c>
      <c r="BE13">
        <f t="shared" si="10"/>
        <v>1</v>
      </c>
      <c r="BF13">
        <f t="shared" si="10"/>
        <v>1</v>
      </c>
      <c r="BG13">
        <f t="shared" si="10"/>
        <v>1</v>
      </c>
      <c r="BH13">
        <f t="shared" si="10"/>
        <v>1</v>
      </c>
      <c r="BI13">
        <f t="shared" si="10"/>
        <v>1</v>
      </c>
      <c r="BJ13">
        <f t="shared" si="10"/>
        <v>1</v>
      </c>
      <c r="BK13">
        <f t="shared" si="10"/>
        <v>0</v>
      </c>
      <c r="BL13">
        <f t="shared" si="10"/>
        <v>0</v>
      </c>
      <c r="BM13">
        <f t="shared" si="10"/>
        <v>0</v>
      </c>
      <c r="BN13">
        <f t="shared" si="10"/>
        <v>0</v>
      </c>
      <c r="BO13">
        <f t="shared" si="10"/>
        <v>0</v>
      </c>
      <c r="BP13" s="15">
        <v>0</v>
      </c>
    </row>
    <row r="14" spans="1:68" x14ac:dyDescent="0.25">
      <c r="A14" s="19"/>
      <c r="B14">
        <f t="shared" si="3"/>
        <v>9</v>
      </c>
      <c r="C14" t="b">
        <v>0</v>
      </c>
      <c r="D14" t="b">
        <v>0</v>
      </c>
      <c r="E14" t="b">
        <v>0</v>
      </c>
      <c r="F14" s="3" t="s">
        <v>22</v>
      </c>
      <c r="G14" s="31" t="str">
        <f>IF(MATCH(F14,F$5:F14,0)=(COUNTA(F$5:F14)),"-","Dup")</f>
        <v>-</v>
      </c>
      <c r="H14" t="str">
        <f t="shared" si="4"/>
        <v>-</v>
      </c>
      <c r="I14" t="b">
        <f t="shared" si="4"/>
        <v>0</v>
      </c>
      <c r="J14" t="b">
        <f t="shared" si="4"/>
        <v>1</v>
      </c>
      <c r="K14" t="str">
        <f t="shared" si="4"/>
        <v>-</v>
      </c>
      <c r="L14" t="str">
        <f t="shared" si="4"/>
        <v>-</v>
      </c>
      <c r="M14" t="str">
        <f t="shared" si="4"/>
        <v>-</v>
      </c>
      <c r="N14" t="str">
        <f t="shared" si="4"/>
        <v>-</v>
      </c>
      <c r="O14" t="str">
        <f t="shared" si="4"/>
        <v>-</v>
      </c>
      <c r="P14" t="str">
        <f t="shared" si="4"/>
        <v>-</v>
      </c>
      <c r="Q14" t="str">
        <f t="shared" si="4"/>
        <v>-</v>
      </c>
      <c r="R14" t="str">
        <f t="shared" si="4"/>
        <v>-</v>
      </c>
      <c r="S14" t="str">
        <f t="shared" si="4"/>
        <v>-</v>
      </c>
      <c r="T14" t="str">
        <f t="shared" si="4"/>
        <v>-</v>
      </c>
      <c r="U14" t="str">
        <f t="shared" si="4"/>
        <v>-</v>
      </c>
      <c r="V14" t="str">
        <f t="shared" si="5"/>
        <v>-</v>
      </c>
      <c r="W14" t="str">
        <f t="shared" si="5"/>
        <v>-</v>
      </c>
      <c r="X14" t="str">
        <f t="shared" si="5"/>
        <v>-</v>
      </c>
      <c r="Y14" t="str">
        <f t="shared" si="5"/>
        <v>-</v>
      </c>
      <c r="Z14" t="str">
        <f t="shared" si="5"/>
        <v>-</v>
      </c>
      <c r="AA14" t="str">
        <f t="shared" si="5"/>
        <v>-</v>
      </c>
      <c r="AB14" t="str">
        <f t="shared" si="5"/>
        <v>-</v>
      </c>
      <c r="AC14" t="str">
        <f t="shared" si="5"/>
        <v>-</v>
      </c>
      <c r="AD14" t="str">
        <f t="shared" si="5"/>
        <v>-</v>
      </c>
      <c r="AE14" t="str">
        <f t="shared" si="5"/>
        <v>-</v>
      </c>
      <c r="AF14" t="str">
        <f t="shared" si="5"/>
        <v>-</v>
      </c>
      <c r="AG14" t="str">
        <f t="shared" si="5"/>
        <v>-</v>
      </c>
      <c r="AH14" t="str">
        <f t="shared" si="5"/>
        <v>-</v>
      </c>
      <c r="AI14" t="str">
        <f t="shared" si="5"/>
        <v>-</v>
      </c>
      <c r="AJ14" t="str">
        <f t="shared" si="5"/>
        <v>-</v>
      </c>
      <c r="AK14" t="str">
        <f t="shared" si="5"/>
        <v>-</v>
      </c>
      <c r="AL14" t="str">
        <f t="shared" si="5"/>
        <v>-</v>
      </c>
      <c r="AM14" t="str">
        <f t="shared" si="5"/>
        <v>-</v>
      </c>
      <c r="AN14" t="str">
        <f t="shared" si="5"/>
        <v>-</v>
      </c>
      <c r="AO14" t="str">
        <f t="shared" si="2"/>
        <v>-</v>
      </c>
      <c r="AP14" t="str">
        <f t="shared" si="2"/>
        <v>-</v>
      </c>
      <c r="AQ14" t="str">
        <f t="shared" si="2"/>
        <v>-</v>
      </c>
      <c r="AR14" t="s">
        <v>97</v>
      </c>
      <c r="AS14" t="s">
        <v>97</v>
      </c>
      <c r="AT14" t="s">
        <v>97</v>
      </c>
      <c r="AU14">
        <f t="shared" si="7"/>
        <v>1</v>
      </c>
      <c r="AV14">
        <f t="shared" si="9"/>
        <v>1</v>
      </c>
      <c r="AW14">
        <f t="shared" ref="AW14:AW44" si="11">AW$6</f>
        <v>1</v>
      </c>
      <c r="AX14" s="22">
        <v>0.9</v>
      </c>
      <c r="AY14">
        <f t="shared" ref="AY14:BO15" si="12">AY$6</f>
        <v>1</v>
      </c>
      <c r="AZ14">
        <f t="shared" si="12"/>
        <v>1</v>
      </c>
      <c r="BA14">
        <f t="shared" si="12"/>
        <v>1</v>
      </c>
      <c r="BB14">
        <f t="shared" si="12"/>
        <v>1</v>
      </c>
      <c r="BC14">
        <f t="shared" si="12"/>
        <v>1</v>
      </c>
      <c r="BD14">
        <f t="shared" si="12"/>
        <v>1</v>
      </c>
      <c r="BE14">
        <f t="shared" si="12"/>
        <v>1</v>
      </c>
      <c r="BF14">
        <f t="shared" si="12"/>
        <v>1</v>
      </c>
      <c r="BG14">
        <f t="shared" si="12"/>
        <v>1</v>
      </c>
      <c r="BH14">
        <f t="shared" si="12"/>
        <v>1</v>
      </c>
      <c r="BI14">
        <f t="shared" si="12"/>
        <v>1</v>
      </c>
      <c r="BJ14">
        <f t="shared" si="12"/>
        <v>1</v>
      </c>
      <c r="BK14">
        <f t="shared" si="12"/>
        <v>0</v>
      </c>
      <c r="BL14">
        <f t="shared" si="12"/>
        <v>0</v>
      </c>
      <c r="BM14">
        <f t="shared" si="12"/>
        <v>0</v>
      </c>
      <c r="BN14">
        <f t="shared" si="12"/>
        <v>0</v>
      </c>
      <c r="BO14">
        <f t="shared" si="12"/>
        <v>0</v>
      </c>
      <c r="BP14" s="15">
        <v>0</v>
      </c>
    </row>
    <row r="15" spans="1:68" x14ac:dyDescent="0.25">
      <c r="A15" s="19"/>
      <c r="B15">
        <f t="shared" si="3"/>
        <v>10</v>
      </c>
      <c r="C15" t="b">
        <v>0</v>
      </c>
      <c r="D15" t="b">
        <v>0</v>
      </c>
      <c r="E15" t="b">
        <v>0</v>
      </c>
      <c r="F15" s="3" t="s">
        <v>17</v>
      </c>
      <c r="G15" s="31" t="str">
        <f>IF(MATCH(F15,F$5:F15,0)=(COUNTA(F$5:F15)),"-","Dup")</f>
        <v>-</v>
      </c>
      <c r="H15" t="str">
        <f t="shared" si="4"/>
        <v>-</v>
      </c>
      <c r="I15" t="b">
        <f t="shared" si="4"/>
        <v>0</v>
      </c>
      <c r="J15" t="b">
        <f t="shared" si="4"/>
        <v>1</v>
      </c>
      <c r="K15" t="str">
        <f t="shared" si="4"/>
        <v>-</v>
      </c>
      <c r="L15" t="str">
        <f t="shared" si="4"/>
        <v>-</v>
      </c>
      <c r="M15" t="str">
        <f t="shared" si="4"/>
        <v>-</v>
      </c>
      <c r="N15" t="str">
        <f t="shared" si="4"/>
        <v>-</v>
      </c>
      <c r="O15" t="str">
        <f t="shared" si="4"/>
        <v>-</v>
      </c>
      <c r="P15" t="str">
        <f t="shared" si="4"/>
        <v>-</v>
      </c>
      <c r="Q15" t="str">
        <f t="shared" si="4"/>
        <v>-</v>
      </c>
      <c r="R15" t="str">
        <f t="shared" si="4"/>
        <v>-</v>
      </c>
      <c r="S15" t="str">
        <f t="shared" si="4"/>
        <v>-</v>
      </c>
      <c r="T15" t="str">
        <f t="shared" si="4"/>
        <v>-</v>
      </c>
      <c r="U15" t="str">
        <f t="shared" si="4"/>
        <v>-</v>
      </c>
      <c r="V15" t="str">
        <f t="shared" si="5"/>
        <v>-</v>
      </c>
      <c r="W15" t="str">
        <f t="shared" si="5"/>
        <v>-</v>
      </c>
      <c r="X15" t="str">
        <f t="shared" si="5"/>
        <v>-</v>
      </c>
      <c r="Y15" t="str">
        <f t="shared" si="5"/>
        <v>-</v>
      </c>
      <c r="Z15" t="str">
        <f t="shared" si="5"/>
        <v>-</v>
      </c>
      <c r="AA15" t="str">
        <f t="shared" si="5"/>
        <v>-</v>
      </c>
      <c r="AB15" t="str">
        <f t="shared" si="5"/>
        <v>-</v>
      </c>
      <c r="AC15" t="str">
        <f t="shared" si="5"/>
        <v>-</v>
      </c>
      <c r="AD15" t="str">
        <f t="shared" si="5"/>
        <v>-</v>
      </c>
      <c r="AE15" t="str">
        <f t="shared" si="5"/>
        <v>-</v>
      </c>
      <c r="AF15" t="str">
        <f t="shared" si="5"/>
        <v>-</v>
      </c>
      <c r="AG15" t="str">
        <f t="shared" si="5"/>
        <v>-</v>
      </c>
      <c r="AH15" t="str">
        <f t="shared" si="5"/>
        <v>-</v>
      </c>
      <c r="AI15" t="str">
        <f t="shared" si="5"/>
        <v>-</v>
      </c>
      <c r="AJ15" t="str">
        <f t="shared" si="5"/>
        <v>-</v>
      </c>
      <c r="AK15" t="str">
        <f t="shared" si="5"/>
        <v>-</v>
      </c>
      <c r="AL15" t="str">
        <f t="shared" si="5"/>
        <v>-</v>
      </c>
      <c r="AM15" t="str">
        <f t="shared" si="5"/>
        <v>-</v>
      </c>
      <c r="AN15" t="str">
        <f t="shared" si="5"/>
        <v>-</v>
      </c>
      <c r="AO15" t="str">
        <f t="shared" si="2"/>
        <v>-</v>
      </c>
      <c r="AP15" t="str">
        <f t="shared" si="2"/>
        <v>-</v>
      </c>
      <c r="AQ15" t="str">
        <f t="shared" si="2"/>
        <v>-</v>
      </c>
      <c r="AR15" t="s">
        <v>97</v>
      </c>
      <c r="AS15" t="s">
        <v>97</v>
      </c>
      <c r="AT15" t="s">
        <v>97</v>
      </c>
      <c r="AU15">
        <f t="shared" si="7"/>
        <v>1</v>
      </c>
      <c r="AV15">
        <f t="shared" si="9"/>
        <v>1</v>
      </c>
      <c r="AW15">
        <f t="shared" si="11"/>
        <v>1</v>
      </c>
      <c r="AX15" s="22">
        <v>1.1000000000000001</v>
      </c>
      <c r="AY15">
        <f t="shared" si="12"/>
        <v>1</v>
      </c>
      <c r="AZ15">
        <f t="shared" si="12"/>
        <v>1</v>
      </c>
      <c r="BA15">
        <f t="shared" si="12"/>
        <v>1</v>
      </c>
      <c r="BB15">
        <f t="shared" si="12"/>
        <v>1</v>
      </c>
      <c r="BC15">
        <f t="shared" si="12"/>
        <v>1</v>
      </c>
      <c r="BD15">
        <f t="shared" si="12"/>
        <v>1</v>
      </c>
      <c r="BE15">
        <f t="shared" si="12"/>
        <v>1</v>
      </c>
      <c r="BF15">
        <f t="shared" si="12"/>
        <v>1</v>
      </c>
      <c r="BG15">
        <f t="shared" si="12"/>
        <v>1</v>
      </c>
      <c r="BH15">
        <f t="shared" si="12"/>
        <v>1</v>
      </c>
      <c r="BI15">
        <f t="shared" si="12"/>
        <v>1</v>
      </c>
      <c r="BJ15">
        <f t="shared" si="12"/>
        <v>1</v>
      </c>
      <c r="BK15">
        <f t="shared" si="12"/>
        <v>0</v>
      </c>
      <c r="BL15">
        <f t="shared" si="12"/>
        <v>0</v>
      </c>
      <c r="BM15">
        <f t="shared" si="12"/>
        <v>0</v>
      </c>
      <c r="BN15">
        <f t="shared" si="12"/>
        <v>0</v>
      </c>
      <c r="BO15">
        <f t="shared" si="12"/>
        <v>0</v>
      </c>
      <c r="BP15" s="15">
        <v>0</v>
      </c>
    </row>
    <row r="16" spans="1:68" x14ac:dyDescent="0.25">
      <c r="A16" s="19"/>
      <c r="B16">
        <f t="shared" si="3"/>
        <v>11</v>
      </c>
      <c r="C16" t="b">
        <v>0</v>
      </c>
      <c r="D16" t="b">
        <v>0</v>
      </c>
      <c r="E16" t="b">
        <v>0</v>
      </c>
      <c r="F16" s="3" t="s">
        <v>18</v>
      </c>
      <c r="G16" s="31" t="str">
        <f>IF(MATCH(F16,F$5:F16,0)=(COUNTA(F$5:F16)),"-","Dup")</f>
        <v>-</v>
      </c>
      <c r="H16" t="str">
        <f t="shared" si="4"/>
        <v>-</v>
      </c>
      <c r="I16" t="b">
        <f t="shared" si="4"/>
        <v>0</v>
      </c>
      <c r="J16" t="b">
        <f t="shared" si="4"/>
        <v>1</v>
      </c>
      <c r="K16" t="str">
        <f t="shared" si="4"/>
        <v>-</v>
      </c>
      <c r="L16" t="str">
        <f t="shared" si="4"/>
        <v>-</v>
      </c>
      <c r="M16" t="str">
        <f t="shared" si="4"/>
        <v>-</v>
      </c>
      <c r="N16" t="str">
        <f t="shared" si="4"/>
        <v>-</v>
      </c>
      <c r="O16" t="str">
        <f t="shared" si="4"/>
        <v>-</v>
      </c>
      <c r="P16" t="str">
        <f t="shared" si="4"/>
        <v>-</v>
      </c>
      <c r="Q16" t="str">
        <f t="shared" si="4"/>
        <v>-</v>
      </c>
      <c r="R16" t="str">
        <f t="shared" si="4"/>
        <v>-</v>
      </c>
      <c r="S16" t="str">
        <f t="shared" si="4"/>
        <v>-</v>
      </c>
      <c r="T16" t="str">
        <f t="shared" si="4"/>
        <v>-</v>
      </c>
      <c r="U16" t="str">
        <f t="shared" si="4"/>
        <v>-</v>
      </c>
      <c r="V16" t="str">
        <f t="shared" si="5"/>
        <v>-</v>
      </c>
      <c r="W16" t="str">
        <f t="shared" si="5"/>
        <v>-</v>
      </c>
      <c r="X16" t="str">
        <f t="shared" si="5"/>
        <v>-</v>
      </c>
      <c r="Y16" t="str">
        <f t="shared" si="5"/>
        <v>-</v>
      </c>
      <c r="Z16" t="str">
        <f t="shared" si="5"/>
        <v>-</v>
      </c>
      <c r="AA16" t="str">
        <f t="shared" si="5"/>
        <v>-</v>
      </c>
      <c r="AB16" t="str">
        <f t="shared" si="5"/>
        <v>-</v>
      </c>
      <c r="AC16" t="str">
        <f t="shared" si="5"/>
        <v>-</v>
      </c>
      <c r="AD16" t="str">
        <f t="shared" si="5"/>
        <v>-</v>
      </c>
      <c r="AE16" t="str">
        <f t="shared" si="5"/>
        <v>-</v>
      </c>
      <c r="AF16" t="str">
        <f t="shared" si="5"/>
        <v>-</v>
      </c>
      <c r="AG16" t="str">
        <f t="shared" si="5"/>
        <v>-</v>
      </c>
      <c r="AH16" t="str">
        <f t="shared" si="5"/>
        <v>-</v>
      </c>
      <c r="AI16" t="str">
        <f t="shared" si="5"/>
        <v>-</v>
      </c>
      <c r="AJ16" t="str">
        <f t="shared" si="5"/>
        <v>-</v>
      </c>
      <c r="AK16" t="str">
        <f t="shared" si="5"/>
        <v>-</v>
      </c>
      <c r="AL16" t="str">
        <f t="shared" si="5"/>
        <v>-</v>
      </c>
      <c r="AM16" t="str">
        <f t="shared" si="5"/>
        <v>-</v>
      </c>
      <c r="AN16" t="str">
        <f t="shared" si="5"/>
        <v>-</v>
      </c>
      <c r="AO16" t="str">
        <f t="shared" si="2"/>
        <v>-</v>
      </c>
      <c r="AP16" t="str">
        <f t="shared" si="2"/>
        <v>-</v>
      </c>
      <c r="AQ16" t="str">
        <f t="shared" si="2"/>
        <v>-</v>
      </c>
      <c r="AR16" t="s">
        <v>97</v>
      </c>
      <c r="AS16" t="s">
        <v>97</v>
      </c>
      <c r="AT16" t="s">
        <v>97</v>
      </c>
      <c r="AU16">
        <f t="shared" si="7"/>
        <v>1</v>
      </c>
      <c r="AV16">
        <f t="shared" si="9"/>
        <v>1</v>
      </c>
      <c r="AW16">
        <f t="shared" si="11"/>
        <v>1</v>
      </c>
      <c r="AX16">
        <f t="shared" ref="AX16:AX44" si="13">AX$6</f>
        <v>1</v>
      </c>
      <c r="AY16" s="22">
        <v>0.9</v>
      </c>
      <c r="AZ16">
        <f t="shared" ref="AZ16:BO17" si="14">AZ$6</f>
        <v>1</v>
      </c>
      <c r="BA16">
        <f t="shared" si="14"/>
        <v>1</v>
      </c>
      <c r="BB16">
        <f t="shared" si="14"/>
        <v>1</v>
      </c>
      <c r="BC16">
        <f t="shared" si="14"/>
        <v>1</v>
      </c>
      <c r="BD16">
        <f t="shared" si="14"/>
        <v>1</v>
      </c>
      <c r="BE16">
        <f t="shared" si="14"/>
        <v>1</v>
      </c>
      <c r="BF16">
        <f t="shared" si="14"/>
        <v>1</v>
      </c>
      <c r="BG16">
        <f t="shared" si="14"/>
        <v>1</v>
      </c>
      <c r="BH16">
        <f t="shared" si="14"/>
        <v>1</v>
      </c>
      <c r="BI16">
        <f t="shared" si="14"/>
        <v>1</v>
      </c>
      <c r="BJ16">
        <f t="shared" si="14"/>
        <v>1</v>
      </c>
      <c r="BK16">
        <f t="shared" si="14"/>
        <v>0</v>
      </c>
      <c r="BL16">
        <f t="shared" si="14"/>
        <v>0</v>
      </c>
      <c r="BM16">
        <f t="shared" si="14"/>
        <v>0</v>
      </c>
      <c r="BN16">
        <f t="shared" si="14"/>
        <v>0</v>
      </c>
      <c r="BO16">
        <f t="shared" si="14"/>
        <v>0</v>
      </c>
      <c r="BP16" s="15">
        <v>0</v>
      </c>
    </row>
    <row r="17" spans="1:68" x14ac:dyDescent="0.25">
      <c r="A17" s="19"/>
      <c r="B17">
        <f t="shared" si="3"/>
        <v>12</v>
      </c>
      <c r="C17" t="b">
        <v>0</v>
      </c>
      <c r="D17" t="b">
        <v>0</v>
      </c>
      <c r="E17" t="b">
        <v>0</v>
      </c>
      <c r="F17" s="3" t="s">
        <v>19</v>
      </c>
      <c r="G17" s="31" t="str">
        <f>IF(MATCH(F17,F$5:F17,0)=(COUNTA(F$5:F17)),"-","Dup")</f>
        <v>-</v>
      </c>
      <c r="H17" t="str">
        <f t="shared" si="4"/>
        <v>-</v>
      </c>
      <c r="I17" t="b">
        <f t="shared" si="4"/>
        <v>0</v>
      </c>
      <c r="J17" t="b">
        <f t="shared" si="4"/>
        <v>1</v>
      </c>
      <c r="K17" t="str">
        <f t="shared" si="4"/>
        <v>-</v>
      </c>
      <c r="L17" t="str">
        <f t="shared" si="4"/>
        <v>-</v>
      </c>
      <c r="M17" t="str">
        <f t="shared" si="4"/>
        <v>-</v>
      </c>
      <c r="N17" t="str">
        <f t="shared" si="4"/>
        <v>-</v>
      </c>
      <c r="O17" t="str">
        <f t="shared" si="4"/>
        <v>-</v>
      </c>
      <c r="P17" t="str">
        <f t="shared" si="4"/>
        <v>-</v>
      </c>
      <c r="Q17" t="str">
        <f t="shared" si="4"/>
        <v>-</v>
      </c>
      <c r="R17" t="str">
        <f t="shared" si="4"/>
        <v>-</v>
      </c>
      <c r="S17" t="str">
        <f t="shared" si="4"/>
        <v>-</v>
      </c>
      <c r="T17" t="str">
        <f t="shared" si="4"/>
        <v>-</v>
      </c>
      <c r="U17" t="str">
        <f t="shared" si="4"/>
        <v>-</v>
      </c>
      <c r="V17" t="str">
        <f t="shared" si="5"/>
        <v>-</v>
      </c>
      <c r="W17" t="str">
        <f t="shared" si="5"/>
        <v>-</v>
      </c>
      <c r="X17" t="str">
        <f t="shared" si="5"/>
        <v>-</v>
      </c>
      <c r="Y17" t="str">
        <f t="shared" si="5"/>
        <v>-</v>
      </c>
      <c r="Z17" t="str">
        <f t="shared" si="5"/>
        <v>-</v>
      </c>
      <c r="AA17" t="str">
        <f t="shared" si="5"/>
        <v>-</v>
      </c>
      <c r="AB17" t="str">
        <f t="shared" si="5"/>
        <v>-</v>
      </c>
      <c r="AC17" t="str">
        <f t="shared" si="5"/>
        <v>-</v>
      </c>
      <c r="AD17" t="str">
        <f t="shared" si="5"/>
        <v>-</v>
      </c>
      <c r="AE17" t="str">
        <f t="shared" si="5"/>
        <v>-</v>
      </c>
      <c r="AF17" t="str">
        <f t="shared" si="5"/>
        <v>-</v>
      </c>
      <c r="AG17" t="str">
        <f t="shared" si="5"/>
        <v>-</v>
      </c>
      <c r="AH17" t="str">
        <f t="shared" si="5"/>
        <v>-</v>
      </c>
      <c r="AI17" t="str">
        <f t="shared" si="5"/>
        <v>-</v>
      </c>
      <c r="AJ17" t="str">
        <f t="shared" si="5"/>
        <v>-</v>
      </c>
      <c r="AK17" t="str">
        <f t="shared" si="5"/>
        <v>-</v>
      </c>
      <c r="AL17" t="str">
        <f t="shared" si="5"/>
        <v>-</v>
      </c>
      <c r="AM17" t="str">
        <f t="shared" si="5"/>
        <v>-</v>
      </c>
      <c r="AN17" t="str">
        <f t="shared" si="5"/>
        <v>-</v>
      </c>
      <c r="AO17" t="str">
        <f t="shared" si="2"/>
        <v>-</v>
      </c>
      <c r="AP17" t="str">
        <f t="shared" si="2"/>
        <v>-</v>
      </c>
      <c r="AQ17" t="str">
        <f t="shared" si="2"/>
        <v>-</v>
      </c>
      <c r="AR17" t="s">
        <v>97</v>
      </c>
      <c r="AS17" t="s">
        <v>97</v>
      </c>
      <c r="AT17" t="s">
        <v>97</v>
      </c>
      <c r="AU17">
        <f t="shared" si="7"/>
        <v>1</v>
      </c>
      <c r="AV17">
        <f t="shared" si="9"/>
        <v>1</v>
      </c>
      <c r="AW17">
        <f t="shared" si="11"/>
        <v>1</v>
      </c>
      <c r="AX17">
        <f t="shared" si="13"/>
        <v>1</v>
      </c>
      <c r="AY17" s="22">
        <v>1.1000000000000001</v>
      </c>
      <c r="AZ17">
        <f t="shared" si="14"/>
        <v>1</v>
      </c>
      <c r="BA17">
        <f t="shared" si="14"/>
        <v>1</v>
      </c>
      <c r="BB17">
        <f t="shared" si="14"/>
        <v>1</v>
      </c>
      <c r="BC17">
        <f t="shared" si="14"/>
        <v>1</v>
      </c>
      <c r="BD17">
        <f t="shared" si="14"/>
        <v>1</v>
      </c>
      <c r="BE17">
        <f t="shared" si="14"/>
        <v>1</v>
      </c>
      <c r="BF17">
        <f t="shared" si="14"/>
        <v>1</v>
      </c>
      <c r="BG17">
        <f t="shared" si="14"/>
        <v>1</v>
      </c>
      <c r="BH17">
        <f t="shared" si="14"/>
        <v>1</v>
      </c>
      <c r="BI17">
        <f t="shared" si="14"/>
        <v>1</v>
      </c>
      <c r="BJ17">
        <f t="shared" si="14"/>
        <v>1</v>
      </c>
      <c r="BK17">
        <f t="shared" si="14"/>
        <v>0</v>
      </c>
      <c r="BL17">
        <f t="shared" si="14"/>
        <v>0</v>
      </c>
      <c r="BM17">
        <f t="shared" si="14"/>
        <v>0</v>
      </c>
      <c r="BN17">
        <f t="shared" si="14"/>
        <v>0</v>
      </c>
      <c r="BO17">
        <f t="shared" si="14"/>
        <v>0</v>
      </c>
      <c r="BP17" s="15">
        <v>0</v>
      </c>
    </row>
    <row r="18" spans="1:68" x14ac:dyDescent="0.25">
      <c r="A18" s="19"/>
      <c r="B18">
        <f t="shared" si="3"/>
        <v>13</v>
      </c>
      <c r="C18" t="b">
        <v>0</v>
      </c>
      <c r="D18" t="b">
        <v>0</v>
      </c>
      <c r="E18" t="b">
        <v>0</v>
      </c>
      <c r="F18" s="3" t="s">
        <v>20</v>
      </c>
      <c r="G18" s="31" t="str">
        <f>IF(MATCH(F18,F$5:F18,0)=(COUNTA(F$5:F18)),"-","Dup")</f>
        <v>-</v>
      </c>
      <c r="H18" t="str">
        <f t="shared" ref="H18:U30" si="15">H$6</f>
        <v>-</v>
      </c>
      <c r="I18" t="b">
        <f t="shared" si="15"/>
        <v>0</v>
      </c>
      <c r="J18" t="b">
        <f t="shared" si="15"/>
        <v>1</v>
      </c>
      <c r="K18" t="str">
        <f t="shared" si="15"/>
        <v>-</v>
      </c>
      <c r="L18" t="str">
        <f t="shared" si="15"/>
        <v>-</v>
      </c>
      <c r="M18" t="str">
        <f t="shared" si="15"/>
        <v>-</v>
      </c>
      <c r="N18" t="str">
        <f t="shared" si="15"/>
        <v>-</v>
      </c>
      <c r="O18" t="str">
        <f t="shared" si="15"/>
        <v>-</v>
      </c>
      <c r="P18" t="str">
        <f t="shared" si="15"/>
        <v>-</v>
      </c>
      <c r="Q18" t="str">
        <f t="shared" si="15"/>
        <v>-</v>
      </c>
      <c r="R18" t="str">
        <f t="shared" si="15"/>
        <v>-</v>
      </c>
      <c r="S18" t="str">
        <f t="shared" si="15"/>
        <v>-</v>
      </c>
      <c r="T18" t="str">
        <f t="shared" si="15"/>
        <v>-</v>
      </c>
      <c r="U18" t="str">
        <f t="shared" si="15"/>
        <v>-</v>
      </c>
      <c r="V18" t="str">
        <f t="shared" ref="V18:AO30" si="16">V$6</f>
        <v>-</v>
      </c>
      <c r="W18" t="str">
        <f t="shared" si="16"/>
        <v>-</v>
      </c>
      <c r="X18" t="str">
        <f t="shared" si="16"/>
        <v>-</v>
      </c>
      <c r="Y18" t="str">
        <f t="shared" si="16"/>
        <v>-</v>
      </c>
      <c r="Z18" t="str">
        <f t="shared" si="16"/>
        <v>-</v>
      </c>
      <c r="AA18" t="str">
        <f t="shared" si="16"/>
        <v>-</v>
      </c>
      <c r="AB18" t="str">
        <f t="shared" si="16"/>
        <v>-</v>
      </c>
      <c r="AC18" t="str">
        <f t="shared" si="16"/>
        <v>-</v>
      </c>
      <c r="AD18" t="str">
        <f t="shared" si="16"/>
        <v>-</v>
      </c>
      <c r="AE18" t="str">
        <f t="shared" si="16"/>
        <v>-</v>
      </c>
      <c r="AF18" t="str">
        <f t="shared" si="16"/>
        <v>-</v>
      </c>
      <c r="AG18" t="str">
        <f t="shared" si="16"/>
        <v>-</v>
      </c>
      <c r="AH18" t="str">
        <f t="shared" si="16"/>
        <v>-</v>
      </c>
      <c r="AI18" t="str">
        <f t="shared" si="16"/>
        <v>-</v>
      </c>
      <c r="AJ18" t="str">
        <f t="shared" si="16"/>
        <v>-</v>
      </c>
      <c r="AK18" t="str">
        <f t="shared" si="16"/>
        <v>-</v>
      </c>
      <c r="AL18" t="str">
        <f t="shared" si="16"/>
        <v>-</v>
      </c>
      <c r="AM18" t="str">
        <f t="shared" si="16"/>
        <v>-</v>
      </c>
      <c r="AN18" t="str">
        <f t="shared" si="16"/>
        <v>-</v>
      </c>
      <c r="AO18" t="str">
        <f t="shared" si="16"/>
        <v>-</v>
      </c>
      <c r="AP18" t="str">
        <f t="shared" si="2"/>
        <v>-</v>
      </c>
      <c r="AQ18" t="str">
        <f t="shared" si="2"/>
        <v>-</v>
      </c>
      <c r="AR18" t="s">
        <v>97</v>
      </c>
      <c r="AS18" t="s">
        <v>97</v>
      </c>
      <c r="AT18" t="s">
        <v>97</v>
      </c>
      <c r="AU18">
        <f t="shared" si="7"/>
        <v>1</v>
      </c>
      <c r="AV18">
        <f t="shared" si="9"/>
        <v>1</v>
      </c>
      <c r="AW18">
        <f t="shared" si="11"/>
        <v>1</v>
      </c>
      <c r="AX18">
        <f t="shared" si="13"/>
        <v>1</v>
      </c>
      <c r="AY18">
        <f t="shared" ref="AY18:AY44" si="17">AY$6</f>
        <v>1</v>
      </c>
      <c r="AZ18" s="22">
        <v>0.9</v>
      </c>
      <c r="BA18">
        <f t="shared" ref="BA18:BO19" si="18">BA$6</f>
        <v>1</v>
      </c>
      <c r="BB18">
        <f t="shared" si="18"/>
        <v>1</v>
      </c>
      <c r="BC18">
        <f t="shared" si="18"/>
        <v>1</v>
      </c>
      <c r="BD18">
        <f t="shared" si="18"/>
        <v>1</v>
      </c>
      <c r="BE18">
        <f t="shared" si="18"/>
        <v>1</v>
      </c>
      <c r="BF18">
        <f t="shared" si="18"/>
        <v>1</v>
      </c>
      <c r="BG18">
        <f t="shared" si="18"/>
        <v>1</v>
      </c>
      <c r="BH18">
        <f t="shared" si="18"/>
        <v>1</v>
      </c>
      <c r="BI18">
        <f t="shared" si="18"/>
        <v>1</v>
      </c>
      <c r="BJ18">
        <f t="shared" si="18"/>
        <v>1</v>
      </c>
      <c r="BK18">
        <f t="shared" si="18"/>
        <v>0</v>
      </c>
      <c r="BL18">
        <f t="shared" si="18"/>
        <v>0</v>
      </c>
      <c r="BM18">
        <f t="shared" si="18"/>
        <v>0</v>
      </c>
      <c r="BN18">
        <f t="shared" si="18"/>
        <v>0</v>
      </c>
      <c r="BO18">
        <f t="shared" si="18"/>
        <v>0</v>
      </c>
      <c r="BP18" s="15">
        <v>0</v>
      </c>
    </row>
    <row r="19" spans="1:68" x14ac:dyDescent="0.25">
      <c r="A19" s="19"/>
      <c r="B19">
        <f t="shared" si="3"/>
        <v>14</v>
      </c>
      <c r="C19" t="b">
        <v>0</v>
      </c>
      <c r="D19" t="b">
        <v>0</v>
      </c>
      <c r="E19" t="b">
        <v>0</v>
      </c>
      <c r="F19" s="3" t="s">
        <v>21</v>
      </c>
      <c r="G19" s="31" t="str">
        <f>IF(MATCH(F19,F$5:F19,0)=(COUNTA(F$5:F19)),"-","Dup")</f>
        <v>-</v>
      </c>
      <c r="H19" t="str">
        <f t="shared" si="15"/>
        <v>-</v>
      </c>
      <c r="I19" t="b">
        <f t="shared" si="15"/>
        <v>0</v>
      </c>
      <c r="J19" t="b">
        <f t="shared" si="15"/>
        <v>1</v>
      </c>
      <c r="K19" t="str">
        <f t="shared" si="15"/>
        <v>-</v>
      </c>
      <c r="L19" t="str">
        <f t="shared" si="15"/>
        <v>-</v>
      </c>
      <c r="M19" t="str">
        <f t="shared" si="15"/>
        <v>-</v>
      </c>
      <c r="N19" t="str">
        <f t="shared" si="15"/>
        <v>-</v>
      </c>
      <c r="O19" t="str">
        <f t="shared" si="15"/>
        <v>-</v>
      </c>
      <c r="P19" t="str">
        <f t="shared" si="15"/>
        <v>-</v>
      </c>
      <c r="Q19" t="str">
        <f t="shared" si="15"/>
        <v>-</v>
      </c>
      <c r="R19" t="str">
        <f t="shared" si="15"/>
        <v>-</v>
      </c>
      <c r="S19" t="str">
        <f t="shared" si="15"/>
        <v>-</v>
      </c>
      <c r="T19" t="str">
        <f t="shared" si="15"/>
        <v>-</v>
      </c>
      <c r="U19" t="str">
        <f t="shared" si="15"/>
        <v>-</v>
      </c>
      <c r="V19" t="str">
        <f t="shared" si="16"/>
        <v>-</v>
      </c>
      <c r="W19" t="str">
        <f t="shared" si="16"/>
        <v>-</v>
      </c>
      <c r="X19" t="str">
        <f t="shared" si="16"/>
        <v>-</v>
      </c>
      <c r="Y19" t="str">
        <f t="shared" si="16"/>
        <v>-</v>
      </c>
      <c r="Z19" t="str">
        <f t="shared" si="16"/>
        <v>-</v>
      </c>
      <c r="AA19" t="str">
        <f t="shared" si="16"/>
        <v>-</v>
      </c>
      <c r="AB19" t="str">
        <f t="shared" si="16"/>
        <v>-</v>
      </c>
      <c r="AC19" t="str">
        <f t="shared" si="16"/>
        <v>-</v>
      </c>
      <c r="AD19" t="str">
        <f t="shared" si="16"/>
        <v>-</v>
      </c>
      <c r="AE19" t="str">
        <f t="shared" si="16"/>
        <v>-</v>
      </c>
      <c r="AF19" t="str">
        <f t="shared" si="16"/>
        <v>-</v>
      </c>
      <c r="AG19" t="str">
        <f t="shared" si="16"/>
        <v>-</v>
      </c>
      <c r="AH19" t="str">
        <f t="shared" si="16"/>
        <v>-</v>
      </c>
      <c r="AI19" t="str">
        <f t="shared" si="16"/>
        <v>-</v>
      </c>
      <c r="AJ19" t="str">
        <f t="shared" si="16"/>
        <v>-</v>
      </c>
      <c r="AK19" t="str">
        <f t="shared" si="16"/>
        <v>-</v>
      </c>
      <c r="AL19" t="str">
        <f t="shared" si="16"/>
        <v>-</v>
      </c>
      <c r="AM19" t="str">
        <f t="shared" si="16"/>
        <v>-</v>
      </c>
      <c r="AN19" t="str">
        <f t="shared" si="16"/>
        <v>-</v>
      </c>
      <c r="AO19" t="str">
        <f t="shared" si="2"/>
        <v>-</v>
      </c>
      <c r="AP19" t="str">
        <f t="shared" si="2"/>
        <v>-</v>
      </c>
      <c r="AQ19" t="str">
        <f t="shared" si="2"/>
        <v>-</v>
      </c>
      <c r="AR19" t="s">
        <v>97</v>
      </c>
      <c r="AS19" t="s">
        <v>97</v>
      </c>
      <c r="AT19" t="s">
        <v>97</v>
      </c>
      <c r="AU19">
        <f t="shared" si="7"/>
        <v>1</v>
      </c>
      <c r="AV19">
        <f t="shared" si="9"/>
        <v>1</v>
      </c>
      <c r="AW19">
        <f t="shared" si="11"/>
        <v>1</v>
      </c>
      <c r="AX19">
        <f t="shared" si="13"/>
        <v>1</v>
      </c>
      <c r="AY19">
        <f t="shared" si="17"/>
        <v>1</v>
      </c>
      <c r="AZ19" s="22">
        <v>1.1000000000000001</v>
      </c>
      <c r="BA19">
        <f t="shared" si="18"/>
        <v>1</v>
      </c>
      <c r="BB19">
        <f t="shared" si="18"/>
        <v>1</v>
      </c>
      <c r="BC19">
        <f t="shared" si="18"/>
        <v>1</v>
      </c>
      <c r="BD19">
        <f t="shared" si="18"/>
        <v>1</v>
      </c>
      <c r="BE19">
        <f t="shared" si="18"/>
        <v>1</v>
      </c>
      <c r="BF19">
        <f t="shared" si="18"/>
        <v>1</v>
      </c>
      <c r="BG19">
        <f t="shared" si="18"/>
        <v>1</v>
      </c>
      <c r="BH19">
        <f t="shared" si="18"/>
        <v>1</v>
      </c>
      <c r="BI19">
        <f t="shared" si="18"/>
        <v>1</v>
      </c>
      <c r="BJ19">
        <f t="shared" si="18"/>
        <v>1</v>
      </c>
      <c r="BK19">
        <f t="shared" si="18"/>
        <v>0</v>
      </c>
      <c r="BL19">
        <f t="shared" si="18"/>
        <v>0</v>
      </c>
      <c r="BM19">
        <f t="shared" si="18"/>
        <v>0</v>
      </c>
      <c r="BN19">
        <f t="shared" si="18"/>
        <v>0</v>
      </c>
      <c r="BO19">
        <f t="shared" si="18"/>
        <v>0</v>
      </c>
      <c r="BP19" s="15">
        <v>0</v>
      </c>
    </row>
    <row r="20" spans="1:68" x14ac:dyDescent="0.25">
      <c r="A20" s="19"/>
      <c r="B20">
        <f t="shared" si="3"/>
        <v>15</v>
      </c>
      <c r="C20" t="b">
        <v>0</v>
      </c>
      <c r="D20" t="b">
        <v>0</v>
      </c>
      <c r="E20" t="b">
        <v>0</v>
      </c>
      <c r="F20" s="3" t="s">
        <v>23</v>
      </c>
      <c r="G20" s="31" t="str">
        <f>IF(MATCH(F20,F$5:F20,0)=(COUNTA(F$5:F20)),"-","Dup")</f>
        <v>-</v>
      </c>
      <c r="H20" t="str">
        <f t="shared" si="15"/>
        <v>-</v>
      </c>
      <c r="I20" t="b">
        <f t="shared" si="15"/>
        <v>0</v>
      </c>
      <c r="J20" t="b">
        <f t="shared" si="15"/>
        <v>1</v>
      </c>
      <c r="K20" t="str">
        <f t="shared" si="15"/>
        <v>-</v>
      </c>
      <c r="L20" t="str">
        <f t="shared" si="15"/>
        <v>-</v>
      </c>
      <c r="M20" t="str">
        <f t="shared" si="15"/>
        <v>-</v>
      </c>
      <c r="N20" t="str">
        <f t="shared" si="15"/>
        <v>-</v>
      </c>
      <c r="O20" t="str">
        <f t="shared" si="15"/>
        <v>-</v>
      </c>
      <c r="P20" t="str">
        <f t="shared" si="15"/>
        <v>-</v>
      </c>
      <c r="Q20" t="str">
        <f t="shared" si="15"/>
        <v>-</v>
      </c>
      <c r="R20" t="str">
        <f t="shared" si="15"/>
        <v>-</v>
      </c>
      <c r="S20" t="str">
        <f t="shared" si="15"/>
        <v>-</v>
      </c>
      <c r="T20" t="str">
        <f t="shared" si="15"/>
        <v>-</v>
      </c>
      <c r="U20" t="str">
        <f t="shared" si="15"/>
        <v>-</v>
      </c>
      <c r="V20" t="str">
        <f t="shared" si="16"/>
        <v>-</v>
      </c>
      <c r="W20" t="str">
        <f t="shared" si="16"/>
        <v>-</v>
      </c>
      <c r="X20" t="str">
        <f t="shared" si="16"/>
        <v>-</v>
      </c>
      <c r="Y20" t="str">
        <f t="shared" si="16"/>
        <v>-</v>
      </c>
      <c r="Z20" t="str">
        <f t="shared" si="16"/>
        <v>-</v>
      </c>
      <c r="AA20" t="str">
        <f t="shared" si="16"/>
        <v>-</v>
      </c>
      <c r="AB20" t="str">
        <f t="shared" si="16"/>
        <v>-</v>
      </c>
      <c r="AC20" t="str">
        <f t="shared" si="16"/>
        <v>-</v>
      </c>
      <c r="AD20" t="str">
        <f t="shared" si="16"/>
        <v>-</v>
      </c>
      <c r="AE20" t="str">
        <f t="shared" si="16"/>
        <v>-</v>
      </c>
      <c r="AF20" t="str">
        <f t="shared" si="16"/>
        <v>-</v>
      </c>
      <c r="AG20" t="str">
        <f t="shared" si="16"/>
        <v>-</v>
      </c>
      <c r="AH20" t="str">
        <f t="shared" si="16"/>
        <v>-</v>
      </c>
      <c r="AI20" t="str">
        <f t="shared" si="16"/>
        <v>-</v>
      </c>
      <c r="AJ20" t="str">
        <f t="shared" si="16"/>
        <v>-</v>
      </c>
      <c r="AK20" t="str">
        <f t="shared" si="16"/>
        <v>-</v>
      </c>
      <c r="AL20" t="str">
        <f t="shared" si="16"/>
        <v>-</v>
      </c>
      <c r="AM20" t="str">
        <f t="shared" si="16"/>
        <v>-</v>
      </c>
      <c r="AN20" t="str">
        <f t="shared" si="16"/>
        <v>-</v>
      </c>
      <c r="AO20" t="str">
        <f t="shared" si="2"/>
        <v>-</v>
      </c>
      <c r="AP20" t="str">
        <f t="shared" si="2"/>
        <v>-</v>
      </c>
      <c r="AQ20" t="str">
        <f t="shared" si="2"/>
        <v>-</v>
      </c>
      <c r="AR20" t="s">
        <v>97</v>
      </c>
      <c r="AS20" t="s">
        <v>97</v>
      </c>
      <c r="AT20" t="s">
        <v>97</v>
      </c>
      <c r="AU20">
        <f t="shared" si="7"/>
        <v>1</v>
      </c>
      <c r="AV20">
        <f t="shared" si="9"/>
        <v>1</v>
      </c>
      <c r="AW20">
        <f t="shared" si="11"/>
        <v>1</v>
      </c>
      <c r="AX20">
        <f t="shared" si="13"/>
        <v>1</v>
      </c>
      <c r="AY20">
        <f t="shared" si="17"/>
        <v>1</v>
      </c>
      <c r="AZ20">
        <f t="shared" ref="AZ20:AZ44" si="19">AZ$6</f>
        <v>1</v>
      </c>
      <c r="BA20" s="22">
        <v>0.9</v>
      </c>
      <c r="BB20">
        <f t="shared" ref="BB20:BO21" si="20">BB$6</f>
        <v>1</v>
      </c>
      <c r="BC20">
        <f t="shared" si="20"/>
        <v>1</v>
      </c>
      <c r="BD20">
        <f t="shared" si="20"/>
        <v>1</v>
      </c>
      <c r="BE20">
        <f t="shared" si="20"/>
        <v>1</v>
      </c>
      <c r="BF20">
        <f t="shared" si="20"/>
        <v>1</v>
      </c>
      <c r="BG20">
        <f t="shared" si="20"/>
        <v>1</v>
      </c>
      <c r="BH20">
        <f t="shared" si="20"/>
        <v>1</v>
      </c>
      <c r="BI20">
        <f t="shared" si="20"/>
        <v>1</v>
      </c>
      <c r="BJ20">
        <f t="shared" si="20"/>
        <v>1</v>
      </c>
      <c r="BK20">
        <f t="shared" si="20"/>
        <v>0</v>
      </c>
      <c r="BL20">
        <f t="shared" si="20"/>
        <v>0</v>
      </c>
      <c r="BM20">
        <f t="shared" si="20"/>
        <v>0</v>
      </c>
      <c r="BN20">
        <f t="shared" si="20"/>
        <v>0</v>
      </c>
      <c r="BO20">
        <f t="shared" si="20"/>
        <v>0</v>
      </c>
      <c r="BP20" s="15">
        <v>0</v>
      </c>
    </row>
    <row r="21" spans="1:68" x14ac:dyDescent="0.25">
      <c r="A21" s="19"/>
      <c r="B21">
        <f t="shared" si="3"/>
        <v>16</v>
      </c>
      <c r="C21" t="b">
        <v>0</v>
      </c>
      <c r="D21" t="b">
        <v>0</v>
      </c>
      <c r="E21" t="b">
        <v>0</v>
      </c>
      <c r="F21" s="3" t="s">
        <v>24</v>
      </c>
      <c r="G21" s="31" t="str">
        <f>IF(MATCH(F21,F$5:F21,0)=(COUNTA(F$5:F21)),"-","Dup")</f>
        <v>-</v>
      </c>
      <c r="H21" t="str">
        <f t="shared" si="15"/>
        <v>-</v>
      </c>
      <c r="I21" t="b">
        <f t="shared" si="15"/>
        <v>0</v>
      </c>
      <c r="J21" t="b">
        <f t="shared" si="15"/>
        <v>1</v>
      </c>
      <c r="K21" t="str">
        <f t="shared" si="15"/>
        <v>-</v>
      </c>
      <c r="L21" t="str">
        <f t="shared" si="15"/>
        <v>-</v>
      </c>
      <c r="M21" t="str">
        <f t="shared" si="15"/>
        <v>-</v>
      </c>
      <c r="N21" t="str">
        <f t="shared" si="15"/>
        <v>-</v>
      </c>
      <c r="O21" t="str">
        <f t="shared" si="15"/>
        <v>-</v>
      </c>
      <c r="P21" t="str">
        <f t="shared" si="15"/>
        <v>-</v>
      </c>
      <c r="Q21" t="str">
        <f t="shared" si="15"/>
        <v>-</v>
      </c>
      <c r="R21" t="str">
        <f t="shared" si="15"/>
        <v>-</v>
      </c>
      <c r="S21" t="str">
        <f t="shared" si="15"/>
        <v>-</v>
      </c>
      <c r="T21" t="str">
        <f t="shared" si="15"/>
        <v>-</v>
      </c>
      <c r="U21" t="str">
        <f t="shared" si="15"/>
        <v>-</v>
      </c>
      <c r="V21" t="str">
        <f t="shared" si="16"/>
        <v>-</v>
      </c>
      <c r="W21" t="str">
        <f t="shared" si="16"/>
        <v>-</v>
      </c>
      <c r="X21" t="str">
        <f t="shared" si="16"/>
        <v>-</v>
      </c>
      <c r="Y21" t="str">
        <f t="shared" si="16"/>
        <v>-</v>
      </c>
      <c r="Z21" t="str">
        <f t="shared" si="16"/>
        <v>-</v>
      </c>
      <c r="AA21" t="str">
        <f t="shared" si="16"/>
        <v>-</v>
      </c>
      <c r="AB21" t="str">
        <f t="shared" si="16"/>
        <v>-</v>
      </c>
      <c r="AC21" t="str">
        <f t="shared" si="16"/>
        <v>-</v>
      </c>
      <c r="AD21" t="str">
        <f t="shared" si="16"/>
        <v>-</v>
      </c>
      <c r="AE21" t="str">
        <f t="shared" si="16"/>
        <v>-</v>
      </c>
      <c r="AF21" t="str">
        <f t="shared" si="16"/>
        <v>-</v>
      </c>
      <c r="AG21" t="str">
        <f t="shared" si="16"/>
        <v>-</v>
      </c>
      <c r="AH21" t="str">
        <f t="shared" si="16"/>
        <v>-</v>
      </c>
      <c r="AI21" t="str">
        <f t="shared" si="16"/>
        <v>-</v>
      </c>
      <c r="AJ21" t="str">
        <f t="shared" si="16"/>
        <v>-</v>
      </c>
      <c r="AK21" t="str">
        <f t="shared" si="16"/>
        <v>-</v>
      </c>
      <c r="AL21" t="str">
        <f t="shared" si="16"/>
        <v>-</v>
      </c>
      <c r="AM21" t="str">
        <f t="shared" si="16"/>
        <v>-</v>
      </c>
      <c r="AN21" t="str">
        <f t="shared" si="16"/>
        <v>-</v>
      </c>
      <c r="AO21" t="str">
        <f t="shared" si="2"/>
        <v>-</v>
      </c>
      <c r="AP21" t="str">
        <f t="shared" si="2"/>
        <v>-</v>
      </c>
      <c r="AQ21" t="str">
        <f t="shared" si="2"/>
        <v>-</v>
      </c>
      <c r="AR21" t="s">
        <v>97</v>
      </c>
      <c r="AS21" t="s">
        <v>97</v>
      </c>
      <c r="AT21" t="s">
        <v>97</v>
      </c>
      <c r="AU21">
        <f t="shared" si="7"/>
        <v>1</v>
      </c>
      <c r="AV21">
        <f t="shared" si="9"/>
        <v>1</v>
      </c>
      <c r="AW21">
        <f t="shared" si="11"/>
        <v>1</v>
      </c>
      <c r="AX21">
        <f t="shared" si="13"/>
        <v>1</v>
      </c>
      <c r="AY21">
        <f t="shared" si="17"/>
        <v>1</v>
      </c>
      <c r="AZ21">
        <f t="shared" si="19"/>
        <v>1</v>
      </c>
      <c r="BA21" s="22">
        <v>1.1000000000000001</v>
      </c>
      <c r="BB21">
        <f t="shared" si="20"/>
        <v>1</v>
      </c>
      <c r="BC21">
        <f t="shared" si="20"/>
        <v>1</v>
      </c>
      <c r="BD21">
        <f t="shared" si="20"/>
        <v>1</v>
      </c>
      <c r="BE21">
        <f t="shared" si="20"/>
        <v>1</v>
      </c>
      <c r="BF21">
        <f t="shared" si="20"/>
        <v>1</v>
      </c>
      <c r="BG21">
        <f t="shared" si="20"/>
        <v>1</v>
      </c>
      <c r="BH21">
        <f t="shared" si="20"/>
        <v>1</v>
      </c>
      <c r="BI21">
        <f t="shared" si="20"/>
        <v>1</v>
      </c>
      <c r="BJ21">
        <f t="shared" si="20"/>
        <v>1</v>
      </c>
      <c r="BK21">
        <f t="shared" si="20"/>
        <v>0</v>
      </c>
      <c r="BL21">
        <f t="shared" si="20"/>
        <v>0</v>
      </c>
      <c r="BM21">
        <f t="shared" si="20"/>
        <v>0</v>
      </c>
      <c r="BN21">
        <f t="shared" si="20"/>
        <v>0</v>
      </c>
      <c r="BO21">
        <f t="shared" si="20"/>
        <v>0</v>
      </c>
      <c r="BP21" s="15">
        <v>0</v>
      </c>
    </row>
    <row r="22" spans="1:68" x14ac:dyDescent="0.25">
      <c r="A22" s="19"/>
      <c r="B22">
        <f t="shared" si="3"/>
        <v>17</v>
      </c>
      <c r="C22" t="b">
        <v>0</v>
      </c>
      <c r="D22" t="b">
        <v>0</v>
      </c>
      <c r="E22" t="b">
        <v>0</v>
      </c>
      <c r="F22" s="3" t="s">
        <v>25</v>
      </c>
      <c r="G22" s="31" t="str">
        <f>IF(MATCH(F22,F$5:F22,0)=(COUNTA(F$5:F22)),"-","Dup")</f>
        <v>-</v>
      </c>
      <c r="H22" t="str">
        <f t="shared" si="15"/>
        <v>-</v>
      </c>
      <c r="I22" t="b">
        <f t="shared" si="15"/>
        <v>0</v>
      </c>
      <c r="J22" t="b">
        <f t="shared" si="15"/>
        <v>1</v>
      </c>
      <c r="K22" t="str">
        <f t="shared" si="15"/>
        <v>-</v>
      </c>
      <c r="L22" t="str">
        <f t="shared" si="15"/>
        <v>-</v>
      </c>
      <c r="M22" t="str">
        <f t="shared" si="15"/>
        <v>-</v>
      </c>
      <c r="N22" t="str">
        <f t="shared" si="15"/>
        <v>-</v>
      </c>
      <c r="O22" t="str">
        <f t="shared" si="15"/>
        <v>-</v>
      </c>
      <c r="P22" t="str">
        <f t="shared" si="15"/>
        <v>-</v>
      </c>
      <c r="Q22" t="str">
        <f t="shared" si="15"/>
        <v>-</v>
      </c>
      <c r="R22" t="str">
        <f t="shared" si="15"/>
        <v>-</v>
      </c>
      <c r="S22" t="str">
        <f t="shared" si="15"/>
        <v>-</v>
      </c>
      <c r="T22" t="str">
        <f t="shared" si="15"/>
        <v>-</v>
      </c>
      <c r="U22" t="str">
        <f t="shared" si="15"/>
        <v>-</v>
      </c>
      <c r="V22" t="str">
        <f t="shared" si="16"/>
        <v>-</v>
      </c>
      <c r="W22" t="str">
        <f t="shared" si="16"/>
        <v>-</v>
      </c>
      <c r="X22" t="str">
        <f t="shared" si="16"/>
        <v>-</v>
      </c>
      <c r="Y22" t="str">
        <f t="shared" si="16"/>
        <v>-</v>
      </c>
      <c r="Z22" t="str">
        <f t="shared" si="16"/>
        <v>-</v>
      </c>
      <c r="AA22" t="str">
        <f t="shared" si="16"/>
        <v>-</v>
      </c>
      <c r="AB22" t="str">
        <f t="shared" si="16"/>
        <v>-</v>
      </c>
      <c r="AC22" t="str">
        <f t="shared" si="16"/>
        <v>-</v>
      </c>
      <c r="AD22" t="str">
        <f t="shared" si="16"/>
        <v>-</v>
      </c>
      <c r="AE22" t="str">
        <f t="shared" si="16"/>
        <v>-</v>
      </c>
      <c r="AF22" t="str">
        <f t="shared" si="16"/>
        <v>-</v>
      </c>
      <c r="AG22" t="str">
        <f t="shared" si="16"/>
        <v>-</v>
      </c>
      <c r="AH22" t="str">
        <f t="shared" si="16"/>
        <v>-</v>
      </c>
      <c r="AI22" t="str">
        <f t="shared" si="16"/>
        <v>-</v>
      </c>
      <c r="AJ22" t="str">
        <f t="shared" si="16"/>
        <v>-</v>
      </c>
      <c r="AK22" t="str">
        <f t="shared" si="16"/>
        <v>-</v>
      </c>
      <c r="AL22" t="str">
        <f t="shared" si="16"/>
        <v>-</v>
      </c>
      <c r="AM22" t="str">
        <f t="shared" si="16"/>
        <v>-</v>
      </c>
      <c r="AN22" t="str">
        <f t="shared" si="16"/>
        <v>-</v>
      </c>
      <c r="AO22" t="str">
        <f t="shared" si="2"/>
        <v>-</v>
      </c>
      <c r="AP22" t="str">
        <f t="shared" si="2"/>
        <v>-</v>
      </c>
      <c r="AQ22" t="str">
        <f t="shared" si="2"/>
        <v>-</v>
      </c>
      <c r="AR22" t="s">
        <v>97</v>
      </c>
      <c r="AS22" t="s">
        <v>97</v>
      </c>
      <c r="AT22" t="s">
        <v>97</v>
      </c>
      <c r="AU22">
        <f t="shared" si="7"/>
        <v>1</v>
      </c>
      <c r="AV22">
        <f t="shared" si="9"/>
        <v>1</v>
      </c>
      <c r="AW22">
        <f t="shared" si="11"/>
        <v>1</v>
      </c>
      <c r="AX22">
        <f t="shared" si="13"/>
        <v>1</v>
      </c>
      <c r="AY22">
        <f t="shared" si="17"/>
        <v>1</v>
      </c>
      <c r="AZ22">
        <f t="shared" si="19"/>
        <v>1</v>
      </c>
      <c r="BA22">
        <f t="shared" ref="BA22:BA44" si="21">BA$6</f>
        <v>1</v>
      </c>
      <c r="BB22" s="22">
        <v>0.9</v>
      </c>
      <c r="BC22">
        <f t="shared" ref="BC22:BO23" si="22">BC$6</f>
        <v>1</v>
      </c>
      <c r="BD22">
        <f t="shared" si="22"/>
        <v>1</v>
      </c>
      <c r="BE22">
        <f t="shared" si="22"/>
        <v>1</v>
      </c>
      <c r="BF22">
        <f t="shared" si="22"/>
        <v>1</v>
      </c>
      <c r="BG22">
        <f t="shared" si="22"/>
        <v>1</v>
      </c>
      <c r="BH22">
        <f t="shared" si="22"/>
        <v>1</v>
      </c>
      <c r="BI22">
        <f t="shared" si="22"/>
        <v>1</v>
      </c>
      <c r="BJ22">
        <f t="shared" si="22"/>
        <v>1</v>
      </c>
      <c r="BK22">
        <f t="shared" si="22"/>
        <v>0</v>
      </c>
      <c r="BL22">
        <f t="shared" si="22"/>
        <v>0</v>
      </c>
      <c r="BM22">
        <f t="shared" si="22"/>
        <v>0</v>
      </c>
      <c r="BN22">
        <f t="shared" si="22"/>
        <v>0</v>
      </c>
      <c r="BO22">
        <f t="shared" si="22"/>
        <v>0</v>
      </c>
      <c r="BP22" s="15">
        <v>0</v>
      </c>
    </row>
    <row r="23" spans="1:68" x14ac:dyDescent="0.25">
      <c r="A23" s="19"/>
      <c r="B23">
        <f t="shared" si="3"/>
        <v>18</v>
      </c>
      <c r="C23" t="b">
        <v>0</v>
      </c>
      <c r="D23" t="b">
        <v>0</v>
      </c>
      <c r="E23" t="b">
        <v>0</v>
      </c>
      <c r="F23" s="3" t="s">
        <v>26</v>
      </c>
      <c r="G23" s="31" t="str">
        <f>IF(MATCH(F23,F$5:F23,0)=(COUNTA(F$5:F23)),"-","Dup")</f>
        <v>-</v>
      </c>
      <c r="H23" t="str">
        <f t="shared" si="15"/>
        <v>-</v>
      </c>
      <c r="I23" t="b">
        <f t="shared" si="15"/>
        <v>0</v>
      </c>
      <c r="J23" t="b">
        <f t="shared" si="15"/>
        <v>1</v>
      </c>
      <c r="K23" t="str">
        <f t="shared" si="15"/>
        <v>-</v>
      </c>
      <c r="L23" t="str">
        <f t="shared" si="15"/>
        <v>-</v>
      </c>
      <c r="M23" t="str">
        <f t="shared" si="15"/>
        <v>-</v>
      </c>
      <c r="N23" t="str">
        <f t="shared" si="15"/>
        <v>-</v>
      </c>
      <c r="O23" t="str">
        <f t="shared" si="15"/>
        <v>-</v>
      </c>
      <c r="P23" t="str">
        <f t="shared" si="15"/>
        <v>-</v>
      </c>
      <c r="Q23" t="str">
        <f t="shared" si="15"/>
        <v>-</v>
      </c>
      <c r="R23" t="str">
        <f t="shared" si="15"/>
        <v>-</v>
      </c>
      <c r="S23" t="str">
        <f t="shared" si="15"/>
        <v>-</v>
      </c>
      <c r="T23" t="str">
        <f t="shared" si="15"/>
        <v>-</v>
      </c>
      <c r="U23" t="str">
        <f t="shared" si="15"/>
        <v>-</v>
      </c>
      <c r="V23" t="str">
        <f t="shared" si="16"/>
        <v>-</v>
      </c>
      <c r="W23" t="str">
        <f t="shared" si="16"/>
        <v>-</v>
      </c>
      <c r="X23" t="str">
        <f t="shared" si="16"/>
        <v>-</v>
      </c>
      <c r="Y23" t="str">
        <f t="shared" si="16"/>
        <v>-</v>
      </c>
      <c r="Z23" t="str">
        <f t="shared" si="16"/>
        <v>-</v>
      </c>
      <c r="AA23" t="str">
        <f t="shared" si="16"/>
        <v>-</v>
      </c>
      <c r="AB23" t="str">
        <f t="shared" si="16"/>
        <v>-</v>
      </c>
      <c r="AC23" t="str">
        <f t="shared" si="16"/>
        <v>-</v>
      </c>
      <c r="AD23" t="str">
        <f t="shared" si="16"/>
        <v>-</v>
      </c>
      <c r="AE23" t="str">
        <f t="shared" si="16"/>
        <v>-</v>
      </c>
      <c r="AF23" t="str">
        <f t="shared" si="16"/>
        <v>-</v>
      </c>
      <c r="AG23" t="str">
        <f t="shared" si="16"/>
        <v>-</v>
      </c>
      <c r="AH23" t="str">
        <f t="shared" si="16"/>
        <v>-</v>
      </c>
      <c r="AI23" t="str">
        <f t="shared" si="16"/>
        <v>-</v>
      </c>
      <c r="AJ23" t="str">
        <f t="shared" si="16"/>
        <v>-</v>
      </c>
      <c r="AK23" t="str">
        <f t="shared" si="16"/>
        <v>-</v>
      </c>
      <c r="AL23" t="str">
        <f t="shared" si="16"/>
        <v>-</v>
      </c>
      <c r="AM23" t="str">
        <f t="shared" si="16"/>
        <v>-</v>
      </c>
      <c r="AN23" t="str">
        <f t="shared" si="16"/>
        <v>-</v>
      </c>
      <c r="AO23" t="str">
        <f t="shared" ref="AO23:AQ30" si="23">AO$6</f>
        <v>-</v>
      </c>
      <c r="AP23" t="str">
        <f t="shared" si="23"/>
        <v>-</v>
      </c>
      <c r="AQ23" t="str">
        <f t="shared" si="23"/>
        <v>-</v>
      </c>
      <c r="AR23" t="s">
        <v>97</v>
      </c>
      <c r="AS23" t="s">
        <v>97</v>
      </c>
      <c r="AT23" t="s">
        <v>97</v>
      </c>
      <c r="AU23">
        <f t="shared" si="7"/>
        <v>1</v>
      </c>
      <c r="AV23">
        <f t="shared" si="9"/>
        <v>1</v>
      </c>
      <c r="AW23">
        <f t="shared" si="11"/>
        <v>1</v>
      </c>
      <c r="AX23">
        <f t="shared" si="13"/>
        <v>1</v>
      </c>
      <c r="AY23">
        <f t="shared" si="17"/>
        <v>1</v>
      </c>
      <c r="AZ23">
        <f t="shared" si="19"/>
        <v>1</v>
      </c>
      <c r="BA23">
        <f t="shared" si="21"/>
        <v>1</v>
      </c>
      <c r="BB23" s="22">
        <v>1.1000000000000001</v>
      </c>
      <c r="BC23">
        <f t="shared" si="22"/>
        <v>1</v>
      </c>
      <c r="BD23">
        <f t="shared" si="22"/>
        <v>1</v>
      </c>
      <c r="BE23">
        <f t="shared" si="22"/>
        <v>1</v>
      </c>
      <c r="BF23">
        <f t="shared" si="22"/>
        <v>1</v>
      </c>
      <c r="BG23">
        <f t="shared" si="22"/>
        <v>1</v>
      </c>
      <c r="BH23">
        <f t="shared" si="22"/>
        <v>1</v>
      </c>
      <c r="BI23">
        <f t="shared" si="22"/>
        <v>1</v>
      </c>
      <c r="BJ23">
        <f t="shared" si="22"/>
        <v>1</v>
      </c>
      <c r="BK23">
        <f t="shared" si="22"/>
        <v>0</v>
      </c>
      <c r="BL23">
        <f t="shared" si="22"/>
        <v>0</v>
      </c>
      <c r="BM23">
        <f t="shared" si="22"/>
        <v>0</v>
      </c>
      <c r="BN23">
        <f t="shared" si="22"/>
        <v>0</v>
      </c>
      <c r="BO23">
        <f t="shared" si="22"/>
        <v>0</v>
      </c>
      <c r="BP23" s="15">
        <v>0</v>
      </c>
    </row>
    <row r="24" spans="1:68" x14ac:dyDescent="0.25">
      <c r="A24" s="19"/>
      <c r="B24">
        <f t="shared" si="3"/>
        <v>19</v>
      </c>
      <c r="C24" t="b">
        <v>0</v>
      </c>
      <c r="D24" t="b">
        <v>0</v>
      </c>
      <c r="E24" t="b">
        <v>0</v>
      </c>
      <c r="F24" s="3" t="s">
        <v>27</v>
      </c>
      <c r="G24" s="31" t="str">
        <f>IF(MATCH(F24,F$5:F24,0)=(COUNTA(F$5:F24)),"-","Dup")</f>
        <v>-</v>
      </c>
      <c r="H24" t="str">
        <f t="shared" si="15"/>
        <v>-</v>
      </c>
      <c r="I24" t="b">
        <f t="shared" si="15"/>
        <v>0</v>
      </c>
      <c r="J24" t="b">
        <f t="shared" si="15"/>
        <v>1</v>
      </c>
      <c r="K24" t="str">
        <f t="shared" si="15"/>
        <v>-</v>
      </c>
      <c r="L24" t="str">
        <f t="shared" si="15"/>
        <v>-</v>
      </c>
      <c r="M24" t="str">
        <f t="shared" si="15"/>
        <v>-</v>
      </c>
      <c r="N24" t="str">
        <f t="shared" si="15"/>
        <v>-</v>
      </c>
      <c r="O24" t="str">
        <f t="shared" si="15"/>
        <v>-</v>
      </c>
      <c r="P24" t="str">
        <f t="shared" si="15"/>
        <v>-</v>
      </c>
      <c r="Q24" t="str">
        <f t="shared" si="15"/>
        <v>-</v>
      </c>
      <c r="R24" t="str">
        <f t="shared" si="15"/>
        <v>-</v>
      </c>
      <c r="S24" t="str">
        <f t="shared" si="15"/>
        <v>-</v>
      </c>
      <c r="T24" t="str">
        <f t="shared" si="15"/>
        <v>-</v>
      </c>
      <c r="U24" t="str">
        <f t="shared" si="15"/>
        <v>-</v>
      </c>
      <c r="V24" t="str">
        <f t="shared" si="16"/>
        <v>-</v>
      </c>
      <c r="W24" t="str">
        <f t="shared" si="16"/>
        <v>-</v>
      </c>
      <c r="X24" t="str">
        <f t="shared" si="16"/>
        <v>-</v>
      </c>
      <c r="Y24" t="str">
        <f t="shared" si="16"/>
        <v>-</v>
      </c>
      <c r="Z24" t="str">
        <f t="shared" si="16"/>
        <v>-</v>
      </c>
      <c r="AA24" t="str">
        <f t="shared" si="16"/>
        <v>-</v>
      </c>
      <c r="AB24" t="str">
        <f t="shared" si="16"/>
        <v>-</v>
      </c>
      <c r="AC24" t="str">
        <f t="shared" si="16"/>
        <v>-</v>
      </c>
      <c r="AD24" t="str">
        <f t="shared" si="16"/>
        <v>-</v>
      </c>
      <c r="AE24" t="str">
        <f t="shared" si="16"/>
        <v>-</v>
      </c>
      <c r="AF24" t="str">
        <f t="shared" si="16"/>
        <v>-</v>
      </c>
      <c r="AG24" t="str">
        <f t="shared" si="16"/>
        <v>-</v>
      </c>
      <c r="AH24" t="str">
        <f t="shared" si="16"/>
        <v>-</v>
      </c>
      <c r="AI24" t="str">
        <f t="shared" si="16"/>
        <v>-</v>
      </c>
      <c r="AJ24" t="str">
        <f t="shared" si="16"/>
        <v>-</v>
      </c>
      <c r="AK24" t="str">
        <f t="shared" si="16"/>
        <v>-</v>
      </c>
      <c r="AL24" t="str">
        <f t="shared" si="16"/>
        <v>-</v>
      </c>
      <c r="AM24" t="str">
        <f t="shared" si="16"/>
        <v>-</v>
      </c>
      <c r="AN24" t="str">
        <f t="shared" si="16"/>
        <v>-</v>
      </c>
      <c r="AO24" t="str">
        <f t="shared" si="23"/>
        <v>-</v>
      </c>
      <c r="AP24" t="str">
        <f t="shared" si="23"/>
        <v>-</v>
      </c>
      <c r="AQ24" t="str">
        <f t="shared" si="23"/>
        <v>-</v>
      </c>
      <c r="AR24" t="s">
        <v>97</v>
      </c>
      <c r="AS24" t="s">
        <v>97</v>
      </c>
      <c r="AT24" t="s">
        <v>97</v>
      </c>
      <c r="AU24">
        <f t="shared" si="7"/>
        <v>1</v>
      </c>
      <c r="AV24">
        <f t="shared" si="9"/>
        <v>1</v>
      </c>
      <c r="AW24">
        <f t="shared" si="11"/>
        <v>1</v>
      </c>
      <c r="AX24">
        <f t="shared" si="13"/>
        <v>1</v>
      </c>
      <c r="AY24">
        <f t="shared" si="17"/>
        <v>1</v>
      </c>
      <c r="AZ24">
        <f t="shared" si="19"/>
        <v>1</v>
      </c>
      <c r="BA24">
        <f t="shared" si="21"/>
        <v>1</v>
      </c>
      <c r="BB24">
        <f t="shared" ref="BB24:BB44" si="24">BB$6</f>
        <v>1</v>
      </c>
      <c r="BC24" s="22">
        <v>0.9</v>
      </c>
      <c r="BD24">
        <f t="shared" ref="BD24:BO25" si="25">BD$6</f>
        <v>1</v>
      </c>
      <c r="BE24">
        <f t="shared" si="25"/>
        <v>1</v>
      </c>
      <c r="BF24">
        <f t="shared" si="25"/>
        <v>1</v>
      </c>
      <c r="BG24">
        <f t="shared" si="25"/>
        <v>1</v>
      </c>
      <c r="BH24">
        <f t="shared" si="25"/>
        <v>1</v>
      </c>
      <c r="BI24">
        <f t="shared" si="25"/>
        <v>1</v>
      </c>
      <c r="BJ24">
        <f t="shared" si="25"/>
        <v>1</v>
      </c>
      <c r="BK24">
        <f t="shared" si="25"/>
        <v>0</v>
      </c>
      <c r="BL24">
        <f t="shared" si="25"/>
        <v>0</v>
      </c>
      <c r="BM24">
        <f t="shared" si="25"/>
        <v>0</v>
      </c>
      <c r="BN24">
        <f t="shared" si="25"/>
        <v>0</v>
      </c>
      <c r="BO24">
        <f t="shared" si="25"/>
        <v>0</v>
      </c>
      <c r="BP24" s="15">
        <v>0</v>
      </c>
    </row>
    <row r="25" spans="1:68" x14ac:dyDescent="0.25">
      <c r="A25" s="19"/>
      <c r="B25">
        <f t="shared" si="3"/>
        <v>20</v>
      </c>
      <c r="C25" t="b">
        <v>0</v>
      </c>
      <c r="D25" t="b">
        <v>0</v>
      </c>
      <c r="E25" t="b">
        <v>0</v>
      </c>
      <c r="F25" s="3" t="s">
        <v>28</v>
      </c>
      <c r="G25" s="31" t="str">
        <f>IF(MATCH(F25,F$5:F25,0)=(COUNTA(F$5:F25)),"-","Dup")</f>
        <v>-</v>
      </c>
      <c r="H25" t="str">
        <f t="shared" si="15"/>
        <v>-</v>
      </c>
      <c r="I25" t="b">
        <f t="shared" si="15"/>
        <v>0</v>
      </c>
      <c r="J25" t="b">
        <f t="shared" si="15"/>
        <v>1</v>
      </c>
      <c r="K25" t="str">
        <f t="shared" si="15"/>
        <v>-</v>
      </c>
      <c r="L25" t="str">
        <f t="shared" si="15"/>
        <v>-</v>
      </c>
      <c r="M25" t="str">
        <f t="shared" si="15"/>
        <v>-</v>
      </c>
      <c r="N25" t="str">
        <f t="shared" si="15"/>
        <v>-</v>
      </c>
      <c r="O25" t="str">
        <f t="shared" si="15"/>
        <v>-</v>
      </c>
      <c r="P25" t="str">
        <f t="shared" si="15"/>
        <v>-</v>
      </c>
      <c r="Q25" t="str">
        <f t="shared" si="15"/>
        <v>-</v>
      </c>
      <c r="R25" t="str">
        <f t="shared" si="15"/>
        <v>-</v>
      </c>
      <c r="S25" t="str">
        <f t="shared" si="15"/>
        <v>-</v>
      </c>
      <c r="T25" t="str">
        <f t="shared" si="15"/>
        <v>-</v>
      </c>
      <c r="U25" t="str">
        <f t="shared" si="15"/>
        <v>-</v>
      </c>
      <c r="V25" t="str">
        <f t="shared" si="16"/>
        <v>-</v>
      </c>
      <c r="W25" t="str">
        <f t="shared" si="16"/>
        <v>-</v>
      </c>
      <c r="X25" t="str">
        <f t="shared" si="16"/>
        <v>-</v>
      </c>
      <c r="Y25" t="str">
        <f t="shared" si="16"/>
        <v>-</v>
      </c>
      <c r="Z25" t="str">
        <f t="shared" si="16"/>
        <v>-</v>
      </c>
      <c r="AA25" t="str">
        <f t="shared" si="16"/>
        <v>-</v>
      </c>
      <c r="AB25" t="str">
        <f t="shared" si="16"/>
        <v>-</v>
      </c>
      <c r="AC25" t="str">
        <f t="shared" si="16"/>
        <v>-</v>
      </c>
      <c r="AD25" t="str">
        <f t="shared" si="16"/>
        <v>-</v>
      </c>
      <c r="AE25" t="str">
        <f t="shared" si="16"/>
        <v>-</v>
      </c>
      <c r="AF25" t="str">
        <f t="shared" si="16"/>
        <v>-</v>
      </c>
      <c r="AG25" t="str">
        <f t="shared" si="16"/>
        <v>-</v>
      </c>
      <c r="AH25" t="str">
        <f t="shared" si="16"/>
        <v>-</v>
      </c>
      <c r="AI25" t="str">
        <f t="shared" si="16"/>
        <v>-</v>
      </c>
      <c r="AJ25" t="str">
        <f t="shared" si="16"/>
        <v>-</v>
      </c>
      <c r="AK25" t="str">
        <f t="shared" si="16"/>
        <v>-</v>
      </c>
      <c r="AL25" t="str">
        <f t="shared" si="16"/>
        <v>-</v>
      </c>
      <c r="AM25" t="str">
        <f t="shared" si="16"/>
        <v>-</v>
      </c>
      <c r="AN25" t="str">
        <f t="shared" si="16"/>
        <v>-</v>
      </c>
      <c r="AO25" t="str">
        <f t="shared" si="23"/>
        <v>-</v>
      </c>
      <c r="AP25" t="str">
        <f t="shared" si="23"/>
        <v>-</v>
      </c>
      <c r="AQ25" t="str">
        <f t="shared" si="23"/>
        <v>-</v>
      </c>
      <c r="AR25" t="s">
        <v>97</v>
      </c>
      <c r="AS25" t="s">
        <v>97</v>
      </c>
      <c r="AT25" t="s">
        <v>97</v>
      </c>
      <c r="AU25">
        <f t="shared" si="7"/>
        <v>1</v>
      </c>
      <c r="AV25">
        <f t="shared" si="9"/>
        <v>1</v>
      </c>
      <c r="AW25">
        <f t="shared" si="11"/>
        <v>1</v>
      </c>
      <c r="AX25">
        <f t="shared" si="13"/>
        <v>1</v>
      </c>
      <c r="AY25">
        <f t="shared" si="17"/>
        <v>1</v>
      </c>
      <c r="AZ25">
        <f t="shared" si="19"/>
        <v>1</v>
      </c>
      <c r="BA25">
        <f t="shared" si="21"/>
        <v>1</v>
      </c>
      <c r="BB25">
        <f t="shared" si="24"/>
        <v>1</v>
      </c>
      <c r="BC25" s="22">
        <v>1.1000000000000001</v>
      </c>
      <c r="BD25">
        <f t="shared" si="25"/>
        <v>1</v>
      </c>
      <c r="BE25">
        <f t="shared" si="25"/>
        <v>1</v>
      </c>
      <c r="BF25">
        <f t="shared" si="25"/>
        <v>1</v>
      </c>
      <c r="BG25">
        <f t="shared" si="25"/>
        <v>1</v>
      </c>
      <c r="BH25">
        <f t="shared" si="25"/>
        <v>1</v>
      </c>
      <c r="BI25">
        <f t="shared" si="25"/>
        <v>1</v>
      </c>
      <c r="BJ25">
        <f t="shared" si="25"/>
        <v>1</v>
      </c>
      <c r="BK25">
        <f t="shared" si="25"/>
        <v>0</v>
      </c>
      <c r="BL25">
        <f t="shared" si="25"/>
        <v>0</v>
      </c>
      <c r="BM25">
        <f t="shared" si="25"/>
        <v>0</v>
      </c>
      <c r="BN25">
        <f t="shared" si="25"/>
        <v>0</v>
      </c>
      <c r="BO25">
        <f t="shared" si="25"/>
        <v>0</v>
      </c>
      <c r="BP25" s="15">
        <v>0</v>
      </c>
    </row>
    <row r="26" spans="1:68" x14ac:dyDescent="0.25">
      <c r="A26" s="19"/>
      <c r="B26">
        <f t="shared" si="3"/>
        <v>21</v>
      </c>
      <c r="C26" t="b">
        <v>0</v>
      </c>
      <c r="D26" t="b">
        <v>0</v>
      </c>
      <c r="E26" t="b">
        <v>0</v>
      </c>
      <c r="F26" s="3" t="s">
        <v>29</v>
      </c>
      <c r="G26" s="31" t="str">
        <f>IF(MATCH(F26,F$5:F26,0)=(COUNTA(F$5:F26)),"-","Dup")</f>
        <v>-</v>
      </c>
      <c r="H26" t="str">
        <f t="shared" si="15"/>
        <v>-</v>
      </c>
      <c r="I26" t="b">
        <f t="shared" si="15"/>
        <v>0</v>
      </c>
      <c r="J26" t="b">
        <f t="shared" si="15"/>
        <v>1</v>
      </c>
      <c r="K26" t="str">
        <f t="shared" si="15"/>
        <v>-</v>
      </c>
      <c r="L26" t="str">
        <f t="shared" si="15"/>
        <v>-</v>
      </c>
      <c r="M26" t="str">
        <f t="shared" si="15"/>
        <v>-</v>
      </c>
      <c r="N26" t="str">
        <f t="shared" si="15"/>
        <v>-</v>
      </c>
      <c r="O26" t="str">
        <f t="shared" si="15"/>
        <v>-</v>
      </c>
      <c r="P26" t="str">
        <f t="shared" si="15"/>
        <v>-</v>
      </c>
      <c r="Q26" t="str">
        <f t="shared" si="15"/>
        <v>-</v>
      </c>
      <c r="R26" t="str">
        <f t="shared" si="15"/>
        <v>-</v>
      </c>
      <c r="S26" t="str">
        <f t="shared" si="15"/>
        <v>-</v>
      </c>
      <c r="T26" t="str">
        <f t="shared" si="15"/>
        <v>-</v>
      </c>
      <c r="U26" t="str">
        <f t="shared" si="15"/>
        <v>-</v>
      </c>
      <c r="V26" t="str">
        <f t="shared" si="16"/>
        <v>-</v>
      </c>
      <c r="W26" t="str">
        <f t="shared" si="16"/>
        <v>-</v>
      </c>
      <c r="X26" t="str">
        <f t="shared" si="16"/>
        <v>-</v>
      </c>
      <c r="Y26" t="str">
        <f t="shared" si="16"/>
        <v>-</v>
      </c>
      <c r="Z26" t="str">
        <f t="shared" si="16"/>
        <v>-</v>
      </c>
      <c r="AA26" t="str">
        <f t="shared" si="16"/>
        <v>-</v>
      </c>
      <c r="AB26" t="str">
        <f t="shared" si="16"/>
        <v>-</v>
      </c>
      <c r="AC26" t="str">
        <f t="shared" si="16"/>
        <v>-</v>
      </c>
      <c r="AD26" t="str">
        <f t="shared" si="16"/>
        <v>-</v>
      </c>
      <c r="AE26" t="str">
        <f t="shared" si="16"/>
        <v>-</v>
      </c>
      <c r="AF26" t="str">
        <f t="shared" si="16"/>
        <v>-</v>
      </c>
      <c r="AG26" t="str">
        <f t="shared" si="16"/>
        <v>-</v>
      </c>
      <c r="AH26" t="str">
        <f t="shared" si="16"/>
        <v>-</v>
      </c>
      <c r="AI26" t="str">
        <f t="shared" si="16"/>
        <v>-</v>
      </c>
      <c r="AJ26" t="str">
        <f t="shared" si="16"/>
        <v>-</v>
      </c>
      <c r="AK26" t="str">
        <f t="shared" si="16"/>
        <v>-</v>
      </c>
      <c r="AL26" t="str">
        <f t="shared" si="16"/>
        <v>-</v>
      </c>
      <c r="AM26" t="str">
        <f t="shared" si="16"/>
        <v>-</v>
      </c>
      <c r="AN26" t="str">
        <f t="shared" si="16"/>
        <v>-</v>
      </c>
      <c r="AO26" t="str">
        <f t="shared" si="23"/>
        <v>-</v>
      </c>
      <c r="AP26" t="str">
        <f t="shared" si="23"/>
        <v>-</v>
      </c>
      <c r="AQ26" t="str">
        <f t="shared" si="23"/>
        <v>-</v>
      </c>
      <c r="AR26" t="s">
        <v>97</v>
      </c>
      <c r="AS26" t="s">
        <v>97</v>
      </c>
      <c r="AT26" t="s">
        <v>97</v>
      </c>
      <c r="AU26">
        <f t="shared" si="7"/>
        <v>1</v>
      </c>
      <c r="AV26">
        <f t="shared" si="9"/>
        <v>1</v>
      </c>
      <c r="AW26">
        <f t="shared" si="11"/>
        <v>1</v>
      </c>
      <c r="AX26">
        <f t="shared" si="13"/>
        <v>1</v>
      </c>
      <c r="AY26">
        <f t="shared" si="17"/>
        <v>1</v>
      </c>
      <c r="AZ26">
        <f t="shared" si="19"/>
        <v>1</v>
      </c>
      <c r="BA26">
        <f t="shared" si="21"/>
        <v>1</v>
      </c>
      <c r="BB26">
        <f t="shared" si="24"/>
        <v>1</v>
      </c>
      <c r="BC26">
        <f t="shared" ref="BC26:BC44" si="26">BC$6</f>
        <v>1</v>
      </c>
      <c r="BD26" s="22">
        <v>0.9</v>
      </c>
      <c r="BE26">
        <f t="shared" ref="BE26:BO31" si="27">BE$6</f>
        <v>1</v>
      </c>
      <c r="BF26">
        <f t="shared" si="27"/>
        <v>1</v>
      </c>
      <c r="BG26">
        <f t="shared" si="27"/>
        <v>1</v>
      </c>
      <c r="BH26">
        <f t="shared" si="27"/>
        <v>1</v>
      </c>
      <c r="BI26">
        <f t="shared" si="27"/>
        <v>1</v>
      </c>
      <c r="BJ26">
        <f t="shared" si="27"/>
        <v>1</v>
      </c>
      <c r="BK26">
        <f t="shared" si="27"/>
        <v>0</v>
      </c>
      <c r="BL26">
        <f t="shared" si="27"/>
        <v>0</v>
      </c>
      <c r="BM26">
        <f t="shared" si="27"/>
        <v>0</v>
      </c>
      <c r="BN26">
        <f t="shared" si="27"/>
        <v>0</v>
      </c>
      <c r="BO26">
        <f t="shared" si="27"/>
        <v>0</v>
      </c>
      <c r="BP26" s="15">
        <v>0</v>
      </c>
    </row>
    <row r="27" spans="1:68" x14ac:dyDescent="0.25">
      <c r="A27" s="19"/>
      <c r="B27">
        <f t="shared" si="3"/>
        <v>22</v>
      </c>
      <c r="C27" t="b">
        <v>0</v>
      </c>
      <c r="D27" t="b">
        <v>0</v>
      </c>
      <c r="E27" t="b">
        <v>0</v>
      </c>
      <c r="F27" s="3" t="s">
        <v>30</v>
      </c>
      <c r="G27" s="31" t="str">
        <f>IF(MATCH(F27,F$5:F27,0)=(COUNTA(F$5:F27)),"-","Dup")</f>
        <v>-</v>
      </c>
      <c r="H27" t="str">
        <f t="shared" si="15"/>
        <v>-</v>
      </c>
      <c r="I27" t="b">
        <f t="shared" si="15"/>
        <v>0</v>
      </c>
      <c r="J27" t="b">
        <f t="shared" si="15"/>
        <v>1</v>
      </c>
      <c r="K27" t="str">
        <f t="shared" si="15"/>
        <v>-</v>
      </c>
      <c r="L27" t="str">
        <f t="shared" si="15"/>
        <v>-</v>
      </c>
      <c r="M27" t="str">
        <f t="shared" si="15"/>
        <v>-</v>
      </c>
      <c r="N27" t="str">
        <f t="shared" si="15"/>
        <v>-</v>
      </c>
      <c r="O27" t="str">
        <f t="shared" si="15"/>
        <v>-</v>
      </c>
      <c r="P27" t="str">
        <f t="shared" si="15"/>
        <v>-</v>
      </c>
      <c r="Q27" t="str">
        <f t="shared" si="15"/>
        <v>-</v>
      </c>
      <c r="R27" t="str">
        <f t="shared" si="15"/>
        <v>-</v>
      </c>
      <c r="S27" t="str">
        <f t="shared" si="15"/>
        <v>-</v>
      </c>
      <c r="T27" t="str">
        <f t="shared" si="15"/>
        <v>-</v>
      </c>
      <c r="U27" t="str">
        <f t="shared" si="15"/>
        <v>-</v>
      </c>
      <c r="V27" t="str">
        <f t="shared" si="16"/>
        <v>-</v>
      </c>
      <c r="W27" t="str">
        <f t="shared" si="16"/>
        <v>-</v>
      </c>
      <c r="X27" t="str">
        <f t="shared" si="16"/>
        <v>-</v>
      </c>
      <c r="Y27" t="str">
        <f t="shared" si="16"/>
        <v>-</v>
      </c>
      <c r="Z27" t="str">
        <f t="shared" si="16"/>
        <v>-</v>
      </c>
      <c r="AA27" t="str">
        <f t="shared" si="16"/>
        <v>-</v>
      </c>
      <c r="AB27" t="str">
        <f t="shared" si="16"/>
        <v>-</v>
      </c>
      <c r="AC27" t="str">
        <f t="shared" si="16"/>
        <v>-</v>
      </c>
      <c r="AD27" t="str">
        <f t="shared" si="16"/>
        <v>-</v>
      </c>
      <c r="AE27" t="str">
        <f t="shared" si="16"/>
        <v>-</v>
      </c>
      <c r="AF27" t="str">
        <f t="shared" si="16"/>
        <v>-</v>
      </c>
      <c r="AG27" t="str">
        <f t="shared" si="16"/>
        <v>-</v>
      </c>
      <c r="AH27" t="str">
        <f t="shared" si="16"/>
        <v>-</v>
      </c>
      <c r="AI27" t="str">
        <f t="shared" si="16"/>
        <v>-</v>
      </c>
      <c r="AJ27" t="str">
        <f t="shared" si="16"/>
        <v>-</v>
      </c>
      <c r="AK27" t="str">
        <f t="shared" si="16"/>
        <v>-</v>
      </c>
      <c r="AL27" t="str">
        <f t="shared" si="16"/>
        <v>-</v>
      </c>
      <c r="AM27" t="str">
        <f t="shared" si="16"/>
        <v>-</v>
      </c>
      <c r="AN27" t="str">
        <f t="shared" si="16"/>
        <v>-</v>
      </c>
      <c r="AO27" t="str">
        <f t="shared" si="23"/>
        <v>-</v>
      </c>
      <c r="AP27" t="str">
        <f t="shared" si="23"/>
        <v>-</v>
      </c>
      <c r="AQ27" t="str">
        <f t="shared" si="23"/>
        <v>-</v>
      </c>
      <c r="AR27" t="s">
        <v>97</v>
      </c>
      <c r="AS27" t="s">
        <v>97</v>
      </c>
      <c r="AT27" t="s">
        <v>97</v>
      </c>
      <c r="AU27">
        <f t="shared" si="7"/>
        <v>1</v>
      </c>
      <c r="AV27">
        <f t="shared" si="9"/>
        <v>1</v>
      </c>
      <c r="AW27">
        <f t="shared" si="11"/>
        <v>1</v>
      </c>
      <c r="AX27">
        <f t="shared" si="13"/>
        <v>1</v>
      </c>
      <c r="AY27">
        <f t="shared" si="17"/>
        <v>1</v>
      </c>
      <c r="AZ27">
        <f t="shared" si="19"/>
        <v>1</v>
      </c>
      <c r="BA27">
        <f t="shared" si="21"/>
        <v>1</v>
      </c>
      <c r="BB27">
        <f t="shared" si="24"/>
        <v>1</v>
      </c>
      <c r="BC27">
        <f t="shared" si="26"/>
        <v>1</v>
      </c>
      <c r="BD27" s="22">
        <v>1.1000000000000001</v>
      </c>
      <c r="BE27">
        <f t="shared" si="27"/>
        <v>1</v>
      </c>
      <c r="BF27">
        <f t="shared" si="27"/>
        <v>1</v>
      </c>
      <c r="BG27">
        <f t="shared" si="27"/>
        <v>1</v>
      </c>
      <c r="BH27">
        <f t="shared" si="27"/>
        <v>1</v>
      </c>
      <c r="BI27">
        <f t="shared" si="27"/>
        <v>1</v>
      </c>
      <c r="BJ27">
        <f t="shared" si="27"/>
        <v>1</v>
      </c>
      <c r="BK27">
        <f t="shared" si="27"/>
        <v>0</v>
      </c>
      <c r="BL27">
        <f t="shared" si="27"/>
        <v>0</v>
      </c>
      <c r="BM27">
        <f t="shared" si="27"/>
        <v>0</v>
      </c>
      <c r="BN27">
        <f t="shared" si="27"/>
        <v>0</v>
      </c>
      <c r="BO27">
        <f t="shared" si="27"/>
        <v>0</v>
      </c>
      <c r="BP27" s="15">
        <v>0</v>
      </c>
    </row>
    <row r="28" spans="1:68" x14ac:dyDescent="0.25">
      <c r="A28" s="19"/>
      <c r="B28">
        <f t="shared" si="3"/>
        <v>23</v>
      </c>
      <c r="C28" t="b">
        <v>0</v>
      </c>
      <c r="D28" t="b">
        <v>0</v>
      </c>
      <c r="E28" t="b">
        <v>0</v>
      </c>
      <c r="F28" s="3" t="s">
        <v>31</v>
      </c>
      <c r="G28" s="31" t="str">
        <f>IF(MATCH(F28,F$5:F28,0)=(COUNTA(F$5:F28)),"-","Dup")</f>
        <v>-</v>
      </c>
      <c r="H28" t="str">
        <f t="shared" si="15"/>
        <v>-</v>
      </c>
      <c r="I28" t="b">
        <f t="shared" si="15"/>
        <v>0</v>
      </c>
      <c r="J28" t="b">
        <f t="shared" si="15"/>
        <v>1</v>
      </c>
      <c r="K28" t="str">
        <f t="shared" si="15"/>
        <v>-</v>
      </c>
      <c r="L28" t="str">
        <f t="shared" si="15"/>
        <v>-</v>
      </c>
      <c r="M28" t="str">
        <f t="shared" si="15"/>
        <v>-</v>
      </c>
      <c r="N28" t="str">
        <f t="shared" si="15"/>
        <v>-</v>
      </c>
      <c r="O28" t="str">
        <f t="shared" si="15"/>
        <v>-</v>
      </c>
      <c r="P28" t="str">
        <f t="shared" si="15"/>
        <v>-</v>
      </c>
      <c r="Q28" t="str">
        <f t="shared" si="15"/>
        <v>-</v>
      </c>
      <c r="R28" t="str">
        <f t="shared" si="15"/>
        <v>-</v>
      </c>
      <c r="S28" t="str">
        <f t="shared" si="15"/>
        <v>-</v>
      </c>
      <c r="T28" t="str">
        <f t="shared" si="15"/>
        <v>-</v>
      </c>
      <c r="U28" t="str">
        <f t="shared" si="15"/>
        <v>-</v>
      </c>
      <c r="V28" t="str">
        <f t="shared" si="16"/>
        <v>-</v>
      </c>
      <c r="W28" t="str">
        <f t="shared" si="16"/>
        <v>-</v>
      </c>
      <c r="X28" t="str">
        <f t="shared" si="16"/>
        <v>-</v>
      </c>
      <c r="Y28" t="str">
        <f t="shared" si="16"/>
        <v>-</v>
      </c>
      <c r="Z28" t="str">
        <f t="shared" si="16"/>
        <v>-</v>
      </c>
      <c r="AA28" t="str">
        <f t="shared" si="16"/>
        <v>-</v>
      </c>
      <c r="AB28" t="str">
        <f t="shared" si="16"/>
        <v>-</v>
      </c>
      <c r="AC28" t="str">
        <f t="shared" si="16"/>
        <v>-</v>
      </c>
      <c r="AD28" t="str">
        <f t="shared" si="16"/>
        <v>-</v>
      </c>
      <c r="AE28" t="str">
        <f t="shared" si="16"/>
        <v>-</v>
      </c>
      <c r="AF28" t="str">
        <f t="shared" si="16"/>
        <v>-</v>
      </c>
      <c r="AG28" t="str">
        <f t="shared" si="16"/>
        <v>-</v>
      </c>
      <c r="AH28" t="str">
        <f t="shared" si="16"/>
        <v>-</v>
      </c>
      <c r="AI28" t="str">
        <f t="shared" si="16"/>
        <v>-</v>
      </c>
      <c r="AJ28" t="str">
        <f t="shared" si="16"/>
        <v>-</v>
      </c>
      <c r="AK28" t="str">
        <f t="shared" si="16"/>
        <v>-</v>
      </c>
      <c r="AL28" t="str">
        <f t="shared" si="16"/>
        <v>-</v>
      </c>
      <c r="AM28" t="str">
        <f t="shared" si="16"/>
        <v>-</v>
      </c>
      <c r="AN28" t="str">
        <f t="shared" si="16"/>
        <v>-</v>
      </c>
      <c r="AO28" t="str">
        <f t="shared" si="23"/>
        <v>-</v>
      </c>
      <c r="AP28" t="str">
        <f t="shared" si="23"/>
        <v>-</v>
      </c>
      <c r="AQ28" t="str">
        <f t="shared" si="23"/>
        <v>-</v>
      </c>
      <c r="AR28" t="s">
        <v>97</v>
      </c>
      <c r="AS28" t="s">
        <v>97</v>
      </c>
      <c r="AT28" t="s">
        <v>97</v>
      </c>
      <c r="AU28">
        <f t="shared" si="7"/>
        <v>1</v>
      </c>
      <c r="AV28">
        <f t="shared" si="9"/>
        <v>1</v>
      </c>
      <c r="AW28">
        <f t="shared" si="11"/>
        <v>1</v>
      </c>
      <c r="AX28">
        <f t="shared" si="13"/>
        <v>1</v>
      </c>
      <c r="AY28">
        <f t="shared" si="17"/>
        <v>1</v>
      </c>
      <c r="AZ28">
        <f t="shared" si="19"/>
        <v>1</v>
      </c>
      <c r="BA28">
        <f t="shared" si="21"/>
        <v>1</v>
      </c>
      <c r="BB28">
        <f t="shared" si="24"/>
        <v>1</v>
      </c>
      <c r="BC28">
        <f t="shared" si="26"/>
        <v>1</v>
      </c>
      <c r="BD28">
        <f t="shared" ref="BD28:BD44" si="28">BD$6</f>
        <v>1</v>
      </c>
      <c r="BE28" s="22">
        <v>0.9</v>
      </c>
      <c r="BF28">
        <f t="shared" ref="BF28:BO29" si="29">BF$6</f>
        <v>1</v>
      </c>
      <c r="BG28">
        <f t="shared" si="27"/>
        <v>1</v>
      </c>
      <c r="BH28">
        <f t="shared" si="27"/>
        <v>1</v>
      </c>
      <c r="BI28">
        <f t="shared" si="27"/>
        <v>1</v>
      </c>
      <c r="BJ28">
        <f t="shared" si="27"/>
        <v>1</v>
      </c>
      <c r="BK28">
        <f t="shared" si="29"/>
        <v>0</v>
      </c>
      <c r="BL28">
        <f t="shared" si="29"/>
        <v>0</v>
      </c>
      <c r="BM28">
        <f t="shared" si="29"/>
        <v>0</v>
      </c>
      <c r="BN28">
        <f t="shared" si="29"/>
        <v>0</v>
      </c>
      <c r="BO28">
        <f t="shared" si="29"/>
        <v>0</v>
      </c>
      <c r="BP28" s="15">
        <v>0</v>
      </c>
    </row>
    <row r="29" spans="1:68" x14ac:dyDescent="0.25">
      <c r="A29" s="19"/>
      <c r="B29">
        <f t="shared" si="3"/>
        <v>24</v>
      </c>
      <c r="C29" t="b">
        <v>0</v>
      </c>
      <c r="D29" t="b">
        <v>0</v>
      </c>
      <c r="E29" t="b">
        <v>0</v>
      </c>
      <c r="F29" s="3" t="s">
        <v>32</v>
      </c>
      <c r="G29" s="31" t="str">
        <f>IF(MATCH(F29,F$5:F29,0)=(COUNTA(F$5:F29)),"-","Dup")</f>
        <v>-</v>
      </c>
      <c r="H29" t="str">
        <f t="shared" si="15"/>
        <v>-</v>
      </c>
      <c r="I29" t="b">
        <f t="shared" si="15"/>
        <v>0</v>
      </c>
      <c r="J29" t="b">
        <f t="shared" si="15"/>
        <v>1</v>
      </c>
      <c r="K29" t="str">
        <f t="shared" si="15"/>
        <v>-</v>
      </c>
      <c r="L29" t="str">
        <f t="shared" si="15"/>
        <v>-</v>
      </c>
      <c r="M29" t="str">
        <f t="shared" si="15"/>
        <v>-</v>
      </c>
      <c r="N29" t="str">
        <f t="shared" si="15"/>
        <v>-</v>
      </c>
      <c r="O29" t="str">
        <f t="shared" si="15"/>
        <v>-</v>
      </c>
      <c r="P29" t="str">
        <f t="shared" si="15"/>
        <v>-</v>
      </c>
      <c r="Q29" t="str">
        <f t="shared" si="15"/>
        <v>-</v>
      </c>
      <c r="R29" t="str">
        <f t="shared" si="15"/>
        <v>-</v>
      </c>
      <c r="S29" t="str">
        <f t="shared" si="15"/>
        <v>-</v>
      </c>
      <c r="T29" t="str">
        <f t="shared" si="15"/>
        <v>-</v>
      </c>
      <c r="U29" t="str">
        <f t="shared" si="15"/>
        <v>-</v>
      </c>
      <c r="V29" t="str">
        <f t="shared" si="16"/>
        <v>-</v>
      </c>
      <c r="W29" t="str">
        <f t="shared" si="16"/>
        <v>-</v>
      </c>
      <c r="X29" t="str">
        <f t="shared" si="16"/>
        <v>-</v>
      </c>
      <c r="Y29" t="str">
        <f t="shared" si="16"/>
        <v>-</v>
      </c>
      <c r="Z29" t="str">
        <f t="shared" si="16"/>
        <v>-</v>
      </c>
      <c r="AA29" t="str">
        <f t="shared" si="16"/>
        <v>-</v>
      </c>
      <c r="AB29" t="str">
        <f t="shared" si="16"/>
        <v>-</v>
      </c>
      <c r="AC29" t="str">
        <f t="shared" si="16"/>
        <v>-</v>
      </c>
      <c r="AD29" t="str">
        <f t="shared" si="16"/>
        <v>-</v>
      </c>
      <c r="AE29" t="str">
        <f t="shared" si="16"/>
        <v>-</v>
      </c>
      <c r="AF29" t="str">
        <f t="shared" si="16"/>
        <v>-</v>
      </c>
      <c r="AG29" t="str">
        <f t="shared" si="16"/>
        <v>-</v>
      </c>
      <c r="AH29" t="str">
        <f t="shared" si="16"/>
        <v>-</v>
      </c>
      <c r="AI29" t="str">
        <f t="shared" si="16"/>
        <v>-</v>
      </c>
      <c r="AJ29" t="str">
        <f t="shared" si="16"/>
        <v>-</v>
      </c>
      <c r="AK29" t="str">
        <f t="shared" si="16"/>
        <v>-</v>
      </c>
      <c r="AL29" t="str">
        <f t="shared" si="16"/>
        <v>-</v>
      </c>
      <c r="AM29" t="str">
        <f t="shared" si="16"/>
        <v>-</v>
      </c>
      <c r="AN29" t="str">
        <f t="shared" si="16"/>
        <v>-</v>
      </c>
      <c r="AO29" t="str">
        <f t="shared" si="23"/>
        <v>-</v>
      </c>
      <c r="AP29" t="str">
        <f t="shared" si="23"/>
        <v>-</v>
      </c>
      <c r="AQ29" t="str">
        <f t="shared" si="23"/>
        <v>-</v>
      </c>
      <c r="AR29" t="s">
        <v>97</v>
      </c>
      <c r="AS29" t="s">
        <v>97</v>
      </c>
      <c r="AT29" t="s">
        <v>97</v>
      </c>
      <c r="AU29">
        <f t="shared" si="7"/>
        <v>1</v>
      </c>
      <c r="AV29">
        <f t="shared" si="9"/>
        <v>1</v>
      </c>
      <c r="AW29">
        <f t="shared" si="11"/>
        <v>1</v>
      </c>
      <c r="AX29">
        <f t="shared" si="13"/>
        <v>1</v>
      </c>
      <c r="AY29">
        <f t="shared" si="17"/>
        <v>1</v>
      </c>
      <c r="AZ29">
        <f t="shared" si="19"/>
        <v>1</v>
      </c>
      <c r="BA29">
        <f t="shared" si="21"/>
        <v>1</v>
      </c>
      <c r="BB29">
        <f t="shared" si="24"/>
        <v>1</v>
      </c>
      <c r="BC29">
        <f t="shared" si="26"/>
        <v>1</v>
      </c>
      <c r="BD29">
        <f t="shared" si="28"/>
        <v>1</v>
      </c>
      <c r="BE29" s="22">
        <v>1.1000000000000001</v>
      </c>
      <c r="BF29">
        <f t="shared" si="29"/>
        <v>1</v>
      </c>
      <c r="BG29">
        <f t="shared" si="27"/>
        <v>1</v>
      </c>
      <c r="BH29">
        <f t="shared" si="27"/>
        <v>1</v>
      </c>
      <c r="BI29">
        <f t="shared" si="27"/>
        <v>1</v>
      </c>
      <c r="BJ29">
        <f t="shared" si="27"/>
        <v>1</v>
      </c>
      <c r="BK29">
        <f t="shared" si="29"/>
        <v>0</v>
      </c>
      <c r="BL29">
        <f t="shared" si="29"/>
        <v>0</v>
      </c>
      <c r="BM29">
        <f t="shared" si="29"/>
        <v>0</v>
      </c>
      <c r="BN29">
        <f t="shared" si="29"/>
        <v>0</v>
      </c>
      <c r="BO29">
        <f t="shared" si="29"/>
        <v>0</v>
      </c>
      <c r="BP29" s="15">
        <v>0</v>
      </c>
    </row>
    <row r="30" spans="1:68" x14ac:dyDescent="0.25">
      <c r="A30" s="19"/>
      <c r="B30">
        <f t="shared" si="3"/>
        <v>25</v>
      </c>
      <c r="C30" t="b">
        <v>0</v>
      </c>
      <c r="D30" t="b">
        <v>0</v>
      </c>
      <c r="E30" t="b">
        <v>0</v>
      </c>
      <c r="F30" s="3" t="s">
        <v>33</v>
      </c>
      <c r="G30" s="31" t="str">
        <f>IF(MATCH(F30,F$5:F30,0)=(COUNTA(F$5:F30)),"-","Dup")</f>
        <v>-</v>
      </c>
      <c r="H30" t="str">
        <f t="shared" si="15"/>
        <v>-</v>
      </c>
      <c r="I30" t="b">
        <f t="shared" si="15"/>
        <v>0</v>
      </c>
      <c r="J30" t="b">
        <f t="shared" si="15"/>
        <v>1</v>
      </c>
      <c r="K30" t="str">
        <f t="shared" si="15"/>
        <v>-</v>
      </c>
      <c r="L30" t="str">
        <f t="shared" si="15"/>
        <v>-</v>
      </c>
      <c r="M30" t="str">
        <f t="shared" si="15"/>
        <v>-</v>
      </c>
      <c r="N30" t="str">
        <f t="shared" si="15"/>
        <v>-</v>
      </c>
      <c r="O30" t="str">
        <f t="shared" si="15"/>
        <v>-</v>
      </c>
      <c r="P30" t="str">
        <f t="shared" si="15"/>
        <v>-</v>
      </c>
      <c r="Q30" t="str">
        <f t="shared" si="15"/>
        <v>-</v>
      </c>
      <c r="R30" t="str">
        <f t="shared" si="15"/>
        <v>-</v>
      </c>
      <c r="S30" t="str">
        <f t="shared" si="15"/>
        <v>-</v>
      </c>
      <c r="T30" t="str">
        <f t="shared" si="15"/>
        <v>-</v>
      </c>
      <c r="U30" t="str">
        <f t="shared" si="15"/>
        <v>-</v>
      </c>
      <c r="V30" t="str">
        <f t="shared" si="16"/>
        <v>-</v>
      </c>
      <c r="W30" t="str">
        <f t="shared" si="16"/>
        <v>-</v>
      </c>
      <c r="X30" t="str">
        <f t="shared" si="16"/>
        <v>-</v>
      </c>
      <c r="Y30" t="str">
        <f t="shared" si="16"/>
        <v>-</v>
      </c>
      <c r="Z30" t="str">
        <f t="shared" si="16"/>
        <v>-</v>
      </c>
      <c r="AA30" t="str">
        <f t="shared" si="16"/>
        <v>-</v>
      </c>
      <c r="AB30" t="str">
        <f t="shared" si="16"/>
        <v>-</v>
      </c>
      <c r="AC30" t="str">
        <f t="shared" si="16"/>
        <v>-</v>
      </c>
      <c r="AD30" t="str">
        <f t="shared" si="16"/>
        <v>-</v>
      </c>
      <c r="AE30" t="str">
        <f t="shared" si="16"/>
        <v>-</v>
      </c>
      <c r="AF30" t="str">
        <f t="shared" si="16"/>
        <v>-</v>
      </c>
      <c r="AG30" t="str">
        <f t="shared" si="16"/>
        <v>-</v>
      </c>
      <c r="AH30" t="str">
        <f t="shared" si="16"/>
        <v>-</v>
      </c>
      <c r="AI30" t="str">
        <f t="shared" si="16"/>
        <v>-</v>
      </c>
      <c r="AJ30" t="str">
        <f t="shared" si="16"/>
        <v>-</v>
      </c>
      <c r="AK30" t="str">
        <f t="shared" si="16"/>
        <v>-</v>
      </c>
      <c r="AL30" t="str">
        <f t="shared" si="16"/>
        <v>-</v>
      </c>
      <c r="AM30" t="str">
        <f t="shared" si="16"/>
        <v>-</v>
      </c>
      <c r="AN30" t="str">
        <f t="shared" si="16"/>
        <v>-</v>
      </c>
      <c r="AO30" t="str">
        <f t="shared" si="23"/>
        <v>-</v>
      </c>
      <c r="AP30" t="str">
        <f t="shared" si="23"/>
        <v>-</v>
      </c>
      <c r="AQ30" t="str">
        <f t="shared" si="23"/>
        <v>-</v>
      </c>
      <c r="AR30" t="s">
        <v>97</v>
      </c>
      <c r="AS30" t="s">
        <v>97</v>
      </c>
      <c r="AT30" t="s">
        <v>97</v>
      </c>
      <c r="AU30">
        <f t="shared" si="7"/>
        <v>1</v>
      </c>
      <c r="AV30">
        <f t="shared" si="9"/>
        <v>1</v>
      </c>
      <c r="AW30">
        <f t="shared" si="11"/>
        <v>1</v>
      </c>
      <c r="AX30">
        <f t="shared" si="13"/>
        <v>1</v>
      </c>
      <c r="AY30">
        <f t="shared" si="17"/>
        <v>1</v>
      </c>
      <c r="AZ30">
        <f t="shared" si="19"/>
        <v>1</v>
      </c>
      <c r="BA30">
        <f t="shared" si="21"/>
        <v>1</v>
      </c>
      <c r="BB30">
        <f t="shared" si="24"/>
        <v>1</v>
      </c>
      <c r="BC30">
        <f t="shared" si="26"/>
        <v>1</v>
      </c>
      <c r="BD30">
        <f t="shared" si="28"/>
        <v>1</v>
      </c>
      <c r="BE30">
        <f t="shared" ref="BE30:BE44" si="30">BE$6</f>
        <v>1</v>
      </c>
      <c r="BF30" s="22">
        <v>0.9</v>
      </c>
      <c r="BG30">
        <f t="shared" si="27"/>
        <v>1</v>
      </c>
      <c r="BH30">
        <f t="shared" si="27"/>
        <v>1</v>
      </c>
      <c r="BI30">
        <f t="shared" si="27"/>
        <v>1</v>
      </c>
      <c r="BJ30">
        <f t="shared" si="27"/>
        <v>1</v>
      </c>
      <c r="BK30">
        <f t="shared" ref="BK30:BO44" si="31">BK$6</f>
        <v>0</v>
      </c>
      <c r="BL30">
        <f t="shared" si="31"/>
        <v>0</v>
      </c>
      <c r="BM30">
        <f t="shared" si="31"/>
        <v>0</v>
      </c>
      <c r="BN30">
        <f t="shared" si="31"/>
        <v>0</v>
      </c>
      <c r="BO30">
        <f t="shared" si="31"/>
        <v>0</v>
      </c>
      <c r="BP30" s="15">
        <v>0</v>
      </c>
    </row>
    <row r="31" spans="1:68" x14ac:dyDescent="0.25">
      <c r="A31" s="19"/>
      <c r="B31">
        <f t="shared" si="3"/>
        <v>26</v>
      </c>
      <c r="C31" t="b">
        <v>0</v>
      </c>
      <c r="D31" t="b">
        <v>0</v>
      </c>
      <c r="E31" t="b">
        <v>0</v>
      </c>
      <c r="F31" s="3" t="s">
        <v>34</v>
      </c>
      <c r="G31" s="31" t="str">
        <f>IF(MATCH(F31,F$5:F31,0)=(COUNTA(F$5:F31)),"-","Dup")</f>
        <v>-</v>
      </c>
      <c r="H31" t="str">
        <f t="shared" ref="H31:J47" si="32">H$6</f>
        <v>-</v>
      </c>
      <c r="I31" t="b">
        <f t="shared" ref="I31:AQ31" si="33">I$6</f>
        <v>0</v>
      </c>
      <c r="J31" t="b">
        <f t="shared" si="33"/>
        <v>1</v>
      </c>
      <c r="K31" t="str">
        <f t="shared" si="33"/>
        <v>-</v>
      </c>
      <c r="L31" t="str">
        <f t="shared" si="33"/>
        <v>-</v>
      </c>
      <c r="M31" t="str">
        <f t="shared" si="33"/>
        <v>-</v>
      </c>
      <c r="N31" t="str">
        <f t="shared" si="33"/>
        <v>-</v>
      </c>
      <c r="O31" t="str">
        <f t="shared" si="33"/>
        <v>-</v>
      </c>
      <c r="P31" t="str">
        <f t="shared" si="33"/>
        <v>-</v>
      </c>
      <c r="Q31" t="str">
        <f t="shared" si="33"/>
        <v>-</v>
      </c>
      <c r="R31" t="str">
        <f t="shared" si="33"/>
        <v>-</v>
      </c>
      <c r="S31" t="str">
        <f t="shared" si="33"/>
        <v>-</v>
      </c>
      <c r="T31" t="str">
        <f t="shared" si="33"/>
        <v>-</v>
      </c>
      <c r="U31" t="str">
        <f t="shared" si="33"/>
        <v>-</v>
      </c>
      <c r="V31" t="str">
        <f t="shared" si="33"/>
        <v>-</v>
      </c>
      <c r="W31" t="str">
        <f t="shared" si="33"/>
        <v>-</v>
      </c>
      <c r="X31" t="str">
        <f t="shared" si="33"/>
        <v>-</v>
      </c>
      <c r="Y31" t="str">
        <f t="shared" si="33"/>
        <v>-</v>
      </c>
      <c r="Z31" t="str">
        <f t="shared" si="33"/>
        <v>-</v>
      </c>
      <c r="AA31" t="str">
        <f t="shared" si="33"/>
        <v>-</v>
      </c>
      <c r="AB31" t="str">
        <f t="shared" si="33"/>
        <v>-</v>
      </c>
      <c r="AC31" t="str">
        <f t="shared" si="33"/>
        <v>-</v>
      </c>
      <c r="AD31" t="str">
        <f t="shared" si="33"/>
        <v>-</v>
      </c>
      <c r="AE31" t="str">
        <f t="shared" si="33"/>
        <v>-</v>
      </c>
      <c r="AF31" t="str">
        <f t="shared" si="33"/>
        <v>-</v>
      </c>
      <c r="AG31" t="str">
        <f t="shared" si="33"/>
        <v>-</v>
      </c>
      <c r="AH31" t="str">
        <f t="shared" si="33"/>
        <v>-</v>
      </c>
      <c r="AI31" t="str">
        <f t="shared" si="33"/>
        <v>-</v>
      </c>
      <c r="AJ31" t="str">
        <f t="shared" si="33"/>
        <v>-</v>
      </c>
      <c r="AK31" t="str">
        <f t="shared" si="33"/>
        <v>-</v>
      </c>
      <c r="AL31" t="str">
        <f t="shared" si="33"/>
        <v>-</v>
      </c>
      <c r="AM31" t="str">
        <f t="shared" si="33"/>
        <v>-</v>
      </c>
      <c r="AN31" t="str">
        <f t="shared" si="33"/>
        <v>-</v>
      </c>
      <c r="AO31" t="str">
        <f t="shared" si="33"/>
        <v>-</v>
      </c>
      <c r="AP31" t="str">
        <f t="shared" si="33"/>
        <v>-</v>
      </c>
      <c r="AQ31" t="str">
        <f t="shared" si="33"/>
        <v>-</v>
      </c>
      <c r="AR31" t="s">
        <v>97</v>
      </c>
      <c r="AS31" t="s">
        <v>97</v>
      </c>
      <c r="AT31" t="s">
        <v>97</v>
      </c>
      <c r="AU31">
        <f t="shared" si="7"/>
        <v>1</v>
      </c>
      <c r="AV31">
        <f t="shared" si="9"/>
        <v>1</v>
      </c>
      <c r="AW31">
        <f t="shared" si="11"/>
        <v>1</v>
      </c>
      <c r="AX31">
        <f t="shared" si="13"/>
        <v>1</v>
      </c>
      <c r="AY31">
        <f t="shared" si="17"/>
        <v>1</v>
      </c>
      <c r="AZ31">
        <f t="shared" si="19"/>
        <v>1</v>
      </c>
      <c r="BA31">
        <f t="shared" si="21"/>
        <v>1</v>
      </c>
      <c r="BB31">
        <f t="shared" si="24"/>
        <v>1</v>
      </c>
      <c r="BC31">
        <f t="shared" si="26"/>
        <v>1</v>
      </c>
      <c r="BD31">
        <f t="shared" si="28"/>
        <v>1</v>
      </c>
      <c r="BE31">
        <f t="shared" si="30"/>
        <v>1</v>
      </c>
      <c r="BF31" s="22">
        <v>1.1000000000000001</v>
      </c>
      <c r="BG31">
        <f t="shared" si="27"/>
        <v>1</v>
      </c>
      <c r="BH31">
        <f t="shared" si="27"/>
        <v>1</v>
      </c>
      <c r="BI31">
        <f t="shared" si="27"/>
        <v>1</v>
      </c>
      <c r="BJ31">
        <f t="shared" si="27"/>
        <v>1</v>
      </c>
      <c r="BK31">
        <f t="shared" si="31"/>
        <v>0</v>
      </c>
      <c r="BL31">
        <f t="shared" si="31"/>
        <v>0</v>
      </c>
      <c r="BM31">
        <f t="shared" si="31"/>
        <v>0</v>
      </c>
      <c r="BN31">
        <f t="shared" si="31"/>
        <v>0</v>
      </c>
      <c r="BO31">
        <f t="shared" si="31"/>
        <v>0</v>
      </c>
      <c r="BP31" s="15">
        <v>0</v>
      </c>
    </row>
    <row r="32" spans="1:68" x14ac:dyDescent="0.25">
      <c r="A32" s="19"/>
      <c r="B32">
        <f t="shared" si="3"/>
        <v>27</v>
      </c>
      <c r="C32" t="b">
        <v>0</v>
      </c>
      <c r="D32" t="b">
        <v>0</v>
      </c>
      <c r="E32" t="b">
        <v>0</v>
      </c>
      <c r="F32" s="3" t="s">
        <v>51</v>
      </c>
      <c r="G32" s="31" t="str">
        <f>IF(MATCH(F32,F$5:F32,0)=(COUNTA(F$5:F32)),"-","Dup")</f>
        <v>-</v>
      </c>
      <c r="H32" t="str">
        <f t="shared" si="32"/>
        <v>-</v>
      </c>
      <c r="I32" t="b">
        <f t="shared" ref="I32:AE43" si="34">I$6</f>
        <v>0</v>
      </c>
      <c r="J32" t="b">
        <f t="shared" si="34"/>
        <v>1</v>
      </c>
      <c r="K32" t="str">
        <f t="shared" si="34"/>
        <v>-</v>
      </c>
      <c r="L32" t="str">
        <f t="shared" si="34"/>
        <v>-</v>
      </c>
      <c r="M32" t="str">
        <f t="shared" si="34"/>
        <v>-</v>
      </c>
      <c r="N32" t="str">
        <f t="shared" si="34"/>
        <v>-</v>
      </c>
      <c r="O32" t="str">
        <f t="shared" si="34"/>
        <v>-</v>
      </c>
      <c r="P32" t="str">
        <f t="shared" si="34"/>
        <v>-</v>
      </c>
      <c r="Q32" t="str">
        <f t="shared" si="34"/>
        <v>-</v>
      </c>
      <c r="R32" t="str">
        <f t="shared" si="34"/>
        <v>-</v>
      </c>
      <c r="S32" t="str">
        <f t="shared" si="34"/>
        <v>-</v>
      </c>
      <c r="T32" t="str">
        <f t="shared" si="34"/>
        <v>-</v>
      </c>
      <c r="U32" t="str">
        <f t="shared" si="34"/>
        <v>-</v>
      </c>
      <c r="V32" t="str">
        <f t="shared" si="34"/>
        <v>-</v>
      </c>
      <c r="W32" t="str">
        <f t="shared" si="34"/>
        <v>-</v>
      </c>
      <c r="X32" t="str">
        <f t="shared" si="34"/>
        <v>-</v>
      </c>
      <c r="Y32" t="str">
        <f t="shared" si="34"/>
        <v>-</v>
      </c>
      <c r="Z32" t="str">
        <f t="shared" si="34"/>
        <v>-</v>
      </c>
      <c r="AA32" t="str">
        <f t="shared" si="34"/>
        <v>-</v>
      </c>
      <c r="AB32" t="str">
        <f t="shared" si="34"/>
        <v>-</v>
      </c>
      <c r="AC32" t="str">
        <f t="shared" si="34"/>
        <v>-</v>
      </c>
      <c r="AD32" t="str">
        <f t="shared" si="34"/>
        <v>-</v>
      </c>
      <c r="AE32" t="str">
        <f t="shared" si="34"/>
        <v>-</v>
      </c>
      <c r="AF32" s="22">
        <v>200</v>
      </c>
      <c r="AG32" s="22" t="b">
        <v>1</v>
      </c>
      <c r="AH32" t="str">
        <f t="shared" ref="AH32:AQ44" si="35">AH$6</f>
        <v>-</v>
      </c>
      <c r="AI32" t="str">
        <f t="shared" si="35"/>
        <v>-</v>
      </c>
      <c r="AJ32" t="str">
        <f t="shared" si="35"/>
        <v>-</v>
      </c>
      <c r="AK32" t="str">
        <f t="shared" si="35"/>
        <v>-</v>
      </c>
      <c r="AL32" t="str">
        <f t="shared" si="35"/>
        <v>-</v>
      </c>
      <c r="AM32" t="str">
        <f t="shared" si="35"/>
        <v>-</v>
      </c>
      <c r="AN32" t="str">
        <f t="shared" si="35"/>
        <v>-</v>
      </c>
      <c r="AO32" t="str">
        <f t="shared" si="35"/>
        <v>-</v>
      </c>
      <c r="AP32" t="str">
        <f t="shared" si="35"/>
        <v>-</v>
      </c>
      <c r="AQ32" t="str">
        <f t="shared" si="35"/>
        <v>-</v>
      </c>
      <c r="AR32" t="s">
        <v>97</v>
      </c>
      <c r="AS32" t="s">
        <v>97</v>
      </c>
      <c r="AT32" t="s">
        <v>97</v>
      </c>
      <c r="AU32">
        <f t="shared" si="7"/>
        <v>1</v>
      </c>
      <c r="AV32">
        <f t="shared" si="9"/>
        <v>1</v>
      </c>
      <c r="AW32">
        <f t="shared" si="11"/>
        <v>1</v>
      </c>
      <c r="AX32">
        <f t="shared" si="13"/>
        <v>1</v>
      </c>
      <c r="AY32">
        <f t="shared" si="17"/>
        <v>1</v>
      </c>
      <c r="AZ32">
        <f t="shared" si="19"/>
        <v>1</v>
      </c>
      <c r="BA32">
        <f t="shared" si="21"/>
        <v>1</v>
      </c>
      <c r="BB32">
        <f t="shared" si="24"/>
        <v>1</v>
      </c>
      <c r="BC32">
        <f t="shared" si="26"/>
        <v>1</v>
      </c>
      <c r="BD32">
        <f t="shared" si="28"/>
        <v>1</v>
      </c>
      <c r="BE32">
        <f t="shared" si="30"/>
        <v>1</v>
      </c>
      <c r="BF32">
        <f t="shared" ref="BF32:BJ44" si="36">BF$6</f>
        <v>1</v>
      </c>
      <c r="BG32">
        <f t="shared" si="36"/>
        <v>1</v>
      </c>
      <c r="BH32">
        <f t="shared" si="36"/>
        <v>1</v>
      </c>
      <c r="BI32">
        <f t="shared" si="36"/>
        <v>1</v>
      </c>
      <c r="BJ32">
        <f t="shared" si="36"/>
        <v>1</v>
      </c>
      <c r="BK32">
        <f t="shared" si="31"/>
        <v>0</v>
      </c>
      <c r="BL32">
        <f t="shared" si="31"/>
        <v>0</v>
      </c>
      <c r="BM32">
        <f t="shared" si="31"/>
        <v>0</v>
      </c>
      <c r="BN32">
        <f t="shared" si="31"/>
        <v>0</v>
      </c>
      <c r="BO32">
        <f t="shared" si="31"/>
        <v>0</v>
      </c>
      <c r="BP32" s="15">
        <v>0</v>
      </c>
    </row>
    <row r="33" spans="1:68" x14ac:dyDescent="0.25">
      <c r="A33" s="19"/>
      <c r="B33">
        <f t="shared" si="3"/>
        <v>28</v>
      </c>
      <c r="C33" t="b">
        <v>0</v>
      </c>
      <c r="D33" t="b">
        <v>0</v>
      </c>
      <c r="E33" t="b">
        <v>0</v>
      </c>
      <c r="F33" s="3" t="s">
        <v>52</v>
      </c>
      <c r="G33" s="31" t="str">
        <f>IF(MATCH(F33,F$5:F33,0)=(COUNTA(F$5:F33)),"-","Dup")</f>
        <v>-</v>
      </c>
      <c r="H33" t="str">
        <f t="shared" si="32"/>
        <v>-</v>
      </c>
      <c r="I33" t="b">
        <f t="shared" si="34"/>
        <v>0</v>
      </c>
      <c r="J33" t="b">
        <f t="shared" si="34"/>
        <v>1</v>
      </c>
      <c r="K33" t="str">
        <f t="shared" si="34"/>
        <v>-</v>
      </c>
      <c r="L33" t="str">
        <f t="shared" si="34"/>
        <v>-</v>
      </c>
      <c r="M33" t="str">
        <f t="shared" si="34"/>
        <v>-</v>
      </c>
      <c r="N33" t="str">
        <f t="shared" si="34"/>
        <v>-</v>
      </c>
      <c r="O33" t="str">
        <f t="shared" si="34"/>
        <v>-</v>
      </c>
      <c r="P33" t="str">
        <f t="shared" si="34"/>
        <v>-</v>
      </c>
      <c r="Q33" t="str">
        <f t="shared" si="34"/>
        <v>-</v>
      </c>
      <c r="R33" t="str">
        <f t="shared" si="34"/>
        <v>-</v>
      </c>
      <c r="S33" t="str">
        <f t="shared" si="34"/>
        <v>-</v>
      </c>
      <c r="T33" t="str">
        <f t="shared" si="34"/>
        <v>-</v>
      </c>
      <c r="U33" t="str">
        <f t="shared" si="34"/>
        <v>-</v>
      </c>
      <c r="V33" t="str">
        <f t="shared" si="34"/>
        <v>-</v>
      </c>
      <c r="W33" t="str">
        <f t="shared" si="34"/>
        <v>-</v>
      </c>
      <c r="X33" t="str">
        <f t="shared" si="34"/>
        <v>-</v>
      </c>
      <c r="Y33" t="str">
        <f t="shared" si="34"/>
        <v>-</v>
      </c>
      <c r="Z33" t="str">
        <f t="shared" si="34"/>
        <v>-</v>
      </c>
      <c r="AA33" t="str">
        <f t="shared" si="34"/>
        <v>-</v>
      </c>
      <c r="AB33" t="str">
        <f t="shared" si="34"/>
        <v>-</v>
      </c>
      <c r="AC33" t="str">
        <f t="shared" si="34"/>
        <v>-</v>
      </c>
      <c r="AD33" t="str">
        <f t="shared" si="34"/>
        <v>-</v>
      </c>
      <c r="AE33" t="str">
        <f t="shared" si="34"/>
        <v>-</v>
      </c>
      <c r="AF33" s="22">
        <v>800</v>
      </c>
      <c r="AG33" s="22" t="b">
        <v>1</v>
      </c>
      <c r="AH33" t="str">
        <f t="shared" si="35"/>
        <v>-</v>
      </c>
      <c r="AI33" t="str">
        <f t="shared" si="35"/>
        <v>-</v>
      </c>
      <c r="AJ33" t="str">
        <f t="shared" si="35"/>
        <v>-</v>
      </c>
      <c r="AK33" t="str">
        <f t="shared" si="35"/>
        <v>-</v>
      </c>
      <c r="AL33" t="str">
        <f t="shared" si="35"/>
        <v>-</v>
      </c>
      <c r="AM33" t="str">
        <f t="shared" si="35"/>
        <v>-</v>
      </c>
      <c r="AN33" t="str">
        <f t="shared" si="35"/>
        <v>-</v>
      </c>
      <c r="AO33" t="str">
        <f t="shared" si="35"/>
        <v>-</v>
      </c>
      <c r="AP33" t="str">
        <f t="shared" si="35"/>
        <v>-</v>
      </c>
      <c r="AQ33" t="str">
        <f t="shared" si="35"/>
        <v>-</v>
      </c>
      <c r="AR33" t="s">
        <v>97</v>
      </c>
      <c r="AS33" t="s">
        <v>97</v>
      </c>
      <c r="AT33" t="s">
        <v>97</v>
      </c>
      <c r="AU33">
        <f t="shared" si="7"/>
        <v>1</v>
      </c>
      <c r="AV33">
        <f t="shared" si="9"/>
        <v>1</v>
      </c>
      <c r="AW33">
        <f t="shared" si="11"/>
        <v>1</v>
      </c>
      <c r="AX33">
        <f t="shared" si="13"/>
        <v>1</v>
      </c>
      <c r="AY33">
        <f t="shared" si="17"/>
        <v>1</v>
      </c>
      <c r="AZ33">
        <f t="shared" si="19"/>
        <v>1</v>
      </c>
      <c r="BA33">
        <f t="shared" si="21"/>
        <v>1</v>
      </c>
      <c r="BB33">
        <f t="shared" si="24"/>
        <v>1</v>
      </c>
      <c r="BC33">
        <f t="shared" si="26"/>
        <v>1</v>
      </c>
      <c r="BD33">
        <f t="shared" si="28"/>
        <v>1</v>
      </c>
      <c r="BE33">
        <f t="shared" si="30"/>
        <v>1</v>
      </c>
      <c r="BF33">
        <f t="shared" si="36"/>
        <v>1</v>
      </c>
      <c r="BG33">
        <f t="shared" si="36"/>
        <v>1</v>
      </c>
      <c r="BH33">
        <f t="shared" si="36"/>
        <v>1</v>
      </c>
      <c r="BI33">
        <f t="shared" si="36"/>
        <v>1</v>
      </c>
      <c r="BJ33">
        <f t="shared" si="36"/>
        <v>1</v>
      </c>
      <c r="BK33">
        <f t="shared" si="31"/>
        <v>0</v>
      </c>
      <c r="BL33">
        <f t="shared" si="31"/>
        <v>0</v>
      </c>
      <c r="BM33">
        <f t="shared" si="31"/>
        <v>0</v>
      </c>
      <c r="BN33">
        <f t="shared" si="31"/>
        <v>0</v>
      </c>
      <c r="BO33">
        <f t="shared" si="31"/>
        <v>0</v>
      </c>
      <c r="BP33" s="15">
        <v>0</v>
      </c>
    </row>
    <row r="34" spans="1:68" x14ac:dyDescent="0.25">
      <c r="A34" s="19"/>
      <c r="B34">
        <f t="shared" si="3"/>
        <v>29</v>
      </c>
      <c r="C34" t="b">
        <v>0</v>
      </c>
      <c r="D34" t="b">
        <v>0</v>
      </c>
      <c r="E34" t="b">
        <v>0</v>
      </c>
      <c r="F34" s="3" t="s">
        <v>53</v>
      </c>
      <c r="G34" s="31" t="str">
        <f>IF(MATCH(F34,F$5:F34,0)=(COUNTA(F$5:F34)),"-","Dup")</f>
        <v>-</v>
      </c>
      <c r="H34" t="str">
        <f t="shared" si="32"/>
        <v>-</v>
      </c>
      <c r="I34" t="b">
        <f t="shared" si="34"/>
        <v>0</v>
      </c>
      <c r="J34" t="b">
        <f t="shared" si="34"/>
        <v>1</v>
      </c>
      <c r="K34" t="str">
        <f t="shared" si="34"/>
        <v>-</v>
      </c>
      <c r="L34" t="str">
        <f t="shared" si="34"/>
        <v>-</v>
      </c>
      <c r="M34" t="str">
        <f t="shared" si="34"/>
        <v>-</v>
      </c>
      <c r="N34" t="str">
        <f t="shared" si="34"/>
        <v>-</v>
      </c>
      <c r="O34" t="str">
        <f t="shared" si="34"/>
        <v>-</v>
      </c>
      <c r="P34" t="str">
        <f t="shared" si="34"/>
        <v>-</v>
      </c>
      <c r="Q34" t="str">
        <f t="shared" si="34"/>
        <v>-</v>
      </c>
      <c r="R34" t="str">
        <f t="shared" si="34"/>
        <v>-</v>
      </c>
      <c r="S34" t="str">
        <f t="shared" si="34"/>
        <v>-</v>
      </c>
      <c r="T34" t="str">
        <f t="shared" si="34"/>
        <v>-</v>
      </c>
      <c r="U34" t="str">
        <f t="shared" si="34"/>
        <v>-</v>
      </c>
      <c r="V34" t="str">
        <f t="shared" si="34"/>
        <v>-</v>
      </c>
      <c r="W34" t="str">
        <f t="shared" si="34"/>
        <v>-</v>
      </c>
      <c r="X34" t="str">
        <f t="shared" si="34"/>
        <v>-</v>
      </c>
      <c r="Y34" t="str">
        <f t="shared" si="34"/>
        <v>-</v>
      </c>
      <c r="Z34" t="str">
        <f t="shared" si="34"/>
        <v>-</v>
      </c>
      <c r="AA34" t="str">
        <f t="shared" si="34"/>
        <v>-</v>
      </c>
      <c r="AB34" t="str">
        <f t="shared" si="34"/>
        <v>-</v>
      </c>
      <c r="AC34" t="str">
        <f t="shared" si="34"/>
        <v>-</v>
      </c>
      <c r="AD34" t="str">
        <f t="shared" si="34"/>
        <v>-</v>
      </c>
      <c r="AE34" t="str">
        <f t="shared" si="34"/>
        <v>-</v>
      </c>
      <c r="AF34" s="22">
        <v>1200</v>
      </c>
      <c r="AG34" s="22" t="b">
        <v>1</v>
      </c>
      <c r="AH34" t="str">
        <f t="shared" si="35"/>
        <v>-</v>
      </c>
      <c r="AI34" t="str">
        <f t="shared" si="35"/>
        <v>-</v>
      </c>
      <c r="AJ34" t="str">
        <f t="shared" si="35"/>
        <v>-</v>
      </c>
      <c r="AK34" t="str">
        <f t="shared" si="35"/>
        <v>-</v>
      </c>
      <c r="AL34" t="str">
        <f t="shared" si="35"/>
        <v>-</v>
      </c>
      <c r="AM34" t="str">
        <f t="shared" si="35"/>
        <v>-</v>
      </c>
      <c r="AN34" t="str">
        <f t="shared" si="35"/>
        <v>-</v>
      </c>
      <c r="AO34" t="str">
        <f t="shared" si="35"/>
        <v>-</v>
      </c>
      <c r="AP34" t="str">
        <f t="shared" si="35"/>
        <v>-</v>
      </c>
      <c r="AQ34" t="str">
        <f t="shared" si="35"/>
        <v>-</v>
      </c>
      <c r="AR34" t="s">
        <v>97</v>
      </c>
      <c r="AS34" t="s">
        <v>97</v>
      </c>
      <c r="AT34" t="s">
        <v>97</v>
      </c>
      <c r="AU34">
        <f t="shared" si="7"/>
        <v>1</v>
      </c>
      <c r="AV34">
        <f t="shared" si="9"/>
        <v>1</v>
      </c>
      <c r="AW34">
        <f t="shared" si="11"/>
        <v>1</v>
      </c>
      <c r="AX34">
        <f t="shared" si="13"/>
        <v>1</v>
      </c>
      <c r="AY34">
        <f t="shared" si="17"/>
        <v>1</v>
      </c>
      <c r="AZ34">
        <f t="shared" si="19"/>
        <v>1</v>
      </c>
      <c r="BA34">
        <f t="shared" si="21"/>
        <v>1</v>
      </c>
      <c r="BB34">
        <f t="shared" si="24"/>
        <v>1</v>
      </c>
      <c r="BC34">
        <f t="shared" si="26"/>
        <v>1</v>
      </c>
      <c r="BD34">
        <f t="shared" si="28"/>
        <v>1</v>
      </c>
      <c r="BE34">
        <f t="shared" si="30"/>
        <v>1</v>
      </c>
      <c r="BF34">
        <f t="shared" si="36"/>
        <v>1</v>
      </c>
      <c r="BG34">
        <f t="shared" si="36"/>
        <v>1</v>
      </c>
      <c r="BH34">
        <f t="shared" si="36"/>
        <v>1</v>
      </c>
      <c r="BI34">
        <f t="shared" si="36"/>
        <v>1</v>
      </c>
      <c r="BJ34">
        <f t="shared" si="36"/>
        <v>1</v>
      </c>
      <c r="BK34">
        <f t="shared" si="31"/>
        <v>0</v>
      </c>
      <c r="BL34">
        <f t="shared" si="31"/>
        <v>0</v>
      </c>
      <c r="BM34">
        <f t="shared" si="31"/>
        <v>0</v>
      </c>
      <c r="BN34">
        <f t="shared" si="31"/>
        <v>0</v>
      </c>
      <c r="BO34">
        <f t="shared" si="31"/>
        <v>0</v>
      </c>
      <c r="BP34" s="15">
        <v>0</v>
      </c>
    </row>
    <row r="35" spans="1:68" x14ac:dyDescent="0.25">
      <c r="A35" s="19"/>
      <c r="B35">
        <f t="shared" si="3"/>
        <v>30</v>
      </c>
      <c r="C35" t="b">
        <v>0</v>
      </c>
      <c r="D35" t="b">
        <v>0</v>
      </c>
      <c r="E35" t="b">
        <v>0</v>
      </c>
      <c r="F35" s="3" t="s">
        <v>54</v>
      </c>
      <c r="G35" s="31" t="str">
        <f>IF(MATCH(F35,F$5:F35,0)=(COUNTA(F$5:F35)),"-","Dup")</f>
        <v>-</v>
      </c>
      <c r="H35" t="str">
        <f t="shared" si="32"/>
        <v>-</v>
      </c>
      <c r="I35" t="b">
        <f t="shared" si="34"/>
        <v>0</v>
      </c>
      <c r="J35" t="b">
        <f t="shared" si="34"/>
        <v>1</v>
      </c>
      <c r="K35" t="str">
        <f t="shared" si="34"/>
        <v>-</v>
      </c>
      <c r="L35" t="str">
        <f t="shared" si="34"/>
        <v>-</v>
      </c>
      <c r="M35" t="str">
        <f t="shared" si="34"/>
        <v>-</v>
      </c>
      <c r="N35" t="str">
        <f t="shared" si="34"/>
        <v>-</v>
      </c>
      <c r="O35" t="str">
        <f t="shared" si="34"/>
        <v>-</v>
      </c>
      <c r="P35" t="str">
        <f t="shared" si="34"/>
        <v>-</v>
      </c>
      <c r="Q35" t="str">
        <f t="shared" si="34"/>
        <v>-</v>
      </c>
      <c r="R35" t="str">
        <f t="shared" si="34"/>
        <v>-</v>
      </c>
      <c r="S35" t="str">
        <f t="shared" si="34"/>
        <v>-</v>
      </c>
      <c r="T35" t="str">
        <f t="shared" si="34"/>
        <v>-</v>
      </c>
      <c r="U35" t="str">
        <f t="shared" si="34"/>
        <v>-</v>
      </c>
      <c r="V35" t="str">
        <f t="shared" si="34"/>
        <v>-</v>
      </c>
      <c r="W35" t="str">
        <f t="shared" si="34"/>
        <v>-</v>
      </c>
      <c r="X35" t="str">
        <f t="shared" si="34"/>
        <v>-</v>
      </c>
      <c r="Y35" t="str">
        <f t="shared" si="34"/>
        <v>-</v>
      </c>
      <c r="Z35" t="str">
        <f t="shared" si="34"/>
        <v>-</v>
      </c>
      <c r="AA35" t="str">
        <f t="shared" si="34"/>
        <v>-</v>
      </c>
      <c r="AB35" t="str">
        <f t="shared" si="34"/>
        <v>-</v>
      </c>
      <c r="AC35" t="str">
        <f t="shared" si="34"/>
        <v>-</v>
      </c>
      <c r="AD35" t="str">
        <f t="shared" si="34"/>
        <v>-</v>
      </c>
      <c r="AE35" t="str">
        <f t="shared" si="34"/>
        <v>-</v>
      </c>
      <c r="AF35" s="22">
        <v>1600</v>
      </c>
      <c r="AG35" s="22" t="b">
        <v>1</v>
      </c>
      <c r="AH35" t="str">
        <f t="shared" si="35"/>
        <v>-</v>
      </c>
      <c r="AI35" t="str">
        <f t="shared" si="35"/>
        <v>-</v>
      </c>
      <c r="AJ35" t="str">
        <f t="shared" si="35"/>
        <v>-</v>
      </c>
      <c r="AK35" t="str">
        <f t="shared" si="35"/>
        <v>-</v>
      </c>
      <c r="AL35" t="str">
        <f t="shared" si="35"/>
        <v>-</v>
      </c>
      <c r="AM35" t="str">
        <f t="shared" si="35"/>
        <v>-</v>
      </c>
      <c r="AN35" t="str">
        <f t="shared" si="35"/>
        <v>-</v>
      </c>
      <c r="AO35" t="str">
        <f t="shared" si="35"/>
        <v>-</v>
      </c>
      <c r="AP35" t="str">
        <f t="shared" si="35"/>
        <v>-</v>
      </c>
      <c r="AQ35" t="str">
        <f t="shared" si="35"/>
        <v>-</v>
      </c>
      <c r="AR35" t="s">
        <v>97</v>
      </c>
      <c r="AS35" t="s">
        <v>97</v>
      </c>
      <c r="AT35" t="s">
        <v>97</v>
      </c>
      <c r="AU35">
        <f t="shared" si="7"/>
        <v>1</v>
      </c>
      <c r="AV35">
        <f t="shared" si="9"/>
        <v>1</v>
      </c>
      <c r="AW35">
        <f t="shared" si="11"/>
        <v>1</v>
      </c>
      <c r="AX35">
        <f t="shared" si="13"/>
        <v>1</v>
      </c>
      <c r="AY35">
        <f t="shared" si="17"/>
        <v>1</v>
      </c>
      <c r="AZ35">
        <f t="shared" si="19"/>
        <v>1</v>
      </c>
      <c r="BA35">
        <f t="shared" si="21"/>
        <v>1</v>
      </c>
      <c r="BB35">
        <f t="shared" si="24"/>
        <v>1</v>
      </c>
      <c r="BC35">
        <f t="shared" si="26"/>
        <v>1</v>
      </c>
      <c r="BD35">
        <f t="shared" si="28"/>
        <v>1</v>
      </c>
      <c r="BE35">
        <f t="shared" si="30"/>
        <v>1</v>
      </c>
      <c r="BF35">
        <f t="shared" si="36"/>
        <v>1</v>
      </c>
      <c r="BG35">
        <f t="shared" si="36"/>
        <v>1</v>
      </c>
      <c r="BH35">
        <f t="shared" si="36"/>
        <v>1</v>
      </c>
      <c r="BI35">
        <f t="shared" si="36"/>
        <v>1</v>
      </c>
      <c r="BJ35">
        <f t="shared" si="36"/>
        <v>1</v>
      </c>
      <c r="BK35">
        <f t="shared" si="31"/>
        <v>0</v>
      </c>
      <c r="BL35">
        <f t="shared" si="31"/>
        <v>0</v>
      </c>
      <c r="BM35">
        <f t="shared" si="31"/>
        <v>0</v>
      </c>
      <c r="BN35">
        <f t="shared" si="31"/>
        <v>0</v>
      </c>
      <c r="BO35">
        <f t="shared" si="31"/>
        <v>0</v>
      </c>
      <c r="BP35" s="15">
        <v>0</v>
      </c>
    </row>
    <row r="36" spans="1:68" x14ac:dyDescent="0.25">
      <c r="A36" s="19"/>
      <c r="B36">
        <f t="shared" si="3"/>
        <v>31</v>
      </c>
      <c r="C36" t="b">
        <v>0</v>
      </c>
      <c r="D36" t="b">
        <v>1</v>
      </c>
      <c r="E36" t="b">
        <v>0</v>
      </c>
      <c r="F36" s="3" t="s">
        <v>55</v>
      </c>
      <c r="G36" s="31" t="str">
        <f>IF(MATCH(F36,F$5:F36,0)=(COUNTA(F$5:F36)),"-","Dup")</f>
        <v>-</v>
      </c>
      <c r="H36" t="str">
        <f t="shared" si="32"/>
        <v>-</v>
      </c>
      <c r="I36" s="22" t="b">
        <v>1</v>
      </c>
      <c r="J36" s="22" t="b">
        <v>1</v>
      </c>
      <c r="K36" t="str">
        <f t="shared" si="34"/>
        <v>-</v>
      </c>
      <c r="L36" t="str">
        <f t="shared" si="34"/>
        <v>-</v>
      </c>
      <c r="M36" t="str">
        <f t="shared" si="34"/>
        <v>-</v>
      </c>
      <c r="N36" t="str">
        <f t="shared" ref="N36:AG38" si="37">N$6</f>
        <v>-</v>
      </c>
      <c r="O36" t="str">
        <f t="shared" si="37"/>
        <v>-</v>
      </c>
      <c r="P36" t="str">
        <f t="shared" si="37"/>
        <v>-</v>
      </c>
      <c r="Q36" t="str">
        <f t="shared" si="37"/>
        <v>-</v>
      </c>
      <c r="R36" t="str">
        <f t="shared" si="37"/>
        <v>-</v>
      </c>
      <c r="S36" t="str">
        <f t="shared" si="37"/>
        <v>-</v>
      </c>
      <c r="T36" t="str">
        <f t="shared" si="37"/>
        <v>-</v>
      </c>
      <c r="U36" t="str">
        <f t="shared" si="37"/>
        <v>-</v>
      </c>
      <c r="V36" t="str">
        <f t="shared" si="37"/>
        <v>-</v>
      </c>
      <c r="W36" t="str">
        <f t="shared" si="37"/>
        <v>-</v>
      </c>
      <c r="X36" t="str">
        <f t="shared" si="37"/>
        <v>-</v>
      </c>
      <c r="Y36" t="str">
        <f t="shared" si="37"/>
        <v>-</v>
      </c>
      <c r="Z36" t="str">
        <f t="shared" si="37"/>
        <v>-</v>
      </c>
      <c r="AA36" t="str">
        <f t="shared" si="37"/>
        <v>-</v>
      </c>
      <c r="AB36" t="str">
        <f t="shared" si="37"/>
        <v>-</v>
      </c>
      <c r="AC36" t="str">
        <f t="shared" si="37"/>
        <v>-</v>
      </c>
      <c r="AD36" t="str">
        <f t="shared" si="37"/>
        <v>-</v>
      </c>
      <c r="AE36" t="str">
        <f t="shared" si="37"/>
        <v>-</v>
      </c>
      <c r="AF36" t="str">
        <f t="shared" si="37"/>
        <v>-</v>
      </c>
      <c r="AG36" t="str">
        <f t="shared" si="37"/>
        <v>-</v>
      </c>
      <c r="AH36" t="str">
        <f t="shared" si="35"/>
        <v>-</v>
      </c>
      <c r="AI36" t="str">
        <f t="shared" si="35"/>
        <v>-</v>
      </c>
      <c r="AJ36" t="str">
        <f t="shared" si="35"/>
        <v>-</v>
      </c>
      <c r="AK36" t="str">
        <f t="shared" si="35"/>
        <v>-</v>
      </c>
      <c r="AL36" t="str">
        <f t="shared" si="35"/>
        <v>-</v>
      </c>
      <c r="AM36" t="str">
        <f t="shared" si="35"/>
        <v>-</v>
      </c>
      <c r="AN36" t="str">
        <f t="shared" si="35"/>
        <v>-</v>
      </c>
      <c r="AO36" t="str">
        <f t="shared" si="35"/>
        <v>-</v>
      </c>
      <c r="AP36" t="str">
        <f t="shared" si="35"/>
        <v>-</v>
      </c>
      <c r="AQ36" t="str">
        <f t="shared" si="35"/>
        <v>-</v>
      </c>
      <c r="AR36" t="s">
        <v>97</v>
      </c>
      <c r="AS36" t="s">
        <v>97</v>
      </c>
      <c r="AT36" t="s">
        <v>97</v>
      </c>
      <c r="AU36">
        <f t="shared" si="7"/>
        <v>1</v>
      </c>
      <c r="AV36">
        <f t="shared" si="9"/>
        <v>1</v>
      </c>
      <c r="AW36">
        <f t="shared" si="11"/>
        <v>1</v>
      </c>
      <c r="AX36">
        <f t="shared" si="13"/>
        <v>1</v>
      </c>
      <c r="AY36">
        <f t="shared" si="17"/>
        <v>1</v>
      </c>
      <c r="AZ36">
        <f t="shared" si="19"/>
        <v>1</v>
      </c>
      <c r="BA36">
        <f t="shared" si="21"/>
        <v>1</v>
      </c>
      <c r="BB36">
        <f t="shared" si="24"/>
        <v>1</v>
      </c>
      <c r="BC36">
        <f t="shared" si="26"/>
        <v>1</v>
      </c>
      <c r="BD36">
        <f t="shared" si="28"/>
        <v>1</v>
      </c>
      <c r="BE36">
        <f t="shared" si="30"/>
        <v>1</v>
      </c>
      <c r="BF36">
        <f t="shared" si="36"/>
        <v>1</v>
      </c>
      <c r="BG36">
        <f t="shared" si="36"/>
        <v>1</v>
      </c>
      <c r="BH36">
        <f t="shared" si="36"/>
        <v>1</v>
      </c>
      <c r="BI36">
        <f t="shared" si="36"/>
        <v>1</v>
      </c>
      <c r="BJ36">
        <f t="shared" si="36"/>
        <v>1</v>
      </c>
      <c r="BK36">
        <f t="shared" si="31"/>
        <v>0</v>
      </c>
      <c r="BL36">
        <f t="shared" si="31"/>
        <v>0</v>
      </c>
      <c r="BM36">
        <f t="shared" si="31"/>
        <v>0</v>
      </c>
      <c r="BN36">
        <f t="shared" si="31"/>
        <v>0</v>
      </c>
      <c r="BO36">
        <f t="shared" si="31"/>
        <v>0</v>
      </c>
      <c r="BP36" s="15">
        <v>0</v>
      </c>
    </row>
    <row r="37" spans="1:68" x14ac:dyDescent="0.25">
      <c r="A37" s="19"/>
      <c r="B37">
        <f t="shared" si="3"/>
        <v>32</v>
      </c>
      <c r="C37" t="b">
        <v>0</v>
      </c>
      <c r="D37" t="b">
        <v>1</v>
      </c>
      <c r="E37" t="b">
        <v>0</v>
      </c>
      <c r="F37" s="3" t="s">
        <v>60</v>
      </c>
      <c r="G37" s="31" t="str">
        <f>IF(MATCH(F37,F$5:F37,0)=(COUNTA(F$5:F37)),"-","Dup")</f>
        <v>-</v>
      </c>
      <c r="H37" t="str">
        <f t="shared" si="32"/>
        <v>-</v>
      </c>
      <c r="I37" s="22" t="b">
        <v>1</v>
      </c>
      <c r="J37" s="22" t="b">
        <v>0</v>
      </c>
      <c r="K37" t="str">
        <f t="shared" si="34"/>
        <v>-</v>
      </c>
      <c r="L37" t="str">
        <f t="shared" si="34"/>
        <v>-</v>
      </c>
      <c r="M37" t="str">
        <f t="shared" si="34"/>
        <v>-</v>
      </c>
      <c r="N37" t="str">
        <f t="shared" si="37"/>
        <v>-</v>
      </c>
      <c r="O37" t="str">
        <f t="shared" si="37"/>
        <v>-</v>
      </c>
      <c r="P37" t="str">
        <f t="shared" si="37"/>
        <v>-</v>
      </c>
      <c r="Q37" t="str">
        <f t="shared" si="37"/>
        <v>-</v>
      </c>
      <c r="R37" t="str">
        <f t="shared" si="37"/>
        <v>-</v>
      </c>
      <c r="S37" t="str">
        <f t="shared" si="37"/>
        <v>-</v>
      </c>
      <c r="T37" t="str">
        <f t="shared" si="37"/>
        <v>-</v>
      </c>
      <c r="U37" t="str">
        <f t="shared" si="37"/>
        <v>-</v>
      </c>
      <c r="V37" t="str">
        <f t="shared" si="37"/>
        <v>-</v>
      </c>
      <c r="W37" t="str">
        <f t="shared" si="37"/>
        <v>-</v>
      </c>
      <c r="X37" t="str">
        <f t="shared" si="37"/>
        <v>-</v>
      </c>
      <c r="Y37" t="str">
        <f t="shared" si="37"/>
        <v>-</v>
      </c>
      <c r="Z37" t="str">
        <f t="shared" si="37"/>
        <v>-</v>
      </c>
      <c r="AA37" t="str">
        <f t="shared" si="37"/>
        <v>-</v>
      </c>
      <c r="AB37" t="str">
        <f t="shared" si="37"/>
        <v>-</v>
      </c>
      <c r="AC37" t="str">
        <f t="shared" si="37"/>
        <v>-</v>
      </c>
      <c r="AD37" t="str">
        <f t="shared" si="37"/>
        <v>-</v>
      </c>
      <c r="AE37" t="str">
        <f t="shared" si="37"/>
        <v>-</v>
      </c>
      <c r="AF37" t="str">
        <f t="shared" si="37"/>
        <v>-</v>
      </c>
      <c r="AG37" t="str">
        <f t="shared" si="37"/>
        <v>-</v>
      </c>
      <c r="AH37" s="22" t="b">
        <v>1</v>
      </c>
      <c r="AI37" s="22" t="b">
        <v>0</v>
      </c>
      <c r="AJ37" s="22" t="b">
        <v>1</v>
      </c>
      <c r="AK37" t="str">
        <f t="shared" si="35"/>
        <v>-</v>
      </c>
      <c r="AL37" t="str">
        <f t="shared" si="35"/>
        <v>-</v>
      </c>
      <c r="AM37" t="str">
        <f t="shared" si="35"/>
        <v>-</v>
      </c>
      <c r="AN37" t="str">
        <f t="shared" si="35"/>
        <v>-</v>
      </c>
      <c r="AO37" t="str">
        <f t="shared" si="35"/>
        <v>-</v>
      </c>
      <c r="AP37" t="str">
        <f t="shared" si="35"/>
        <v>-</v>
      </c>
      <c r="AQ37" t="str">
        <f t="shared" si="35"/>
        <v>-</v>
      </c>
      <c r="AR37" t="s">
        <v>97</v>
      </c>
      <c r="AS37" t="s">
        <v>97</v>
      </c>
      <c r="AT37" t="s">
        <v>97</v>
      </c>
      <c r="AU37">
        <f t="shared" si="7"/>
        <v>1</v>
      </c>
      <c r="AV37">
        <f t="shared" si="9"/>
        <v>1</v>
      </c>
      <c r="AW37">
        <f t="shared" si="11"/>
        <v>1</v>
      </c>
      <c r="AX37">
        <f t="shared" si="13"/>
        <v>1</v>
      </c>
      <c r="AY37">
        <f t="shared" si="17"/>
        <v>1</v>
      </c>
      <c r="AZ37">
        <f t="shared" si="19"/>
        <v>1</v>
      </c>
      <c r="BA37">
        <f t="shared" si="21"/>
        <v>1</v>
      </c>
      <c r="BB37">
        <f t="shared" si="24"/>
        <v>1</v>
      </c>
      <c r="BC37">
        <f t="shared" si="26"/>
        <v>1</v>
      </c>
      <c r="BD37">
        <f t="shared" si="28"/>
        <v>1</v>
      </c>
      <c r="BE37">
        <f t="shared" si="30"/>
        <v>1</v>
      </c>
      <c r="BF37">
        <f t="shared" si="36"/>
        <v>1</v>
      </c>
      <c r="BG37">
        <f t="shared" si="36"/>
        <v>1</v>
      </c>
      <c r="BH37">
        <f t="shared" si="36"/>
        <v>1</v>
      </c>
      <c r="BI37">
        <f t="shared" si="36"/>
        <v>1</v>
      </c>
      <c r="BJ37">
        <f t="shared" si="36"/>
        <v>1</v>
      </c>
      <c r="BK37">
        <f t="shared" si="31"/>
        <v>0</v>
      </c>
      <c r="BL37">
        <f t="shared" si="31"/>
        <v>0</v>
      </c>
      <c r="BM37">
        <f t="shared" si="31"/>
        <v>0</v>
      </c>
      <c r="BN37">
        <f t="shared" si="31"/>
        <v>0</v>
      </c>
      <c r="BO37">
        <f t="shared" si="31"/>
        <v>0</v>
      </c>
      <c r="BP37" s="15">
        <v>0</v>
      </c>
    </row>
    <row r="38" spans="1:68" x14ac:dyDescent="0.25">
      <c r="A38" s="19"/>
      <c r="B38">
        <f t="shared" si="3"/>
        <v>33</v>
      </c>
      <c r="C38" t="b">
        <v>0</v>
      </c>
      <c r="D38" t="b">
        <v>1</v>
      </c>
      <c r="E38" t="b">
        <v>0</v>
      </c>
      <c r="F38" s="3" t="s">
        <v>61</v>
      </c>
      <c r="G38" s="31" t="str">
        <f>IF(MATCH(F38,F$5:F38,0)=(COUNTA(F$5:F38)),"-","Dup")</f>
        <v>-</v>
      </c>
      <c r="H38" t="str">
        <f t="shared" si="32"/>
        <v>-</v>
      </c>
      <c r="I38" s="22" t="b">
        <v>0</v>
      </c>
      <c r="J38" s="22" t="b">
        <v>1</v>
      </c>
      <c r="K38" t="str">
        <f t="shared" si="34"/>
        <v>-</v>
      </c>
      <c r="L38" t="str">
        <f t="shared" si="34"/>
        <v>-</v>
      </c>
      <c r="M38" t="str">
        <f t="shared" si="34"/>
        <v>-</v>
      </c>
      <c r="N38" t="str">
        <f t="shared" si="37"/>
        <v>-</v>
      </c>
      <c r="O38" t="str">
        <f t="shared" si="37"/>
        <v>-</v>
      </c>
      <c r="P38" t="str">
        <f t="shared" si="37"/>
        <v>-</v>
      </c>
      <c r="Q38" t="str">
        <f t="shared" si="37"/>
        <v>-</v>
      </c>
      <c r="R38" t="str">
        <f t="shared" si="37"/>
        <v>-</v>
      </c>
      <c r="S38" t="str">
        <f t="shared" si="37"/>
        <v>-</v>
      </c>
      <c r="T38" t="str">
        <f t="shared" si="37"/>
        <v>-</v>
      </c>
      <c r="U38" t="str">
        <f t="shared" si="37"/>
        <v>-</v>
      </c>
      <c r="V38" t="str">
        <f t="shared" si="37"/>
        <v>-</v>
      </c>
      <c r="W38" t="str">
        <f t="shared" si="37"/>
        <v>-</v>
      </c>
      <c r="X38" t="str">
        <f t="shared" si="37"/>
        <v>-</v>
      </c>
      <c r="Y38" t="str">
        <f t="shared" si="37"/>
        <v>-</v>
      </c>
      <c r="Z38" t="str">
        <f t="shared" si="37"/>
        <v>-</v>
      </c>
      <c r="AA38" t="str">
        <f t="shared" si="37"/>
        <v>-</v>
      </c>
      <c r="AB38" t="str">
        <f t="shared" si="37"/>
        <v>-</v>
      </c>
      <c r="AC38" t="str">
        <f t="shared" si="37"/>
        <v>-</v>
      </c>
      <c r="AD38" t="str">
        <f t="shared" si="37"/>
        <v>-</v>
      </c>
      <c r="AE38" t="str">
        <f t="shared" si="37"/>
        <v>-</v>
      </c>
      <c r="AF38" t="str">
        <f t="shared" si="37"/>
        <v>-</v>
      </c>
      <c r="AG38" t="str">
        <f t="shared" si="37"/>
        <v>-</v>
      </c>
      <c r="AH38" t="str">
        <f t="shared" ref="AH38:AJ39" si="38">AH$6</f>
        <v>-</v>
      </c>
      <c r="AI38" t="str">
        <f t="shared" si="38"/>
        <v>-</v>
      </c>
      <c r="AJ38" t="str">
        <f t="shared" si="38"/>
        <v>-</v>
      </c>
      <c r="AK38" t="str">
        <f t="shared" si="35"/>
        <v>-</v>
      </c>
      <c r="AL38" t="str">
        <f t="shared" si="35"/>
        <v>-</v>
      </c>
      <c r="AM38" t="str">
        <f t="shared" si="35"/>
        <v>-</v>
      </c>
      <c r="AN38" t="str">
        <f t="shared" si="35"/>
        <v>-</v>
      </c>
      <c r="AO38" t="str">
        <f t="shared" si="35"/>
        <v>-</v>
      </c>
      <c r="AP38" t="str">
        <f t="shared" si="35"/>
        <v>-</v>
      </c>
      <c r="AQ38" t="str">
        <f t="shared" si="35"/>
        <v>-</v>
      </c>
      <c r="AR38" t="s">
        <v>97</v>
      </c>
      <c r="AS38" t="s">
        <v>97</v>
      </c>
      <c r="AT38" t="s">
        <v>97</v>
      </c>
      <c r="AU38">
        <f t="shared" si="7"/>
        <v>1</v>
      </c>
      <c r="AV38">
        <f t="shared" si="9"/>
        <v>1</v>
      </c>
      <c r="AW38">
        <f t="shared" si="11"/>
        <v>1</v>
      </c>
      <c r="AX38">
        <f t="shared" si="13"/>
        <v>1</v>
      </c>
      <c r="AY38">
        <f t="shared" si="17"/>
        <v>1</v>
      </c>
      <c r="AZ38">
        <f t="shared" si="19"/>
        <v>1</v>
      </c>
      <c r="BA38">
        <f t="shared" si="21"/>
        <v>1</v>
      </c>
      <c r="BB38">
        <f t="shared" si="24"/>
        <v>1</v>
      </c>
      <c r="BC38">
        <f t="shared" si="26"/>
        <v>1</v>
      </c>
      <c r="BD38">
        <f t="shared" si="28"/>
        <v>1</v>
      </c>
      <c r="BE38">
        <f t="shared" si="30"/>
        <v>1</v>
      </c>
      <c r="BF38">
        <f t="shared" si="36"/>
        <v>1</v>
      </c>
      <c r="BG38">
        <f t="shared" si="36"/>
        <v>1</v>
      </c>
      <c r="BH38">
        <f t="shared" si="36"/>
        <v>1</v>
      </c>
      <c r="BI38">
        <f t="shared" si="36"/>
        <v>1</v>
      </c>
      <c r="BJ38">
        <f t="shared" si="36"/>
        <v>1</v>
      </c>
      <c r="BK38">
        <f t="shared" si="31"/>
        <v>0</v>
      </c>
      <c r="BL38">
        <f t="shared" si="31"/>
        <v>0</v>
      </c>
      <c r="BM38">
        <f t="shared" si="31"/>
        <v>0</v>
      </c>
      <c r="BN38">
        <f t="shared" si="31"/>
        <v>0</v>
      </c>
      <c r="BO38">
        <f t="shared" si="31"/>
        <v>0</v>
      </c>
      <c r="BP38" s="15">
        <v>0</v>
      </c>
    </row>
    <row r="39" spans="1:68" x14ac:dyDescent="0.25">
      <c r="A39" s="19"/>
      <c r="B39">
        <f t="shared" si="3"/>
        <v>34</v>
      </c>
      <c r="C39" t="b">
        <v>0</v>
      </c>
      <c r="D39" t="b">
        <v>0</v>
      </c>
      <c r="E39" t="b">
        <v>0</v>
      </c>
      <c r="F39" s="3" t="s">
        <v>59</v>
      </c>
      <c r="G39" s="31" t="str">
        <f>IF(MATCH(F39,F$5:F39,0)=(COUNTA(F$5:F39)),"-","Dup")</f>
        <v>-</v>
      </c>
      <c r="H39" t="str">
        <f t="shared" si="32"/>
        <v>-</v>
      </c>
      <c r="I39" t="b">
        <f>I$6</f>
        <v>0</v>
      </c>
      <c r="J39" t="b">
        <f>J$6</f>
        <v>1</v>
      </c>
      <c r="K39" t="str">
        <f t="shared" si="34"/>
        <v>-</v>
      </c>
      <c r="L39" t="str">
        <f t="shared" si="34"/>
        <v>-</v>
      </c>
      <c r="M39" t="str">
        <f t="shared" si="34"/>
        <v>-</v>
      </c>
      <c r="N39" t="str">
        <f>N$6</f>
        <v>-</v>
      </c>
      <c r="O39" t="str">
        <f>O$6</f>
        <v>-</v>
      </c>
      <c r="P39" s="22" t="b">
        <v>1</v>
      </c>
      <c r="Q39" t="str">
        <f t="shared" ref="Q39:AG44" si="39">Q$6</f>
        <v>-</v>
      </c>
      <c r="R39" t="str">
        <f t="shared" si="39"/>
        <v>-</v>
      </c>
      <c r="S39" t="str">
        <f t="shared" si="39"/>
        <v>-</v>
      </c>
      <c r="T39" t="str">
        <f t="shared" si="39"/>
        <v>-</v>
      </c>
      <c r="U39" t="str">
        <f t="shared" si="39"/>
        <v>-</v>
      </c>
      <c r="V39" t="str">
        <f t="shared" si="39"/>
        <v>-</v>
      </c>
      <c r="W39" t="str">
        <f t="shared" si="39"/>
        <v>-</v>
      </c>
      <c r="X39" t="str">
        <f t="shared" si="39"/>
        <v>-</v>
      </c>
      <c r="Y39" t="str">
        <f t="shared" si="39"/>
        <v>-</v>
      </c>
      <c r="Z39" t="str">
        <f t="shared" si="39"/>
        <v>-</v>
      </c>
      <c r="AA39" t="str">
        <f t="shared" si="39"/>
        <v>-</v>
      </c>
      <c r="AB39" t="str">
        <f t="shared" si="39"/>
        <v>-</v>
      </c>
      <c r="AC39" t="str">
        <f t="shared" si="39"/>
        <v>-</v>
      </c>
      <c r="AD39" t="str">
        <f t="shared" si="39"/>
        <v>-</v>
      </c>
      <c r="AE39" t="str">
        <f t="shared" si="39"/>
        <v>-</v>
      </c>
      <c r="AF39" t="str">
        <f t="shared" si="39"/>
        <v>-</v>
      </c>
      <c r="AG39" t="str">
        <f t="shared" si="39"/>
        <v>-</v>
      </c>
      <c r="AH39" t="str">
        <f t="shared" si="38"/>
        <v>-</v>
      </c>
      <c r="AI39" t="str">
        <f t="shared" si="38"/>
        <v>-</v>
      </c>
      <c r="AJ39" t="str">
        <f t="shared" si="38"/>
        <v>-</v>
      </c>
      <c r="AK39" t="str">
        <f t="shared" si="35"/>
        <v>-</v>
      </c>
      <c r="AL39" t="str">
        <f t="shared" si="35"/>
        <v>-</v>
      </c>
      <c r="AM39" t="str">
        <f t="shared" si="35"/>
        <v>-</v>
      </c>
      <c r="AN39" t="str">
        <f t="shared" si="35"/>
        <v>-</v>
      </c>
      <c r="AO39" t="str">
        <f t="shared" si="35"/>
        <v>-</v>
      </c>
      <c r="AP39" t="str">
        <f t="shared" si="35"/>
        <v>-</v>
      </c>
      <c r="AQ39" t="str">
        <f t="shared" si="35"/>
        <v>-</v>
      </c>
      <c r="AR39" t="s">
        <v>97</v>
      </c>
      <c r="AS39" t="s">
        <v>97</v>
      </c>
      <c r="AT39" t="s">
        <v>97</v>
      </c>
      <c r="AU39">
        <f t="shared" si="7"/>
        <v>1</v>
      </c>
      <c r="AV39">
        <f t="shared" si="9"/>
        <v>1</v>
      </c>
      <c r="AW39">
        <f t="shared" si="11"/>
        <v>1</v>
      </c>
      <c r="AX39">
        <f t="shared" si="13"/>
        <v>1</v>
      </c>
      <c r="AY39">
        <f t="shared" si="17"/>
        <v>1</v>
      </c>
      <c r="AZ39">
        <f t="shared" si="19"/>
        <v>1</v>
      </c>
      <c r="BA39">
        <f t="shared" si="21"/>
        <v>1</v>
      </c>
      <c r="BB39">
        <f t="shared" si="24"/>
        <v>1</v>
      </c>
      <c r="BC39">
        <f t="shared" si="26"/>
        <v>1</v>
      </c>
      <c r="BD39">
        <f t="shared" si="28"/>
        <v>1</v>
      </c>
      <c r="BE39">
        <f t="shared" si="30"/>
        <v>1</v>
      </c>
      <c r="BF39">
        <f t="shared" si="36"/>
        <v>1</v>
      </c>
      <c r="BG39">
        <f t="shared" si="36"/>
        <v>1</v>
      </c>
      <c r="BH39">
        <f t="shared" si="36"/>
        <v>1</v>
      </c>
      <c r="BI39">
        <f t="shared" si="36"/>
        <v>1</v>
      </c>
      <c r="BJ39">
        <f t="shared" si="36"/>
        <v>1</v>
      </c>
      <c r="BK39">
        <f t="shared" si="31"/>
        <v>0</v>
      </c>
      <c r="BL39">
        <f t="shared" si="31"/>
        <v>0</v>
      </c>
      <c r="BM39">
        <f t="shared" si="31"/>
        <v>0</v>
      </c>
      <c r="BN39">
        <f t="shared" si="31"/>
        <v>0</v>
      </c>
      <c r="BO39">
        <f t="shared" si="31"/>
        <v>0</v>
      </c>
      <c r="BP39" s="15">
        <v>0</v>
      </c>
    </row>
    <row r="40" spans="1:68" x14ac:dyDescent="0.25">
      <c r="A40" s="19"/>
      <c r="B40">
        <f t="shared" si="3"/>
        <v>35</v>
      </c>
      <c r="C40" t="b">
        <v>0</v>
      </c>
      <c r="D40" t="b">
        <v>1</v>
      </c>
      <c r="E40" t="b">
        <v>0</v>
      </c>
      <c r="F40" s="3" t="s">
        <v>68</v>
      </c>
      <c r="G40" s="31" t="str">
        <f>IF(MATCH(F40,F$5:F40,0)=(COUNTA(F$5:F40)),"-","Dup")</f>
        <v>-</v>
      </c>
      <c r="H40" t="str">
        <f t="shared" si="32"/>
        <v>-</v>
      </c>
      <c r="I40" s="22" t="b">
        <v>1</v>
      </c>
      <c r="J40" s="22" t="b">
        <v>0</v>
      </c>
      <c r="K40" t="str">
        <f t="shared" si="34"/>
        <v>-</v>
      </c>
      <c r="L40" t="str">
        <f t="shared" si="34"/>
        <v>-</v>
      </c>
      <c r="M40" t="str">
        <f t="shared" si="34"/>
        <v>-</v>
      </c>
      <c r="N40" t="str">
        <f t="shared" ref="N40:P44" si="40">N$6</f>
        <v>-</v>
      </c>
      <c r="O40" t="str">
        <f t="shared" si="40"/>
        <v>-</v>
      </c>
      <c r="P40" t="str">
        <f t="shared" si="40"/>
        <v>-</v>
      </c>
      <c r="Q40" t="str">
        <f t="shared" si="39"/>
        <v>-</v>
      </c>
      <c r="R40" t="str">
        <f t="shared" si="39"/>
        <v>-</v>
      </c>
      <c r="S40" t="str">
        <f t="shared" si="39"/>
        <v>-</v>
      </c>
      <c r="T40" t="str">
        <f t="shared" si="39"/>
        <v>-</v>
      </c>
      <c r="U40" t="str">
        <f t="shared" si="39"/>
        <v>-</v>
      </c>
      <c r="V40" t="str">
        <f t="shared" si="39"/>
        <v>-</v>
      </c>
      <c r="W40" t="str">
        <f t="shared" si="39"/>
        <v>-</v>
      </c>
      <c r="X40" t="str">
        <f t="shared" si="39"/>
        <v>-</v>
      </c>
      <c r="Y40" t="str">
        <f t="shared" si="39"/>
        <v>-</v>
      </c>
      <c r="Z40" t="str">
        <f t="shared" si="39"/>
        <v>-</v>
      </c>
      <c r="AA40" t="str">
        <f t="shared" si="39"/>
        <v>-</v>
      </c>
      <c r="AB40" t="str">
        <f t="shared" si="39"/>
        <v>-</v>
      </c>
      <c r="AC40" t="str">
        <f t="shared" si="39"/>
        <v>-</v>
      </c>
      <c r="AD40" t="str">
        <f t="shared" si="39"/>
        <v>-</v>
      </c>
      <c r="AE40" t="str">
        <f t="shared" si="39"/>
        <v>-</v>
      </c>
      <c r="AF40" t="str">
        <f t="shared" si="39"/>
        <v>-</v>
      </c>
      <c r="AG40" t="str">
        <f t="shared" si="39"/>
        <v>-</v>
      </c>
      <c r="AH40" s="22" t="b">
        <v>1</v>
      </c>
      <c r="AI40" s="22" t="b">
        <v>0</v>
      </c>
      <c r="AJ40" s="22" t="b">
        <v>1</v>
      </c>
      <c r="AK40" t="str">
        <f t="shared" si="35"/>
        <v>-</v>
      </c>
      <c r="AL40" t="str">
        <f t="shared" si="35"/>
        <v>-</v>
      </c>
      <c r="AM40" t="str">
        <f t="shared" si="35"/>
        <v>-</v>
      </c>
      <c r="AN40" t="str">
        <f t="shared" si="35"/>
        <v>-</v>
      </c>
      <c r="AO40" t="str">
        <f t="shared" si="35"/>
        <v>-</v>
      </c>
      <c r="AP40" t="str">
        <f t="shared" si="35"/>
        <v>-</v>
      </c>
      <c r="AQ40" t="str">
        <f t="shared" si="35"/>
        <v>-</v>
      </c>
      <c r="AR40" t="s">
        <v>97</v>
      </c>
      <c r="AS40" t="s">
        <v>97</v>
      </c>
      <c r="AT40" t="s">
        <v>97</v>
      </c>
      <c r="AU40">
        <f t="shared" si="7"/>
        <v>1</v>
      </c>
      <c r="AV40">
        <f t="shared" si="9"/>
        <v>1</v>
      </c>
      <c r="AW40">
        <f t="shared" si="11"/>
        <v>1</v>
      </c>
      <c r="AX40">
        <f t="shared" si="13"/>
        <v>1</v>
      </c>
      <c r="AY40">
        <f t="shared" si="17"/>
        <v>1</v>
      </c>
      <c r="AZ40">
        <f t="shared" si="19"/>
        <v>1</v>
      </c>
      <c r="BA40">
        <f t="shared" si="21"/>
        <v>1</v>
      </c>
      <c r="BB40">
        <f t="shared" si="24"/>
        <v>1</v>
      </c>
      <c r="BC40">
        <f t="shared" si="26"/>
        <v>1</v>
      </c>
      <c r="BD40">
        <f t="shared" si="28"/>
        <v>1</v>
      </c>
      <c r="BE40">
        <f t="shared" si="30"/>
        <v>1</v>
      </c>
      <c r="BF40">
        <f t="shared" si="36"/>
        <v>1</v>
      </c>
      <c r="BG40">
        <f t="shared" si="36"/>
        <v>1</v>
      </c>
      <c r="BH40">
        <f t="shared" si="36"/>
        <v>1</v>
      </c>
      <c r="BI40">
        <f t="shared" si="36"/>
        <v>1</v>
      </c>
      <c r="BJ40">
        <f t="shared" si="36"/>
        <v>1</v>
      </c>
      <c r="BK40">
        <f t="shared" si="31"/>
        <v>0</v>
      </c>
      <c r="BL40">
        <f t="shared" si="31"/>
        <v>0</v>
      </c>
      <c r="BM40">
        <f t="shared" si="31"/>
        <v>0</v>
      </c>
      <c r="BN40">
        <f t="shared" si="31"/>
        <v>0</v>
      </c>
      <c r="BO40">
        <f t="shared" si="31"/>
        <v>0</v>
      </c>
      <c r="BP40" s="15">
        <v>0</v>
      </c>
    </row>
    <row r="41" spans="1:68" x14ac:dyDescent="0.25">
      <c r="A41" s="19"/>
      <c r="B41">
        <f t="shared" si="3"/>
        <v>36</v>
      </c>
      <c r="C41" t="b">
        <v>0</v>
      </c>
      <c r="D41" t="b">
        <v>1</v>
      </c>
      <c r="E41" t="b">
        <v>0</v>
      </c>
      <c r="F41" s="3" t="s">
        <v>74</v>
      </c>
      <c r="G41" s="31" t="str">
        <f>IF(MATCH(F41,F$5:F41,0)=(COUNTA(F$5:F41)),"-","Dup")</f>
        <v>-</v>
      </c>
      <c r="H41" t="str">
        <f t="shared" si="32"/>
        <v>-</v>
      </c>
      <c r="I41" t="b">
        <f t="shared" si="32"/>
        <v>0</v>
      </c>
      <c r="J41" t="b">
        <f t="shared" si="32"/>
        <v>1</v>
      </c>
      <c r="K41" t="str">
        <f t="shared" si="34"/>
        <v>-</v>
      </c>
      <c r="L41" t="str">
        <f t="shared" si="34"/>
        <v>-</v>
      </c>
      <c r="M41" t="str">
        <f t="shared" si="34"/>
        <v>-</v>
      </c>
      <c r="N41" t="str">
        <f t="shared" si="40"/>
        <v>-</v>
      </c>
      <c r="O41" t="str">
        <f t="shared" si="40"/>
        <v>-</v>
      </c>
      <c r="P41" t="str">
        <f t="shared" si="40"/>
        <v>-</v>
      </c>
      <c r="Q41" t="str">
        <f t="shared" si="39"/>
        <v>-</v>
      </c>
      <c r="R41" t="str">
        <f t="shared" si="39"/>
        <v>-</v>
      </c>
      <c r="S41" t="str">
        <f t="shared" si="39"/>
        <v>-</v>
      </c>
      <c r="T41" t="str">
        <f t="shared" si="39"/>
        <v>-</v>
      </c>
      <c r="U41" t="str">
        <f t="shared" si="39"/>
        <v>-</v>
      </c>
      <c r="V41" t="str">
        <f t="shared" si="39"/>
        <v>-</v>
      </c>
      <c r="W41" t="str">
        <f t="shared" si="39"/>
        <v>-</v>
      </c>
      <c r="X41" t="str">
        <f t="shared" si="39"/>
        <v>-</v>
      </c>
      <c r="Y41" t="str">
        <f t="shared" si="39"/>
        <v>-</v>
      </c>
      <c r="Z41" t="str">
        <f t="shared" si="39"/>
        <v>-</v>
      </c>
      <c r="AA41" t="str">
        <f t="shared" si="39"/>
        <v>-</v>
      </c>
      <c r="AB41" t="str">
        <f t="shared" si="39"/>
        <v>-</v>
      </c>
      <c r="AC41" t="str">
        <f t="shared" si="39"/>
        <v>-</v>
      </c>
      <c r="AD41" t="str">
        <f t="shared" si="39"/>
        <v>-</v>
      </c>
      <c r="AE41" t="str">
        <f t="shared" si="39"/>
        <v>-</v>
      </c>
      <c r="AF41" t="str">
        <f t="shared" si="39"/>
        <v>-</v>
      </c>
      <c r="AG41" t="str">
        <f t="shared" si="39"/>
        <v>-</v>
      </c>
      <c r="AH41" s="22" t="b">
        <v>1</v>
      </c>
      <c r="AI41" s="22" t="b">
        <v>0</v>
      </c>
      <c r="AJ41" s="22" t="b">
        <v>1</v>
      </c>
      <c r="AK41" t="str">
        <f t="shared" si="35"/>
        <v>-</v>
      </c>
      <c r="AL41" t="str">
        <f t="shared" si="35"/>
        <v>-</v>
      </c>
      <c r="AM41" t="str">
        <f t="shared" si="35"/>
        <v>-</v>
      </c>
      <c r="AN41" t="str">
        <f t="shared" si="35"/>
        <v>-</v>
      </c>
      <c r="AO41" t="str">
        <f t="shared" si="35"/>
        <v>-</v>
      </c>
      <c r="AP41" t="str">
        <f t="shared" si="35"/>
        <v>-</v>
      </c>
      <c r="AQ41" t="str">
        <f t="shared" si="35"/>
        <v>-</v>
      </c>
      <c r="AR41" t="s">
        <v>97</v>
      </c>
      <c r="AS41" t="s">
        <v>97</v>
      </c>
      <c r="AT41" t="s">
        <v>97</v>
      </c>
      <c r="AU41">
        <f t="shared" si="7"/>
        <v>1</v>
      </c>
      <c r="AV41">
        <f t="shared" si="9"/>
        <v>1</v>
      </c>
      <c r="AW41">
        <f t="shared" si="11"/>
        <v>1</v>
      </c>
      <c r="AX41">
        <f t="shared" si="13"/>
        <v>1</v>
      </c>
      <c r="AY41">
        <f t="shared" si="17"/>
        <v>1</v>
      </c>
      <c r="AZ41">
        <f t="shared" si="19"/>
        <v>1</v>
      </c>
      <c r="BA41">
        <f t="shared" si="21"/>
        <v>1</v>
      </c>
      <c r="BB41">
        <f t="shared" si="24"/>
        <v>1</v>
      </c>
      <c r="BC41">
        <f t="shared" si="26"/>
        <v>1</v>
      </c>
      <c r="BD41">
        <f t="shared" si="28"/>
        <v>1</v>
      </c>
      <c r="BE41">
        <f t="shared" si="30"/>
        <v>1</v>
      </c>
      <c r="BF41">
        <f t="shared" si="36"/>
        <v>1</v>
      </c>
      <c r="BG41">
        <f t="shared" si="36"/>
        <v>1</v>
      </c>
      <c r="BH41">
        <f t="shared" si="36"/>
        <v>1</v>
      </c>
      <c r="BI41">
        <f t="shared" si="36"/>
        <v>1</v>
      </c>
      <c r="BJ41">
        <f t="shared" si="36"/>
        <v>1</v>
      </c>
      <c r="BK41">
        <f t="shared" si="31"/>
        <v>0</v>
      </c>
      <c r="BL41">
        <f t="shared" si="31"/>
        <v>0</v>
      </c>
      <c r="BM41">
        <f t="shared" si="31"/>
        <v>0</v>
      </c>
      <c r="BN41">
        <f t="shared" si="31"/>
        <v>0</v>
      </c>
      <c r="BO41">
        <f t="shared" si="31"/>
        <v>0</v>
      </c>
      <c r="BP41" s="15">
        <v>0</v>
      </c>
    </row>
    <row r="42" spans="1:68" x14ac:dyDescent="0.25">
      <c r="A42" s="19"/>
      <c r="B42">
        <f t="shared" si="3"/>
        <v>37</v>
      </c>
      <c r="C42" t="b">
        <v>0</v>
      </c>
      <c r="D42" t="b">
        <v>1</v>
      </c>
      <c r="E42" t="b">
        <v>0</v>
      </c>
      <c r="F42" s="3" t="s">
        <v>75</v>
      </c>
      <c r="G42" s="31" t="str">
        <f>IF(MATCH(F42,F$5:F42,0)=(COUNTA(F$5:F42)),"-","Dup")</f>
        <v>-</v>
      </c>
      <c r="H42" t="str">
        <f t="shared" si="32"/>
        <v>-</v>
      </c>
      <c r="I42" t="b">
        <f t="shared" si="32"/>
        <v>0</v>
      </c>
      <c r="J42" t="b">
        <f t="shared" si="32"/>
        <v>1</v>
      </c>
      <c r="K42" t="str">
        <f t="shared" si="34"/>
        <v>-</v>
      </c>
      <c r="L42" t="str">
        <f t="shared" si="34"/>
        <v>-</v>
      </c>
      <c r="M42" t="str">
        <f t="shared" si="34"/>
        <v>-</v>
      </c>
      <c r="N42" t="str">
        <f t="shared" si="40"/>
        <v>-</v>
      </c>
      <c r="O42" t="str">
        <f t="shared" si="40"/>
        <v>-</v>
      </c>
      <c r="P42" t="str">
        <f t="shared" si="40"/>
        <v>-</v>
      </c>
      <c r="Q42" t="str">
        <f t="shared" ref="Q42:R44" si="41">Q$6</f>
        <v>-</v>
      </c>
      <c r="R42" t="str">
        <f t="shared" si="41"/>
        <v>-</v>
      </c>
      <c r="S42" t="str">
        <f t="shared" si="39"/>
        <v>-</v>
      </c>
      <c r="T42" s="22">
        <v>1</v>
      </c>
      <c r="U42" s="22">
        <v>1</v>
      </c>
      <c r="V42" t="str">
        <f t="shared" si="39"/>
        <v>-</v>
      </c>
      <c r="W42" s="22">
        <v>1</v>
      </c>
      <c r="X42" s="22">
        <v>1</v>
      </c>
      <c r="Y42" t="str">
        <f t="shared" si="39"/>
        <v>-</v>
      </c>
      <c r="Z42" s="22">
        <v>1</v>
      </c>
      <c r="AA42" s="22">
        <v>1</v>
      </c>
      <c r="AB42" t="str">
        <f t="shared" si="39"/>
        <v>-</v>
      </c>
      <c r="AC42" s="22">
        <v>1</v>
      </c>
      <c r="AD42" s="22">
        <v>1</v>
      </c>
      <c r="AE42" t="str">
        <f t="shared" ref="AE42:AG44" si="42">AE$6</f>
        <v>-</v>
      </c>
      <c r="AF42" t="str">
        <f t="shared" si="42"/>
        <v>-</v>
      </c>
      <c r="AG42" t="str">
        <f t="shared" si="42"/>
        <v>-</v>
      </c>
      <c r="AH42" s="22" t="b">
        <v>1</v>
      </c>
      <c r="AI42" s="22" t="b">
        <v>0</v>
      </c>
      <c r="AJ42" s="22" t="b">
        <v>1</v>
      </c>
      <c r="AK42" t="str">
        <f t="shared" si="35"/>
        <v>-</v>
      </c>
      <c r="AL42" t="str">
        <f t="shared" si="35"/>
        <v>-</v>
      </c>
      <c r="AM42" t="str">
        <f t="shared" si="35"/>
        <v>-</v>
      </c>
      <c r="AN42" t="str">
        <f t="shared" si="35"/>
        <v>-</v>
      </c>
      <c r="AO42" t="str">
        <f t="shared" si="35"/>
        <v>-</v>
      </c>
      <c r="AP42" t="str">
        <f t="shared" si="35"/>
        <v>-</v>
      </c>
      <c r="AQ42" t="str">
        <f t="shared" si="35"/>
        <v>-</v>
      </c>
      <c r="AR42" t="s">
        <v>97</v>
      </c>
      <c r="AS42" t="s">
        <v>97</v>
      </c>
      <c r="AT42" t="s">
        <v>97</v>
      </c>
      <c r="AU42">
        <f t="shared" si="7"/>
        <v>1</v>
      </c>
      <c r="AV42">
        <f t="shared" si="9"/>
        <v>1</v>
      </c>
      <c r="AW42">
        <f t="shared" si="11"/>
        <v>1</v>
      </c>
      <c r="AX42">
        <f t="shared" si="13"/>
        <v>1</v>
      </c>
      <c r="AY42">
        <f t="shared" si="17"/>
        <v>1</v>
      </c>
      <c r="AZ42">
        <f t="shared" si="19"/>
        <v>1</v>
      </c>
      <c r="BA42">
        <f t="shared" si="21"/>
        <v>1</v>
      </c>
      <c r="BB42">
        <f t="shared" si="24"/>
        <v>1</v>
      </c>
      <c r="BC42">
        <f t="shared" si="26"/>
        <v>1</v>
      </c>
      <c r="BD42">
        <f t="shared" si="28"/>
        <v>1</v>
      </c>
      <c r="BE42">
        <f t="shared" si="30"/>
        <v>1</v>
      </c>
      <c r="BF42">
        <f t="shared" si="36"/>
        <v>1</v>
      </c>
      <c r="BG42">
        <f t="shared" si="36"/>
        <v>1</v>
      </c>
      <c r="BH42">
        <f t="shared" si="36"/>
        <v>1</v>
      </c>
      <c r="BI42">
        <f t="shared" si="36"/>
        <v>1</v>
      </c>
      <c r="BJ42">
        <f t="shared" si="36"/>
        <v>1</v>
      </c>
      <c r="BK42">
        <f t="shared" si="31"/>
        <v>0</v>
      </c>
      <c r="BL42">
        <f t="shared" si="31"/>
        <v>0</v>
      </c>
      <c r="BM42">
        <f t="shared" si="31"/>
        <v>0</v>
      </c>
      <c r="BN42">
        <f t="shared" si="31"/>
        <v>0</v>
      </c>
      <c r="BO42">
        <f t="shared" si="31"/>
        <v>0</v>
      </c>
      <c r="BP42" s="15">
        <v>0</v>
      </c>
    </row>
    <row r="43" spans="1:68" x14ac:dyDescent="0.25">
      <c r="A43" s="19"/>
      <c r="B43">
        <f t="shared" si="3"/>
        <v>38</v>
      </c>
      <c r="C43" t="b">
        <v>0</v>
      </c>
      <c r="D43" t="b">
        <v>1</v>
      </c>
      <c r="E43" t="b">
        <v>0</v>
      </c>
      <c r="F43" s="3" t="s">
        <v>77</v>
      </c>
      <c r="G43" s="31" t="str">
        <f>IF(MATCH(F43,F$5:F43,0)=(COUNTA(F$5:F43)),"-","Dup")</f>
        <v>-</v>
      </c>
      <c r="H43" t="str">
        <f t="shared" si="32"/>
        <v>-</v>
      </c>
      <c r="I43" t="b">
        <f t="shared" si="32"/>
        <v>0</v>
      </c>
      <c r="J43" t="b">
        <f t="shared" si="32"/>
        <v>1</v>
      </c>
      <c r="K43" t="str">
        <f t="shared" si="34"/>
        <v>-</v>
      </c>
      <c r="L43" t="str">
        <f t="shared" si="34"/>
        <v>-</v>
      </c>
      <c r="M43" t="str">
        <f t="shared" si="34"/>
        <v>-</v>
      </c>
      <c r="N43" t="str">
        <f t="shared" si="40"/>
        <v>-</v>
      </c>
      <c r="O43" t="str">
        <f t="shared" si="40"/>
        <v>-</v>
      </c>
      <c r="P43" t="str">
        <f t="shared" si="40"/>
        <v>-</v>
      </c>
      <c r="Q43" t="str">
        <f t="shared" si="41"/>
        <v>-</v>
      </c>
      <c r="R43" t="str">
        <f t="shared" si="41"/>
        <v>-</v>
      </c>
      <c r="S43" t="str">
        <f t="shared" si="39"/>
        <v>-</v>
      </c>
      <c r="T43" s="22">
        <v>1</v>
      </c>
      <c r="U43" s="22">
        <v>1</v>
      </c>
      <c r="V43" t="str">
        <f t="shared" si="39"/>
        <v>-</v>
      </c>
      <c r="W43" s="22">
        <v>1</v>
      </c>
      <c r="X43" s="22">
        <v>1</v>
      </c>
      <c r="Y43" t="str">
        <f t="shared" si="39"/>
        <v>-</v>
      </c>
      <c r="Z43" s="22">
        <v>1</v>
      </c>
      <c r="AA43" s="22">
        <v>1</v>
      </c>
      <c r="AB43" t="str">
        <f t="shared" si="39"/>
        <v>-</v>
      </c>
      <c r="AC43" s="22">
        <v>1</v>
      </c>
      <c r="AD43" s="22">
        <v>1</v>
      </c>
      <c r="AE43" t="str">
        <f t="shared" si="42"/>
        <v>-</v>
      </c>
      <c r="AF43" t="str">
        <f t="shared" si="42"/>
        <v>-</v>
      </c>
      <c r="AG43" t="str">
        <f t="shared" si="42"/>
        <v>-</v>
      </c>
      <c r="AH43" s="22" t="b">
        <v>1</v>
      </c>
      <c r="AI43" s="22" t="b">
        <v>0</v>
      </c>
      <c r="AJ43" s="22" t="b">
        <v>1</v>
      </c>
      <c r="AK43" t="str">
        <f t="shared" si="35"/>
        <v>-</v>
      </c>
      <c r="AL43" t="str">
        <f t="shared" si="35"/>
        <v>-</v>
      </c>
      <c r="AM43" t="str">
        <f t="shared" si="35"/>
        <v>-</v>
      </c>
      <c r="AN43" t="str">
        <f t="shared" si="35"/>
        <v>-</v>
      </c>
      <c r="AO43" t="str">
        <f t="shared" si="35"/>
        <v>-</v>
      </c>
      <c r="AP43" t="str">
        <f t="shared" si="35"/>
        <v>-</v>
      </c>
      <c r="AQ43" t="str">
        <f t="shared" si="35"/>
        <v>-</v>
      </c>
      <c r="AR43" t="s">
        <v>97</v>
      </c>
      <c r="AS43" t="s">
        <v>97</v>
      </c>
      <c r="AT43" t="s">
        <v>97</v>
      </c>
      <c r="AU43">
        <f t="shared" si="7"/>
        <v>1</v>
      </c>
      <c r="AV43">
        <f t="shared" si="9"/>
        <v>1</v>
      </c>
      <c r="AW43">
        <f t="shared" si="11"/>
        <v>1</v>
      </c>
      <c r="AX43">
        <f t="shared" si="13"/>
        <v>1</v>
      </c>
      <c r="AY43">
        <f t="shared" si="17"/>
        <v>1</v>
      </c>
      <c r="AZ43">
        <f t="shared" si="19"/>
        <v>1</v>
      </c>
      <c r="BA43">
        <f t="shared" si="21"/>
        <v>1</v>
      </c>
      <c r="BB43">
        <f t="shared" si="24"/>
        <v>1</v>
      </c>
      <c r="BC43">
        <f t="shared" si="26"/>
        <v>1</v>
      </c>
      <c r="BD43">
        <f t="shared" si="28"/>
        <v>1</v>
      </c>
      <c r="BE43">
        <f t="shared" si="30"/>
        <v>1</v>
      </c>
      <c r="BF43">
        <f t="shared" si="36"/>
        <v>1</v>
      </c>
      <c r="BG43">
        <f t="shared" si="36"/>
        <v>1</v>
      </c>
      <c r="BH43">
        <f t="shared" si="36"/>
        <v>1</v>
      </c>
      <c r="BI43">
        <f t="shared" si="36"/>
        <v>1</v>
      </c>
      <c r="BJ43">
        <f t="shared" si="36"/>
        <v>1</v>
      </c>
      <c r="BK43">
        <f t="shared" si="31"/>
        <v>0</v>
      </c>
      <c r="BL43">
        <f t="shared" si="31"/>
        <v>0</v>
      </c>
      <c r="BM43">
        <f t="shared" si="31"/>
        <v>0</v>
      </c>
      <c r="BN43">
        <f t="shared" si="31"/>
        <v>0</v>
      </c>
      <c r="BO43">
        <f t="shared" si="31"/>
        <v>0</v>
      </c>
      <c r="BP43" s="15">
        <v>0</v>
      </c>
    </row>
    <row r="44" spans="1:68" x14ac:dyDescent="0.25">
      <c r="A44" s="19"/>
      <c r="B44">
        <f t="shared" si="3"/>
        <v>39</v>
      </c>
      <c r="C44" t="b">
        <v>0</v>
      </c>
      <c r="D44" t="b">
        <v>1</v>
      </c>
      <c r="E44" t="b">
        <v>0</v>
      </c>
      <c r="F44" s="3" t="s">
        <v>76</v>
      </c>
      <c r="G44" s="31" t="str">
        <f>IF(MATCH(F44,F$5:F44,0)=(COUNTA(F$5:F44)),"-","Dup")</f>
        <v>-</v>
      </c>
      <c r="H44" t="str">
        <f t="shared" si="32"/>
        <v>-</v>
      </c>
      <c r="I44" t="b">
        <f t="shared" si="32"/>
        <v>0</v>
      </c>
      <c r="J44" t="b">
        <f t="shared" si="32"/>
        <v>1</v>
      </c>
      <c r="K44" t="str">
        <f t="shared" ref="K44:Z50" si="43">K$6</f>
        <v>-</v>
      </c>
      <c r="L44" t="str">
        <f t="shared" si="43"/>
        <v>-</v>
      </c>
      <c r="M44" t="str">
        <f t="shared" si="43"/>
        <v>-</v>
      </c>
      <c r="N44" t="str">
        <f t="shared" si="40"/>
        <v>-</v>
      </c>
      <c r="O44" t="str">
        <f t="shared" si="40"/>
        <v>-</v>
      </c>
      <c r="P44" t="str">
        <f t="shared" si="40"/>
        <v>-</v>
      </c>
      <c r="Q44" t="str">
        <f t="shared" si="41"/>
        <v>-</v>
      </c>
      <c r="R44" t="str">
        <f t="shared" si="41"/>
        <v>-</v>
      </c>
      <c r="S44" t="str">
        <f t="shared" si="39"/>
        <v>-</v>
      </c>
      <c r="T44" s="22">
        <v>1</v>
      </c>
      <c r="U44" s="22">
        <v>1</v>
      </c>
      <c r="V44" t="str">
        <f t="shared" si="39"/>
        <v>-</v>
      </c>
      <c r="W44" s="22">
        <v>1</v>
      </c>
      <c r="X44" s="22">
        <v>1</v>
      </c>
      <c r="Y44" t="str">
        <f t="shared" si="39"/>
        <v>-</v>
      </c>
      <c r="Z44" s="22">
        <v>1</v>
      </c>
      <c r="AA44" s="22">
        <v>1</v>
      </c>
      <c r="AB44" t="str">
        <f t="shared" si="39"/>
        <v>-</v>
      </c>
      <c r="AC44" s="22">
        <v>1</v>
      </c>
      <c r="AD44" s="22">
        <v>1</v>
      </c>
      <c r="AE44" t="str">
        <f t="shared" si="42"/>
        <v>-</v>
      </c>
      <c r="AF44" t="str">
        <f t="shared" si="42"/>
        <v>-</v>
      </c>
      <c r="AG44" t="str">
        <f t="shared" si="42"/>
        <v>-</v>
      </c>
      <c r="AH44" s="22" t="b">
        <v>1</v>
      </c>
      <c r="AI44" s="22" t="b">
        <v>0</v>
      </c>
      <c r="AJ44" s="22" t="b">
        <v>1</v>
      </c>
      <c r="AK44" t="str">
        <f t="shared" si="35"/>
        <v>-</v>
      </c>
      <c r="AL44" t="str">
        <f t="shared" si="35"/>
        <v>-</v>
      </c>
      <c r="AM44" t="str">
        <f t="shared" si="35"/>
        <v>-</v>
      </c>
      <c r="AN44" t="str">
        <f t="shared" si="35"/>
        <v>-</v>
      </c>
      <c r="AO44" t="str">
        <f t="shared" si="35"/>
        <v>-</v>
      </c>
      <c r="AP44" t="str">
        <f t="shared" si="35"/>
        <v>-</v>
      </c>
      <c r="AQ44" t="str">
        <f t="shared" si="35"/>
        <v>-</v>
      </c>
      <c r="AR44" t="s">
        <v>97</v>
      </c>
      <c r="AS44" t="s">
        <v>97</v>
      </c>
      <c r="AT44" t="s">
        <v>97</v>
      </c>
      <c r="AU44">
        <f t="shared" si="7"/>
        <v>1</v>
      </c>
      <c r="AV44">
        <f t="shared" si="9"/>
        <v>1</v>
      </c>
      <c r="AW44">
        <f t="shared" si="11"/>
        <v>1</v>
      </c>
      <c r="AX44">
        <f t="shared" si="13"/>
        <v>1</v>
      </c>
      <c r="AY44">
        <f t="shared" si="17"/>
        <v>1</v>
      </c>
      <c r="AZ44">
        <f t="shared" si="19"/>
        <v>1</v>
      </c>
      <c r="BA44">
        <f t="shared" si="21"/>
        <v>1</v>
      </c>
      <c r="BB44">
        <f t="shared" si="24"/>
        <v>1</v>
      </c>
      <c r="BC44">
        <f t="shared" si="26"/>
        <v>1</v>
      </c>
      <c r="BD44">
        <f t="shared" si="28"/>
        <v>1</v>
      </c>
      <c r="BE44">
        <f t="shared" si="30"/>
        <v>1</v>
      </c>
      <c r="BF44">
        <f t="shared" si="36"/>
        <v>1</v>
      </c>
      <c r="BG44">
        <f t="shared" si="36"/>
        <v>1</v>
      </c>
      <c r="BH44">
        <f t="shared" si="36"/>
        <v>1</v>
      </c>
      <c r="BI44">
        <f t="shared" si="36"/>
        <v>1</v>
      </c>
      <c r="BJ44">
        <f t="shared" si="36"/>
        <v>1</v>
      </c>
      <c r="BK44">
        <f t="shared" si="31"/>
        <v>0</v>
      </c>
      <c r="BL44">
        <f t="shared" si="31"/>
        <v>0</v>
      </c>
      <c r="BM44">
        <f t="shared" si="31"/>
        <v>0</v>
      </c>
      <c r="BN44">
        <f t="shared" si="31"/>
        <v>0</v>
      </c>
      <c r="BO44">
        <f t="shared" si="31"/>
        <v>0</v>
      </c>
      <c r="BP44" s="15">
        <v>0</v>
      </c>
    </row>
    <row r="45" spans="1:68" x14ac:dyDescent="0.25">
      <c r="A45" s="19"/>
      <c r="B45">
        <f t="shared" si="3"/>
        <v>40</v>
      </c>
      <c r="C45" t="b">
        <v>0</v>
      </c>
      <c r="D45" t="b">
        <v>1</v>
      </c>
      <c r="E45" t="b">
        <v>0</v>
      </c>
      <c r="F45" s="3" t="s">
        <v>81</v>
      </c>
      <c r="G45" s="31" t="str">
        <f>IF(MATCH(F45,F$5:F45,0)=(COUNTA(F$5:F45)),"-","Dup")</f>
        <v>-</v>
      </c>
      <c r="H45" t="str">
        <f t="shared" si="32"/>
        <v>-</v>
      </c>
      <c r="I45" t="b">
        <f t="shared" si="32"/>
        <v>0</v>
      </c>
      <c r="J45" t="b">
        <f t="shared" si="32"/>
        <v>1</v>
      </c>
      <c r="K45" t="str">
        <f t="shared" si="43"/>
        <v>-</v>
      </c>
      <c r="L45" t="str">
        <f t="shared" si="43"/>
        <v>-</v>
      </c>
      <c r="M45" t="str">
        <f t="shared" si="43"/>
        <v>-</v>
      </c>
      <c r="N45" t="str">
        <f t="shared" si="43"/>
        <v>-</v>
      </c>
      <c r="O45" t="str">
        <f t="shared" si="43"/>
        <v>-</v>
      </c>
      <c r="P45" t="str">
        <f t="shared" si="43"/>
        <v>-</v>
      </c>
      <c r="Q45" t="str">
        <f t="shared" si="43"/>
        <v>-</v>
      </c>
      <c r="R45" t="str">
        <f t="shared" si="43"/>
        <v>-</v>
      </c>
      <c r="S45" t="str">
        <f t="shared" si="43"/>
        <v>-</v>
      </c>
      <c r="T45" t="str">
        <f t="shared" si="43"/>
        <v>-</v>
      </c>
      <c r="U45" t="str">
        <f t="shared" si="43"/>
        <v>-</v>
      </c>
      <c r="V45" t="str">
        <f t="shared" si="43"/>
        <v>-</v>
      </c>
      <c r="W45" t="str">
        <f t="shared" si="43"/>
        <v>-</v>
      </c>
      <c r="X45" t="str">
        <f t="shared" si="43"/>
        <v>-</v>
      </c>
      <c r="Y45" t="str">
        <f t="shared" si="43"/>
        <v>-</v>
      </c>
      <c r="Z45" t="str">
        <f t="shared" si="43"/>
        <v>-</v>
      </c>
      <c r="AA45" t="str">
        <f t="shared" ref="L45:BO50" si="44">AA$6</f>
        <v>-</v>
      </c>
      <c r="AB45" t="str">
        <f t="shared" si="44"/>
        <v>-</v>
      </c>
      <c r="AC45" t="str">
        <f t="shared" si="44"/>
        <v>-</v>
      </c>
      <c r="AD45" t="str">
        <f t="shared" si="44"/>
        <v>-</v>
      </c>
      <c r="AE45" t="str">
        <f t="shared" si="44"/>
        <v>-</v>
      </c>
      <c r="AF45" t="str">
        <f t="shared" si="44"/>
        <v>-</v>
      </c>
      <c r="AG45" t="str">
        <f t="shared" si="44"/>
        <v>-</v>
      </c>
      <c r="AH45" t="str">
        <f t="shared" si="44"/>
        <v>-</v>
      </c>
      <c r="AI45" t="str">
        <f t="shared" si="44"/>
        <v>-</v>
      </c>
      <c r="AJ45" t="str">
        <f t="shared" si="44"/>
        <v>-</v>
      </c>
      <c r="AK45" t="str">
        <f t="shared" si="44"/>
        <v>-</v>
      </c>
      <c r="AL45" t="str">
        <f t="shared" si="44"/>
        <v>-</v>
      </c>
      <c r="AM45" t="str">
        <f t="shared" si="44"/>
        <v>-</v>
      </c>
      <c r="AN45" t="str">
        <f t="shared" si="44"/>
        <v>-</v>
      </c>
      <c r="AO45" t="str">
        <f t="shared" si="44"/>
        <v>-</v>
      </c>
      <c r="AP45" t="str">
        <f t="shared" si="44"/>
        <v>-</v>
      </c>
      <c r="AQ45" t="str">
        <f t="shared" si="44"/>
        <v>-</v>
      </c>
      <c r="AR45" t="s">
        <v>97</v>
      </c>
      <c r="AS45" t="s">
        <v>97</v>
      </c>
      <c r="AT45" t="s">
        <v>97</v>
      </c>
      <c r="AU45">
        <f t="shared" si="44"/>
        <v>1</v>
      </c>
      <c r="AV45">
        <f t="shared" si="44"/>
        <v>1</v>
      </c>
      <c r="AW45">
        <f t="shared" si="44"/>
        <v>1</v>
      </c>
      <c r="AX45">
        <f t="shared" si="44"/>
        <v>1</v>
      </c>
      <c r="AY45">
        <f t="shared" si="44"/>
        <v>1</v>
      </c>
      <c r="AZ45">
        <f t="shared" si="44"/>
        <v>1</v>
      </c>
      <c r="BA45">
        <f t="shared" si="44"/>
        <v>1</v>
      </c>
      <c r="BB45">
        <f t="shared" si="44"/>
        <v>1</v>
      </c>
      <c r="BC45">
        <f t="shared" si="44"/>
        <v>1</v>
      </c>
      <c r="BD45">
        <f t="shared" si="44"/>
        <v>1</v>
      </c>
      <c r="BE45">
        <f t="shared" si="44"/>
        <v>1</v>
      </c>
      <c r="BF45">
        <f t="shared" si="44"/>
        <v>1</v>
      </c>
      <c r="BG45">
        <f t="shared" si="44"/>
        <v>1</v>
      </c>
      <c r="BH45">
        <f t="shared" si="44"/>
        <v>1</v>
      </c>
      <c r="BI45">
        <f t="shared" si="44"/>
        <v>1</v>
      </c>
      <c r="BJ45">
        <f t="shared" si="44"/>
        <v>1</v>
      </c>
      <c r="BK45">
        <f t="shared" si="44"/>
        <v>0</v>
      </c>
      <c r="BL45">
        <f t="shared" si="44"/>
        <v>0</v>
      </c>
      <c r="BM45">
        <f t="shared" si="44"/>
        <v>0</v>
      </c>
      <c r="BN45">
        <f t="shared" si="44"/>
        <v>0</v>
      </c>
      <c r="BO45">
        <f t="shared" si="44"/>
        <v>0</v>
      </c>
      <c r="BP45" s="15">
        <v>0</v>
      </c>
    </row>
    <row r="46" spans="1:68" x14ac:dyDescent="0.25">
      <c r="A46" s="19"/>
      <c r="C46" t="b">
        <v>0</v>
      </c>
      <c r="F46" s="34" t="s">
        <v>118</v>
      </c>
      <c r="G46" s="31" t="str">
        <f>IF(MATCH(F46,F$5:F46,0)=(COUNTA(F$5:F46)),"-","Dup")</f>
        <v>-</v>
      </c>
      <c r="BP46" s="15">
        <v>0</v>
      </c>
    </row>
    <row r="47" spans="1:68" x14ac:dyDescent="0.25">
      <c r="A47" s="19"/>
      <c r="B47">
        <f t="shared" si="3"/>
        <v>42</v>
      </c>
      <c r="C47" t="b">
        <v>0</v>
      </c>
      <c r="D47" t="b">
        <v>0</v>
      </c>
      <c r="E47" t="b">
        <v>1</v>
      </c>
      <c r="F47" s="3" t="s">
        <v>98</v>
      </c>
      <c r="G47" s="31" t="str">
        <f>IF(MATCH(F47,F$5:F47,0)=(COUNTA(F$5:F47)),"-","Dup")</f>
        <v>-</v>
      </c>
      <c r="H47" t="str">
        <f t="shared" si="32"/>
        <v>-</v>
      </c>
      <c r="I47" t="b">
        <f t="shared" si="32"/>
        <v>0</v>
      </c>
      <c r="J47" t="b">
        <f t="shared" si="32"/>
        <v>1</v>
      </c>
      <c r="K47" t="str">
        <f t="shared" si="43"/>
        <v>-</v>
      </c>
      <c r="L47" t="str">
        <f t="shared" si="44"/>
        <v>-</v>
      </c>
      <c r="M47" t="str">
        <f t="shared" si="44"/>
        <v>-</v>
      </c>
      <c r="N47" t="str">
        <f t="shared" si="44"/>
        <v>-</v>
      </c>
      <c r="O47" t="str">
        <f t="shared" si="44"/>
        <v>-</v>
      </c>
      <c r="P47" t="str">
        <f t="shared" si="44"/>
        <v>-</v>
      </c>
      <c r="Q47" t="str">
        <f t="shared" si="44"/>
        <v>-</v>
      </c>
      <c r="R47" t="str">
        <f t="shared" si="44"/>
        <v>-</v>
      </c>
      <c r="S47" t="str">
        <f t="shared" si="44"/>
        <v>-</v>
      </c>
      <c r="T47" t="str">
        <f t="shared" si="44"/>
        <v>-</v>
      </c>
      <c r="U47" t="str">
        <f t="shared" si="44"/>
        <v>-</v>
      </c>
      <c r="V47" t="str">
        <f t="shared" si="44"/>
        <v>-</v>
      </c>
      <c r="W47" t="str">
        <f t="shared" si="44"/>
        <v>-</v>
      </c>
      <c r="X47" t="str">
        <f t="shared" si="44"/>
        <v>-</v>
      </c>
      <c r="Y47" t="str">
        <f t="shared" si="44"/>
        <v>-</v>
      </c>
      <c r="Z47" t="str">
        <f t="shared" si="44"/>
        <v>-</v>
      </c>
      <c r="AA47" t="str">
        <f t="shared" si="44"/>
        <v>-</v>
      </c>
      <c r="AB47" t="str">
        <f t="shared" si="44"/>
        <v>-</v>
      </c>
      <c r="AC47" t="str">
        <f t="shared" si="44"/>
        <v>-</v>
      </c>
      <c r="AD47" t="str">
        <f t="shared" si="44"/>
        <v>-</v>
      </c>
      <c r="AE47" t="str">
        <f t="shared" si="44"/>
        <v>-</v>
      </c>
      <c r="AF47" t="str">
        <f t="shared" si="44"/>
        <v>-</v>
      </c>
      <c r="AG47" t="str">
        <f t="shared" si="44"/>
        <v>-</v>
      </c>
      <c r="AH47" s="22" t="b">
        <v>1</v>
      </c>
      <c r="AI47" s="22" t="b">
        <v>1</v>
      </c>
      <c r="AJ47" s="22" t="b">
        <v>1</v>
      </c>
      <c r="AK47" t="str">
        <f t="shared" si="44"/>
        <v>-</v>
      </c>
      <c r="AL47" t="str">
        <f t="shared" si="44"/>
        <v>-</v>
      </c>
      <c r="AM47" t="str">
        <f t="shared" si="44"/>
        <v>-</v>
      </c>
      <c r="AN47" t="str">
        <f t="shared" si="44"/>
        <v>-</v>
      </c>
      <c r="AO47" s="22">
        <v>-0.5</v>
      </c>
      <c r="AP47" s="22">
        <f>$AO47+0.5</f>
        <v>0</v>
      </c>
      <c r="AQ47" s="22">
        <f>$AO47-0.5</f>
        <v>-1</v>
      </c>
      <c r="AR47" t="s">
        <v>97</v>
      </c>
      <c r="AS47" t="s">
        <v>97</v>
      </c>
      <c r="AT47" t="s">
        <v>97</v>
      </c>
      <c r="AU47">
        <f t="shared" si="44"/>
        <v>1</v>
      </c>
      <c r="AV47">
        <f t="shared" si="44"/>
        <v>1</v>
      </c>
      <c r="AW47">
        <f t="shared" si="44"/>
        <v>1</v>
      </c>
      <c r="AX47">
        <f t="shared" si="44"/>
        <v>1</v>
      </c>
      <c r="AY47">
        <f t="shared" si="44"/>
        <v>1</v>
      </c>
      <c r="AZ47">
        <f t="shared" si="44"/>
        <v>1</v>
      </c>
      <c r="BA47">
        <f t="shared" si="44"/>
        <v>1</v>
      </c>
      <c r="BB47">
        <f t="shared" si="44"/>
        <v>1</v>
      </c>
      <c r="BC47">
        <f t="shared" si="44"/>
        <v>1</v>
      </c>
      <c r="BD47">
        <f t="shared" si="44"/>
        <v>1</v>
      </c>
      <c r="BE47">
        <f t="shared" si="44"/>
        <v>1</v>
      </c>
      <c r="BF47">
        <f t="shared" si="44"/>
        <v>1</v>
      </c>
      <c r="BG47">
        <f t="shared" si="44"/>
        <v>1</v>
      </c>
      <c r="BH47">
        <f t="shared" si="44"/>
        <v>1</v>
      </c>
      <c r="BI47">
        <f t="shared" si="44"/>
        <v>1</v>
      </c>
      <c r="BJ47">
        <f t="shared" si="44"/>
        <v>1</v>
      </c>
      <c r="BK47">
        <f t="shared" si="44"/>
        <v>0</v>
      </c>
      <c r="BL47">
        <f t="shared" si="44"/>
        <v>0</v>
      </c>
      <c r="BM47">
        <f t="shared" si="44"/>
        <v>0</v>
      </c>
      <c r="BN47">
        <f t="shared" si="44"/>
        <v>0</v>
      </c>
      <c r="BO47">
        <f t="shared" si="44"/>
        <v>0</v>
      </c>
      <c r="BP47" s="15">
        <v>0</v>
      </c>
    </row>
    <row r="48" spans="1:68" x14ac:dyDescent="0.25">
      <c r="A48" s="19"/>
      <c r="B48">
        <f t="shared" si="3"/>
        <v>43</v>
      </c>
      <c r="C48" t="b">
        <v>0</v>
      </c>
      <c r="D48" t="b">
        <v>0</v>
      </c>
      <c r="E48" t="b">
        <v>1</v>
      </c>
      <c r="F48" s="3" t="s">
        <v>99</v>
      </c>
      <c r="G48" s="31" t="str">
        <f>IF(MATCH(F48,F$5:F48,0)=(COUNTA(F$5:F48)),"-","Dup")</f>
        <v>-</v>
      </c>
      <c r="H48" t="str">
        <f t="shared" ref="H48:J50" si="45">H$6</f>
        <v>-</v>
      </c>
      <c r="I48" t="b">
        <f t="shared" si="45"/>
        <v>0</v>
      </c>
      <c r="J48" t="b">
        <f t="shared" si="45"/>
        <v>1</v>
      </c>
      <c r="K48" t="str">
        <f t="shared" si="43"/>
        <v>-</v>
      </c>
      <c r="L48" t="str">
        <f t="shared" si="44"/>
        <v>-</v>
      </c>
      <c r="M48" t="str">
        <f t="shared" si="44"/>
        <v>-</v>
      </c>
      <c r="N48" t="str">
        <f t="shared" si="44"/>
        <v>-</v>
      </c>
      <c r="O48" t="str">
        <f t="shared" si="44"/>
        <v>-</v>
      </c>
      <c r="P48" t="str">
        <f t="shared" si="44"/>
        <v>-</v>
      </c>
      <c r="Q48" t="str">
        <f t="shared" si="44"/>
        <v>-</v>
      </c>
      <c r="R48" t="str">
        <f t="shared" si="44"/>
        <v>-</v>
      </c>
      <c r="S48" t="str">
        <f t="shared" si="44"/>
        <v>-</v>
      </c>
      <c r="T48" t="str">
        <f t="shared" si="44"/>
        <v>-</v>
      </c>
      <c r="U48" t="str">
        <f t="shared" si="44"/>
        <v>-</v>
      </c>
      <c r="V48" t="str">
        <f t="shared" si="44"/>
        <v>-</v>
      </c>
      <c r="W48" t="str">
        <f t="shared" si="44"/>
        <v>-</v>
      </c>
      <c r="X48" t="str">
        <f t="shared" si="44"/>
        <v>-</v>
      </c>
      <c r="Y48" t="str">
        <f t="shared" si="44"/>
        <v>-</v>
      </c>
      <c r="Z48" t="str">
        <f t="shared" si="44"/>
        <v>-</v>
      </c>
      <c r="AA48" t="str">
        <f t="shared" si="44"/>
        <v>-</v>
      </c>
      <c r="AB48" t="str">
        <f t="shared" si="44"/>
        <v>-</v>
      </c>
      <c r="AC48" t="str">
        <f t="shared" si="44"/>
        <v>-</v>
      </c>
      <c r="AD48" t="str">
        <f t="shared" si="44"/>
        <v>-</v>
      </c>
      <c r="AE48" t="str">
        <f t="shared" si="44"/>
        <v>-</v>
      </c>
      <c r="AF48" t="str">
        <f t="shared" si="44"/>
        <v>-</v>
      </c>
      <c r="AG48" t="str">
        <f t="shared" si="44"/>
        <v>-</v>
      </c>
      <c r="AH48" s="22" t="b">
        <v>1</v>
      </c>
      <c r="AI48" s="22" t="b">
        <v>1</v>
      </c>
      <c r="AJ48" s="22" t="b">
        <v>1</v>
      </c>
      <c r="AK48" t="str">
        <f t="shared" si="44"/>
        <v>-</v>
      </c>
      <c r="AL48" t="str">
        <f t="shared" si="44"/>
        <v>-</v>
      </c>
      <c r="AM48" t="str">
        <f t="shared" si="44"/>
        <v>-</v>
      </c>
      <c r="AN48" t="str">
        <f t="shared" si="44"/>
        <v>-</v>
      </c>
      <c r="AO48" s="29">
        <f>AO47</f>
        <v>-0.5</v>
      </c>
      <c r="AP48" s="22">
        <f>$AO48+1</f>
        <v>0.5</v>
      </c>
      <c r="AQ48" s="22">
        <f>$AO48-1</f>
        <v>-1.5</v>
      </c>
      <c r="AR48" t="s">
        <v>97</v>
      </c>
      <c r="AS48" t="s">
        <v>97</v>
      </c>
      <c r="AT48" t="s">
        <v>97</v>
      </c>
      <c r="AU48">
        <f t="shared" si="44"/>
        <v>1</v>
      </c>
      <c r="AV48">
        <f t="shared" si="44"/>
        <v>1</v>
      </c>
      <c r="AW48">
        <f t="shared" si="44"/>
        <v>1</v>
      </c>
      <c r="AX48">
        <f t="shared" si="44"/>
        <v>1</v>
      </c>
      <c r="AY48">
        <f t="shared" si="44"/>
        <v>1</v>
      </c>
      <c r="AZ48">
        <f t="shared" si="44"/>
        <v>1</v>
      </c>
      <c r="BA48">
        <f t="shared" si="44"/>
        <v>1</v>
      </c>
      <c r="BB48">
        <f t="shared" si="44"/>
        <v>1</v>
      </c>
      <c r="BC48">
        <f t="shared" si="44"/>
        <v>1</v>
      </c>
      <c r="BD48">
        <f t="shared" si="44"/>
        <v>1</v>
      </c>
      <c r="BE48">
        <f t="shared" si="44"/>
        <v>1</v>
      </c>
      <c r="BF48">
        <f t="shared" si="44"/>
        <v>1</v>
      </c>
      <c r="BG48">
        <f t="shared" si="44"/>
        <v>1</v>
      </c>
      <c r="BH48">
        <f t="shared" si="44"/>
        <v>1</v>
      </c>
      <c r="BI48">
        <f t="shared" si="44"/>
        <v>1</v>
      </c>
      <c r="BJ48">
        <f t="shared" si="44"/>
        <v>1</v>
      </c>
      <c r="BK48">
        <f t="shared" si="44"/>
        <v>0</v>
      </c>
      <c r="BL48">
        <f t="shared" si="44"/>
        <v>0</v>
      </c>
      <c r="BM48">
        <f t="shared" si="44"/>
        <v>0</v>
      </c>
      <c r="BN48">
        <f t="shared" si="44"/>
        <v>0</v>
      </c>
      <c r="BO48">
        <f t="shared" si="44"/>
        <v>0</v>
      </c>
      <c r="BP48" s="15">
        <v>0</v>
      </c>
    </row>
    <row r="49" spans="1:68" x14ac:dyDescent="0.25">
      <c r="A49" s="19"/>
      <c r="B49">
        <f t="shared" si="3"/>
        <v>44</v>
      </c>
      <c r="C49" t="b">
        <v>0</v>
      </c>
      <c r="D49" t="b">
        <v>0</v>
      </c>
      <c r="E49" t="b">
        <v>1</v>
      </c>
      <c r="F49" s="3" t="s">
        <v>100</v>
      </c>
      <c r="G49" s="31" t="str">
        <f>IF(MATCH(F49,F$5:F49,0)=(COUNTA(F$5:F49)),"-","Dup")</f>
        <v>-</v>
      </c>
      <c r="H49" t="str">
        <f t="shared" si="45"/>
        <v>-</v>
      </c>
      <c r="I49" t="b">
        <f t="shared" si="45"/>
        <v>0</v>
      </c>
      <c r="J49" t="b">
        <f t="shared" si="45"/>
        <v>1</v>
      </c>
      <c r="K49" t="str">
        <f t="shared" si="43"/>
        <v>-</v>
      </c>
      <c r="L49" t="str">
        <f t="shared" si="44"/>
        <v>-</v>
      </c>
      <c r="M49" t="str">
        <f t="shared" si="44"/>
        <v>-</v>
      </c>
      <c r="N49" t="str">
        <f t="shared" si="44"/>
        <v>-</v>
      </c>
      <c r="O49" t="str">
        <f t="shared" si="44"/>
        <v>-</v>
      </c>
      <c r="P49" t="str">
        <f t="shared" si="44"/>
        <v>-</v>
      </c>
      <c r="Q49" t="str">
        <f t="shared" si="44"/>
        <v>-</v>
      </c>
      <c r="R49" t="str">
        <f t="shared" si="44"/>
        <v>-</v>
      </c>
      <c r="S49" t="str">
        <f t="shared" si="44"/>
        <v>-</v>
      </c>
      <c r="T49" t="str">
        <f t="shared" si="44"/>
        <v>-</v>
      </c>
      <c r="U49" t="str">
        <f t="shared" si="44"/>
        <v>-</v>
      </c>
      <c r="V49" t="str">
        <f t="shared" si="44"/>
        <v>-</v>
      </c>
      <c r="W49" t="str">
        <f t="shared" si="44"/>
        <v>-</v>
      </c>
      <c r="X49" t="str">
        <f t="shared" si="44"/>
        <v>-</v>
      </c>
      <c r="Y49" t="str">
        <f t="shared" si="44"/>
        <v>-</v>
      </c>
      <c r="Z49" t="str">
        <f t="shared" si="44"/>
        <v>-</v>
      </c>
      <c r="AA49" t="str">
        <f t="shared" si="44"/>
        <v>-</v>
      </c>
      <c r="AB49" t="str">
        <f t="shared" si="44"/>
        <v>-</v>
      </c>
      <c r="AC49" t="str">
        <f t="shared" si="44"/>
        <v>-</v>
      </c>
      <c r="AD49" t="str">
        <f t="shared" si="44"/>
        <v>-</v>
      </c>
      <c r="AE49" t="str">
        <f t="shared" si="44"/>
        <v>-</v>
      </c>
      <c r="AF49" t="str">
        <f t="shared" si="44"/>
        <v>-</v>
      </c>
      <c r="AG49" t="str">
        <f t="shared" si="44"/>
        <v>-</v>
      </c>
      <c r="AH49" s="22" t="b">
        <v>1</v>
      </c>
      <c r="AI49" s="22" t="b">
        <v>1</v>
      </c>
      <c r="AJ49" s="22" t="b">
        <v>1</v>
      </c>
      <c r="AK49" t="str">
        <f t="shared" si="44"/>
        <v>-</v>
      </c>
      <c r="AL49" t="str">
        <f t="shared" si="44"/>
        <v>-</v>
      </c>
      <c r="AM49" t="str">
        <f t="shared" si="44"/>
        <v>-</v>
      </c>
      <c r="AN49" t="str">
        <f t="shared" si="44"/>
        <v>-</v>
      </c>
      <c r="AO49" s="29">
        <f t="shared" ref="AO49:AO50" si="46">AO48</f>
        <v>-0.5</v>
      </c>
      <c r="AP49" s="22">
        <f>$AO49+1.5</f>
        <v>1</v>
      </c>
      <c r="AQ49" s="22">
        <f>$AO49-1.5</f>
        <v>-2</v>
      </c>
      <c r="AR49" t="s">
        <v>97</v>
      </c>
      <c r="AS49" t="s">
        <v>97</v>
      </c>
      <c r="AT49" t="s">
        <v>97</v>
      </c>
      <c r="AU49">
        <f t="shared" si="44"/>
        <v>1</v>
      </c>
      <c r="AV49">
        <f t="shared" si="44"/>
        <v>1</v>
      </c>
      <c r="AW49">
        <f t="shared" si="44"/>
        <v>1</v>
      </c>
      <c r="AX49">
        <f t="shared" si="44"/>
        <v>1</v>
      </c>
      <c r="AY49">
        <f t="shared" si="44"/>
        <v>1</v>
      </c>
      <c r="AZ49">
        <f t="shared" si="44"/>
        <v>1</v>
      </c>
      <c r="BA49">
        <f t="shared" si="44"/>
        <v>1</v>
      </c>
      <c r="BB49">
        <f t="shared" si="44"/>
        <v>1</v>
      </c>
      <c r="BC49">
        <f t="shared" si="44"/>
        <v>1</v>
      </c>
      <c r="BD49">
        <f t="shared" si="44"/>
        <v>1</v>
      </c>
      <c r="BE49">
        <f t="shared" si="44"/>
        <v>1</v>
      </c>
      <c r="BF49">
        <f t="shared" si="44"/>
        <v>1</v>
      </c>
      <c r="BG49">
        <f t="shared" si="44"/>
        <v>1</v>
      </c>
      <c r="BH49">
        <f t="shared" si="44"/>
        <v>1</v>
      </c>
      <c r="BI49">
        <f t="shared" si="44"/>
        <v>1</v>
      </c>
      <c r="BJ49">
        <f t="shared" si="44"/>
        <v>1</v>
      </c>
      <c r="BK49">
        <f t="shared" si="44"/>
        <v>0</v>
      </c>
      <c r="BL49">
        <f t="shared" si="44"/>
        <v>0</v>
      </c>
      <c r="BM49">
        <f t="shared" si="44"/>
        <v>0</v>
      </c>
      <c r="BN49">
        <f t="shared" si="44"/>
        <v>0</v>
      </c>
      <c r="BO49">
        <f t="shared" si="44"/>
        <v>0</v>
      </c>
      <c r="BP49" s="15">
        <v>0</v>
      </c>
    </row>
    <row r="50" spans="1:68" x14ac:dyDescent="0.25">
      <c r="A50" s="19"/>
      <c r="B50">
        <f t="shared" si="3"/>
        <v>45</v>
      </c>
      <c r="C50" t="b">
        <v>0</v>
      </c>
      <c r="D50" t="b">
        <v>0</v>
      </c>
      <c r="E50" t="b">
        <v>1</v>
      </c>
      <c r="F50" s="3" t="s">
        <v>101</v>
      </c>
      <c r="G50" s="31" t="str">
        <f>IF(MATCH(F50,F$5:F50,0)=(COUNTA(F$5:F50)),"-","Dup")</f>
        <v>-</v>
      </c>
      <c r="H50" t="str">
        <f t="shared" si="45"/>
        <v>-</v>
      </c>
      <c r="I50" t="b">
        <f t="shared" si="45"/>
        <v>0</v>
      </c>
      <c r="J50" t="b">
        <f t="shared" si="45"/>
        <v>1</v>
      </c>
      <c r="K50" t="str">
        <f t="shared" si="43"/>
        <v>-</v>
      </c>
      <c r="L50" t="str">
        <f t="shared" si="44"/>
        <v>-</v>
      </c>
      <c r="M50" t="str">
        <f t="shared" si="44"/>
        <v>-</v>
      </c>
      <c r="N50" t="str">
        <f t="shared" si="44"/>
        <v>-</v>
      </c>
      <c r="O50" t="str">
        <f t="shared" si="44"/>
        <v>-</v>
      </c>
      <c r="P50" t="str">
        <f t="shared" si="44"/>
        <v>-</v>
      </c>
      <c r="Q50" t="str">
        <f t="shared" si="44"/>
        <v>-</v>
      </c>
      <c r="R50" t="str">
        <f t="shared" si="44"/>
        <v>-</v>
      </c>
      <c r="S50" t="str">
        <f t="shared" si="44"/>
        <v>-</v>
      </c>
      <c r="T50" t="str">
        <f t="shared" si="44"/>
        <v>-</v>
      </c>
      <c r="U50" t="str">
        <f t="shared" si="44"/>
        <v>-</v>
      </c>
      <c r="V50" t="str">
        <f t="shared" si="44"/>
        <v>-</v>
      </c>
      <c r="W50" t="str">
        <f t="shared" si="44"/>
        <v>-</v>
      </c>
      <c r="X50" t="str">
        <f t="shared" si="44"/>
        <v>-</v>
      </c>
      <c r="Y50" t="str">
        <f t="shared" si="44"/>
        <v>-</v>
      </c>
      <c r="Z50" t="str">
        <f t="shared" si="44"/>
        <v>-</v>
      </c>
      <c r="AA50" t="str">
        <f t="shared" si="44"/>
        <v>-</v>
      </c>
      <c r="AB50" t="str">
        <f t="shared" si="44"/>
        <v>-</v>
      </c>
      <c r="AC50" t="str">
        <f t="shared" si="44"/>
        <v>-</v>
      </c>
      <c r="AD50" t="str">
        <f t="shared" si="44"/>
        <v>-</v>
      </c>
      <c r="AE50" t="str">
        <f t="shared" si="44"/>
        <v>-</v>
      </c>
      <c r="AF50" t="str">
        <f t="shared" si="44"/>
        <v>-</v>
      </c>
      <c r="AG50" t="str">
        <f t="shared" si="44"/>
        <v>-</v>
      </c>
      <c r="AH50" s="22" t="b">
        <v>1</v>
      </c>
      <c r="AI50" s="22" t="b">
        <v>1</v>
      </c>
      <c r="AJ50" s="22" t="b">
        <v>1</v>
      </c>
      <c r="AK50" t="str">
        <f t="shared" si="44"/>
        <v>-</v>
      </c>
      <c r="AL50" t="str">
        <f t="shared" si="44"/>
        <v>-</v>
      </c>
      <c r="AM50" t="str">
        <f t="shared" si="44"/>
        <v>-</v>
      </c>
      <c r="AN50" t="str">
        <f t="shared" si="44"/>
        <v>-</v>
      </c>
      <c r="AO50" s="29">
        <f t="shared" si="46"/>
        <v>-0.5</v>
      </c>
      <c r="AP50" s="22">
        <f>$AO50+2</f>
        <v>1.5</v>
      </c>
      <c r="AQ50" s="22">
        <f>$AO50-2</f>
        <v>-2.5</v>
      </c>
      <c r="AR50" t="s">
        <v>97</v>
      </c>
      <c r="AS50" t="s">
        <v>97</v>
      </c>
      <c r="AT50" t="s">
        <v>97</v>
      </c>
      <c r="AU50">
        <f t="shared" si="44"/>
        <v>1</v>
      </c>
      <c r="AV50">
        <f t="shared" si="44"/>
        <v>1</v>
      </c>
      <c r="AW50">
        <f t="shared" si="44"/>
        <v>1</v>
      </c>
      <c r="AX50">
        <f t="shared" si="44"/>
        <v>1</v>
      </c>
      <c r="AY50">
        <f t="shared" si="44"/>
        <v>1</v>
      </c>
      <c r="AZ50">
        <f t="shared" si="44"/>
        <v>1</v>
      </c>
      <c r="BA50">
        <f t="shared" si="44"/>
        <v>1</v>
      </c>
      <c r="BB50">
        <f t="shared" si="44"/>
        <v>1</v>
      </c>
      <c r="BC50">
        <f t="shared" si="44"/>
        <v>1</v>
      </c>
      <c r="BD50">
        <f t="shared" si="44"/>
        <v>1</v>
      </c>
      <c r="BE50">
        <f t="shared" si="44"/>
        <v>1</v>
      </c>
      <c r="BF50">
        <f t="shared" si="44"/>
        <v>1</v>
      </c>
      <c r="BG50">
        <f t="shared" si="44"/>
        <v>1</v>
      </c>
      <c r="BH50">
        <f t="shared" si="44"/>
        <v>1</v>
      </c>
      <c r="BI50">
        <f t="shared" si="44"/>
        <v>1</v>
      </c>
      <c r="BJ50">
        <f t="shared" si="44"/>
        <v>1</v>
      </c>
      <c r="BK50">
        <f t="shared" si="44"/>
        <v>0</v>
      </c>
      <c r="BL50">
        <f t="shared" si="44"/>
        <v>0</v>
      </c>
      <c r="BM50">
        <f t="shared" si="44"/>
        <v>0</v>
      </c>
      <c r="BN50">
        <f t="shared" si="44"/>
        <v>0</v>
      </c>
      <c r="BO50">
        <f t="shared" si="44"/>
        <v>0</v>
      </c>
      <c r="BP50" s="15">
        <v>0</v>
      </c>
    </row>
    <row r="51" spans="1:68" x14ac:dyDescent="0.25">
      <c r="A51" s="19"/>
      <c r="B51">
        <f t="shared" si="3"/>
        <v>46</v>
      </c>
      <c r="C51" t="b">
        <v>0</v>
      </c>
      <c r="D51" t="b">
        <v>0</v>
      </c>
      <c r="E51" t="b">
        <v>1</v>
      </c>
      <c r="F51" s="3" t="s">
        <v>102</v>
      </c>
      <c r="G51" s="31" t="str">
        <f>IF(MATCH(F51,F$5:F51,0)=(COUNTA(F$5:F51)),"-","Dup")</f>
        <v>-</v>
      </c>
      <c r="H51" t="s">
        <v>97</v>
      </c>
      <c r="I51" t="b">
        <v>0</v>
      </c>
      <c r="J51" t="b">
        <v>1</v>
      </c>
      <c r="K51" t="s">
        <v>97</v>
      </c>
      <c r="L51" t="s">
        <v>97</v>
      </c>
      <c r="M51" t="s">
        <v>97</v>
      </c>
      <c r="N51" t="s">
        <v>97</v>
      </c>
      <c r="O51" t="s">
        <v>97</v>
      </c>
      <c r="P51" t="s">
        <v>97</v>
      </c>
      <c r="Q51" t="s">
        <v>97</v>
      </c>
      <c r="R51" t="s">
        <v>97</v>
      </c>
      <c r="S51" t="s">
        <v>97</v>
      </c>
      <c r="T51" t="s">
        <v>97</v>
      </c>
      <c r="U51" t="s">
        <v>97</v>
      </c>
      <c r="V51" t="s">
        <v>97</v>
      </c>
      <c r="W51" t="s">
        <v>97</v>
      </c>
      <c r="X51" t="s">
        <v>97</v>
      </c>
      <c r="Y51" t="s">
        <v>97</v>
      </c>
      <c r="Z51" t="s">
        <v>97</v>
      </c>
      <c r="AA51" t="s">
        <v>97</v>
      </c>
      <c r="AB51" t="s">
        <v>97</v>
      </c>
      <c r="AC51" t="s">
        <v>97</v>
      </c>
      <c r="AD51" t="s">
        <v>97</v>
      </c>
      <c r="AE51" t="s">
        <v>97</v>
      </c>
      <c r="AF51" t="s">
        <v>97</v>
      </c>
      <c r="AG51" t="s">
        <v>97</v>
      </c>
      <c r="AH51" s="22" t="b">
        <v>1</v>
      </c>
      <c r="AI51" s="22" t="b">
        <v>1</v>
      </c>
      <c r="AJ51" s="22" t="b">
        <v>1</v>
      </c>
      <c r="AK51" t="s">
        <v>97</v>
      </c>
      <c r="AL51" t="s">
        <v>97</v>
      </c>
      <c r="AM51" t="s">
        <v>97</v>
      </c>
      <c r="AN51" t="s">
        <v>97</v>
      </c>
      <c r="AO51" s="23">
        <f>AO47+0.5</f>
        <v>0</v>
      </c>
      <c r="AP51" s="23">
        <f t="shared" ref="AP51:AQ51" si="47">AP47+0.5</f>
        <v>0.5</v>
      </c>
      <c r="AQ51" s="23">
        <f t="shared" si="47"/>
        <v>-0.5</v>
      </c>
      <c r="AR51" t="s">
        <v>97</v>
      </c>
      <c r="AS51" t="s">
        <v>97</v>
      </c>
      <c r="AT51" t="s">
        <v>97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  <c r="BO51">
        <v>0</v>
      </c>
      <c r="BP51" s="15">
        <v>0</v>
      </c>
    </row>
    <row r="52" spans="1:68" x14ac:dyDescent="0.25">
      <c r="A52" s="19"/>
      <c r="B52">
        <f t="shared" si="3"/>
        <v>47</v>
      </c>
      <c r="C52" t="b">
        <v>0</v>
      </c>
      <c r="D52" t="b">
        <v>0</v>
      </c>
      <c r="E52" t="b">
        <v>1</v>
      </c>
      <c r="F52" s="3" t="s">
        <v>103</v>
      </c>
      <c r="G52" s="31" t="str">
        <f>IF(MATCH(F52,F$5:F52,0)=(COUNTA(F$5:F52)),"-","Dup")</f>
        <v>-</v>
      </c>
      <c r="H52" t="s">
        <v>97</v>
      </c>
      <c r="I52" t="b">
        <v>0</v>
      </c>
      <c r="J52" t="b">
        <v>1</v>
      </c>
      <c r="K52" t="s">
        <v>97</v>
      </c>
      <c r="L52" t="s">
        <v>97</v>
      </c>
      <c r="M52" t="s">
        <v>97</v>
      </c>
      <c r="N52" t="s">
        <v>97</v>
      </c>
      <c r="O52" t="s">
        <v>97</v>
      </c>
      <c r="P52" t="s">
        <v>97</v>
      </c>
      <c r="Q52" t="s">
        <v>97</v>
      </c>
      <c r="R52" t="s">
        <v>97</v>
      </c>
      <c r="S52" t="s">
        <v>97</v>
      </c>
      <c r="T52" t="s">
        <v>97</v>
      </c>
      <c r="U52" t="s">
        <v>97</v>
      </c>
      <c r="V52" t="s">
        <v>97</v>
      </c>
      <c r="W52" t="s">
        <v>97</v>
      </c>
      <c r="X52" t="s">
        <v>97</v>
      </c>
      <c r="Y52" t="s">
        <v>97</v>
      </c>
      <c r="Z52" t="s">
        <v>97</v>
      </c>
      <c r="AA52" t="s">
        <v>97</v>
      </c>
      <c r="AB52" t="s">
        <v>97</v>
      </c>
      <c r="AC52" t="s">
        <v>97</v>
      </c>
      <c r="AD52" t="s">
        <v>97</v>
      </c>
      <c r="AE52" t="s">
        <v>97</v>
      </c>
      <c r="AF52" t="s">
        <v>97</v>
      </c>
      <c r="AG52" t="s">
        <v>97</v>
      </c>
      <c r="AH52" s="22" t="b">
        <v>1</v>
      </c>
      <c r="AI52" s="22" t="b">
        <v>1</v>
      </c>
      <c r="AJ52" s="22" t="b">
        <v>1</v>
      </c>
      <c r="AK52" t="s">
        <v>97</v>
      </c>
      <c r="AL52" t="s">
        <v>97</v>
      </c>
      <c r="AM52" t="s">
        <v>97</v>
      </c>
      <c r="AN52" t="s">
        <v>97</v>
      </c>
      <c r="AO52" s="23">
        <f t="shared" ref="AO52:AQ52" si="48">AO48+0.5</f>
        <v>0</v>
      </c>
      <c r="AP52" s="23">
        <f t="shared" si="48"/>
        <v>1</v>
      </c>
      <c r="AQ52" s="23">
        <f t="shared" si="48"/>
        <v>-1</v>
      </c>
      <c r="AR52" t="s">
        <v>97</v>
      </c>
      <c r="AS52" t="s">
        <v>97</v>
      </c>
      <c r="AT52" t="s">
        <v>97</v>
      </c>
      <c r="AU52">
        <v>1</v>
      </c>
      <c r="AV52">
        <v>1</v>
      </c>
      <c r="AW52">
        <v>1</v>
      </c>
      <c r="AX52">
        <v>1</v>
      </c>
      <c r="AY52">
        <v>1</v>
      </c>
      <c r="AZ52">
        <v>1</v>
      </c>
      <c r="BA52">
        <v>1</v>
      </c>
      <c r="BB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I52">
        <v>1</v>
      </c>
      <c r="BJ52">
        <v>1</v>
      </c>
      <c r="BK52">
        <v>0</v>
      </c>
      <c r="BL52">
        <v>0</v>
      </c>
      <c r="BM52">
        <v>0</v>
      </c>
      <c r="BN52">
        <v>0</v>
      </c>
      <c r="BO52">
        <v>0</v>
      </c>
      <c r="BP52" s="15">
        <v>0</v>
      </c>
    </row>
    <row r="53" spans="1:68" x14ac:dyDescent="0.25">
      <c r="A53" s="19"/>
      <c r="B53">
        <f t="shared" si="3"/>
        <v>48</v>
      </c>
      <c r="C53" t="b">
        <v>0</v>
      </c>
      <c r="D53" t="b">
        <v>0</v>
      </c>
      <c r="E53" t="b">
        <v>1</v>
      </c>
      <c r="F53" s="3" t="s">
        <v>104</v>
      </c>
      <c r="G53" s="31" t="str">
        <f>IF(MATCH(F53,F$5:F53,0)=(COUNTA(F$5:F53)),"-","Dup")</f>
        <v>-</v>
      </c>
      <c r="H53" t="s">
        <v>97</v>
      </c>
      <c r="I53" t="b">
        <v>0</v>
      </c>
      <c r="J53" t="b">
        <v>1</v>
      </c>
      <c r="K53" t="s">
        <v>97</v>
      </c>
      <c r="L53" t="s">
        <v>97</v>
      </c>
      <c r="M53" t="s">
        <v>97</v>
      </c>
      <c r="N53" t="s">
        <v>97</v>
      </c>
      <c r="O53" t="s">
        <v>97</v>
      </c>
      <c r="P53" t="s">
        <v>97</v>
      </c>
      <c r="Q53" t="s">
        <v>97</v>
      </c>
      <c r="R53" t="s">
        <v>97</v>
      </c>
      <c r="S53" t="s">
        <v>97</v>
      </c>
      <c r="T53" t="s">
        <v>97</v>
      </c>
      <c r="U53" t="s">
        <v>97</v>
      </c>
      <c r="V53" t="s">
        <v>97</v>
      </c>
      <c r="W53" t="s">
        <v>97</v>
      </c>
      <c r="X53" t="s">
        <v>97</v>
      </c>
      <c r="Y53" t="s">
        <v>97</v>
      </c>
      <c r="Z53" t="s">
        <v>97</v>
      </c>
      <c r="AA53" t="s">
        <v>97</v>
      </c>
      <c r="AB53" t="s">
        <v>97</v>
      </c>
      <c r="AC53" t="s">
        <v>97</v>
      </c>
      <c r="AD53" t="s">
        <v>97</v>
      </c>
      <c r="AE53" t="s">
        <v>97</v>
      </c>
      <c r="AF53" t="s">
        <v>97</v>
      </c>
      <c r="AG53" t="s">
        <v>97</v>
      </c>
      <c r="AH53" s="22" t="b">
        <v>1</v>
      </c>
      <c r="AI53" s="22" t="b">
        <v>1</v>
      </c>
      <c r="AJ53" s="22" t="b">
        <v>1</v>
      </c>
      <c r="AK53" t="s">
        <v>97</v>
      </c>
      <c r="AL53" t="s">
        <v>97</v>
      </c>
      <c r="AM53" t="s">
        <v>97</v>
      </c>
      <c r="AN53" t="s">
        <v>97</v>
      </c>
      <c r="AO53" s="23">
        <f t="shared" ref="AO53:AQ53" si="49">AO49+0.5</f>
        <v>0</v>
      </c>
      <c r="AP53" s="23">
        <f t="shared" si="49"/>
        <v>1.5</v>
      </c>
      <c r="AQ53" s="23">
        <f t="shared" si="49"/>
        <v>-1.5</v>
      </c>
      <c r="AR53" t="s">
        <v>97</v>
      </c>
      <c r="AS53" t="s">
        <v>97</v>
      </c>
      <c r="AT53" t="s">
        <v>97</v>
      </c>
      <c r="AU53">
        <v>1</v>
      </c>
      <c r="AV53">
        <v>1</v>
      </c>
      <c r="AW53">
        <v>1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0</v>
      </c>
      <c r="BL53">
        <v>0</v>
      </c>
      <c r="BM53">
        <v>0</v>
      </c>
      <c r="BN53">
        <v>0</v>
      </c>
      <c r="BO53">
        <v>0</v>
      </c>
      <c r="BP53" s="15">
        <v>0</v>
      </c>
    </row>
    <row r="54" spans="1:68" x14ac:dyDescent="0.25">
      <c r="A54" s="19"/>
      <c r="B54">
        <f t="shared" si="3"/>
        <v>49</v>
      </c>
      <c r="C54" t="b">
        <v>0</v>
      </c>
      <c r="D54" t="b">
        <v>0</v>
      </c>
      <c r="E54" t="b">
        <v>1</v>
      </c>
      <c r="F54" s="3" t="s">
        <v>105</v>
      </c>
      <c r="G54" s="31" t="str">
        <f>IF(MATCH(F54,F$5:F54,0)=(COUNTA(F$5:F54)),"-","Dup")</f>
        <v>-</v>
      </c>
      <c r="H54" t="s">
        <v>97</v>
      </c>
      <c r="I54" t="b">
        <v>0</v>
      </c>
      <c r="J54" t="b">
        <v>1</v>
      </c>
      <c r="K54" t="s">
        <v>97</v>
      </c>
      <c r="L54" t="s">
        <v>97</v>
      </c>
      <c r="M54" t="s">
        <v>97</v>
      </c>
      <c r="N54" t="s">
        <v>97</v>
      </c>
      <c r="O54" t="s">
        <v>97</v>
      </c>
      <c r="P54" t="s">
        <v>97</v>
      </c>
      <c r="Q54" t="s">
        <v>97</v>
      </c>
      <c r="R54" t="s">
        <v>97</v>
      </c>
      <c r="S54" t="s">
        <v>97</v>
      </c>
      <c r="T54" t="s">
        <v>97</v>
      </c>
      <c r="U54" t="s">
        <v>97</v>
      </c>
      <c r="V54" t="s">
        <v>97</v>
      </c>
      <c r="W54" t="s">
        <v>97</v>
      </c>
      <c r="X54" t="s">
        <v>97</v>
      </c>
      <c r="Y54" t="s">
        <v>97</v>
      </c>
      <c r="Z54" t="s">
        <v>97</v>
      </c>
      <c r="AA54" t="s">
        <v>97</v>
      </c>
      <c r="AB54" t="s">
        <v>97</v>
      </c>
      <c r="AC54" t="s">
        <v>97</v>
      </c>
      <c r="AD54" t="s">
        <v>97</v>
      </c>
      <c r="AE54" t="s">
        <v>97</v>
      </c>
      <c r="AF54" t="s">
        <v>97</v>
      </c>
      <c r="AG54" t="s">
        <v>97</v>
      </c>
      <c r="AH54" s="22" t="b">
        <v>1</v>
      </c>
      <c r="AI54" s="22" t="b">
        <v>1</v>
      </c>
      <c r="AJ54" s="22" t="b">
        <v>1</v>
      </c>
      <c r="AK54" t="s">
        <v>97</v>
      </c>
      <c r="AL54" t="s">
        <v>97</v>
      </c>
      <c r="AM54" t="s">
        <v>97</v>
      </c>
      <c r="AN54" t="s">
        <v>97</v>
      </c>
      <c r="AO54" s="23">
        <f t="shared" ref="AO54:AQ54" si="50">AO50+0.5</f>
        <v>0</v>
      </c>
      <c r="AP54" s="23">
        <f t="shared" si="50"/>
        <v>2</v>
      </c>
      <c r="AQ54" s="23">
        <f t="shared" si="50"/>
        <v>-2</v>
      </c>
      <c r="AR54" t="s">
        <v>97</v>
      </c>
      <c r="AS54" t="s">
        <v>97</v>
      </c>
      <c r="AT54" t="s">
        <v>97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0</v>
      </c>
      <c r="BL54">
        <v>0</v>
      </c>
      <c r="BM54">
        <v>0</v>
      </c>
      <c r="BN54">
        <v>0</v>
      </c>
      <c r="BO54">
        <v>0</v>
      </c>
      <c r="BP54" s="15">
        <v>0</v>
      </c>
    </row>
    <row r="55" spans="1:68" x14ac:dyDescent="0.25">
      <c r="A55" s="19"/>
      <c r="B55">
        <f t="shared" si="3"/>
        <v>50</v>
      </c>
      <c r="C55" t="b">
        <v>0</v>
      </c>
      <c r="D55" t="b">
        <v>0</v>
      </c>
      <c r="E55" t="b">
        <v>1</v>
      </c>
      <c r="F55" s="3" t="s">
        <v>106</v>
      </c>
      <c r="G55" s="31" t="str">
        <f>IF(MATCH(F55,F$5:F55,0)=(COUNTA(F$5:F55)),"-","Dup")</f>
        <v>-</v>
      </c>
      <c r="H55" t="s">
        <v>97</v>
      </c>
      <c r="I55" t="b">
        <v>0</v>
      </c>
      <c r="J55" t="b">
        <v>1</v>
      </c>
      <c r="K55" t="s">
        <v>97</v>
      </c>
      <c r="L55" t="s">
        <v>97</v>
      </c>
      <c r="M55" t="s">
        <v>97</v>
      </c>
      <c r="N55" t="s">
        <v>97</v>
      </c>
      <c r="O55" t="s">
        <v>97</v>
      </c>
      <c r="P55" t="s">
        <v>97</v>
      </c>
      <c r="Q55" t="s">
        <v>97</v>
      </c>
      <c r="R55" t="s">
        <v>97</v>
      </c>
      <c r="S55" t="s">
        <v>97</v>
      </c>
      <c r="T55" t="s">
        <v>97</v>
      </c>
      <c r="U55" t="s">
        <v>97</v>
      </c>
      <c r="V55" t="s">
        <v>97</v>
      </c>
      <c r="W55" t="s">
        <v>97</v>
      </c>
      <c r="X55" t="s">
        <v>97</v>
      </c>
      <c r="Y55" t="s">
        <v>97</v>
      </c>
      <c r="Z55" t="s">
        <v>97</v>
      </c>
      <c r="AA55" t="s">
        <v>97</v>
      </c>
      <c r="AB55" t="s">
        <v>97</v>
      </c>
      <c r="AC55" t="s">
        <v>97</v>
      </c>
      <c r="AD55" t="s">
        <v>97</v>
      </c>
      <c r="AE55" t="s">
        <v>97</v>
      </c>
      <c r="AF55" t="s">
        <v>97</v>
      </c>
      <c r="AG55" t="s">
        <v>97</v>
      </c>
      <c r="AH55" s="22" t="b">
        <v>1</v>
      </c>
      <c r="AI55" s="22" t="b">
        <v>1</v>
      </c>
      <c r="AJ55" s="22" t="b">
        <v>1</v>
      </c>
      <c r="AK55" t="s">
        <v>97</v>
      </c>
      <c r="AL55" t="s">
        <v>97</v>
      </c>
      <c r="AM55" t="s">
        <v>97</v>
      </c>
      <c r="AN55" t="s">
        <v>97</v>
      </c>
      <c r="AO55" s="23">
        <f t="shared" ref="AO55:AQ55" si="51">AO51+0.5</f>
        <v>0.5</v>
      </c>
      <c r="AP55" s="23">
        <f t="shared" si="51"/>
        <v>1</v>
      </c>
      <c r="AQ55" s="23">
        <f t="shared" si="51"/>
        <v>0</v>
      </c>
      <c r="AR55" t="s">
        <v>97</v>
      </c>
      <c r="AS55" t="s">
        <v>97</v>
      </c>
      <c r="AT55" t="s">
        <v>97</v>
      </c>
      <c r="AU55">
        <v>1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1</v>
      </c>
      <c r="BE55">
        <v>1</v>
      </c>
      <c r="BF55">
        <v>1</v>
      </c>
      <c r="BG55">
        <v>1</v>
      </c>
      <c r="BH55">
        <v>1</v>
      </c>
      <c r="BI55">
        <v>1</v>
      </c>
      <c r="BJ55">
        <v>1</v>
      </c>
      <c r="BK55">
        <v>0</v>
      </c>
      <c r="BL55">
        <v>0</v>
      </c>
      <c r="BM55">
        <v>0</v>
      </c>
      <c r="BN55">
        <v>0</v>
      </c>
      <c r="BO55">
        <v>0</v>
      </c>
      <c r="BP55" s="15">
        <v>0</v>
      </c>
    </row>
    <row r="56" spans="1:68" x14ac:dyDescent="0.25">
      <c r="A56" s="19"/>
      <c r="B56">
        <f t="shared" si="3"/>
        <v>51</v>
      </c>
      <c r="C56" t="b">
        <v>0</v>
      </c>
      <c r="D56" t="b">
        <v>0</v>
      </c>
      <c r="E56" t="b">
        <v>1</v>
      </c>
      <c r="F56" s="3" t="s">
        <v>107</v>
      </c>
      <c r="G56" s="31" t="str">
        <f>IF(MATCH(F56,F$5:F56,0)=(COUNTA(F$5:F56)),"-","Dup")</f>
        <v>-</v>
      </c>
      <c r="H56" t="s">
        <v>97</v>
      </c>
      <c r="I56" t="b">
        <v>0</v>
      </c>
      <c r="J56" t="b">
        <v>1</v>
      </c>
      <c r="K56" t="s">
        <v>97</v>
      </c>
      <c r="L56" t="s">
        <v>97</v>
      </c>
      <c r="M56" t="s">
        <v>97</v>
      </c>
      <c r="N56" t="s">
        <v>97</v>
      </c>
      <c r="O56" t="s">
        <v>97</v>
      </c>
      <c r="P56" t="s">
        <v>97</v>
      </c>
      <c r="Q56" t="s">
        <v>97</v>
      </c>
      <c r="R56" t="s">
        <v>97</v>
      </c>
      <c r="S56" t="s">
        <v>97</v>
      </c>
      <c r="T56" t="s">
        <v>97</v>
      </c>
      <c r="U56" t="s">
        <v>97</v>
      </c>
      <c r="V56" t="s">
        <v>97</v>
      </c>
      <c r="W56" t="s">
        <v>97</v>
      </c>
      <c r="X56" t="s">
        <v>97</v>
      </c>
      <c r="Y56" t="s">
        <v>97</v>
      </c>
      <c r="Z56" t="s">
        <v>97</v>
      </c>
      <c r="AA56" t="s">
        <v>97</v>
      </c>
      <c r="AB56" t="s">
        <v>97</v>
      </c>
      <c r="AC56" t="s">
        <v>97</v>
      </c>
      <c r="AD56" t="s">
        <v>97</v>
      </c>
      <c r="AE56" t="s">
        <v>97</v>
      </c>
      <c r="AF56" t="s">
        <v>97</v>
      </c>
      <c r="AG56" t="s">
        <v>97</v>
      </c>
      <c r="AH56" s="22" t="b">
        <v>1</v>
      </c>
      <c r="AI56" s="22" t="b">
        <v>1</v>
      </c>
      <c r="AJ56" s="22" t="b">
        <v>1</v>
      </c>
      <c r="AK56" t="s">
        <v>97</v>
      </c>
      <c r="AL56" t="s">
        <v>97</v>
      </c>
      <c r="AM56" t="s">
        <v>97</v>
      </c>
      <c r="AN56" t="s">
        <v>97</v>
      </c>
      <c r="AO56" s="23">
        <f t="shared" ref="AO56:AQ56" si="52">AO52+0.5</f>
        <v>0.5</v>
      </c>
      <c r="AP56" s="23">
        <f t="shared" si="52"/>
        <v>1.5</v>
      </c>
      <c r="AQ56" s="23">
        <f t="shared" si="52"/>
        <v>-0.5</v>
      </c>
      <c r="AR56" t="s">
        <v>97</v>
      </c>
      <c r="AS56" t="s">
        <v>97</v>
      </c>
      <c r="AT56" t="s">
        <v>97</v>
      </c>
      <c r="AU56">
        <v>1</v>
      </c>
      <c r="AV56">
        <v>1</v>
      </c>
      <c r="AW56">
        <v>1</v>
      </c>
      <c r="AX56">
        <v>1</v>
      </c>
      <c r="AY56">
        <v>1</v>
      </c>
      <c r="AZ56">
        <v>1</v>
      </c>
      <c r="BA56">
        <v>1</v>
      </c>
      <c r="BB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0</v>
      </c>
      <c r="BL56">
        <v>0</v>
      </c>
      <c r="BM56">
        <v>0</v>
      </c>
      <c r="BN56">
        <v>0</v>
      </c>
      <c r="BO56">
        <v>0</v>
      </c>
      <c r="BP56" s="15">
        <v>0</v>
      </c>
    </row>
    <row r="57" spans="1:68" x14ac:dyDescent="0.25">
      <c r="A57" s="19"/>
      <c r="B57">
        <f t="shared" si="3"/>
        <v>52</v>
      </c>
      <c r="C57" t="b">
        <v>0</v>
      </c>
      <c r="D57" t="b">
        <v>0</v>
      </c>
      <c r="E57" t="b">
        <v>1</v>
      </c>
      <c r="F57" s="3" t="s">
        <v>108</v>
      </c>
      <c r="G57" s="31" t="str">
        <f>IF(MATCH(F57,F$5:F57,0)=(COUNTA(F$5:F57)),"-","Dup")</f>
        <v>-</v>
      </c>
      <c r="H57" t="s">
        <v>97</v>
      </c>
      <c r="I57" t="b">
        <v>0</v>
      </c>
      <c r="J57" t="b">
        <v>1</v>
      </c>
      <c r="K57" t="s">
        <v>97</v>
      </c>
      <c r="L57" t="s">
        <v>97</v>
      </c>
      <c r="M57" t="s">
        <v>97</v>
      </c>
      <c r="N57" t="s">
        <v>97</v>
      </c>
      <c r="O57" t="s">
        <v>97</v>
      </c>
      <c r="P57" t="s">
        <v>97</v>
      </c>
      <c r="Q57" t="s">
        <v>97</v>
      </c>
      <c r="R57" t="s">
        <v>97</v>
      </c>
      <c r="S57" t="s">
        <v>97</v>
      </c>
      <c r="T57" t="s">
        <v>97</v>
      </c>
      <c r="U57" t="s">
        <v>97</v>
      </c>
      <c r="V57" t="s">
        <v>97</v>
      </c>
      <c r="W57" t="s">
        <v>97</v>
      </c>
      <c r="X57" t="s">
        <v>97</v>
      </c>
      <c r="Y57" t="s">
        <v>97</v>
      </c>
      <c r="Z57" t="s">
        <v>97</v>
      </c>
      <c r="AA57" t="s">
        <v>97</v>
      </c>
      <c r="AB57" t="s">
        <v>97</v>
      </c>
      <c r="AC57" t="s">
        <v>97</v>
      </c>
      <c r="AD57" t="s">
        <v>97</v>
      </c>
      <c r="AE57" t="s">
        <v>97</v>
      </c>
      <c r="AF57" t="s">
        <v>97</v>
      </c>
      <c r="AG57" t="s">
        <v>97</v>
      </c>
      <c r="AH57" s="22" t="b">
        <v>1</v>
      </c>
      <c r="AI57" s="22" t="b">
        <v>1</v>
      </c>
      <c r="AJ57" s="22" t="b">
        <v>1</v>
      </c>
      <c r="AK57" t="s">
        <v>97</v>
      </c>
      <c r="AL57" t="s">
        <v>97</v>
      </c>
      <c r="AM57" t="s">
        <v>97</v>
      </c>
      <c r="AN57" t="s">
        <v>97</v>
      </c>
      <c r="AO57" s="23">
        <f t="shared" ref="AO57:AQ57" si="53">AO53+0.5</f>
        <v>0.5</v>
      </c>
      <c r="AP57" s="23">
        <f t="shared" si="53"/>
        <v>2</v>
      </c>
      <c r="AQ57" s="23">
        <f t="shared" si="53"/>
        <v>-1</v>
      </c>
      <c r="AR57" t="s">
        <v>97</v>
      </c>
      <c r="AS57" t="s">
        <v>97</v>
      </c>
      <c r="AT57" t="s">
        <v>97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0</v>
      </c>
      <c r="BL57">
        <v>0</v>
      </c>
      <c r="BM57">
        <v>0</v>
      </c>
      <c r="BN57">
        <v>0</v>
      </c>
      <c r="BO57">
        <v>0</v>
      </c>
      <c r="BP57" s="15">
        <v>0</v>
      </c>
    </row>
    <row r="58" spans="1:68" x14ac:dyDescent="0.25">
      <c r="A58" s="19"/>
      <c r="B58">
        <f t="shared" si="3"/>
        <v>53</v>
      </c>
      <c r="C58" t="b">
        <v>0</v>
      </c>
      <c r="D58" t="b">
        <v>0</v>
      </c>
      <c r="E58" t="b">
        <v>1</v>
      </c>
      <c r="F58" s="3" t="s">
        <v>109</v>
      </c>
      <c r="G58" s="31" t="str">
        <f>IF(MATCH(F58,F$5:F58,0)=(COUNTA(F$5:F58)),"-","Dup")</f>
        <v>-</v>
      </c>
      <c r="H58" t="s">
        <v>97</v>
      </c>
      <c r="I58" t="b">
        <v>0</v>
      </c>
      <c r="J58" t="b">
        <v>1</v>
      </c>
      <c r="K58" t="s">
        <v>97</v>
      </c>
      <c r="L58" t="s">
        <v>97</v>
      </c>
      <c r="M58" t="s">
        <v>97</v>
      </c>
      <c r="N58" t="s">
        <v>97</v>
      </c>
      <c r="O58" t="s">
        <v>97</v>
      </c>
      <c r="P58" t="s">
        <v>97</v>
      </c>
      <c r="Q58" t="s">
        <v>97</v>
      </c>
      <c r="R58" t="s">
        <v>97</v>
      </c>
      <c r="S58" t="s">
        <v>97</v>
      </c>
      <c r="T58" t="s">
        <v>97</v>
      </c>
      <c r="U58" t="s">
        <v>97</v>
      </c>
      <c r="V58" t="s">
        <v>97</v>
      </c>
      <c r="W58" t="s">
        <v>97</v>
      </c>
      <c r="X58" t="s">
        <v>97</v>
      </c>
      <c r="Y58" t="s">
        <v>97</v>
      </c>
      <c r="Z58" t="s">
        <v>97</v>
      </c>
      <c r="AA58" t="s">
        <v>97</v>
      </c>
      <c r="AB58" t="s">
        <v>97</v>
      </c>
      <c r="AC58" t="s">
        <v>97</v>
      </c>
      <c r="AD58" t="s">
        <v>97</v>
      </c>
      <c r="AE58" t="s">
        <v>97</v>
      </c>
      <c r="AF58" t="s">
        <v>97</v>
      </c>
      <c r="AG58" t="s">
        <v>97</v>
      </c>
      <c r="AH58" s="22" t="b">
        <v>1</v>
      </c>
      <c r="AI58" s="22" t="b">
        <v>1</v>
      </c>
      <c r="AJ58" s="22" t="b">
        <v>1</v>
      </c>
      <c r="AK58" t="s">
        <v>97</v>
      </c>
      <c r="AL58" t="s">
        <v>97</v>
      </c>
      <c r="AM58" t="s">
        <v>97</v>
      </c>
      <c r="AN58" t="s">
        <v>97</v>
      </c>
      <c r="AO58" s="23">
        <f t="shared" ref="AO58:AQ58" si="54">AO54+0.5</f>
        <v>0.5</v>
      </c>
      <c r="AP58" s="23">
        <f t="shared" si="54"/>
        <v>2.5</v>
      </c>
      <c r="AQ58" s="23">
        <f t="shared" si="54"/>
        <v>-1.5</v>
      </c>
      <c r="AR58" t="s">
        <v>97</v>
      </c>
      <c r="AS58" t="s">
        <v>97</v>
      </c>
      <c r="AT58" t="s">
        <v>97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0</v>
      </c>
      <c r="BL58">
        <v>0</v>
      </c>
      <c r="BM58">
        <v>0</v>
      </c>
      <c r="BN58">
        <v>0</v>
      </c>
      <c r="BO58">
        <v>0</v>
      </c>
      <c r="BP58" s="15">
        <v>0</v>
      </c>
    </row>
    <row r="59" spans="1:68" x14ac:dyDescent="0.25">
      <c r="A59" s="19"/>
      <c r="B59">
        <f t="shared" si="3"/>
        <v>54</v>
      </c>
      <c r="C59" t="b">
        <v>1</v>
      </c>
      <c r="D59" t="b">
        <v>0</v>
      </c>
      <c r="E59" t="b">
        <v>1</v>
      </c>
      <c r="F59" s="3" t="s">
        <v>110</v>
      </c>
      <c r="G59" s="31" t="str">
        <f>IF(MATCH(F59,F$5:F59,0)=(COUNTA(F$5:F59)),"-","Dup")</f>
        <v>-</v>
      </c>
      <c r="H59" t="s">
        <v>97</v>
      </c>
      <c r="I59" t="b">
        <v>0</v>
      </c>
      <c r="J59" t="b">
        <v>1</v>
      </c>
      <c r="K59" t="s">
        <v>97</v>
      </c>
      <c r="L59" t="s">
        <v>97</v>
      </c>
      <c r="M59" t="s">
        <v>97</v>
      </c>
      <c r="N59" t="s">
        <v>97</v>
      </c>
      <c r="O59" t="s">
        <v>97</v>
      </c>
      <c r="P59" t="s">
        <v>97</v>
      </c>
      <c r="Q59" t="s">
        <v>97</v>
      </c>
      <c r="R59" t="s">
        <v>97</v>
      </c>
      <c r="S59" t="s">
        <v>97</v>
      </c>
      <c r="T59" t="s">
        <v>97</v>
      </c>
      <c r="U59" t="s">
        <v>97</v>
      </c>
      <c r="V59" t="s">
        <v>97</v>
      </c>
      <c r="W59" t="s">
        <v>97</v>
      </c>
      <c r="X59" t="s">
        <v>97</v>
      </c>
      <c r="Y59" t="s">
        <v>97</v>
      </c>
      <c r="Z59" t="s">
        <v>97</v>
      </c>
      <c r="AA59" t="s">
        <v>97</v>
      </c>
      <c r="AB59" t="s">
        <v>97</v>
      </c>
      <c r="AC59" t="s">
        <v>97</v>
      </c>
      <c r="AD59" t="s">
        <v>97</v>
      </c>
      <c r="AE59" t="s">
        <v>97</v>
      </c>
      <c r="AF59" t="s">
        <v>97</v>
      </c>
      <c r="AG59" t="s">
        <v>97</v>
      </c>
      <c r="AH59" s="22" t="b">
        <v>1</v>
      </c>
      <c r="AI59" s="22" t="b">
        <v>1</v>
      </c>
      <c r="AJ59" s="22" t="b">
        <v>1</v>
      </c>
      <c r="AK59" t="s">
        <v>97</v>
      </c>
      <c r="AL59" t="s">
        <v>97</v>
      </c>
      <c r="AM59" t="s">
        <v>97</v>
      </c>
      <c r="AN59" t="s">
        <v>97</v>
      </c>
      <c r="AO59" s="23">
        <f t="shared" ref="AO59:AQ59" si="55">AO55+0.5</f>
        <v>1</v>
      </c>
      <c r="AP59" s="23">
        <f t="shared" si="55"/>
        <v>1.5</v>
      </c>
      <c r="AQ59" s="23">
        <f t="shared" si="55"/>
        <v>0.5</v>
      </c>
      <c r="AR59" s="22">
        <v>0</v>
      </c>
      <c r="AS59" s="22">
        <v>1</v>
      </c>
      <c r="AT59" s="22">
        <v>-1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0</v>
      </c>
      <c r="BL59">
        <v>0</v>
      </c>
      <c r="BM59">
        <v>0</v>
      </c>
      <c r="BN59">
        <v>0</v>
      </c>
      <c r="BO59">
        <v>0</v>
      </c>
      <c r="BP59" s="15">
        <v>0</v>
      </c>
    </row>
    <row r="60" spans="1:68" x14ac:dyDescent="0.25">
      <c r="A60" s="19"/>
      <c r="B60">
        <f t="shared" si="3"/>
        <v>55</v>
      </c>
      <c r="C60" t="b">
        <v>0</v>
      </c>
      <c r="D60" t="b">
        <v>0</v>
      </c>
      <c r="E60" t="b">
        <v>1</v>
      </c>
      <c r="F60" s="3" t="s">
        <v>111</v>
      </c>
      <c r="G60" s="31" t="str">
        <f>IF(MATCH(F60,F$5:F60,0)=(COUNTA(F$5:F60)),"-","Dup")</f>
        <v>-</v>
      </c>
      <c r="H60" t="s">
        <v>97</v>
      </c>
      <c r="I60" t="b">
        <v>0</v>
      </c>
      <c r="J60" t="b">
        <v>1</v>
      </c>
      <c r="K60" t="s">
        <v>97</v>
      </c>
      <c r="L60" t="s">
        <v>97</v>
      </c>
      <c r="M60" t="s">
        <v>97</v>
      </c>
      <c r="N60" t="s">
        <v>97</v>
      </c>
      <c r="O60" t="s">
        <v>97</v>
      </c>
      <c r="P60" t="s">
        <v>97</v>
      </c>
      <c r="Q60" t="s">
        <v>97</v>
      </c>
      <c r="R60" t="s">
        <v>97</v>
      </c>
      <c r="S60" t="s">
        <v>97</v>
      </c>
      <c r="T60" t="s">
        <v>97</v>
      </c>
      <c r="U60" t="s">
        <v>97</v>
      </c>
      <c r="V60" t="s">
        <v>97</v>
      </c>
      <c r="W60" t="s">
        <v>97</v>
      </c>
      <c r="X60" t="s">
        <v>97</v>
      </c>
      <c r="Y60" t="s">
        <v>97</v>
      </c>
      <c r="Z60" t="s">
        <v>97</v>
      </c>
      <c r="AA60" t="s">
        <v>97</v>
      </c>
      <c r="AB60" t="s">
        <v>97</v>
      </c>
      <c r="AC60" t="s">
        <v>97</v>
      </c>
      <c r="AD60" t="s">
        <v>97</v>
      </c>
      <c r="AE60" t="s">
        <v>97</v>
      </c>
      <c r="AF60" t="s">
        <v>97</v>
      </c>
      <c r="AG60" t="s">
        <v>97</v>
      </c>
      <c r="AH60" s="22" t="b">
        <v>1</v>
      </c>
      <c r="AI60" s="22" t="b">
        <v>1</v>
      </c>
      <c r="AJ60" s="22" t="b">
        <v>1</v>
      </c>
      <c r="AK60" t="s">
        <v>97</v>
      </c>
      <c r="AL60" t="s">
        <v>97</v>
      </c>
      <c r="AM60" t="s">
        <v>97</v>
      </c>
      <c r="AN60" t="s">
        <v>97</v>
      </c>
      <c r="AO60" s="23">
        <f t="shared" ref="AO60:AQ60" si="56">AO56+0.5</f>
        <v>1</v>
      </c>
      <c r="AP60" s="23">
        <f t="shared" si="56"/>
        <v>2</v>
      </c>
      <c r="AQ60" s="23">
        <f t="shared" si="56"/>
        <v>0</v>
      </c>
      <c r="AR60" t="s">
        <v>97</v>
      </c>
      <c r="AS60" t="s">
        <v>97</v>
      </c>
      <c r="AT60" t="s">
        <v>97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0</v>
      </c>
      <c r="BL60">
        <v>0</v>
      </c>
      <c r="BM60">
        <v>0</v>
      </c>
      <c r="BN60">
        <v>0</v>
      </c>
      <c r="BO60">
        <v>0</v>
      </c>
      <c r="BP60" s="15">
        <v>0</v>
      </c>
    </row>
    <row r="61" spans="1:68" x14ac:dyDescent="0.25">
      <c r="A61" s="19"/>
      <c r="B61">
        <f t="shared" si="3"/>
        <v>56</v>
      </c>
      <c r="C61" t="b">
        <v>0</v>
      </c>
      <c r="D61" t="b">
        <v>0</v>
      </c>
      <c r="E61" t="b">
        <v>1</v>
      </c>
      <c r="F61" s="3" t="s">
        <v>112</v>
      </c>
      <c r="G61" s="31" t="str">
        <f>IF(MATCH(F61,F$5:F61,0)=(COUNTA(F$5:F61)),"-","Dup")</f>
        <v>-</v>
      </c>
      <c r="H61" t="s">
        <v>97</v>
      </c>
      <c r="I61" t="b">
        <v>0</v>
      </c>
      <c r="J61" t="b">
        <v>1</v>
      </c>
      <c r="K61" t="s">
        <v>97</v>
      </c>
      <c r="L61" t="s">
        <v>97</v>
      </c>
      <c r="M61" t="s">
        <v>97</v>
      </c>
      <c r="N61" t="s">
        <v>97</v>
      </c>
      <c r="O61" t="s">
        <v>97</v>
      </c>
      <c r="P61" t="s">
        <v>97</v>
      </c>
      <c r="Q61" t="s">
        <v>97</v>
      </c>
      <c r="R61" t="s">
        <v>97</v>
      </c>
      <c r="S61" t="s">
        <v>97</v>
      </c>
      <c r="T61" t="s">
        <v>97</v>
      </c>
      <c r="U61" t="s">
        <v>97</v>
      </c>
      <c r="V61" t="s">
        <v>97</v>
      </c>
      <c r="W61" t="s">
        <v>97</v>
      </c>
      <c r="X61" t="s">
        <v>97</v>
      </c>
      <c r="Y61" t="s">
        <v>97</v>
      </c>
      <c r="Z61" t="s">
        <v>97</v>
      </c>
      <c r="AA61" t="s">
        <v>97</v>
      </c>
      <c r="AB61" t="s">
        <v>97</v>
      </c>
      <c r="AC61" t="s">
        <v>97</v>
      </c>
      <c r="AD61" t="s">
        <v>97</v>
      </c>
      <c r="AE61" t="s">
        <v>97</v>
      </c>
      <c r="AF61" t="s">
        <v>97</v>
      </c>
      <c r="AG61" t="s">
        <v>97</v>
      </c>
      <c r="AH61" s="22" t="b">
        <v>1</v>
      </c>
      <c r="AI61" s="22" t="b">
        <v>1</v>
      </c>
      <c r="AJ61" s="22" t="b">
        <v>1</v>
      </c>
      <c r="AK61" t="s">
        <v>97</v>
      </c>
      <c r="AL61" t="s">
        <v>97</v>
      </c>
      <c r="AM61" t="s">
        <v>97</v>
      </c>
      <c r="AN61" t="s">
        <v>97</v>
      </c>
      <c r="AO61" s="23">
        <f t="shared" ref="AO61:AQ61" si="57">AO57+0.5</f>
        <v>1</v>
      </c>
      <c r="AP61" s="23">
        <f t="shared" si="57"/>
        <v>2.5</v>
      </c>
      <c r="AQ61" s="23">
        <f t="shared" si="57"/>
        <v>-0.5</v>
      </c>
      <c r="AR61" t="s">
        <v>97</v>
      </c>
      <c r="AS61" t="s">
        <v>97</v>
      </c>
      <c r="AT61" t="s">
        <v>97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0</v>
      </c>
      <c r="BL61">
        <v>0</v>
      </c>
      <c r="BM61">
        <v>0</v>
      </c>
      <c r="BN61">
        <v>0</v>
      </c>
      <c r="BO61">
        <v>0</v>
      </c>
      <c r="BP61" s="15">
        <v>0</v>
      </c>
    </row>
    <row r="62" spans="1:68" x14ac:dyDescent="0.25">
      <c r="A62" s="19"/>
      <c r="B62">
        <f t="shared" si="3"/>
        <v>57</v>
      </c>
      <c r="C62" t="b">
        <v>1</v>
      </c>
      <c r="D62" t="b">
        <v>0</v>
      </c>
      <c r="E62" t="b">
        <v>1</v>
      </c>
      <c r="F62" s="3" t="s">
        <v>113</v>
      </c>
      <c r="G62" s="31" t="str">
        <f>IF(MATCH(F62,F$5:F62,0)=(COUNTA(F$5:F62)),"-","Dup")</f>
        <v>-</v>
      </c>
      <c r="H62" t="s">
        <v>97</v>
      </c>
      <c r="I62" t="b">
        <v>0</v>
      </c>
      <c r="J62" t="b">
        <v>1</v>
      </c>
      <c r="K62" t="s">
        <v>97</v>
      </c>
      <c r="L62" t="s">
        <v>97</v>
      </c>
      <c r="M62" t="s">
        <v>97</v>
      </c>
      <c r="N62" t="s">
        <v>97</v>
      </c>
      <c r="O62" t="s">
        <v>97</v>
      </c>
      <c r="P62" t="s">
        <v>97</v>
      </c>
      <c r="Q62" t="s">
        <v>97</v>
      </c>
      <c r="R62" t="s">
        <v>97</v>
      </c>
      <c r="S62" t="s">
        <v>97</v>
      </c>
      <c r="T62" t="s">
        <v>97</v>
      </c>
      <c r="U62" t="s">
        <v>97</v>
      </c>
      <c r="V62" t="s">
        <v>97</v>
      </c>
      <c r="W62" t="s">
        <v>97</v>
      </c>
      <c r="X62" t="s">
        <v>97</v>
      </c>
      <c r="Y62" t="s">
        <v>97</v>
      </c>
      <c r="Z62" t="s">
        <v>97</v>
      </c>
      <c r="AA62" t="s">
        <v>97</v>
      </c>
      <c r="AB62" t="s">
        <v>97</v>
      </c>
      <c r="AC62" t="s">
        <v>97</v>
      </c>
      <c r="AD62" t="s">
        <v>97</v>
      </c>
      <c r="AE62" t="s">
        <v>97</v>
      </c>
      <c r="AF62" t="s">
        <v>97</v>
      </c>
      <c r="AG62" t="s">
        <v>97</v>
      </c>
      <c r="AH62" s="22" t="b">
        <v>1</v>
      </c>
      <c r="AI62" s="22" t="b">
        <v>1</v>
      </c>
      <c r="AJ62" s="22" t="b">
        <v>1</v>
      </c>
      <c r="AK62" t="s">
        <v>97</v>
      </c>
      <c r="AL62" t="s">
        <v>97</v>
      </c>
      <c r="AM62" t="s">
        <v>97</v>
      </c>
      <c r="AN62" t="s">
        <v>97</v>
      </c>
      <c r="AO62" s="23">
        <f t="shared" ref="AO62:AQ62" si="58">AO58+0.5</f>
        <v>1</v>
      </c>
      <c r="AP62" s="22">
        <v>2.99</v>
      </c>
      <c r="AQ62" s="23">
        <f t="shared" si="58"/>
        <v>-1</v>
      </c>
      <c r="AR62" s="22">
        <v>0</v>
      </c>
      <c r="AS62" s="22">
        <v>1</v>
      </c>
      <c r="AT62" s="22">
        <v>-1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0</v>
      </c>
      <c r="BL62">
        <v>0</v>
      </c>
      <c r="BM62">
        <v>0</v>
      </c>
      <c r="BN62">
        <v>0</v>
      </c>
      <c r="BO62">
        <v>0</v>
      </c>
      <c r="BP62" s="15">
        <v>0</v>
      </c>
    </row>
    <row r="63" spans="1:68" x14ac:dyDescent="0.25">
      <c r="A63" s="19"/>
      <c r="B63">
        <f t="shared" si="3"/>
        <v>58</v>
      </c>
      <c r="C63" t="b">
        <v>1</v>
      </c>
      <c r="D63" t="b">
        <v>0</v>
      </c>
      <c r="E63" t="b">
        <v>1</v>
      </c>
      <c r="F63" s="3" t="s">
        <v>117</v>
      </c>
      <c r="G63" s="31" t="str">
        <f>IF(MATCH(F63,F$5:F63,0)=(COUNTA(F$5:F63)),"-","Dup")</f>
        <v>-</v>
      </c>
      <c r="H63" t="s">
        <v>97</v>
      </c>
      <c r="I63" t="b">
        <v>0</v>
      </c>
      <c r="J63" t="b">
        <v>1</v>
      </c>
      <c r="K63" t="s">
        <v>97</v>
      </c>
      <c r="L63" t="s">
        <v>97</v>
      </c>
      <c r="M63" t="s">
        <v>97</v>
      </c>
      <c r="N63" t="s">
        <v>97</v>
      </c>
      <c r="O63" t="s">
        <v>97</v>
      </c>
      <c r="P63" t="s">
        <v>97</v>
      </c>
      <c r="Q63" t="s">
        <v>97</v>
      </c>
      <c r="R63" t="s">
        <v>97</v>
      </c>
      <c r="S63" t="s">
        <v>97</v>
      </c>
      <c r="T63" t="s">
        <v>97</v>
      </c>
      <c r="U63" t="s">
        <v>97</v>
      </c>
      <c r="V63" t="s">
        <v>97</v>
      </c>
      <c r="W63" t="s">
        <v>97</v>
      </c>
      <c r="X63" t="s">
        <v>97</v>
      </c>
      <c r="Y63" t="s">
        <v>97</v>
      </c>
      <c r="Z63" t="s">
        <v>97</v>
      </c>
      <c r="AA63" t="s">
        <v>97</v>
      </c>
      <c r="AB63" t="s">
        <v>97</v>
      </c>
      <c r="AC63" t="s">
        <v>97</v>
      </c>
      <c r="AD63" t="s">
        <v>97</v>
      </c>
      <c r="AE63" t="s">
        <v>97</v>
      </c>
      <c r="AF63" t="s">
        <v>97</v>
      </c>
      <c r="AG63" t="s">
        <v>97</v>
      </c>
      <c r="AH63" s="22" t="b">
        <v>1</v>
      </c>
      <c r="AI63" s="22" t="b">
        <v>1</v>
      </c>
      <c r="AJ63" s="22" t="b">
        <v>1</v>
      </c>
      <c r="AK63" t="s">
        <v>97</v>
      </c>
      <c r="AL63" t="s">
        <v>97</v>
      </c>
      <c r="AM63" t="s">
        <v>97</v>
      </c>
      <c r="AN63" t="s">
        <v>97</v>
      </c>
      <c r="AO63" s="22">
        <v>1</v>
      </c>
      <c r="AP63" s="22">
        <v>2</v>
      </c>
      <c r="AQ63" s="22">
        <v>0.5</v>
      </c>
      <c r="AR63" s="22">
        <v>0</v>
      </c>
      <c r="AS63" s="22">
        <v>1</v>
      </c>
      <c r="AT63" s="22">
        <v>-1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0</v>
      </c>
      <c r="BL63">
        <v>0</v>
      </c>
      <c r="BM63">
        <v>0</v>
      </c>
      <c r="BN63">
        <v>0</v>
      </c>
      <c r="BO63">
        <v>0</v>
      </c>
      <c r="BP63" s="15">
        <v>0</v>
      </c>
    </row>
    <row r="64" spans="1:68" x14ac:dyDescent="0.25">
      <c r="A64" s="19"/>
      <c r="C64" t="b">
        <v>0</v>
      </c>
      <c r="F64" s="34" t="s">
        <v>119</v>
      </c>
      <c r="G64" s="31" t="str">
        <f>IF(MATCH(F64,F$5:F64,0)=(COUNTA(F$5:F64)),"-","Dup")</f>
        <v>-</v>
      </c>
      <c r="AH64" s="22"/>
      <c r="AI64" s="22"/>
      <c r="AJ64" s="22"/>
      <c r="BP64" s="15">
        <v>0</v>
      </c>
    </row>
    <row r="65" spans="1:68" x14ac:dyDescent="0.25">
      <c r="A65" s="19"/>
      <c r="B65">
        <f t="shared" si="3"/>
        <v>60</v>
      </c>
      <c r="C65" t="b">
        <v>0</v>
      </c>
      <c r="D65" t="b">
        <v>0</v>
      </c>
      <c r="E65" t="b">
        <v>0</v>
      </c>
      <c r="F65" s="3" t="str">
        <f>SUBSTITUTE(SUBSTITUTE("off_"&amp;$AR65&amp;"_"&amp;($AS65-$AR65),"0.","p"),".","p")</f>
        <v>off_-p5_p5</v>
      </c>
      <c r="G65" s="31" t="str">
        <f>IF(MATCH(F65,F$5:F65,0)=(COUNTA(F$5:F65)),"-","Dup")</f>
        <v>-</v>
      </c>
      <c r="H65" t="s">
        <v>97</v>
      </c>
      <c r="I65" t="b">
        <v>0</v>
      </c>
      <c r="J65" t="b">
        <v>1</v>
      </c>
      <c r="K65" t="s">
        <v>97</v>
      </c>
      <c r="L65" t="s">
        <v>97</v>
      </c>
      <c r="M65" t="s">
        <v>97</v>
      </c>
      <c r="N65" t="s">
        <v>97</v>
      </c>
      <c r="O65" t="s">
        <v>97</v>
      </c>
      <c r="P65" t="s">
        <v>97</v>
      </c>
      <c r="Q65" t="s">
        <v>97</v>
      </c>
      <c r="R65" t="s">
        <v>97</v>
      </c>
      <c r="S65" t="s">
        <v>97</v>
      </c>
      <c r="T65" t="s">
        <v>97</v>
      </c>
      <c r="U65" t="s">
        <v>97</v>
      </c>
      <c r="V65" t="s">
        <v>97</v>
      </c>
      <c r="W65" t="s">
        <v>97</v>
      </c>
      <c r="X65" t="s">
        <v>97</v>
      </c>
      <c r="Y65" t="s">
        <v>97</v>
      </c>
      <c r="Z65" t="s">
        <v>97</v>
      </c>
      <c r="AA65" t="s">
        <v>97</v>
      </c>
      <c r="AB65" t="s">
        <v>97</v>
      </c>
      <c r="AC65" t="s">
        <v>97</v>
      </c>
      <c r="AD65" t="s">
        <v>97</v>
      </c>
      <c r="AE65" t="s">
        <v>97</v>
      </c>
      <c r="AF65" t="s">
        <v>97</v>
      </c>
      <c r="AG65" t="s">
        <v>97</v>
      </c>
      <c r="AH65" s="22" t="b">
        <v>1</v>
      </c>
      <c r="AI65" s="22" t="b">
        <v>1</v>
      </c>
      <c r="AJ65" s="22" t="b">
        <v>1</v>
      </c>
      <c r="AK65" t="s">
        <v>97</v>
      </c>
      <c r="AL65" t="s">
        <v>97</v>
      </c>
      <c r="AM65" t="s">
        <v>97</v>
      </c>
      <c r="AN65" t="s">
        <v>97</v>
      </c>
      <c r="AO65" s="22">
        <v>1</v>
      </c>
      <c r="AP65" s="22">
        <v>2</v>
      </c>
      <c r="AQ65" s="22">
        <v>0</v>
      </c>
      <c r="AR65" s="22">
        <v>-0.5</v>
      </c>
      <c r="AS65" s="24">
        <f>$AR65+0.5</f>
        <v>0</v>
      </c>
      <c r="AT65" s="25">
        <f>$AR65-0.5</f>
        <v>-1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0</v>
      </c>
      <c r="BL65">
        <v>0</v>
      </c>
      <c r="BM65">
        <v>0</v>
      </c>
      <c r="BN65">
        <v>0</v>
      </c>
      <c r="BO65">
        <v>0</v>
      </c>
      <c r="BP65" s="15">
        <v>0</v>
      </c>
    </row>
    <row r="66" spans="1:68" x14ac:dyDescent="0.25">
      <c r="A66" s="19"/>
      <c r="B66">
        <f t="shared" si="3"/>
        <v>61</v>
      </c>
      <c r="C66" t="b">
        <v>0</v>
      </c>
      <c r="D66" t="b">
        <v>0</v>
      </c>
      <c r="E66" t="b">
        <v>0</v>
      </c>
      <c r="F66" s="3" t="str">
        <f t="shared" ref="F66:F76" si="59">SUBSTITUTE(SUBSTITUTE("off_"&amp;$AR66&amp;"_"&amp;($AS66-$AR66),"0.","p"),".","p")</f>
        <v>off_-p5_1</v>
      </c>
      <c r="G66" s="31" t="str">
        <f>IF(MATCH(F66,F$5:F66,0)=(COUNTA(F$5:F66)),"-","Dup")</f>
        <v>-</v>
      </c>
      <c r="H66" t="s">
        <v>97</v>
      </c>
      <c r="I66" t="b">
        <v>0</v>
      </c>
      <c r="J66" t="b">
        <v>1</v>
      </c>
      <c r="K66" t="s">
        <v>97</v>
      </c>
      <c r="L66" t="s">
        <v>97</v>
      </c>
      <c r="M66" t="s">
        <v>97</v>
      </c>
      <c r="N66" t="s">
        <v>97</v>
      </c>
      <c r="O66" t="s">
        <v>97</v>
      </c>
      <c r="P66" t="s">
        <v>97</v>
      </c>
      <c r="Q66" t="s">
        <v>97</v>
      </c>
      <c r="R66" t="s">
        <v>97</v>
      </c>
      <c r="S66" t="s">
        <v>97</v>
      </c>
      <c r="T66" t="s">
        <v>97</v>
      </c>
      <c r="U66" t="s">
        <v>97</v>
      </c>
      <c r="V66" t="s">
        <v>97</v>
      </c>
      <c r="W66" t="s">
        <v>97</v>
      </c>
      <c r="X66" t="s">
        <v>97</v>
      </c>
      <c r="Y66" t="s">
        <v>97</v>
      </c>
      <c r="Z66" t="s">
        <v>97</v>
      </c>
      <c r="AA66" t="s">
        <v>97</v>
      </c>
      <c r="AB66" t="s">
        <v>97</v>
      </c>
      <c r="AC66" t="s">
        <v>97</v>
      </c>
      <c r="AD66" t="s">
        <v>97</v>
      </c>
      <c r="AE66" t="s">
        <v>97</v>
      </c>
      <c r="AF66" t="s">
        <v>97</v>
      </c>
      <c r="AG66" t="s">
        <v>97</v>
      </c>
      <c r="AH66" s="22" t="b">
        <v>1</v>
      </c>
      <c r="AI66" s="22" t="b">
        <v>1</v>
      </c>
      <c r="AJ66" s="22" t="b">
        <v>1</v>
      </c>
      <c r="AK66" t="s">
        <v>97</v>
      </c>
      <c r="AL66" t="s">
        <v>97</v>
      </c>
      <c r="AM66" t="s">
        <v>97</v>
      </c>
      <c r="AN66" t="s">
        <v>97</v>
      </c>
      <c r="AO66" s="28">
        <f>AO65</f>
        <v>1</v>
      </c>
      <c r="AP66" s="28">
        <f t="shared" ref="AP66:AQ66" si="60">AP65</f>
        <v>2</v>
      </c>
      <c r="AQ66" s="28">
        <f t="shared" si="60"/>
        <v>0</v>
      </c>
      <c r="AR66" s="29">
        <f>AR65</f>
        <v>-0.5</v>
      </c>
      <c r="AS66" s="24">
        <f>$AR66+1</f>
        <v>0.5</v>
      </c>
      <c r="AT66" s="25">
        <f>$AR66-1</f>
        <v>-1.5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0</v>
      </c>
      <c r="BL66">
        <v>0</v>
      </c>
      <c r="BM66">
        <v>0</v>
      </c>
      <c r="BN66">
        <v>0</v>
      </c>
      <c r="BO66">
        <v>0</v>
      </c>
      <c r="BP66" s="15">
        <v>0</v>
      </c>
    </row>
    <row r="67" spans="1:68" x14ac:dyDescent="0.25">
      <c r="A67" s="19"/>
      <c r="B67">
        <f t="shared" si="3"/>
        <v>62</v>
      </c>
      <c r="C67" t="b">
        <v>0</v>
      </c>
      <c r="D67" t="b">
        <v>0</v>
      </c>
      <c r="E67" t="b">
        <v>0</v>
      </c>
      <c r="F67" s="3" t="str">
        <f t="shared" si="59"/>
        <v>off_-p5_2</v>
      </c>
      <c r="G67" s="31" t="str">
        <f>IF(MATCH(F67,F$5:F67,0)=(COUNTA(F$5:F67)),"-","Dup")</f>
        <v>-</v>
      </c>
      <c r="H67" t="s">
        <v>97</v>
      </c>
      <c r="I67" t="b">
        <v>0</v>
      </c>
      <c r="J67" t="b">
        <v>1</v>
      </c>
      <c r="K67" t="s">
        <v>97</v>
      </c>
      <c r="L67" t="s">
        <v>97</v>
      </c>
      <c r="M67" t="s">
        <v>97</v>
      </c>
      <c r="N67" t="s">
        <v>97</v>
      </c>
      <c r="O67" t="s">
        <v>97</v>
      </c>
      <c r="P67" t="s">
        <v>97</v>
      </c>
      <c r="Q67" t="s">
        <v>97</v>
      </c>
      <c r="R67" t="s">
        <v>97</v>
      </c>
      <c r="S67" t="s">
        <v>97</v>
      </c>
      <c r="T67" t="s">
        <v>97</v>
      </c>
      <c r="U67" t="s">
        <v>97</v>
      </c>
      <c r="V67" t="s">
        <v>97</v>
      </c>
      <c r="W67" t="s">
        <v>97</v>
      </c>
      <c r="X67" t="s">
        <v>97</v>
      </c>
      <c r="Y67" t="s">
        <v>97</v>
      </c>
      <c r="Z67" t="s">
        <v>97</v>
      </c>
      <c r="AA67" t="s">
        <v>97</v>
      </c>
      <c r="AB67" t="s">
        <v>97</v>
      </c>
      <c r="AC67" t="s">
        <v>97</v>
      </c>
      <c r="AD67" t="s">
        <v>97</v>
      </c>
      <c r="AE67" t="s">
        <v>97</v>
      </c>
      <c r="AF67" t="s">
        <v>97</v>
      </c>
      <c r="AG67" t="s">
        <v>97</v>
      </c>
      <c r="AH67" s="22" t="b">
        <v>1</v>
      </c>
      <c r="AI67" s="22" t="b">
        <v>1</v>
      </c>
      <c r="AJ67" s="22" t="b">
        <v>1</v>
      </c>
      <c r="AK67" t="s">
        <v>97</v>
      </c>
      <c r="AL67" t="s">
        <v>97</v>
      </c>
      <c r="AM67" t="s">
        <v>97</v>
      </c>
      <c r="AN67" t="s">
        <v>97</v>
      </c>
      <c r="AO67" s="28">
        <f t="shared" ref="AO67:AO93" si="61">AO66</f>
        <v>1</v>
      </c>
      <c r="AP67" s="28">
        <f t="shared" ref="AP67:AP93" si="62">AP66</f>
        <v>2</v>
      </c>
      <c r="AQ67" s="28">
        <f t="shared" ref="AQ67:AR93" si="63">AQ66</f>
        <v>0</v>
      </c>
      <c r="AR67" s="29">
        <f>AR66</f>
        <v>-0.5</v>
      </c>
      <c r="AS67" s="24">
        <f>$AR67+2</f>
        <v>1.5</v>
      </c>
      <c r="AT67" s="25">
        <f>$AR67-2</f>
        <v>-2.5</v>
      </c>
      <c r="AU67">
        <v>1</v>
      </c>
      <c r="AV67">
        <v>1</v>
      </c>
      <c r="AW67">
        <v>1</v>
      </c>
      <c r="AX67">
        <v>1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1</v>
      </c>
      <c r="BH67">
        <v>1</v>
      </c>
      <c r="BI67">
        <v>1</v>
      </c>
      <c r="BJ67">
        <v>1</v>
      </c>
      <c r="BK67">
        <v>0</v>
      </c>
      <c r="BL67">
        <v>0</v>
      </c>
      <c r="BM67">
        <v>0</v>
      </c>
      <c r="BN67">
        <v>0</v>
      </c>
      <c r="BO67">
        <v>0</v>
      </c>
      <c r="BP67" s="15">
        <v>0</v>
      </c>
    </row>
    <row r="68" spans="1:68" x14ac:dyDescent="0.25">
      <c r="A68" s="19"/>
      <c r="B68">
        <f t="shared" si="3"/>
        <v>63</v>
      </c>
      <c r="C68" t="b">
        <v>0</v>
      </c>
      <c r="D68" t="b">
        <v>0</v>
      </c>
      <c r="E68" t="b">
        <v>0</v>
      </c>
      <c r="F68" s="3" t="str">
        <f t="shared" si="59"/>
        <v>off_0_p5</v>
      </c>
      <c r="G68" s="31" t="str">
        <f>IF(MATCH(F68,F$5:F68,0)=(COUNTA(F$5:F68)),"-","Dup")</f>
        <v>-</v>
      </c>
      <c r="H68" t="s">
        <v>97</v>
      </c>
      <c r="I68" t="b">
        <v>0</v>
      </c>
      <c r="J68" t="b">
        <v>1</v>
      </c>
      <c r="K68" t="s">
        <v>97</v>
      </c>
      <c r="L68" t="s">
        <v>97</v>
      </c>
      <c r="M68" t="s">
        <v>97</v>
      </c>
      <c r="N68" t="s">
        <v>97</v>
      </c>
      <c r="O68" t="s">
        <v>97</v>
      </c>
      <c r="P68" t="s">
        <v>97</v>
      </c>
      <c r="Q68" t="s">
        <v>97</v>
      </c>
      <c r="R68" t="s">
        <v>97</v>
      </c>
      <c r="S68" t="s">
        <v>97</v>
      </c>
      <c r="T68" t="s">
        <v>97</v>
      </c>
      <c r="U68" t="s">
        <v>97</v>
      </c>
      <c r="V68" t="s">
        <v>97</v>
      </c>
      <c r="W68" t="s">
        <v>97</v>
      </c>
      <c r="X68" t="s">
        <v>97</v>
      </c>
      <c r="Y68" t="s">
        <v>97</v>
      </c>
      <c r="Z68" t="s">
        <v>97</v>
      </c>
      <c r="AA68" t="s">
        <v>97</v>
      </c>
      <c r="AB68" t="s">
        <v>97</v>
      </c>
      <c r="AC68" t="s">
        <v>97</v>
      </c>
      <c r="AD68" t="s">
        <v>97</v>
      </c>
      <c r="AE68" t="s">
        <v>97</v>
      </c>
      <c r="AF68" t="s">
        <v>97</v>
      </c>
      <c r="AG68" t="s">
        <v>97</v>
      </c>
      <c r="AH68" s="22" t="b">
        <v>1</v>
      </c>
      <c r="AI68" s="22" t="b">
        <v>1</v>
      </c>
      <c r="AJ68" s="22" t="b">
        <v>1</v>
      </c>
      <c r="AK68" t="s">
        <v>97</v>
      </c>
      <c r="AL68" t="s">
        <v>97</v>
      </c>
      <c r="AM68" t="s">
        <v>97</v>
      </c>
      <c r="AN68" t="s">
        <v>97</v>
      </c>
      <c r="AO68" s="28">
        <f t="shared" si="61"/>
        <v>1</v>
      </c>
      <c r="AP68" s="28">
        <f t="shared" si="62"/>
        <v>2</v>
      </c>
      <c r="AQ68" s="28">
        <f t="shared" si="63"/>
        <v>0</v>
      </c>
      <c r="AR68" s="23">
        <f>MIN(2.99,AR65+0.5)</f>
        <v>0</v>
      </c>
      <c r="AS68" s="23">
        <f t="shared" ref="AS68:AT68" si="64">MIN(2.99,AS65+0.5)</f>
        <v>0.5</v>
      </c>
      <c r="AT68" s="23">
        <f t="shared" si="64"/>
        <v>-0.5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0</v>
      </c>
      <c r="BL68">
        <v>0</v>
      </c>
      <c r="BM68">
        <v>0</v>
      </c>
      <c r="BN68">
        <v>0</v>
      </c>
      <c r="BO68">
        <v>0</v>
      </c>
      <c r="BP68" s="15">
        <v>0</v>
      </c>
    </row>
    <row r="69" spans="1:68" x14ac:dyDescent="0.25">
      <c r="A69" s="19"/>
      <c r="B69">
        <f t="shared" si="3"/>
        <v>64</v>
      </c>
      <c r="C69" t="b">
        <v>0</v>
      </c>
      <c r="D69" t="b">
        <v>0</v>
      </c>
      <c r="E69" t="b">
        <v>0</v>
      </c>
      <c r="F69" s="3" t="str">
        <f t="shared" si="59"/>
        <v>off_0_1</v>
      </c>
      <c r="G69" s="31" t="str">
        <f>IF(MATCH(F69,F$5:F69,0)=(COUNTA(F$5:F69)),"-","Dup")</f>
        <v>-</v>
      </c>
      <c r="H69" t="s">
        <v>97</v>
      </c>
      <c r="I69" t="b">
        <v>0</v>
      </c>
      <c r="J69" t="b">
        <v>1</v>
      </c>
      <c r="K69" t="s">
        <v>97</v>
      </c>
      <c r="L69" t="s">
        <v>97</v>
      </c>
      <c r="M69" t="s">
        <v>97</v>
      </c>
      <c r="N69" t="s">
        <v>97</v>
      </c>
      <c r="O69" t="s">
        <v>97</v>
      </c>
      <c r="P69" t="s">
        <v>97</v>
      </c>
      <c r="Q69" t="s">
        <v>97</v>
      </c>
      <c r="R69" t="s">
        <v>97</v>
      </c>
      <c r="S69" t="s">
        <v>97</v>
      </c>
      <c r="T69" t="s">
        <v>97</v>
      </c>
      <c r="U69" t="s">
        <v>97</v>
      </c>
      <c r="V69" t="s">
        <v>97</v>
      </c>
      <c r="W69" t="s">
        <v>97</v>
      </c>
      <c r="X69" t="s">
        <v>97</v>
      </c>
      <c r="Y69" t="s">
        <v>97</v>
      </c>
      <c r="Z69" t="s">
        <v>97</v>
      </c>
      <c r="AA69" t="s">
        <v>97</v>
      </c>
      <c r="AB69" t="s">
        <v>97</v>
      </c>
      <c r="AC69" t="s">
        <v>97</v>
      </c>
      <c r="AD69" t="s">
        <v>97</v>
      </c>
      <c r="AE69" t="s">
        <v>97</v>
      </c>
      <c r="AF69" t="s">
        <v>97</v>
      </c>
      <c r="AG69" t="s">
        <v>97</v>
      </c>
      <c r="AH69" s="22" t="b">
        <v>1</v>
      </c>
      <c r="AI69" s="22" t="b">
        <v>1</v>
      </c>
      <c r="AJ69" s="22" t="b">
        <v>1</v>
      </c>
      <c r="AK69" t="s">
        <v>97</v>
      </c>
      <c r="AL69" t="s">
        <v>97</v>
      </c>
      <c r="AM69" t="s">
        <v>97</v>
      </c>
      <c r="AN69" t="s">
        <v>97</v>
      </c>
      <c r="AO69" s="28">
        <f t="shared" si="61"/>
        <v>1</v>
      </c>
      <c r="AP69" s="28">
        <f t="shared" si="62"/>
        <v>2</v>
      </c>
      <c r="AQ69" s="28">
        <f t="shared" si="63"/>
        <v>0</v>
      </c>
      <c r="AR69" s="23">
        <f t="shared" ref="AR69:AT69" si="65">MIN(2.99,AR66+0.5)</f>
        <v>0</v>
      </c>
      <c r="AS69" s="23">
        <f t="shared" si="65"/>
        <v>1</v>
      </c>
      <c r="AT69" s="23">
        <f t="shared" si="65"/>
        <v>-1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0</v>
      </c>
      <c r="BL69">
        <v>0</v>
      </c>
      <c r="BM69">
        <v>0</v>
      </c>
      <c r="BN69">
        <v>0</v>
      </c>
      <c r="BO69">
        <v>0</v>
      </c>
      <c r="BP69" s="15">
        <v>0</v>
      </c>
    </row>
    <row r="70" spans="1:68" x14ac:dyDescent="0.25">
      <c r="A70" s="19"/>
      <c r="B70">
        <f t="shared" si="3"/>
        <v>65</v>
      </c>
      <c r="C70" t="b">
        <v>0</v>
      </c>
      <c r="D70" t="b">
        <v>0</v>
      </c>
      <c r="E70" t="b">
        <v>0</v>
      </c>
      <c r="F70" s="3" t="str">
        <f t="shared" si="59"/>
        <v>off_0_2</v>
      </c>
      <c r="G70" s="31" t="str">
        <f>IF(MATCH(F70,F$5:F70,0)=(COUNTA(F$5:F70)),"-","Dup")</f>
        <v>-</v>
      </c>
      <c r="H70" t="s">
        <v>97</v>
      </c>
      <c r="I70" t="b">
        <v>0</v>
      </c>
      <c r="J70" t="b">
        <v>1</v>
      </c>
      <c r="K70" t="s">
        <v>97</v>
      </c>
      <c r="L70" t="s">
        <v>97</v>
      </c>
      <c r="M70" t="s">
        <v>97</v>
      </c>
      <c r="N70" t="s">
        <v>97</v>
      </c>
      <c r="O70" t="s">
        <v>97</v>
      </c>
      <c r="P70" t="s">
        <v>97</v>
      </c>
      <c r="Q70" t="s">
        <v>97</v>
      </c>
      <c r="R70" t="s">
        <v>97</v>
      </c>
      <c r="S70" t="s">
        <v>97</v>
      </c>
      <c r="T70" t="s">
        <v>97</v>
      </c>
      <c r="U70" t="s">
        <v>97</v>
      </c>
      <c r="V70" t="s">
        <v>97</v>
      </c>
      <c r="W70" t="s">
        <v>97</v>
      </c>
      <c r="X70" t="s">
        <v>97</v>
      </c>
      <c r="Y70" t="s">
        <v>97</v>
      </c>
      <c r="Z70" t="s">
        <v>97</v>
      </c>
      <c r="AA70" t="s">
        <v>97</v>
      </c>
      <c r="AB70" t="s">
        <v>97</v>
      </c>
      <c r="AC70" t="s">
        <v>97</v>
      </c>
      <c r="AD70" t="s">
        <v>97</v>
      </c>
      <c r="AE70" t="s">
        <v>97</v>
      </c>
      <c r="AF70" t="s">
        <v>97</v>
      </c>
      <c r="AG70" t="s">
        <v>97</v>
      </c>
      <c r="AH70" s="22" t="b">
        <v>1</v>
      </c>
      <c r="AI70" s="22" t="b">
        <v>1</v>
      </c>
      <c r="AJ70" s="22" t="b">
        <v>1</v>
      </c>
      <c r="AK70" t="s">
        <v>97</v>
      </c>
      <c r="AL70" t="s">
        <v>97</v>
      </c>
      <c r="AM70" t="s">
        <v>97</v>
      </c>
      <c r="AN70" t="s">
        <v>97</v>
      </c>
      <c r="AO70" s="28">
        <f t="shared" si="61"/>
        <v>1</v>
      </c>
      <c r="AP70" s="28">
        <f t="shared" si="62"/>
        <v>2</v>
      </c>
      <c r="AQ70" s="28">
        <f t="shared" si="63"/>
        <v>0</v>
      </c>
      <c r="AR70" s="23">
        <f t="shared" ref="AR70:AT70" si="66">MIN(2.99,AR67+0.5)</f>
        <v>0</v>
      </c>
      <c r="AS70" s="23">
        <f t="shared" si="66"/>
        <v>2</v>
      </c>
      <c r="AT70" s="23">
        <f t="shared" si="66"/>
        <v>-2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0</v>
      </c>
      <c r="BL70">
        <v>0</v>
      </c>
      <c r="BM70">
        <v>0</v>
      </c>
      <c r="BN70">
        <v>0</v>
      </c>
      <c r="BO70">
        <v>0</v>
      </c>
      <c r="BP70" s="15">
        <v>0</v>
      </c>
    </row>
    <row r="71" spans="1:68" x14ac:dyDescent="0.25">
      <c r="A71" s="19"/>
      <c r="B71">
        <f t="shared" si="3"/>
        <v>66</v>
      </c>
      <c r="C71" t="b">
        <v>0</v>
      </c>
      <c r="D71" t="b">
        <v>0</v>
      </c>
      <c r="E71" t="b">
        <v>0</v>
      </c>
      <c r="F71" s="3" t="str">
        <f t="shared" si="59"/>
        <v>off_p5_p5</v>
      </c>
      <c r="G71" s="31" t="str">
        <f>IF(MATCH(F71,F$5:F71,0)=(COUNTA(F$5:F71)),"-","Dup")</f>
        <v>-</v>
      </c>
      <c r="H71" t="s">
        <v>97</v>
      </c>
      <c r="I71" t="b">
        <v>0</v>
      </c>
      <c r="J71" t="b">
        <v>1</v>
      </c>
      <c r="K71" t="s">
        <v>97</v>
      </c>
      <c r="L71" t="s">
        <v>97</v>
      </c>
      <c r="M71" t="s">
        <v>97</v>
      </c>
      <c r="N71" t="s">
        <v>97</v>
      </c>
      <c r="O71" t="s">
        <v>97</v>
      </c>
      <c r="P71" t="s">
        <v>97</v>
      </c>
      <c r="Q71" t="s">
        <v>97</v>
      </c>
      <c r="R71" t="s">
        <v>97</v>
      </c>
      <c r="S71" t="s">
        <v>97</v>
      </c>
      <c r="T71" t="s">
        <v>97</v>
      </c>
      <c r="U71" t="s">
        <v>97</v>
      </c>
      <c r="V71" t="s">
        <v>97</v>
      </c>
      <c r="W71" t="s">
        <v>97</v>
      </c>
      <c r="X71" t="s">
        <v>97</v>
      </c>
      <c r="Y71" t="s">
        <v>97</v>
      </c>
      <c r="Z71" t="s">
        <v>97</v>
      </c>
      <c r="AA71" t="s">
        <v>97</v>
      </c>
      <c r="AB71" t="s">
        <v>97</v>
      </c>
      <c r="AC71" t="s">
        <v>97</v>
      </c>
      <c r="AD71" t="s">
        <v>97</v>
      </c>
      <c r="AE71" t="s">
        <v>97</v>
      </c>
      <c r="AF71" t="s">
        <v>97</v>
      </c>
      <c r="AG71" t="s">
        <v>97</v>
      </c>
      <c r="AH71" s="22" t="b">
        <v>1</v>
      </c>
      <c r="AI71" s="22" t="b">
        <v>1</v>
      </c>
      <c r="AJ71" s="22" t="b">
        <v>1</v>
      </c>
      <c r="AK71" t="s">
        <v>97</v>
      </c>
      <c r="AL71" t="s">
        <v>97</v>
      </c>
      <c r="AM71" t="s">
        <v>97</v>
      </c>
      <c r="AN71" t="s">
        <v>97</v>
      </c>
      <c r="AO71" s="28">
        <f t="shared" si="61"/>
        <v>1</v>
      </c>
      <c r="AP71" s="28">
        <f t="shared" si="62"/>
        <v>2</v>
      </c>
      <c r="AQ71" s="28">
        <f t="shared" si="63"/>
        <v>0</v>
      </c>
      <c r="AR71" s="23">
        <f t="shared" ref="AR71:AT71" si="67">MIN(2.99,AR68+0.5)</f>
        <v>0.5</v>
      </c>
      <c r="AS71" s="23">
        <f t="shared" si="67"/>
        <v>1</v>
      </c>
      <c r="AT71" s="23">
        <f t="shared" si="67"/>
        <v>0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0</v>
      </c>
      <c r="BL71">
        <v>0</v>
      </c>
      <c r="BM71">
        <v>0</v>
      </c>
      <c r="BN71">
        <v>0</v>
      </c>
      <c r="BO71">
        <v>0</v>
      </c>
      <c r="BP71" s="15">
        <v>0</v>
      </c>
    </row>
    <row r="72" spans="1:68" x14ac:dyDescent="0.25">
      <c r="A72" s="19"/>
      <c r="B72">
        <f t="shared" si="3"/>
        <v>67</v>
      </c>
      <c r="C72" t="b">
        <v>0</v>
      </c>
      <c r="D72" t="b">
        <v>0</v>
      </c>
      <c r="E72" t="b">
        <v>0</v>
      </c>
      <c r="F72" s="3" t="str">
        <f t="shared" si="59"/>
        <v>off_p5_1</v>
      </c>
      <c r="G72" s="31" t="str">
        <f>IF(MATCH(F72,F$5:F72,0)=(COUNTA(F$5:F72)),"-","Dup")</f>
        <v>-</v>
      </c>
      <c r="H72" t="s">
        <v>97</v>
      </c>
      <c r="I72" t="b">
        <v>0</v>
      </c>
      <c r="J72" t="b">
        <v>1</v>
      </c>
      <c r="K72" t="s">
        <v>97</v>
      </c>
      <c r="L72" t="s">
        <v>97</v>
      </c>
      <c r="M72" t="s">
        <v>97</v>
      </c>
      <c r="N72" t="s">
        <v>97</v>
      </c>
      <c r="O72" t="s">
        <v>97</v>
      </c>
      <c r="P72" t="s">
        <v>97</v>
      </c>
      <c r="Q72" t="s">
        <v>97</v>
      </c>
      <c r="R72" t="s">
        <v>97</v>
      </c>
      <c r="S72" t="s">
        <v>97</v>
      </c>
      <c r="T72" t="s">
        <v>97</v>
      </c>
      <c r="U72" t="s">
        <v>97</v>
      </c>
      <c r="V72" t="s">
        <v>97</v>
      </c>
      <c r="W72" t="s">
        <v>97</v>
      </c>
      <c r="X72" t="s">
        <v>97</v>
      </c>
      <c r="Y72" t="s">
        <v>97</v>
      </c>
      <c r="Z72" t="s">
        <v>97</v>
      </c>
      <c r="AA72" t="s">
        <v>97</v>
      </c>
      <c r="AB72" t="s">
        <v>97</v>
      </c>
      <c r="AC72" t="s">
        <v>97</v>
      </c>
      <c r="AD72" t="s">
        <v>97</v>
      </c>
      <c r="AE72" t="s">
        <v>97</v>
      </c>
      <c r="AF72" t="s">
        <v>97</v>
      </c>
      <c r="AG72" t="s">
        <v>97</v>
      </c>
      <c r="AH72" s="22" t="b">
        <v>1</v>
      </c>
      <c r="AI72" s="22" t="b">
        <v>1</v>
      </c>
      <c r="AJ72" s="22" t="b">
        <v>1</v>
      </c>
      <c r="AK72" t="s">
        <v>97</v>
      </c>
      <c r="AL72" t="s">
        <v>97</v>
      </c>
      <c r="AM72" t="s">
        <v>97</v>
      </c>
      <c r="AN72" t="s">
        <v>97</v>
      </c>
      <c r="AO72" s="28">
        <f t="shared" si="61"/>
        <v>1</v>
      </c>
      <c r="AP72" s="28">
        <f t="shared" si="62"/>
        <v>2</v>
      </c>
      <c r="AQ72" s="28">
        <f t="shared" si="63"/>
        <v>0</v>
      </c>
      <c r="AR72" s="23">
        <f t="shared" ref="AR72:AT72" si="68">MIN(2.99,AR69+0.5)</f>
        <v>0.5</v>
      </c>
      <c r="AS72" s="23">
        <f t="shared" si="68"/>
        <v>1.5</v>
      </c>
      <c r="AT72" s="23">
        <f t="shared" si="68"/>
        <v>-0.5</v>
      </c>
      <c r="AU72">
        <v>1</v>
      </c>
      <c r="AV72">
        <v>1</v>
      </c>
      <c r="AW72">
        <v>1</v>
      </c>
      <c r="AX72">
        <v>1</v>
      </c>
      <c r="AY72">
        <v>1</v>
      </c>
      <c r="AZ72">
        <v>1</v>
      </c>
      <c r="BA72">
        <v>1</v>
      </c>
      <c r="BB72">
        <v>1</v>
      </c>
      <c r="BC72">
        <v>1</v>
      </c>
      <c r="BD72">
        <v>1</v>
      </c>
      <c r="BE72">
        <v>1</v>
      </c>
      <c r="BF72">
        <v>1</v>
      </c>
      <c r="BG72">
        <v>1</v>
      </c>
      <c r="BH72">
        <v>1</v>
      </c>
      <c r="BI72">
        <v>1</v>
      </c>
      <c r="BJ72">
        <v>1</v>
      </c>
      <c r="BK72">
        <v>0</v>
      </c>
      <c r="BL72">
        <v>0</v>
      </c>
      <c r="BM72">
        <v>0</v>
      </c>
      <c r="BN72">
        <v>0</v>
      </c>
      <c r="BO72">
        <v>0</v>
      </c>
      <c r="BP72" s="15">
        <v>0</v>
      </c>
    </row>
    <row r="73" spans="1:68" x14ac:dyDescent="0.25">
      <c r="A73" s="19"/>
      <c r="B73">
        <f t="shared" si="3"/>
        <v>68</v>
      </c>
      <c r="C73" t="b">
        <v>0</v>
      </c>
      <c r="D73" t="b">
        <v>0</v>
      </c>
      <c r="E73" t="b">
        <v>0</v>
      </c>
      <c r="F73" s="3" t="str">
        <f t="shared" si="59"/>
        <v>off_p5_2</v>
      </c>
      <c r="G73" s="31" t="str">
        <f>IF(MATCH(F73,F$5:F73,0)=(COUNTA(F$5:F73)),"-","Dup")</f>
        <v>-</v>
      </c>
      <c r="H73" t="s">
        <v>97</v>
      </c>
      <c r="I73" t="b">
        <v>0</v>
      </c>
      <c r="J73" t="b">
        <v>1</v>
      </c>
      <c r="K73" t="s">
        <v>97</v>
      </c>
      <c r="L73" t="s">
        <v>97</v>
      </c>
      <c r="M73" t="s">
        <v>97</v>
      </c>
      <c r="N73" t="s">
        <v>97</v>
      </c>
      <c r="O73" t="s">
        <v>97</v>
      </c>
      <c r="P73" t="s">
        <v>97</v>
      </c>
      <c r="Q73" t="s">
        <v>97</v>
      </c>
      <c r="R73" t="s">
        <v>97</v>
      </c>
      <c r="S73" t="s">
        <v>97</v>
      </c>
      <c r="T73" t="s">
        <v>97</v>
      </c>
      <c r="U73" t="s">
        <v>97</v>
      </c>
      <c r="V73" t="s">
        <v>97</v>
      </c>
      <c r="W73" t="s">
        <v>97</v>
      </c>
      <c r="X73" t="s">
        <v>97</v>
      </c>
      <c r="Y73" t="s">
        <v>97</v>
      </c>
      <c r="Z73" t="s">
        <v>97</v>
      </c>
      <c r="AA73" t="s">
        <v>97</v>
      </c>
      <c r="AB73" t="s">
        <v>97</v>
      </c>
      <c r="AC73" t="s">
        <v>97</v>
      </c>
      <c r="AD73" t="s">
        <v>97</v>
      </c>
      <c r="AE73" t="s">
        <v>97</v>
      </c>
      <c r="AF73" t="s">
        <v>97</v>
      </c>
      <c r="AG73" t="s">
        <v>97</v>
      </c>
      <c r="AH73" s="22" t="b">
        <v>1</v>
      </c>
      <c r="AI73" s="22" t="b">
        <v>1</v>
      </c>
      <c r="AJ73" s="22" t="b">
        <v>1</v>
      </c>
      <c r="AK73" t="s">
        <v>97</v>
      </c>
      <c r="AL73" t="s">
        <v>97</v>
      </c>
      <c r="AM73" t="s">
        <v>97</v>
      </c>
      <c r="AN73" t="s">
        <v>97</v>
      </c>
      <c r="AO73" s="28">
        <f t="shared" si="61"/>
        <v>1</v>
      </c>
      <c r="AP73" s="28">
        <f t="shared" si="62"/>
        <v>2</v>
      </c>
      <c r="AQ73" s="28">
        <f t="shared" si="63"/>
        <v>0</v>
      </c>
      <c r="AR73" s="23">
        <f t="shared" ref="AR73:AT73" si="69">MIN(2.99,AR70+0.5)</f>
        <v>0.5</v>
      </c>
      <c r="AS73" s="23">
        <f t="shared" si="69"/>
        <v>2.5</v>
      </c>
      <c r="AT73" s="23">
        <f t="shared" si="69"/>
        <v>-1.5</v>
      </c>
      <c r="AU73">
        <v>1</v>
      </c>
      <c r="AV73">
        <v>1</v>
      </c>
      <c r="AW73">
        <v>1</v>
      </c>
      <c r="AX73">
        <v>1</v>
      </c>
      <c r="AY73">
        <v>1</v>
      </c>
      <c r="AZ73">
        <v>1</v>
      </c>
      <c r="BA73">
        <v>1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>
        <v>0</v>
      </c>
      <c r="BL73">
        <v>0</v>
      </c>
      <c r="BM73">
        <v>0</v>
      </c>
      <c r="BN73">
        <v>0</v>
      </c>
      <c r="BO73">
        <v>0</v>
      </c>
      <c r="BP73" s="15">
        <v>0</v>
      </c>
    </row>
    <row r="74" spans="1:68" x14ac:dyDescent="0.25">
      <c r="A74" s="19"/>
      <c r="B74">
        <f t="shared" si="3"/>
        <v>69</v>
      </c>
      <c r="C74" t="b">
        <v>0</v>
      </c>
      <c r="D74" t="b">
        <v>0</v>
      </c>
      <c r="E74" t="b">
        <v>0</v>
      </c>
      <c r="F74" s="3" t="str">
        <f t="shared" si="59"/>
        <v>off_1_p5</v>
      </c>
      <c r="G74" s="31" t="str">
        <f>IF(MATCH(F74,F$5:F74,0)=(COUNTA(F$5:F74)),"-","Dup")</f>
        <v>-</v>
      </c>
      <c r="H74" t="s">
        <v>97</v>
      </c>
      <c r="I74" t="b">
        <v>0</v>
      </c>
      <c r="J74" t="b">
        <v>1</v>
      </c>
      <c r="K74" t="s">
        <v>97</v>
      </c>
      <c r="L74" t="s">
        <v>97</v>
      </c>
      <c r="M74" t="s">
        <v>97</v>
      </c>
      <c r="N74" t="s">
        <v>97</v>
      </c>
      <c r="O74" t="s">
        <v>97</v>
      </c>
      <c r="P74" t="s">
        <v>97</v>
      </c>
      <c r="Q74" t="s">
        <v>97</v>
      </c>
      <c r="R74" t="s">
        <v>97</v>
      </c>
      <c r="S74" t="s">
        <v>97</v>
      </c>
      <c r="T74" t="s">
        <v>97</v>
      </c>
      <c r="U74" t="s">
        <v>97</v>
      </c>
      <c r="V74" t="s">
        <v>97</v>
      </c>
      <c r="W74" t="s">
        <v>97</v>
      </c>
      <c r="X74" t="s">
        <v>97</v>
      </c>
      <c r="Y74" t="s">
        <v>97</v>
      </c>
      <c r="Z74" t="s">
        <v>97</v>
      </c>
      <c r="AA74" t="s">
        <v>97</v>
      </c>
      <c r="AB74" t="s">
        <v>97</v>
      </c>
      <c r="AC74" t="s">
        <v>97</v>
      </c>
      <c r="AD74" t="s">
        <v>97</v>
      </c>
      <c r="AE74" t="s">
        <v>97</v>
      </c>
      <c r="AF74" t="s">
        <v>97</v>
      </c>
      <c r="AG74" t="s">
        <v>97</v>
      </c>
      <c r="AH74" s="22" t="b">
        <v>1</v>
      </c>
      <c r="AI74" s="22" t="b">
        <v>1</v>
      </c>
      <c r="AJ74" s="22" t="b">
        <v>1</v>
      </c>
      <c r="AK74" t="s">
        <v>97</v>
      </c>
      <c r="AL74" t="s">
        <v>97</v>
      </c>
      <c r="AM74" t="s">
        <v>97</v>
      </c>
      <c r="AN74" t="s">
        <v>97</v>
      </c>
      <c r="AO74" s="28">
        <f t="shared" si="61"/>
        <v>1</v>
      </c>
      <c r="AP74" s="28">
        <f t="shared" si="62"/>
        <v>2</v>
      </c>
      <c r="AQ74" s="28">
        <f t="shared" si="63"/>
        <v>0</v>
      </c>
      <c r="AR74" s="23">
        <f t="shared" ref="AR74:AT74" si="70">MIN(2.99,AR71+0.5)</f>
        <v>1</v>
      </c>
      <c r="AS74" s="23">
        <f t="shared" si="70"/>
        <v>1.5</v>
      </c>
      <c r="AT74" s="23">
        <f t="shared" si="70"/>
        <v>0.5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1</v>
      </c>
      <c r="BF74">
        <v>1</v>
      </c>
      <c r="BG74">
        <v>1</v>
      </c>
      <c r="BH74">
        <v>1</v>
      </c>
      <c r="BI74">
        <v>1</v>
      </c>
      <c r="BJ74">
        <v>1</v>
      </c>
      <c r="BK74">
        <v>0</v>
      </c>
      <c r="BL74">
        <v>0</v>
      </c>
      <c r="BM74">
        <v>0</v>
      </c>
      <c r="BN74">
        <v>0</v>
      </c>
      <c r="BO74">
        <v>0</v>
      </c>
      <c r="BP74" s="15">
        <v>0</v>
      </c>
    </row>
    <row r="75" spans="1:68" x14ac:dyDescent="0.25">
      <c r="A75" s="19"/>
      <c r="B75">
        <f t="shared" si="3"/>
        <v>70</v>
      </c>
      <c r="C75" t="b">
        <v>0</v>
      </c>
      <c r="D75" t="b">
        <v>0</v>
      </c>
      <c r="E75" t="b">
        <v>0</v>
      </c>
      <c r="F75" s="3" t="str">
        <f t="shared" si="59"/>
        <v>off_1_1</v>
      </c>
      <c r="G75" s="31" t="str">
        <f>IF(MATCH(F75,F$5:F75,0)=(COUNTA(F$5:F75)),"-","Dup")</f>
        <v>-</v>
      </c>
      <c r="H75" t="s">
        <v>97</v>
      </c>
      <c r="I75" t="b">
        <v>0</v>
      </c>
      <c r="J75" t="b">
        <v>1</v>
      </c>
      <c r="K75" t="s">
        <v>97</v>
      </c>
      <c r="L75" t="s">
        <v>97</v>
      </c>
      <c r="M75" t="s">
        <v>97</v>
      </c>
      <c r="N75" t="s">
        <v>97</v>
      </c>
      <c r="O75" t="s">
        <v>97</v>
      </c>
      <c r="P75" t="s">
        <v>97</v>
      </c>
      <c r="Q75" t="s">
        <v>97</v>
      </c>
      <c r="R75" t="s">
        <v>97</v>
      </c>
      <c r="S75" t="s">
        <v>97</v>
      </c>
      <c r="T75" t="s">
        <v>97</v>
      </c>
      <c r="U75" t="s">
        <v>97</v>
      </c>
      <c r="V75" t="s">
        <v>97</v>
      </c>
      <c r="W75" t="s">
        <v>97</v>
      </c>
      <c r="X75" t="s">
        <v>97</v>
      </c>
      <c r="Y75" t="s">
        <v>97</v>
      </c>
      <c r="Z75" t="s">
        <v>97</v>
      </c>
      <c r="AA75" t="s">
        <v>97</v>
      </c>
      <c r="AB75" t="s">
        <v>97</v>
      </c>
      <c r="AC75" t="s">
        <v>97</v>
      </c>
      <c r="AD75" t="s">
        <v>97</v>
      </c>
      <c r="AE75" t="s">
        <v>97</v>
      </c>
      <c r="AF75" t="s">
        <v>97</v>
      </c>
      <c r="AG75" t="s">
        <v>97</v>
      </c>
      <c r="AH75" s="22" t="b">
        <v>1</v>
      </c>
      <c r="AI75" s="22" t="b">
        <v>1</v>
      </c>
      <c r="AJ75" s="22" t="b">
        <v>1</v>
      </c>
      <c r="AK75" t="s">
        <v>97</v>
      </c>
      <c r="AL75" t="s">
        <v>97</v>
      </c>
      <c r="AM75" t="s">
        <v>97</v>
      </c>
      <c r="AN75" t="s">
        <v>97</v>
      </c>
      <c r="AO75" s="28">
        <f t="shared" si="61"/>
        <v>1</v>
      </c>
      <c r="AP75" s="28">
        <f t="shared" si="62"/>
        <v>2</v>
      </c>
      <c r="AQ75" s="28">
        <f t="shared" si="63"/>
        <v>0</v>
      </c>
      <c r="AR75" s="23">
        <f t="shared" ref="AR75:AT75" si="71">MIN(2.99,AR72+0.5)</f>
        <v>1</v>
      </c>
      <c r="AS75" s="23">
        <f t="shared" si="71"/>
        <v>2</v>
      </c>
      <c r="AT75" s="23">
        <f t="shared" si="71"/>
        <v>0</v>
      </c>
      <c r="AU75">
        <v>1</v>
      </c>
      <c r="AV75">
        <v>1</v>
      </c>
      <c r="AW75">
        <v>1</v>
      </c>
      <c r="AX75">
        <v>1</v>
      </c>
      <c r="AY75">
        <v>1</v>
      </c>
      <c r="AZ75">
        <v>1</v>
      </c>
      <c r="BA75">
        <v>1</v>
      </c>
      <c r="BB75">
        <v>1</v>
      </c>
      <c r="BC75">
        <v>1</v>
      </c>
      <c r="BD75">
        <v>1</v>
      </c>
      <c r="BE75">
        <v>1</v>
      </c>
      <c r="BF75">
        <v>1</v>
      </c>
      <c r="BG75">
        <v>1</v>
      </c>
      <c r="BH75">
        <v>1</v>
      </c>
      <c r="BI75">
        <v>1</v>
      </c>
      <c r="BJ75">
        <v>1</v>
      </c>
      <c r="BK75">
        <v>0</v>
      </c>
      <c r="BL75">
        <v>0</v>
      </c>
      <c r="BM75">
        <v>0</v>
      </c>
      <c r="BN75">
        <v>0</v>
      </c>
      <c r="BO75">
        <v>0</v>
      </c>
      <c r="BP75" s="15">
        <v>0</v>
      </c>
    </row>
    <row r="76" spans="1:68" x14ac:dyDescent="0.25">
      <c r="A76" s="19"/>
      <c r="B76">
        <f t="shared" si="3"/>
        <v>71</v>
      </c>
      <c r="C76" t="b">
        <v>0</v>
      </c>
      <c r="D76" t="b">
        <v>0</v>
      </c>
      <c r="E76" t="b">
        <v>0</v>
      </c>
      <c r="F76" s="3" t="str">
        <f t="shared" si="59"/>
        <v>off_1_1p99</v>
      </c>
      <c r="G76" s="31" t="str">
        <f>IF(MATCH(F76,F$5:F76,0)=(COUNTA(F$5:F76)),"-","Dup")</f>
        <v>-</v>
      </c>
      <c r="H76" t="s">
        <v>97</v>
      </c>
      <c r="I76" t="b">
        <v>0</v>
      </c>
      <c r="J76" t="b">
        <v>1</v>
      </c>
      <c r="K76" t="s">
        <v>97</v>
      </c>
      <c r="L76" t="s">
        <v>97</v>
      </c>
      <c r="M76" t="s">
        <v>97</v>
      </c>
      <c r="N76" t="s">
        <v>97</v>
      </c>
      <c r="O76" t="s">
        <v>97</v>
      </c>
      <c r="P76" t="s">
        <v>97</v>
      </c>
      <c r="Q76" t="s">
        <v>97</v>
      </c>
      <c r="R76" t="s">
        <v>97</v>
      </c>
      <c r="S76" t="s">
        <v>97</v>
      </c>
      <c r="T76" t="s">
        <v>97</v>
      </c>
      <c r="U76" t="s">
        <v>97</v>
      </c>
      <c r="V76" t="s">
        <v>97</v>
      </c>
      <c r="W76" t="s">
        <v>97</v>
      </c>
      <c r="X76" t="s">
        <v>97</v>
      </c>
      <c r="Y76" t="s">
        <v>97</v>
      </c>
      <c r="Z76" t="s">
        <v>97</v>
      </c>
      <c r="AA76" t="s">
        <v>97</v>
      </c>
      <c r="AB76" t="s">
        <v>97</v>
      </c>
      <c r="AC76" t="s">
        <v>97</v>
      </c>
      <c r="AD76" t="s">
        <v>97</v>
      </c>
      <c r="AE76" t="s">
        <v>97</v>
      </c>
      <c r="AF76" t="s">
        <v>97</v>
      </c>
      <c r="AG76" t="s">
        <v>97</v>
      </c>
      <c r="AH76" s="22" t="b">
        <v>1</v>
      </c>
      <c r="AI76" s="22" t="b">
        <v>1</v>
      </c>
      <c r="AJ76" s="22" t="b">
        <v>1</v>
      </c>
      <c r="AK76" t="s">
        <v>97</v>
      </c>
      <c r="AL76" t="s">
        <v>97</v>
      </c>
      <c r="AM76" t="s">
        <v>97</v>
      </c>
      <c r="AN76" t="s">
        <v>97</v>
      </c>
      <c r="AO76" s="28">
        <f t="shared" si="61"/>
        <v>1</v>
      </c>
      <c r="AP76" s="28">
        <f t="shared" si="62"/>
        <v>2</v>
      </c>
      <c r="AQ76" s="28">
        <f t="shared" si="63"/>
        <v>0</v>
      </c>
      <c r="AR76" s="23">
        <f t="shared" ref="AR76:AT76" si="72">MIN(2.99,AR73+0.5)</f>
        <v>1</v>
      </c>
      <c r="AS76" s="23">
        <f t="shared" si="72"/>
        <v>2.99</v>
      </c>
      <c r="AT76" s="23">
        <f t="shared" si="72"/>
        <v>-1</v>
      </c>
      <c r="AU76">
        <v>1</v>
      </c>
      <c r="AV76">
        <v>1</v>
      </c>
      <c r="AW76">
        <v>1</v>
      </c>
      <c r="AX76">
        <v>1</v>
      </c>
      <c r="AY76">
        <v>1</v>
      </c>
      <c r="AZ76">
        <v>1</v>
      </c>
      <c r="BA76">
        <v>1</v>
      </c>
      <c r="BB76">
        <v>1</v>
      </c>
      <c r="BC76">
        <v>1</v>
      </c>
      <c r="BD76">
        <v>1</v>
      </c>
      <c r="BE76">
        <v>1</v>
      </c>
      <c r="BF76">
        <v>1</v>
      </c>
      <c r="BG76">
        <v>1</v>
      </c>
      <c r="BH76">
        <v>1</v>
      </c>
      <c r="BI76">
        <v>1</v>
      </c>
      <c r="BJ76">
        <v>1</v>
      </c>
      <c r="BK76">
        <v>0</v>
      </c>
      <c r="BL76">
        <v>0</v>
      </c>
      <c r="BM76">
        <v>0</v>
      </c>
      <c r="BN76">
        <v>0</v>
      </c>
      <c r="BO76">
        <v>0</v>
      </c>
      <c r="BP76" s="15">
        <v>0</v>
      </c>
    </row>
    <row r="77" spans="1:68" x14ac:dyDescent="0.25">
      <c r="A77" s="19"/>
      <c r="B77">
        <f t="shared" si="3"/>
        <v>72</v>
      </c>
      <c r="C77" t="b">
        <v>0</v>
      </c>
      <c r="D77" t="b">
        <v>0</v>
      </c>
      <c r="E77" t="b">
        <v>0</v>
      </c>
      <c r="F77" s="3" t="str">
        <f t="shared" ref="F77:F88" si="73">SUBSTITUTE(SUBSTITUTE("offFL_"&amp;$AR77&amp;"_"&amp;($AS77-$AR77),"0.","p"),".","p")</f>
        <v>offFL_-p5_p5</v>
      </c>
      <c r="G77" s="31" t="str">
        <f>IF(MATCH(F77,F$5:F77,0)=(COUNTA(F$5:F77)),"-","Dup")</f>
        <v>-</v>
      </c>
      <c r="H77" t="s">
        <v>97</v>
      </c>
      <c r="I77" t="b">
        <v>0</v>
      </c>
      <c r="J77" t="b">
        <v>1</v>
      </c>
      <c r="K77" t="s">
        <v>97</v>
      </c>
      <c r="L77" t="s">
        <v>97</v>
      </c>
      <c r="M77" t="s">
        <v>97</v>
      </c>
      <c r="N77" t="s">
        <v>97</v>
      </c>
      <c r="O77" t="s">
        <v>97</v>
      </c>
      <c r="P77" t="s">
        <v>97</v>
      </c>
      <c r="Q77" t="s">
        <v>97</v>
      </c>
      <c r="R77" t="s">
        <v>97</v>
      </c>
      <c r="S77" t="s">
        <v>97</v>
      </c>
      <c r="T77" t="s">
        <v>97</v>
      </c>
      <c r="U77" t="s">
        <v>97</v>
      </c>
      <c r="V77" t="s">
        <v>97</v>
      </c>
      <c r="W77" t="s">
        <v>97</v>
      </c>
      <c r="X77" t="s">
        <v>97</v>
      </c>
      <c r="Y77" t="s">
        <v>97</v>
      </c>
      <c r="Z77" t="s">
        <v>97</v>
      </c>
      <c r="AA77" t="s">
        <v>97</v>
      </c>
      <c r="AB77" t="s">
        <v>97</v>
      </c>
      <c r="AC77" t="s">
        <v>97</v>
      </c>
      <c r="AD77" t="s">
        <v>97</v>
      </c>
      <c r="AE77" t="s">
        <v>97</v>
      </c>
      <c r="AF77" t="s">
        <v>97</v>
      </c>
      <c r="AG77" t="s">
        <v>97</v>
      </c>
      <c r="AH77" s="22" t="b">
        <v>1</v>
      </c>
      <c r="AI77" s="22" t="b">
        <v>1</v>
      </c>
      <c r="AJ77" s="22" t="b">
        <v>1</v>
      </c>
      <c r="AK77" t="s">
        <v>97</v>
      </c>
      <c r="AL77" t="s">
        <v>97</v>
      </c>
      <c r="AM77" t="s">
        <v>97</v>
      </c>
      <c r="AN77" t="s">
        <v>97</v>
      </c>
      <c r="AO77" s="28">
        <f t="shared" si="61"/>
        <v>1</v>
      </c>
      <c r="AP77" s="28">
        <f t="shared" si="62"/>
        <v>2</v>
      </c>
      <c r="AQ77" s="28">
        <f t="shared" si="63"/>
        <v>0</v>
      </c>
      <c r="AR77" s="22">
        <v>-0.5</v>
      </c>
      <c r="AS77" s="24">
        <f>$AR77+0.5</f>
        <v>0</v>
      </c>
      <c r="AT77" s="22">
        <v>2.99</v>
      </c>
      <c r="AU77">
        <v>1</v>
      </c>
      <c r="AV77">
        <v>1</v>
      </c>
      <c r="AW77">
        <v>1</v>
      </c>
      <c r="AX77">
        <v>1</v>
      </c>
      <c r="AY77">
        <v>1</v>
      </c>
      <c r="AZ77">
        <v>1</v>
      </c>
      <c r="BA77">
        <v>1</v>
      </c>
      <c r="BB77">
        <v>1</v>
      </c>
      <c r="BC77">
        <v>1</v>
      </c>
      <c r="BD77">
        <v>1</v>
      </c>
      <c r="BE77">
        <v>1</v>
      </c>
      <c r="BF77">
        <v>1</v>
      </c>
      <c r="BG77">
        <v>1</v>
      </c>
      <c r="BH77">
        <v>1</v>
      </c>
      <c r="BI77">
        <v>1</v>
      </c>
      <c r="BJ77">
        <v>1</v>
      </c>
      <c r="BK77">
        <v>0</v>
      </c>
      <c r="BL77">
        <v>0</v>
      </c>
      <c r="BM77">
        <v>0</v>
      </c>
      <c r="BN77">
        <v>0</v>
      </c>
      <c r="BO77">
        <v>0</v>
      </c>
      <c r="BP77" s="15">
        <v>0</v>
      </c>
    </row>
    <row r="78" spans="1:68" x14ac:dyDescent="0.25">
      <c r="A78" s="19"/>
      <c r="B78">
        <f t="shared" si="3"/>
        <v>73</v>
      </c>
      <c r="C78" t="b">
        <v>0</v>
      </c>
      <c r="D78" t="b">
        <v>0</v>
      </c>
      <c r="E78" t="b">
        <v>0</v>
      </c>
      <c r="F78" s="3" t="str">
        <f t="shared" si="73"/>
        <v>offFL_-p5_1</v>
      </c>
      <c r="G78" s="31" t="str">
        <f>IF(MATCH(F78,F$5:F78,0)=(COUNTA(F$5:F78)),"-","Dup")</f>
        <v>-</v>
      </c>
      <c r="H78" t="s">
        <v>97</v>
      </c>
      <c r="I78" t="b">
        <v>0</v>
      </c>
      <c r="J78" t="b">
        <v>1</v>
      </c>
      <c r="K78" t="s">
        <v>97</v>
      </c>
      <c r="L78" t="s">
        <v>97</v>
      </c>
      <c r="M78" t="s">
        <v>97</v>
      </c>
      <c r="N78" t="s">
        <v>97</v>
      </c>
      <c r="O78" t="s">
        <v>97</v>
      </c>
      <c r="P78" t="s">
        <v>97</v>
      </c>
      <c r="Q78" t="s">
        <v>97</v>
      </c>
      <c r="R78" t="s">
        <v>97</v>
      </c>
      <c r="S78" t="s">
        <v>97</v>
      </c>
      <c r="T78" t="s">
        <v>97</v>
      </c>
      <c r="U78" t="s">
        <v>97</v>
      </c>
      <c r="V78" t="s">
        <v>97</v>
      </c>
      <c r="W78" t="s">
        <v>97</v>
      </c>
      <c r="X78" t="s">
        <v>97</v>
      </c>
      <c r="Y78" t="s">
        <v>97</v>
      </c>
      <c r="Z78" t="s">
        <v>97</v>
      </c>
      <c r="AA78" t="s">
        <v>97</v>
      </c>
      <c r="AB78" t="s">
        <v>97</v>
      </c>
      <c r="AC78" t="s">
        <v>97</v>
      </c>
      <c r="AD78" t="s">
        <v>97</v>
      </c>
      <c r="AE78" t="s">
        <v>97</v>
      </c>
      <c r="AF78" t="s">
        <v>97</v>
      </c>
      <c r="AG78" t="s">
        <v>97</v>
      </c>
      <c r="AH78" s="22" t="b">
        <v>1</v>
      </c>
      <c r="AI78" s="22" t="b">
        <v>1</v>
      </c>
      <c r="AJ78" s="22" t="b">
        <v>1</v>
      </c>
      <c r="AK78" t="s">
        <v>97</v>
      </c>
      <c r="AL78" t="s">
        <v>97</v>
      </c>
      <c r="AM78" t="s">
        <v>97</v>
      </c>
      <c r="AN78" t="s">
        <v>97</v>
      </c>
      <c r="AO78" s="28">
        <f t="shared" si="61"/>
        <v>1</v>
      </c>
      <c r="AP78" s="28">
        <f t="shared" si="62"/>
        <v>2</v>
      </c>
      <c r="AQ78" s="28">
        <f t="shared" si="63"/>
        <v>0</v>
      </c>
      <c r="AR78" s="29">
        <f>AR77</f>
        <v>-0.5</v>
      </c>
      <c r="AS78" s="24">
        <f>$AR78+1</f>
        <v>0.5</v>
      </c>
      <c r="AT78" s="28">
        <f t="shared" ref="AT78:AT88" si="74">AT77</f>
        <v>2.99</v>
      </c>
      <c r="AU78">
        <v>1</v>
      </c>
      <c r="AV78">
        <v>1</v>
      </c>
      <c r="AW78">
        <v>1</v>
      </c>
      <c r="AX78">
        <v>1</v>
      </c>
      <c r="AY78">
        <v>1</v>
      </c>
      <c r="AZ78">
        <v>1</v>
      </c>
      <c r="BA78">
        <v>1</v>
      </c>
      <c r="BB78">
        <v>1</v>
      </c>
      <c r="BC78">
        <v>1</v>
      </c>
      <c r="BD78">
        <v>1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1</v>
      </c>
      <c r="BK78">
        <v>0</v>
      </c>
      <c r="BL78">
        <v>0</v>
      </c>
      <c r="BM78">
        <v>0</v>
      </c>
      <c r="BN78">
        <v>0</v>
      </c>
      <c r="BO78">
        <v>0</v>
      </c>
      <c r="BP78" s="15">
        <v>0</v>
      </c>
    </row>
    <row r="79" spans="1:68" x14ac:dyDescent="0.25">
      <c r="A79" s="19"/>
      <c r="B79">
        <f t="shared" si="3"/>
        <v>74</v>
      </c>
      <c r="C79" t="b">
        <v>0</v>
      </c>
      <c r="D79" t="b">
        <v>0</v>
      </c>
      <c r="E79" t="b">
        <v>0</v>
      </c>
      <c r="F79" s="3" t="str">
        <f t="shared" si="73"/>
        <v>offFL_-p5_2</v>
      </c>
      <c r="G79" s="31" t="str">
        <f>IF(MATCH(F79,F$5:F79,0)=(COUNTA(F$5:F79)),"-","Dup")</f>
        <v>-</v>
      </c>
      <c r="H79" t="s">
        <v>97</v>
      </c>
      <c r="I79" t="b">
        <v>0</v>
      </c>
      <c r="J79" t="b">
        <v>1</v>
      </c>
      <c r="K79" t="s">
        <v>97</v>
      </c>
      <c r="L79" t="s">
        <v>97</v>
      </c>
      <c r="M79" t="s">
        <v>97</v>
      </c>
      <c r="N79" t="s">
        <v>97</v>
      </c>
      <c r="O79" t="s">
        <v>97</v>
      </c>
      <c r="P79" t="s">
        <v>97</v>
      </c>
      <c r="Q79" t="s">
        <v>97</v>
      </c>
      <c r="R79" t="s">
        <v>97</v>
      </c>
      <c r="S79" t="s">
        <v>97</v>
      </c>
      <c r="T79" t="s">
        <v>97</v>
      </c>
      <c r="U79" t="s">
        <v>97</v>
      </c>
      <c r="V79" t="s">
        <v>97</v>
      </c>
      <c r="W79" t="s">
        <v>97</v>
      </c>
      <c r="X79" t="s">
        <v>97</v>
      </c>
      <c r="Y79" t="s">
        <v>97</v>
      </c>
      <c r="Z79" t="s">
        <v>97</v>
      </c>
      <c r="AA79" t="s">
        <v>97</v>
      </c>
      <c r="AB79" t="s">
        <v>97</v>
      </c>
      <c r="AC79" t="s">
        <v>97</v>
      </c>
      <c r="AD79" t="s">
        <v>97</v>
      </c>
      <c r="AE79" t="s">
        <v>97</v>
      </c>
      <c r="AF79" t="s">
        <v>97</v>
      </c>
      <c r="AG79" t="s">
        <v>97</v>
      </c>
      <c r="AH79" s="22" t="b">
        <v>1</v>
      </c>
      <c r="AI79" s="22" t="b">
        <v>1</v>
      </c>
      <c r="AJ79" s="22" t="b">
        <v>1</v>
      </c>
      <c r="AK79" t="s">
        <v>97</v>
      </c>
      <c r="AL79" t="s">
        <v>97</v>
      </c>
      <c r="AM79" t="s">
        <v>97</v>
      </c>
      <c r="AN79" t="s">
        <v>97</v>
      </c>
      <c r="AO79" s="28">
        <f t="shared" si="61"/>
        <v>1</v>
      </c>
      <c r="AP79" s="28">
        <f t="shared" si="62"/>
        <v>2</v>
      </c>
      <c r="AQ79" s="28">
        <f t="shared" si="63"/>
        <v>0</v>
      </c>
      <c r="AR79" s="29">
        <f>AR78</f>
        <v>-0.5</v>
      </c>
      <c r="AS79" s="24">
        <f>$AR79+2</f>
        <v>1.5</v>
      </c>
      <c r="AT79" s="28">
        <f t="shared" si="74"/>
        <v>2.99</v>
      </c>
      <c r="AU79">
        <v>1</v>
      </c>
      <c r="AV79">
        <v>1</v>
      </c>
      <c r="AW79">
        <v>1</v>
      </c>
      <c r="AX79">
        <v>1</v>
      </c>
      <c r="AY79">
        <v>1</v>
      </c>
      <c r="AZ79">
        <v>1</v>
      </c>
      <c r="BA79">
        <v>1</v>
      </c>
      <c r="BB79">
        <v>1</v>
      </c>
      <c r="BC79">
        <v>1</v>
      </c>
      <c r="BD79">
        <v>1</v>
      </c>
      <c r="BE79">
        <v>1</v>
      </c>
      <c r="BF79">
        <v>1</v>
      </c>
      <c r="BG79">
        <v>1</v>
      </c>
      <c r="BH79">
        <v>1</v>
      </c>
      <c r="BI79">
        <v>1</v>
      </c>
      <c r="BJ79">
        <v>1</v>
      </c>
      <c r="BK79">
        <v>0</v>
      </c>
      <c r="BL79">
        <v>0</v>
      </c>
      <c r="BM79">
        <v>0</v>
      </c>
      <c r="BN79">
        <v>0</v>
      </c>
      <c r="BO79">
        <v>0</v>
      </c>
      <c r="BP79" s="15">
        <v>0</v>
      </c>
    </row>
    <row r="80" spans="1:68" x14ac:dyDescent="0.25">
      <c r="A80" s="19"/>
      <c r="B80">
        <f t="shared" si="3"/>
        <v>75</v>
      </c>
      <c r="C80" t="b">
        <v>0</v>
      </c>
      <c r="D80" t="b">
        <v>0</v>
      </c>
      <c r="E80" t="b">
        <v>0</v>
      </c>
      <c r="F80" s="3" t="str">
        <f t="shared" si="73"/>
        <v>offFL_0_p5</v>
      </c>
      <c r="G80" s="31" t="str">
        <f>IF(MATCH(F80,F$5:F80,0)=(COUNTA(F$5:F80)),"-","Dup")</f>
        <v>-</v>
      </c>
      <c r="H80" t="s">
        <v>97</v>
      </c>
      <c r="I80" t="b">
        <v>0</v>
      </c>
      <c r="J80" t="b">
        <v>1</v>
      </c>
      <c r="K80" t="s">
        <v>97</v>
      </c>
      <c r="L80" t="s">
        <v>97</v>
      </c>
      <c r="M80" t="s">
        <v>97</v>
      </c>
      <c r="N80" t="s">
        <v>97</v>
      </c>
      <c r="O80" t="s">
        <v>97</v>
      </c>
      <c r="P80" t="s">
        <v>97</v>
      </c>
      <c r="Q80" t="s">
        <v>97</v>
      </c>
      <c r="R80" t="s">
        <v>97</v>
      </c>
      <c r="S80" t="s">
        <v>97</v>
      </c>
      <c r="T80" t="s">
        <v>97</v>
      </c>
      <c r="U80" t="s">
        <v>97</v>
      </c>
      <c r="V80" t="s">
        <v>97</v>
      </c>
      <c r="W80" t="s">
        <v>97</v>
      </c>
      <c r="X80" t="s">
        <v>97</v>
      </c>
      <c r="Y80" t="s">
        <v>97</v>
      </c>
      <c r="Z80" t="s">
        <v>97</v>
      </c>
      <c r="AA80" t="s">
        <v>97</v>
      </c>
      <c r="AB80" t="s">
        <v>97</v>
      </c>
      <c r="AC80" t="s">
        <v>97</v>
      </c>
      <c r="AD80" t="s">
        <v>97</v>
      </c>
      <c r="AE80" t="s">
        <v>97</v>
      </c>
      <c r="AF80" t="s">
        <v>97</v>
      </c>
      <c r="AG80" t="s">
        <v>97</v>
      </c>
      <c r="AH80" s="22" t="b">
        <v>1</v>
      </c>
      <c r="AI80" s="22" t="b">
        <v>1</v>
      </c>
      <c r="AJ80" s="22" t="b">
        <v>1</v>
      </c>
      <c r="AK80" t="s">
        <v>97</v>
      </c>
      <c r="AL80" t="s">
        <v>97</v>
      </c>
      <c r="AM80" t="s">
        <v>97</v>
      </c>
      <c r="AN80" t="s">
        <v>97</v>
      </c>
      <c r="AO80" s="28">
        <f t="shared" si="61"/>
        <v>1</v>
      </c>
      <c r="AP80" s="28">
        <f t="shared" si="62"/>
        <v>2</v>
      </c>
      <c r="AQ80" s="28">
        <f t="shared" si="63"/>
        <v>0</v>
      </c>
      <c r="AR80" s="23">
        <f t="shared" ref="AR80:AS80" si="75">MIN(2.99,AR77+0.5)</f>
        <v>0</v>
      </c>
      <c r="AS80" s="23">
        <f t="shared" si="75"/>
        <v>0.5</v>
      </c>
      <c r="AT80" s="28">
        <f t="shared" si="74"/>
        <v>2.99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0</v>
      </c>
      <c r="BL80">
        <v>0</v>
      </c>
      <c r="BM80">
        <v>0</v>
      </c>
      <c r="BN80">
        <v>0</v>
      </c>
      <c r="BO80">
        <v>0</v>
      </c>
      <c r="BP80" s="15">
        <v>0</v>
      </c>
    </row>
    <row r="81" spans="1:68" x14ac:dyDescent="0.25">
      <c r="A81" s="19"/>
      <c r="B81">
        <f t="shared" si="3"/>
        <v>76</v>
      </c>
      <c r="C81" t="b">
        <v>0</v>
      </c>
      <c r="D81" t="b">
        <v>0</v>
      </c>
      <c r="E81" t="b">
        <v>0</v>
      </c>
      <c r="F81" s="3" t="str">
        <f t="shared" si="73"/>
        <v>offFL_0_1</v>
      </c>
      <c r="G81" s="31" t="str">
        <f>IF(MATCH(F81,F$5:F81,0)=(COUNTA(F$5:F81)),"-","Dup")</f>
        <v>-</v>
      </c>
      <c r="H81" t="s">
        <v>97</v>
      </c>
      <c r="I81" t="b">
        <v>0</v>
      </c>
      <c r="J81" t="b">
        <v>1</v>
      </c>
      <c r="K81" t="s">
        <v>97</v>
      </c>
      <c r="L81" t="s">
        <v>97</v>
      </c>
      <c r="M81" t="s">
        <v>97</v>
      </c>
      <c r="N81" t="s">
        <v>97</v>
      </c>
      <c r="O81" t="s">
        <v>97</v>
      </c>
      <c r="P81" t="s">
        <v>97</v>
      </c>
      <c r="Q81" t="s">
        <v>97</v>
      </c>
      <c r="R81" t="s">
        <v>97</v>
      </c>
      <c r="S81" t="s">
        <v>97</v>
      </c>
      <c r="T81" t="s">
        <v>97</v>
      </c>
      <c r="U81" t="s">
        <v>97</v>
      </c>
      <c r="V81" t="s">
        <v>97</v>
      </c>
      <c r="W81" t="s">
        <v>97</v>
      </c>
      <c r="X81" t="s">
        <v>97</v>
      </c>
      <c r="Y81" t="s">
        <v>97</v>
      </c>
      <c r="Z81" t="s">
        <v>97</v>
      </c>
      <c r="AA81" t="s">
        <v>97</v>
      </c>
      <c r="AB81" t="s">
        <v>97</v>
      </c>
      <c r="AC81" t="s">
        <v>97</v>
      </c>
      <c r="AD81" t="s">
        <v>97</v>
      </c>
      <c r="AE81" t="s">
        <v>97</v>
      </c>
      <c r="AF81" t="s">
        <v>97</v>
      </c>
      <c r="AG81" t="s">
        <v>97</v>
      </c>
      <c r="AH81" s="22" t="b">
        <v>1</v>
      </c>
      <c r="AI81" s="22" t="b">
        <v>1</v>
      </c>
      <c r="AJ81" s="22" t="b">
        <v>1</v>
      </c>
      <c r="AK81" t="s">
        <v>97</v>
      </c>
      <c r="AL81" t="s">
        <v>97</v>
      </c>
      <c r="AM81" t="s">
        <v>97</v>
      </c>
      <c r="AN81" t="s">
        <v>97</v>
      </c>
      <c r="AO81" s="28">
        <f t="shared" si="61"/>
        <v>1</v>
      </c>
      <c r="AP81" s="28">
        <f t="shared" si="62"/>
        <v>2</v>
      </c>
      <c r="AQ81" s="28">
        <f t="shared" si="63"/>
        <v>0</v>
      </c>
      <c r="AR81" s="23">
        <f t="shared" ref="AR81:AS81" si="76">MIN(2.99,AR78+0.5)</f>
        <v>0</v>
      </c>
      <c r="AS81" s="23">
        <f t="shared" si="76"/>
        <v>1</v>
      </c>
      <c r="AT81" s="28">
        <f t="shared" si="74"/>
        <v>2.99</v>
      </c>
      <c r="AU81">
        <v>1</v>
      </c>
      <c r="AV81">
        <v>1</v>
      </c>
      <c r="AW81">
        <v>1</v>
      </c>
      <c r="AX81">
        <v>1</v>
      </c>
      <c r="AY81">
        <v>1</v>
      </c>
      <c r="AZ81">
        <v>1</v>
      </c>
      <c r="BA81">
        <v>1</v>
      </c>
      <c r="BB81">
        <v>1</v>
      </c>
      <c r="BC81">
        <v>1</v>
      </c>
      <c r="BD81">
        <v>1</v>
      </c>
      <c r="BE81">
        <v>1</v>
      </c>
      <c r="BF81">
        <v>1</v>
      </c>
      <c r="BG81">
        <v>1</v>
      </c>
      <c r="BH81">
        <v>1</v>
      </c>
      <c r="BI81">
        <v>1</v>
      </c>
      <c r="BJ81">
        <v>1</v>
      </c>
      <c r="BK81">
        <v>0</v>
      </c>
      <c r="BL81">
        <v>0</v>
      </c>
      <c r="BM81">
        <v>0</v>
      </c>
      <c r="BN81">
        <v>0</v>
      </c>
      <c r="BO81">
        <v>0</v>
      </c>
      <c r="BP81" s="15">
        <v>0</v>
      </c>
    </row>
    <row r="82" spans="1:68" x14ac:dyDescent="0.25">
      <c r="A82" s="19"/>
      <c r="B82">
        <f t="shared" si="3"/>
        <v>77</v>
      </c>
      <c r="C82" t="b">
        <v>0</v>
      </c>
      <c r="D82" t="b">
        <v>0</v>
      </c>
      <c r="E82" t="b">
        <v>0</v>
      </c>
      <c r="F82" s="3" t="str">
        <f t="shared" si="73"/>
        <v>offFL_0_2</v>
      </c>
      <c r="G82" s="31" t="str">
        <f>IF(MATCH(F82,F$5:F82,0)=(COUNTA(F$5:F82)),"-","Dup")</f>
        <v>-</v>
      </c>
      <c r="H82" t="s">
        <v>97</v>
      </c>
      <c r="I82" t="b">
        <v>0</v>
      </c>
      <c r="J82" t="b">
        <v>1</v>
      </c>
      <c r="K82" t="s">
        <v>97</v>
      </c>
      <c r="L82" t="s">
        <v>97</v>
      </c>
      <c r="M82" t="s">
        <v>97</v>
      </c>
      <c r="N82" t="s">
        <v>97</v>
      </c>
      <c r="O82" t="s">
        <v>97</v>
      </c>
      <c r="P82" t="s">
        <v>97</v>
      </c>
      <c r="Q82" t="s">
        <v>97</v>
      </c>
      <c r="R82" t="s">
        <v>97</v>
      </c>
      <c r="S82" t="s">
        <v>97</v>
      </c>
      <c r="T82" t="s">
        <v>97</v>
      </c>
      <c r="U82" t="s">
        <v>97</v>
      </c>
      <c r="V82" t="s">
        <v>97</v>
      </c>
      <c r="W82" t="s">
        <v>97</v>
      </c>
      <c r="X82" t="s">
        <v>97</v>
      </c>
      <c r="Y82" t="s">
        <v>97</v>
      </c>
      <c r="Z82" t="s">
        <v>97</v>
      </c>
      <c r="AA82" t="s">
        <v>97</v>
      </c>
      <c r="AB82" t="s">
        <v>97</v>
      </c>
      <c r="AC82" t="s">
        <v>97</v>
      </c>
      <c r="AD82" t="s">
        <v>97</v>
      </c>
      <c r="AE82" t="s">
        <v>97</v>
      </c>
      <c r="AF82" t="s">
        <v>97</v>
      </c>
      <c r="AG82" t="s">
        <v>97</v>
      </c>
      <c r="AH82" s="22" t="b">
        <v>1</v>
      </c>
      <c r="AI82" s="22" t="b">
        <v>1</v>
      </c>
      <c r="AJ82" s="22" t="b">
        <v>1</v>
      </c>
      <c r="AK82" t="s">
        <v>97</v>
      </c>
      <c r="AL82" t="s">
        <v>97</v>
      </c>
      <c r="AM82" t="s">
        <v>97</v>
      </c>
      <c r="AN82" t="s">
        <v>97</v>
      </c>
      <c r="AO82" s="28">
        <f t="shared" si="61"/>
        <v>1</v>
      </c>
      <c r="AP82" s="28">
        <f t="shared" si="62"/>
        <v>2</v>
      </c>
      <c r="AQ82" s="28">
        <f t="shared" si="63"/>
        <v>0</v>
      </c>
      <c r="AR82" s="23">
        <f t="shared" ref="AR82:AS82" si="77">MIN(2.99,AR79+0.5)</f>
        <v>0</v>
      </c>
      <c r="AS82" s="23">
        <f t="shared" si="77"/>
        <v>2</v>
      </c>
      <c r="AT82" s="28">
        <f t="shared" si="74"/>
        <v>2.99</v>
      </c>
      <c r="AU82">
        <v>1</v>
      </c>
      <c r="AV82">
        <v>1</v>
      </c>
      <c r="AW82">
        <v>1</v>
      </c>
      <c r="AX82">
        <v>1</v>
      </c>
      <c r="AY82">
        <v>1</v>
      </c>
      <c r="AZ82">
        <v>1</v>
      </c>
      <c r="BA82">
        <v>1</v>
      </c>
      <c r="BB82">
        <v>1</v>
      </c>
      <c r="BC82">
        <v>1</v>
      </c>
      <c r="BD82">
        <v>1</v>
      </c>
      <c r="BE82">
        <v>1</v>
      </c>
      <c r="BF82">
        <v>1</v>
      </c>
      <c r="BG82">
        <v>1</v>
      </c>
      <c r="BH82">
        <v>1</v>
      </c>
      <c r="BI82">
        <v>1</v>
      </c>
      <c r="BJ82">
        <v>1</v>
      </c>
      <c r="BK82">
        <v>0</v>
      </c>
      <c r="BL82">
        <v>0</v>
      </c>
      <c r="BM82">
        <v>0</v>
      </c>
      <c r="BN82">
        <v>0</v>
      </c>
      <c r="BO82">
        <v>0</v>
      </c>
      <c r="BP82" s="15">
        <v>0</v>
      </c>
    </row>
    <row r="83" spans="1:68" x14ac:dyDescent="0.25">
      <c r="A83" s="19"/>
      <c r="B83">
        <f t="shared" si="3"/>
        <v>78</v>
      </c>
      <c r="C83" t="b">
        <v>0</v>
      </c>
      <c r="D83" t="b">
        <v>0</v>
      </c>
      <c r="E83" t="b">
        <v>0</v>
      </c>
      <c r="F83" s="3" t="str">
        <f t="shared" si="73"/>
        <v>offFL_p5_p5</v>
      </c>
      <c r="G83" s="31" t="str">
        <f>IF(MATCH(F83,F$5:F83,0)=(COUNTA(F$5:F83)),"-","Dup")</f>
        <v>-</v>
      </c>
      <c r="H83" t="s">
        <v>97</v>
      </c>
      <c r="I83" t="b">
        <v>0</v>
      </c>
      <c r="J83" t="b">
        <v>1</v>
      </c>
      <c r="K83" t="s">
        <v>97</v>
      </c>
      <c r="L83" t="s">
        <v>97</v>
      </c>
      <c r="M83" t="s">
        <v>97</v>
      </c>
      <c r="N83" t="s">
        <v>97</v>
      </c>
      <c r="O83" t="s">
        <v>97</v>
      </c>
      <c r="P83" t="s">
        <v>97</v>
      </c>
      <c r="Q83" t="s">
        <v>97</v>
      </c>
      <c r="R83" t="s">
        <v>97</v>
      </c>
      <c r="S83" t="s">
        <v>97</v>
      </c>
      <c r="T83" t="s">
        <v>97</v>
      </c>
      <c r="U83" t="s">
        <v>97</v>
      </c>
      <c r="V83" t="s">
        <v>97</v>
      </c>
      <c r="W83" t="s">
        <v>97</v>
      </c>
      <c r="X83" t="s">
        <v>97</v>
      </c>
      <c r="Y83" t="s">
        <v>97</v>
      </c>
      <c r="Z83" t="s">
        <v>97</v>
      </c>
      <c r="AA83" t="s">
        <v>97</v>
      </c>
      <c r="AB83" t="s">
        <v>97</v>
      </c>
      <c r="AC83" t="s">
        <v>97</v>
      </c>
      <c r="AD83" t="s">
        <v>97</v>
      </c>
      <c r="AE83" t="s">
        <v>97</v>
      </c>
      <c r="AF83" t="s">
        <v>97</v>
      </c>
      <c r="AG83" t="s">
        <v>97</v>
      </c>
      <c r="AH83" s="22" t="b">
        <v>1</v>
      </c>
      <c r="AI83" s="22" t="b">
        <v>1</v>
      </c>
      <c r="AJ83" s="22" t="b">
        <v>1</v>
      </c>
      <c r="AK83" t="s">
        <v>97</v>
      </c>
      <c r="AL83" t="s">
        <v>97</v>
      </c>
      <c r="AM83" t="s">
        <v>97</v>
      </c>
      <c r="AN83" t="s">
        <v>97</v>
      </c>
      <c r="AO83" s="28">
        <f t="shared" si="61"/>
        <v>1</v>
      </c>
      <c r="AP83" s="28">
        <f t="shared" si="62"/>
        <v>2</v>
      </c>
      <c r="AQ83" s="28">
        <f t="shared" si="63"/>
        <v>0</v>
      </c>
      <c r="AR83" s="23">
        <f t="shared" ref="AR83:AS83" si="78">MIN(2.99,AR80+0.5)</f>
        <v>0.5</v>
      </c>
      <c r="AS83" s="23">
        <f t="shared" si="78"/>
        <v>1</v>
      </c>
      <c r="AT83" s="28">
        <f t="shared" si="74"/>
        <v>2.99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0</v>
      </c>
      <c r="BL83">
        <v>0</v>
      </c>
      <c r="BM83">
        <v>0</v>
      </c>
      <c r="BN83">
        <v>0</v>
      </c>
      <c r="BO83">
        <v>0</v>
      </c>
      <c r="BP83" s="15">
        <v>0</v>
      </c>
    </row>
    <row r="84" spans="1:68" x14ac:dyDescent="0.25">
      <c r="A84" s="19"/>
      <c r="B84">
        <f t="shared" si="3"/>
        <v>79</v>
      </c>
      <c r="C84" t="b">
        <v>0</v>
      </c>
      <c r="D84" t="b">
        <v>0</v>
      </c>
      <c r="E84" t="b">
        <v>0</v>
      </c>
      <c r="F84" s="3" t="str">
        <f t="shared" si="73"/>
        <v>offFL_p5_1</v>
      </c>
      <c r="G84" s="31" t="str">
        <f>IF(MATCH(F84,F$5:F84,0)=(COUNTA(F$5:F84)),"-","Dup")</f>
        <v>-</v>
      </c>
      <c r="H84" t="s">
        <v>97</v>
      </c>
      <c r="I84" t="b">
        <v>0</v>
      </c>
      <c r="J84" t="b">
        <v>1</v>
      </c>
      <c r="K84" t="s">
        <v>97</v>
      </c>
      <c r="L84" t="s">
        <v>97</v>
      </c>
      <c r="M84" t="s">
        <v>97</v>
      </c>
      <c r="N84" t="s">
        <v>97</v>
      </c>
      <c r="O84" t="s">
        <v>97</v>
      </c>
      <c r="P84" t="s">
        <v>97</v>
      </c>
      <c r="Q84" t="s">
        <v>97</v>
      </c>
      <c r="R84" t="s">
        <v>97</v>
      </c>
      <c r="S84" t="s">
        <v>97</v>
      </c>
      <c r="T84" t="s">
        <v>97</v>
      </c>
      <c r="U84" t="s">
        <v>97</v>
      </c>
      <c r="V84" t="s">
        <v>97</v>
      </c>
      <c r="W84" t="s">
        <v>97</v>
      </c>
      <c r="X84" t="s">
        <v>97</v>
      </c>
      <c r="Y84" t="s">
        <v>97</v>
      </c>
      <c r="Z84" t="s">
        <v>97</v>
      </c>
      <c r="AA84" t="s">
        <v>97</v>
      </c>
      <c r="AB84" t="s">
        <v>97</v>
      </c>
      <c r="AC84" t="s">
        <v>97</v>
      </c>
      <c r="AD84" t="s">
        <v>97</v>
      </c>
      <c r="AE84" t="s">
        <v>97</v>
      </c>
      <c r="AF84" t="s">
        <v>97</v>
      </c>
      <c r="AG84" t="s">
        <v>97</v>
      </c>
      <c r="AH84" s="22" t="b">
        <v>1</v>
      </c>
      <c r="AI84" s="22" t="b">
        <v>1</v>
      </c>
      <c r="AJ84" s="22" t="b">
        <v>1</v>
      </c>
      <c r="AK84" t="s">
        <v>97</v>
      </c>
      <c r="AL84" t="s">
        <v>97</v>
      </c>
      <c r="AM84" t="s">
        <v>97</v>
      </c>
      <c r="AN84" t="s">
        <v>97</v>
      </c>
      <c r="AO84" s="28">
        <f t="shared" si="61"/>
        <v>1</v>
      </c>
      <c r="AP84" s="28">
        <f t="shared" si="62"/>
        <v>2</v>
      </c>
      <c r="AQ84" s="28">
        <f t="shared" si="63"/>
        <v>0</v>
      </c>
      <c r="AR84" s="23">
        <f t="shared" ref="AR84:AS84" si="79">MIN(2.99,AR81+0.5)</f>
        <v>0.5</v>
      </c>
      <c r="AS84" s="23">
        <f t="shared" si="79"/>
        <v>1.5</v>
      </c>
      <c r="AT84" s="28">
        <f t="shared" si="74"/>
        <v>2.99</v>
      </c>
      <c r="AU84">
        <v>1</v>
      </c>
      <c r="AV84">
        <v>1</v>
      </c>
      <c r="AW84">
        <v>1</v>
      </c>
      <c r="AX84">
        <v>1</v>
      </c>
      <c r="AY84">
        <v>1</v>
      </c>
      <c r="AZ84">
        <v>1</v>
      </c>
      <c r="BA84">
        <v>1</v>
      </c>
      <c r="BB84">
        <v>1</v>
      </c>
      <c r="BC84">
        <v>1</v>
      </c>
      <c r="BD84">
        <v>1</v>
      </c>
      <c r="BE84">
        <v>1</v>
      </c>
      <c r="BF84">
        <v>1</v>
      </c>
      <c r="BG84">
        <v>1</v>
      </c>
      <c r="BH84">
        <v>1</v>
      </c>
      <c r="BI84">
        <v>1</v>
      </c>
      <c r="BJ84">
        <v>1</v>
      </c>
      <c r="BK84">
        <v>0</v>
      </c>
      <c r="BL84">
        <v>0</v>
      </c>
      <c r="BM84">
        <v>0</v>
      </c>
      <c r="BN84">
        <v>0</v>
      </c>
      <c r="BO84">
        <v>0</v>
      </c>
      <c r="BP84" s="15">
        <v>0</v>
      </c>
    </row>
    <row r="85" spans="1:68" x14ac:dyDescent="0.25">
      <c r="A85" s="19"/>
      <c r="B85">
        <f t="shared" si="3"/>
        <v>80</v>
      </c>
      <c r="C85" t="b">
        <v>0</v>
      </c>
      <c r="D85" t="b">
        <v>0</v>
      </c>
      <c r="E85" t="b">
        <v>0</v>
      </c>
      <c r="F85" s="3" t="str">
        <f t="shared" si="73"/>
        <v>offFL_p5_2</v>
      </c>
      <c r="G85" s="31" t="str">
        <f>IF(MATCH(F85,F$5:F85,0)=(COUNTA(F$5:F85)),"-","Dup")</f>
        <v>-</v>
      </c>
      <c r="H85" t="s">
        <v>97</v>
      </c>
      <c r="I85" t="b">
        <v>0</v>
      </c>
      <c r="J85" t="b">
        <v>1</v>
      </c>
      <c r="K85" t="s">
        <v>97</v>
      </c>
      <c r="L85" t="s">
        <v>97</v>
      </c>
      <c r="M85" t="s">
        <v>97</v>
      </c>
      <c r="N85" t="s">
        <v>97</v>
      </c>
      <c r="O85" t="s">
        <v>97</v>
      </c>
      <c r="P85" t="s">
        <v>97</v>
      </c>
      <c r="Q85" t="s">
        <v>97</v>
      </c>
      <c r="R85" t="s">
        <v>97</v>
      </c>
      <c r="S85" t="s">
        <v>97</v>
      </c>
      <c r="T85" t="s">
        <v>97</v>
      </c>
      <c r="U85" t="s">
        <v>97</v>
      </c>
      <c r="V85" t="s">
        <v>97</v>
      </c>
      <c r="W85" t="s">
        <v>97</v>
      </c>
      <c r="X85" t="s">
        <v>97</v>
      </c>
      <c r="Y85" t="s">
        <v>97</v>
      </c>
      <c r="Z85" t="s">
        <v>97</v>
      </c>
      <c r="AA85" t="s">
        <v>97</v>
      </c>
      <c r="AB85" t="s">
        <v>97</v>
      </c>
      <c r="AC85" t="s">
        <v>97</v>
      </c>
      <c r="AD85" t="s">
        <v>97</v>
      </c>
      <c r="AE85" t="s">
        <v>97</v>
      </c>
      <c r="AF85" t="s">
        <v>97</v>
      </c>
      <c r="AG85" t="s">
        <v>97</v>
      </c>
      <c r="AH85" s="22" t="b">
        <v>1</v>
      </c>
      <c r="AI85" s="22" t="b">
        <v>1</v>
      </c>
      <c r="AJ85" s="22" t="b">
        <v>1</v>
      </c>
      <c r="AK85" t="s">
        <v>97</v>
      </c>
      <c r="AL85" t="s">
        <v>97</v>
      </c>
      <c r="AM85" t="s">
        <v>97</v>
      </c>
      <c r="AN85" t="s">
        <v>97</v>
      </c>
      <c r="AO85" s="28">
        <f t="shared" si="61"/>
        <v>1</v>
      </c>
      <c r="AP85" s="28">
        <f t="shared" si="62"/>
        <v>2</v>
      </c>
      <c r="AQ85" s="28">
        <f t="shared" si="63"/>
        <v>0</v>
      </c>
      <c r="AR85" s="23">
        <f t="shared" ref="AR85:AS85" si="80">MIN(2.99,AR82+0.5)</f>
        <v>0.5</v>
      </c>
      <c r="AS85" s="23">
        <f t="shared" si="80"/>
        <v>2.5</v>
      </c>
      <c r="AT85" s="28">
        <f t="shared" si="74"/>
        <v>2.99</v>
      </c>
      <c r="AU85">
        <v>1</v>
      </c>
      <c r="AV85">
        <v>1</v>
      </c>
      <c r="AW85">
        <v>1</v>
      </c>
      <c r="AX85">
        <v>1</v>
      </c>
      <c r="AY85">
        <v>1</v>
      </c>
      <c r="AZ85">
        <v>1</v>
      </c>
      <c r="BA85">
        <v>1</v>
      </c>
      <c r="BB85">
        <v>1</v>
      </c>
      <c r="BC85">
        <v>1</v>
      </c>
      <c r="BD85">
        <v>1</v>
      </c>
      <c r="BE85">
        <v>1</v>
      </c>
      <c r="BF85">
        <v>1</v>
      </c>
      <c r="BG85">
        <v>1</v>
      </c>
      <c r="BH85">
        <v>1</v>
      </c>
      <c r="BI85">
        <v>1</v>
      </c>
      <c r="BJ85">
        <v>1</v>
      </c>
      <c r="BK85">
        <v>0</v>
      </c>
      <c r="BL85">
        <v>0</v>
      </c>
      <c r="BM85">
        <v>0</v>
      </c>
      <c r="BN85">
        <v>0</v>
      </c>
      <c r="BO85">
        <v>0</v>
      </c>
      <c r="BP85" s="15">
        <v>0</v>
      </c>
    </row>
    <row r="86" spans="1:68" x14ac:dyDescent="0.25">
      <c r="A86" s="19"/>
      <c r="B86">
        <f t="shared" si="3"/>
        <v>81</v>
      </c>
      <c r="C86" t="b">
        <v>0</v>
      </c>
      <c r="D86" t="b">
        <v>0</v>
      </c>
      <c r="E86" t="b">
        <v>0</v>
      </c>
      <c r="F86" s="3" t="str">
        <f t="shared" si="73"/>
        <v>offFL_1_p5</v>
      </c>
      <c r="G86" s="31" t="str">
        <f>IF(MATCH(F86,F$5:F86,0)=(COUNTA(F$5:F86)),"-","Dup")</f>
        <v>-</v>
      </c>
      <c r="H86" t="s">
        <v>97</v>
      </c>
      <c r="I86" t="b">
        <v>0</v>
      </c>
      <c r="J86" t="b">
        <v>1</v>
      </c>
      <c r="K86" t="s">
        <v>97</v>
      </c>
      <c r="L86" t="s">
        <v>97</v>
      </c>
      <c r="M86" t="s">
        <v>97</v>
      </c>
      <c r="N86" t="s">
        <v>97</v>
      </c>
      <c r="O86" t="s">
        <v>97</v>
      </c>
      <c r="P86" t="s">
        <v>97</v>
      </c>
      <c r="Q86" t="s">
        <v>97</v>
      </c>
      <c r="R86" t="s">
        <v>97</v>
      </c>
      <c r="S86" t="s">
        <v>97</v>
      </c>
      <c r="T86" t="s">
        <v>97</v>
      </c>
      <c r="U86" t="s">
        <v>97</v>
      </c>
      <c r="V86" t="s">
        <v>97</v>
      </c>
      <c r="W86" t="s">
        <v>97</v>
      </c>
      <c r="X86" t="s">
        <v>97</v>
      </c>
      <c r="Y86" t="s">
        <v>97</v>
      </c>
      <c r="Z86" t="s">
        <v>97</v>
      </c>
      <c r="AA86" t="s">
        <v>97</v>
      </c>
      <c r="AB86" t="s">
        <v>97</v>
      </c>
      <c r="AC86" t="s">
        <v>97</v>
      </c>
      <c r="AD86" t="s">
        <v>97</v>
      </c>
      <c r="AE86" t="s">
        <v>97</v>
      </c>
      <c r="AF86" t="s">
        <v>97</v>
      </c>
      <c r="AG86" t="s">
        <v>97</v>
      </c>
      <c r="AH86" s="22" t="b">
        <v>1</v>
      </c>
      <c r="AI86" s="22" t="b">
        <v>1</v>
      </c>
      <c r="AJ86" s="22" t="b">
        <v>1</v>
      </c>
      <c r="AK86" t="s">
        <v>97</v>
      </c>
      <c r="AL86" t="s">
        <v>97</v>
      </c>
      <c r="AM86" t="s">
        <v>97</v>
      </c>
      <c r="AN86" t="s">
        <v>97</v>
      </c>
      <c r="AO86" s="28">
        <f t="shared" si="61"/>
        <v>1</v>
      </c>
      <c r="AP86" s="28">
        <f t="shared" si="62"/>
        <v>2</v>
      </c>
      <c r="AQ86" s="28">
        <f t="shared" si="63"/>
        <v>0</v>
      </c>
      <c r="AR86" s="23">
        <f t="shared" ref="AR86:AS86" si="81">MIN(2.99,AR83+0.5)</f>
        <v>1</v>
      </c>
      <c r="AS86" s="23">
        <f t="shared" si="81"/>
        <v>1.5</v>
      </c>
      <c r="AT86" s="28">
        <f t="shared" si="74"/>
        <v>2.99</v>
      </c>
      <c r="AU86">
        <v>1</v>
      </c>
      <c r="AV86">
        <v>1</v>
      </c>
      <c r="AW86">
        <v>1</v>
      </c>
      <c r="AX86">
        <v>1</v>
      </c>
      <c r="AY86">
        <v>1</v>
      </c>
      <c r="AZ86">
        <v>1</v>
      </c>
      <c r="BA86">
        <v>1</v>
      </c>
      <c r="BB86">
        <v>1</v>
      </c>
      <c r="BC86">
        <v>1</v>
      </c>
      <c r="BD86">
        <v>1</v>
      </c>
      <c r="BE86">
        <v>1</v>
      </c>
      <c r="BF86">
        <v>1</v>
      </c>
      <c r="BG86">
        <v>1</v>
      </c>
      <c r="BH86">
        <v>1</v>
      </c>
      <c r="BI86">
        <v>1</v>
      </c>
      <c r="BJ86">
        <v>1</v>
      </c>
      <c r="BK86">
        <v>0</v>
      </c>
      <c r="BL86">
        <v>0</v>
      </c>
      <c r="BM86">
        <v>0</v>
      </c>
      <c r="BN86">
        <v>0</v>
      </c>
      <c r="BO86">
        <v>0</v>
      </c>
      <c r="BP86" s="15">
        <v>0</v>
      </c>
    </row>
    <row r="87" spans="1:68" x14ac:dyDescent="0.25">
      <c r="A87" s="19"/>
      <c r="B87">
        <f t="shared" si="3"/>
        <v>82</v>
      </c>
      <c r="C87" t="b">
        <v>0</v>
      </c>
      <c r="D87" t="b">
        <v>0</v>
      </c>
      <c r="E87" t="b">
        <v>0</v>
      </c>
      <c r="F87" s="3" t="str">
        <f t="shared" si="73"/>
        <v>offFL_1_1</v>
      </c>
      <c r="G87" s="31" t="str">
        <f>IF(MATCH(F87,F$5:F87,0)=(COUNTA(F$5:F87)),"-","Dup")</f>
        <v>-</v>
      </c>
      <c r="H87" t="s">
        <v>97</v>
      </c>
      <c r="I87" t="b">
        <v>0</v>
      </c>
      <c r="J87" t="b">
        <v>1</v>
      </c>
      <c r="K87" t="s">
        <v>97</v>
      </c>
      <c r="L87" t="s">
        <v>97</v>
      </c>
      <c r="M87" t="s">
        <v>97</v>
      </c>
      <c r="N87" t="s">
        <v>97</v>
      </c>
      <c r="O87" t="s">
        <v>97</v>
      </c>
      <c r="P87" t="s">
        <v>97</v>
      </c>
      <c r="Q87" t="s">
        <v>97</v>
      </c>
      <c r="R87" t="s">
        <v>97</v>
      </c>
      <c r="S87" t="s">
        <v>97</v>
      </c>
      <c r="T87" t="s">
        <v>97</v>
      </c>
      <c r="U87" t="s">
        <v>97</v>
      </c>
      <c r="V87" t="s">
        <v>97</v>
      </c>
      <c r="W87" t="s">
        <v>97</v>
      </c>
      <c r="X87" t="s">
        <v>97</v>
      </c>
      <c r="Y87" t="s">
        <v>97</v>
      </c>
      <c r="Z87" t="s">
        <v>97</v>
      </c>
      <c r="AA87" t="s">
        <v>97</v>
      </c>
      <c r="AB87" t="s">
        <v>97</v>
      </c>
      <c r="AC87" t="s">
        <v>97</v>
      </c>
      <c r="AD87" t="s">
        <v>97</v>
      </c>
      <c r="AE87" t="s">
        <v>97</v>
      </c>
      <c r="AF87" t="s">
        <v>97</v>
      </c>
      <c r="AG87" t="s">
        <v>97</v>
      </c>
      <c r="AH87" s="22" t="b">
        <v>1</v>
      </c>
      <c r="AI87" s="22" t="b">
        <v>1</v>
      </c>
      <c r="AJ87" s="22" t="b">
        <v>1</v>
      </c>
      <c r="AK87" t="s">
        <v>97</v>
      </c>
      <c r="AL87" t="s">
        <v>97</v>
      </c>
      <c r="AM87" t="s">
        <v>97</v>
      </c>
      <c r="AN87" t="s">
        <v>97</v>
      </c>
      <c r="AO87" s="28">
        <f t="shared" si="61"/>
        <v>1</v>
      </c>
      <c r="AP87" s="28">
        <f t="shared" si="62"/>
        <v>2</v>
      </c>
      <c r="AQ87" s="28">
        <f t="shared" si="63"/>
        <v>0</v>
      </c>
      <c r="AR87" s="23">
        <f t="shared" ref="AR87:AS87" si="82">MIN(2.99,AR84+0.5)</f>
        <v>1</v>
      </c>
      <c r="AS87" s="23">
        <f t="shared" si="82"/>
        <v>2</v>
      </c>
      <c r="AT87" s="28">
        <f t="shared" si="74"/>
        <v>2.99</v>
      </c>
      <c r="AU87">
        <v>1</v>
      </c>
      <c r="AV87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0</v>
      </c>
      <c r="BL87">
        <v>0</v>
      </c>
      <c r="BM87">
        <v>0</v>
      </c>
      <c r="BN87">
        <v>0</v>
      </c>
      <c r="BO87">
        <v>0</v>
      </c>
      <c r="BP87" s="15">
        <v>0</v>
      </c>
    </row>
    <row r="88" spans="1:68" x14ac:dyDescent="0.25">
      <c r="A88" s="19"/>
      <c r="B88">
        <f t="shared" si="3"/>
        <v>83</v>
      </c>
      <c r="C88" t="b">
        <v>0</v>
      </c>
      <c r="D88" t="b">
        <v>0</v>
      </c>
      <c r="E88" t="b">
        <v>0</v>
      </c>
      <c r="F88" s="3" t="str">
        <f t="shared" si="73"/>
        <v>offFL_1_1p99</v>
      </c>
      <c r="G88" s="31" t="str">
        <f>IF(MATCH(F88,F$5:F88,0)=(COUNTA(F$5:F88)),"-","Dup")</f>
        <v>-</v>
      </c>
      <c r="H88" t="s">
        <v>97</v>
      </c>
      <c r="I88" t="b">
        <v>0</v>
      </c>
      <c r="J88" t="b">
        <v>1</v>
      </c>
      <c r="K88" t="s">
        <v>97</v>
      </c>
      <c r="L88" t="s">
        <v>97</v>
      </c>
      <c r="M88" t="s">
        <v>97</v>
      </c>
      <c r="N88" t="s">
        <v>97</v>
      </c>
      <c r="O88" t="s">
        <v>97</v>
      </c>
      <c r="P88" t="s">
        <v>97</v>
      </c>
      <c r="Q88" t="s">
        <v>97</v>
      </c>
      <c r="R88" t="s">
        <v>97</v>
      </c>
      <c r="S88" t="s">
        <v>97</v>
      </c>
      <c r="T88" t="s">
        <v>97</v>
      </c>
      <c r="U88" t="s">
        <v>97</v>
      </c>
      <c r="V88" t="s">
        <v>97</v>
      </c>
      <c r="W88" t="s">
        <v>97</v>
      </c>
      <c r="X88" t="s">
        <v>97</v>
      </c>
      <c r="Y88" t="s">
        <v>97</v>
      </c>
      <c r="Z88" t="s">
        <v>97</v>
      </c>
      <c r="AA88" t="s">
        <v>97</v>
      </c>
      <c r="AB88" t="s">
        <v>97</v>
      </c>
      <c r="AC88" t="s">
        <v>97</v>
      </c>
      <c r="AD88" t="s">
        <v>97</v>
      </c>
      <c r="AE88" t="s">
        <v>97</v>
      </c>
      <c r="AF88" t="s">
        <v>97</v>
      </c>
      <c r="AG88" t="s">
        <v>97</v>
      </c>
      <c r="AH88" s="22" t="b">
        <v>1</v>
      </c>
      <c r="AI88" s="22" t="b">
        <v>1</v>
      </c>
      <c r="AJ88" s="22" t="b">
        <v>1</v>
      </c>
      <c r="AK88" t="s">
        <v>97</v>
      </c>
      <c r="AL88" t="s">
        <v>97</v>
      </c>
      <c r="AM88" t="s">
        <v>97</v>
      </c>
      <c r="AN88" t="s">
        <v>97</v>
      </c>
      <c r="AO88" s="28">
        <f t="shared" si="61"/>
        <v>1</v>
      </c>
      <c r="AP88" s="28">
        <f t="shared" si="62"/>
        <v>2</v>
      </c>
      <c r="AQ88" s="28">
        <f t="shared" si="63"/>
        <v>0</v>
      </c>
      <c r="AR88" s="23">
        <f t="shared" ref="AR88:AS88" si="83">MIN(2.99,AR85+0.5)</f>
        <v>1</v>
      </c>
      <c r="AS88" s="23">
        <f t="shared" si="83"/>
        <v>2.99</v>
      </c>
      <c r="AT88" s="28">
        <f t="shared" si="74"/>
        <v>2.99</v>
      </c>
      <c r="AU88">
        <v>1</v>
      </c>
      <c r="AV88">
        <v>1</v>
      </c>
      <c r="AW88">
        <v>1</v>
      </c>
      <c r="AX88">
        <v>1</v>
      </c>
      <c r="AY88">
        <v>1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1</v>
      </c>
      <c r="BI88">
        <v>1</v>
      </c>
      <c r="BJ88">
        <v>1</v>
      </c>
      <c r="BK88">
        <v>0</v>
      </c>
      <c r="BL88">
        <v>0</v>
      </c>
      <c r="BM88">
        <v>0</v>
      </c>
      <c r="BN88">
        <v>0</v>
      </c>
      <c r="BO88">
        <v>0</v>
      </c>
      <c r="BP88" s="15">
        <v>0</v>
      </c>
    </row>
    <row r="89" spans="1:68" x14ac:dyDescent="0.25">
      <c r="A89" s="19"/>
      <c r="C89" t="b">
        <v>0</v>
      </c>
      <c r="F89" s="31" t="s">
        <v>116</v>
      </c>
      <c r="G89" s="32" t="str">
        <f>IF(MATCH(F89,F$5:F89,0)=(COUNTA(F$5:F89)),"-","Dup")</f>
        <v>-</v>
      </c>
      <c r="BP89" s="15">
        <v>0</v>
      </c>
    </row>
    <row r="90" spans="1:68" x14ac:dyDescent="0.25">
      <c r="A90" s="19"/>
      <c r="B90">
        <f t="shared" si="3"/>
        <v>85</v>
      </c>
      <c r="C90" t="b">
        <v>0</v>
      </c>
      <c r="D90" t="b">
        <v>0</v>
      </c>
      <c r="E90" t="b">
        <v>0</v>
      </c>
      <c r="F90" s="3" t="str">
        <f>SUBSTITUTE(SUBSTITUTE("offN2_"&amp;$AR90&amp;"_"&amp;($AS90-$AR90),"0.","p"),".","p")</f>
        <v>offN2_0_2</v>
      </c>
      <c r="G90" s="31" t="str">
        <f>IF(MATCH(F90,F$5:F90,0)=(COUNTA(F$5:F90)),"-","Dup")</f>
        <v>-</v>
      </c>
      <c r="H90" t="s">
        <v>97</v>
      </c>
      <c r="I90" t="b">
        <v>0</v>
      </c>
      <c r="J90" t="b">
        <v>1</v>
      </c>
      <c r="K90" t="s">
        <v>97</v>
      </c>
      <c r="L90" t="s">
        <v>97</v>
      </c>
      <c r="M90" t="s">
        <v>97</v>
      </c>
      <c r="N90" t="s">
        <v>97</v>
      </c>
      <c r="O90" t="s">
        <v>97</v>
      </c>
      <c r="P90" t="s">
        <v>97</v>
      </c>
      <c r="Q90" t="s">
        <v>97</v>
      </c>
      <c r="R90" t="s">
        <v>97</v>
      </c>
      <c r="S90" t="s">
        <v>97</v>
      </c>
      <c r="T90" t="s">
        <v>97</v>
      </c>
      <c r="U90" t="s">
        <v>97</v>
      </c>
      <c r="V90" t="s">
        <v>97</v>
      </c>
      <c r="W90" t="s">
        <v>97</v>
      </c>
      <c r="X90" t="s">
        <v>97</v>
      </c>
      <c r="Y90" t="s">
        <v>97</v>
      </c>
      <c r="Z90" t="s">
        <v>97</v>
      </c>
      <c r="AA90" t="s">
        <v>97</v>
      </c>
      <c r="AB90" t="s">
        <v>97</v>
      </c>
      <c r="AC90" t="s">
        <v>97</v>
      </c>
      <c r="AD90" t="s">
        <v>97</v>
      </c>
      <c r="AE90" t="s">
        <v>97</v>
      </c>
      <c r="AF90" t="s">
        <v>97</v>
      </c>
      <c r="AG90" t="s">
        <v>97</v>
      </c>
      <c r="AH90" s="22" t="b">
        <v>1</v>
      </c>
      <c r="AI90" s="22" t="b">
        <v>1</v>
      </c>
      <c r="AJ90" s="22" t="b">
        <v>1</v>
      </c>
      <c r="AK90" t="s">
        <v>97</v>
      </c>
      <c r="AL90" t="s">
        <v>97</v>
      </c>
      <c r="AM90" t="s">
        <v>97</v>
      </c>
      <c r="AN90" t="s">
        <v>97</v>
      </c>
      <c r="AO90" s="30">
        <f>AO88</f>
        <v>1</v>
      </c>
      <c r="AP90" s="30">
        <f t="shared" ref="AP90:AQ90" si="84">AP88</f>
        <v>2</v>
      </c>
      <c r="AQ90" s="30">
        <f t="shared" si="84"/>
        <v>0</v>
      </c>
      <c r="AR90" s="22">
        <v>0</v>
      </c>
      <c r="AS90" s="22">
        <v>2</v>
      </c>
      <c r="AT90" t="s">
        <v>97</v>
      </c>
      <c r="AU90">
        <v>1</v>
      </c>
      <c r="AV90">
        <v>1</v>
      </c>
      <c r="AW90">
        <v>1</v>
      </c>
      <c r="AX90">
        <v>1</v>
      </c>
      <c r="AY90">
        <v>1</v>
      </c>
      <c r="AZ90">
        <v>1</v>
      </c>
      <c r="BA90">
        <v>1</v>
      </c>
      <c r="BB90">
        <v>1</v>
      </c>
      <c r="BC90">
        <v>1</v>
      </c>
      <c r="BD90">
        <v>1</v>
      </c>
      <c r="BE90">
        <v>1</v>
      </c>
      <c r="BF90">
        <v>1</v>
      </c>
      <c r="BG90">
        <v>1</v>
      </c>
      <c r="BH90">
        <v>1</v>
      </c>
      <c r="BI90">
        <v>1</v>
      </c>
      <c r="BJ90">
        <v>1</v>
      </c>
      <c r="BK90">
        <v>0</v>
      </c>
      <c r="BL90">
        <v>0</v>
      </c>
      <c r="BM90">
        <v>0</v>
      </c>
      <c r="BN90">
        <v>0</v>
      </c>
      <c r="BO90">
        <v>0</v>
      </c>
      <c r="BP90" s="15">
        <v>0</v>
      </c>
    </row>
    <row r="91" spans="1:68" x14ac:dyDescent="0.25">
      <c r="A91" s="19"/>
      <c r="B91">
        <f t="shared" si="3"/>
        <v>86</v>
      </c>
      <c r="C91" t="b">
        <v>0</v>
      </c>
      <c r="D91" t="b">
        <v>0</v>
      </c>
      <c r="E91" t="b">
        <v>0</v>
      </c>
      <c r="F91" s="3" t="str">
        <f>SUBSTITUTE(SUBSTITUTE("offN2_"&amp;$AR91&amp;"_"&amp;($AS91-$AR91),"0.","p"),".","p")</f>
        <v>offN2_0_2p99</v>
      </c>
      <c r="G91" s="31" t="str">
        <f>IF(MATCH(F91,F$5:F91,0)=(COUNTA(F$5:F91)),"-","Dup")</f>
        <v>-</v>
      </c>
      <c r="H91" t="s">
        <v>97</v>
      </c>
      <c r="I91" t="b">
        <v>0</v>
      </c>
      <c r="J91" t="b">
        <v>1</v>
      </c>
      <c r="K91" t="s">
        <v>97</v>
      </c>
      <c r="L91" t="s">
        <v>97</v>
      </c>
      <c r="M91" t="s">
        <v>97</v>
      </c>
      <c r="N91" t="s">
        <v>97</v>
      </c>
      <c r="O91" t="s">
        <v>97</v>
      </c>
      <c r="P91" t="s">
        <v>97</v>
      </c>
      <c r="Q91" t="s">
        <v>97</v>
      </c>
      <c r="R91" t="s">
        <v>97</v>
      </c>
      <c r="S91" t="s">
        <v>97</v>
      </c>
      <c r="T91" t="s">
        <v>97</v>
      </c>
      <c r="U91" t="s">
        <v>97</v>
      </c>
      <c r="V91" t="s">
        <v>97</v>
      </c>
      <c r="W91" t="s">
        <v>97</v>
      </c>
      <c r="X91" t="s">
        <v>97</v>
      </c>
      <c r="Y91" t="s">
        <v>97</v>
      </c>
      <c r="Z91" t="s">
        <v>97</v>
      </c>
      <c r="AA91" t="s">
        <v>97</v>
      </c>
      <c r="AB91" t="s">
        <v>97</v>
      </c>
      <c r="AC91" t="s">
        <v>97</v>
      </c>
      <c r="AD91" t="s">
        <v>97</v>
      </c>
      <c r="AE91" t="s">
        <v>97</v>
      </c>
      <c r="AF91" t="s">
        <v>97</v>
      </c>
      <c r="AG91" t="s">
        <v>97</v>
      </c>
      <c r="AH91" s="22" t="b">
        <v>1</v>
      </c>
      <c r="AI91" s="22" t="b">
        <v>1</v>
      </c>
      <c r="AJ91" s="22" t="b">
        <v>1</v>
      </c>
      <c r="AK91" t="s">
        <v>97</v>
      </c>
      <c r="AL91" t="s">
        <v>97</v>
      </c>
      <c r="AM91" t="s">
        <v>97</v>
      </c>
      <c r="AN91" t="s">
        <v>97</v>
      </c>
      <c r="AO91" s="28">
        <f t="shared" si="61"/>
        <v>1</v>
      </c>
      <c r="AP91" s="28">
        <f t="shared" si="62"/>
        <v>2</v>
      </c>
      <c r="AQ91" s="28">
        <f t="shared" si="63"/>
        <v>0</v>
      </c>
      <c r="AR91" s="28">
        <f t="shared" si="63"/>
        <v>0</v>
      </c>
      <c r="AS91" s="22">
        <v>2.99</v>
      </c>
      <c r="AT91" t="s">
        <v>97</v>
      </c>
      <c r="AU91">
        <v>1</v>
      </c>
      <c r="AV91">
        <v>1</v>
      </c>
      <c r="AW91">
        <v>1</v>
      </c>
      <c r="AX91">
        <v>1</v>
      </c>
      <c r="AY91">
        <v>1</v>
      </c>
      <c r="AZ91">
        <v>1</v>
      </c>
      <c r="BA91">
        <v>1</v>
      </c>
      <c r="BB91">
        <v>1</v>
      </c>
      <c r="BC91">
        <v>1</v>
      </c>
      <c r="BD91">
        <v>1</v>
      </c>
      <c r="BE91">
        <v>1</v>
      </c>
      <c r="BF91">
        <v>1</v>
      </c>
      <c r="BG91">
        <v>1</v>
      </c>
      <c r="BH91">
        <v>1</v>
      </c>
      <c r="BI91">
        <v>1</v>
      </c>
      <c r="BJ91">
        <v>1</v>
      </c>
      <c r="BK91">
        <v>0</v>
      </c>
      <c r="BL91">
        <v>0</v>
      </c>
      <c r="BM91">
        <v>0</v>
      </c>
      <c r="BN91">
        <v>0</v>
      </c>
      <c r="BO91">
        <v>0</v>
      </c>
      <c r="BP91" s="15">
        <v>0</v>
      </c>
    </row>
    <row r="92" spans="1:68" x14ac:dyDescent="0.25">
      <c r="A92" s="19"/>
      <c r="B92">
        <f t="shared" si="3"/>
        <v>87</v>
      </c>
      <c r="C92" t="b">
        <v>0</v>
      </c>
      <c r="D92" t="b">
        <v>0</v>
      </c>
      <c r="E92" t="b">
        <v>0</v>
      </c>
      <c r="F92" s="3" t="str">
        <f>SUBSTITUTE(SUBSTITUTE("offN2_"&amp;$AR92&amp;"_"&amp;($AS92-$AR92),"0.","p"),".","p")</f>
        <v>offN2_1_1</v>
      </c>
      <c r="G92" s="31" t="str">
        <f>IF(MATCH(F92,F$5:F92,0)=(COUNTA(F$5:F92)),"-","Dup")</f>
        <v>-</v>
      </c>
      <c r="H92" t="s">
        <v>97</v>
      </c>
      <c r="I92" t="b">
        <v>0</v>
      </c>
      <c r="J92" t="b">
        <v>1</v>
      </c>
      <c r="K92" t="s">
        <v>97</v>
      </c>
      <c r="L92" t="s">
        <v>97</v>
      </c>
      <c r="M92" t="s">
        <v>97</v>
      </c>
      <c r="N92" t="s">
        <v>97</v>
      </c>
      <c r="O92" t="s">
        <v>97</v>
      </c>
      <c r="P92" t="s">
        <v>97</v>
      </c>
      <c r="Q92" t="s">
        <v>97</v>
      </c>
      <c r="R92" t="s">
        <v>97</v>
      </c>
      <c r="S92" t="s">
        <v>97</v>
      </c>
      <c r="T92" t="s">
        <v>97</v>
      </c>
      <c r="U92" t="s">
        <v>97</v>
      </c>
      <c r="V92" t="s">
        <v>97</v>
      </c>
      <c r="W92" t="s">
        <v>97</v>
      </c>
      <c r="X92" t="s">
        <v>97</v>
      </c>
      <c r="Y92" t="s">
        <v>97</v>
      </c>
      <c r="Z92" t="s">
        <v>97</v>
      </c>
      <c r="AA92" t="s">
        <v>97</v>
      </c>
      <c r="AB92" t="s">
        <v>97</v>
      </c>
      <c r="AC92" t="s">
        <v>97</v>
      </c>
      <c r="AD92" t="s">
        <v>97</v>
      </c>
      <c r="AE92" t="s">
        <v>97</v>
      </c>
      <c r="AF92" t="s">
        <v>97</v>
      </c>
      <c r="AG92" t="s">
        <v>97</v>
      </c>
      <c r="AH92" s="22" t="b">
        <v>1</v>
      </c>
      <c r="AI92" s="22" t="b">
        <v>1</v>
      </c>
      <c r="AJ92" s="22" t="b">
        <v>1</v>
      </c>
      <c r="AK92" t="s">
        <v>97</v>
      </c>
      <c r="AL92" t="s">
        <v>97</v>
      </c>
      <c r="AM92" t="s">
        <v>97</v>
      </c>
      <c r="AN92" t="s">
        <v>97</v>
      </c>
      <c r="AO92" s="28">
        <f t="shared" si="61"/>
        <v>1</v>
      </c>
      <c r="AP92" s="28">
        <f t="shared" si="62"/>
        <v>2</v>
      </c>
      <c r="AQ92" s="28">
        <f t="shared" si="63"/>
        <v>0</v>
      </c>
      <c r="AR92" s="22">
        <v>1</v>
      </c>
      <c r="AS92" s="30">
        <f t="shared" ref="AS92" si="85">AS90</f>
        <v>2</v>
      </c>
      <c r="AT92" t="s">
        <v>97</v>
      </c>
      <c r="AU92">
        <v>1</v>
      </c>
      <c r="AV92">
        <v>1</v>
      </c>
      <c r="AW92">
        <v>1</v>
      </c>
      <c r="AX92">
        <v>1</v>
      </c>
      <c r="AY92">
        <v>1</v>
      </c>
      <c r="AZ92">
        <v>1</v>
      </c>
      <c r="BA92">
        <v>1</v>
      </c>
      <c r="BB92">
        <v>1</v>
      </c>
      <c r="BC92">
        <v>1</v>
      </c>
      <c r="BD92">
        <v>1</v>
      </c>
      <c r="BE92">
        <v>1</v>
      </c>
      <c r="BF92">
        <v>1</v>
      </c>
      <c r="BG92">
        <v>1</v>
      </c>
      <c r="BH92">
        <v>1</v>
      </c>
      <c r="BI92">
        <v>1</v>
      </c>
      <c r="BJ92">
        <v>1</v>
      </c>
      <c r="BK92">
        <v>0</v>
      </c>
      <c r="BL92">
        <v>0</v>
      </c>
      <c r="BM92">
        <v>0</v>
      </c>
      <c r="BN92">
        <v>0</v>
      </c>
      <c r="BO92">
        <v>0</v>
      </c>
      <c r="BP92" s="15">
        <v>0</v>
      </c>
    </row>
    <row r="93" spans="1:68" x14ac:dyDescent="0.25">
      <c r="A93" s="19"/>
      <c r="B93">
        <f t="shared" si="3"/>
        <v>88</v>
      </c>
      <c r="C93" t="b">
        <v>0</v>
      </c>
      <c r="D93" t="b">
        <v>0</v>
      </c>
      <c r="E93" t="b">
        <v>0</v>
      </c>
      <c r="F93" s="3" t="str">
        <f>SUBSTITUTE(SUBSTITUTE("offN2_"&amp;$AR93&amp;"_"&amp;($AS93-$AR93),"0.","p"),".","p")</f>
        <v>offN2_1_1p99</v>
      </c>
      <c r="G93" s="31" t="str">
        <f>IF(MATCH(F93,F$5:F93,0)=(COUNTA(F$5:F93)),"-","Dup")</f>
        <v>-</v>
      </c>
      <c r="H93" t="s">
        <v>97</v>
      </c>
      <c r="I93" t="b">
        <v>0</v>
      </c>
      <c r="J93" t="b">
        <v>1</v>
      </c>
      <c r="K93" t="s">
        <v>97</v>
      </c>
      <c r="L93" t="s">
        <v>97</v>
      </c>
      <c r="M93" t="s">
        <v>97</v>
      </c>
      <c r="N93" t="s">
        <v>97</v>
      </c>
      <c r="O93" t="s">
        <v>97</v>
      </c>
      <c r="P93" t="s">
        <v>97</v>
      </c>
      <c r="Q93" t="s">
        <v>97</v>
      </c>
      <c r="R93" t="s">
        <v>97</v>
      </c>
      <c r="S93" t="s">
        <v>97</v>
      </c>
      <c r="T93" t="s">
        <v>97</v>
      </c>
      <c r="U93" t="s">
        <v>97</v>
      </c>
      <c r="V93" t="s">
        <v>97</v>
      </c>
      <c r="W93" t="s">
        <v>97</v>
      </c>
      <c r="X93" t="s">
        <v>97</v>
      </c>
      <c r="Y93" t="s">
        <v>97</v>
      </c>
      <c r="Z93" t="s">
        <v>97</v>
      </c>
      <c r="AA93" t="s">
        <v>97</v>
      </c>
      <c r="AB93" t="s">
        <v>97</v>
      </c>
      <c r="AC93" t="s">
        <v>97</v>
      </c>
      <c r="AD93" t="s">
        <v>97</v>
      </c>
      <c r="AE93" t="s">
        <v>97</v>
      </c>
      <c r="AF93" t="s">
        <v>97</v>
      </c>
      <c r="AG93" t="s">
        <v>97</v>
      </c>
      <c r="AH93" s="22" t="b">
        <v>1</v>
      </c>
      <c r="AI93" s="22" t="b">
        <v>1</v>
      </c>
      <c r="AJ93" s="22" t="b">
        <v>1</v>
      </c>
      <c r="AK93" t="s">
        <v>97</v>
      </c>
      <c r="AL93" t="s">
        <v>97</v>
      </c>
      <c r="AM93" t="s">
        <v>97</v>
      </c>
      <c r="AN93" t="s">
        <v>97</v>
      </c>
      <c r="AO93" s="28">
        <f t="shared" si="61"/>
        <v>1</v>
      </c>
      <c r="AP93" s="28">
        <f t="shared" si="62"/>
        <v>2</v>
      </c>
      <c r="AQ93" s="28">
        <f t="shared" si="63"/>
        <v>0</v>
      </c>
      <c r="AR93" s="28">
        <f t="shared" si="63"/>
        <v>1</v>
      </c>
      <c r="AS93" s="30">
        <f t="shared" ref="AS93" si="86">AS91</f>
        <v>2.99</v>
      </c>
      <c r="AT93" t="s">
        <v>97</v>
      </c>
      <c r="AU93">
        <v>1</v>
      </c>
      <c r="AV93">
        <v>1</v>
      </c>
      <c r="AW93">
        <v>1</v>
      </c>
      <c r="AX93">
        <v>1</v>
      </c>
      <c r="AY93">
        <v>1</v>
      </c>
      <c r="AZ93">
        <v>1</v>
      </c>
      <c r="BA93">
        <v>1</v>
      </c>
      <c r="BB93">
        <v>1</v>
      </c>
      <c r="BC93">
        <v>1</v>
      </c>
      <c r="BD93">
        <v>1</v>
      </c>
      <c r="BE93">
        <v>1</v>
      </c>
      <c r="BF93">
        <v>1</v>
      </c>
      <c r="BG93">
        <v>1</v>
      </c>
      <c r="BH93">
        <v>1</v>
      </c>
      <c r="BI93">
        <v>1</v>
      </c>
      <c r="BJ93">
        <v>1</v>
      </c>
      <c r="BK93">
        <v>0</v>
      </c>
      <c r="BL93">
        <v>0</v>
      </c>
      <c r="BM93">
        <v>0</v>
      </c>
      <c r="BN93">
        <v>0</v>
      </c>
      <c r="BO93">
        <v>0</v>
      </c>
      <c r="BP93" s="15">
        <v>0</v>
      </c>
    </row>
    <row r="94" spans="1:68" ht="6.75" customHeight="1" x14ac:dyDescent="0.25">
      <c r="A94" s="20">
        <v>44278.423518518517</v>
      </c>
      <c r="B94" s="15">
        <f t="shared" si="3"/>
        <v>89</v>
      </c>
      <c r="C94" s="15" t="b">
        <v>0</v>
      </c>
      <c r="D94" s="15" t="b">
        <v>0</v>
      </c>
      <c r="E94" s="15" t="b">
        <v>0</v>
      </c>
      <c r="F94" s="15" t="s">
        <v>80</v>
      </c>
      <c r="G94" s="33">
        <f>G$5</f>
        <v>0</v>
      </c>
      <c r="H94" s="27" t="str">
        <f>H$5</f>
        <v>-</v>
      </c>
      <c r="I94" s="27" t="str">
        <f t="shared" ref="I94:M94" si="87">I$5</f>
        <v>-</v>
      </c>
      <c r="J94" s="27" t="str">
        <f t="shared" si="87"/>
        <v>-</v>
      </c>
      <c r="K94" s="27" t="str">
        <f t="shared" si="87"/>
        <v>-</v>
      </c>
      <c r="L94" s="27" t="str">
        <f t="shared" si="87"/>
        <v>-</v>
      </c>
      <c r="M94" s="27" t="str">
        <f t="shared" si="87"/>
        <v>-</v>
      </c>
      <c r="N94" s="27" t="str">
        <f t="shared" ref="N94:O94" si="88">N$5</f>
        <v>-</v>
      </c>
      <c r="O94" s="27" t="str">
        <f t="shared" si="88"/>
        <v>-</v>
      </c>
      <c r="P94" s="27" t="str">
        <f t="shared" ref="P94:BO94" si="89">P$5</f>
        <v>-</v>
      </c>
      <c r="Q94" s="27" t="str">
        <f t="shared" si="89"/>
        <v>-</v>
      </c>
      <c r="R94" s="27" t="str">
        <f t="shared" si="89"/>
        <v>-</v>
      </c>
      <c r="S94" s="27" t="str">
        <f t="shared" si="89"/>
        <v>-</v>
      </c>
      <c r="T94" s="27" t="str">
        <f t="shared" si="89"/>
        <v>-</v>
      </c>
      <c r="U94" s="27" t="str">
        <f t="shared" si="89"/>
        <v>-</v>
      </c>
      <c r="V94" s="27" t="str">
        <f t="shared" si="89"/>
        <v>-</v>
      </c>
      <c r="W94" s="27" t="str">
        <f t="shared" si="89"/>
        <v>-</v>
      </c>
      <c r="X94" s="27" t="str">
        <f t="shared" si="89"/>
        <v>-</v>
      </c>
      <c r="Y94" s="27" t="str">
        <f t="shared" si="89"/>
        <v>-</v>
      </c>
      <c r="Z94" s="27" t="str">
        <f t="shared" si="89"/>
        <v>-</v>
      </c>
      <c r="AA94" s="27" t="str">
        <f t="shared" si="89"/>
        <v>-</v>
      </c>
      <c r="AB94" s="27" t="str">
        <f t="shared" si="89"/>
        <v>-</v>
      </c>
      <c r="AC94" s="27" t="str">
        <f t="shared" si="89"/>
        <v>-</v>
      </c>
      <c r="AD94" s="27" t="str">
        <f t="shared" si="89"/>
        <v>-</v>
      </c>
      <c r="AE94" s="27" t="str">
        <f t="shared" si="89"/>
        <v>-</v>
      </c>
      <c r="AF94" s="27" t="str">
        <f t="shared" si="89"/>
        <v>-</v>
      </c>
      <c r="AG94" s="27" t="str">
        <f t="shared" si="89"/>
        <v>-</v>
      </c>
      <c r="AH94" s="27" t="str">
        <f t="shared" si="89"/>
        <v>-</v>
      </c>
      <c r="AI94" s="27" t="str">
        <f t="shared" si="89"/>
        <v>-</v>
      </c>
      <c r="AJ94" s="27" t="str">
        <f t="shared" si="89"/>
        <v>-</v>
      </c>
      <c r="AK94" s="27" t="str">
        <f t="shared" si="89"/>
        <v>-</v>
      </c>
      <c r="AL94" s="27" t="str">
        <f t="shared" si="89"/>
        <v>-</v>
      </c>
      <c r="AM94" s="27" t="str">
        <f t="shared" si="89"/>
        <v>-</v>
      </c>
      <c r="AN94" s="27" t="str">
        <f t="shared" si="89"/>
        <v>-</v>
      </c>
      <c r="AO94" s="27" t="str">
        <f t="shared" si="89"/>
        <v>-</v>
      </c>
      <c r="AP94" s="27" t="str">
        <f t="shared" si="89"/>
        <v>-</v>
      </c>
      <c r="AQ94" s="27" t="str">
        <f t="shared" si="89"/>
        <v>-</v>
      </c>
      <c r="AR94" s="15" t="s">
        <v>97</v>
      </c>
      <c r="AS94" s="15" t="s">
        <v>97</v>
      </c>
      <c r="AT94" s="15" t="s">
        <v>97</v>
      </c>
      <c r="AU94" s="27">
        <f t="shared" si="89"/>
        <v>1</v>
      </c>
      <c r="AV94" s="27">
        <f t="shared" si="89"/>
        <v>1</v>
      </c>
      <c r="AW94" s="27">
        <f t="shared" si="89"/>
        <v>1</v>
      </c>
      <c r="AX94" s="27">
        <f t="shared" si="89"/>
        <v>1</v>
      </c>
      <c r="AY94" s="27">
        <f t="shared" si="89"/>
        <v>1</v>
      </c>
      <c r="AZ94" s="27">
        <f t="shared" si="89"/>
        <v>1</v>
      </c>
      <c r="BA94" s="27">
        <f t="shared" si="89"/>
        <v>1</v>
      </c>
      <c r="BB94" s="27">
        <f t="shared" si="89"/>
        <v>1</v>
      </c>
      <c r="BC94" s="27">
        <f t="shared" si="89"/>
        <v>1</v>
      </c>
      <c r="BD94" s="27">
        <f t="shared" si="89"/>
        <v>1</v>
      </c>
      <c r="BE94" s="27">
        <f t="shared" si="89"/>
        <v>1</v>
      </c>
      <c r="BF94" s="27">
        <f t="shared" si="89"/>
        <v>1</v>
      </c>
      <c r="BG94" s="27">
        <f t="shared" si="89"/>
        <v>1</v>
      </c>
      <c r="BH94" s="27">
        <f t="shared" si="89"/>
        <v>1</v>
      </c>
      <c r="BI94" s="27">
        <f t="shared" si="89"/>
        <v>1</v>
      </c>
      <c r="BJ94" s="27">
        <f t="shared" si="89"/>
        <v>1</v>
      </c>
      <c r="BK94" s="27">
        <f t="shared" si="89"/>
        <v>0</v>
      </c>
      <c r="BL94" s="27">
        <f t="shared" si="89"/>
        <v>0</v>
      </c>
      <c r="BM94" s="27">
        <f t="shared" si="89"/>
        <v>0</v>
      </c>
      <c r="BN94" s="27">
        <f t="shared" si="89"/>
        <v>0</v>
      </c>
      <c r="BO94" s="27">
        <f t="shared" si="89"/>
        <v>0</v>
      </c>
      <c r="BP94" s="15">
        <v>0</v>
      </c>
    </row>
  </sheetData>
  <autoFilter ref="F4:BO4" xr:uid="{74BD5C81-DA63-4249-A1B4-6F29577A4105}"/>
  <phoneticPr fontId="4" type="noConversion"/>
  <conditionalFormatting sqref="C1:E62 C64:E1048576">
    <cfRule type="cellIs" dxfId="5" priority="41" operator="equal">
      <formula>TRUE</formula>
    </cfRule>
  </conditionalFormatting>
  <conditionalFormatting sqref="A1:XFD1">
    <cfRule type="cellIs" dxfId="4" priority="74" operator="equal">
      <formula>"sav"</formula>
    </cfRule>
    <cfRule type="containsText" dxfId="3" priority="78" operator="containsText" text="sam">
      <formula>NOT(ISERROR(SEARCH("sam",A1)))</formula>
    </cfRule>
    <cfRule type="containsText" dxfId="2" priority="79" operator="containsText" text="sap">
      <formula>NOT(ISERROR(SEARCH("sap",A1)))</formula>
    </cfRule>
    <cfRule type="containsText" dxfId="1" priority="80" operator="containsText" text="saa">
      <formula>NOT(ISERROR(SEARCH("saa",A1)))</formula>
    </cfRule>
  </conditionalFormatting>
  <conditionalFormatting sqref="C63:E63">
    <cfRule type="cellIs" dxfId="0" priority="1" operator="equal">
      <formula>TRUE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8C2D2-3F1B-4735-BAB2-C6257B1D4323}">
  <sheetPr codeName="Sheet2"/>
  <dimension ref="A1:A8"/>
  <sheetViews>
    <sheetView workbookViewId="0">
      <selection activeCell="A2" sqref="A2"/>
    </sheetView>
  </sheetViews>
  <sheetFormatPr defaultRowHeight="15" x14ac:dyDescent="0.25"/>
  <cols>
    <col min="1" max="1" width="145.140625" customWidth="1"/>
  </cols>
  <sheetData>
    <row r="1" spans="1:1" x14ac:dyDescent="0.25">
      <c r="A1" t="s">
        <v>69</v>
      </c>
    </row>
    <row r="2" spans="1:1" x14ac:dyDescent="0.25">
      <c r="A2" s="10"/>
    </row>
    <row r="3" spans="1:1" x14ac:dyDescent="0.25">
      <c r="A3" s="10"/>
    </row>
    <row r="4" spans="1:1" x14ac:dyDescent="0.25">
      <c r="A4" s="10"/>
    </row>
    <row r="5" spans="1:1" x14ac:dyDescent="0.25">
      <c r="A5" s="10"/>
    </row>
    <row r="6" spans="1:1" x14ac:dyDescent="0.25">
      <c r="A6" s="10"/>
    </row>
    <row r="7" spans="1:1" x14ac:dyDescent="0.25">
      <c r="A7" s="10"/>
    </row>
    <row r="8" spans="1:1" x14ac:dyDescent="0.25">
      <c r="A8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Description</vt:lpstr>
      <vt:lpstr>ExpData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Young</dc:creator>
  <cp:lastModifiedBy>John</cp:lastModifiedBy>
  <dcterms:created xsi:type="dcterms:W3CDTF">2019-11-05T07:30:33Z</dcterms:created>
  <dcterms:modified xsi:type="dcterms:W3CDTF">2021-03-23T11:43:37Z</dcterms:modified>
</cp:coreProperties>
</file>