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470D2CD-2249-CD33-4A35-6F278624656F}"/>
  <workbookPr codeName="ThisWorkbook" defaultThemeVersion="166925"/>
  <mc:AlternateContent xmlns:mc="http://schemas.openxmlformats.org/markup-compatibility/2006">
    <mc:Choice Requires="x15">
      <x15ac:absPath xmlns:x15ac="http://schemas.microsoft.com/office/spreadsheetml/2010/11/ac" url="C:\Models\AFO\"/>
    </mc:Choice>
  </mc:AlternateContent>
  <xr:revisionPtr revIDLastSave="0" documentId="13_ncr:1_{B0DB0DC3-C9A9-4A5F-BF12-74A36C2B96F7}" xr6:coauthVersionLast="46" xr6:coauthVersionMax="46" xr10:uidLastSave="{00000000-0000-0000-0000-000000000000}"/>
  <bookViews>
    <workbookView xWindow="-120" yWindow="-120" windowWidth="28110" windowHeight="16440" activeTab="1" xr2:uid="{92F76B5C-EE3B-4928-B619-32EB52950B18}"/>
  </bookViews>
  <sheets>
    <sheet name="Sheet1" sheetId="1" r:id="rId1"/>
    <sheet name="Description" sheetId="2" r:id="rId2"/>
    <sheet name="Run Report" sheetId="3" r:id="rId3"/>
  </sheets>
  <definedNames>
    <definedName name="_xlnm._FilterDatabase" localSheetId="0" hidden="1">Sheet1!$A$4:$BB$70</definedName>
    <definedName name="ExpData">Sheet1!$B$5:$BB$70</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A5" i="1" l="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J5" i="1"/>
  <c r="B69" i="1" l="1"/>
  <c r="B68" i="1"/>
  <c r="B67" i="1"/>
  <c r="B66" i="1"/>
  <c r="B65" i="1"/>
  <c r="B64" i="1"/>
  <c r="B63" i="1"/>
  <c r="B62" i="1"/>
  <c r="B61" i="1"/>
  <c r="B60" i="1"/>
  <c r="AQ6" i="1" l="1"/>
  <c r="AQ7" i="1" s="1"/>
  <c r="AQ70" i="1"/>
  <c r="AP70" i="1"/>
  <c r="AP6" i="1"/>
  <c r="AP7" i="1" s="1"/>
  <c r="H9" i="1"/>
  <c r="B59" i="1"/>
  <c r="B58" i="1"/>
  <c r="B57" i="1"/>
  <c r="B56" i="1"/>
  <c r="B55" i="1"/>
  <c r="B54" i="1"/>
  <c r="B53" i="1"/>
  <c r="B52" i="1"/>
  <c r="B51" i="1"/>
  <c r="B50" i="1"/>
  <c r="B49" i="1"/>
  <c r="B48" i="1"/>
  <c r="B47" i="1"/>
  <c r="B46" i="1"/>
  <c r="B45" i="1"/>
  <c r="B44" i="1"/>
  <c r="B43" i="1"/>
  <c r="B42" i="1"/>
  <c r="B41" i="1"/>
  <c r="B40" i="1"/>
  <c r="B39" i="1"/>
  <c r="B38" i="1"/>
  <c r="B37" i="1"/>
  <c r="B36" i="1"/>
  <c r="B35" i="1"/>
  <c r="B34" i="1"/>
  <c r="B33" i="1"/>
  <c r="B29" i="1"/>
  <c r="B28" i="1"/>
  <c r="B27" i="1"/>
  <c r="B26" i="1"/>
  <c r="B25" i="1"/>
  <c r="B24" i="1"/>
  <c r="B23" i="1"/>
  <c r="B19" i="1"/>
  <c r="B18" i="1"/>
  <c r="B17" i="1"/>
  <c r="B16" i="1"/>
  <c r="B15" i="1"/>
  <c r="B14" i="1"/>
  <c r="B13" i="1"/>
  <c r="B32" i="1"/>
  <c r="B31" i="1"/>
  <c r="B30" i="1"/>
  <c r="B22" i="1"/>
  <c r="B21" i="1"/>
  <c r="B20" i="1"/>
  <c r="B12" i="1"/>
  <c r="B11" i="1"/>
  <c r="B10" i="1"/>
  <c r="B9" i="1" l="1"/>
  <c r="C10" i="1" s="1"/>
  <c r="AP10" i="1" l="1"/>
  <c r="AQ10" i="1"/>
  <c r="AL10" i="1"/>
  <c r="C11" i="1"/>
  <c r="B70" i="1"/>
  <c r="AP11" i="1" l="1"/>
  <c r="AQ11" i="1"/>
  <c r="C12" i="1"/>
  <c r="AQ12" i="1" s="1"/>
  <c r="AL11" i="1"/>
  <c r="AI6" i="1"/>
  <c r="AH6" i="1"/>
  <c r="AG6" i="1"/>
  <c r="I8" i="1"/>
  <c r="I9" i="1"/>
  <c r="I6" i="1"/>
  <c r="I7" i="1"/>
  <c r="C13" i="1" l="1"/>
  <c r="AP12" i="1"/>
  <c r="C20" i="1"/>
  <c r="AL12" i="1"/>
  <c r="AI9" i="1"/>
  <c r="AG9" i="1"/>
  <c r="AH9" i="1"/>
  <c r="AH12" i="1" s="1"/>
  <c r="AG7" i="1"/>
  <c r="AH7" i="1"/>
  <c r="AI7" i="1"/>
  <c r="K9" i="1"/>
  <c r="L9" i="1"/>
  <c r="AE70" i="1"/>
  <c r="K12" i="1" l="1"/>
  <c r="AG12" i="1"/>
  <c r="AI12" i="1"/>
  <c r="AP13" i="1"/>
  <c r="AQ13" i="1"/>
  <c r="L13" i="1"/>
  <c r="AL13" i="1"/>
  <c r="AM13" i="1"/>
  <c r="C14" i="1"/>
  <c r="AG14" i="1" s="1"/>
  <c r="AO13" i="1"/>
  <c r="AP20" i="1"/>
  <c r="AQ20" i="1"/>
  <c r="AH13" i="1"/>
  <c r="AI13" i="1"/>
  <c r="K13" i="1"/>
  <c r="AG13" i="1"/>
  <c r="L10" i="1"/>
  <c r="L11" i="1"/>
  <c r="AG10" i="1"/>
  <c r="AG11" i="1"/>
  <c r="AH10" i="1"/>
  <c r="AH11" i="1"/>
  <c r="L12" i="1"/>
  <c r="AI10" i="1"/>
  <c r="AI11" i="1"/>
  <c r="K10" i="1"/>
  <c r="K11" i="1"/>
  <c r="C21" i="1"/>
  <c r="K20" i="1"/>
  <c r="AL20" i="1"/>
  <c r="L20" i="1"/>
  <c r="AI20" i="1"/>
  <c r="AG20" i="1"/>
  <c r="AH20" i="1"/>
  <c r="AD70" i="1"/>
  <c r="AD6" i="1"/>
  <c r="AF70" i="1"/>
  <c r="AF6" i="1"/>
  <c r="AE6" i="1"/>
  <c r="O6" i="1"/>
  <c r="AI14" i="1" l="1"/>
  <c r="AL14" i="1"/>
  <c r="AM14" i="1"/>
  <c r="AH14" i="1"/>
  <c r="N6" i="1"/>
  <c r="N9" i="1" s="1"/>
  <c r="AO14" i="1"/>
  <c r="L14" i="1"/>
  <c r="C15" i="1"/>
  <c r="AM15" i="1" s="1"/>
  <c r="K14" i="1"/>
  <c r="AP14" i="1"/>
  <c r="AQ14" i="1"/>
  <c r="AP21" i="1"/>
  <c r="AQ21" i="1"/>
  <c r="L15" i="1"/>
  <c r="AL15" i="1"/>
  <c r="AG15" i="1"/>
  <c r="C16" i="1"/>
  <c r="C22" i="1"/>
  <c r="AQ22" i="1" s="1"/>
  <c r="AL21" i="1"/>
  <c r="AH21" i="1"/>
  <c r="AI21" i="1"/>
  <c r="AG21" i="1"/>
  <c r="K21" i="1"/>
  <c r="L21" i="1"/>
  <c r="AE9" i="1"/>
  <c r="AF9" i="1"/>
  <c r="AD9" i="1"/>
  <c r="M9" i="1"/>
  <c r="O9" i="1"/>
  <c r="AF7" i="1"/>
  <c r="AE7" i="1"/>
  <c r="AD7" i="1"/>
  <c r="M70" i="1"/>
  <c r="N70" i="1"/>
  <c r="O70" i="1"/>
  <c r="AH15" i="1" l="1"/>
  <c r="AI15" i="1"/>
  <c r="K15" i="1"/>
  <c r="AO15" i="1"/>
  <c r="AQ15" i="1"/>
  <c r="AP15" i="1"/>
  <c r="O15" i="1"/>
  <c r="N15" i="1"/>
  <c r="AE15" i="1"/>
  <c r="AP16" i="1"/>
  <c r="AQ16" i="1"/>
  <c r="C23" i="1"/>
  <c r="M23" i="1" s="1"/>
  <c r="AP22" i="1"/>
  <c r="AF21" i="1"/>
  <c r="AF13" i="1"/>
  <c r="AF14" i="1"/>
  <c r="AF15" i="1"/>
  <c r="O13" i="1"/>
  <c r="O14" i="1"/>
  <c r="AD13" i="1"/>
  <c r="AD14" i="1"/>
  <c r="AE13" i="1"/>
  <c r="AE14" i="1"/>
  <c r="AD15" i="1"/>
  <c r="M21" i="1"/>
  <c r="M13" i="1"/>
  <c r="M14" i="1"/>
  <c r="AF16" i="1"/>
  <c r="AD16" i="1"/>
  <c r="C17" i="1"/>
  <c r="AH16" i="1"/>
  <c r="AM16" i="1"/>
  <c r="N16" i="1"/>
  <c r="AO16" i="1"/>
  <c r="L16" i="1"/>
  <c r="AE16" i="1"/>
  <c r="O16" i="1"/>
  <c r="K16" i="1"/>
  <c r="AG16" i="1"/>
  <c r="AL16" i="1"/>
  <c r="AI16" i="1"/>
  <c r="M16" i="1"/>
  <c r="M15" i="1"/>
  <c r="AH23" i="1"/>
  <c r="AG23" i="1"/>
  <c r="N23" i="1"/>
  <c r="AD23" i="1"/>
  <c r="C24" i="1"/>
  <c r="AI23" i="1"/>
  <c r="N21" i="1"/>
  <c r="N13" i="1"/>
  <c r="N14" i="1"/>
  <c r="AD10" i="1"/>
  <c r="AD11" i="1"/>
  <c r="AD12" i="1"/>
  <c r="AD20" i="1"/>
  <c r="O10" i="1"/>
  <c r="O11" i="1"/>
  <c r="O12" i="1"/>
  <c r="O20" i="1"/>
  <c r="N10" i="1"/>
  <c r="N11" i="1"/>
  <c r="N12" i="1"/>
  <c r="N20" i="1"/>
  <c r="AE10" i="1"/>
  <c r="AE11" i="1"/>
  <c r="AE12" i="1"/>
  <c r="AE20" i="1"/>
  <c r="C30" i="1"/>
  <c r="AQ30" i="1" s="1"/>
  <c r="O22" i="1"/>
  <c r="N22" i="1"/>
  <c r="M22" i="1"/>
  <c r="AI22" i="1"/>
  <c r="L22" i="1"/>
  <c r="AH22" i="1"/>
  <c r="K22" i="1"/>
  <c r="AG22" i="1"/>
  <c r="AF22" i="1"/>
  <c r="AE22" i="1"/>
  <c r="AD22" i="1"/>
  <c r="AL22" i="1"/>
  <c r="AF10" i="1"/>
  <c r="AF11" i="1"/>
  <c r="AF12" i="1"/>
  <c r="AF20" i="1"/>
  <c r="AD21" i="1"/>
  <c r="M10" i="1"/>
  <c r="M11" i="1"/>
  <c r="M12" i="1"/>
  <c r="M20" i="1"/>
  <c r="O21" i="1"/>
  <c r="AE21" i="1"/>
  <c r="N7" i="1"/>
  <c r="O7" i="1"/>
  <c r="M7" i="1"/>
  <c r="AL23" i="1" l="1"/>
  <c r="AO23" i="1"/>
  <c r="AF23" i="1"/>
  <c r="AM23" i="1"/>
  <c r="AE23" i="1"/>
  <c r="O23" i="1"/>
  <c r="L23" i="1"/>
  <c r="K23" i="1"/>
  <c r="AP17" i="1"/>
  <c r="AQ17" i="1"/>
  <c r="AP23" i="1"/>
  <c r="AQ23" i="1"/>
  <c r="AP24" i="1"/>
  <c r="AQ24" i="1"/>
  <c r="AP30" i="1"/>
  <c r="AV30" i="1"/>
  <c r="AU30" i="1"/>
  <c r="AD17" i="1"/>
  <c r="K17" i="1"/>
  <c r="N17" i="1"/>
  <c r="L17" i="1"/>
  <c r="M17" i="1"/>
  <c r="AG17" i="1"/>
  <c r="AE17" i="1"/>
  <c r="AO17" i="1"/>
  <c r="AM17" i="1"/>
  <c r="AI17" i="1"/>
  <c r="AF17" i="1"/>
  <c r="C18" i="1"/>
  <c r="AL17" i="1"/>
  <c r="O17" i="1"/>
  <c r="AH17" i="1"/>
  <c r="AM24" i="1"/>
  <c r="AL24" i="1"/>
  <c r="AG24" i="1"/>
  <c r="AF24" i="1"/>
  <c r="AE24" i="1"/>
  <c r="AI24" i="1"/>
  <c r="AH24" i="1"/>
  <c r="AD24" i="1"/>
  <c r="AO24" i="1"/>
  <c r="N24" i="1"/>
  <c r="K24" i="1"/>
  <c r="O24" i="1"/>
  <c r="C25" i="1"/>
  <c r="L24" i="1"/>
  <c r="M24" i="1"/>
  <c r="C31" i="1"/>
  <c r="AQ31" i="1" s="1"/>
  <c r="AD30" i="1"/>
  <c r="AE30" i="1"/>
  <c r="L30" i="1"/>
  <c r="N30" i="1"/>
  <c r="K30" i="1"/>
  <c r="AI30" i="1"/>
  <c r="O30" i="1"/>
  <c r="AF30" i="1"/>
  <c r="AL30" i="1"/>
  <c r="AH30" i="1"/>
  <c r="AG30" i="1"/>
  <c r="M30" i="1"/>
  <c r="AP18" i="1" l="1"/>
  <c r="AQ18" i="1"/>
  <c r="AP25" i="1"/>
  <c r="AQ25" i="1"/>
  <c r="AP31" i="1"/>
  <c r="AV31" i="1"/>
  <c r="AU31" i="1"/>
  <c r="O25" i="1"/>
  <c r="AI25" i="1"/>
  <c r="AH25" i="1"/>
  <c r="C26" i="1"/>
  <c r="M25" i="1"/>
  <c r="AG25" i="1"/>
  <c r="N25" i="1"/>
  <c r="AO25" i="1"/>
  <c r="AF25" i="1"/>
  <c r="AL25" i="1"/>
  <c r="AE25" i="1"/>
  <c r="K25" i="1"/>
  <c r="AD25" i="1"/>
  <c r="L25" i="1"/>
  <c r="AM25" i="1"/>
  <c r="AF18" i="1"/>
  <c r="AL18" i="1"/>
  <c r="AH18" i="1"/>
  <c r="AE18" i="1"/>
  <c r="AO18" i="1"/>
  <c r="AI18" i="1"/>
  <c r="O18" i="1"/>
  <c r="AD18" i="1"/>
  <c r="C19" i="1"/>
  <c r="AM18" i="1"/>
  <c r="L18" i="1"/>
  <c r="K18" i="1"/>
  <c r="N18" i="1"/>
  <c r="AG18" i="1"/>
  <c r="M18" i="1"/>
  <c r="C32" i="1"/>
  <c r="M31" i="1"/>
  <c r="AH31" i="1"/>
  <c r="AL31" i="1"/>
  <c r="AF31" i="1"/>
  <c r="AG31" i="1"/>
  <c r="N31" i="1"/>
  <c r="AD31" i="1"/>
  <c r="O31" i="1"/>
  <c r="L31" i="1"/>
  <c r="K31" i="1"/>
  <c r="AI31" i="1"/>
  <c r="AE31" i="1"/>
  <c r="Y70" i="1"/>
  <c r="V70" i="1"/>
  <c r="W70" i="1"/>
  <c r="W6" i="1"/>
  <c r="X6" i="1"/>
  <c r="X70" i="1"/>
  <c r="U70" i="1"/>
  <c r="Z70" i="1"/>
  <c r="AV70" i="1"/>
  <c r="AV6" i="1"/>
  <c r="AO70" i="1"/>
  <c r="AO6" i="1"/>
  <c r="AS70" i="1"/>
  <c r="AS6" i="1"/>
  <c r="AR70" i="1"/>
  <c r="AR6" i="1"/>
  <c r="AM70" i="1"/>
  <c r="AM6" i="1"/>
  <c r="AU70" i="1"/>
  <c r="AU6" i="1"/>
  <c r="AL70" i="1"/>
  <c r="AL6" i="1"/>
  <c r="AT70" i="1"/>
  <c r="AT6" i="1"/>
  <c r="AN70" i="1"/>
  <c r="AN6" i="1"/>
  <c r="L7" i="1"/>
  <c r="K7" i="1"/>
  <c r="B7" i="1"/>
  <c r="G4" i="1"/>
  <c r="F4" i="1"/>
  <c r="AQ32" i="1" l="1"/>
  <c r="C60" i="1"/>
  <c r="AP26" i="1"/>
  <c r="AQ26" i="1"/>
  <c r="AP19" i="1"/>
  <c r="AQ19" i="1"/>
  <c r="AP32" i="1"/>
  <c r="AU32" i="1"/>
  <c r="AV32" i="1"/>
  <c r="C33" i="1"/>
  <c r="AQ33" i="1" s="1"/>
  <c r="C40" i="1"/>
  <c r="AO19" i="1"/>
  <c r="AE19" i="1"/>
  <c r="AL19" i="1"/>
  <c r="AI19" i="1"/>
  <c r="L19" i="1"/>
  <c r="M19" i="1"/>
  <c r="AH19" i="1"/>
  <c r="Z19" i="1"/>
  <c r="N19" i="1"/>
  <c r="AF19" i="1"/>
  <c r="O19" i="1"/>
  <c r="AM19" i="1"/>
  <c r="AG19" i="1"/>
  <c r="K19" i="1"/>
  <c r="AD19" i="1"/>
  <c r="C27" i="1"/>
  <c r="L26" i="1"/>
  <c r="M26" i="1"/>
  <c r="AL26" i="1"/>
  <c r="AG26" i="1"/>
  <c r="K26" i="1"/>
  <c r="AT26" i="1"/>
  <c r="AF26" i="1"/>
  <c r="AD26" i="1"/>
  <c r="AH26" i="1"/>
  <c r="AO26" i="1"/>
  <c r="O26" i="1"/>
  <c r="N26" i="1"/>
  <c r="AM26" i="1"/>
  <c r="AI26" i="1"/>
  <c r="AE26" i="1"/>
  <c r="K33" i="1"/>
  <c r="O33" i="1"/>
  <c r="AO33" i="1"/>
  <c r="AM33" i="1"/>
  <c r="AL33" i="1"/>
  <c r="AI33" i="1"/>
  <c r="AH33" i="1"/>
  <c r="AG33" i="1"/>
  <c r="AD33" i="1"/>
  <c r="L33" i="1"/>
  <c r="N33" i="1"/>
  <c r="M33" i="1"/>
  <c r="O32" i="1"/>
  <c r="N32" i="1"/>
  <c r="M32" i="1"/>
  <c r="AI32" i="1"/>
  <c r="L32" i="1"/>
  <c r="K32" i="1"/>
  <c r="AH32" i="1"/>
  <c r="AG32" i="1"/>
  <c r="AF32" i="1"/>
  <c r="AE32" i="1"/>
  <c r="AD32" i="1"/>
  <c r="AL32" i="1"/>
  <c r="AU19" i="1"/>
  <c r="Z9" i="1"/>
  <c r="Z26" i="1" s="1"/>
  <c r="Z7" i="1"/>
  <c r="U9" i="1"/>
  <c r="U7" i="1"/>
  <c r="X7" i="1"/>
  <c r="X9" i="1"/>
  <c r="X26" i="1" s="1"/>
  <c r="W9" i="1"/>
  <c r="W7" i="1"/>
  <c r="V7" i="1"/>
  <c r="V9" i="1"/>
  <c r="V19" i="1" s="1"/>
  <c r="Y9" i="1"/>
  <c r="Y26" i="1" s="1"/>
  <c r="Y7" i="1"/>
  <c r="AN26" i="1"/>
  <c r="AM32" i="1"/>
  <c r="AV26" i="1"/>
  <c r="AV7" i="1"/>
  <c r="AO7" i="1"/>
  <c r="AS7" i="1"/>
  <c r="AR7" i="1"/>
  <c r="AM7" i="1"/>
  <c r="AU7" i="1"/>
  <c r="AL7" i="1"/>
  <c r="AT7" i="1"/>
  <c r="AN7" i="1"/>
  <c r="E4" i="1"/>
  <c r="U33" i="1" l="1"/>
  <c r="AE33" i="1"/>
  <c r="C34" i="1"/>
  <c r="AQ34" i="1" s="1"/>
  <c r="AF33" i="1"/>
  <c r="AV60" i="1"/>
  <c r="AS60" i="1"/>
  <c r="AU60" i="1"/>
  <c r="AP60" i="1"/>
  <c r="AT60" i="1"/>
  <c r="AN60" i="1"/>
  <c r="AL60" i="1"/>
  <c r="AM60" i="1"/>
  <c r="AH60" i="1"/>
  <c r="L60" i="1"/>
  <c r="AG60" i="1"/>
  <c r="AI60" i="1"/>
  <c r="U60" i="1"/>
  <c r="N60" i="1"/>
  <c r="W60" i="1"/>
  <c r="O60" i="1"/>
  <c r="AO60" i="1"/>
  <c r="V60" i="1"/>
  <c r="C61" i="1"/>
  <c r="X60" i="1"/>
  <c r="Z60" i="1"/>
  <c r="AD60" i="1"/>
  <c r="AR60" i="1"/>
  <c r="AF60" i="1"/>
  <c r="M60" i="1"/>
  <c r="Y60" i="1"/>
  <c r="AE60" i="1"/>
  <c r="K60" i="1"/>
  <c r="W33" i="1"/>
  <c r="AQ40" i="1"/>
  <c r="AP40" i="1"/>
  <c r="U19" i="1"/>
  <c r="Y33" i="1"/>
  <c r="AP27" i="1"/>
  <c r="AQ27" i="1"/>
  <c r="AP34" i="1"/>
  <c r="AV34" i="1"/>
  <c r="AU34" i="1"/>
  <c r="AT40" i="1"/>
  <c r="AV40" i="1"/>
  <c r="AP33" i="1"/>
  <c r="AV33" i="1"/>
  <c r="AU33" i="1"/>
  <c r="AS33" i="1"/>
  <c r="C41" i="1"/>
  <c r="X40" i="1"/>
  <c r="W40" i="1"/>
  <c r="V40" i="1"/>
  <c r="AH40" i="1"/>
  <c r="U40" i="1"/>
  <c r="AL40" i="1"/>
  <c r="AE40" i="1"/>
  <c r="AI40" i="1"/>
  <c r="AD40" i="1"/>
  <c r="Z40" i="1"/>
  <c r="AF40" i="1"/>
  <c r="Y40" i="1"/>
  <c r="AG40" i="1"/>
  <c r="AO40" i="1"/>
  <c r="L40" i="1"/>
  <c r="AR40" i="1"/>
  <c r="AS40" i="1"/>
  <c r="AN40" i="1"/>
  <c r="O40" i="1"/>
  <c r="N40" i="1"/>
  <c r="AM40" i="1"/>
  <c r="M40" i="1"/>
  <c r="K40" i="1"/>
  <c r="AN19" i="1"/>
  <c r="W19" i="1"/>
  <c r="Y13" i="1"/>
  <c r="Y14" i="1"/>
  <c r="Y15" i="1"/>
  <c r="Y23" i="1"/>
  <c r="Y16" i="1"/>
  <c r="Y17" i="1"/>
  <c r="Y24" i="1"/>
  <c r="Y18" i="1"/>
  <c r="Y25" i="1"/>
  <c r="V33" i="1"/>
  <c r="AN13" i="1"/>
  <c r="AN14" i="1"/>
  <c r="AN15" i="1"/>
  <c r="AN23" i="1"/>
  <c r="AN16" i="1"/>
  <c r="AN24" i="1"/>
  <c r="AN17" i="1"/>
  <c r="AN18" i="1"/>
  <c r="AN25" i="1"/>
  <c r="U26" i="1"/>
  <c r="X19" i="1"/>
  <c r="Y27" i="1"/>
  <c r="AT27" i="1"/>
  <c r="AF27" i="1"/>
  <c r="AM27" i="1"/>
  <c r="W27" i="1"/>
  <c r="U27" i="1"/>
  <c r="C28" i="1"/>
  <c r="AR27" i="1"/>
  <c r="AN27" i="1"/>
  <c r="X27" i="1"/>
  <c r="N27" i="1"/>
  <c r="AH27" i="1"/>
  <c r="AO27" i="1"/>
  <c r="AG27" i="1"/>
  <c r="AL27" i="1"/>
  <c r="O27" i="1"/>
  <c r="AE27" i="1"/>
  <c r="AD27" i="1"/>
  <c r="Z27" i="1"/>
  <c r="AI27" i="1"/>
  <c r="M27" i="1"/>
  <c r="AV27" i="1"/>
  <c r="L27" i="1"/>
  <c r="AU27" i="1"/>
  <c r="V27" i="1"/>
  <c r="K27" i="1"/>
  <c r="AR23" i="1"/>
  <c r="AR24" i="1"/>
  <c r="AR25" i="1"/>
  <c r="W13" i="1"/>
  <c r="W14" i="1"/>
  <c r="W15" i="1"/>
  <c r="W23" i="1"/>
  <c r="W16" i="1"/>
  <c r="W24" i="1"/>
  <c r="W17" i="1"/>
  <c r="W18" i="1"/>
  <c r="W25" i="1"/>
  <c r="V26" i="1"/>
  <c r="AU13" i="1"/>
  <c r="AU14" i="1"/>
  <c r="AU15" i="1"/>
  <c r="AU16" i="1"/>
  <c r="AU23" i="1"/>
  <c r="AU24" i="1"/>
  <c r="AU17" i="1"/>
  <c r="AU25" i="1"/>
  <c r="AU18" i="1"/>
  <c r="AV13" i="1"/>
  <c r="AV14" i="1"/>
  <c r="AV15" i="1"/>
  <c r="AV23" i="1"/>
  <c r="AV16" i="1"/>
  <c r="AV24" i="1"/>
  <c r="AV17" i="1"/>
  <c r="AV25" i="1"/>
  <c r="AV18" i="1"/>
  <c r="AS13" i="1"/>
  <c r="AS14" i="1"/>
  <c r="AS15" i="1"/>
  <c r="AS16" i="1"/>
  <c r="AS17" i="1"/>
  <c r="AS18" i="1"/>
  <c r="AT13" i="1"/>
  <c r="AT14" i="1"/>
  <c r="AT15" i="1"/>
  <c r="AT16" i="1"/>
  <c r="AT23" i="1"/>
  <c r="AT17" i="1"/>
  <c r="AT24" i="1"/>
  <c r="AT18" i="1"/>
  <c r="AT25" i="1"/>
  <c r="W26" i="1"/>
  <c r="AV19" i="1"/>
  <c r="Z32" i="1"/>
  <c r="Z13" i="1"/>
  <c r="Z14" i="1"/>
  <c r="Z15" i="1"/>
  <c r="Z23" i="1"/>
  <c r="Z16" i="1"/>
  <c r="Z17" i="1"/>
  <c r="Z24" i="1"/>
  <c r="Z25" i="1"/>
  <c r="Z18" i="1"/>
  <c r="AN33" i="1"/>
  <c r="X32" i="1"/>
  <c r="X13" i="1"/>
  <c r="X14" i="1"/>
  <c r="X15" i="1"/>
  <c r="X16" i="1"/>
  <c r="X23" i="1"/>
  <c r="X17" i="1"/>
  <c r="X24" i="1"/>
  <c r="X25" i="1"/>
  <c r="X18" i="1"/>
  <c r="X33" i="1"/>
  <c r="Y19" i="1"/>
  <c r="AR33" i="1"/>
  <c r="AR34" i="1"/>
  <c r="AN34" i="1"/>
  <c r="C35" i="1"/>
  <c r="AQ35" i="1" s="1"/>
  <c r="M34" i="1"/>
  <c r="AI34" i="1"/>
  <c r="AD34" i="1"/>
  <c r="AL34" i="1"/>
  <c r="U34" i="1"/>
  <c r="X34" i="1"/>
  <c r="K34" i="1"/>
  <c r="L34" i="1"/>
  <c r="AM34" i="1"/>
  <c r="AE34" i="1"/>
  <c r="W34" i="1"/>
  <c r="N34" i="1"/>
  <c r="AF34" i="1"/>
  <c r="AH34" i="1"/>
  <c r="Y34" i="1"/>
  <c r="AS34" i="1"/>
  <c r="AO34" i="1"/>
  <c r="V34" i="1"/>
  <c r="Z34" i="1"/>
  <c r="O34" i="1"/>
  <c r="AG34" i="1"/>
  <c r="V32" i="1"/>
  <c r="V13" i="1"/>
  <c r="V14" i="1"/>
  <c r="V15" i="1"/>
  <c r="V16" i="1"/>
  <c r="V23" i="1"/>
  <c r="V17" i="1"/>
  <c r="V24" i="1"/>
  <c r="V25" i="1"/>
  <c r="V18" i="1"/>
  <c r="AT19" i="1"/>
  <c r="AU26" i="1"/>
  <c r="AR26" i="1"/>
  <c r="U32" i="1"/>
  <c r="U13" i="1"/>
  <c r="U14" i="1"/>
  <c r="U15" i="1"/>
  <c r="U16" i="1"/>
  <c r="U23" i="1"/>
  <c r="U17" i="1"/>
  <c r="U24" i="1"/>
  <c r="U18" i="1"/>
  <c r="U25" i="1"/>
  <c r="Z33" i="1"/>
  <c r="AS19" i="1"/>
  <c r="AR20" i="1"/>
  <c r="AR21" i="1"/>
  <c r="AR22" i="1"/>
  <c r="AR32" i="1"/>
  <c r="AS10" i="1"/>
  <c r="AS11" i="1"/>
  <c r="AS12" i="1"/>
  <c r="AV20" i="1"/>
  <c r="AV21" i="1"/>
  <c r="AV22" i="1"/>
  <c r="AR30" i="1"/>
  <c r="AR31" i="1"/>
  <c r="AT10" i="1"/>
  <c r="AT11" i="1"/>
  <c r="AT12" i="1"/>
  <c r="AT20" i="1"/>
  <c r="AT21" i="1"/>
  <c r="AT22" i="1"/>
  <c r="AS30" i="1"/>
  <c r="AS31" i="1"/>
  <c r="AU10" i="1"/>
  <c r="AU11" i="1"/>
  <c r="AU12" i="1"/>
  <c r="AU20" i="1"/>
  <c r="AU21" i="1"/>
  <c r="AU22" i="1"/>
  <c r="AS32" i="1"/>
  <c r="AV10" i="1"/>
  <c r="AV11" i="1"/>
  <c r="AV12" i="1"/>
  <c r="Y10" i="1"/>
  <c r="Y11" i="1"/>
  <c r="Y12" i="1"/>
  <c r="Y20" i="1"/>
  <c r="Y21" i="1"/>
  <c r="Y22" i="1"/>
  <c r="Y30" i="1"/>
  <c r="Y31" i="1"/>
  <c r="AO10" i="1"/>
  <c r="AO11" i="1"/>
  <c r="AO12" i="1"/>
  <c r="AO20" i="1"/>
  <c r="AO21" i="1"/>
  <c r="AO22" i="1"/>
  <c r="AO30" i="1"/>
  <c r="AO31" i="1"/>
  <c r="AN10" i="1"/>
  <c r="AN11" i="1"/>
  <c r="AN12" i="1"/>
  <c r="AN20" i="1"/>
  <c r="AN21" i="1"/>
  <c r="AN22" i="1"/>
  <c r="AN30" i="1"/>
  <c r="AN31" i="1"/>
  <c r="Y32" i="1"/>
  <c r="W10" i="1"/>
  <c r="W11" i="1"/>
  <c r="W12" i="1"/>
  <c r="W20" i="1"/>
  <c r="W21" i="1"/>
  <c r="W22" i="1"/>
  <c r="W30" i="1"/>
  <c r="W31" i="1"/>
  <c r="AM10" i="1"/>
  <c r="AM11" i="1"/>
  <c r="AM12" i="1"/>
  <c r="AM20" i="1"/>
  <c r="AM21" i="1"/>
  <c r="AM22" i="1"/>
  <c r="AM30" i="1"/>
  <c r="AM31" i="1"/>
  <c r="V10" i="1"/>
  <c r="V11" i="1"/>
  <c r="V12" i="1"/>
  <c r="V20" i="1"/>
  <c r="V21" i="1"/>
  <c r="V22" i="1"/>
  <c r="V30" i="1"/>
  <c r="V31" i="1"/>
  <c r="AN32" i="1"/>
  <c r="AO32" i="1"/>
  <c r="W32" i="1"/>
  <c r="U10" i="1"/>
  <c r="U11" i="1"/>
  <c r="U12" i="1"/>
  <c r="U20" i="1"/>
  <c r="U21" i="1"/>
  <c r="U22" i="1"/>
  <c r="U30" i="1"/>
  <c r="U31" i="1"/>
  <c r="Z10" i="1"/>
  <c r="Z11" i="1"/>
  <c r="Z12" i="1"/>
  <c r="Z20" i="1"/>
  <c r="Z21" i="1"/>
  <c r="Z22" i="1"/>
  <c r="Z30" i="1"/>
  <c r="Z31" i="1"/>
  <c r="X10" i="1"/>
  <c r="X11" i="1"/>
  <c r="X12" i="1"/>
  <c r="X20" i="1"/>
  <c r="X21" i="1"/>
  <c r="X22" i="1"/>
  <c r="X30" i="1"/>
  <c r="X31" i="1"/>
  <c r="AP61" i="1" l="1"/>
  <c r="AU61" i="1"/>
  <c r="AT61" i="1"/>
  <c r="AV61" i="1"/>
  <c r="AS61" i="1"/>
  <c r="AN61" i="1"/>
  <c r="C62" i="1"/>
  <c r="W61" i="1"/>
  <c r="Z61" i="1"/>
  <c r="AF61" i="1"/>
  <c r="M61" i="1"/>
  <c r="AI61" i="1"/>
  <c r="AR61" i="1"/>
  <c r="AE61" i="1"/>
  <c r="U61" i="1"/>
  <c r="Y61" i="1"/>
  <c r="N61" i="1"/>
  <c r="L61" i="1"/>
  <c r="X61" i="1"/>
  <c r="AM61" i="1"/>
  <c r="O61" i="1"/>
  <c r="AG61" i="1"/>
  <c r="AD61" i="1"/>
  <c r="AO61" i="1"/>
  <c r="K61" i="1"/>
  <c r="V61" i="1"/>
  <c r="AL61" i="1"/>
  <c r="AH61" i="1"/>
  <c r="AP41" i="1"/>
  <c r="AQ41" i="1"/>
  <c r="AP28" i="1"/>
  <c r="AQ28" i="1"/>
  <c r="AV41" i="1"/>
  <c r="AT41" i="1"/>
  <c r="AP35" i="1"/>
  <c r="AV35" i="1"/>
  <c r="AU35" i="1"/>
  <c r="AN41" i="1"/>
  <c r="O41" i="1"/>
  <c r="AG41" i="1"/>
  <c r="W41" i="1"/>
  <c r="AR41" i="1"/>
  <c r="U41" i="1"/>
  <c r="AH41" i="1"/>
  <c r="AE41" i="1"/>
  <c r="AS41" i="1"/>
  <c r="AM41" i="1"/>
  <c r="AL41" i="1"/>
  <c r="L41" i="1"/>
  <c r="AD41" i="1"/>
  <c r="AF41" i="1"/>
  <c r="AI41" i="1"/>
  <c r="M41" i="1"/>
  <c r="C42" i="1"/>
  <c r="N41" i="1"/>
  <c r="Z41" i="1"/>
  <c r="X41" i="1"/>
  <c r="AO41" i="1"/>
  <c r="K41" i="1"/>
  <c r="Y41" i="1"/>
  <c r="V41" i="1"/>
  <c r="AL35" i="1"/>
  <c r="AE35" i="1"/>
  <c r="U35" i="1"/>
  <c r="M35" i="1"/>
  <c r="L35" i="1"/>
  <c r="O35" i="1"/>
  <c r="AS35" i="1"/>
  <c r="AM35" i="1"/>
  <c r="AG35" i="1"/>
  <c r="AO35" i="1"/>
  <c r="K35" i="1"/>
  <c r="AD35" i="1"/>
  <c r="AN35" i="1"/>
  <c r="C36" i="1"/>
  <c r="AQ36" i="1" s="1"/>
  <c r="N35" i="1"/>
  <c r="X35" i="1"/>
  <c r="V35" i="1"/>
  <c r="AF35" i="1"/>
  <c r="AI35" i="1"/>
  <c r="AH35" i="1"/>
  <c r="Y35" i="1"/>
  <c r="AR35" i="1"/>
  <c r="Z35" i="1"/>
  <c r="W35" i="1"/>
  <c r="O28" i="1"/>
  <c r="AN28" i="1"/>
  <c r="V28" i="1"/>
  <c r="X28" i="1"/>
  <c r="K28" i="1"/>
  <c r="AG28" i="1"/>
  <c r="AO28" i="1"/>
  <c r="AM28" i="1"/>
  <c r="W28" i="1"/>
  <c r="Y28" i="1"/>
  <c r="C29" i="1"/>
  <c r="AR28" i="1"/>
  <c r="AF28" i="1"/>
  <c r="AH28" i="1"/>
  <c r="Z28" i="1"/>
  <c r="L28" i="1"/>
  <c r="AU28" i="1"/>
  <c r="M28" i="1"/>
  <c r="AE28" i="1"/>
  <c r="N28" i="1"/>
  <c r="U28" i="1"/>
  <c r="AL28" i="1"/>
  <c r="AI28" i="1"/>
  <c r="AT28" i="1"/>
  <c r="AV28" i="1"/>
  <c r="AD28" i="1"/>
  <c r="AC70" i="1"/>
  <c r="AC6" i="1"/>
  <c r="AB70" i="1"/>
  <c r="AB6" i="1"/>
  <c r="AC62" i="1" l="1"/>
  <c r="AC69" i="1"/>
  <c r="AC61" i="1"/>
  <c r="AC66" i="1"/>
  <c r="AC65" i="1"/>
  <c r="AC64" i="1"/>
  <c r="AC63" i="1"/>
  <c r="AC68" i="1"/>
  <c r="AC67" i="1"/>
  <c r="AC60" i="1"/>
  <c r="AP62" i="1"/>
  <c r="AT62" i="1"/>
  <c r="AU62" i="1"/>
  <c r="AS62" i="1"/>
  <c r="AV62" i="1"/>
  <c r="N62" i="1"/>
  <c r="W62" i="1"/>
  <c r="AM62" i="1"/>
  <c r="AI62" i="1"/>
  <c r="C63" i="1"/>
  <c r="V62" i="1"/>
  <c r="AH62" i="1"/>
  <c r="AF62" i="1"/>
  <c r="X62" i="1"/>
  <c r="Y62" i="1"/>
  <c r="AG62" i="1"/>
  <c r="K62" i="1"/>
  <c r="AD62" i="1"/>
  <c r="AL62" i="1"/>
  <c r="L62" i="1"/>
  <c r="AE62" i="1"/>
  <c r="M62" i="1"/>
  <c r="O62" i="1"/>
  <c r="U62" i="1"/>
  <c r="AN62" i="1"/>
  <c r="Z62" i="1"/>
  <c r="AR62" i="1"/>
  <c r="AO62" i="1"/>
  <c r="AB67" i="1"/>
  <c r="AB64" i="1"/>
  <c r="AB63" i="1"/>
  <c r="AB62" i="1"/>
  <c r="AB68" i="1"/>
  <c r="AB69" i="1"/>
  <c r="AB65" i="1"/>
  <c r="AB61" i="1"/>
  <c r="AB60" i="1"/>
  <c r="AB66" i="1"/>
  <c r="AQ42" i="1"/>
  <c r="AP42" i="1"/>
  <c r="AP29" i="1"/>
  <c r="AQ29" i="1"/>
  <c r="AP36" i="1"/>
  <c r="AU36" i="1"/>
  <c r="AV36" i="1"/>
  <c r="AT42" i="1"/>
  <c r="AV42" i="1"/>
  <c r="C50" i="1"/>
  <c r="AQ50" i="1" s="1"/>
  <c r="AB59" i="1"/>
  <c r="AB27" i="1"/>
  <c r="AB39" i="1"/>
  <c r="AB48" i="1"/>
  <c r="AB16" i="1"/>
  <c r="AB51" i="1"/>
  <c r="AB19" i="1"/>
  <c r="AB40" i="1"/>
  <c r="AB49" i="1"/>
  <c r="AB37" i="1"/>
  <c r="AB58" i="1"/>
  <c r="AB26" i="1"/>
  <c r="AB10" i="1"/>
  <c r="AB52" i="1"/>
  <c r="AB41" i="1"/>
  <c r="AB47" i="1"/>
  <c r="AB15" i="1"/>
  <c r="AB54" i="1"/>
  <c r="AB43" i="1"/>
  <c r="AB32" i="1"/>
  <c r="AB42" i="1"/>
  <c r="AB36" i="1"/>
  <c r="AB56" i="1"/>
  <c r="AB24" i="1"/>
  <c r="AB13" i="1"/>
  <c r="AB12" i="1"/>
  <c r="AB22" i="1"/>
  <c r="AB53" i="1"/>
  <c r="AB20" i="1"/>
  <c r="AB30" i="1"/>
  <c r="AB18" i="1"/>
  <c r="AB28" i="1"/>
  <c r="AB57" i="1"/>
  <c r="AB25" i="1"/>
  <c r="AB45" i="1"/>
  <c r="AB55" i="1"/>
  <c r="AB23" i="1"/>
  <c r="AB21" i="1"/>
  <c r="AB31" i="1"/>
  <c r="AB50" i="1"/>
  <c r="AB46" i="1"/>
  <c r="AB14" i="1"/>
  <c r="AB35" i="1"/>
  <c r="AB34" i="1"/>
  <c r="AB44" i="1"/>
  <c r="AB33" i="1"/>
  <c r="AB11" i="1"/>
  <c r="AB29" i="1"/>
  <c r="AB17" i="1"/>
  <c r="AB38" i="1"/>
  <c r="AC59" i="1"/>
  <c r="AC48" i="1"/>
  <c r="AC16" i="1"/>
  <c r="AC40" i="1"/>
  <c r="AC49" i="1"/>
  <c r="AC37" i="1"/>
  <c r="AC26" i="1"/>
  <c r="AC50" i="1"/>
  <c r="AC58" i="1"/>
  <c r="AC47" i="1"/>
  <c r="AC15" i="1"/>
  <c r="AC18" i="1"/>
  <c r="AC38" i="1"/>
  <c r="AC36" i="1"/>
  <c r="AC33" i="1"/>
  <c r="AC53" i="1"/>
  <c r="AC57" i="1"/>
  <c r="AC25" i="1"/>
  <c r="AC34" i="1"/>
  <c r="AC44" i="1"/>
  <c r="AC12" i="1"/>
  <c r="AC22" i="1"/>
  <c r="AC32" i="1"/>
  <c r="AC20" i="1"/>
  <c r="AC30" i="1"/>
  <c r="AC51" i="1"/>
  <c r="AC19" i="1"/>
  <c r="AC27" i="1"/>
  <c r="AC46" i="1"/>
  <c r="AC14" i="1"/>
  <c r="AC24" i="1"/>
  <c r="AC45" i="1"/>
  <c r="AC55" i="1"/>
  <c r="AC23" i="1"/>
  <c r="AC54" i="1"/>
  <c r="AC42" i="1"/>
  <c r="AC52" i="1"/>
  <c r="AC28" i="1"/>
  <c r="AC35" i="1"/>
  <c r="AC56" i="1"/>
  <c r="AC13" i="1"/>
  <c r="AC43" i="1"/>
  <c r="AC11" i="1"/>
  <c r="AC21" i="1"/>
  <c r="AC10" i="1"/>
  <c r="AC31" i="1"/>
  <c r="AC41" i="1"/>
  <c r="AC29" i="1"/>
  <c r="AC39" i="1"/>
  <c r="AC17" i="1"/>
  <c r="L42" i="1"/>
  <c r="M42" i="1"/>
  <c r="AR42" i="1"/>
  <c r="AH42" i="1"/>
  <c r="K42" i="1"/>
  <c r="AO42" i="1"/>
  <c r="AL42" i="1"/>
  <c r="AF42" i="1"/>
  <c r="AI42" i="1"/>
  <c r="AN42" i="1"/>
  <c r="Z42" i="1"/>
  <c r="Y42" i="1"/>
  <c r="U42" i="1"/>
  <c r="W42" i="1"/>
  <c r="AS42" i="1"/>
  <c r="AE42" i="1"/>
  <c r="AG42" i="1"/>
  <c r="V42" i="1"/>
  <c r="O42" i="1"/>
  <c r="X42" i="1"/>
  <c r="N42" i="1"/>
  <c r="AD42" i="1"/>
  <c r="AM42" i="1"/>
  <c r="C43" i="1"/>
  <c r="O29" i="1"/>
  <c r="W29" i="1"/>
  <c r="N29" i="1"/>
  <c r="M29" i="1"/>
  <c r="AF29" i="1"/>
  <c r="AL29" i="1"/>
  <c r="X29" i="1"/>
  <c r="AV29" i="1"/>
  <c r="AT29" i="1"/>
  <c r="V29" i="1"/>
  <c r="AR29" i="1"/>
  <c r="L29" i="1"/>
  <c r="AU29" i="1"/>
  <c r="K29" i="1"/>
  <c r="Y29" i="1"/>
  <c r="AH29" i="1"/>
  <c r="AM29" i="1"/>
  <c r="AE29" i="1"/>
  <c r="Z29" i="1"/>
  <c r="AD29" i="1"/>
  <c r="AO29" i="1"/>
  <c r="AN29" i="1"/>
  <c r="AI29" i="1"/>
  <c r="AG29" i="1"/>
  <c r="U29" i="1"/>
  <c r="AR36" i="1"/>
  <c r="AS36" i="1"/>
  <c r="AO36" i="1"/>
  <c r="N36" i="1"/>
  <c r="AF36" i="1"/>
  <c r="AN36" i="1"/>
  <c r="C37" i="1"/>
  <c r="AQ37" i="1" s="1"/>
  <c r="Y36" i="1"/>
  <c r="U36" i="1"/>
  <c r="AG36" i="1"/>
  <c r="V36" i="1"/>
  <c r="L36" i="1"/>
  <c r="AH36" i="1"/>
  <c r="AM36" i="1"/>
  <c r="Z36" i="1"/>
  <c r="AI36" i="1"/>
  <c r="X36" i="1"/>
  <c r="AE36" i="1"/>
  <c r="M36" i="1"/>
  <c r="O36" i="1"/>
  <c r="W36" i="1"/>
  <c r="K36" i="1"/>
  <c r="AL36" i="1"/>
  <c r="AD36" i="1"/>
  <c r="AB7" i="1"/>
  <c r="AC7" i="1"/>
  <c r="B6" i="1"/>
  <c r="AP63" i="1" l="1"/>
  <c r="AU63" i="1"/>
  <c r="AT63" i="1"/>
  <c r="AS63" i="1"/>
  <c r="AV63" i="1"/>
  <c r="AG63" i="1"/>
  <c r="Z63" i="1"/>
  <c r="AI63" i="1"/>
  <c r="C64" i="1"/>
  <c r="W63" i="1"/>
  <c r="AE63" i="1"/>
  <c r="U63" i="1"/>
  <c r="M63" i="1"/>
  <c r="K63" i="1"/>
  <c r="AF63" i="1"/>
  <c r="AM63" i="1"/>
  <c r="N63" i="1"/>
  <c r="L63" i="1"/>
  <c r="AR63" i="1"/>
  <c r="Y63" i="1"/>
  <c r="V63" i="1"/>
  <c r="AO63" i="1"/>
  <c r="AL63" i="1"/>
  <c r="AD63" i="1"/>
  <c r="AH63" i="1"/>
  <c r="AN63" i="1"/>
  <c r="X63" i="1"/>
  <c r="O63" i="1"/>
  <c r="AQ43" i="1"/>
  <c r="AP43" i="1"/>
  <c r="C51" i="1"/>
  <c r="AQ51" i="1" s="1"/>
  <c r="AP50" i="1"/>
  <c r="AL50" i="1"/>
  <c r="Z50" i="1"/>
  <c r="X50" i="1"/>
  <c r="V50" i="1"/>
  <c r="AI50" i="1"/>
  <c r="AF50" i="1"/>
  <c r="W50" i="1"/>
  <c r="AH50" i="1"/>
  <c r="AT50" i="1"/>
  <c r="U50" i="1"/>
  <c r="AG50" i="1"/>
  <c r="AE50" i="1"/>
  <c r="AD50" i="1"/>
  <c r="Y50" i="1"/>
  <c r="AU50" i="1"/>
  <c r="AN50" i="1"/>
  <c r="L50" i="1"/>
  <c r="N50" i="1"/>
  <c r="AO50" i="1"/>
  <c r="O50" i="1"/>
  <c r="K50" i="1"/>
  <c r="AM50" i="1"/>
  <c r="AR50" i="1"/>
  <c r="M50" i="1"/>
  <c r="AS50" i="1"/>
  <c r="AP37" i="1"/>
  <c r="AV37" i="1"/>
  <c r="AU37" i="1"/>
  <c r="AT43" i="1"/>
  <c r="AV43" i="1"/>
  <c r="C44" i="1"/>
  <c r="AM43" i="1"/>
  <c r="AD43" i="1"/>
  <c r="AL43" i="1"/>
  <c r="U43" i="1"/>
  <c r="M43" i="1"/>
  <c r="L43" i="1"/>
  <c r="Y43" i="1"/>
  <c r="AG43" i="1"/>
  <c r="AF43" i="1"/>
  <c r="X43" i="1"/>
  <c r="W43" i="1"/>
  <c r="Z43" i="1"/>
  <c r="AS43" i="1"/>
  <c r="O43" i="1"/>
  <c r="N43" i="1"/>
  <c r="AO43" i="1"/>
  <c r="AR43" i="1"/>
  <c r="V43" i="1"/>
  <c r="AN43" i="1"/>
  <c r="K43" i="1"/>
  <c r="AE43" i="1"/>
  <c r="AH43" i="1"/>
  <c r="AI43" i="1"/>
  <c r="AR37" i="1"/>
  <c r="AM37" i="1"/>
  <c r="AL37" i="1"/>
  <c r="O37" i="1"/>
  <c r="W37" i="1"/>
  <c r="K37" i="1"/>
  <c r="Z37" i="1"/>
  <c r="AI37" i="1"/>
  <c r="AO37" i="1"/>
  <c r="L37" i="1"/>
  <c r="M37" i="1"/>
  <c r="AH37" i="1"/>
  <c r="AE37" i="1"/>
  <c r="AN37" i="1"/>
  <c r="V37" i="1"/>
  <c r="C38" i="1"/>
  <c r="AQ38" i="1" s="1"/>
  <c r="AS37" i="1"/>
  <c r="Y37" i="1"/>
  <c r="X37" i="1"/>
  <c r="AG37" i="1"/>
  <c r="N37" i="1"/>
  <c r="AF37" i="1"/>
  <c r="AD37" i="1"/>
  <c r="U37" i="1"/>
  <c r="K70" i="1"/>
  <c r="AT64" i="1" l="1"/>
  <c r="AP64" i="1"/>
  <c r="AV64" i="1"/>
  <c r="AU64" i="1"/>
  <c r="AS64" i="1"/>
  <c r="Y64" i="1"/>
  <c r="C65" i="1"/>
  <c r="M64" i="1"/>
  <c r="AE64" i="1"/>
  <c r="X64" i="1"/>
  <c r="K64" i="1"/>
  <c r="AM64" i="1"/>
  <c r="O64" i="1"/>
  <c r="AF64" i="1"/>
  <c r="L64" i="1"/>
  <c r="N64" i="1"/>
  <c r="Z64" i="1"/>
  <c r="AL64" i="1"/>
  <c r="AH64" i="1"/>
  <c r="AI64" i="1"/>
  <c r="W64" i="1"/>
  <c r="AN64" i="1"/>
  <c r="AO64" i="1"/>
  <c r="U64" i="1"/>
  <c r="AG64" i="1"/>
  <c r="AR64" i="1"/>
  <c r="V64" i="1"/>
  <c r="AD64" i="1"/>
  <c r="AP44" i="1"/>
  <c r="AQ44" i="1"/>
  <c r="AP38" i="1"/>
  <c r="AU38" i="1"/>
  <c r="AV38" i="1"/>
  <c r="AV44" i="1"/>
  <c r="AT44" i="1"/>
  <c r="AP51" i="1"/>
  <c r="AU51" i="1"/>
  <c r="AT51" i="1"/>
  <c r="AN51" i="1"/>
  <c r="AM51" i="1"/>
  <c r="K51" i="1"/>
  <c r="Z51" i="1"/>
  <c r="X51" i="1"/>
  <c r="AL51" i="1"/>
  <c r="N51" i="1"/>
  <c r="AD51" i="1"/>
  <c r="AO51" i="1"/>
  <c r="Y51" i="1"/>
  <c r="C52" i="1"/>
  <c r="AQ52" i="1" s="1"/>
  <c r="AE51" i="1"/>
  <c r="L51" i="1"/>
  <c r="AF51" i="1"/>
  <c r="U51" i="1"/>
  <c r="O51" i="1"/>
  <c r="AH51" i="1"/>
  <c r="V51" i="1"/>
  <c r="W51" i="1"/>
  <c r="AI51" i="1"/>
  <c r="AG51" i="1"/>
  <c r="AR51" i="1"/>
  <c r="M51" i="1"/>
  <c r="AS51" i="1"/>
  <c r="AM44" i="1"/>
  <c r="AN44" i="1"/>
  <c r="AH44" i="1"/>
  <c r="AD44" i="1"/>
  <c r="O44" i="1"/>
  <c r="AL44" i="1"/>
  <c r="N44" i="1"/>
  <c r="AR44" i="1"/>
  <c r="W44" i="1"/>
  <c r="AF44" i="1"/>
  <c r="AO44" i="1"/>
  <c r="AE44" i="1"/>
  <c r="Z44" i="1"/>
  <c r="V44" i="1"/>
  <c r="U44" i="1"/>
  <c r="C45" i="1"/>
  <c r="AS44" i="1"/>
  <c r="AI44" i="1"/>
  <c r="AG44" i="1"/>
  <c r="X44" i="1"/>
  <c r="M44" i="1"/>
  <c r="Y44" i="1"/>
  <c r="L44" i="1"/>
  <c r="K44" i="1"/>
  <c r="AF38" i="1"/>
  <c r="O38" i="1"/>
  <c r="L38" i="1"/>
  <c r="AI38" i="1"/>
  <c r="C39" i="1"/>
  <c r="AQ39" i="1" s="1"/>
  <c r="AL38" i="1"/>
  <c r="AM38" i="1"/>
  <c r="AN38" i="1"/>
  <c r="Y38" i="1"/>
  <c r="W38" i="1"/>
  <c r="AE38" i="1"/>
  <c r="U38" i="1"/>
  <c r="X38" i="1"/>
  <c r="N38" i="1"/>
  <c r="AS38" i="1"/>
  <c r="AG38" i="1"/>
  <c r="K38" i="1"/>
  <c r="Z38" i="1"/>
  <c r="AH38" i="1"/>
  <c r="AR38" i="1"/>
  <c r="AD38" i="1"/>
  <c r="V38" i="1"/>
  <c r="M38" i="1"/>
  <c r="AO38" i="1"/>
  <c r="AA6" i="1"/>
  <c r="AA67" i="1" l="1"/>
  <c r="AA62" i="1"/>
  <c r="AA69" i="1"/>
  <c r="AA60" i="1"/>
  <c r="AA66" i="1"/>
  <c r="AA61" i="1"/>
  <c r="AA65" i="1"/>
  <c r="AA64" i="1"/>
  <c r="AA63" i="1"/>
  <c r="AA68" i="1"/>
  <c r="AV65" i="1"/>
  <c r="AU65" i="1"/>
  <c r="AS65" i="1"/>
  <c r="AP65" i="1"/>
  <c r="AT65" i="1"/>
  <c r="AI65" i="1"/>
  <c r="W65" i="1"/>
  <c r="X65" i="1"/>
  <c r="M65" i="1"/>
  <c r="L65" i="1"/>
  <c r="U65" i="1"/>
  <c r="AD65" i="1"/>
  <c r="AM65" i="1"/>
  <c r="AH65" i="1"/>
  <c r="C66" i="1"/>
  <c r="O65" i="1"/>
  <c r="AF65" i="1"/>
  <c r="Z65" i="1"/>
  <c r="Y65" i="1"/>
  <c r="AE65" i="1"/>
  <c r="K65" i="1"/>
  <c r="V65" i="1"/>
  <c r="AN65" i="1"/>
  <c r="AO65" i="1"/>
  <c r="N65" i="1"/>
  <c r="AG65" i="1"/>
  <c r="AL65" i="1"/>
  <c r="AR65" i="1"/>
  <c r="AQ45" i="1"/>
  <c r="AP45" i="1"/>
  <c r="AP39" i="1"/>
  <c r="AU39" i="1"/>
  <c r="AV39" i="1"/>
  <c r="AV45" i="1"/>
  <c r="AT45" i="1"/>
  <c r="AP52" i="1"/>
  <c r="AT52" i="1"/>
  <c r="AU52" i="1"/>
  <c r="AL52" i="1"/>
  <c r="AF52" i="1"/>
  <c r="AE52" i="1"/>
  <c r="N52" i="1"/>
  <c r="AD52" i="1"/>
  <c r="Y52" i="1"/>
  <c r="V52" i="1"/>
  <c r="AN52" i="1"/>
  <c r="U52" i="1"/>
  <c r="X52" i="1"/>
  <c r="K52" i="1"/>
  <c r="AO52" i="1"/>
  <c r="Z52" i="1"/>
  <c r="C53" i="1"/>
  <c r="AQ53" i="1" s="1"/>
  <c r="AG52" i="1"/>
  <c r="L52" i="1"/>
  <c r="AI52" i="1"/>
  <c r="W52" i="1"/>
  <c r="AR52" i="1"/>
  <c r="O52" i="1"/>
  <c r="AH52" i="1"/>
  <c r="AM52" i="1"/>
  <c r="M52" i="1"/>
  <c r="AS52" i="1"/>
  <c r="AA49" i="1"/>
  <c r="AA38" i="1"/>
  <c r="AA19" i="1"/>
  <c r="AA59" i="1"/>
  <c r="AA27" i="1"/>
  <c r="AA48" i="1"/>
  <c r="AA16" i="1"/>
  <c r="AA29" i="1"/>
  <c r="AA30" i="1"/>
  <c r="AA37" i="1"/>
  <c r="AA42" i="1"/>
  <c r="AA10" i="1"/>
  <c r="AA31" i="1"/>
  <c r="AA18" i="1"/>
  <c r="AA17" i="1"/>
  <c r="AA58" i="1"/>
  <c r="AA26" i="1"/>
  <c r="AA24" i="1"/>
  <c r="AA12" i="1"/>
  <c r="AA33" i="1"/>
  <c r="AA11" i="1"/>
  <c r="AA21" i="1"/>
  <c r="AA47" i="1"/>
  <c r="AA15" i="1"/>
  <c r="AA56" i="1"/>
  <c r="AA44" i="1"/>
  <c r="AA54" i="1"/>
  <c r="AA32" i="1"/>
  <c r="AA52" i="1"/>
  <c r="AA20" i="1"/>
  <c r="AA41" i="1"/>
  <c r="AA28" i="1"/>
  <c r="AA36" i="1"/>
  <c r="AA46" i="1"/>
  <c r="AA55" i="1"/>
  <c r="AA22" i="1"/>
  <c r="AA53" i="1"/>
  <c r="AA51" i="1"/>
  <c r="AA40" i="1"/>
  <c r="AA57" i="1"/>
  <c r="AA25" i="1"/>
  <c r="AA14" i="1"/>
  <c r="AA35" i="1"/>
  <c r="AA45" i="1"/>
  <c r="AA13" i="1"/>
  <c r="AA34" i="1"/>
  <c r="AA23" i="1"/>
  <c r="AA43" i="1"/>
  <c r="AA50" i="1"/>
  <c r="AA39" i="1"/>
  <c r="AO45" i="1"/>
  <c r="AH45" i="1"/>
  <c r="AM45" i="1"/>
  <c r="AN45" i="1"/>
  <c r="AL45" i="1"/>
  <c r="AG45" i="1"/>
  <c r="U45" i="1"/>
  <c r="Y45" i="1"/>
  <c r="W45" i="1"/>
  <c r="O45" i="1"/>
  <c r="AF45" i="1"/>
  <c r="L45" i="1"/>
  <c r="AI45" i="1"/>
  <c r="Z45" i="1"/>
  <c r="N45" i="1"/>
  <c r="AS45" i="1"/>
  <c r="AE45" i="1"/>
  <c r="AR45" i="1"/>
  <c r="AD45" i="1"/>
  <c r="M45" i="1"/>
  <c r="X45" i="1"/>
  <c r="C46" i="1"/>
  <c r="V45" i="1"/>
  <c r="K45" i="1"/>
  <c r="K39" i="1"/>
  <c r="AS39" i="1"/>
  <c r="W39" i="1"/>
  <c r="AH39" i="1"/>
  <c r="AR39" i="1"/>
  <c r="M39" i="1"/>
  <c r="L39" i="1"/>
  <c r="AF39" i="1"/>
  <c r="AO39" i="1"/>
  <c r="AN39" i="1"/>
  <c r="V39" i="1"/>
  <c r="U39" i="1"/>
  <c r="N39" i="1"/>
  <c r="AE39" i="1"/>
  <c r="AM39" i="1"/>
  <c r="AD39" i="1"/>
  <c r="Z39" i="1"/>
  <c r="AL39" i="1"/>
  <c r="O39" i="1"/>
  <c r="AG39" i="1"/>
  <c r="Y39" i="1"/>
  <c r="AI39" i="1"/>
  <c r="X39" i="1"/>
  <c r="AA7" i="1"/>
  <c r="AA70" i="1"/>
  <c r="S6" i="1"/>
  <c r="B5" i="1"/>
  <c r="AP66" i="1" l="1"/>
  <c r="AV66" i="1"/>
  <c r="AU66" i="1"/>
  <c r="AT66" i="1"/>
  <c r="AS66" i="1"/>
  <c r="AM66" i="1"/>
  <c r="AI66" i="1"/>
  <c r="N66" i="1"/>
  <c r="Z66" i="1"/>
  <c r="AN66" i="1"/>
  <c r="AE66" i="1"/>
  <c r="AH66" i="1"/>
  <c r="V66" i="1"/>
  <c r="M66" i="1"/>
  <c r="W66" i="1"/>
  <c r="Y66" i="1"/>
  <c r="AF66" i="1"/>
  <c r="K66" i="1"/>
  <c r="AL66" i="1"/>
  <c r="AG66" i="1"/>
  <c r="AO66" i="1"/>
  <c r="X66" i="1"/>
  <c r="O66" i="1"/>
  <c r="U66" i="1"/>
  <c r="L66" i="1"/>
  <c r="AD66" i="1"/>
  <c r="AR66" i="1"/>
  <c r="C67" i="1"/>
  <c r="AQ46" i="1"/>
  <c r="AP46" i="1"/>
  <c r="B4" i="1"/>
  <c r="AT46" i="1"/>
  <c r="AV46" i="1"/>
  <c r="AP53" i="1"/>
  <c r="AT53" i="1"/>
  <c r="AU53" i="1"/>
  <c r="C54" i="1"/>
  <c r="AQ54" i="1" s="1"/>
  <c r="AM53" i="1"/>
  <c r="U53" i="1"/>
  <c r="AO53" i="1"/>
  <c r="W53" i="1"/>
  <c r="O53" i="1"/>
  <c r="AN53" i="1"/>
  <c r="AH53" i="1"/>
  <c r="V53" i="1"/>
  <c r="AR53" i="1"/>
  <c r="L53" i="1"/>
  <c r="AF53" i="1"/>
  <c r="X53" i="1"/>
  <c r="AG53" i="1"/>
  <c r="AI53" i="1"/>
  <c r="AL53" i="1"/>
  <c r="AE53" i="1"/>
  <c r="N53" i="1"/>
  <c r="Z53" i="1"/>
  <c r="AD53" i="1"/>
  <c r="Y53" i="1"/>
  <c r="K53" i="1"/>
  <c r="S53" i="1"/>
  <c r="M53" i="1"/>
  <c r="AS53" i="1"/>
  <c r="AF46" i="1"/>
  <c r="AM46" i="1"/>
  <c r="AG46" i="1"/>
  <c r="V46" i="1"/>
  <c r="AD46" i="1"/>
  <c r="W46" i="1"/>
  <c r="U46" i="1"/>
  <c r="K46" i="1"/>
  <c r="AI46" i="1"/>
  <c r="C47" i="1"/>
  <c r="Z46" i="1"/>
  <c r="X46" i="1"/>
  <c r="AE46" i="1"/>
  <c r="N46" i="1"/>
  <c r="M46" i="1"/>
  <c r="O46" i="1"/>
  <c r="AR46" i="1"/>
  <c r="AN46" i="1"/>
  <c r="AH46" i="1"/>
  <c r="L46" i="1"/>
  <c r="AS46" i="1"/>
  <c r="AL46" i="1"/>
  <c r="Y46" i="1"/>
  <c r="AO46" i="1"/>
  <c r="S9" i="1"/>
  <c r="S7" i="1"/>
  <c r="S70" i="1"/>
  <c r="AK6" i="1"/>
  <c r="AJ6" i="1"/>
  <c r="AP67" i="1" l="1"/>
  <c r="AV67" i="1"/>
  <c r="AT67" i="1"/>
  <c r="AU67" i="1"/>
  <c r="AS67" i="1"/>
  <c r="Z67" i="1"/>
  <c r="N67" i="1"/>
  <c r="V67" i="1"/>
  <c r="U67" i="1"/>
  <c r="X67" i="1"/>
  <c r="O67" i="1"/>
  <c r="C68" i="1"/>
  <c r="M67" i="1"/>
  <c r="AR67" i="1"/>
  <c r="W67" i="1"/>
  <c r="AJ67" i="1"/>
  <c r="AH67" i="1"/>
  <c r="L67" i="1"/>
  <c r="AF67" i="1"/>
  <c r="AI67" i="1"/>
  <c r="S67" i="1"/>
  <c r="AN67" i="1"/>
  <c r="AG67" i="1"/>
  <c r="AO67" i="1"/>
  <c r="AL67" i="1"/>
  <c r="AE67" i="1"/>
  <c r="Y67" i="1"/>
  <c r="AM67" i="1"/>
  <c r="K67" i="1"/>
  <c r="AD67" i="1"/>
  <c r="S60" i="1"/>
  <c r="S61" i="1"/>
  <c r="S62" i="1"/>
  <c r="S63" i="1"/>
  <c r="S64" i="1"/>
  <c r="S65" i="1"/>
  <c r="S66" i="1"/>
  <c r="AQ47" i="1"/>
  <c r="AP47" i="1"/>
  <c r="AV47" i="1"/>
  <c r="AT47" i="1"/>
  <c r="AP54" i="1"/>
  <c r="AT54" i="1"/>
  <c r="AU54" i="1"/>
  <c r="AR54" i="1"/>
  <c r="N54" i="1"/>
  <c r="AO54" i="1"/>
  <c r="AN54" i="1"/>
  <c r="AM54" i="1"/>
  <c r="Y54" i="1"/>
  <c r="AK54" i="1"/>
  <c r="AH54" i="1"/>
  <c r="L54" i="1"/>
  <c r="W54" i="1"/>
  <c r="O54" i="1"/>
  <c r="U54" i="1"/>
  <c r="K54" i="1"/>
  <c r="AL54" i="1"/>
  <c r="AI54" i="1"/>
  <c r="AG54" i="1"/>
  <c r="AF54" i="1"/>
  <c r="AD54" i="1"/>
  <c r="AE54" i="1"/>
  <c r="Z54" i="1"/>
  <c r="X54" i="1"/>
  <c r="S54" i="1"/>
  <c r="V54" i="1"/>
  <c r="C55" i="1"/>
  <c r="AQ55" i="1" s="1"/>
  <c r="M54" i="1"/>
  <c r="AS54" i="1"/>
  <c r="S46" i="1"/>
  <c r="S50" i="1"/>
  <c r="S51" i="1"/>
  <c r="S52" i="1"/>
  <c r="AL47" i="1"/>
  <c r="O47" i="1"/>
  <c r="U47" i="1"/>
  <c r="AS47" i="1"/>
  <c r="AE47" i="1"/>
  <c r="W47" i="1"/>
  <c r="AM47" i="1"/>
  <c r="AD47" i="1"/>
  <c r="N47" i="1"/>
  <c r="M47" i="1"/>
  <c r="AO47" i="1"/>
  <c r="Z47" i="1"/>
  <c r="AF47" i="1"/>
  <c r="X47" i="1"/>
  <c r="V47" i="1"/>
  <c r="AN47" i="1"/>
  <c r="AI47" i="1"/>
  <c r="AH47" i="1"/>
  <c r="S47" i="1"/>
  <c r="C48" i="1"/>
  <c r="AG47" i="1"/>
  <c r="L47" i="1"/>
  <c r="K47" i="1"/>
  <c r="AR47" i="1"/>
  <c r="Y47" i="1"/>
  <c r="S40" i="1"/>
  <c r="S41" i="1"/>
  <c r="S42" i="1"/>
  <c r="S43" i="1"/>
  <c r="S44" i="1"/>
  <c r="S45" i="1"/>
  <c r="S13" i="1"/>
  <c r="S14" i="1"/>
  <c r="S15" i="1"/>
  <c r="S23" i="1"/>
  <c r="S16" i="1"/>
  <c r="S24" i="1"/>
  <c r="S17" i="1"/>
  <c r="S25" i="1"/>
  <c r="S18" i="1"/>
  <c r="S26" i="1"/>
  <c r="S19" i="1"/>
  <c r="S33" i="1"/>
  <c r="S27" i="1"/>
  <c r="S34" i="1"/>
  <c r="S35" i="1"/>
  <c r="S28" i="1"/>
  <c r="S36" i="1"/>
  <c r="S29" i="1"/>
  <c r="S37" i="1"/>
  <c r="S38" i="1"/>
  <c r="S39" i="1"/>
  <c r="S10" i="1"/>
  <c r="S11" i="1"/>
  <c r="S12" i="1"/>
  <c r="S20" i="1"/>
  <c r="S21" i="1"/>
  <c r="S22" i="1"/>
  <c r="S30" i="1"/>
  <c r="S31" i="1"/>
  <c r="S32" i="1"/>
  <c r="AJ9" i="1"/>
  <c r="AK9" i="1"/>
  <c r="AJ7" i="1"/>
  <c r="AK7" i="1"/>
  <c r="AK70" i="1"/>
  <c r="AJ70" i="1"/>
  <c r="AP68" i="1" l="1"/>
  <c r="AV68" i="1"/>
  <c r="AU68" i="1"/>
  <c r="AT68" i="1"/>
  <c r="AS68" i="1"/>
  <c r="U68" i="1"/>
  <c r="X68" i="1"/>
  <c r="L68" i="1"/>
  <c r="AK68" i="1"/>
  <c r="AR68" i="1"/>
  <c r="Y68" i="1"/>
  <c r="Z68" i="1"/>
  <c r="AJ68" i="1"/>
  <c r="V68" i="1"/>
  <c r="AE68" i="1"/>
  <c r="S68" i="1"/>
  <c r="AI68" i="1"/>
  <c r="AM68" i="1"/>
  <c r="AW68" i="1"/>
  <c r="AD68" i="1"/>
  <c r="N68" i="1"/>
  <c r="AN68" i="1"/>
  <c r="AH68" i="1"/>
  <c r="M68" i="1"/>
  <c r="C69" i="1"/>
  <c r="K68" i="1"/>
  <c r="AO68" i="1"/>
  <c r="O68" i="1"/>
  <c r="AL68" i="1"/>
  <c r="AG68" i="1"/>
  <c r="AF68" i="1"/>
  <c r="W68" i="1"/>
  <c r="AK60" i="1"/>
  <c r="AK61" i="1"/>
  <c r="AK62" i="1"/>
  <c r="AK63" i="1"/>
  <c r="AK64" i="1"/>
  <c r="AK65" i="1"/>
  <c r="AK66" i="1"/>
  <c r="AJ54" i="1"/>
  <c r="AJ60" i="1"/>
  <c r="AJ61" i="1"/>
  <c r="AJ62" i="1"/>
  <c r="AJ63" i="1"/>
  <c r="AJ64" i="1"/>
  <c r="AJ65" i="1"/>
  <c r="AJ66" i="1"/>
  <c r="AK67" i="1"/>
  <c r="AP48" i="1"/>
  <c r="AQ48" i="1"/>
  <c r="AJ50" i="1"/>
  <c r="AJ51" i="1"/>
  <c r="AJ52" i="1"/>
  <c r="AJ53" i="1"/>
  <c r="AP55" i="1"/>
  <c r="AU55" i="1"/>
  <c r="AT55" i="1"/>
  <c r="AM55" i="1"/>
  <c r="AG55" i="1"/>
  <c r="Y55" i="1"/>
  <c r="X55" i="1"/>
  <c r="AL55" i="1"/>
  <c r="N55" i="1"/>
  <c r="AI55" i="1"/>
  <c r="AF55" i="1"/>
  <c r="O55" i="1"/>
  <c r="AK55" i="1"/>
  <c r="AE55" i="1"/>
  <c r="AN55" i="1"/>
  <c r="U55" i="1"/>
  <c r="AO55" i="1"/>
  <c r="AH55" i="1"/>
  <c r="Z55" i="1"/>
  <c r="W55" i="1"/>
  <c r="AR55" i="1"/>
  <c r="AD55" i="1"/>
  <c r="S55" i="1"/>
  <c r="L55" i="1"/>
  <c r="C56" i="1"/>
  <c r="AQ56" i="1" s="1"/>
  <c r="AJ55" i="1"/>
  <c r="V55" i="1"/>
  <c r="K55" i="1"/>
  <c r="M55" i="1"/>
  <c r="AS55" i="1"/>
  <c r="AK47" i="1"/>
  <c r="AK50" i="1"/>
  <c r="AK51" i="1"/>
  <c r="AK52" i="1"/>
  <c r="AK53" i="1"/>
  <c r="AV48" i="1"/>
  <c r="AT48" i="1"/>
  <c r="AJ40" i="1"/>
  <c r="AJ41" i="1"/>
  <c r="AJ42" i="1"/>
  <c r="AJ43" i="1"/>
  <c r="AJ44" i="1"/>
  <c r="AJ45" i="1"/>
  <c r="AJ46" i="1"/>
  <c r="AJ47" i="1"/>
  <c r="AL48" i="1"/>
  <c r="N48" i="1"/>
  <c r="AM48" i="1"/>
  <c r="Z48" i="1"/>
  <c r="AG48" i="1"/>
  <c r="AK48" i="1"/>
  <c r="U48" i="1"/>
  <c r="Y48" i="1"/>
  <c r="AJ48" i="1"/>
  <c r="AF48" i="1"/>
  <c r="AD48" i="1"/>
  <c r="C49" i="1"/>
  <c r="S48" i="1"/>
  <c r="AI48" i="1"/>
  <c r="AH48" i="1"/>
  <c r="AR48" i="1"/>
  <c r="O48" i="1"/>
  <c r="AE48" i="1"/>
  <c r="X48" i="1"/>
  <c r="L48" i="1"/>
  <c r="AO48" i="1"/>
  <c r="W48" i="1"/>
  <c r="V48" i="1"/>
  <c r="AN48" i="1"/>
  <c r="M48" i="1"/>
  <c r="AS48" i="1"/>
  <c r="K48" i="1"/>
  <c r="AK40" i="1"/>
  <c r="AK41" i="1"/>
  <c r="AK42" i="1"/>
  <c r="AK43" i="1"/>
  <c r="AK44" i="1"/>
  <c r="AK45" i="1"/>
  <c r="AK46" i="1"/>
  <c r="AK13" i="1"/>
  <c r="AK14" i="1"/>
  <c r="AK15" i="1"/>
  <c r="AK23" i="1"/>
  <c r="AK16" i="1"/>
  <c r="AK17" i="1"/>
  <c r="AK24" i="1"/>
  <c r="AK25" i="1"/>
  <c r="AK18" i="1"/>
  <c r="AK19" i="1"/>
  <c r="AK26" i="1"/>
  <c r="AK33" i="1"/>
  <c r="AK34" i="1"/>
  <c r="AK27" i="1"/>
  <c r="AK28" i="1"/>
  <c r="AK35" i="1"/>
  <c r="AK29" i="1"/>
  <c r="AK36" i="1"/>
  <c r="AK37" i="1"/>
  <c r="AK38" i="1"/>
  <c r="AK39" i="1"/>
  <c r="AJ13" i="1"/>
  <c r="AJ14" i="1"/>
  <c r="AJ15" i="1"/>
  <c r="AJ16" i="1"/>
  <c r="AJ23" i="1"/>
  <c r="AJ17" i="1"/>
  <c r="AJ24" i="1"/>
  <c r="AJ25" i="1"/>
  <c r="AJ18" i="1"/>
  <c r="AJ19" i="1"/>
  <c r="AJ26" i="1"/>
  <c r="AJ33" i="1"/>
  <c r="AJ34" i="1"/>
  <c r="AJ27" i="1"/>
  <c r="AJ28" i="1"/>
  <c r="AJ35" i="1"/>
  <c r="AJ36" i="1"/>
  <c r="AJ29" i="1"/>
  <c r="AJ37" i="1"/>
  <c r="AJ38" i="1"/>
  <c r="AJ39" i="1"/>
  <c r="AJ10" i="1"/>
  <c r="AJ11" i="1"/>
  <c r="AJ12" i="1"/>
  <c r="AJ20" i="1"/>
  <c r="AJ21" i="1"/>
  <c r="AJ22" i="1"/>
  <c r="AJ30" i="1"/>
  <c r="AJ31" i="1"/>
  <c r="AJ32" i="1"/>
  <c r="AK10" i="1"/>
  <c r="AK11" i="1"/>
  <c r="AK12" i="1"/>
  <c r="AK20" i="1"/>
  <c r="AK21" i="1"/>
  <c r="AK22" i="1"/>
  <c r="AK30" i="1"/>
  <c r="AK31" i="1"/>
  <c r="AK32" i="1"/>
  <c r="AW9" i="1"/>
  <c r="AW7" i="1"/>
  <c r="AW70" i="1"/>
  <c r="AV69" i="1" l="1"/>
  <c r="AP69" i="1"/>
  <c r="AU69" i="1"/>
  <c r="AT69" i="1"/>
  <c r="AS69" i="1"/>
  <c r="Z69" i="1"/>
  <c r="U69" i="1"/>
  <c r="W69" i="1"/>
  <c r="AO69" i="1"/>
  <c r="AF69" i="1"/>
  <c r="V69" i="1"/>
  <c r="AJ69" i="1"/>
  <c r="O69" i="1"/>
  <c r="AL69" i="1"/>
  <c r="K69" i="1"/>
  <c r="X69" i="1"/>
  <c r="AN69" i="1"/>
  <c r="Y69" i="1"/>
  <c r="N69" i="1"/>
  <c r="AE69" i="1"/>
  <c r="S69" i="1"/>
  <c r="L69" i="1"/>
  <c r="AR69" i="1"/>
  <c r="AW69" i="1"/>
  <c r="AG69" i="1"/>
  <c r="AK69" i="1"/>
  <c r="AD69" i="1"/>
  <c r="AI69" i="1"/>
  <c r="M69" i="1"/>
  <c r="AH69" i="1"/>
  <c r="AM69" i="1"/>
  <c r="AW60" i="1"/>
  <c r="AW61" i="1"/>
  <c r="AW62" i="1"/>
  <c r="AW63" i="1"/>
  <c r="AW64" i="1"/>
  <c r="AW65" i="1"/>
  <c r="AW66" i="1"/>
  <c r="AW67" i="1"/>
  <c r="AQ49" i="1"/>
  <c r="AP49" i="1"/>
  <c r="AW55" i="1"/>
  <c r="AV49" i="1"/>
  <c r="AT49" i="1"/>
  <c r="AP56" i="1"/>
  <c r="AU56" i="1"/>
  <c r="AT56" i="1"/>
  <c r="V56" i="1"/>
  <c r="AD56" i="1"/>
  <c r="Y56" i="1"/>
  <c r="N56" i="1"/>
  <c r="AW56" i="1"/>
  <c r="C57" i="1"/>
  <c r="AQ57" i="1" s="1"/>
  <c r="U56" i="1"/>
  <c r="O56" i="1"/>
  <c r="AH56" i="1"/>
  <c r="AR56" i="1"/>
  <c r="AM56" i="1"/>
  <c r="AN56" i="1"/>
  <c r="S56" i="1"/>
  <c r="X56" i="1"/>
  <c r="AO56" i="1"/>
  <c r="AJ56" i="1"/>
  <c r="L56" i="1"/>
  <c r="AI56" i="1"/>
  <c r="AG56" i="1"/>
  <c r="K56" i="1"/>
  <c r="Z56" i="1"/>
  <c r="AF56" i="1"/>
  <c r="AE56" i="1"/>
  <c r="AL56" i="1"/>
  <c r="AK56" i="1"/>
  <c r="W56" i="1"/>
  <c r="M56" i="1"/>
  <c r="AS56" i="1"/>
  <c r="AW50" i="1"/>
  <c r="AW51" i="1"/>
  <c r="AW52" i="1"/>
  <c r="AW53" i="1"/>
  <c r="AW54" i="1"/>
  <c r="AW48" i="1"/>
  <c r="AW40" i="1"/>
  <c r="AW41" i="1"/>
  <c r="AW42" i="1"/>
  <c r="AW43" i="1"/>
  <c r="AW44" i="1"/>
  <c r="AW45" i="1"/>
  <c r="AW46" i="1"/>
  <c r="AW47" i="1"/>
  <c r="AO49" i="1"/>
  <c r="S49" i="1"/>
  <c r="AK49" i="1"/>
  <c r="AG49" i="1"/>
  <c r="AF49" i="1"/>
  <c r="Z49" i="1"/>
  <c r="Y49" i="1"/>
  <c r="O49" i="1"/>
  <c r="X49" i="1"/>
  <c r="N49" i="1"/>
  <c r="W49" i="1"/>
  <c r="AW49" i="1"/>
  <c r="AR49" i="1"/>
  <c r="AM49" i="1"/>
  <c r="AE49" i="1"/>
  <c r="K49" i="1"/>
  <c r="AI49" i="1"/>
  <c r="U49" i="1"/>
  <c r="AD49" i="1"/>
  <c r="M49" i="1"/>
  <c r="AJ49" i="1"/>
  <c r="L49" i="1"/>
  <c r="AL49" i="1"/>
  <c r="AS49" i="1"/>
  <c r="AN49" i="1"/>
  <c r="AH49" i="1"/>
  <c r="V49" i="1"/>
  <c r="AW13" i="1"/>
  <c r="AW14" i="1"/>
  <c r="AW15" i="1"/>
  <c r="AW23" i="1"/>
  <c r="AW16" i="1"/>
  <c r="AW24" i="1"/>
  <c r="AW17" i="1"/>
  <c r="AW18" i="1"/>
  <c r="AW25" i="1"/>
  <c r="AW33" i="1"/>
  <c r="AW26" i="1"/>
  <c r="AW19" i="1"/>
  <c r="AW34" i="1"/>
  <c r="AW27" i="1"/>
  <c r="AW28" i="1"/>
  <c r="AW35" i="1"/>
  <c r="AW36" i="1"/>
  <c r="AW29" i="1"/>
  <c r="AW37" i="1"/>
  <c r="AW38" i="1"/>
  <c r="AW39" i="1"/>
  <c r="AW10" i="1"/>
  <c r="AW11" i="1"/>
  <c r="AW12" i="1"/>
  <c r="AW20" i="1"/>
  <c r="AW21" i="1"/>
  <c r="AW22" i="1"/>
  <c r="AW30" i="1"/>
  <c r="AW31" i="1"/>
  <c r="AW32" i="1"/>
  <c r="T6" i="1"/>
  <c r="AP57" i="1" l="1"/>
  <c r="AU57" i="1"/>
  <c r="AT57" i="1"/>
  <c r="Z57" i="1"/>
  <c r="AI57" i="1"/>
  <c r="AD57" i="1"/>
  <c r="X57" i="1"/>
  <c r="W57" i="1"/>
  <c r="S57" i="1"/>
  <c r="AO57" i="1"/>
  <c r="AJ57" i="1"/>
  <c r="AH57" i="1"/>
  <c r="AN57" i="1"/>
  <c r="Y57" i="1"/>
  <c r="C58" i="1"/>
  <c r="AQ58" i="1" s="1"/>
  <c r="AM57" i="1"/>
  <c r="U57" i="1"/>
  <c r="AE57" i="1"/>
  <c r="M57" i="1"/>
  <c r="AF57" i="1"/>
  <c r="N57" i="1"/>
  <c r="AW57" i="1"/>
  <c r="V57" i="1"/>
  <c r="L57" i="1"/>
  <c r="AK57" i="1"/>
  <c r="AL57" i="1"/>
  <c r="K57" i="1"/>
  <c r="AR57" i="1"/>
  <c r="O57" i="1"/>
  <c r="AG57" i="1"/>
  <c r="AS57" i="1"/>
  <c r="T9" i="1"/>
  <c r="T7" i="1"/>
  <c r="T70" i="1"/>
  <c r="P6" i="1"/>
  <c r="Q6" i="1"/>
  <c r="R6" i="1"/>
  <c r="AY6" i="1"/>
  <c r="AZ6" i="1"/>
  <c r="BA6" i="1"/>
  <c r="J6" i="1"/>
  <c r="J9" i="1" s="1"/>
  <c r="J57" i="1" l="1"/>
  <c r="J60" i="1"/>
  <c r="J61" i="1"/>
  <c r="J62" i="1"/>
  <c r="J63" i="1"/>
  <c r="J64" i="1"/>
  <c r="J65" i="1"/>
  <c r="J66" i="1"/>
  <c r="J67" i="1"/>
  <c r="J68" i="1"/>
  <c r="J69" i="1"/>
  <c r="T60" i="1"/>
  <c r="T61" i="1"/>
  <c r="T62" i="1"/>
  <c r="T63" i="1"/>
  <c r="T64" i="1"/>
  <c r="T65" i="1"/>
  <c r="T66" i="1"/>
  <c r="T67" i="1"/>
  <c r="T68" i="1"/>
  <c r="T69" i="1"/>
  <c r="AP58" i="1"/>
  <c r="AU58" i="1"/>
  <c r="AT58" i="1"/>
  <c r="AO58" i="1"/>
  <c r="O58" i="1"/>
  <c r="V58" i="1"/>
  <c r="AW58" i="1"/>
  <c r="AH58" i="1"/>
  <c r="Z58" i="1"/>
  <c r="AG58" i="1"/>
  <c r="M58" i="1"/>
  <c r="AF58" i="1"/>
  <c r="AM58" i="1"/>
  <c r="L58" i="1"/>
  <c r="AE58" i="1"/>
  <c r="AK58" i="1"/>
  <c r="AR58" i="1"/>
  <c r="AD58" i="1"/>
  <c r="AJ58" i="1"/>
  <c r="AL58" i="1"/>
  <c r="W58" i="1"/>
  <c r="T58" i="1"/>
  <c r="Y58" i="1"/>
  <c r="AI58" i="1"/>
  <c r="J58" i="1"/>
  <c r="AN58" i="1"/>
  <c r="N58" i="1"/>
  <c r="X58" i="1"/>
  <c r="U58" i="1"/>
  <c r="S58" i="1"/>
  <c r="C59" i="1"/>
  <c r="AQ59" i="1" s="1"/>
  <c r="K58" i="1"/>
  <c r="AS58" i="1"/>
  <c r="T50" i="1"/>
  <c r="T51" i="1"/>
  <c r="T52" i="1"/>
  <c r="T53" i="1"/>
  <c r="T54" i="1"/>
  <c r="T55" i="1"/>
  <c r="T56" i="1"/>
  <c r="J50" i="1"/>
  <c r="J51" i="1"/>
  <c r="J52" i="1"/>
  <c r="J53" i="1"/>
  <c r="J54" i="1"/>
  <c r="J55" i="1"/>
  <c r="J56" i="1"/>
  <c r="T57" i="1"/>
  <c r="J40" i="1"/>
  <c r="J41" i="1"/>
  <c r="J42" i="1"/>
  <c r="J43" i="1"/>
  <c r="J44" i="1"/>
  <c r="J45" i="1"/>
  <c r="J46" i="1"/>
  <c r="J47" i="1"/>
  <c r="J48" i="1"/>
  <c r="J49" i="1"/>
  <c r="T40" i="1"/>
  <c r="T41" i="1"/>
  <c r="T42" i="1"/>
  <c r="T43" i="1"/>
  <c r="T44" i="1"/>
  <c r="T45" i="1"/>
  <c r="T46" i="1"/>
  <c r="T47" i="1"/>
  <c r="T48" i="1"/>
  <c r="T49" i="1"/>
  <c r="J13" i="1"/>
  <c r="J14" i="1"/>
  <c r="J15" i="1"/>
  <c r="J23" i="1"/>
  <c r="J16" i="1"/>
  <c r="J24" i="1"/>
  <c r="J17" i="1"/>
  <c r="J25" i="1"/>
  <c r="J18" i="1"/>
  <c r="J26" i="1"/>
  <c r="J19" i="1"/>
  <c r="J33" i="1"/>
  <c r="J34" i="1"/>
  <c r="J27" i="1"/>
  <c r="J35" i="1"/>
  <c r="J28" i="1"/>
  <c r="J29" i="1"/>
  <c r="J36" i="1"/>
  <c r="J37" i="1"/>
  <c r="J38" i="1"/>
  <c r="J39" i="1"/>
  <c r="T13" i="1"/>
  <c r="T14" i="1"/>
  <c r="T15" i="1"/>
  <c r="T23" i="1"/>
  <c r="T16" i="1"/>
  <c r="T24" i="1"/>
  <c r="T17" i="1"/>
  <c r="T18" i="1"/>
  <c r="T25" i="1"/>
  <c r="T33" i="1"/>
  <c r="T19" i="1"/>
  <c r="T26" i="1"/>
  <c r="T34" i="1"/>
  <c r="T27" i="1"/>
  <c r="T28" i="1"/>
  <c r="T35" i="1"/>
  <c r="T36" i="1"/>
  <c r="T29" i="1"/>
  <c r="T37" i="1"/>
  <c r="T38" i="1"/>
  <c r="T39" i="1"/>
  <c r="J10" i="1"/>
  <c r="J11" i="1"/>
  <c r="J12" i="1"/>
  <c r="J20" i="1"/>
  <c r="J21" i="1"/>
  <c r="J22" i="1"/>
  <c r="J30" i="1"/>
  <c r="J31" i="1"/>
  <c r="J32" i="1"/>
  <c r="T10" i="1"/>
  <c r="T11" i="1"/>
  <c r="T12" i="1"/>
  <c r="T20" i="1"/>
  <c r="T21" i="1"/>
  <c r="T22" i="1"/>
  <c r="T30" i="1"/>
  <c r="T31" i="1"/>
  <c r="T32" i="1"/>
  <c r="AZ9" i="1"/>
  <c r="AY9" i="1"/>
  <c r="R9" i="1"/>
  <c r="Q9" i="1"/>
  <c r="P9" i="1"/>
  <c r="AX9" i="1"/>
  <c r="BA9" i="1"/>
  <c r="BA58" i="1" s="1"/>
  <c r="BA7" i="1"/>
  <c r="R7" i="1"/>
  <c r="Q7" i="1"/>
  <c r="AZ7" i="1"/>
  <c r="AY7" i="1"/>
  <c r="P7" i="1"/>
  <c r="AX7" i="1"/>
  <c r="P70" i="1"/>
  <c r="AZ70" i="1"/>
  <c r="Q70" i="1"/>
  <c r="AY70" i="1"/>
  <c r="AX70" i="1"/>
  <c r="R70" i="1"/>
  <c r="L70" i="1"/>
  <c r="J70" i="1"/>
  <c r="BA70" i="1"/>
  <c r="AY60" i="1" l="1"/>
  <c r="AY61" i="1"/>
  <c r="AY62" i="1"/>
  <c r="AY63" i="1"/>
  <c r="AY64" i="1"/>
  <c r="AY65" i="1"/>
  <c r="AY66" i="1"/>
  <c r="AY67" i="1"/>
  <c r="AY68" i="1"/>
  <c r="AY69" i="1"/>
  <c r="P60" i="1"/>
  <c r="P61" i="1"/>
  <c r="P62" i="1"/>
  <c r="P63" i="1"/>
  <c r="P64" i="1"/>
  <c r="P65" i="1"/>
  <c r="P66" i="1"/>
  <c r="P67" i="1"/>
  <c r="P68" i="1"/>
  <c r="P69" i="1"/>
  <c r="BA60" i="1"/>
  <c r="BA61" i="1"/>
  <c r="BA62" i="1"/>
  <c r="BA63" i="1"/>
  <c r="BA64" i="1"/>
  <c r="BA65" i="1"/>
  <c r="BA66" i="1"/>
  <c r="BA67" i="1"/>
  <c r="BA68" i="1"/>
  <c r="BA69" i="1"/>
  <c r="R58" i="1"/>
  <c r="R60" i="1"/>
  <c r="R61" i="1"/>
  <c r="R62" i="1"/>
  <c r="R63" i="1"/>
  <c r="R64" i="1"/>
  <c r="R65" i="1"/>
  <c r="R66" i="1"/>
  <c r="R67" i="1"/>
  <c r="R68" i="1"/>
  <c r="R69" i="1"/>
  <c r="AX60" i="1"/>
  <c r="AX61" i="1"/>
  <c r="AX62" i="1"/>
  <c r="AX63" i="1"/>
  <c r="AX64" i="1"/>
  <c r="AX65" i="1"/>
  <c r="AX66" i="1"/>
  <c r="AX67" i="1"/>
  <c r="AX68" i="1"/>
  <c r="AX69" i="1"/>
  <c r="P58" i="1"/>
  <c r="Q60" i="1"/>
  <c r="Q61" i="1"/>
  <c r="Q62" i="1"/>
  <c r="Q63" i="1"/>
  <c r="Q64" i="1"/>
  <c r="Q65" i="1"/>
  <c r="Q66" i="1"/>
  <c r="Q67" i="1"/>
  <c r="Q68" i="1"/>
  <c r="Q69" i="1"/>
  <c r="AZ58" i="1"/>
  <c r="AZ60" i="1"/>
  <c r="AZ61" i="1"/>
  <c r="AZ62" i="1"/>
  <c r="AZ63" i="1"/>
  <c r="AZ64" i="1"/>
  <c r="AZ65" i="1"/>
  <c r="AZ66" i="1"/>
  <c r="AZ67" i="1"/>
  <c r="AZ68" i="1"/>
  <c r="AZ69" i="1"/>
  <c r="BA50" i="1"/>
  <c r="BA51" i="1"/>
  <c r="BA52" i="1"/>
  <c r="BA53" i="1"/>
  <c r="BA54" i="1"/>
  <c r="BA55" i="1"/>
  <c r="BA56" i="1"/>
  <c r="BA57" i="1"/>
  <c r="P50" i="1"/>
  <c r="P51" i="1"/>
  <c r="P52" i="1"/>
  <c r="P53" i="1"/>
  <c r="P54" i="1"/>
  <c r="P55" i="1"/>
  <c r="P56" i="1"/>
  <c r="P57" i="1"/>
  <c r="Q50" i="1"/>
  <c r="Q51" i="1"/>
  <c r="Q52" i="1"/>
  <c r="Q53" i="1"/>
  <c r="Q54" i="1"/>
  <c r="Q55" i="1"/>
  <c r="Q56" i="1"/>
  <c r="Q57" i="1"/>
  <c r="AX50" i="1"/>
  <c r="AX51" i="1"/>
  <c r="AX52" i="1"/>
  <c r="AX53" i="1"/>
  <c r="AX54" i="1"/>
  <c r="AX55" i="1"/>
  <c r="AX56" i="1"/>
  <c r="AX57" i="1"/>
  <c r="Q58" i="1"/>
  <c r="R50" i="1"/>
  <c r="R51" i="1"/>
  <c r="R52" i="1"/>
  <c r="R53" i="1"/>
  <c r="R54" i="1"/>
  <c r="R55" i="1"/>
  <c r="R56" i="1"/>
  <c r="R57" i="1"/>
  <c r="AY50" i="1"/>
  <c r="AY51" i="1"/>
  <c r="AY52" i="1"/>
  <c r="AY53" i="1"/>
  <c r="AY54" i="1"/>
  <c r="AY55" i="1"/>
  <c r="AY56" i="1"/>
  <c r="AY57" i="1"/>
  <c r="AY58" i="1"/>
  <c r="AX58" i="1"/>
  <c r="AZ50" i="1"/>
  <c r="AZ51" i="1"/>
  <c r="AZ52" i="1"/>
  <c r="AZ53" i="1"/>
  <c r="AZ54" i="1"/>
  <c r="AZ55" i="1"/>
  <c r="AZ56" i="1"/>
  <c r="AZ57" i="1"/>
  <c r="AP59" i="1"/>
  <c r="AU59" i="1"/>
  <c r="AT59" i="1"/>
  <c r="Y59" i="1"/>
  <c r="M59" i="1"/>
  <c r="AW59" i="1"/>
  <c r="AL59" i="1"/>
  <c r="W59" i="1"/>
  <c r="K59" i="1"/>
  <c r="AO59" i="1"/>
  <c r="AD59" i="1"/>
  <c r="V59" i="1"/>
  <c r="S59" i="1"/>
  <c r="J59" i="1"/>
  <c r="X59" i="1"/>
  <c r="BA59" i="1"/>
  <c r="U59" i="1"/>
  <c r="O59" i="1"/>
  <c r="AF59" i="1"/>
  <c r="R59" i="1"/>
  <c r="P59" i="1"/>
  <c r="T59" i="1"/>
  <c r="AZ59" i="1"/>
  <c r="AX59" i="1"/>
  <c r="Q59" i="1"/>
  <c r="L59" i="1"/>
  <c r="AH59" i="1"/>
  <c r="AY59" i="1"/>
  <c r="N59" i="1"/>
  <c r="AG59" i="1"/>
  <c r="AI59" i="1"/>
  <c r="AR59" i="1"/>
  <c r="AM59" i="1"/>
  <c r="AK59" i="1"/>
  <c r="Z59" i="1"/>
  <c r="AN59" i="1"/>
  <c r="AE59" i="1"/>
  <c r="AJ59" i="1"/>
  <c r="AS59" i="1"/>
  <c r="AX40" i="1"/>
  <c r="AX41" i="1"/>
  <c r="AX42" i="1"/>
  <c r="AX43" i="1"/>
  <c r="AX44" i="1"/>
  <c r="AX45" i="1"/>
  <c r="AX46" i="1"/>
  <c r="AX47" i="1"/>
  <c r="AX48" i="1"/>
  <c r="AX49" i="1"/>
  <c r="AZ40" i="1"/>
  <c r="AZ41" i="1"/>
  <c r="AZ42" i="1"/>
  <c r="AZ43" i="1"/>
  <c r="AZ44" i="1"/>
  <c r="AZ45" i="1"/>
  <c r="AZ46" i="1"/>
  <c r="AZ47" i="1"/>
  <c r="AZ48" i="1"/>
  <c r="AZ49" i="1"/>
  <c r="BA40" i="1"/>
  <c r="BA41" i="1"/>
  <c r="BA42" i="1"/>
  <c r="BA43" i="1"/>
  <c r="BA44" i="1"/>
  <c r="BA45" i="1"/>
  <c r="BA46" i="1"/>
  <c r="BA47" i="1"/>
  <c r="BA48" i="1"/>
  <c r="BA49" i="1"/>
  <c r="R40" i="1"/>
  <c r="R41" i="1"/>
  <c r="R42" i="1"/>
  <c r="R43" i="1"/>
  <c r="R44" i="1"/>
  <c r="R45" i="1"/>
  <c r="R46" i="1"/>
  <c r="R47" i="1"/>
  <c r="R48" i="1"/>
  <c r="R49" i="1"/>
  <c r="AY40" i="1"/>
  <c r="AY41" i="1"/>
  <c r="AY42" i="1"/>
  <c r="AY43" i="1"/>
  <c r="AY44" i="1"/>
  <c r="AY45" i="1"/>
  <c r="AY46" i="1"/>
  <c r="AY47" i="1"/>
  <c r="AY48" i="1"/>
  <c r="AY49" i="1"/>
  <c r="P40" i="1"/>
  <c r="P41" i="1"/>
  <c r="P42" i="1"/>
  <c r="P43" i="1"/>
  <c r="P44" i="1"/>
  <c r="P45" i="1"/>
  <c r="P46" i="1"/>
  <c r="P47" i="1"/>
  <c r="P48" i="1"/>
  <c r="P49" i="1"/>
  <c r="Q40" i="1"/>
  <c r="Q41" i="1"/>
  <c r="Q42" i="1"/>
  <c r="Q43" i="1"/>
  <c r="Q44" i="1"/>
  <c r="Q45" i="1"/>
  <c r="Q46" i="1"/>
  <c r="Q47" i="1"/>
  <c r="Q48" i="1"/>
  <c r="Q49" i="1"/>
  <c r="R13" i="1"/>
  <c r="R14" i="1"/>
  <c r="R15" i="1"/>
  <c r="R23" i="1"/>
  <c r="R16" i="1"/>
  <c r="R24" i="1"/>
  <c r="R17" i="1"/>
  <c r="R18" i="1"/>
  <c r="R25" i="1"/>
  <c r="R33" i="1"/>
  <c r="R19" i="1"/>
  <c r="R26" i="1"/>
  <c r="R34" i="1"/>
  <c r="R27" i="1"/>
  <c r="R35" i="1"/>
  <c r="R28" i="1"/>
  <c r="R29" i="1"/>
  <c r="R36" i="1"/>
  <c r="R37" i="1"/>
  <c r="R38" i="1"/>
  <c r="R39" i="1"/>
  <c r="AZ13" i="1"/>
  <c r="AZ14" i="1"/>
  <c r="AZ15" i="1"/>
  <c r="AZ23" i="1"/>
  <c r="AZ16" i="1"/>
  <c r="AZ24" i="1"/>
  <c r="AZ17" i="1"/>
  <c r="AZ25" i="1"/>
  <c r="AZ18" i="1"/>
  <c r="AZ19" i="1"/>
  <c r="AZ33" i="1"/>
  <c r="AZ26" i="1"/>
  <c r="AZ34" i="1"/>
  <c r="AZ27" i="1"/>
  <c r="AZ28" i="1"/>
  <c r="AZ35" i="1"/>
  <c r="AZ36" i="1"/>
  <c r="AZ29" i="1"/>
  <c r="AZ37" i="1"/>
  <c r="AZ38" i="1"/>
  <c r="AZ39" i="1"/>
  <c r="Q13" i="1"/>
  <c r="Q14" i="1"/>
  <c r="Q15" i="1"/>
  <c r="Q16" i="1"/>
  <c r="Q23" i="1"/>
  <c r="Q17" i="1"/>
  <c r="Q24" i="1"/>
  <c r="Q18" i="1"/>
  <c r="Q25" i="1"/>
  <c r="Q19" i="1"/>
  <c r="Q33" i="1"/>
  <c r="Q26" i="1"/>
  <c r="Q34" i="1"/>
  <c r="Q27" i="1"/>
  <c r="Q28" i="1"/>
  <c r="Q35" i="1"/>
  <c r="Q29" i="1"/>
  <c r="Q36" i="1"/>
  <c r="Q37" i="1"/>
  <c r="Q38" i="1"/>
  <c r="Q39" i="1"/>
  <c r="AY13" i="1"/>
  <c r="AY14" i="1"/>
  <c r="AY15" i="1"/>
  <c r="AY23" i="1"/>
  <c r="AY16" i="1"/>
  <c r="AY17" i="1"/>
  <c r="AY24" i="1"/>
  <c r="AY25" i="1"/>
  <c r="AY18" i="1"/>
  <c r="AY26" i="1"/>
  <c r="AY19" i="1"/>
  <c r="AY33" i="1"/>
  <c r="AY34" i="1"/>
  <c r="AY27" i="1"/>
  <c r="AY28" i="1"/>
  <c r="AY35" i="1"/>
  <c r="AY29" i="1"/>
  <c r="AY36" i="1"/>
  <c r="AY37" i="1"/>
  <c r="AY38" i="1"/>
  <c r="AY39" i="1"/>
  <c r="BA13" i="1"/>
  <c r="BA14" i="1"/>
  <c r="BA15" i="1"/>
  <c r="BA23" i="1"/>
  <c r="BA16" i="1"/>
  <c r="BA24" i="1"/>
  <c r="BA17" i="1"/>
  <c r="BA18" i="1"/>
  <c r="BA25" i="1"/>
  <c r="BA19" i="1"/>
  <c r="BA33" i="1"/>
  <c r="BA26" i="1"/>
  <c r="BA34" i="1"/>
  <c r="BA27" i="1"/>
  <c r="BA28" i="1"/>
  <c r="BA35" i="1"/>
  <c r="BA29" i="1"/>
  <c r="BA36" i="1"/>
  <c r="BA37" i="1"/>
  <c r="BA38" i="1"/>
  <c r="BA39" i="1"/>
  <c r="AX13" i="1"/>
  <c r="AX14" i="1"/>
  <c r="AX15" i="1"/>
  <c r="AX23" i="1"/>
  <c r="AX16" i="1"/>
  <c r="AX24" i="1"/>
  <c r="AX17" i="1"/>
  <c r="AX18" i="1"/>
  <c r="AX25" i="1"/>
  <c r="AX26" i="1"/>
  <c r="AX33" i="1"/>
  <c r="AX19" i="1"/>
  <c r="AX27" i="1"/>
  <c r="AX34" i="1"/>
  <c r="AX35" i="1"/>
  <c r="AX28" i="1"/>
  <c r="AX29" i="1"/>
  <c r="AX36" i="1"/>
  <c r="AX37" i="1"/>
  <c r="AX38" i="1"/>
  <c r="AX39" i="1"/>
  <c r="P13" i="1"/>
  <c r="P14" i="1"/>
  <c r="P15" i="1"/>
  <c r="P16" i="1"/>
  <c r="P23" i="1"/>
  <c r="P24" i="1"/>
  <c r="P17" i="1"/>
  <c r="P25" i="1"/>
  <c r="P18" i="1"/>
  <c r="P19" i="1"/>
  <c r="P33" i="1"/>
  <c r="P26" i="1"/>
  <c r="P34" i="1"/>
  <c r="P27" i="1"/>
  <c r="P28" i="1"/>
  <c r="P35" i="1"/>
  <c r="P36" i="1"/>
  <c r="P29" i="1"/>
  <c r="P37" i="1"/>
  <c r="P38" i="1"/>
  <c r="P39" i="1"/>
  <c r="P10" i="1"/>
  <c r="P11" i="1"/>
  <c r="P12" i="1"/>
  <c r="P20" i="1"/>
  <c r="P21" i="1"/>
  <c r="P22" i="1"/>
  <c r="P30" i="1"/>
  <c r="P31" i="1"/>
  <c r="P32" i="1"/>
  <c r="AX10" i="1"/>
  <c r="AX11" i="1"/>
  <c r="AX12" i="1"/>
  <c r="AX20" i="1"/>
  <c r="AX21" i="1"/>
  <c r="AX22" i="1"/>
  <c r="AX30" i="1"/>
  <c r="AX31" i="1"/>
  <c r="AX32" i="1"/>
  <c r="BA10" i="1"/>
  <c r="BA11" i="1"/>
  <c r="BA12" i="1"/>
  <c r="BA20" i="1"/>
  <c r="BA21" i="1"/>
  <c r="BA22" i="1"/>
  <c r="BA30" i="1"/>
  <c r="BA31" i="1"/>
  <c r="BA32" i="1"/>
  <c r="R10" i="1"/>
  <c r="R11" i="1"/>
  <c r="R12" i="1"/>
  <c r="R20" i="1"/>
  <c r="R21" i="1"/>
  <c r="R22" i="1"/>
  <c r="R30" i="1"/>
  <c r="R31" i="1"/>
  <c r="R32" i="1"/>
  <c r="AZ10" i="1"/>
  <c r="AZ11" i="1"/>
  <c r="AZ12" i="1"/>
  <c r="AZ20" i="1"/>
  <c r="AZ21" i="1"/>
  <c r="AZ22" i="1"/>
  <c r="AZ30" i="1"/>
  <c r="AZ31" i="1"/>
  <c r="AZ32" i="1"/>
  <c r="Q10" i="1"/>
  <c r="Q11" i="1"/>
  <c r="Q12" i="1"/>
  <c r="Q20" i="1"/>
  <c r="Q21" i="1"/>
  <c r="Q22" i="1"/>
  <c r="Q30" i="1"/>
  <c r="Q31" i="1"/>
  <c r="Q32" i="1"/>
  <c r="AY10" i="1"/>
  <c r="AY11" i="1"/>
  <c r="AY12" i="1"/>
  <c r="AY20" i="1"/>
  <c r="AY21" i="1"/>
  <c r="AY22" i="1"/>
  <c r="AY30" i="1"/>
  <c r="AY31" i="1"/>
  <c r="AY32" i="1"/>
  <c r="H10" i="1" l="1"/>
  <c r="I10" i="1" l="1"/>
  <c r="H11" i="1"/>
  <c r="I11" i="1" l="1"/>
  <c r="H12" i="1"/>
  <c r="I12" i="1" l="1"/>
  <c r="H13" i="1"/>
  <c r="I13" i="1" l="1"/>
  <c r="H14" i="1"/>
  <c r="I14" i="1" l="1"/>
  <c r="H15" i="1"/>
  <c r="H16" i="1" l="1"/>
  <c r="I15" i="1"/>
  <c r="I16" i="1" l="1"/>
  <c r="H17" i="1"/>
  <c r="I17" i="1" l="1"/>
  <c r="H18" i="1"/>
  <c r="I18" i="1" l="1"/>
  <c r="H19" i="1"/>
  <c r="H20" i="1" l="1"/>
  <c r="I19" i="1"/>
  <c r="H21" i="1" l="1"/>
  <c r="I20" i="1"/>
  <c r="H22" i="1" l="1"/>
  <c r="I21" i="1"/>
  <c r="I22" i="1" l="1"/>
  <c r="H23" i="1"/>
  <c r="H24" i="1" l="1"/>
  <c r="I23" i="1"/>
  <c r="I24" i="1" l="1"/>
  <c r="H25" i="1"/>
  <c r="H26" i="1" l="1"/>
  <c r="I25" i="1"/>
  <c r="H27" i="1" l="1"/>
  <c r="I26" i="1"/>
  <c r="I27" i="1" l="1"/>
  <c r="H28" i="1"/>
  <c r="H29" i="1" l="1"/>
  <c r="I28" i="1"/>
  <c r="I29" i="1" l="1"/>
  <c r="H30" i="1"/>
  <c r="H31" i="1" l="1"/>
  <c r="I30" i="1"/>
  <c r="I31" i="1" l="1"/>
  <c r="H32" i="1"/>
  <c r="H33" i="1" l="1"/>
  <c r="I32" i="1"/>
  <c r="H34" i="1" l="1"/>
  <c r="I33" i="1"/>
  <c r="I34" i="1" l="1"/>
  <c r="H35" i="1"/>
  <c r="H36" i="1" l="1"/>
  <c r="I35" i="1"/>
  <c r="I36" i="1" l="1"/>
  <c r="H37" i="1"/>
  <c r="H38" i="1" l="1"/>
  <c r="I37" i="1"/>
  <c r="I38" i="1" l="1"/>
  <c r="H39" i="1"/>
  <c r="H40" i="1" l="1"/>
  <c r="I39" i="1"/>
  <c r="I40" i="1" l="1"/>
  <c r="H41" i="1"/>
  <c r="I41" i="1" l="1"/>
  <c r="H42" i="1"/>
  <c r="H43" i="1" l="1"/>
  <c r="I42" i="1"/>
  <c r="I43" i="1" l="1"/>
  <c r="H44" i="1"/>
  <c r="H45" i="1" l="1"/>
  <c r="I44" i="1"/>
  <c r="I45" i="1" l="1"/>
  <c r="H46" i="1"/>
  <c r="H47" i="1" l="1"/>
  <c r="I46" i="1"/>
  <c r="H48" i="1" l="1"/>
  <c r="I47" i="1"/>
  <c r="H49" i="1" l="1"/>
  <c r="I48" i="1"/>
  <c r="I49" i="1" l="1"/>
  <c r="H50" i="1" l="1"/>
  <c r="I50" i="1" l="1"/>
  <c r="H51" i="1"/>
  <c r="I51" i="1" l="1"/>
  <c r="H52" i="1"/>
  <c r="I52" i="1" l="1"/>
  <c r="H53" i="1"/>
  <c r="I53" i="1" l="1"/>
  <c r="H54" i="1"/>
  <c r="H55" i="1" l="1"/>
  <c r="I54" i="1"/>
  <c r="I55" i="1" l="1"/>
  <c r="H56" i="1"/>
  <c r="I56" i="1" l="1"/>
  <c r="H57" i="1"/>
  <c r="I57" i="1" l="1"/>
  <c r="H58" i="1"/>
  <c r="H59" i="1" l="1"/>
  <c r="H60" i="1" s="1"/>
  <c r="I58" i="1"/>
  <c r="I60" i="1" l="1"/>
  <c r="H61" i="1"/>
  <c r="I59" i="1"/>
  <c r="I61" i="1" l="1"/>
  <c r="H62" i="1"/>
  <c r="I62" i="1" l="1"/>
  <c r="H63" i="1"/>
  <c r="I63" i="1" l="1"/>
  <c r="H64" i="1"/>
  <c r="I64" i="1" l="1"/>
  <c r="H65" i="1"/>
  <c r="I65" i="1" l="1"/>
  <c r="H66" i="1"/>
  <c r="H67" i="1" l="1"/>
  <c r="I66" i="1"/>
  <c r="I67" i="1" l="1"/>
  <c r="H68" i="1"/>
  <c r="H69" i="1" l="1"/>
  <c r="I68" i="1"/>
  <c r="I69" i="1" l="1"/>
  <c r="I70" i="1"/>
  <c r="I4"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E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H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D2" authorId="0" shapeId="0" xr:uid="{5F9AC758-6FF0-4899-A9B7-5D51B3F86847}">
      <text>
        <r>
          <rPr>
            <b/>
            <sz val="9"/>
            <color indexed="81"/>
            <rFont val="Tahoma"/>
            <family val="2"/>
          </rPr>
          <t>Michael Young (21512438):</t>
        </r>
        <r>
          <rPr>
            <sz val="9"/>
            <color indexed="81"/>
            <rFont val="Tahoma"/>
            <family val="2"/>
          </rPr>
          <t xml:space="preserve">
the word 'blank' must be in the cell. Used in f_read_exp to identify the col.</t>
        </r>
      </text>
    </comment>
    <comment ref="H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H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
Note: blank rows are still to be included in the number count.</t>
        </r>
      </text>
    </comment>
    <comment ref="D4" authorId="0" shapeId="0" xr:uid="{F27A7F12-A007-42D5-A75B-5F3CA936C886}">
      <text>
        <r>
          <rPr>
            <b/>
            <sz val="9"/>
            <color indexed="81"/>
            <rFont val="Tahoma"/>
            <family val="2"/>
          </rPr>
          <t>Michael Young (21512438):</t>
        </r>
        <r>
          <rPr>
            <sz val="9"/>
            <color indexed="81"/>
            <rFont val="Tahoma"/>
            <family val="2"/>
          </rPr>
          <t xml:space="preserve">
Trials in the same group/experiment are given the same number. These trials are then run together. The group that is run is controlled by an argument passed in when running the script (check google doc for info on running scripts with args)</t>
        </r>
      </text>
    </comment>
    <comment ref="E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F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G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H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I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U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V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W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X4" authorId="0" shapeId="0" xr:uid="{9E0EA609-9502-454F-B389-2CE90420ED02}">
      <text>
        <r>
          <rPr>
            <b/>
            <sz val="9"/>
            <color indexed="81"/>
            <rFont val="Tahoma"/>
            <family val="2"/>
          </rPr>
          <t>Michael Young (21512438):</t>
        </r>
        <r>
          <rPr>
            <sz val="9"/>
            <color indexed="81"/>
            <rFont val="Tahoma"/>
            <family val="2"/>
          </rPr>
          <t xml:space="preserve">
birth weight</t>
        </r>
      </text>
    </comment>
    <comment ref="Y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Z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D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E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F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AM4" authorId="0" shapeId="0" xr:uid="{13C81614-D294-404F-8AEB-2661A28CF526}">
      <text>
        <r>
          <rPr>
            <b/>
            <sz val="9"/>
            <color indexed="81"/>
            <rFont val="Tahoma"/>
            <family val="2"/>
          </rPr>
          <t>Michael Young (21512438):</t>
        </r>
        <r>
          <rPr>
            <sz val="9"/>
            <color indexed="81"/>
            <rFont val="Tahoma"/>
            <family val="2"/>
          </rPr>
          <t xml:space="preserve">
potential intake</t>
        </r>
      </text>
    </comment>
    <comment ref="AP4" authorId="0" shapeId="0" xr:uid="{B4EC4C81-1C22-4365-81E0-6F638C6D847A}">
      <text>
        <r>
          <rPr>
            <sz val="9"/>
            <color indexed="81"/>
            <rFont val="Tahoma"/>
            <family val="2"/>
          </rPr>
          <t>CSIRO lamb survival, 2 young</t>
        </r>
      </text>
    </comment>
    <comment ref="AQ4" authorId="0" shapeId="0" xr:uid="{734AA682-3F17-4846-9FE2-E71CA101DE82}">
      <text>
        <r>
          <rPr>
            <sz val="9"/>
            <color indexed="81"/>
            <rFont val="Tahoma"/>
            <family val="2"/>
          </rPr>
          <t xml:space="preserve">LTW lamb survival, 2 young
</t>
        </r>
      </text>
    </comment>
    <comment ref="AT4" authorId="0" shapeId="0" xr:uid="{B326D098-177C-461D-85E0-A915E55A4969}">
      <text>
        <r>
          <rPr>
            <b/>
            <sz val="9"/>
            <color indexed="81"/>
            <rFont val="Tahoma"/>
            <family val="2"/>
          </rPr>
          <t>Michael Young (21512438):</t>
        </r>
        <r>
          <rPr>
            <sz val="9"/>
            <color indexed="81"/>
            <rFont val="Tahoma"/>
            <family val="2"/>
          </rPr>
          <t xml:space="preserve">
95% conception 1 young</t>
        </r>
      </text>
    </comment>
    <comment ref="AU4" authorId="0" shapeId="0" xr:uid="{4F79B1BA-0287-46DF-95A1-6398C138451F}">
      <text>
        <r>
          <rPr>
            <b/>
            <sz val="9"/>
            <color indexed="81"/>
            <rFont val="Tahoma"/>
            <family val="2"/>
          </rPr>
          <t>Michael Young (21512438):</t>
        </r>
        <r>
          <rPr>
            <sz val="9"/>
            <color indexed="81"/>
            <rFont val="Tahoma"/>
            <family val="2"/>
          </rPr>
          <t xml:space="preserve">
95% conception 2 young</t>
        </r>
      </text>
    </comment>
    <comment ref="H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 ref="AW6" authorId="2" shapeId="0" xr:uid="{54579931-51E9-4526-BC0E-F03F6EBA38C2}">
      <text>
        <r>
          <rPr>
            <b/>
            <sz val="9"/>
            <color indexed="81"/>
            <rFont val="Tahoma"/>
            <family val="2"/>
          </rPr>
          <t>John:</t>
        </r>
        <r>
          <rPr>
            <sz val="9"/>
            <color indexed="81"/>
            <rFont val="Tahoma"/>
            <family val="2"/>
          </rPr>
          <t xml:space="preserve">
Current wool market is at 78% and increasing. So making a call that it will increasea little from here.</t>
        </r>
      </text>
    </comment>
    <comment ref="AX6" authorId="2" shapeId="0" xr:uid="{8CBC5B02-06C5-4263-BBE0-9A52850D4CFD}">
      <text>
        <r>
          <rPr>
            <b/>
            <sz val="9"/>
            <color indexed="81"/>
            <rFont val="Tahoma"/>
            <family val="2"/>
          </rPr>
          <t>John:</t>
        </r>
        <r>
          <rPr>
            <sz val="9"/>
            <color indexed="81"/>
            <rFont val="Tahoma"/>
            <family val="2"/>
          </rPr>
          <t xml:space="preserve">
Current lamb market is at 95%. Making a call that it is being buoyed by the seasonal conditions and restocking demand that won't continue beyond a year or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0" authorId="0" shapeId="0" xr:uid="{C1773C77-DC46-465E-9F33-8BFA92764DB2}">
      <text>
        <r>
          <rPr>
            <b/>
            <sz val="9"/>
            <color indexed="81"/>
            <rFont val="Tahoma"/>
            <family val="2"/>
          </rPr>
          <t>John:</t>
        </r>
        <r>
          <rPr>
            <sz val="9"/>
            <color indexed="81"/>
            <rFont val="Tahoma"/>
            <family val="2"/>
          </rPr>
          <t xml:space="preserve">
These are the detailed results that require extra r_vals to be stored during the soultion</t>
        </r>
      </text>
    </comment>
  </commentList>
</comments>
</file>

<file path=xl/sharedStrings.xml><?xml version="1.0" encoding="utf-8"?>
<sst xmlns="http://schemas.openxmlformats.org/spreadsheetml/2006/main" count="217" uniqueCount="139">
  <si>
    <t>sam</t>
  </si>
  <si>
    <t>Dict</t>
  </si>
  <si>
    <t>Key1</t>
  </si>
  <si>
    <t>Key2</t>
  </si>
  <si>
    <t>slice</t>
  </si>
  <si>
    <t>Default</t>
  </si>
  <si>
    <t>0:1</t>
  </si>
  <si>
    <t>1:2</t>
  </si>
  <si>
    <t>2:3</t>
  </si>
  <si>
    <t>saa</t>
  </si>
  <si>
    <t>sav</t>
  </si>
  <si>
    <t>sap</t>
  </si>
  <si>
    <t>Note on formatting</t>
  </si>
  <si>
    <t>eqn_compare</t>
  </si>
  <si>
    <t>TOL_inc</t>
  </si>
  <si>
    <t>g3_included</t>
  </si>
  <si>
    <t>bnd_total_pas_area</t>
  </si>
  <si>
    <t>bnd_pasarea_inc</t>
  </si>
  <si>
    <t>Drop</t>
  </si>
  <si>
    <t>scan_og1</t>
  </si>
  <si>
    <t>2:3,:</t>
  </si>
  <si>
    <t>fec_inc</t>
  </si>
  <si>
    <t>eqn_used_g0_q1p7</t>
  </si>
  <si>
    <t>eqn_used_g3_q1p7</t>
  </si>
  <si>
    <t>eqn_used_g2_q1p7</t>
  </si>
  <si>
    <t>eqn_used_g1_q1p7</t>
  </si>
  <si>
    <t>steady_state</t>
  </si>
  <si>
    <t>season test</t>
  </si>
  <si>
    <t>Description of this experiment</t>
  </si>
  <si>
    <t>lw_inc</t>
  </si>
  <si>
    <t>ffcfw_inc</t>
  </si>
  <si>
    <t>1:2,:</t>
  </si>
  <si>
    <t>10:11,:</t>
  </si>
  <si>
    <t>Last change</t>
  </si>
  <si>
    <t>This column must remain first</t>
  </si>
  <si>
    <t>BlankLast</t>
  </si>
  <si>
    <t>Standard</t>
  </si>
  <si>
    <t>srw_c2</t>
  </si>
  <si>
    <t>cl0_c2</t>
  </si>
  <si>
    <t>ci_c2</t>
  </si>
  <si>
    <t>sfw_c2</t>
  </si>
  <si>
    <t>sfd_c2</t>
  </si>
  <si>
    <t>kg</t>
  </si>
  <si>
    <t>mortalityp</t>
  </si>
  <si>
    <t>8:9,:</t>
  </si>
  <si>
    <t>3:4,1:2,:</t>
  </si>
  <si>
    <t>3:4,2:3,:</t>
  </si>
  <si>
    <t>genotype</t>
  </si>
  <si>
    <t>nut_spread_n1</t>
  </si>
  <si>
    <t>-</t>
  </si>
  <si>
    <t>nut_spread_n3</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</si>
  <si>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</si>
  <si>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</si>
  <si>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</si>
  <si>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</si>
  <si>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</si>
  <si>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</si>
  <si>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</si>
  <si>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</si>
  <si>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</si>
  <si>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</si>
  <si>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</si>
  <si>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</si>
  <si>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</si>
  <si>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</si>
  <si>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</si>
  <si>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</si>
  <si>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</si>
  <si>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</si>
  <si>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</si>
  <si>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</si>
  <si>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</si>
  <si>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</si>
  <si>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</si>
  <si>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</si>
  <si>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</si>
  <si>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</si>
  <si>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</si>
  <si>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</si>
  <si>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</si>
  <si>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</si>
  <si>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</si>
  <si>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</si>
  <si>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</si>
  <si>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</si>
  <si>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</si>
  <si>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</si>
  <si>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</si>
  <si>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</si>
  <si>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</si>
  <si>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</si>
  <si>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</si>
  <si>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</si>
  <si>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</si>
  <si>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</si>
  <si>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</si>
  <si>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</si>
  <si>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</si>
  <si>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</si>
  <si>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</si>
  <si>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</si>
  <si>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</si>
  <si>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</si>
  <si>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</si>
  <si>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</si>
  <si>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</si>
  <si>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</si>
  <si>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</si>
  <si>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</si>
  <si>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</si>
  <si>
    <t>Exp Group</t>
  </si>
  <si>
    <t>blank</t>
  </si>
  <si>
    <t>run_saledate_offs</t>
  </si>
  <si>
    <t>table of sales date for offs</t>
  </si>
  <si>
    <t>Expt 2: Calibration of the GEPEP genotypes. Starting with SRW, PI, kg &amp; EVG. Then testing a range of SFW, SFD, repro &amp; lamb survival</t>
  </si>
  <si>
    <t>Trial to copy</t>
  </si>
  <si>
    <t>Calibration runs</t>
  </si>
  <si>
    <t>run_fd_dams</t>
  </si>
  <si>
    <t>table of FD</t>
  </si>
  <si>
    <t>run_dry_propn</t>
  </si>
  <si>
    <t>propn of drys</t>
  </si>
  <si>
    <t>evg</t>
  </si>
  <si>
    <t>Fix error with saa that still had sav default value</t>
  </si>
  <si>
    <t>All Genotype trials reported without lw, ffcfw &amp; fec</t>
  </si>
  <si>
    <t>11:12,2:3,:</t>
  </si>
  <si>
    <t>8:9,2:3,:</t>
  </si>
  <si>
    <t>Select from these values to reflect the ASBVs</t>
  </si>
  <si>
    <t>The market</t>
  </si>
  <si>
    <t>G0 only</t>
  </si>
  <si>
    <t>These values to reflect the genotype</t>
  </si>
  <si>
    <t>woolp_mpg_percentile</t>
  </si>
  <si>
    <t>salep_percentile</t>
  </si>
  <si>
    <t>Change lamb mortality from sar to sat</t>
  </si>
  <si>
    <t>sat</t>
  </si>
  <si>
    <t>Add sar &amp; sat conditional formatting</t>
  </si>
  <si>
    <t>Use saa on cl0 to alter the LTW lamb survival parameters to adjust twin lamb survival of the standard genotype</t>
  </si>
  <si>
    <t>Increase wool mpg to 80th percentile, increase sale sheep price to 90th percentile</t>
  </si>
  <si>
    <t>Date Time</t>
  </si>
  <si>
    <t>Alter range of calibration to give range in ASBVs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</si>
</sst>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mm\ h:mm"/>
    <numFmt numFmtId="165" formatCode="d\-mmm\ hh:mm"/>
  </numFmts>
  <fonts count="20">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
      <sz val="11"/>
      <color theme="0"/>
      <name val="Calibri"/>
      <family val="2"/>
      <scheme val="minor"/>
    </font>
    <font>
      <sz val="11"/>
      <name val="Calibri"/>
      <family val="2"/>
      <scheme val="minor"/>
    </font>
    <font>
      <u/>
      <sz val="8"/>
      <color theme="1"/>
      <name val="Calibri"/>
      <family val="2"/>
      <scheme val="minor"/>
    </font>
    <font>
      <u/>
      <sz val="11"/>
      <color theme="1"/>
      <name val="Calibri"/>
      <family val="2"/>
      <scheme val="minor"/>
    </font>
    <font>
      <u/>
      <sz val="10"/>
      <color theme="1"/>
      <name val="Calibri"/>
      <family val="2"/>
      <scheme val="minor"/>
    </font>
  </fonts>
  <fills count="16">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
      <patternFill patternType="solid">
        <fgColor rgb="FFFFF9E6"/>
        <bgColor indexed="64"/>
      </patternFill>
    </fill>
    <fill>
      <patternFill patternType="solid">
        <fgColor theme="7" tint="0.39997558519241921"/>
        <bgColor indexed="64"/>
      </patternFill>
    </fill>
  </fills>
  <borders count="8">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1">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0" fillId="0" borderId="2" applyNumberFormat="0" applyAlignment="0"/>
    <xf numFmtId="0" fontId="7" fillId="9" borderId="3" applyNumberFormat="0" applyFont="0" applyAlignment="0"/>
    <xf numFmtId="0" fontId="11" fillId="10" borderId="2" applyNumberFormat="0" applyAlignment="0"/>
    <xf numFmtId="0" fontId="12" fillId="11" borderId="2" applyNumberFormat="0" applyAlignment="0"/>
    <xf numFmtId="0" fontId="10" fillId="14" borderId="2" applyNumberFormat="0" applyAlignment="0"/>
  </cellStyleXfs>
  <cellXfs count="49">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0" borderId="0" xfId="0"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0" fillId="4" borderId="3" xfId="7" applyFont="1" applyFill="1"/>
    <xf numFmtId="0" fontId="8" fillId="0" borderId="0" xfId="0" applyFont="1" applyAlignment="1">
      <alignment horizontal="center"/>
    </xf>
    <xf numFmtId="0" fontId="8" fillId="4" borderId="3" xfId="7" applyFont="1" applyFill="1"/>
    <xf numFmtId="0" fontId="8" fillId="2" borderId="0" xfId="0" applyFont="1" applyFill="1" applyAlignment="1">
      <alignment horizontal="right"/>
    </xf>
    <xf numFmtId="22" fontId="9"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0" fillId="0" borderId="2" xfId="6"/>
    <xf numFmtId="0" fontId="0" fillId="0" borderId="0" xfId="0" applyBorder="1"/>
    <xf numFmtId="0" fontId="0" fillId="12" borderId="4" xfId="0" applyFill="1" applyBorder="1" applyProtection="1">
      <protection locked="0"/>
    </xf>
    <xf numFmtId="0" fontId="13" fillId="0" borderId="0" xfId="0" applyFont="1" applyAlignment="1">
      <alignment vertical="center"/>
    </xf>
    <xf numFmtId="0" fontId="8" fillId="0" borderId="0" xfId="0" applyFont="1"/>
    <xf numFmtId="0" fontId="14" fillId="0" borderId="0" xfId="0" applyFont="1" applyAlignment="1">
      <alignment vertical="center"/>
    </xf>
    <xf numFmtId="0" fontId="14" fillId="13" borderId="0" xfId="0" applyFont="1" applyFill="1" applyAlignment="1">
      <alignment vertical="center"/>
    </xf>
    <xf numFmtId="49" fontId="15" fillId="0" borderId="0" xfId="0" quotePrefix="1" applyNumberFormat="1" applyFont="1"/>
    <xf numFmtId="0" fontId="16" fillId="0" borderId="2" xfId="6" applyFont="1"/>
    <xf numFmtId="0" fontId="6" fillId="5" borderId="2" xfId="2">
      <protection locked="0"/>
    </xf>
    <xf numFmtId="0" fontId="6" fillId="5" borderId="2" xfId="2" applyAlignment="1">
      <alignment horizontal="center"/>
      <protection locked="0"/>
    </xf>
    <xf numFmtId="0" fontId="11" fillId="10" borderId="2" xfId="8" applyAlignment="1">
      <alignment horizontal="center"/>
    </xf>
    <xf numFmtId="0" fontId="10" fillId="14" borderId="2" xfId="10"/>
    <xf numFmtId="0" fontId="0" fillId="0" borderId="5" xfId="0" applyBorder="1"/>
    <xf numFmtId="0" fontId="0" fillId="0" borderId="6" xfId="0" applyBorder="1"/>
    <xf numFmtId="0" fontId="0" fillId="0" borderId="7" xfId="0" applyBorder="1"/>
    <xf numFmtId="0" fontId="0" fillId="15" borderId="0" xfId="0" applyFill="1"/>
    <xf numFmtId="0" fontId="0" fillId="2" borderId="0" xfId="0" applyFill="1" applyAlignment="1">
      <alignment horizontal="right" indent="2"/>
    </xf>
    <xf numFmtId="49" fontId="0" fillId="2" borderId="0" xfId="0" applyNumberFormat="1" applyFill="1" applyAlignment="1">
      <alignment horizontal="right" indent="2"/>
    </xf>
    <xf numFmtId="0" fontId="17" fillId="12" borderId="4" xfId="0" applyFont="1" applyFill="1" applyBorder="1" applyAlignment="1" applyProtection="1">
      <alignment horizontal="centerContinuous"/>
      <protection locked="0"/>
    </xf>
    <xf numFmtId="0" fontId="18" fillId="12" borderId="4" xfId="0" applyFont="1" applyFill="1" applyBorder="1" applyAlignment="1" applyProtection="1">
      <alignment horizontal="centerContinuous"/>
      <protection locked="0"/>
    </xf>
    <xf numFmtId="0" fontId="19" fillId="12" borderId="4" xfId="0" applyFont="1" applyFill="1" applyBorder="1" applyAlignment="1" applyProtection="1">
      <alignment horizontal="centerContinuous"/>
      <protection locked="0"/>
    </xf>
    <xf numFmtId="0" fontId="0" fillId="12" borderId="4" xfId="0" applyFill="1" applyBorder="1" applyAlignment="1" applyProtection="1">
      <alignment horizontal="centerContinuous"/>
      <protection locked="0"/>
    </xf>
    <xf numFmtId="165" fontId="0" fillId="0" borderId="0" xfId="0" applyNumberFormat="1" applyAlignment="1">
      <alignment horizontal="center"/>
    </xf>
  </cellXfs>
  <cellStyles count="11">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RowOffset" xfId="10" xr:uid="{6BCBE2E1-4AE5-47DA-BDCD-1B6365A95D6D}"/>
    <cellStyle name="Std" xfId="6" xr:uid="{7F900438-BD5A-45A7-97C8-C912120AAA44}"/>
  </cellStyles>
  <dxfs count="7">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ill>
        <patternFill>
          <bgColor theme="5" tint="0.59996337778862885"/>
        </patternFill>
      </fill>
    </dxf>
    <dxf>
      <fill>
        <patternFill>
          <bgColor rgb="FFFFD9FF"/>
        </patternFill>
      </fill>
    </dxf>
    <dxf>
      <font>
        <color rgb="FF9C0006"/>
      </font>
      <fill>
        <patternFill>
          <bgColor rgb="FFFFC7CE"/>
        </patternFill>
      </fill>
    </dxf>
  </dxfs>
  <tableStyles count="0" defaultTableStyle="TableStyleMedium2" defaultPivotStyle="PivotStyleLight16"/>
  <colors>
    <mruColors>
      <color rgb="FFFFD9FF"/>
      <color rgb="FFFFCCFF"/>
      <color rgb="FFFFF9E6"/>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7</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outlinePr summaryBelow="0" summaryRight="0"/>
  </sheetPr>
  <dimension ref="A1:BB70"/>
  <sheetViews>
    <sheetView workbookViewId="0">
      <pane xSplit="9" ySplit="6" topLeftCell="AL7" activePane="bottomRight" state="frozen"/>
      <selection pane="topRight" activeCell="H1" sqref="H1"/>
      <selection pane="bottomLeft" activeCell="A7" sqref="A7"/>
      <selection pane="bottomRight" activeCell="AQ9" sqref="AQ9"/>
    </sheetView>
  </sheetViews>
  <sheetFormatPr defaultRowHeight="15" outlineLevelCol="1"/>
  <cols>
    <col min="1" max="1" width="11" customWidth="1"/>
    <col min="5" max="5" width="10.5703125" customWidth="1"/>
    <col min="8" max="8" width="47.28515625" style="3" customWidth="1"/>
    <col min="9" max="9" width="6.140625" customWidth="1" collapsed="1"/>
    <col min="10" max="37" width="6.28515625" hidden="1" customWidth="1" outlineLevel="1"/>
    <col min="38" max="53" width="6.28515625" customWidth="1"/>
    <col min="54" max="54" width="2.85546875" customWidth="1"/>
  </cols>
  <sheetData>
    <row r="1" spans="1:54" s="1" customFormat="1" ht="41.25" customHeight="1">
      <c r="A1" s="17" t="s">
        <v>18</v>
      </c>
      <c r="B1" s="4" t="s">
        <v>18</v>
      </c>
      <c r="C1" s="4" t="s">
        <v>18</v>
      </c>
      <c r="D1" s="4" t="s">
        <v>18</v>
      </c>
      <c r="E1" s="7" t="s">
        <v>12</v>
      </c>
      <c r="H1" s="42" t="s">
        <v>1</v>
      </c>
      <c r="I1" s="17" t="s">
        <v>18</v>
      </c>
      <c r="J1" s="4" t="s">
        <v>10</v>
      </c>
      <c r="K1" s="4" t="s">
        <v>10</v>
      </c>
      <c r="L1" s="4" t="s">
        <v>10</v>
      </c>
      <c r="M1" s="4" t="s">
        <v>10</v>
      </c>
      <c r="N1" s="4" t="s">
        <v>10</v>
      </c>
      <c r="O1" s="4" t="s">
        <v>10</v>
      </c>
      <c r="P1" s="4" t="s">
        <v>10</v>
      </c>
      <c r="Q1" s="4" t="s">
        <v>10</v>
      </c>
      <c r="R1" s="4" t="s">
        <v>10</v>
      </c>
      <c r="S1" s="4" t="s">
        <v>10</v>
      </c>
      <c r="T1" s="4" t="s">
        <v>10</v>
      </c>
      <c r="U1" s="4" t="s">
        <v>10</v>
      </c>
      <c r="V1" s="4" t="s">
        <v>10</v>
      </c>
      <c r="W1" s="4" t="s">
        <v>10</v>
      </c>
      <c r="X1" s="4" t="s">
        <v>10</v>
      </c>
      <c r="Y1" s="4" t="s">
        <v>10</v>
      </c>
      <c r="Z1" s="4" t="s">
        <v>10</v>
      </c>
      <c r="AA1" s="4" t="s">
        <v>10</v>
      </c>
      <c r="AB1" s="4" t="s">
        <v>10</v>
      </c>
      <c r="AC1" s="4" t="s">
        <v>10</v>
      </c>
      <c r="AD1" s="4" t="s">
        <v>10</v>
      </c>
      <c r="AE1" s="4" t="s">
        <v>10</v>
      </c>
      <c r="AF1" s="4" t="s">
        <v>10</v>
      </c>
      <c r="AG1" s="4" t="s">
        <v>10</v>
      </c>
      <c r="AH1" s="4" t="s">
        <v>10</v>
      </c>
      <c r="AI1" s="4" t="s">
        <v>10</v>
      </c>
      <c r="AJ1" s="4" t="s">
        <v>10</v>
      </c>
      <c r="AK1" s="4" t="s">
        <v>10</v>
      </c>
      <c r="AL1" s="4" t="s">
        <v>10</v>
      </c>
      <c r="AM1" s="4" t="s">
        <v>0</v>
      </c>
      <c r="AN1" s="4" t="s">
        <v>11</v>
      </c>
      <c r="AO1" s="4" t="s">
        <v>0</v>
      </c>
      <c r="AP1" s="4" t="s">
        <v>9</v>
      </c>
      <c r="AQ1" s="4" t="s">
        <v>9</v>
      </c>
      <c r="AR1" s="4" t="s">
        <v>0</v>
      </c>
      <c r="AS1" s="4" t="s">
        <v>9</v>
      </c>
      <c r="AT1" s="4" t="s">
        <v>9</v>
      </c>
      <c r="AU1" s="4" t="s">
        <v>9</v>
      </c>
      <c r="AV1" s="4" t="s">
        <v>133</v>
      </c>
      <c r="AW1" s="4" t="s">
        <v>10</v>
      </c>
      <c r="AX1" s="4" t="s">
        <v>10</v>
      </c>
      <c r="AY1" s="4" t="s">
        <v>9</v>
      </c>
      <c r="AZ1" s="4" t="s">
        <v>9</v>
      </c>
      <c r="BA1" s="1" t="s">
        <v>11</v>
      </c>
      <c r="BB1" s="17" t="s">
        <v>18</v>
      </c>
    </row>
    <row r="2" spans="1:54" s="2" customFormat="1" ht="72.75" customHeight="1">
      <c r="A2" s="11" t="s">
        <v>34</v>
      </c>
      <c r="D2" s="32" t="s">
        <v>111</v>
      </c>
      <c r="H2" s="43" t="s">
        <v>2</v>
      </c>
      <c r="I2"/>
      <c r="J2" s="4" t="s">
        <v>26</v>
      </c>
      <c r="K2" s="4" t="s">
        <v>14</v>
      </c>
      <c r="L2" s="4" t="s">
        <v>14</v>
      </c>
      <c r="M2" s="4" t="s">
        <v>47</v>
      </c>
      <c r="N2" s="4" t="s">
        <v>47</v>
      </c>
      <c r="O2" s="4" t="s">
        <v>47</v>
      </c>
      <c r="P2" s="4" t="s">
        <v>15</v>
      </c>
      <c r="Q2" s="4" t="s">
        <v>15</v>
      </c>
      <c r="R2" s="4" t="s">
        <v>15</v>
      </c>
      <c r="S2" s="4" t="s">
        <v>19</v>
      </c>
      <c r="T2" s="4" t="s">
        <v>13</v>
      </c>
      <c r="U2" s="4" t="s">
        <v>22</v>
      </c>
      <c r="V2" s="4" t="s">
        <v>25</v>
      </c>
      <c r="W2" s="4" t="s">
        <v>25</v>
      </c>
      <c r="X2" s="4" t="s">
        <v>25</v>
      </c>
      <c r="Y2" s="4" t="s">
        <v>24</v>
      </c>
      <c r="Z2" s="4" t="s">
        <v>23</v>
      </c>
      <c r="AA2" s="4" t="s">
        <v>21</v>
      </c>
      <c r="AB2" s="4" t="s">
        <v>29</v>
      </c>
      <c r="AC2" s="4" t="s">
        <v>30</v>
      </c>
      <c r="AD2" s="4" t="s">
        <v>48</v>
      </c>
      <c r="AE2" s="4" t="s">
        <v>48</v>
      </c>
      <c r="AF2" s="4" t="s">
        <v>48</v>
      </c>
      <c r="AG2" s="4" t="s">
        <v>50</v>
      </c>
      <c r="AH2" s="4" t="s">
        <v>50</v>
      </c>
      <c r="AI2" s="4" t="s">
        <v>50</v>
      </c>
      <c r="AJ2" s="4" t="s">
        <v>16</v>
      </c>
      <c r="AK2" s="4" t="s">
        <v>17</v>
      </c>
      <c r="AL2" s="4" t="s">
        <v>37</v>
      </c>
      <c r="AM2" s="4" t="s">
        <v>39</v>
      </c>
      <c r="AN2" s="4" t="s">
        <v>121</v>
      </c>
      <c r="AO2" s="4" t="s">
        <v>42</v>
      </c>
      <c r="AP2" s="4" t="s">
        <v>38</v>
      </c>
      <c r="AQ2" s="4" t="s">
        <v>38</v>
      </c>
      <c r="AR2" s="4" t="s">
        <v>40</v>
      </c>
      <c r="AS2" s="4" t="s">
        <v>41</v>
      </c>
      <c r="AT2" s="4" t="s">
        <v>38</v>
      </c>
      <c r="AU2" s="4" t="s">
        <v>38</v>
      </c>
      <c r="AV2" s="4" t="s">
        <v>43</v>
      </c>
      <c r="AW2" s="4" t="s">
        <v>130</v>
      </c>
      <c r="AX2" s="4" t="s">
        <v>131</v>
      </c>
      <c r="AY2" s="4"/>
      <c r="AZ2" s="4"/>
      <c r="BB2" s="13"/>
    </row>
    <row r="3" spans="1:54" s="2" customFormat="1" ht="42.6" customHeight="1">
      <c r="D3" s="32" t="s">
        <v>111</v>
      </c>
      <c r="H3" s="43" t="s">
        <v>3</v>
      </c>
      <c r="I3"/>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B3" s="13"/>
    </row>
    <row r="4" spans="1:54" s="2" customFormat="1" ht="42.6" customHeight="1">
      <c r="A4" s="10" t="s">
        <v>33</v>
      </c>
      <c r="B4" s="8" t="str">
        <f>"Trial Number
("&amp;COUNT(B$5:B$70)-1&amp;")"</f>
        <v>Trial Number
(64)</v>
      </c>
      <c r="C4" s="8" t="s">
        <v>115</v>
      </c>
      <c r="D4" s="8" t="s">
        <v>110</v>
      </c>
      <c r="E4" s="8" t="str">
        <f>"Run Trials
("&amp;COUNTIFS(E$5:E$70,TRUE)&amp;")"</f>
        <v>Run Trials
(1)</v>
      </c>
      <c r="F4" s="14" t="str">
        <f>"Full output
("&amp;TEXT(COUNTIFS($E$5:$E$70,TRUE,F$5:F$70,TRUE)/COUNTIFS($E$5:$E$70,TRUE),"0%)")</f>
        <v>Full output
(0%)</v>
      </c>
      <c r="G4" s="8" t="str">
        <f>"Report
("&amp;TEXT(COUNTIFS(G$5:G$70,TRUE)/COUNTA(G$5:G$70),"0%)")</f>
        <v>Report
(2%)</v>
      </c>
      <c r="H4" s="43" t="s">
        <v>4</v>
      </c>
      <c r="I4" s="22" t="str">
        <f ca="1">IF(COUNTIFS(I$5:I$70,"Dup")&gt;0,"Dup","")</f>
        <v/>
      </c>
      <c r="J4" s="5"/>
      <c r="K4" s="5" t="s">
        <v>6</v>
      </c>
      <c r="L4" s="5" t="s">
        <v>7</v>
      </c>
      <c r="M4" s="5" t="s">
        <v>6</v>
      </c>
      <c r="N4" s="5" t="s">
        <v>7</v>
      </c>
      <c r="O4" s="5" t="s">
        <v>8</v>
      </c>
      <c r="P4" s="5" t="s">
        <v>6</v>
      </c>
      <c r="Q4" s="5" t="s">
        <v>7</v>
      </c>
      <c r="R4" s="5" t="s">
        <v>8</v>
      </c>
      <c r="S4" s="5" t="s">
        <v>20</v>
      </c>
      <c r="T4" s="5"/>
      <c r="U4" s="5" t="s">
        <v>44</v>
      </c>
      <c r="V4" s="5" t="s">
        <v>44</v>
      </c>
      <c r="W4" s="5" t="s">
        <v>31</v>
      </c>
      <c r="X4" s="5" t="s">
        <v>32</v>
      </c>
      <c r="Y4" s="5" t="s">
        <v>44</v>
      </c>
      <c r="Z4" s="5" t="s">
        <v>44</v>
      </c>
      <c r="AA4" s="5"/>
      <c r="AB4" s="5"/>
      <c r="AC4" s="5"/>
      <c r="AD4" s="5" t="s">
        <v>6</v>
      </c>
      <c r="AE4" s="5" t="s">
        <v>7</v>
      </c>
      <c r="AF4" s="5" t="s">
        <v>8</v>
      </c>
      <c r="AG4" s="5" t="s">
        <v>6</v>
      </c>
      <c r="AH4" s="5" t="s">
        <v>7</v>
      </c>
      <c r="AI4" s="5" t="s">
        <v>8</v>
      </c>
      <c r="AJ4" s="5"/>
      <c r="AK4" s="5"/>
      <c r="AL4" s="5"/>
      <c r="AM4" s="5" t="s">
        <v>31</v>
      </c>
      <c r="AN4" s="5"/>
      <c r="AO4" s="5"/>
      <c r="AP4" s="5" t="s">
        <v>124</v>
      </c>
      <c r="AQ4" s="5" t="s">
        <v>125</v>
      </c>
      <c r="AR4" s="5"/>
      <c r="AS4" s="5"/>
      <c r="AT4" s="5" t="s">
        <v>45</v>
      </c>
      <c r="AU4" s="5" t="s">
        <v>46</v>
      </c>
      <c r="AV4" s="5"/>
      <c r="AW4" s="5"/>
      <c r="AX4" s="5"/>
      <c r="AY4" s="5"/>
      <c r="AZ4" s="5"/>
      <c r="BA4" s="9"/>
      <c r="BB4" s="13"/>
    </row>
    <row r="5" spans="1:54">
      <c r="A5" s="15"/>
      <c r="B5">
        <f>ROW(B5)-5</f>
        <v>0</v>
      </c>
      <c r="D5">
        <v>0</v>
      </c>
      <c r="E5" t="b">
        <v>0</v>
      </c>
      <c r="F5" t="b">
        <v>0</v>
      </c>
      <c r="G5" t="b">
        <v>0</v>
      </c>
      <c r="H5" s="3" t="s">
        <v>5</v>
      </c>
      <c r="J5" s="6" t="str">
        <f t="shared" ref="J5:BA5" si="0">_xlfn.IFS(OR(J$1="sam",J$1="sai"),1,J$1="sav","-",OR(J$1="sap",J$1="saa",J$1="sar",J$1="sat"),0)</f>
        <v>-</v>
      </c>
      <c r="K5" s="6" t="str">
        <f t="shared" si="0"/>
        <v>-</v>
      </c>
      <c r="L5" s="6" t="str">
        <f t="shared" si="0"/>
        <v>-</v>
      </c>
      <c r="M5" s="6" t="str">
        <f t="shared" si="0"/>
        <v>-</v>
      </c>
      <c r="N5" s="6" t="str">
        <f t="shared" si="0"/>
        <v>-</v>
      </c>
      <c r="O5" s="6" t="str">
        <f t="shared" si="0"/>
        <v>-</v>
      </c>
      <c r="P5" s="6" t="str">
        <f t="shared" si="0"/>
        <v>-</v>
      </c>
      <c r="Q5" s="6" t="str">
        <f t="shared" si="0"/>
        <v>-</v>
      </c>
      <c r="R5" s="6" t="str">
        <f t="shared" si="0"/>
        <v>-</v>
      </c>
      <c r="S5" s="6" t="str">
        <f t="shared" si="0"/>
        <v>-</v>
      </c>
      <c r="T5" s="6" t="str">
        <f t="shared" si="0"/>
        <v>-</v>
      </c>
      <c r="U5" s="6" t="str">
        <f t="shared" si="0"/>
        <v>-</v>
      </c>
      <c r="V5" s="6" t="str">
        <f t="shared" si="0"/>
        <v>-</v>
      </c>
      <c r="W5" s="6" t="str">
        <f t="shared" si="0"/>
        <v>-</v>
      </c>
      <c r="X5" s="6" t="str">
        <f t="shared" si="0"/>
        <v>-</v>
      </c>
      <c r="Y5" s="6" t="str">
        <f t="shared" si="0"/>
        <v>-</v>
      </c>
      <c r="Z5" s="6" t="str">
        <f t="shared" si="0"/>
        <v>-</v>
      </c>
      <c r="AA5" s="6" t="str">
        <f t="shared" si="0"/>
        <v>-</v>
      </c>
      <c r="AB5" s="6" t="str">
        <f t="shared" si="0"/>
        <v>-</v>
      </c>
      <c r="AC5" s="6" t="str">
        <f t="shared" si="0"/>
        <v>-</v>
      </c>
      <c r="AD5" s="6" t="str">
        <f t="shared" si="0"/>
        <v>-</v>
      </c>
      <c r="AE5" s="6" t="str">
        <f t="shared" si="0"/>
        <v>-</v>
      </c>
      <c r="AF5" s="6" t="str">
        <f t="shared" si="0"/>
        <v>-</v>
      </c>
      <c r="AG5" s="6" t="str">
        <f t="shared" si="0"/>
        <v>-</v>
      </c>
      <c r="AH5" s="6" t="str">
        <f t="shared" si="0"/>
        <v>-</v>
      </c>
      <c r="AI5" s="6" t="str">
        <f t="shared" si="0"/>
        <v>-</v>
      </c>
      <c r="AJ5" s="6" t="str">
        <f t="shared" si="0"/>
        <v>-</v>
      </c>
      <c r="AK5" s="6" t="str">
        <f t="shared" si="0"/>
        <v>-</v>
      </c>
      <c r="AL5" s="6" t="str">
        <f t="shared" si="0"/>
        <v>-</v>
      </c>
      <c r="AM5" s="6">
        <f t="shared" si="0"/>
        <v>1</v>
      </c>
      <c r="AN5" s="6">
        <f t="shared" si="0"/>
        <v>0</v>
      </c>
      <c r="AO5" s="6">
        <f t="shared" si="0"/>
        <v>1</v>
      </c>
      <c r="AP5" s="6">
        <f t="shared" si="0"/>
        <v>0</v>
      </c>
      <c r="AQ5" s="6">
        <f t="shared" si="0"/>
        <v>0</v>
      </c>
      <c r="AR5" s="6">
        <f t="shared" si="0"/>
        <v>1</v>
      </c>
      <c r="AS5" s="6">
        <f t="shared" si="0"/>
        <v>0</v>
      </c>
      <c r="AT5" s="6">
        <f t="shared" si="0"/>
        <v>0</v>
      </c>
      <c r="AU5" s="6">
        <f t="shared" si="0"/>
        <v>0</v>
      </c>
      <c r="AV5" s="6">
        <f t="shared" si="0"/>
        <v>0</v>
      </c>
      <c r="AW5" s="6" t="str">
        <f t="shared" si="0"/>
        <v>-</v>
      </c>
      <c r="AX5" s="6" t="str">
        <f t="shared" si="0"/>
        <v>-</v>
      </c>
      <c r="AY5" s="6">
        <f t="shared" si="0"/>
        <v>0</v>
      </c>
      <c r="AZ5" s="6">
        <f t="shared" si="0"/>
        <v>0</v>
      </c>
      <c r="BA5" s="6">
        <f t="shared" si="0"/>
        <v>0</v>
      </c>
      <c r="BB5" s="12"/>
    </row>
    <row r="6" spans="1:54">
      <c r="A6" s="15"/>
      <c r="B6">
        <f>ROW(B6)-5</f>
        <v>1</v>
      </c>
      <c r="D6">
        <v>0</v>
      </c>
      <c r="E6" t="b">
        <v>0</v>
      </c>
      <c r="F6" t="b">
        <v>0</v>
      </c>
      <c r="G6" t="b">
        <v>0</v>
      </c>
      <c r="H6" s="3" t="s">
        <v>36</v>
      </c>
      <c r="I6" s="19" t="str">
        <f>IF(MATCH(H6,H$5:H6,0)=(COUNTA(H$5:H6)),"-","Dup")</f>
        <v>-</v>
      </c>
      <c r="J6" s="23" t="str">
        <f>J$5</f>
        <v>-</v>
      </c>
      <c r="K6" s="24" t="b">
        <v>0</v>
      </c>
      <c r="L6" s="24" t="b">
        <v>1</v>
      </c>
      <c r="M6" s="34">
        <v>2</v>
      </c>
      <c r="N6" s="23" t="str">
        <f t="shared" ref="N6:O6" si="1">N$5</f>
        <v>-</v>
      </c>
      <c r="O6" s="23" t="str">
        <f t="shared" si="1"/>
        <v>-</v>
      </c>
      <c r="P6" s="23" t="str">
        <f t="shared" ref="P6:BA6" si="2">P$5</f>
        <v>-</v>
      </c>
      <c r="Q6" s="23" t="str">
        <f t="shared" si="2"/>
        <v>-</v>
      </c>
      <c r="R6" s="23" t="str">
        <f t="shared" si="2"/>
        <v>-</v>
      </c>
      <c r="S6" s="23" t="str">
        <f t="shared" si="2"/>
        <v>-</v>
      </c>
      <c r="T6" s="23" t="str">
        <f t="shared" si="2"/>
        <v>-</v>
      </c>
      <c r="U6" s="23">
        <v>0</v>
      </c>
      <c r="V6" s="23">
        <v>1</v>
      </c>
      <c r="W6" s="23" t="str">
        <f t="shared" si="2"/>
        <v>-</v>
      </c>
      <c r="X6" s="23" t="str">
        <f t="shared" si="2"/>
        <v>-</v>
      </c>
      <c r="Y6" s="23">
        <v>0</v>
      </c>
      <c r="Z6" s="23">
        <v>1</v>
      </c>
      <c r="AA6" s="23" t="str">
        <f t="shared" ref="AA6:AV6" si="3">AA$5</f>
        <v>-</v>
      </c>
      <c r="AB6" s="23" t="str">
        <f t="shared" si="3"/>
        <v>-</v>
      </c>
      <c r="AC6" s="23" t="str">
        <f t="shared" si="3"/>
        <v>-</v>
      </c>
      <c r="AD6" s="23" t="str">
        <f t="shared" si="3"/>
        <v>-</v>
      </c>
      <c r="AE6" s="23" t="str">
        <f t="shared" si="3"/>
        <v>-</v>
      </c>
      <c r="AF6" s="23" t="str">
        <f t="shared" si="3"/>
        <v>-</v>
      </c>
      <c r="AG6" s="23" t="str">
        <f t="shared" si="3"/>
        <v>-</v>
      </c>
      <c r="AH6" s="23" t="str">
        <f t="shared" si="3"/>
        <v>-</v>
      </c>
      <c r="AI6" s="23" t="str">
        <f t="shared" si="3"/>
        <v>-</v>
      </c>
      <c r="AJ6" s="23" t="str">
        <f t="shared" si="3"/>
        <v>-</v>
      </c>
      <c r="AK6" s="23" t="str">
        <f t="shared" si="3"/>
        <v>-</v>
      </c>
      <c r="AL6" s="23" t="str">
        <f t="shared" si="3"/>
        <v>-</v>
      </c>
      <c r="AM6" s="23">
        <f t="shared" si="3"/>
        <v>1</v>
      </c>
      <c r="AN6" s="23">
        <f t="shared" si="3"/>
        <v>0</v>
      </c>
      <c r="AO6" s="23">
        <f t="shared" si="3"/>
        <v>1</v>
      </c>
      <c r="AP6" s="23">
        <f>AP$5</f>
        <v>0</v>
      </c>
      <c r="AQ6" s="23">
        <f>AQ$5</f>
        <v>0</v>
      </c>
      <c r="AR6" s="23">
        <f t="shared" si="3"/>
        <v>1</v>
      </c>
      <c r="AS6" s="23">
        <f t="shared" si="3"/>
        <v>0</v>
      </c>
      <c r="AT6" s="23">
        <f t="shared" si="3"/>
        <v>0</v>
      </c>
      <c r="AU6" s="23">
        <f t="shared" si="3"/>
        <v>0</v>
      </c>
      <c r="AV6" s="23">
        <f t="shared" si="3"/>
        <v>0</v>
      </c>
      <c r="AW6" s="34">
        <v>80</v>
      </c>
      <c r="AX6" s="34">
        <v>90</v>
      </c>
      <c r="AY6" s="23">
        <f t="shared" si="2"/>
        <v>0</v>
      </c>
      <c r="AZ6" s="23">
        <f t="shared" si="2"/>
        <v>0</v>
      </c>
      <c r="BA6" s="23">
        <f t="shared" si="2"/>
        <v>0</v>
      </c>
      <c r="BB6" s="12"/>
    </row>
    <row r="7" spans="1:54">
      <c r="A7" s="15"/>
      <c r="B7">
        <f>ROW(B7)-5</f>
        <v>2</v>
      </c>
      <c r="D7">
        <v>0</v>
      </c>
      <c r="E7" t="b">
        <v>0</v>
      </c>
      <c r="F7" t="b">
        <v>0</v>
      </c>
      <c r="G7" t="b">
        <v>0</v>
      </c>
      <c r="H7" s="3" t="s">
        <v>27</v>
      </c>
      <c r="I7" s="19" t="str">
        <f>IF(MATCH(H7,H$5:H7,0)=(COUNTA(H$5:H7)),"-","Dup")</f>
        <v>-</v>
      </c>
      <c r="J7" s="33" t="b">
        <v>1</v>
      </c>
      <c r="K7" s="25" t="b">
        <f t="shared" ref="K7:BA7" si="4">K$6</f>
        <v>0</v>
      </c>
      <c r="L7" s="25" t="b">
        <f t="shared" si="4"/>
        <v>1</v>
      </c>
      <c r="M7" s="25">
        <f t="shared" si="4"/>
        <v>2</v>
      </c>
      <c r="N7" s="25" t="str">
        <f t="shared" si="4"/>
        <v>-</v>
      </c>
      <c r="O7" s="25" t="str">
        <f t="shared" si="4"/>
        <v>-</v>
      </c>
      <c r="P7" s="25" t="str">
        <f t="shared" si="4"/>
        <v>-</v>
      </c>
      <c r="Q7" s="25" t="str">
        <f t="shared" si="4"/>
        <v>-</v>
      </c>
      <c r="R7" s="25" t="str">
        <f t="shared" si="4"/>
        <v>-</v>
      </c>
      <c r="S7" s="25" t="str">
        <f t="shared" si="4"/>
        <v>-</v>
      </c>
      <c r="T7" s="25" t="str">
        <f t="shared" si="4"/>
        <v>-</v>
      </c>
      <c r="U7" s="25">
        <f t="shared" si="4"/>
        <v>0</v>
      </c>
      <c r="V7" s="25">
        <f t="shared" si="4"/>
        <v>1</v>
      </c>
      <c r="W7" s="25" t="str">
        <f t="shared" si="4"/>
        <v>-</v>
      </c>
      <c r="X7" s="25" t="str">
        <f t="shared" si="4"/>
        <v>-</v>
      </c>
      <c r="Y7" s="25">
        <f t="shared" si="4"/>
        <v>0</v>
      </c>
      <c r="Z7" s="25">
        <f t="shared" si="4"/>
        <v>1</v>
      </c>
      <c r="AA7" s="25" t="str">
        <f t="shared" ref="AA7:AV7" si="5">AA$6</f>
        <v>-</v>
      </c>
      <c r="AB7" s="25" t="str">
        <f t="shared" si="5"/>
        <v>-</v>
      </c>
      <c r="AC7" s="25" t="str">
        <f t="shared" si="5"/>
        <v>-</v>
      </c>
      <c r="AD7" s="25" t="str">
        <f t="shared" si="5"/>
        <v>-</v>
      </c>
      <c r="AE7" s="25" t="str">
        <f t="shared" si="5"/>
        <v>-</v>
      </c>
      <c r="AF7" s="25" t="str">
        <f t="shared" si="5"/>
        <v>-</v>
      </c>
      <c r="AG7" s="25" t="str">
        <f t="shared" si="5"/>
        <v>-</v>
      </c>
      <c r="AH7" s="25" t="str">
        <f t="shared" si="5"/>
        <v>-</v>
      </c>
      <c r="AI7" s="25" t="str">
        <f t="shared" si="5"/>
        <v>-</v>
      </c>
      <c r="AJ7" s="25" t="str">
        <f t="shared" si="5"/>
        <v>-</v>
      </c>
      <c r="AK7" s="25" t="str">
        <f t="shared" si="5"/>
        <v>-</v>
      </c>
      <c r="AL7" s="25" t="str">
        <f t="shared" si="5"/>
        <v>-</v>
      </c>
      <c r="AM7" s="25">
        <f t="shared" si="5"/>
        <v>1</v>
      </c>
      <c r="AN7" s="25">
        <f t="shared" si="5"/>
        <v>0</v>
      </c>
      <c r="AO7" s="25">
        <f t="shared" si="5"/>
        <v>1</v>
      </c>
      <c r="AP7" s="25">
        <f>AP$6</f>
        <v>0</v>
      </c>
      <c r="AQ7" s="25">
        <f>AQ$6</f>
        <v>0</v>
      </c>
      <c r="AR7" s="25">
        <f t="shared" si="5"/>
        <v>1</v>
      </c>
      <c r="AS7" s="25">
        <f t="shared" si="5"/>
        <v>0</v>
      </c>
      <c r="AT7" s="25">
        <f t="shared" si="5"/>
        <v>0</v>
      </c>
      <c r="AU7" s="25">
        <f t="shared" si="5"/>
        <v>0</v>
      </c>
      <c r="AV7" s="25">
        <f t="shared" si="5"/>
        <v>0</v>
      </c>
      <c r="AW7" s="25">
        <f t="shared" si="4"/>
        <v>80</v>
      </c>
      <c r="AX7" s="25">
        <f t="shared" si="4"/>
        <v>90</v>
      </c>
      <c r="AY7" s="25">
        <f t="shared" si="4"/>
        <v>0</v>
      </c>
      <c r="AZ7" s="25">
        <f t="shared" si="4"/>
        <v>0</v>
      </c>
      <c r="BA7" s="25">
        <f t="shared" si="4"/>
        <v>0</v>
      </c>
      <c r="BB7" s="12"/>
    </row>
    <row r="8" spans="1:54">
      <c r="A8" s="15"/>
      <c r="E8" t="b">
        <v>0</v>
      </c>
      <c r="F8" s="26"/>
      <c r="G8" s="26"/>
      <c r="H8" s="21" t="s">
        <v>116</v>
      </c>
      <c r="I8" s="19" t="str">
        <f>IF(MATCH(H8,H$5:H8,0)=(COUNTA(H$5:H8)),"-","Dup")</f>
        <v>-</v>
      </c>
      <c r="J8" s="27"/>
      <c r="K8" s="27"/>
      <c r="L8" s="27"/>
      <c r="M8" s="27"/>
      <c r="N8" s="27"/>
      <c r="O8" s="27"/>
      <c r="P8" s="27"/>
      <c r="Q8" s="27"/>
      <c r="R8" s="27"/>
      <c r="S8" s="27"/>
      <c r="T8" s="27"/>
      <c r="U8" s="27"/>
      <c r="V8" s="27"/>
      <c r="W8" s="27"/>
      <c r="X8" s="27"/>
      <c r="Y8" s="27"/>
      <c r="Z8" s="27"/>
      <c r="AA8" s="27"/>
      <c r="AB8" s="27"/>
      <c r="AC8" s="27"/>
      <c r="AD8" s="27"/>
      <c r="AE8" s="27"/>
      <c r="AF8" s="27"/>
      <c r="AG8" s="27"/>
      <c r="AH8" s="27"/>
      <c r="AI8" s="27"/>
      <c r="AJ8" s="27"/>
      <c r="AK8" s="27"/>
      <c r="AL8" s="44" t="s">
        <v>129</v>
      </c>
      <c r="AM8" s="45"/>
      <c r="AN8" s="45"/>
      <c r="AO8" s="45"/>
      <c r="AP8" s="44" t="s">
        <v>128</v>
      </c>
      <c r="AQ8" s="44"/>
      <c r="AR8" s="44" t="s">
        <v>126</v>
      </c>
      <c r="AS8" s="45"/>
      <c r="AT8" s="45"/>
      <c r="AU8" s="45"/>
      <c r="AV8" s="45"/>
      <c r="AW8" s="46" t="s">
        <v>127</v>
      </c>
      <c r="AX8" s="47"/>
      <c r="AY8" s="27"/>
      <c r="AZ8" s="27"/>
      <c r="BA8" s="27"/>
      <c r="BB8" s="12"/>
    </row>
    <row r="9" spans="1:54">
      <c r="A9" s="15"/>
      <c r="B9">
        <f>ROW(B9)-5</f>
        <v>4</v>
      </c>
      <c r="D9">
        <v>0</v>
      </c>
      <c r="E9" t="b">
        <v>1</v>
      </c>
      <c r="F9" t="b">
        <v>0</v>
      </c>
      <c r="G9" t="b">
        <v>1</v>
      </c>
      <c r="H9" s="3" t="str">
        <f ca="1">TEXT(IFERROR(VALUE(LEFT(OFFSET(H9,-1,0),3)),0)+1,"000")&amp;"-G0_Std"</f>
        <v>001-G0_Std</v>
      </c>
      <c r="I9" s="19" t="str">
        <f ca="1">IF(MATCH(H9,H$5:H9,0)=(COUNTA(H$5:H9)),"-","Dup")</f>
        <v>-</v>
      </c>
      <c r="J9" s="25" t="str">
        <f t="shared" ref="J9:L9" si="6">J$6</f>
        <v>-</v>
      </c>
      <c r="K9" s="25" t="b">
        <f t="shared" si="6"/>
        <v>0</v>
      </c>
      <c r="L9" s="25" t="b">
        <f t="shared" si="6"/>
        <v>1</v>
      </c>
      <c r="M9" s="25">
        <f t="shared" ref="M9" si="7">M$6</f>
        <v>2</v>
      </c>
      <c r="N9" s="25" t="str">
        <f t="shared" ref="N9:BA9" si="8">N$6</f>
        <v>-</v>
      </c>
      <c r="O9" s="25" t="str">
        <f t="shared" si="8"/>
        <v>-</v>
      </c>
      <c r="P9" s="25" t="str">
        <f t="shared" si="8"/>
        <v>-</v>
      </c>
      <c r="Q9" s="25" t="str">
        <f t="shared" si="8"/>
        <v>-</v>
      </c>
      <c r="R9" s="25" t="str">
        <f t="shared" si="8"/>
        <v>-</v>
      </c>
      <c r="S9" s="25" t="str">
        <f t="shared" si="8"/>
        <v>-</v>
      </c>
      <c r="T9" s="25" t="str">
        <f t="shared" si="8"/>
        <v>-</v>
      </c>
      <c r="U9" s="25">
        <f t="shared" ref="U9:Z9" si="9">U$6</f>
        <v>0</v>
      </c>
      <c r="V9" s="25">
        <f t="shared" si="9"/>
        <v>1</v>
      </c>
      <c r="W9" s="25" t="str">
        <f t="shared" si="9"/>
        <v>-</v>
      </c>
      <c r="X9" s="25" t="str">
        <f t="shared" si="9"/>
        <v>-</v>
      </c>
      <c r="Y9" s="25">
        <f t="shared" si="9"/>
        <v>0</v>
      </c>
      <c r="Z9" s="25">
        <f t="shared" si="9"/>
        <v>1</v>
      </c>
      <c r="AA9" s="34" t="b">
        <v>1</v>
      </c>
      <c r="AB9" s="34" t="b">
        <v>1</v>
      </c>
      <c r="AC9" s="34" t="b">
        <v>1</v>
      </c>
      <c r="AD9" s="25" t="str">
        <f t="shared" ref="AD9:AK9" si="10">AD$6</f>
        <v>-</v>
      </c>
      <c r="AE9" s="25" t="str">
        <f t="shared" si="10"/>
        <v>-</v>
      </c>
      <c r="AF9" s="25" t="str">
        <f t="shared" si="10"/>
        <v>-</v>
      </c>
      <c r="AG9" s="25" t="str">
        <f t="shared" si="10"/>
        <v>-</v>
      </c>
      <c r="AH9" s="25" t="str">
        <f t="shared" si="10"/>
        <v>-</v>
      </c>
      <c r="AI9" s="25" t="str">
        <f t="shared" si="10"/>
        <v>-</v>
      </c>
      <c r="AJ9" s="25" t="str">
        <f t="shared" si="10"/>
        <v>-</v>
      </c>
      <c r="AK9" s="25" t="str">
        <f t="shared" si="10"/>
        <v>-</v>
      </c>
      <c r="AL9" s="34">
        <v>60</v>
      </c>
      <c r="AM9" s="34">
        <v>1</v>
      </c>
      <c r="AN9" s="34">
        <v>0</v>
      </c>
      <c r="AO9" s="34">
        <v>1</v>
      </c>
      <c r="AP9" s="34">
        <v>0</v>
      </c>
      <c r="AQ9" s="34">
        <v>0</v>
      </c>
      <c r="AR9" s="34">
        <v>1</v>
      </c>
      <c r="AS9" s="34">
        <v>0</v>
      </c>
      <c r="AT9" s="34">
        <v>0</v>
      </c>
      <c r="AU9" s="34">
        <v>0</v>
      </c>
      <c r="AV9" s="34">
        <v>0</v>
      </c>
      <c r="AW9" s="25">
        <f t="shared" si="8"/>
        <v>80</v>
      </c>
      <c r="AX9" s="25">
        <f t="shared" si="8"/>
        <v>90</v>
      </c>
      <c r="AY9" s="25">
        <f t="shared" si="8"/>
        <v>0</v>
      </c>
      <c r="AZ9" s="25">
        <f t="shared" si="8"/>
        <v>0</v>
      </c>
      <c r="BA9" s="25">
        <f t="shared" si="8"/>
        <v>0</v>
      </c>
      <c r="BB9" s="12"/>
    </row>
    <row r="10" spans="1:54">
      <c r="A10" s="15"/>
      <c r="B10">
        <f t="shared" ref="B10:B59" si="11">ROW(B10)-5</f>
        <v>5</v>
      </c>
      <c r="C10" s="35">
        <f>$B$9</f>
        <v>4</v>
      </c>
      <c r="D10">
        <v>0</v>
      </c>
      <c r="E10" t="b">
        <v>0</v>
      </c>
      <c r="F10" t="b">
        <v>0</v>
      </c>
      <c r="G10" t="b">
        <v>0</v>
      </c>
      <c r="H10" s="3" t="str">
        <f t="shared" ref="H10:H41" ca="1" si="12">TEXT(IFERROR(VALUE(LEFT(OFFSET(H10,-1,0),3)),0)+1,"000")&amp;"-G0_sfw"&amp;TEXT($AR10,"000%")&amp;"_sfd"&amp;TEXT($AS10,"+0.0;-0.0;00.0;@")&amp;"_conc"&amp;TEXT($AT10,"0.00;-0.0;0000;----")&amp;"_prlf"&amp;TEXT($AU10,"0.00;-0.0;0000;----")&amp;"_era"&amp;TEXT($AV10,"+00%;-00%;000%;@")</f>
        <v>002-G0_sfw075%_sfd00.0_conc0000_prlf0000_era000%</v>
      </c>
      <c r="I10" s="19" t="str">
        <f ca="1">IF(MATCH(H10,H$5:H10,0)=(COUNTA(H$5:H10)),"-","Dup")</f>
        <v>-</v>
      </c>
      <c r="J10" s="37" t="str">
        <f ca="1">OFFSET(J$5,$C10,0)</f>
        <v>-</v>
      </c>
      <c r="K10" s="37" t="b">
        <f t="shared" ref="K10:BA30" ca="1" si="13">OFFSET(K$5,$C10,0)</f>
        <v>0</v>
      </c>
      <c r="L10" s="37" t="b">
        <f t="shared" ca="1" si="13"/>
        <v>1</v>
      </c>
      <c r="M10" s="37">
        <f t="shared" ca="1" si="13"/>
        <v>2</v>
      </c>
      <c r="N10" s="37" t="str">
        <f t="shared" ca="1" si="13"/>
        <v>-</v>
      </c>
      <c r="O10" s="37" t="str">
        <f t="shared" ca="1" si="13"/>
        <v>-</v>
      </c>
      <c r="P10" s="37" t="str">
        <f t="shared" ca="1" si="13"/>
        <v>-</v>
      </c>
      <c r="Q10" s="37" t="str">
        <f t="shared" ca="1" si="13"/>
        <v>-</v>
      </c>
      <c r="R10" s="37" t="str">
        <f t="shared" ca="1" si="13"/>
        <v>-</v>
      </c>
      <c r="S10" s="37" t="str">
        <f t="shared" ca="1" si="13"/>
        <v>-</v>
      </c>
      <c r="T10" s="37" t="str">
        <f t="shared" ca="1" si="13"/>
        <v>-</v>
      </c>
      <c r="U10" s="37">
        <f t="shared" ca="1" si="13"/>
        <v>0</v>
      </c>
      <c r="V10" s="37">
        <f t="shared" ca="1" si="13"/>
        <v>1</v>
      </c>
      <c r="W10" s="37" t="str">
        <f t="shared" ca="1" si="13"/>
        <v>-</v>
      </c>
      <c r="X10" s="37" t="str">
        <f t="shared" ca="1" si="13"/>
        <v>-</v>
      </c>
      <c r="Y10" s="37">
        <f t="shared" ca="1" si="13"/>
        <v>0</v>
      </c>
      <c r="Z10" s="37">
        <f t="shared" ca="1" si="13"/>
        <v>1</v>
      </c>
      <c r="AA10" s="25" t="str">
        <f>AA$6</f>
        <v>-</v>
      </c>
      <c r="AB10" s="25" t="str">
        <f t="shared" ref="AB10:AC29" si="14">AB$6</f>
        <v>-</v>
      </c>
      <c r="AC10" s="25" t="str">
        <f t="shared" si="14"/>
        <v>-</v>
      </c>
      <c r="AD10" s="37" t="str">
        <f t="shared" ref="AD10:AK12" ca="1" si="15">OFFSET(AD$5,$C10,0)</f>
        <v>-</v>
      </c>
      <c r="AE10" s="37" t="str">
        <f t="shared" ca="1" si="15"/>
        <v>-</v>
      </c>
      <c r="AF10" s="37" t="str">
        <f t="shared" ca="1" si="15"/>
        <v>-</v>
      </c>
      <c r="AG10" s="37" t="str">
        <f t="shared" ca="1" si="15"/>
        <v>-</v>
      </c>
      <c r="AH10" s="37" t="str">
        <f t="shared" ca="1" si="15"/>
        <v>-</v>
      </c>
      <c r="AI10" s="37" t="str">
        <f t="shared" ca="1" si="15"/>
        <v>-</v>
      </c>
      <c r="AJ10" s="37" t="str">
        <f t="shared" ca="1" si="15"/>
        <v>-</v>
      </c>
      <c r="AK10" s="37" t="str">
        <f t="shared" ca="1" si="15"/>
        <v>-</v>
      </c>
      <c r="AL10" s="37">
        <f t="shared" ca="1" si="13"/>
        <v>60</v>
      </c>
      <c r="AM10" s="37">
        <f t="shared" ca="1" si="13"/>
        <v>1</v>
      </c>
      <c r="AN10" s="37">
        <f t="shared" ca="1" si="13"/>
        <v>0</v>
      </c>
      <c r="AO10" s="37">
        <f t="shared" ca="1" si="13"/>
        <v>1</v>
      </c>
      <c r="AP10" s="37">
        <f t="shared" ref="AP10:AQ29" ca="1" si="16">OFFSET(AP$5,$C10,0)</f>
        <v>0</v>
      </c>
      <c r="AQ10" s="37">
        <f t="shared" ca="1" si="16"/>
        <v>0</v>
      </c>
      <c r="AR10" s="34">
        <v>0.75</v>
      </c>
      <c r="AS10" s="37">
        <f t="shared" ca="1" si="13"/>
        <v>0</v>
      </c>
      <c r="AT10" s="37">
        <f t="shared" ca="1" si="13"/>
        <v>0</v>
      </c>
      <c r="AU10" s="37">
        <f t="shared" ca="1" si="13"/>
        <v>0</v>
      </c>
      <c r="AV10" s="37">
        <f ca="1">OFFSET(AV$5,$C10,0)</f>
        <v>0</v>
      </c>
      <c r="AW10" s="37">
        <f t="shared" ca="1" si="13"/>
        <v>80</v>
      </c>
      <c r="AX10" s="37">
        <f t="shared" ca="1" si="13"/>
        <v>90</v>
      </c>
      <c r="AY10" s="37">
        <f t="shared" ca="1" si="13"/>
        <v>0</v>
      </c>
      <c r="AZ10" s="37">
        <f t="shared" ca="1" si="13"/>
        <v>0</v>
      </c>
      <c r="BA10" s="37">
        <f t="shared" ca="1" si="13"/>
        <v>0</v>
      </c>
      <c r="BB10" s="12"/>
    </row>
    <row r="11" spans="1:54">
      <c r="A11" s="15"/>
      <c r="B11">
        <f t="shared" si="11"/>
        <v>6</v>
      </c>
      <c r="C11" s="36">
        <f>C10</f>
        <v>4</v>
      </c>
      <c r="D11">
        <v>0</v>
      </c>
      <c r="E11" t="b">
        <v>0</v>
      </c>
      <c r="F11" t="b">
        <v>0</v>
      </c>
      <c r="G11" t="b">
        <v>0</v>
      </c>
      <c r="H11" s="3" t="str">
        <f t="shared" ca="1" si="12"/>
        <v>003-G0_sfw080%_sfd00.0_conc0000_prlf0000_era000%</v>
      </c>
      <c r="I11" s="19" t="str">
        <f ca="1">IF(MATCH(H11,H$5:H11,0)=(COUNTA(H$5:H11)),"-","Dup")</f>
        <v>-</v>
      </c>
      <c r="J11" s="37" t="str">
        <f t="shared" ref="J11:Y33" ca="1" si="17">OFFSET(J$5,$C11,0)</f>
        <v>-</v>
      </c>
      <c r="K11" s="37" t="b">
        <f t="shared" ca="1" si="13"/>
        <v>0</v>
      </c>
      <c r="L11" s="37" t="b">
        <f t="shared" ca="1" si="13"/>
        <v>1</v>
      </c>
      <c r="M11" s="37">
        <f t="shared" ca="1" si="13"/>
        <v>2</v>
      </c>
      <c r="N11" s="37" t="str">
        <f t="shared" ca="1" si="13"/>
        <v>-</v>
      </c>
      <c r="O11" s="37" t="str">
        <f t="shared" ca="1" si="13"/>
        <v>-</v>
      </c>
      <c r="P11" s="37" t="str">
        <f t="shared" ca="1" si="13"/>
        <v>-</v>
      </c>
      <c r="Q11" s="37" t="str">
        <f t="shared" ca="1" si="13"/>
        <v>-</v>
      </c>
      <c r="R11" s="37" t="str">
        <f t="shared" ca="1" si="13"/>
        <v>-</v>
      </c>
      <c r="S11" s="37" t="str">
        <f t="shared" ca="1" si="13"/>
        <v>-</v>
      </c>
      <c r="T11" s="37" t="str">
        <f t="shared" ca="1" si="13"/>
        <v>-</v>
      </c>
      <c r="U11" s="37">
        <f t="shared" ca="1" si="13"/>
        <v>0</v>
      </c>
      <c r="V11" s="37">
        <f t="shared" ca="1" si="13"/>
        <v>1</v>
      </c>
      <c r="W11" s="37" t="str">
        <f t="shared" ca="1" si="13"/>
        <v>-</v>
      </c>
      <c r="X11" s="37" t="str">
        <f t="shared" ca="1" si="13"/>
        <v>-</v>
      </c>
      <c r="Y11" s="37">
        <f t="shared" ca="1" si="13"/>
        <v>0</v>
      </c>
      <c r="Z11" s="37">
        <f t="shared" ca="1" si="13"/>
        <v>1</v>
      </c>
      <c r="AA11" s="25" t="str">
        <f t="shared" ref="AA11:AC30" si="18">AA$6</f>
        <v>-</v>
      </c>
      <c r="AB11" s="25" t="str">
        <f t="shared" si="14"/>
        <v>-</v>
      </c>
      <c r="AC11" s="25" t="str">
        <f t="shared" si="14"/>
        <v>-</v>
      </c>
      <c r="AD11" s="37" t="str">
        <f t="shared" ca="1" si="15"/>
        <v>-</v>
      </c>
      <c r="AE11" s="37" t="str">
        <f t="shared" ca="1" si="15"/>
        <v>-</v>
      </c>
      <c r="AF11" s="37" t="str">
        <f t="shared" ca="1" si="15"/>
        <v>-</v>
      </c>
      <c r="AG11" s="37" t="str">
        <f t="shared" ca="1" si="15"/>
        <v>-</v>
      </c>
      <c r="AH11" s="37" t="str">
        <f t="shared" ca="1" si="15"/>
        <v>-</v>
      </c>
      <c r="AI11" s="37" t="str">
        <f t="shared" ca="1" si="15"/>
        <v>-</v>
      </c>
      <c r="AJ11" s="37" t="str">
        <f t="shared" ca="1" si="15"/>
        <v>-</v>
      </c>
      <c r="AK11" s="37" t="str">
        <f t="shared" ca="1" si="15"/>
        <v>-</v>
      </c>
      <c r="AL11" s="37">
        <f t="shared" ca="1" si="13"/>
        <v>60</v>
      </c>
      <c r="AM11" s="37">
        <f t="shared" ca="1" si="13"/>
        <v>1</v>
      </c>
      <c r="AN11" s="37">
        <f t="shared" ca="1" si="13"/>
        <v>0</v>
      </c>
      <c r="AO11" s="37">
        <f t="shared" ca="1" si="13"/>
        <v>1</v>
      </c>
      <c r="AP11" s="37">
        <f t="shared" ca="1" si="16"/>
        <v>0</v>
      </c>
      <c r="AQ11" s="37">
        <f t="shared" ca="1" si="16"/>
        <v>0</v>
      </c>
      <c r="AR11" s="34">
        <v>0.8</v>
      </c>
      <c r="AS11" s="37">
        <f t="shared" ca="1" si="13"/>
        <v>0</v>
      </c>
      <c r="AT11" s="37">
        <f t="shared" ca="1" si="13"/>
        <v>0</v>
      </c>
      <c r="AU11" s="37">
        <f t="shared" ca="1" si="13"/>
        <v>0</v>
      </c>
      <c r="AV11" s="37">
        <f ca="1">OFFSET(AV$5,$C11,0)</f>
        <v>0</v>
      </c>
      <c r="AW11" s="37">
        <f t="shared" ca="1" si="13"/>
        <v>80</v>
      </c>
      <c r="AX11" s="37">
        <f t="shared" ca="1" si="13"/>
        <v>90</v>
      </c>
      <c r="AY11" s="37">
        <f t="shared" ca="1" si="13"/>
        <v>0</v>
      </c>
      <c r="AZ11" s="37">
        <f t="shared" ca="1" si="13"/>
        <v>0</v>
      </c>
      <c r="BA11" s="37">
        <f t="shared" ca="1" si="13"/>
        <v>0</v>
      </c>
      <c r="BB11" s="12"/>
    </row>
    <row r="12" spans="1:54">
      <c r="A12" s="15"/>
      <c r="B12">
        <f t="shared" si="11"/>
        <v>7</v>
      </c>
      <c r="C12" s="36">
        <f t="shared" ref="C12:C32" si="19">C11</f>
        <v>4</v>
      </c>
      <c r="D12">
        <v>0</v>
      </c>
      <c r="E12" t="b">
        <v>0</v>
      </c>
      <c r="F12" t="b">
        <v>0</v>
      </c>
      <c r="G12" t="b">
        <v>0</v>
      </c>
      <c r="H12" s="3" t="str">
        <f t="shared" ca="1" si="12"/>
        <v>004-G0_sfw085%_sfd00.0_conc0000_prlf0000_era000%</v>
      </c>
      <c r="I12" s="19" t="str">
        <f ca="1">IF(MATCH(H12,H$5:H12,0)=(COUNTA(H$5:H12)),"-","Dup")</f>
        <v>-</v>
      </c>
      <c r="J12" s="37" t="str">
        <f t="shared" ca="1" si="17"/>
        <v>-</v>
      </c>
      <c r="K12" s="37" t="b">
        <f t="shared" ca="1" si="13"/>
        <v>0</v>
      </c>
      <c r="L12" s="37" t="b">
        <f t="shared" ca="1" si="13"/>
        <v>1</v>
      </c>
      <c r="M12" s="37">
        <f t="shared" ca="1" si="13"/>
        <v>2</v>
      </c>
      <c r="N12" s="37" t="str">
        <f t="shared" ca="1" si="13"/>
        <v>-</v>
      </c>
      <c r="O12" s="37" t="str">
        <f t="shared" ca="1" si="13"/>
        <v>-</v>
      </c>
      <c r="P12" s="37" t="str">
        <f t="shared" ca="1" si="13"/>
        <v>-</v>
      </c>
      <c r="Q12" s="37" t="str">
        <f t="shared" ca="1" si="13"/>
        <v>-</v>
      </c>
      <c r="R12" s="37" t="str">
        <f t="shared" ca="1" si="13"/>
        <v>-</v>
      </c>
      <c r="S12" s="37" t="str">
        <f t="shared" ca="1" si="13"/>
        <v>-</v>
      </c>
      <c r="T12" s="37" t="str">
        <f t="shared" ca="1" si="13"/>
        <v>-</v>
      </c>
      <c r="U12" s="37">
        <f t="shared" ca="1" si="13"/>
        <v>0</v>
      </c>
      <c r="V12" s="37">
        <f t="shared" ca="1" si="13"/>
        <v>1</v>
      </c>
      <c r="W12" s="37" t="str">
        <f t="shared" ca="1" si="13"/>
        <v>-</v>
      </c>
      <c r="X12" s="37" t="str">
        <f t="shared" ca="1" si="13"/>
        <v>-</v>
      </c>
      <c r="Y12" s="37">
        <f t="shared" ca="1" si="13"/>
        <v>0</v>
      </c>
      <c r="Z12" s="37">
        <f t="shared" ca="1" si="13"/>
        <v>1</v>
      </c>
      <c r="AA12" s="25" t="str">
        <f t="shared" si="18"/>
        <v>-</v>
      </c>
      <c r="AB12" s="25" t="str">
        <f t="shared" si="14"/>
        <v>-</v>
      </c>
      <c r="AC12" s="25" t="str">
        <f t="shared" si="14"/>
        <v>-</v>
      </c>
      <c r="AD12" s="37" t="str">
        <f t="shared" ca="1" si="15"/>
        <v>-</v>
      </c>
      <c r="AE12" s="37" t="str">
        <f t="shared" ca="1" si="15"/>
        <v>-</v>
      </c>
      <c r="AF12" s="37" t="str">
        <f t="shared" ca="1" si="15"/>
        <v>-</v>
      </c>
      <c r="AG12" s="37" t="str">
        <f t="shared" ca="1" si="15"/>
        <v>-</v>
      </c>
      <c r="AH12" s="37" t="str">
        <f t="shared" ca="1" si="15"/>
        <v>-</v>
      </c>
      <c r="AI12" s="37" t="str">
        <f t="shared" ca="1" si="15"/>
        <v>-</v>
      </c>
      <c r="AJ12" s="37" t="str">
        <f t="shared" ca="1" si="15"/>
        <v>-</v>
      </c>
      <c r="AK12" s="37" t="str">
        <f t="shared" ca="1" si="15"/>
        <v>-</v>
      </c>
      <c r="AL12" s="37">
        <f t="shared" ca="1" si="13"/>
        <v>60</v>
      </c>
      <c r="AM12" s="37">
        <f t="shared" ca="1" si="13"/>
        <v>1</v>
      </c>
      <c r="AN12" s="37">
        <f t="shared" ca="1" si="13"/>
        <v>0</v>
      </c>
      <c r="AO12" s="37">
        <f t="shared" ca="1" si="13"/>
        <v>1</v>
      </c>
      <c r="AP12" s="37">
        <f t="shared" ca="1" si="16"/>
        <v>0</v>
      </c>
      <c r="AQ12" s="37">
        <f t="shared" ca="1" si="16"/>
        <v>0</v>
      </c>
      <c r="AR12" s="34">
        <v>0.85</v>
      </c>
      <c r="AS12" s="37">
        <f t="shared" ca="1" si="13"/>
        <v>0</v>
      </c>
      <c r="AT12" s="37">
        <f t="shared" ca="1" si="13"/>
        <v>0</v>
      </c>
      <c r="AU12" s="37">
        <f t="shared" ca="1" si="13"/>
        <v>0</v>
      </c>
      <c r="AV12" s="37">
        <f ca="1">OFFSET(AV$5,$C12,0)</f>
        <v>0</v>
      </c>
      <c r="AW12" s="37">
        <f t="shared" ca="1" si="13"/>
        <v>80</v>
      </c>
      <c r="AX12" s="37">
        <f t="shared" ca="1" si="13"/>
        <v>90</v>
      </c>
      <c r="AY12" s="37">
        <f t="shared" ca="1" si="13"/>
        <v>0</v>
      </c>
      <c r="AZ12" s="37">
        <f t="shared" ca="1" si="13"/>
        <v>0</v>
      </c>
      <c r="BA12" s="37">
        <f t="shared" ca="1" si="13"/>
        <v>0</v>
      </c>
      <c r="BB12" s="12"/>
    </row>
    <row r="13" spans="1:54">
      <c r="A13" s="15"/>
      <c r="B13">
        <f t="shared" si="11"/>
        <v>8</v>
      </c>
      <c r="C13" s="36">
        <f t="shared" ref="C13:C19" si="20">C12</f>
        <v>4</v>
      </c>
      <c r="D13">
        <v>0</v>
      </c>
      <c r="E13" t="b">
        <v>0</v>
      </c>
      <c r="F13" t="b">
        <v>0</v>
      </c>
      <c r="G13" t="b">
        <v>0</v>
      </c>
      <c r="H13" s="3" t="str">
        <f t="shared" ca="1" si="12"/>
        <v>005-G0_sfw090%_sfd00.0_conc0000_prlf0000_era000%</v>
      </c>
      <c r="I13" s="19" t="str">
        <f ca="1">IF(MATCH(H13,H$5:H13,0)=(COUNTA(H$5:H13)),"-","Dup")</f>
        <v>-</v>
      </c>
      <c r="J13" s="37" t="str">
        <f t="shared" ca="1" si="17"/>
        <v>-</v>
      </c>
      <c r="K13" s="37" t="b">
        <f t="shared" ca="1" si="13"/>
        <v>0</v>
      </c>
      <c r="L13" s="37" t="b">
        <f t="shared" ca="1" si="13"/>
        <v>1</v>
      </c>
      <c r="M13" s="37">
        <f t="shared" ca="1" si="13"/>
        <v>2</v>
      </c>
      <c r="N13" s="37" t="str">
        <f t="shared" ca="1" si="13"/>
        <v>-</v>
      </c>
      <c r="O13" s="37" t="str">
        <f t="shared" ca="1" si="13"/>
        <v>-</v>
      </c>
      <c r="P13" s="37" t="str">
        <f t="shared" ca="1" si="13"/>
        <v>-</v>
      </c>
      <c r="Q13" s="37" t="str">
        <f t="shared" ca="1" si="13"/>
        <v>-</v>
      </c>
      <c r="R13" s="37" t="str">
        <f t="shared" ca="1" si="13"/>
        <v>-</v>
      </c>
      <c r="S13" s="37" t="str">
        <f t="shared" ca="1" si="13"/>
        <v>-</v>
      </c>
      <c r="T13" s="37" t="str">
        <f t="shared" ca="1" si="13"/>
        <v>-</v>
      </c>
      <c r="U13" s="37">
        <f t="shared" ca="1" si="13"/>
        <v>0</v>
      </c>
      <c r="V13" s="37">
        <f t="shared" ca="1" si="13"/>
        <v>1</v>
      </c>
      <c r="W13" s="37" t="str">
        <f t="shared" ca="1" si="13"/>
        <v>-</v>
      </c>
      <c r="X13" s="37" t="str">
        <f t="shared" ca="1" si="13"/>
        <v>-</v>
      </c>
      <c r="Y13" s="37">
        <f t="shared" ca="1" si="13"/>
        <v>0</v>
      </c>
      <c r="Z13" s="37">
        <f t="shared" ca="1" si="13"/>
        <v>1</v>
      </c>
      <c r="AA13" s="25" t="str">
        <f t="shared" si="18"/>
        <v>-</v>
      </c>
      <c r="AB13" s="25" t="str">
        <f t="shared" si="14"/>
        <v>-</v>
      </c>
      <c r="AC13" s="25" t="str">
        <f t="shared" si="14"/>
        <v>-</v>
      </c>
      <c r="AD13" s="37" t="str">
        <f t="shared" ca="1" si="13"/>
        <v>-</v>
      </c>
      <c r="AE13" s="37" t="str">
        <f t="shared" ca="1" si="13"/>
        <v>-</v>
      </c>
      <c r="AF13" s="37" t="str">
        <f t="shared" ca="1" si="13"/>
        <v>-</v>
      </c>
      <c r="AG13" s="37" t="str">
        <f t="shared" ca="1" si="13"/>
        <v>-</v>
      </c>
      <c r="AH13" s="37" t="str">
        <f t="shared" ca="1" si="13"/>
        <v>-</v>
      </c>
      <c r="AI13" s="37" t="str">
        <f t="shared" ca="1" si="13"/>
        <v>-</v>
      </c>
      <c r="AJ13" s="37" t="str">
        <f t="shared" ref="AJ13:AK40" ca="1" si="21">OFFSET(AJ$5,$C13,0)</f>
        <v>-</v>
      </c>
      <c r="AK13" s="37" t="str">
        <f t="shared" ca="1" si="21"/>
        <v>-</v>
      </c>
      <c r="AL13" s="37">
        <f t="shared" ca="1" si="13"/>
        <v>60</v>
      </c>
      <c r="AM13" s="37">
        <f t="shared" ca="1" si="13"/>
        <v>1</v>
      </c>
      <c r="AN13" s="37">
        <f t="shared" ca="1" si="13"/>
        <v>0</v>
      </c>
      <c r="AO13" s="37">
        <f t="shared" ca="1" si="13"/>
        <v>1</v>
      </c>
      <c r="AP13" s="37">
        <f t="shared" ca="1" si="16"/>
        <v>0</v>
      </c>
      <c r="AQ13" s="37">
        <f t="shared" ca="1" si="16"/>
        <v>0</v>
      </c>
      <c r="AR13" s="34">
        <v>0.9</v>
      </c>
      <c r="AS13" s="37">
        <f t="shared" ca="1" si="13"/>
        <v>0</v>
      </c>
      <c r="AT13" s="37">
        <f t="shared" ca="1" si="13"/>
        <v>0</v>
      </c>
      <c r="AU13" s="37">
        <f t="shared" ca="1" si="13"/>
        <v>0</v>
      </c>
      <c r="AV13" s="37">
        <f t="shared" ca="1" si="13"/>
        <v>0</v>
      </c>
      <c r="AW13" s="37">
        <f t="shared" ca="1" si="13"/>
        <v>80</v>
      </c>
      <c r="AX13" s="37">
        <f t="shared" ca="1" si="13"/>
        <v>90</v>
      </c>
      <c r="AY13" s="37">
        <f t="shared" ca="1" si="13"/>
        <v>0</v>
      </c>
      <c r="AZ13" s="37">
        <f t="shared" ca="1" si="13"/>
        <v>0</v>
      </c>
      <c r="BA13" s="37">
        <f t="shared" ca="1" si="13"/>
        <v>0</v>
      </c>
      <c r="BB13" s="12"/>
    </row>
    <row r="14" spans="1:54">
      <c r="A14" s="15"/>
      <c r="B14">
        <f t="shared" si="11"/>
        <v>9</v>
      </c>
      <c r="C14" s="36">
        <f t="shared" si="20"/>
        <v>4</v>
      </c>
      <c r="D14">
        <v>0</v>
      </c>
      <c r="E14" t="b">
        <v>0</v>
      </c>
      <c r="F14" t="b">
        <v>0</v>
      </c>
      <c r="G14" t="b">
        <v>0</v>
      </c>
      <c r="H14" s="3" t="str">
        <f t="shared" ca="1" si="12"/>
        <v>006-G0_sfw095%_sfd00.0_conc0000_prlf0000_era000%</v>
      </c>
      <c r="I14" s="19" t="str">
        <f ca="1">IF(MATCH(H14,H$5:H14,0)=(COUNTA(H$5:H14)),"-","Dup")</f>
        <v>-</v>
      </c>
      <c r="J14" s="37" t="str">
        <f t="shared" ca="1" si="17"/>
        <v>-</v>
      </c>
      <c r="K14" s="37" t="b">
        <f t="shared" ca="1" si="13"/>
        <v>0</v>
      </c>
      <c r="L14" s="37" t="b">
        <f t="shared" ca="1" si="13"/>
        <v>1</v>
      </c>
      <c r="M14" s="37">
        <f t="shared" ca="1" si="13"/>
        <v>2</v>
      </c>
      <c r="N14" s="37" t="str">
        <f t="shared" ca="1" si="13"/>
        <v>-</v>
      </c>
      <c r="O14" s="37" t="str">
        <f t="shared" ca="1" si="13"/>
        <v>-</v>
      </c>
      <c r="P14" s="37" t="str">
        <f t="shared" ca="1" si="13"/>
        <v>-</v>
      </c>
      <c r="Q14" s="37" t="str">
        <f t="shared" ca="1" si="13"/>
        <v>-</v>
      </c>
      <c r="R14" s="37" t="str">
        <f t="shared" ca="1" si="13"/>
        <v>-</v>
      </c>
      <c r="S14" s="37" t="str">
        <f t="shared" ca="1" si="13"/>
        <v>-</v>
      </c>
      <c r="T14" s="37" t="str">
        <f t="shared" ca="1" si="13"/>
        <v>-</v>
      </c>
      <c r="U14" s="37">
        <f t="shared" ca="1" si="13"/>
        <v>0</v>
      </c>
      <c r="V14" s="37">
        <f t="shared" ca="1" si="13"/>
        <v>1</v>
      </c>
      <c r="W14" s="37" t="str">
        <f t="shared" ca="1" si="13"/>
        <v>-</v>
      </c>
      <c r="X14" s="37" t="str">
        <f t="shared" ca="1" si="13"/>
        <v>-</v>
      </c>
      <c r="Y14" s="37">
        <f t="shared" ca="1" si="13"/>
        <v>0</v>
      </c>
      <c r="Z14" s="37">
        <f t="shared" ca="1" si="13"/>
        <v>1</v>
      </c>
      <c r="AA14" s="25" t="str">
        <f t="shared" si="18"/>
        <v>-</v>
      </c>
      <c r="AB14" s="25" t="str">
        <f t="shared" si="14"/>
        <v>-</v>
      </c>
      <c r="AC14" s="25" t="str">
        <f t="shared" si="14"/>
        <v>-</v>
      </c>
      <c r="AD14" s="37" t="str">
        <f t="shared" ca="1" si="13"/>
        <v>-</v>
      </c>
      <c r="AE14" s="37" t="str">
        <f t="shared" ca="1" si="13"/>
        <v>-</v>
      </c>
      <c r="AF14" s="37" t="str">
        <f t="shared" ca="1" si="13"/>
        <v>-</v>
      </c>
      <c r="AG14" s="37" t="str">
        <f t="shared" ref="AG14:AX19" ca="1" si="22">OFFSET(AG$5,$C14,0)</f>
        <v>-</v>
      </c>
      <c r="AH14" s="37" t="str">
        <f t="shared" ca="1" si="22"/>
        <v>-</v>
      </c>
      <c r="AI14" s="37" t="str">
        <f t="shared" ca="1" si="22"/>
        <v>-</v>
      </c>
      <c r="AJ14" s="37" t="str">
        <f t="shared" ca="1" si="21"/>
        <v>-</v>
      </c>
      <c r="AK14" s="37" t="str">
        <f t="shared" ca="1" si="21"/>
        <v>-</v>
      </c>
      <c r="AL14" s="37">
        <f t="shared" ca="1" si="22"/>
        <v>60</v>
      </c>
      <c r="AM14" s="37">
        <f t="shared" ca="1" si="22"/>
        <v>1</v>
      </c>
      <c r="AN14" s="37">
        <f t="shared" ca="1" si="22"/>
        <v>0</v>
      </c>
      <c r="AO14" s="37">
        <f t="shared" ca="1" si="22"/>
        <v>1</v>
      </c>
      <c r="AP14" s="37">
        <f t="shared" ca="1" si="16"/>
        <v>0</v>
      </c>
      <c r="AQ14" s="37">
        <f t="shared" ca="1" si="16"/>
        <v>0</v>
      </c>
      <c r="AR14" s="34">
        <v>0.95</v>
      </c>
      <c r="AS14" s="37">
        <f t="shared" ca="1" si="22"/>
        <v>0</v>
      </c>
      <c r="AT14" s="37">
        <f t="shared" ca="1" si="22"/>
        <v>0</v>
      </c>
      <c r="AU14" s="37">
        <f t="shared" ca="1" si="22"/>
        <v>0</v>
      </c>
      <c r="AV14" s="37">
        <f t="shared" ca="1" si="22"/>
        <v>0</v>
      </c>
      <c r="AW14" s="37">
        <f t="shared" ca="1" si="22"/>
        <v>80</v>
      </c>
      <c r="AX14" s="37">
        <f t="shared" ca="1" si="22"/>
        <v>90</v>
      </c>
      <c r="AY14" s="37">
        <f t="shared" ref="AY14:BA19" ca="1" si="23">OFFSET(AY$5,$C14,0)</f>
        <v>0</v>
      </c>
      <c r="AZ14" s="37">
        <f t="shared" ca="1" si="23"/>
        <v>0</v>
      </c>
      <c r="BA14" s="37">
        <f t="shared" ca="1" si="23"/>
        <v>0</v>
      </c>
      <c r="BB14" s="12"/>
    </row>
    <row r="15" spans="1:54">
      <c r="A15" s="15"/>
      <c r="B15">
        <f t="shared" si="11"/>
        <v>10</v>
      </c>
      <c r="C15" s="36">
        <f t="shared" si="20"/>
        <v>4</v>
      </c>
      <c r="D15">
        <v>0</v>
      </c>
      <c r="E15" t="b">
        <v>0</v>
      </c>
      <c r="F15" t="b">
        <v>0</v>
      </c>
      <c r="G15" t="b">
        <v>0</v>
      </c>
      <c r="H15" s="3" t="str">
        <f t="shared" ca="1" si="12"/>
        <v>007-G0_sfw105%_sfd00.0_conc0000_prlf0000_era000%</v>
      </c>
      <c r="I15" s="19" t="str">
        <f ca="1">IF(MATCH(H15,H$5:H15,0)=(COUNTA(H$5:H15)),"-","Dup")</f>
        <v>-</v>
      </c>
      <c r="J15" s="37" t="str">
        <f t="shared" ca="1" si="17"/>
        <v>-</v>
      </c>
      <c r="K15" s="37" t="b">
        <f t="shared" ca="1" si="17"/>
        <v>0</v>
      </c>
      <c r="L15" s="37" t="b">
        <f t="shared" ca="1" si="17"/>
        <v>1</v>
      </c>
      <c r="M15" s="37">
        <f t="shared" ca="1" si="17"/>
        <v>2</v>
      </c>
      <c r="N15" s="37" t="str">
        <f t="shared" ca="1" si="17"/>
        <v>-</v>
      </c>
      <c r="O15" s="37" t="str">
        <f t="shared" ca="1" si="17"/>
        <v>-</v>
      </c>
      <c r="P15" s="37" t="str">
        <f t="shared" ca="1" si="17"/>
        <v>-</v>
      </c>
      <c r="Q15" s="37" t="str">
        <f t="shared" ca="1" si="17"/>
        <v>-</v>
      </c>
      <c r="R15" s="37" t="str">
        <f t="shared" ca="1" si="17"/>
        <v>-</v>
      </c>
      <c r="S15" s="37" t="str">
        <f t="shared" ca="1" si="17"/>
        <v>-</v>
      </c>
      <c r="T15" s="37" t="str">
        <f t="shared" ca="1" si="17"/>
        <v>-</v>
      </c>
      <c r="U15" s="37">
        <f t="shared" ca="1" si="17"/>
        <v>0</v>
      </c>
      <c r="V15" s="37">
        <f t="shared" ca="1" si="17"/>
        <v>1</v>
      </c>
      <c r="W15" s="37" t="str">
        <f t="shared" ca="1" si="17"/>
        <v>-</v>
      </c>
      <c r="X15" s="37" t="str">
        <f t="shared" ca="1" si="17"/>
        <v>-</v>
      </c>
      <c r="Y15" s="37">
        <f t="shared" ca="1" si="17"/>
        <v>0</v>
      </c>
      <c r="Z15" s="37">
        <f t="shared" ref="Z15:AS19" ca="1" si="24">OFFSET(Z$5,$C15,0)</f>
        <v>1</v>
      </c>
      <c r="AA15" s="25" t="str">
        <f t="shared" si="18"/>
        <v>-</v>
      </c>
      <c r="AB15" s="25" t="str">
        <f t="shared" si="14"/>
        <v>-</v>
      </c>
      <c r="AC15" s="25" t="str">
        <f t="shared" si="14"/>
        <v>-</v>
      </c>
      <c r="AD15" s="37" t="str">
        <f t="shared" ca="1" si="24"/>
        <v>-</v>
      </c>
      <c r="AE15" s="37" t="str">
        <f t="shared" ca="1" si="24"/>
        <v>-</v>
      </c>
      <c r="AF15" s="37" t="str">
        <f t="shared" ca="1" si="24"/>
        <v>-</v>
      </c>
      <c r="AG15" s="37" t="str">
        <f t="shared" ca="1" si="22"/>
        <v>-</v>
      </c>
      <c r="AH15" s="37" t="str">
        <f t="shared" ca="1" si="22"/>
        <v>-</v>
      </c>
      <c r="AI15" s="37" t="str">
        <f t="shared" ca="1" si="22"/>
        <v>-</v>
      </c>
      <c r="AJ15" s="37" t="str">
        <f t="shared" ca="1" si="21"/>
        <v>-</v>
      </c>
      <c r="AK15" s="37" t="str">
        <f t="shared" ca="1" si="21"/>
        <v>-</v>
      </c>
      <c r="AL15" s="37">
        <f t="shared" ca="1" si="24"/>
        <v>60</v>
      </c>
      <c r="AM15" s="37">
        <f t="shared" ca="1" si="24"/>
        <v>1</v>
      </c>
      <c r="AN15" s="37">
        <f t="shared" ca="1" si="24"/>
        <v>0</v>
      </c>
      <c r="AO15" s="37">
        <f t="shared" ca="1" si="24"/>
        <v>1</v>
      </c>
      <c r="AP15" s="37">
        <f t="shared" ca="1" si="16"/>
        <v>0</v>
      </c>
      <c r="AQ15" s="37">
        <f t="shared" ca="1" si="16"/>
        <v>0</v>
      </c>
      <c r="AR15" s="34">
        <v>1.05</v>
      </c>
      <c r="AS15" s="37">
        <f t="shared" ca="1" si="24"/>
        <v>0</v>
      </c>
      <c r="AT15" s="37">
        <f t="shared" ca="1" si="22"/>
        <v>0</v>
      </c>
      <c r="AU15" s="37">
        <f t="shared" ca="1" si="22"/>
        <v>0</v>
      </c>
      <c r="AV15" s="37">
        <f t="shared" ca="1" si="22"/>
        <v>0</v>
      </c>
      <c r="AW15" s="37">
        <f t="shared" ca="1" si="22"/>
        <v>80</v>
      </c>
      <c r="AX15" s="37">
        <f t="shared" ca="1" si="22"/>
        <v>90</v>
      </c>
      <c r="AY15" s="37">
        <f t="shared" ca="1" si="23"/>
        <v>0</v>
      </c>
      <c r="AZ15" s="37">
        <f t="shared" ca="1" si="23"/>
        <v>0</v>
      </c>
      <c r="BA15" s="37">
        <f t="shared" ca="1" si="23"/>
        <v>0</v>
      </c>
      <c r="BB15" s="12"/>
    </row>
    <row r="16" spans="1:54">
      <c r="A16" s="15"/>
      <c r="B16">
        <f t="shared" si="11"/>
        <v>11</v>
      </c>
      <c r="C16" s="36">
        <f t="shared" si="20"/>
        <v>4</v>
      </c>
      <c r="D16">
        <v>0</v>
      </c>
      <c r="E16" t="b">
        <v>0</v>
      </c>
      <c r="F16" t="b">
        <v>0</v>
      </c>
      <c r="G16" t="b">
        <v>0</v>
      </c>
      <c r="H16" s="3" t="str">
        <f t="shared" ca="1" si="12"/>
        <v>008-G0_sfw110%_sfd00.0_conc0000_prlf0000_era000%</v>
      </c>
      <c r="I16" s="19" t="str">
        <f ca="1">IF(MATCH(H16,H$5:H16,0)=(COUNTA(H$5:H16)),"-","Dup")</f>
        <v>-</v>
      </c>
      <c r="J16" s="37" t="str">
        <f t="shared" ca="1" si="17"/>
        <v>-</v>
      </c>
      <c r="K16" s="37" t="b">
        <f t="shared" ca="1" si="17"/>
        <v>0</v>
      </c>
      <c r="L16" s="37" t="b">
        <f t="shared" ca="1" si="17"/>
        <v>1</v>
      </c>
      <c r="M16" s="37">
        <f t="shared" ca="1" si="17"/>
        <v>2</v>
      </c>
      <c r="N16" s="37" t="str">
        <f t="shared" ca="1" si="17"/>
        <v>-</v>
      </c>
      <c r="O16" s="37" t="str">
        <f t="shared" ca="1" si="17"/>
        <v>-</v>
      </c>
      <c r="P16" s="37" t="str">
        <f t="shared" ca="1" si="17"/>
        <v>-</v>
      </c>
      <c r="Q16" s="37" t="str">
        <f t="shared" ca="1" si="17"/>
        <v>-</v>
      </c>
      <c r="R16" s="37" t="str">
        <f t="shared" ca="1" si="17"/>
        <v>-</v>
      </c>
      <c r="S16" s="37" t="str">
        <f t="shared" ca="1" si="17"/>
        <v>-</v>
      </c>
      <c r="T16" s="37" t="str">
        <f t="shared" ca="1" si="17"/>
        <v>-</v>
      </c>
      <c r="U16" s="37">
        <f t="shared" ca="1" si="17"/>
        <v>0</v>
      </c>
      <c r="V16" s="37">
        <f t="shared" ca="1" si="17"/>
        <v>1</v>
      </c>
      <c r="W16" s="37" t="str">
        <f t="shared" ca="1" si="17"/>
        <v>-</v>
      </c>
      <c r="X16" s="37" t="str">
        <f t="shared" ca="1" si="17"/>
        <v>-</v>
      </c>
      <c r="Y16" s="37">
        <f t="shared" ca="1" si="17"/>
        <v>0</v>
      </c>
      <c r="Z16" s="37">
        <f t="shared" ca="1" si="24"/>
        <v>1</v>
      </c>
      <c r="AA16" s="25" t="str">
        <f t="shared" si="18"/>
        <v>-</v>
      </c>
      <c r="AB16" s="25" t="str">
        <f t="shared" si="14"/>
        <v>-</v>
      </c>
      <c r="AC16" s="25" t="str">
        <f t="shared" si="14"/>
        <v>-</v>
      </c>
      <c r="AD16" s="37" t="str">
        <f t="shared" ca="1" si="24"/>
        <v>-</v>
      </c>
      <c r="AE16" s="37" t="str">
        <f t="shared" ca="1" si="24"/>
        <v>-</v>
      </c>
      <c r="AF16" s="37" t="str">
        <f t="shared" ca="1" si="24"/>
        <v>-</v>
      </c>
      <c r="AG16" s="37" t="str">
        <f t="shared" ca="1" si="22"/>
        <v>-</v>
      </c>
      <c r="AH16" s="37" t="str">
        <f t="shared" ca="1" si="22"/>
        <v>-</v>
      </c>
      <c r="AI16" s="37" t="str">
        <f t="shared" ca="1" si="22"/>
        <v>-</v>
      </c>
      <c r="AJ16" s="37" t="str">
        <f t="shared" ca="1" si="21"/>
        <v>-</v>
      </c>
      <c r="AK16" s="37" t="str">
        <f t="shared" ca="1" si="21"/>
        <v>-</v>
      </c>
      <c r="AL16" s="37">
        <f t="shared" ca="1" si="24"/>
        <v>60</v>
      </c>
      <c r="AM16" s="37">
        <f t="shared" ca="1" si="24"/>
        <v>1</v>
      </c>
      <c r="AN16" s="37">
        <f t="shared" ca="1" si="24"/>
        <v>0</v>
      </c>
      <c r="AO16" s="37">
        <f t="shared" ca="1" si="24"/>
        <v>1</v>
      </c>
      <c r="AP16" s="37">
        <f t="shared" ca="1" si="16"/>
        <v>0</v>
      </c>
      <c r="AQ16" s="37">
        <f t="shared" ca="1" si="16"/>
        <v>0</v>
      </c>
      <c r="AR16" s="34">
        <v>1.1000000000000001</v>
      </c>
      <c r="AS16" s="37">
        <f t="shared" ca="1" si="24"/>
        <v>0</v>
      </c>
      <c r="AT16" s="37">
        <f t="shared" ca="1" si="22"/>
        <v>0</v>
      </c>
      <c r="AU16" s="37">
        <f t="shared" ca="1" si="22"/>
        <v>0</v>
      </c>
      <c r="AV16" s="37">
        <f t="shared" ca="1" si="22"/>
        <v>0</v>
      </c>
      <c r="AW16" s="37">
        <f t="shared" ca="1" si="22"/>
        <v>80</v>
      </c>
      <c r="AX16" s="37">
        <f t="shared" ca="1" si="22"/>
        <v>90</v>
      </c>
      <c r="AY16" s="37">
        <f t="shared" ca="1" si="23"/>
        <v>0</v>
      </c>
      <c r="AZ16" s="37">
        <f t="shared" ca="1" si="23"/>
        <v>0</v>
      </c>
      <c r="BA16" s="37">
        <f t="shared" ca="1" si="23"/>
        <v>0</v>
      </c>
      <c r="BB16" s="12"/>
    </row>
    <row r="17" spans="1:54">
      <c r="A17" s="15"/>
      <c r="B17">
        <f t="shared" si="11"/>
        <v>12</v>
      </c>
      <c r="C17" s="36">
        <f t="shared" si="20"/>
        <v>4</v>
      </c>
      <c r="D17">
        <v>0</v>
      </c>
      <c r="E17" t="b">
        <v>0</v>
      </c>
      <c r="F17" t="b">
        <v>0</v>
      </c>
      <c r="G17" t="b">
        <v>0</v>
      </c>
      <c r="H17" s="3" t="str">
        <f t="shared" ca="1" si="12"/>
        <v>009-G0_sfw115%_sfd00.0_conc0000_prlf0000_era000%</v>
      </c>
      <c r="I17" s="19" t="str">
        <f ca="1">IF(MATCH(H17,H$5:H17,0)=(COUNTA(H$5:H17)),"-","Dup")</f>
        <v>-</v>
      </c>
      <c r="J17" s="37" t="str">
        <f t="shared" ca="1" si="17"/>
        <v>-</v>
      </c>
      <c r="K17" s="37" t="b">
        <f t="shared" ca="1" si="17"/>
        <v>0</v>
      </c>
      <c r="L17" s="37" t="b">
        <f t="shared" ca="1" si="17"/>
        <v>1</v>
      </c>
      <c r="M17" s="37">
        <f t="shared" ca="1" si="17"/>
        <v>2</v>
      </c>
      <c r="N17" s="37" t="str">
        <f t="shared" ca="1" si="17"/>
        <v>-</v>
      </c>
      <c r="O17" s="37" t="str">
        <f t="shared" ca="1" si="17"/>
        <v>-</v>
      </c>
      <c r="P17" s="37" t="str">
        <f t="shared" ca="1" si="17"/>
        <v>-</v>
      </c>
      <c r="Q17" s="37" t="str">
        <f t="shared" ca="1" si="17"/>
        <v>-</v>
      </c>
      <c r="R17" s="37" t="str">
        <f t="shared" ca="1" si="17"/>
        <v>-</v>
      </c>
      <c r="S17" s="37" t="str">
        <f t="shared" ca="1" si="17"/>
        <v>-</v>
      </c>
      <c r="T17" s="37" t="str">
        <f t="shared" ca="1" si="17"/>
        <v>-</v>
      </c>
      <c r="U17" s="37">
        <f t="shared" ca="1" si="17"/>
        <v>0</v>
      </c>
      <c r="V17" s="37">
        <f t="shared" ca="1" si="17"/>
        <v>1</v>
      </c>
      <c r="W17" s="37" t="str">
        <f t="shared" ca="1" si="17"/>
        <v>-</v>
      </c>
      <c r="X17" s="37" t="str">
        <f t="shared" ca="1" si="17"/>
        <v>-</v>
      </c>
      <c r="Y17" s="37">
        <f t="shared" ca="1" si="17"/>
        <v>0</v>
      </c>
      <c r="Z17" s="37">
        <f t="shared" ca="1" si="24"/>
        <v>1</v>
      </c>
      <c r="AA17" s="25" t="str">
        <f t="shared" si="18"/>
        <v>-</v>
      </c>
      <c r="AB17" s="25" t="str">
        <f t="shared" si="14"/>
        <v>-</v>
      </c>
      <c r="AC17" s="25" t="str">
        <f t="shared" si="14"/>
        <v>-</v>
      </c>
      <c r="AD17" s="37" t="str">
        <f t="shared" ca="1" si="24"/>
        <v>-</v>
      </c>
      <c r="AE17" s="37" t="str">
        <f t="shared" ca="1" si="24"/>
        <v>-</v>
      </c>
      <c r="AF17" s="37" t="str">
        <f t="shared" ca="1" si="24"/>
        <v>-</v>
      </c>
      <c r="AG17" s="37" t="str">
        <f t="shared" ca="1" si="22"/>
        <v>-</v>
      </c>
      <c r="AH17" s="37" t="str">
        <f t="shared" ca="1" si="22"/>
        <v>-</v>
      </c>
      <c r="AI17" s="37" t="str">
        <f t="shared" ca="1" si="22"/>
        <v>-</v>
      </c>
      <c r="AJ17" s="37" t="str">
        <f t="shared" ca="1" si="21"/>
        <v>-</v>
      </c>
      <c r="AK17" s="37" t="str">
        <f t="shared" ca="1" si="21"/>
        <v>-</v>
      </c>
      <c r="AL17" s="37">
        <f t="shared" ca="1" si="24"/>
        <v>60</v>
      </c>
      <c r="AM17" s="37">
        <f t="shared" ca="1" si="24"/>
        <v>1</v>
      </c>
      <c r="AN17" s="37">
        <f t="shared" ca="1" si="24"/>
        <v>0</v>
      </c>
      <c r="AO17" s="37">
        <f t="shared" ca="1" si="24"/>
        <v>1</v>
      </c>
      <c r="AP17" s="37">
        <f t="shared" ca="1" si="16"/>
        <v>0</v>
      </c>
      <c r="AQ17" s="37">
        <f t="shared" ca="1" si="16"/>
        <v>0</v>
      </c>
      <c r="AR17" s="34">
        <v>1.1499999999999999</v>
      </c>
      <c r="AS17" s="37">
        <f t="shared" ca="1" si="24"/>
        <v>0</v>
      </c>
      <c r="AT17" s="37">
        <f t="shared" ca="1" si="22"/>
        <v>0</v>
      </c>
      <c r="AU17" s="37">
        <f t="shared" ca="1" si="22"/>
        <v>0</v>
      </c>
      <c r="AV17" s="37">
        <f t="shared" ca="1" si="22"/>
        <v>0</v>
      </c>
      <c r="AW17" s="37">
        <f t="shared" ca="1" si="22"/>
        <v>80</v>
      </c>
      <c r="AX17" s="37">
        <f t="shared" ca="1" si="22"/>
        <v>90</v>
      </c>
      <c r="AY17" s="37">
        <f t="shared" ca="1" si="23"/>
        <v>0</v>
      </c>
      <c r="AZ17" s="37">
        <f t="shared" ca="1" si="23"/>
        <v>0</v>
      </c>
      <c r="BA17" s="37">
        <f t="shared" ca="1" si="23"/>
        <v>0</v>
      </c>
      <c r="BB17" s="12"/>
    </row>
    <row r="18" spans="1:54">
      <c r="A18" s="15"/>
      <c r="B18">
        <f t="shared" si="11"/>
        <v>13</v>
      </c>
      <c r="C18" s="36">
        <f t="shared" si="20"/>
        <v>4</v>
      </c>
      <c r="D18">
        <v>0</v>
      </c>
      <c r="E18" t="b">
        <v>0</v>
      </c>
      <c r="F18" t="b">
        <v>0</v>
      </c>
      <c r="G18" t="b">
        <v>0</v>
      </c>
      <c r="H18" s="3" t="str">
        <f t="shared" ca="1" si="12"/>
        <v>010-G0_sfw120%_sfd00.0_conc0000_prlf0000_era000%</v>
      </c>
      <c r="I18" s="19" t="str">
        <f ca="1">IF(MATCH(H18,H$5:H18,0)=(COUNTA(H$5:H18)),"-","Dup")</f>
        <v>-</v>
      </c>
      <c r="J18" s="37" t="str">
        <f t="shared" ca="1" si="17"/>
        <v>-</v>
      </c>
      <c r="K18" s="37" t="b">
        <f t="shared" ca="1" si="17"/>
        <v>0</v>
      </c>
      <c r="L18" s="37" t="b">
        <f t="shared" ca="1" si="17"/>
        <v>1</v>
      </c>
      <c r="M18" s="37">
        <f t="shared" ca="1" si="17"/>
        <v>2</v>
      </c>
      <c r="N18" s="37" t="str">
        <f t="shared" ca="1" si="17"/>
        <v>-</v>
      </c>
      <c r="O18" s="37" t="str">
        <f t="shared" ca="1" si="17"/>
        <v>-</v>
      </c>
      <c r="P18" s="37" t="str">
        <f t="shared" ca="1" si="17"/>
        <v>-</v>
      </c>
      <c r="Q18" s="37" t="str">
        <f t="shared" ca="1" si="17"/>
        <v>-</v>
      </c>
      <c r="R18" s="37" t="str">
        <f t="shared" ca="1" si="17"/>
        <v>-</v>
      </c>
      <c r="S18" s="37" t="str">
        <f t="shared" ca="1" si="17"/>
        <v>-</v>
      </c>
      <c r="T18" s="37" t="str">
        <f t="shared" ca="1" si="17"/>
        <v>-</v>
      </c>
      <c r="U18" s="37">
        <f t="shared" ca="1" si="17"/>
        <v>0</v>
      </c>
      <c r="V18" s="37">
        <f t="shared" ca="1" si="17"/>
        <v>1</v>
      </c>
      <c r="W18" s="37" t="str">
        <f t="shared" ca="1" si="17"/>
        <v>-</v>
      </c>
      <c r="X18" s="37" t="str">
        <f t="shared" ca="1" si="17"/>
        <v>-</v>
      </c>
      <c r="Y18" s="37">
        <f t="shared" ca="1" si="17"/>
        <v>0</v>
      </c>
      <c r="Z18" s="37">
        <f t="shared" ca="1" si="24"/>
        <v>1</v>
      </c>
      <c r="AA18" s="25" t="str">
        <f t="shared" si="18"/>
        <v>-</v>
      </c>
      <c r="AB18" s="25" t="str">
        <f t="shared" si="14"/>
        <v>-</v>
      </c>
      <c r="AC18" s="25" t="str">
        <f t="shared" si="14"/>
        <v>-</v>
      </c>
      <c r="AD18" s="37" t="str">
        <f t="shared" ca="1" si="24"/>
        <v>-</v>
      </c>
      <c r="AE18" s="37" t="str">
        <f t="shared" ca="1" si="24"/>
        <v>-</v>
      </c>
      <c r="AF18" s="37" t="str">
        <f t="shared" ca="1" si="24"/>
        <v>-</v>
      </c>
      <c r="AG18" s="37" t="str">
        <f t="shared" ca="1" si="22"/>
        <v>-</v>
      </c>
      <c r="AH18" s="37" t="str">
        <f t="shared" ca="1" si="22"/>
        <v>-</v>
      </c>
      <c r="AI18" s="37" t="str">
        <f t="shared" ca="1" si="22"/>
        <v>-</v>
      </c>
      <c r="AJ18" s="37" t="str">
        <f t="shared" ca="1" si="21"/>
        <v>-</v>
      </c>
      <c r="AK18" s="37" t="str">
        <f t="shared" ca="1" si="21"/>
        <v>-</v>
      </c>
      <c r="AL18" s="37">
        <f t="shared" ca="1" si="24"/>
        <v>60</v>
      </c>
      <c r="AM18" s="37">
        <f t="shared" ca="1" si="24"/>
        <v>1</v>
      </c>
      <c r="AN18" s="37">
        <f t="shared" ca="1" si="24"/>
        <v>0</v>
      </c>
      <c r="AO18" s="37">
        <f t="shared" ca="1" si="24"/>
        <v>1</v>
      </c>
      <c r="AP18" s="37">
        <f t="shared" ca="1" si="16"/>
        <v>0</v>
      </c>
      <c r="AQ18" s="37">
        <f t="shared" ca="1" si="16"/>
        <v>0</v>
      </c>
      <c r="AR18" s="34">
        <v>1.2</v>
      </c>
      <c r="AS18" s="37">
        <f t="shared" ca="1" si="24"/>
        <v>0</v>
      </c>
      <c r="AT18" s="37">
        <f t="shared" ca="1" si="22"/>
        <v>0</v>
      </c>
      <c r="AU18" s="37">
        <f t="shared" ca="1" si="22"/>
        <v>0</v>
      </c>
      <c r="AV18" s="37">
        <f t="shared" ca="1" si="22"/>
        <v>0</v>
      </c>
      <c r="AW18" s="37">
        <f t="shared" ca="1" si="22"/>
        <v>80</v>
      </c>
      <c r="AX18" s="37">
        <f t="shared" ca="1" si="22"/>
        <v>90</v>
      </c>
      <c r="AY18" s="37">
        <f t="shared" ca="1" si="23"/>
        <v>0</v>
      </c>
      <c r="AZ18" s="37">
        <f t="shared" ca="1" si="23"/>
        <v>0</v>
      </c>
      <c r="BA18" s="37">
        <f t="shared" ca="1" si="23"/>
        <v>0</v>
      </c>
      <c r="BB18" s="12"/>
    </row>
    <row r="19" spans="1:54">
      <c r="A19" s="15"/>
      <c r="B19">
        <f t="shared" si="11"/>
        <v>14</v>
      </c>
      <c r="C19" s="36">
        <f t="shared" si="20"/>
        <v>4</v>
      </c>
      <c r="D19">
        <v>0</v>
      </c>
      <c r="E19" t="b">
        <v>0</v>
      </c>
      <c r="F19" t="b">
        <v>0</v>
      </c>
      <c r="G19" t="b">
        <v>0</v>
      </c>
      <c r="H19" s="3" t="str">
        <f t="shared" ca="1" si="12"/>
        <v>011-G0_sfw125%_sfd00.0_conc0000_prlf0000_era000%</v>
      </c>
      <c r="I19" s="19" t="str">
        <f ca="1">IF(MATCH(H19,H$5:H19,0)=(COUNTA(H$5:H19)),"-","Dup")</f>
        <v>-</v>
      </c>
      <c r="J19" s="37" t="str">
        <f t="shared" ca="1" si="17"/>
        <v>-</v>
      </c>
      <c r="K19" s="37" t="b">
        <f t="shared" ca="1" si="17"/>
        <v>0</v>
      </c>
      <c r="L19" s="37" t="b">
        <f t="shared" ca="1" si="17"/>
        <v>1</v>
      </c>
      <c r="M19" s="37">
        <f t="shared" ca="1" si="17"/>
        <v>2</v>
      </c>
      <c r="N19" s="37" t="str">
        <f t="shared" ca="1" si="17"/>
        <v>-</v>
      </c>
      <c r="O19" s="37" t="str">
        <f t="shared" ca="1" si="17"/>
        <v>-</v>
      </c>
      <c r="P19" s="37" t="str">
        <f t="shared" ca="1" si="17"/>
        <v>-</v>
      </c>
      <c r="Q19" s="37" t="str">
        <f t="shared" ca="1" si="17"/>
        <v>-</v>
      </c>
      <c r="R19" s="37" t="str">
        <f t="shared" ca="1" si="17"/>
        <v>-</v>
      </c>
      <c r="S19" s="37" t="str">
        <f t="shared" ca="1" si="17"/>
        <v>-</v>
      </c>
      <c r="T19" s="37" t="str">
        <f t="shared" ca="1" si="17"/>
        <v>-</v>
      </c>
      <c r="U19" s="37">
        <f t="shared" ca="1" si="17"/>
        <v>0</v>
      </c>
      <c r="V19" s="37">
        <f t="shared" ca="1" si="17"/>
        <v>1</v>
      </c>
      <c r="W19" s="37" t="str">
        <f t="shared" ca="1" si="17"/>
        <v>-</v>
      </c>
      <c r="X19" s="37" t="str">
        <f t="shared" ca="1" si="17"/>
        <v>-</v>
      </c>
      <c r="Y19" s="37">
        <f t="shared" ca="1" si="17"/>
        <v>0</v>
      </c>
      <c r="Z19" s="37">
        <f t="shared" ca="1" si="24"/>
        <v>1</v>
      </c>
      <c r="AA19" s="25" t="str">
        <f t="shared" si="18"/>
        <v>-</v>
      </c>
      <c r="AB19" s="25" t="str">
        <f t="shared" si="14"/>
        <v>-</v>
      </c>
      <c r="AC19" s="25" t="str">
        <f t="shared" si="14"/>
        <v>-</v>
      </c>
      <c r="AD19" s="37" t="str">
        <f t="shared" ca="1" si="24"/>
        <v>-</v>
      </c>
      <c r="AE19" s="37" t="str">
        <f t="shared" ca="1" si="24"/>
        <v>-</v>
      </c>
      <c r="AF19" s="37" t="str">
        <f t="shared" ca="1" si="24"/>
        <v>-</v>
      </c>
      <c r="AG19" s="37" t="str">
        <f t="shared" ca="1" si="22"/>
        <v>-</v>
      </c>
      <c r="AH19" s="37" t="str">
        <f t="shared" ca="1" si="22"/>
        <v>-</v>
      </c>
      <c r="AI19" s="37" t="str">
        <f t="shared" ca="1" si="22"/>
        <v>-</v>
      </c>
      <c r="AJ19" s="37" t="str">
        <f t="shared" ca="1" si="21"/>
        <v>-</v>
      </c>
      <c r="AK19" s="37" t="str">
        <f t="shared" ca="1" si="21"/>
        <v>-</v>
      </c>
      <c r="AL19" s="37">
        <f t="shared" ca="1" si="24"/>
        <v>60</v>
      </c>
      <c r="AM19" s="37">
        <f t="shared" ca="1" si="24"/>
        <v>1</v>
      </c>
      <c r="AN19" s="37">
        <f t="shared" ca="1" si="24"/>
        <v>0</v>
      </c>
      <c r="AO19" s="37">
        <f t="shared" ca="1" si="24"/>
        <v>1</v>
      </c>
      <c r="AP19" s="37">
        <f t="shared" ca="1" si="16"/>
        <v>0</v>
      </c>
      <c r="AQ19" s="37">
        <f t="shared" ca="1" si="16"/>
        <v>0</v>
      </c>
      <c r="AR19" s="34">
        <v>1.25</v>
      </c>
      <c r="AS19" s="37">
        <f t="shared" ca="1" si="24"/>
        <v>0</v>
      </c>
      <c r="AT19" s="37">
        <f t="shared" ca="1" si="22"/>
        <v>0</v>
      </c>
      <c r="AU19" s="37">
        <f t="shared" ca="1" si="22"/>
        <v>0</v>
      </c>
      <c r="AV19" s="37">
        <f t="shared" ca="1" si="22"/>
        <v>0</v>
      </c>
      <c r="AW19" s="37">
        <f t="shared" ca="1" si="22"/>
        <v>80</v>
      </c>
      <c r="AX19" s="37">
        <f t="shared" ca="1" si="22"/>
        <v>90</v>
      </c>
      <c r="AY19" s="37">
        <f t="shared" ca="1" si="23"/>
        <v>0</v>
      </c>
      <c r="AZ19" s="37">
        <f t="shared" ca="1" si="23"/>
        <v>0</v>
      </c>
      <c r="BA19" s="37">
        <f t="shared" ca="1" si="23"/>
        <v>0</v>
      </c>
      <c r="BB19" s="12"/>
    </row>
    <row r="20" spans="1:54">
      <c r="A20" s="15"/>
      <c r="B20">
        <f t="shared" si="11"/>
        <v>15</v>
      </c>
      <c r="C20" s="36">
        <f>C12</f>
        <v>4</v>
      </c>
      <c r="D20">
        <v>0</v>
      </c>
      <c r="E20" t="b">
        <v>0</v>
      </c>
      <c r="F20" t="b">
        <v>0</v>
      </c>
      <c r="G20" t="b">
        <v>0</v>
      </c>
      <c r="H20" s="3" t="str">
        <f t="shared" ca="1" si="12"/>
        <v>012-G0_sfw100%_sfd-2.0_conc0000_prlf0000_era000%</v>
      </c>
      <c r="I20" s="19" t="str">
        <f ca="1">IF(MATCH(H20,H$5:H20,0)=(COUNTA(H$5:H20)),"-","Dup")</f>
        <v>-</v>
      </c>
      <c r="J20" s="37" t="str">
        <f t="shared" ca="1" si="17"/>
        <v>-</v>
      </c>
      <c r="K20" s="37" t="b">
        <f t="shared" ca="1" si="13"/>
        <v>0</v>
      </c>
      <c r="L20" s="37" t="b">
        <f t="shared" ca="1" si="13"/>
        <v>1</v>
      </c>
      <c r="M20" s="37">
        <f t="shared" ca="1" si="13"/>
        <v>2</v>
      </c>
      <c r="N20" s="37" t="str">
        <f t="shared" ca="1" si="13"/>
        <v>-</v>
      </c>
      <c r="O20" s="37" t="str">
        <f t="shared" ca="1" si="13"/>
        <v>-</v>
      </c>
      <c r="P20" s="37" t="str">
        <f t="shared" ca="1" si="13"/>
        <v>-</v>
      </c>
      <c r="Q20" s="37" t="str">
        <f t="shared" ca="1" si="13"/>
        <v>-</v>
      </c>
      <c r="R20" s="37" t="str">
        <f t="shared" ca="1" si="13"/>
        <v>-</v>
      </c>
      <c r="S20" s="37" t="str">
        <f t="shared" ca="1" si="13"/>
        <v>-</v>
      </c>
      <c r="T20" s="37" t="str">
        <f t="shared" ca="1" si="13"/>
        <v>-</v>
      </c>
      <c r="U20" s="37">
        <f t="shared" ca="1" si="13"/>
        <v>0</v>
      </c>
      <c r="V20" s="37">
        <f t="shared" ca="1" si="13"/>
        <v>1</v>
      </c>
      <c r="W20" s="37" t="str">
        <f t="shared" ca="1" si="13"/>
        <v>-</v>
      </c>
      <c r="X20" s="37" t="str">
        <f t="shared" ca="1" si="13"/>
        <v>-</v>
      </c>
      <c r="Y20" s="37">
        <f t="shared" ca="1" si="13"/>
        <v>0</v>
      </c>
      <c r="Z20" s="37">
        <f t="shared" ca="1" si="13"/>
        <v>1</v>
      </c>
      <c r="AA20" s="25" t="str">
        <f t="shared" si="18"/>
        <v>-</v>
      </c>
      <c r="AB20" s="25" t="str">
        <f t="shared" si="14"/>
        <v>-</v>
      </c>
      <c r="AC20" s="25" t="str">
        <f t="shared" si="14"/>
        <v>-</v>
      </c>
      <c r="AD20" s="37" t="str">
        <f t="shared" ref="AD20:AI22" ca="1" si="25">OFFSET(AD$5,$C20,0)</f>
        <v>-</v>
      </c>
      <c r="AE20" s="37" t="str">
        <f t="shared" ca="1" si="25"/>
        <v>-</v>
      </c>
      <c r="AF20" s="37" t="str">
        <f t="shared" ca="1" si="25"/>
        <v>-</v>
      </c>
      <c r="AG20" s="37" t="str">
        <f t="shared" ca="1" si="25"/>
        <v>-</v>
      </c>
      <c r="AH20" s="37" t="str">
        <f t="shared" ca="1" si="25"/>
        <v>-</v>
      </c>
      <c r="AI20" s="37" t="str">
        <f t="shared" ca="1" si="25"/>
        <v>-</v>
      </c>
      <c r="AJ20" s="37" t="str">
        <f t="shared" ca="1" si="21"/>
        <v>-</v>
      </c>
      <c r="AK20" s="37" t="str">
        <f t="shared" ca="1" si="21"/>
        <v>-</v>
      </c>
      <c r="AL20" s="37">
        <f t="shared" ca="1" si="13"/>
        <v>60</v>
      </c>
      <c r="AM20" s="37">
        <f t="shared" ca="1" si="13"/>
        <v>1</v>
      </c>
      <c r="AN20" s="37">
        <f t="shared" ca="1" si="13"/>
        <v>0</v>
      </c>
      <c r="AO20" s="37">
        <f t="shared" ca="1" si="13"/>
        <v>1</v>
      </c>
      <c r="AP20" s="37">
        <f t="shared" ca="1" si="16"/>
        <v>0</v>
      </c>
      <c r="AQ20" s="37">
        <f t="shared" ca="1" si="16"/>
        <v>0</v>
      </c>
      <c r="AR20" s="37">
        <f t="shared" ca="1" si="13"/>
        <v>1</v>
      </c>
      <c r="AS20" s="34">
        <v>-2</v>
      </c>
      <c r="AT20" s="37">
        <f t="shared" ca="1" si="13"/>
        <v>0</v>
      </c>
      <c r="AU20" s="37">
        <f t="shared" ca="1" si="13"/>
        <v>0</v>
      </c>
      <c r="AV20" s="37">
        <f ca="1">OFFSET(AV$5,$C20,0)</f>
        <v>0</v>
      </c>
      <c r="AW20" s="37">
        <f t="shared" ca="1" si="13"/>
        <v>80</v>
      </c>
      <c r="AX20" s="37">
        <f t="shared" ca="1" si="13"/>
        <v>90</v>
      </c>
      <c r="AY20" s="37">
        <f t="shared" ca="1" si="13"/>
        <v>0</v>
      </c>
      <c r="AZ20" s="37">
        <f t="shared" ca="1" si="13"/>
        <v>0</v>
      </c>
      <c r="BA20" s="37">
        <f t="shared" ca="1" si="13"/>
        <v>0</v>
      </c>
      <c r="BB20" s="12"/>
    </row>
    <row r="21" spans="1:54">
      <c r="A21" s="15"/>
      <c r="B21">
        <f t="shared" si="11"/>
        <v>16</v>
      </c>
      <c r="C21" s="36">
        <f t="shared" si="19"/>
        <v>4</v>
      </c>
      <c r="D21">
        <v>0</v>
      </c>
      <c r="E21" t="b">
        <v>0</v>
      </c>
      <c r="F21" t="b">
        <v>0</v>
      </c>
      <c r="G21" t="b">
        <v>0</v>
      </c>
      <c r="H21" s="3" t="str">
        <f t="shared" ca="1" si="12"/>
        <v>013-G0_sfw100%_sfd-1.6_conc0000_prlf0000_era000%</v>
      </c>
      <c r="I21" s="19" t="str">
        <f ca="1">IF(MATCH(H21,H$5:H21,0)=(COUNTA(H$5:H21)),"-","Dup")</f>
        <v>-</v>
      </c>
      <c r="J21" s="37" t="str">
        <f t="shared" ca="1" si="17"/>
        <v>-</v>
      </c>
      <c r="K21" s="37" t="b">
        <f t="shared" ca="1" si="13"/>
        <v>0</v>
      </c>
      <c r="L21" s="37" t="b">
        <f t="shared" ca="1" si="13"/>
        <v>1</v>
      </c>
      <c r="M21" s="37">
        <f t="shared" ca="1" si="13"/>
        <v>2</v>
      </c>
      <c r="N21" s="37" t="str">
        <f t="shared" ca="1" si="13"/>
        <v>-</v>
      </c>
      <c r="O21" s="37" t="str">
        <f t="shared" ca="1" si="13"/>
        <v>-</v>
      </c>
      <c r="P21" s="37" t="str">
        <f t="shared" ca="1" si="13"/>
        <v>-</v>
      </c>
      <c r="Q21" s="37" t="str">
        <f t="shared" ca="1" si="13"/>
        <v>-</v>
      </c>
      <c r="R21" s="37" t="str">
        <f t="shared" ca="1" si="13"/>
        <v>-</v>
      </c>
      <c r="S21" s="37" t="str">
        <f t="shared" ca="1" si="13"/>
        <v>-</v>
      </c>
      <c r="T21" s="37" t="str">
        <f t="shared" ca="1" si="13"/>
        <v>-</v>
      </c>
      <c r="U21" s="37">
        <f t="shared" ca="1" si="13"/>
        <v>0</v>
      </c>
      <c r="V21" s="37">
        <f t="shared" ca="1" si="13"/>
        <v>1</v>
      </c>
      <c r="W21" s="37" t="str">
        <f t="shared" ca="1" si="13"/>
        <v>-</v>
      </c>
      <c r="X21" s="37" t="str">
        <f t="shared" ca="1" si="13"/>
        <v>-</v>
      </c>
      <c r="Y21" s="37">
        <f t="shared" ca="1" si="13"/>
        <v>0</v>
      </c>
      <c r="Z21" s="37">
        <f t="shared" ca="1" si="13"/>
        <v>1</v>
      </c>
      <c r="AA21" s="25" t="str">
        <f t="shared" si="18"/>
        <v>-</v>
      </c>
      <c r="AB21" s="25" t="str">
        <f t="shared" si="14"/>
        <v>-</v>
      </c>
      <c r="AC21" s="25" t="str">
        <f t="shared" si="14"/>
        <v>-</v>
      </c>
      <c r="AD21" s="37" t="str">
        <f t="shared" ca="1" si="25"/>
        <v>-</v>
      </c>
      <c r="AE21" s="37" t="str">
        <f t="shared" ca="1" si="25"/>
        <v>-</v>
      </c>
      <c r="AF21" s="37" t="str">
        <f t="shared" ca="1" si="25"/>
        <v>-</v>
      </c>
      <c r="AG21" s="37" t="str">
        <f t="shared" ca="1" si="25"/>
        <v>-</v>
      </c>
      <c r="AH21" s="37" t="str">
        <f t="shared" ca="1" si="25"/>
        <v>-</v>
      </c>
      <c r="AI21" s="37" t="str">
        <f t="shared" ca="1" si="25"/>
        <v>-</v>
      </c>
      <c r="AJ21" s="37" t="str">
        <f t="shared" ca="1" si="21"/>
        <v>-</v>
      </c>
      <c r="AK21" s="37" t="str">
        <f t="shared" ca="1" si="21"/>
        <v>-</v>
      </c>
      <c r="AL21" s="37">
        <f t="shared" ca="1" si="13"/>
        <v>60</v>
      </c>
      <c r="AM21" s="37">
        <f t="shared" ca="1" si="13"/>
        <v>1</v>
      </c>
      <c r="AN21" s="37">
        <f t="shared" ca="1" si="13"/>
        <v>0</v>
      </c>
      <c r="AO21" s="37">
        <f t="shared" ca="1" si="13"/>
        <v>1</v>
      </c>
      <c r="AP21" s="37">
        <f t="shared" ca="1" si="16"/>
        <v>0</v>
      </c>
      <c r="AQ21" s="37">
        <f t="shared" ca="1" si="16"/>
        <v>0</v>
      </c>
      <c r="AR21" s="37">
        <f t="shared" ca="1" si="13"/>
        <v>1</v>
      </c>
      <c r="AS21" s="34">
        <v>-1.6</v>
      </c>
      <c r="AT21" s="37">
        <f t="shared" ca="1" si="13"/>
        <v>0</v>
      </c>
      <c r="AU21" s="37">
        <f t="shared" ca="1" si="13"/>
        <v>0</v>
      </c>
      <c r="AV21" s="37">
        <f ca="1">OFFSET(AV$5,$C21,0)</f>
        <v>0</v>
      </c>
      <c r="AW21" s="37">
        <f t="shared" ca="1" si="13"/>
        <v>80</v>
      </c>
      <c r="AX21" s="37">
        <f t="shared" ca="1" si="13"/>
        <v>90</v>
      </c>
      <c r="AY21" s="37">
        <f t="shared" ca="1" si="13"/>
        <v>0</v>
      </c>
      <c r="AZ21" s="37">
        <f t="shared" ca="1" si="13"/>
        <v>0</v>
      </c>
      <c r="BA21" s="37">
        <f t="shared" ca="1" si="13"/>
        <v>0</v>
      </c>
      <c r="BB21" s="12"/>
    </row>
    <row r="22" spans="1:54">
      <c r="A22" s="15"/>
      <c r="B22">
        <f t="shared" si="11"/>
        <v>17</v>
      </c>
      <c r="C22" s="36">
        <f t="shared" si="19"/>
        <v>4</v>
      </c>
      <c r="D22">
        <v>0</v>
      </c>
      <c r="E22" t="b">
        <v>0</v>
      </c>
      <c r="F22" t="b">
        <v>0</v>
      </c>
      <c r="G22" t="b">
        <v>0</v>
      </c>
      <c r="H22" s="3" t="str">
        <f t="shared" ca="1" si="12"/>
        <v>014-G0_sfw100%_sfd-1.2_conc0000_prlf0000_era000%</v>
      </c>
      <c r="I22" s="19" t="str">
        <f ca="1">IF(MATCH(H22,H$5:H22,0)=(COUNTA(H$5:H22)),"-","Dup")</f>
        <v>-</v>
      </c>
      <c r="J22" s="37" t="str">
        <f t="shared" ca="1" si="17"/>
        <v>-</v>
      </c>
      <c r="K22" s="37" t="b">
        <f t="shared" ca="1" si="13"/>
        <v>0</v>
      </c>
      <c r="L22" s="37" t="b">
        <f t="shared" ca="1" si="13"/>
        <v>1</v>
      </c>
      <c r="M22" s="37">
        <f t="shared" ca="1" si="13"/>
        <v>2</v>
      </c>
      <c r="N22" s="37" t="str">
        <f t="shared" ca="1" si="13"/>
        <v>-</v>
      </c>
      <c r="O22" s="37" t="str">
        <f t="shared" ca="1" si="13"/>
        <v>-</v>
      </c>
      <c r="P22" s="37" t="str">
        <f t="shared" ca="1" si="13"/>
        <v>-</v>
      </c>
      <c r="Q22" s="37" t="str">
        <f t="shared" ca="1" si="13"/>
        <v>-</v>
      </c>
      <c r="R22" s="37" t="str">
        <f t="shared" ca="1" si="13"/>
        <v>-</v>
      </c>
      <c r="S22" s="37" t="str">
        <f t="shared" ca="1" si="13"/>
        <v>-</v>
      </c>
      <c r="T22" s="37" t="str">
        <f t="shared" ca="1" si="13"/>
        <v>-</v>
      </c>
      <c r="U22" s="37">
        <f t="shared" ca="1" si="13"/>
        <v>0</v>
      </c>
      <c r="V22" s="37">
        <f t="shared" ca="1" si="13"/>
        <v>1</v>
      </c>
      <c r="W22" s="37" t="str">
        <f t="shared" ca="1" si="13"/>
        <v>-</v>
      </c>
      <c r="X22" s="37" t="str">
        <f t="shared" ca="1" si="13"/>
        <v>-</v>
      </c>
      <c r="Y22" s="37">
        <f t="shared" ca="1" si="13"/>
        <v>0</v>
      </c>
      <c r="Z22" s="37">
        <f t="shared" ca="1" si="13"/>
        <v>1</v>
      </c>
      <c r="AA22" s="25" t="str">
        <f t="shared" si="18"/>
        <v>-</v>
      </c>
      <c r="AB22" s="25" t="str">
        <f t="shared" si="14"/>
        <v>-</v>
      </c>
      <c r="AC22" s="25" t="str">
        <f t="shared" si="14"/>
        <v>-</v>
      </c>
      <c r="AD22" s="37" t="str">
        <f t="shared" ca="1" si="25"/>
        <v>-</v>
      </c>
      <c r="AE22" s="37" t="str">
        <f t="shared" ca="1" si="25"/>
        <v>-</v>
      </c>
      <c r="AF22" s="37" t="str">
        <f t="shared" ca="1" si="25"/>
        <v>-</v>
      </c>
      <c r="AG22" s="37" t="str">
        <f t="shared" ca="1" si="25"/>
        <v>-</v>
      </c>
      <c r="AH22" s="37" t="str">
        <f t="shared" ca="1" si="25"/>
        <v>-</v>
      </c>
      <c r="AI22" s="37" t="str">
        <f t="shared" ca="1" si="25"/>
        <v>-</v>
      </c>
      <c r="AJ22" s="37" t="str">
        <f t="shared" ca="1" si="21"/>
        <v>-</v>
      </c>
      <c r="AK22" s="37" t="str">
        <f t="shared" ca="1" si="21"/>
        <v>-</v>
      </c>
      <c r="AL22" s="37">
        <f t="shared" ca="1" si="13"/>
        <v>60</v>
      </c>
      <c r="AM22" s="37">
        <f t="shared" ca="1" si="13"/>
        <v>1</v>
      </c>
      <c r="AN22" s="37">
        <f t="shared" ca="1" si="13"/>
        <v>0</v>
      </c>
      <c r="AO22" s="37">
        <f t="shared" ca="1" si="13"/>
        <v>1</v>
      </c>
      <c r="AP22" s="37">
        <f t="shared" ca="1" si="16"/>
        <v>0</v>
      </c>
      <c r="AQ22" s="37">
        <f t="shared" ca="1" si="16"/>
        <v>0</v>
      </c>
      <c r="AR22" s="37">
        <f t="shared" ca="1" si="13"/>
        <v>1</v>
      </c>
      <c r="AS22" s="34">
        <v>-1.2</v>
      </c>
      <c r="AT22" s="37">
        <f t="shared" ca="1" si="13"/>
        <v>0</v>
      </c>
      <c r="AU22" s="37">
        <f t="shared" ca="1" si="13"/>
        <v>0</v>
      </c>
      <c r="AV22" s="37">
        <f ca="1">OFFSET(AV$5,$C22,0)</f>
        <v>0</v>
      </c>
      <c r="AW22" s="37">
        <f t="shared" ca="1" si="13"/>
        <v>80</v>
      </c>
      <c r="AX22" s="37">
        <f t="shared" ca="1" si="13"/>
        <v>90</v>
      </c>
      <c r="AY22" s="37">
        <f t="shared" ca="1" si="13"/>
        <v>0</v>
      </c>
      <c r="AZ22" s="37">
        <f t="shared" ca="1" si="13"/>
        <v>0</v>
      </c>
      <c r="BA22" s="37">
        <f t="shared" ca="1" si="13"/>
        <v>0</v>
      </c>
      <c r="BB22" s="12"/>
    </row>
    <row r="23" spans="1:54">
      <c r="A23" s="15"/>
      <c r="B23">
        <f t="shared" si="11"/>
        <v>18</v>
      </c>
      <c r="C23" s="36">
        <f t="shared" ref="C23:C29" si="26">C22</f>
        <v>4</v>
      </c>
      <c r="D23">
        <v>0</v>
      </c>
      <c r="E23" t="b">
        <v>0</v>
      </c>
      <c r="F23" t="b">
        <v>0</v>
      </c>
      <c r="G23" t="b">
        <v>0</v>
      </c>
      <c r="H23" s="3" t="str">
        <f t="shared" ca="1" si="12"/>
        <v>015-G0_sfw100%_sfd-0.8_conc0000_prlf0000_era000%</v>
      </c>
      <c r="I23" s="19" t="str">
        <f ca="1">IF(MATCH(H23,H$5:H23,0)=(COUNTA(H$5:H23)),"-","Dup")</f>
        <v>-</v>
      </c>
      <c r="J23" s="37" t="str">
        <f t="shared" ca="1" si="17"/>
        <v>-</v>
      </c>
      <c r="K23" s="37" t="b">
        <f t="shared" ca="1" si="17"/>
        <v>0</v>
      </c>
      <c r="L23" s="37" t="b">
        <f t="shared" ca="1" si="17"/>
        <v>1</v>
      </c>
      <c r="M23" s="37">
        <f t="shared" ca="1" si="17"/>
        <v>2</v>
      </c>
      <c r="N23" s="37" t="str">
        <f t="shared" ca="1" si="17"/>
        <v>-</v>
      </c>
      <c r="O23" s="37" t="str">
        <f t="shared" ca="1" si="17"/>
        <v>-</v>
      </c>
      <c r="P23" s="37" t="str">
        <f t="shared" ca="1" si="17"/>
        <v>-</v>
      </c>
      <c r="Q23" s="37" t="str">
        <f t="shared" ca="1" si="17"/>
        <v>-</v>
      </c>
      <c r="R23" s="37" t="str">
        <f t="shared" ca="1" si="17"/>
        <v>-</v>
      </c>
      <c r="S23" s="37" t="str">
        <f t="shared" ca="1" si="17"/>
        <v>-</v>
      </c>
      <c r="T23" s="37" t="str">
        <f t="shared" ca="1" si="17"/>
        <v>-</v>
      </c>
      <c r="U23" s="37">
        <f t="shared" ca="1" si="17"/>
        <v>0</v>
      </c>
      <c r="V23" s="37">
        <f t="shared" ca="1" si="17"/>
        <v>1</v>
      </c>
      <c r="W23" s="37" t="str">
        <f t="shared" ca="1" si="17"/>
        <v>-</v>
      </c>
      <c r="X23" s="37" t="str">
        <f t="shared" ca="1" si="17"/>
        <v>-</v>
      </c>
      <c r="Y23" s="37">
        <f t="shared" ca="1" si="17"/>
        <v>0</v>
      </c>
      <c r="Z23" s="37">
        <f t="shared" ref="Z23:AR29" ca="1" si="27">OFFSET(Z$5,$C23,0)</f>
        <v>1</v>
      </c>
      <c r="AA23" s="25" t="str">
        <f t="shared" si="18"/>
        <v>-</v>
      </c>
      <c r="AB23" s="25" t="str">
        <f t="shared" si="14"/>
        <v>-</v>
      </c>
      <c r="AC23" s="25" t="str">
        <f t="shared" si="14"/>
        <v>-</v>
      </c>
      <c r="AD23" s="37" t="str">
        <f t="shared" ca="1" si="27"/>
        <v>-</v>
      </c>
      <c r="AE23" s="37" t="str">
        <f t="shared" ca="1" si="27"/>
        <v>-</v>
      </c>
      <c r="AF23" s="37" t="str">
        <f t="shared" ca="1" si="27"/>
        <v>-</v>
      </c>
      <c r="AG23" s="37" t="str">
        <f t="shared" ca="1" si="27"/>
        <v>-</v>
      </c>
      <c r="AH23" s="37" t="str">
        <f t="shared" ca="1" si="27"/>
        <v>-</v>
      </c>
      <c r="AI23" s="37" t="str">
        <f t="shared" ca="1" si="27"/>
        <v>-</v>
      </c>
      <c r="AJ23" s="37" t="str">
        <f t="shared" ca="1" si="21"/>
        <v>-</v>
      </c>
      <c r="AK23" s="37" t="str">
        <f t="shared" ca="1" si="21"/>
        <v>-</v>
      </c>
      <c r="AL23" s="37">
        <f t="shared" ca="1" si="27"/>
        <v>60</v>
      </c>
      <c r="AM23" s="37">
        <f t="shared" ca="1" si="27"/>
        <v>1</v>
      </c>
      <c r="AN23" s="37">
        <f t="shared" ca="1" si="27"/>
        <v>0</v>
      </c>
      <c r="AO23" s="37">
        <f t="shared" ca="1" si="27"/>
        <v>1</v>
      </c>
      <c r="AP23" s="37">
        <f t="shared" ca="1" si="16"/>
        <v>0</v>
      </c>
      <c r="AQ23" s="37">
        <f t="shared" ca="1" si="16"/>
        <v>0</v>
      </c>
      <c r="AR23" s="37">
        <f t="shared" ca="1" si="27"/>
        <v>1</v>
      </c>
      <c r="AS23" s="34">
        <v>-0.8</v>
      </c>
      <c r="AT23" s="37">
        <f t="shared" ref="AT23:BA38" ca="1" si="28">OFFSET(AT$5,$C23,0)</f>
        <v>0</v>
      </c>
      <c r="AU23" s="37">
        <f t="shared" ca="1" si="28"/>
        <v>0</v>
      </c>
      <c r="AV23" s="37">
        <f t="shared" ca="1" si="28"/>
        <v>0</v>
      </c>
      <c r="AW23" s="37">
        <f t="shared" ca="1" si="28"/>
        <v>80</v>
      </c>
      <c r="AX23" s="37">
        <f t="shared" ca="1" si="28"/>
        <v>90</v>
      </c>
      <c r="AY23" s="37">
        <f t="shared" ca="1" si="28"/>
        <v>0</v>
      </c>
      <c r="AZ23" s="37">
        <f t="shared" ca="1" si="28"/>
        <v>0</v>
      </c>
      <c r="BA23" s="37">
        <f t="shared" ca="1" si="28"/>
        <v>0</v>
      </c>
      <c r="BB23" s="12"/>
    </row>
    <row r="24" spans="1:54">
      <c r="A24" s="15"/>
      <c r="B24">
        <f t="shared" si="11"/>
        <v>19</v>
      </c>
      <c r="C24" s="36">
        <f t="shared" si="26"/>
        <v>4</v>
      </c>
      <c r="D24">
        <v>0</v>
      </c>
      <c r="E24" t="b">
        <v>0</v>
      </c>
      <c r="F24" t="b">
        <v>0</v>
      </c>
      <c r="G24" t="b">
        <v>0</v>
      </c>
      <c r="H24" s="3" t="str">
        <f t="shared" ca="1" si="12"/>
        <v>016-G0_sfw100%_sfd-0.4_conc0000_prlf0000_era000%</v>
      </c>
      <c r="I24" s="19" t="str">
        <f ca="1">IF(MATCH(H24,H$5:H24,0)=(COUNTA(H$5:H24)),"-","Dup")</f>
        <v>-</v>
      </c>
      <c r="J24" s="37" t="str">
        <f t="shared" ca="1" si="17"/>
        <v>-</v>
      </c>
      <c r="K24" s="37" t="b">
        <f t="shared" ca="1" si="17"/>
        <v>0</v>
      </c>
      <c r="L24" s="37" t="b">
        <f t="shared" ca="1" si="17"/>
        <v>1</v>
      </c>
      <c r="M24" s="37">
        <f t="shared" ca="1" si="17"/>
        <v>2</v>
      </c>
      <c r="N24" s="37" t="str">
        <f t="shared" ca="1" si="17"/>
        <v>-</v>
      </c>
      <c r="O24" s="37" t="str">
        <f t="shared" ca="1" si="17"/>
        <v>-</v>
      </c>
      <c r="P24" s="37" t="str">
        <f t="shared" ca="1" si="17"/>
        <v>-</v>
      </c>
      <c r="Q24" s="37" t="str">
        <f t="shared" ca="1" si="17"/>
        <v>-</v>
      </c>
      <c r="R24" s="37" t="str">
        <f t="shared" ca="1" si="17"/>
        <v>-</v>
      </c>
      <c r="S24" s="37" t="str">
        <f t="shared" ca="1" si="17"/>
        <v>-</v>
      </c>
      <c r="T24" s="37" t="str">
        <f t="shared" ca="1" si="17"/>
        <v>-</v>
      </c>
      <c r="U24" s="37">
        <f t="shared" ca="1" si="17"/>
        <v>0</v>
      </c>
      <c r="V24" s="37">
        <f t="shared" ca="1" si="17"/>
        <v>1</v>
      </c>
      <c r="W24" s="37" t="str">
        <f t="shared" ca="1" si="17"/>
        <v>-</v>
      </c>
      <c r="X24" s="37" t="str">
        <f t="shared" ca="1" si="17"/>
        <v>-</v>
      </c>
      <c r="Y24" s="37">
        <f t="shared" ca="1" si="17"/>
        <v>0</v>
      </c>
      <c r="Z24" s="37">
        <f t="shared" ca="1" si="27"/>
        <v>1</v>
      </c>
      <c r="AA24" s="25" t="str">
        <f t="shared" si="18"/>
        <v>-</v>
      </c>
      <c r="AB24" s="25" t="str">
        <f t="shared" si="14"/>
        <v>-</v>
      </c>
      <c r="AC24" s="25" t="str">
        <f t="shared" si="14"/>
        <v>-</v>
      </c>
      <c r="AD24" s="37" t="str">
        <f t="shared" ca="1" si="27"/>
        <v>-</v>
      </c>
      <c r="AE24" s="37" t="str">
        <f t="shared" ca="1" si="27"/>
        <v>-</v>
      </c>
      <c r="AF24" s="37" t="str">
        <f t="shared" ca="1" si="27"/>
        <v>-</v>
      </c>
      <c r="AG24" s="37" t="str">
        <f t="shared" ca="1" si="27"/>
        <v>-</v>
      </c>
      <c r="AH24" s="37" t="str">
        <f t="shared" ca="1" si="27"/>
        <v>-</v>
      </c>
      <c r="AI24" s="37" t="str">
        <f t="shared" ca="1" si="27"/>
        <v>-</v>
      </c>
      <c r="AJ24" s="37" t="str">
        <f t="shared" ca="1" si="21"/>
        <v>-</v>
      </c>
      <c r="AK24" s="37" t="str">
        <f t="shared" ca="1" si="21"/>
        <v>-</v>
      </c>
      <c r="AL24" s="37">
        <f t="shared" ca="1" si="27"/>
        <v>60</v>
      </c>
      <c r="AM24" s="37">
        <f t="shared" ca="1" si="27"/>
        <v>1</v>
      </c>
      <c r="AN24" s="37">
        <f t="shared" ca="1" si="27"/>
        <v>0</v>
      </c>
      <c r="AO24" s="37">
        <f t="shared" ca="1" si="27"/>
        <v>1</v>
      </c>
      <c r="AP24" s="37">
        <f t="shared" ca="1" si="16"/>
        <v>0</v>
      </c>
      <c r="AQ24" s="37">
        <f t="shared" ca="1" si="16"/>
        <v>0</v>
      </c>
      <c r="AR24" s="37">
        <f t="shared" ca="1" si="27"/>
        <v>1</v>
      </c>
      <c r="AS24" s="34">
        <v>-0.4</v>
      </c>
      <c r="AT24" s="37">
        <f t="shared" ca="1" si="28"/>
        <v>0</v>
      </c>
      <c r="AU24" s="37">
        <f t="shared" ca="1" si="28"/>
        <v>0</v>
      </c>
      <c r="AV24" s="37">
        <f t="shared" ca="1" si="28"/>
        <v>0</v>
      </c>
      <c r="AW24" s="37">
        <f t="shared" ca="1" si="28"/>
        <v>80</v>
      </c>
      <c r="AX24" s="37">
        <f t="shared" ca="1" si="28"/>
        <v>90</v>
      </c>
      <c r="AY24" s="37">
        <f t="shared" ca="1" si="28"/>
        <v>0</v>
      </c>
      <c r="AZ24" s="37">
        <f t="shared" ca="1" si="28"/>
        <v>0</v>
      </c>
      <c r="BA24" s="37">
        <f t="shared" ca="1" si="28"/>
        <v>0</v>
      </c>
      <c r="BB24" s="12"/>
    </row>
    <row r="25" spans="1:54">
      <c r="A25" s="15"/>
      <c r="B25">
        <f t="shared" si="11"/>
        <v>20</v>
      </c>
      <c r="C25" s="36">
        <f t="shared" si="26"/>
        <v>4</v>
      </c>
      <c r="D25">
        <v>0</v>
      </c>
      <c r="E25" t="b">
        <v>0</v>
      </c>
      <c r="F25" t="b">
        <v>0</v>
      </c>
      <c r="G25" t="b">
        <v>0</v>
      </c>
      <c r="H25" s="3" t="str">
        <f t="shared" ca="1" si="12"/>
        <v>017-G0_sfw100%_sfd+0.5_conc0000_prlf0000_era000%</v>
      </c>
      <c r="I25" s="19" t="str">
        <f ca="1">IF(MATCH(H25,H$5:H25,0)=(COUNTA(H$5:H25)),"-","Dup")</f>
        <v>-</v>
      </c>
      <c r="J25" s="37" t="str">
        <f t="shared" ca="1" si="17"/>
        <v>-</v>
      </c>
      <c r="K25" s="37" t="b">
        <f t="shared" ca="1" si="17"/>
        <v>0</v>
      </c>
      <c r="L25" s="37" t="b">
        <f t="shared" ca="1" si="17"/>
        <v>1</v>
      </c>
      <c r="M25" s="37">
        <f t="shared" ca="1" si="17"/>
        <v>2</v>
      </c>
      <c r="N25" s="37" t="str">
        <f t="shared" ca="1" si="17"/>
        <v>-</v>
      </c>
      <c r="O25" s="37" t="str">
        <f t="shared" ca="1" si="17"/>
        <v>-</v>
      </c>
      <c r="P25" s="37" t="str">
        <f t="shared" ca="1" si="17"/>
        <v>-</v>
      </c>
      <c r="Q25" s="37" t="str">
        <f t="shared" ca="1" si="17"/>
        <v>-</v>
      </c>
      <c r="R25" s="37" t="str">
        <f t="shared" ca="1" si="17"/>
        <v>-</v>
      </c>
      <c r="S25" s="37" t="str">
        <f t="shared" ca="1" si="17"/>
        <v>-</v>
      </c>
      <c r="T25" s="37" t="str">
        <f t="shared" ca="1" si="17"/>
        <v>-</v>
      </c>
      <c r="U25" s="37">
        <f t="shared" ca="1" si="17"/>
        <v>0</v>
      </c>
      <c r="V25" s="37">
        <f t="shared" ca="1" si="17"/>
        <v>1</v>
      </c>
      <c r="W25" s="37" t="str">
        <f t="shared" ca="1" si="17"/>
        <v>-</v>
      </c>
      <c r="X25" s="37" t="str">
        <f t="shared" ca="1" si="17"/>
        <v>-</v>
      </c>
      <c r="Y25" s="37">
        <f t="shared" ca="1" si="17"/>
        <v>0</v>
      </c>
      <c r="Z25" s="37">
        <f t="shared" ca="1" si="27"/>
        <v>1</v>
      </c>
      <c r="AA25" s="25" t="str">
        <f t="shared" si="18"/>
        <v>-</v>
      </c>
      <c r="AB25" s="25" t="str">
        <f t="shared" si="14"/>
        <v>-</v>
      </c>
      <c r="AC25" s="25" t="str">
        <f t="shared" si="14"/>
        <v>-</v>
      </c>
      <c r="AD25" s="37" t="str">
        <f t="shared" ca="1" si="27"/>
        <v>-</v>
      </c>
      <c r="AE25" s="37" t="str">
        <f t="shared" ca="1" si="27"/>
        <v>-</v>
      </c>
      <c r="AF25" s="37" t="str">
        <f t="shared" ca="1" si="27"/>
        <v>-</v>
      </c>
      <c r="AG25" s="37" t="str">
        <f t="shared" ca="1" si="27"/>
        <v>-</v>
      </c>
      <c r="AH25" s="37" t="str">
        <f t="shared" ca="1" si="27"/>
        <v>-</v>
      </c>
      <c r="AI25" s="37" t="str">
        <f t="shared" ca="1" si="27"/>
        <v>-</v>
      </c>
      <c r="AJ25" s="37" t="str">
        <f t="shared" ca="1" si="21"/>
        <v>-</v>
      </c>
      <c r="AK25" s="37" t="str">
        <f t="shared" ca="1" si="21"/>
        <v>-</v>
      </c>
      <c r="AL25" s="37">
        <f t="shared" ca="1" si="27"/>
        <v>60</v>
      </c>
      <c r="AM25" s="37">
        <f t="shared" ca="1" si="27"/>
        <v>1</v>
      </c>
      <c r="AN25" s="37">
        <f t="shared" ca="1" si="27"/>
        <v>0</v>
      </c>
      <c r="AO25" s="37">
        <f t="shared" ca="1" si="27"/>
        <v>1</v>
      </c>
      <c r="AP25" s="37">
        <f t="shared" ca="1" si="16"/>
        <v>0</v>
      </c>
      <c r="AQ25" s="37">
        <f t="shared" ca="1" si="16"/>
        <v>0</v>
      </c>
      <c r="AR25" s="37">
        <f t="shared" ca="1" si="27"/>
        <v>1</v>
      </c>
      <c r="AS25" s="34">
        <v>0.5</v>
      </c>
      <c r="AT25" s="37">
        <f t="shared" ca="1" si="28"/>
        <v>0</v>
      </c>
      <c r="AU25" s="37">
        <f t="shared" ca="1" si="28"/>
        <v>0</v>
      </c>
      <c r="AV25" s="37">
        <f t="shared" ca="1" si="28"/>
        <v>0</v>
      </c>
      <c r="AW25" s="37">
        <f t="shared" ca="1" si="28"/>
        <v>80</v>
      </c>
      <c r="AX25" s="37">
        <f t="shared" ca="1" si="28"/>
        <v>90</v>
      </c>
      <c r="AY25" s="37">
        <f t="shared" ca="1" si="28"/>
        <v>0</v>
      </c>
      <c r="AZ25" s="37">
        <f t="shared" ca="1" si="28"/>
        <v>0</v>
      </c>
      <c r="BA25" s="37">
        <f t="shared" ca="1" si="28"/>
        <v>0</v>
      </c>
      <c r="BB25" s="12"/>
    </row>
    <row r="26" spans="1:54">
      <c r="A26" s="15"/>
      <c r="B26">
        <f t="shared" si="11"/>
        <v>21</v>
      </c>
      <c r="C26" s="36">
        <f t="shared" si="26"/>
        <v>4</v>
      </c>
      <c r="D26">
        <v>0</v>
      </c>
      <c r="E26" t="b">
        <v>0</v>
      </c>
      <c r="F26" t="b">
        <v>0</v>
      </c>
      <c r="G26" t="b">
        <v>0</v>
      </c>
      <c r="H26" s="3" t="str">
        <f t="shared" ca="1" si="12"/>
        <v>018-G0_sfw100%_sfd+1.0_conc0000_prlf0000_era000%</v>
      </c>
      <c r="I26" s="19" t="str">
        <f ca="1">IF(MATCH(H26,H$5:H26,0)=(COUNTA(H$5:H26)),"-","Dup")</f>
        <v>-</v>
      </c>
      <c r="J26" s="37" t="str">
        <f t="shared" ca="1" si="17"/>
        <v>-</v>
      </c>
      <c r="K26" s="37" t="b">
        <f t="shared" ca="1" si="17"/>
        <v>0</v>
      </c>
      <c r="L26" s="37" t="b">
        <f t="shared" ca="1" si="17"/>
        <v>1</v>
      </c>
      <c r="M26" s="37">
        <f t="shared" ca="1" si="17"/>
        <v>2</v>
      </c>
      <c r="N26" s="37" t="str">
        <f t="shared" ca="1" si="17"/>
        <v>-</v>
      </c>
      <c r="O26" s="37" t="str">
        <f t="shared" ca="1" si="17"/>
        <v>-</v>
      </c>
      <c r="P26" s="37" t="str">
        <f t="shared" ca="1" si="17"/>
        <v>-</v>
      </c>
      <c r="Q26" s="37" t="str">
        <f t="shared" ca="1" si="17"/>
        <v>-</v>
      </c>
      <c r="R26" s="37" t="str">
        <f t="shared" ca="1" si="17"/>
        <v>-</v>
      </c>
      <c r="S26" s="37" t="str">
        <f t="shared" ca="1" si="17"/>
        <v>-</v>
      </c>
      <c r="T26" s="37" t="str">
        <f t="shared" ca="1" si="17"/>
        <v>-</v>
      </c>
      <c r="U26" s="37">
        <f t="shared" ca="1" si="17"/>
        <v>0</v>
      </c>
      <c r="V26" s="37">
        <f t="shared" ca="1" si="17"/>
        <v>1</v>
      </c>
      <c r="W26" s="37" t="str">
        <f t="shared" ca="1" si="17"/>
        <v>-</v>
      </c>
      <c r="X26" s="37" t="str">
        <f t="shared" ca="1" si="17"/>
        <v>-</v>
      </c>
      <c r="Y26" s="37">
        <f t="shared" ca="1" si="17"/>
        <v>0</v>
      </c>
      <c r="Z26" s="37">
        <f t="shared" ca="1" si="27"/>
        <v>1</v>
      </c>
      <c r="AA26" s="25" t="str">
        <f t="shared" si="18"/>
        <v>-</v>
      </c>
      <c r="AB26" s="25" t="str">
        <f t="shared" si="14"/>
        <v>-</v>
      </c>
      <c r="AC26" s="25" t="str">
        <f t="shared" si="14"/>
        <v>-</v>
      </c>
      <c r="AD26" s="37" t="str">
        <f t="shared" ca="1" si="27"/>
        <v>-</v>
      </c>
      <c r="AE26" s="37" t="str">
        <f t="shared" ca="1" si="27"/>
        <v>-</v>
      </c>
      <c r="AF26" s="37" t="str">
        <f t="shared" ca="1" si="27"/>
        <v>-</v>
      </c>
      <c r="AG26" s="37" t="str">
        <f t="shared" ca="1" si="27"/>
        <v>-</v>
      </c>
      <c r="AH26" s="37" t="str">
        <f t="shared" ca="1" si="27"/>
        <v>-</v>
      </c>
      <c r="AI26" s="37" t="str">
        <f t="shared" ca="1" si="27"/>
        <v>-</v>
      </c>
      <c r="AJ26" s="37" t="str">
        <f t="shared" ca="1" si="21"/>
        <v>-</v>
      </c>
      <c r="AK26" s="37" t="str">
        <f t="shared" ca="1" si="21"/>
        <v>-</v>
      </c>
      <c r="AL26" s="37">
        <f t="shared" ca="1" si="27"/>
        <v>60</v>
      </c>
      <c r="AM26" s="37">
        <f t="shared" ca="1" si="27"/>
        <v>1</v>
      </c>
      <c r="AN26" s="37">
        <f t="shared" ca="1" si="27"/>
        <v>0</v>
      </c>
      <c r="AO26" s="37">
        <f t="shared" ca="1" si="27"/>
        <v>1</v>
      </c>
      <c r="AP26" s="37">
        <f t="shared" ca="1" si="16"/>
        <v>0</v>
      </c>
      <c r="AQ26" s="37">
        <f t="shared" ca="1" si="16"/>
        <v>0</v>
      </c>
      <c r="AR26" s="37">
        <f t="shared" ca="1" si="27"/>
        <v>1</v>
      </c>
      <c r="AS26" s="34">
        <v>1</v>
      </c>
      <c r="AT26" s="37">
        <f t="shared" ca="1" si="28"/>
        <v>0</v>
      </c>
      <c r="AU26" s="37">
        <f t="shared" ca="1" si="28"/>
        <v>0</v>
      </c>
      <c r="AV26" s="37">
        <f t="shared" ca="1" si="28"/>
        <v>0</v>
      </c>
      <c r="AW26" s="37">
        <f t="shared" ca="1" si="28"/>
        <v>80</v>
      </c>
      <c r="AX26" s="37">
        <f t="shared" ca="1" si="28"/>
        <v>90</v>
      </c>
      <c r="AY26" s="37">
        <f t="shared" ca="1" si="28"/>
        <v>0</v>
      </c>
      <c r="AZ26" s="37">
        <f t="shared" ca="1" si="28"/>
        <v>0</v>
      </c>
      <c r="BA26" s="37">
        <f t="shared" ca="1" si="28"/>
        <v>0</v>
      </c>
      <c r="BB26" s="12"/>
    </row>
    <row r="27" spans="1:54">
      <c r="A27" s="15"/>
      <c r="B27">
        <f t="shared" si="11"/>
        <v>22</v>
      </c>
      <c r="C27" s="36">
        <f t="shared" si="26"/>
        <v>4</v>
      </c>
      <c r="D27">
        <v>0</v>
      </c>
      <c r="E27" t="b">
        <v>0</v>
      </c>
      <c r="F27" t="b">
        <v>0</v>
      </c>
      <c r="G27" t="b">
        <v>0</v>
      </c>
      <c r="H27" s="3" t="str">
        <f t="shared" ca="1" si="12"/>
        <v>019-G0_sfw100%_sfd+1.5_conc0000_prlf0000_era000%</v>
      </c>
      <c r="I27" s="19" t="str">
        <f ca="1">IF(MATCH(H27,H$5:H27,0)=(COUNTA(H$5:H27)),"-","Dup")</f>
        <v>-</v>
      </c>
      <c r="J27" s="37" t="str">
        <f t="shared" ca="1" si="17"/>
        <v>-</v>
      </c>
      <c r="K27" s="37" t="b">
        <f t="shared" ca="1" si="17"/>
        <v>0</v>
      </c>
      <c r="L27" s="37" t="b">
        <f t="shared" ca="1" si="17"/>
        <v>1</v>
      </c>
      <c r="M27" s="37">
        <f t="shared" ca="1" si="17"/>
        <v>2</v>
      </c>
      <c r="N27" s="37" t="str">
        <f t="shared" ca="1" si="17"/>
        <v>-</v>
      </c>
      <c r="O27" s="37" t="str">
        <f t="shared" ca="1" si="17"/>
        <v>-</v>
      </c>
      <c r="P27" s="37" t="str">
        <f t="shared" ca="1" si="17"/>
        <v>-</v>
      </c>
      <c r="Q27" s="37" t="str">
        <f t="shared" ca="1" si="17"/>
        <v>-</v>
      </c>
      <c r="R27" s="37" t="str">
        <f t="shared" ca="1" si="17"/>
        <v>-</v>
      </c>
      <c r="S27" s="37" t="str">
        <f t="shared" ca="1" si="17"/>
        <v>-</v>
      </c>
      <c r="T27" s="37" t="str">
        <f t="shared" ca="1" si="17"/>
        <v>-</v>
      </c>
      <c r="U27" s="37">
        <f t="shared" ca="1" si="17"/>
        <v>0</v>
      </c>
      <c r="V27" s="37">
        <f t="shared" ca="1" si="17"/>
        <v>1</v>
      </c>
      <c r="W27" s="37" t="str">
        <f t="shared" ca="1" si="17"/>
        <v>-</v>
      </c>
      <c r="X27" s="37" t="str">
        <f t="shared" ca="1" si="17"/>
        <v>-</v>
      </c>
      <c r="Y27" s="37">
        <f t="shared" ca="1" si="17"/>
        <v>0</v>
      </c>
      <c r="Z27" s="37">
        <f t="shared" ca="1" si="27"/>
        <v>1</v>
      </c>
      <c r="AA27" s="25" t="str">
        <f t="shared" si="18"/>
        <v>-</v>
      </c>
      <c r="AB27" s="25" t="str">
        <f t="shared" si="14"/>
        <v>-</v>
      </c>
      <c r="AC27" s="25" t="str">
        <f t="shared" si="14"/>
        <v>-</v>
      </c>
      <c r="AD27" s="37" t="str">
        <f t="shared" ca="1" si="27"/>
        <v>-</v>
      </c>
      <c r="AE27" s="37" t="str">
        <f t="shared" ca="1" si="27"/>
        <v>-</v>
      </c>
      <c r="AF27" s="37" t="str">
        <f t="shared" ca="1" si="27"/>
        <v>-</v>
      </c>
      <c r="AG27" s="37" t="str">
        <f t="shared" ca="1" si="27"/>
        <v>-</v>
      </c>
      <c r="AH27" s="37" t="str">
        <f t="shared" ca="1" si="27"/>
        <v>-</v>
      </c>
      <c r="AI27" s="37" t="str">
        <f t="shared" ca="1" si="27"/>
        <v>-</v>
      </c>
      <c r="AJ27" s="37" t="str">
        <f t="shared" ca="1" si="21"/>
        <v>-</v>
      </c>
      <c r="AK27" s="37" t="str">
        <f t="shared" ca="1" si="21"/>
        <v>-</v>
      </c>
      <c r="AL27" s="37">
        <f t="shared" ca="1" si="27"/>
        <v>60</v>
      </c>
      <c r="AM27" s="37">
        <f t="shared" ca="1" si="27"/>
        <v>1</v>
      </c>
      <c r="AN27" s="37">
        <f t="shared" ca="1" si="27"/>
        <v>0</v>
      </c>
      <c r="AO27" s="37">
        <f t="shared" ca="1" si="27"/>
        <v>1</v>
      </c>
      <c r="AP27" s="37">
        <f t="shared" ca="1" si="16"/>
        <v>0</v>
      </c>
      <c r="AQ27" s="37">
        <f t="shared" ca="1" si="16"/>
        <v>0</v>
      </c>
      <c r="AR27" s="37">
        <f t="shared" ca="1" si="27"/>
        <v>1</v>
      </c>
      <c r="AS27" s="34">
        <v>1.5</v>
      </c>
      <c r="AT27" s="37">
        <f t="shared" ca="1" si="28"/>
        <v>0</v>
      </c>
      <c r="AU27" s="37">
        <f t="shared" ca="1" si="28"/>
        <v>0</v>
      </c>
      <c r="AV27" s="37">
        <f t="shared" ca="1" si="28"/>
        <v>0</v>
      </c>
      <c r="AW27" s="37">
        <f t="shared" ca="1" si="28"/>
        <v>80</v>
      </c>
      <c r="AX27" s="37">
        <f t="shared" ca="1" si="28"/>
        <v>90</v>
      </c>
      <c r="AY27" s="37">
        <f t="shared" ca="1" si="28"/>
        <v>0</v>
      </c>
      <c r="AZ27" s="37">
        <f t="shared" ca="1" si="28"/>
        <v>0</v>
      </c>
      <c r="BA27" s="37">
        <f t="shared" ca="1" si="28"/>
        <v>0</v>
      </c>
      <c r="BB27" s="12"/>
    </row>
    <row r="28" spans="1:54">
      <c r="A28" s="15"/>
      <c r="B28">
        <f t="shared" si="11"/>
        <v>23</v>
      </c>
      <c r="C28" s="36">
        <f t="shared" si="26"/>
        <v>4</v>
      </c>
      <c r="D28">
        <v>0</v>
      </c>
      <c r="E28" t="b">
        <v>0</v>
      </c>
      <c r="F28" t="b">
        <v>0</v>
      </c>
      <c r="G28" t="b">
        <v>0</v>
      </c>
      <c r="H28" s="3" t="str">
        <f t="shared" ca="1" si="12"/>
        <v>020-G0_sfw100%_sfd+3.5_conc0000_prlf0000_era000%</v>
      </c>
      <c r="I28" s="19" t="str">
        <f ca="1">IF(MATCH(H28,H$5:H28,0)=(COUNTA(H$5:H28)),"-","Dup")</f>
        <v>-</v>
      </c>
      <c r="J28" s="37" t="str">
        <f t="shared" ca="1" si="17"/>
        <v>-</v>
      </c>
      <c r="K28" s="37" t="b">
        <f t="shared" ca="1" si="17"/>
        <v>0</v>
      </c>
      <c r="L28" s="37" t="b">
        <f t="shared" ca="1" si="17"/>
        <v>1</v>
      </c>
      <c r="M28" s="37">
        <f t="shared" ca="1" si="17"/>
        <v>2</v>
      </c>
      <c r="N28" s="37" t="str">
        <f t="shared" ca="1" si="17"/>
        <v>-</v>
      </c>
      <c r="O28" s="37" t="str">
        <f t="shared" ca="1" si="17"/>
        <v>-</v>
      </c>
      <c r="P28" s="37" t="str">
        <f t="shared" ca="1" si="17"/>
        <v>-</v>
      </c>
      <c r="Q28" s="37" t="str">
        <f t="shared" ca="1" si="17"/>
        <v>-</v>
      </c>
      <c r="R28" s="37" t="str">
        <f t="shared" ca="1" si="17"/>
        <v>-</v>
      </c>
      <c r="S28" s="37" t="str">
        <f t="shared" ca="1" si="17"/>
        <v>-</v>
      </c>
      <c r="T28" s="37" t="str">
        <f t="shared" ca="1" si="17"/>
        <v>-</v>
      </c>
      <c r="U28" s="37">
        <f t="shared" ca="1" si="17"/>
        <v>0</v>
      </c>
      <c r="V28" s="37">
        <f t="shared" ca="1" si="17"/>
        <v>1</v>
      </c>
      <c r="W28" s="37" t="str">
        <f t="shared" ca="1" si="17"/>
        <v>-</v>
      </c>
      <c r="X28" s="37" t="str">
        <f t="shared" ca="1" si="17"/>
        <v>-</v>
      </c>
      <c r="Y28" s="37">
        <f t="shared" ca="1" si="17"/>
        <v>0</v>
      </c>
      <c r="Z28" s="37">
        <f t="shared" ca="1" si="27"/>
        <v>1</v>
      </c>
      <c r="AA28" s="25" t="str">
        <f t="shared" si="18"/>
        <v>-</v>
      </c>
      <c r="AB28" s="25" t="str">
        <f t="shared" si="14"/>
        <v>-</v>
      </c>
      <c r="AC28" s="25" t="str">
        <f t="shared" si="14"/>
        <v>-</v>
      </c>
      <c r="AD28" s="37" t="str">
        <f t="shared" ca="1" si="27"/>
        <v>-</v>
      </c>
      <c r="AE28" s="37" t="str">
        <f t="shared" ca="1" si="27"/>
        <v>-</v>
      </c>
      <c r="AF28" s="37" t="str">
        <f t="shared" ca="1" si="27"/>
        <v>-</v>
      </c>
      <c r="AG28" s="37" t="str">
        <f t="shared" ca="1" si="27"/>
        <v>-</v>
      </c>
      <c r="AH28" s="37" t="str">
        <f t="shared" ca="1" si="27"/>
        <v>-</v>
      </c>
      <c r="AI28" s="37" t="str">
        <f t="shared" ca="1" si="27"/>
        <v>-</v>
      </c>
      <c r="AJ28" s="37" t="str">
        <f t="shared" ca="1" si="21"/>
        <v>-</v>
      </c>
      <c r="AK28" s="37" t="str">
        <f t="shared" ca="1" si="21"/>
        <v>-</v>
      </c>
      <c r="AL28" s="37">
        <f t="shared" ca="1" si="27"/>
        <v>60</v>
      </c>
      <c r="AM28" s="37">
        <f t="shared" ca="1" si="27"/>
        <v>1</v>
      </c>
      <c r="AN28" s="37">
        <f t="shared" ca="1" si="27"/>
        <v>0</v>
      </c>
      <c r="AO28" s="37">
        <f t="shared" ca="1" si="27"/>
        <v>1</v>
      </c>
      <c r="AP28" s="37">
        <f t="shared" ca="1" si="16"/>
        <v>0</v>
      </c>
      <c r="AQ28" s="37">
        <f t="shared" ca="1" si="16"/>
        <v>0</v>
      </c>
      <c r="AR28" s="37">
        <f t="shared" ca="1" si="27"/>
        <v>1</v>
      </c>
      <c r="AS28" s="34">
        <v>3.5</v>
      </c>
      <c r="AT28" s="37">
        <f t="shared" ca="1" si="28"/>
        <v>0</v>
      </c>
      <c r="AU28" s="37">
        <f t="shared" ca="1" si="28"/>
        <v>0</v>
      </c>
      <c r="AV28" s="37">
        <f t="shared" ca="1" si="28"/>
        <v>0</v>
      </c>
      <c r="AW28" s="37">
        <f t="shared" ca="1" si="28"/>
        <v>80</v>
      </c>
      <c r="AX28" s="37">
        <f t="shared" ca="1" si="28"/>
        <v>90</v>
      </c>
      <c r="AY28" s="37">
        <f t="shared" ca="1" si="28"/>
        <v>0</v>
      </c>
      <c r="AZ28" s="37">
        <f t="shared" ca="1" si="28"/>
        <v>0</v>
      </c>
      <c r="BA28" s="37">
        <f t="shared" ca="1" si="28"/>
        <v>0</v>
      </c>
      <c r="BB28" s="12"/>
    </row>
    <row r="29" spans="1:54">
      <c r="A29" s="15"/>
      <c r="B29">
        <f t="shared" si="11"/>
        <v>24</v>
      </c>
      <c r="C29" s="36">
        <f t="shared" si="26"/>
        <v>4</v>
      </c>
      <c r="D29">
        <v>0</v>
      </c>
      <c r="E29" t="b">
        <v>0</v>
      </c>
      <c r="F29" t="b">
        <v>0</v>
      </c>
      <c r="G29" t="b">
        <v>0</v>
      </c>
      <c r="H29" s="3" t="str">
        <f t="shared" ca="1" si="12"/>
        <v>021-G0_sfw100%_sfd+4.0_conc0000_prlf0000_era000%</v>
      </c>
      <c r="I29" s="19" t="str">
        <f ca="1">IF(MATCH(H29,H$5:H29,0)=(COUNTA(H$5:H29)),"-","Dup")</f>
        <v>-</v>
      </c>
      <c r="J29" s="37" t="str">
        <f t="shared" ca="1" si="17"/>
        <v>-</v>
      </c>
      <c r="K29" s="37" t="b">
        <f t="shared" ca="1" si="17"/>
        <v>0</v>
      </c>
      <c r="L29" s="37" t="b">
        <f t="shared" ca="1" si="17"/>
        <v>1</v>
      </c>
      <c r="M29" s="37">
        <f t="shared" ca="1" si="17"/>
        <v>2</v>
      </c>
      <c r="N29" s="37" t="str">
        <f t="shared" ca="1" si="17"/>
        <v>-</v>
      </c>
      <c r="O29" s="37" t="str">
        <f t="shared" ca="1" si="17"/>
        <v>-</v>
      </c>
      <c r="P29" s="37" t="str">
        <f t="shared" ca="1" si="17"/>
        <v>-</v>
      </c>
      <c r="Q29" s="37" t="str">
        <f t="shared" ca="1" si="17"/>
        <v>-</v>
      </c>
      <c r="R29" s="37" t="str">
        <f t="shared" ca="1" si="17"/>
        <v>-</v>
      </c>
      <c r="S29" s="37" t="str">
        <f t="shared" ca="1" si="17"/>
        <v>-</v>
      </c>
      <c r="T29" s="37" t="str">
        <f t="shared" ca="1" si="17"/>
        <v>-</v>
      </c>
      <c r="U29" s="37">
        <f t="shared" ca="1" si="17"/>
        <v>0</v>
      </c>
      <c r="V29" s="37">
        <f t="shared" ca="1" si="17"/>
        <v>1</v>
      </c>
      <c r="W29" s="37" t="str">
        <f t="shared" ca="1" si="17"/>
        <v>-</v>
      </c>
      <c r="X29" s="37" t="str">
        <f t="shared" ca="1" si="17"/>
        <v>-</v>
      </c>
      <c r="Y29" s="37">
        <f t="shared" ca="1" si="17"/>
        <v>0</v>
      </c>
      <c r="Z29" s="37">
        <f t="shared" ca="1" si="27"/>
        <v>1</v>
      </c>
      <c r="AA29" s="25" t="str">
        <f t="shared" si="18"/>
        <v>-</v>
      </c>
      <c r="AB29" s="25" t="str">
        <f t="shared" si="14"/>
        <v>-</v>
      </c>
      <c r="AC29" s="25" t="str">
        <f t="shared" si="14"/>
        <v>-</v>
      </c>
      <c r="AD29" s="37" t="str">
        <f t="shared" ca="1" si="27"/>
        <v>-</v>
      </c>
      <c r="AE29" s="37" t="str">
        <f t="shared" ca="1" si="27"/>
        <v>-</v>
      </c>
      <c r="AF29" s="37" t="str">
        <f t="shared" ca="1" si="27"/>
        <v>-</v>
      </c>
      <c r="AG29" s="37" t="str">
        <f t="shared" ca="1" si="27"/>
        <v>-</v>
      </c>
      <c r="AH29" s="37" t="str">
        <f t="shared" ca="1" si="27"/>
        <v>-</v>
      </c>
      <c r="AI29" s="37" t="str">
        <f t="shared" ca="1" si="27"/>
        <v>-</v>
      </c>
      <c r="AJ29" s="37" t="str">
        <f t="shared" ca="1" si="21"/>
        <v>-</v>
      </c>
      <c r="AK29" s="37" t="str">
        <f t="shared" ca="1" si="21"/>
        <v>-</v>
      </c>
      <c r="AL29" s="37">
        <f t="shared" ca="1" si="27"/>
        <v>60</v>
      </c>
      <c r="AM29" s="37">
        <f t="shared" ca="1" si="27"/>
        <v>1</v>
      </c>
      <c r="AN29" s="37">
        <f t="shared" ca="1" si="27"/>
        <v>0</v>
      </c>
      <c r="AO29" s="37">
        <f t="shared" ca="1" si="27"/>
        <v>1</v>
      </c>
      <c r="AP29" s="37">
        <f t="shared" ca="1" si="16"/>
        <v>0</v>
      </c>
      <c r="AQ29" s="37">
        <f t="shared" ca="1" si="16"/>
        <v>0</v>
      </c>
      <c r="AR29" s="37">
        <f t="shared" ca="1" si="27"/>
        <v>1</v>
      </c>
      <c r="AS29" s="34">
        <v>4</v>
      </c>
      <c r="AT29" s="37">
        <f t="shared" ca="1" si="28"/>
        <v>0</v>
      </c>
      <c r="AU29" s="37">
        <f t="shared" ca="1" si="28"/>
        <v>0</v>
      </c>
      <c r="AV29" s="37">
        <f t="shared" ca="1" si="28"/>
        <v>0</v>
      </c>
      <c r="AW29" s="37">
        <f t="shared" ca="1" si="28"/>
        <v>80</v>
      </c>
      <c r="AX29" s="37">
        <f t="shared" ca="1" si="28"/>
        <v>90</v>
      </c>
      <c r="AY29" s="37">
        <f t="shared" ca="1" si="28"/>
        <v>0</v>
      </c>
      <c r="AZ29" s="37">
        <f t="shared" ca="1" si="28"/>
        <v>0</v>
      </c>
      <c r="BA29" s="37">
        <f t="shared" ca="1" si="28"/>
        <v>0</v>
      </c>
      <c r="BB29" s="12"/>
    </row>
    <row r="30" spans="1:54">
      <c r="A30" s="15"/>
      <c r="B30">
        <f t="shared" si="11"/>
        <v>25</v>
      </c>
      <c r="C30" s="36">
        <f>C22</f>
        <v>4</v>
      </c>
      <c r="D30">
        <v>0</v>
      </c>
      <c r="E30" t="b">
        <v>0</v>
      </c>
      <c r="F30" t="b">
        <v>0</v>
      </c>
      <c r="G30" t="b">
        <v>0</v>
      </c>
      <c r="H30" s="3" t="str">
        <f t="shared" ca="1" si="12"/>
        <v>022-G0_sfw100%_sfd00.0_conc0.50_prlf0000_era000%</v>
      </c>
      <c r="I30" s="19" t="str">
        <f ca="1">IF(MATCH(H30,H$5:H30,0)=(COUNTA(H$5:H30)),"-","Dup")</f>
        <v>-</v>
      </c>
      <c r="J30" s="37" t="str">
        <f t="shared" ca="1" si="17"/>
        <v>-</v>
      </c>
      <c r="K30" s="37" t="b">
        <f t="shared" ca="1" si="13"/>
        <v>0</v>
      </c>
      <c r="L30" s="37" t="b">
        <f t="shared" ca="1" si="13"/>
        <v>1</v>
      </c>
      <c r="M30" s="37">
        <f t="shared" ca="1" si="13"/>
        <v>2</v>
      </c>
      <c r="N30" s="37" t="str">
        <f t="shared" ca="1" si="13"/>
        <v>-</v>
      </c>
      <c r="O30" s="37" t="str">
        <f t="shared" ca="1" si="13"/>
        <v>-</v>
      </c>
      <c r="P30" s="37" t="str">
        <f t="shared" ca="1" si="13"/>
        <v>-</v>
      </c>
      <c r="Q30" s="37" t="str">
        <f t="shared" ca="1" si="13"/>
        <v>-</v>
      </c>
      <c r="R30" s="37" t="str">
        <f t="shared" ca="1" si="13"/>
        <v>-</v>
      </c>
      <c r="S30" s="37" t="str">
        <f t="shared" ca="1" si="13"/>
        <v>-</v>
      </c>
      <c r="T30" s="37" t="str">
        <f t="shared" ref="T30:AW45" ca="1" si="29">OFFSET(T$5,$C30,0)</f>
        <v>-</v>
      </c>
      <c r="U30" s="37">
        <f t="shared" ca="1" si="29"/>
        <v>0</v>
      </c>
      <c r="V30" s="37">
        <f t="shared" ca="1" si="29"/>
        <v>1</v>
      </c>
      <c r="W30" s="37" t="str">
        <f t="shared" ca="1" si="29"/>
        <v>-</v>
      </c>
      <c r="X30" s="37" t="str">
        <f t="shared" ca="1" si="29"/>
        <v>-</v>
      </c>
      <c r="Y30" s="37">
        <f t="shared" ca="1" si="29"/>
        <v>0</v>
      </c>
      <c r="Z30" s="37">
        <f t="shared" ca="1" si="29"/>
        <v>1</v>
      </c>
      <c r="AA30" s="25" t="str">
        <f t="shared" si="18"/>
        <v>-</v>
      </c>
      <c r="AB30" s="25" t="str">
        <f t="shared" si="18"/>
        <v>-</v>
      </c>
      <c r="AC30" s="25" t="str">
        <f t="shared" si="18"/>
        <v>-</v>
      </c>
      <c r="AD30" s="37" t="str">
        <f t="shared" ref="AD30:AI32" ca="1" si="30">OFFSET(AD$5,$C30,0)</f>
        <v>-</v>
      </c>
      <c r="AE30" s="37" t="str">
        <f t="shared" ca="1" si="30"/>
        <v>-</v>
      </c>
      <c r="AF30" s="37" t="str">
        <f t="shared" ca="1" si="30"/>
        <v>-</v>
      </c>
      <c r="AG30" s="37" t="str">
        <f t="shared" ca="1" si="30"/>
        <v>-</v>
      </c>
      <c r="AH30" s="37" t="str">
        <f t="shared" ca="1" si="30"/>
        <v>-</v>
      </c>
      <c r="AI30" s="37" t="str">
        <f t="shared" ca="1" si="30"/>
        <v>-</v>
      </c>
      <c r="AJ30" s="37" t="str">
        <f t="shared" ca="1" si="21"/>
        <v>-</v>
      </c>
      <c r="AK30" s="37" t="str">
        <f t="shared" ca="1" si="21"/>
        <v>-</v>
      </c>
      <c r="AL30" s="37">
        <f t="shared" ca="1" si="29"/>
        <v>60</v>
      </c>
      <c r="AM30" s="37">
        <f t="shared" ca="1" si="29"/>
        <v>1</v>
      </c>
      <c r="AN30" s="37">
        <f t="shared" ca="1" si="29"/>
        <v>0</v>
      </c>
      <c r="AO30" s="37">
        <f t="shared" ca="1" si="29"/>
        <v>1</v>
      </c>
      <c r="AP30" s="37">
        <f t="shared" ca="1" si="29"/>
        <v>0</v>
      </c>
      <c r="AQ30" s="37">
        <f t="shared" ca="1" si="29"/>
        <v>0</v>
      </c>
      <c r="AR30" s="37">
        <f t="shared" ca="1" si="29"/>
        <v>1</v>
      </c>
      <c r="AS30" s="37">
        <f t="shared" ca="1" si="29"/>
        <v>0</v>
      </c>
      <c r="AT30" s="34">
        <v>0.5</v>
      </c>
      <c r="AU30" s="37">
        <f t="shared" ca="1" si="28"/>
        <v>0</v>
      </c>
      <c r="AV30" s="37">
        <f t="shared" ca="1" si="28"/>
        <v>0</v>
      </c>
      <c r="AW30" s="37">
        <f t="shared" ca="1" si="29"/>
        <v>80</v>
      </c>
      <c r="AX30" s="37">
        <f t="shared" ref="AX30:BA45" ca="1" si="31">OFFSET(AX$5,$C30,0)</f>
        <v>90</v>
      </c>
      <c r="AY30" s="37">
        <f t="shared" ca="1" si="31"/>
        <v>0</v>
      </c>
      <c r="AZ30" s="37">
        <f t="shared" ca="1" si="31"/>
        <v>0</v>
      </c>
      <c r="BA30" s="37">
        <f t="shared" ca="1" si="31"/>
        <v>0</v>
      </c>
      <c r="BB30" s="12"/>
    </row>
    <row r="31" spans="1:54">
      <c r="A31" s="15"/>
      <c r="B31">
        <f t="shared" si="11"/>
        <v>26</v>
      </c>
      <c r="C31" s="36">
        <f t="shared" si="19"/>
        <v>4</v>
      </c>
      <c r="D31">
        <v>0</v>
      </c>
      <c r="E31" t="b">
        <v>0</v>
      </c>
      <c r="F31" t="b">
        <v>0</v>
      </c>
      <c r="G31" t="b">
        <v>0</v>
      </c>
      <c r="H31" s="3" t="str">
        <f t="shared" ca="1" si="12"/>
        <v>023-G0_sfw100%_sfd00.0_conc0.40_prlf0000_era000%</v>
      </c>
      <c r="I31" s="19" t="str">
        <f ca="1">IF(MATCH(H31,H$5:H31,0)=(COUNTA(H$5:H31)),"-","Dup")</f>
        <v>-</v>
      </c>
      <c r="J31" s="37" t="str">
        <f t="shared" ca="1" si="17"/>
        <v>-</v>
      </c>
      <c r="K31" s="37" t="b">
        <f t="shared" ca="1" si="17"/>
        <v>0</v>
      </c>
      <c r="L31" s="37" t="b">
        <f t="shared" ca="1" si="17"/>
        <v>1</v>
      </c>
      <c r="M31" s="37">
        <f t="shared" ca="1" si="17"/>
        <v>2</v>
      </c>
      <c r="N31" s="37" t="str">
        <f t="shared" ca="1" si="17"/>
        <v>-</v>
      </c>
      <c r="O31" s="37" t="str">
        <f t="shared" ca="1" si="17"/>
        <v>-</v>
      </c>
      <c r="P31" s="37" t="str">
        <f t="shared" ca="1" si="17"/>
        <v>-</v>
      </c>
      <c r="Q31" s="37" t="str">
        <f t="shared" ca="1" si="17"/>
        <v>-</v>
      </c>
      <c r="R31" s="37" t="str">
        <f t="shared" ca="1" si="17"/>
        <v>-</v>
      </c>
      <c r="S31" s="37" t="str">
        <f t="shared" ca="1" si="17"/>
        <v>-</v>
      </c>
      <c r="T31" s="37" t="str">
        <f t="shared" ca="1" si="17"/>
        <v>-</v>
      </c>
      <c r="U31" s="37">
        <f t="shared" ca="1" si="17"/>
        <v>0</v>
      </c>
      <c r="V31" s="37">
        <f t="shared" ca="1" si="17"/>
        <v>1</v>
      </c>
      <c r="W31" s="37" t="str">
        <f t="shared" ca="1" si="17"/>
        <v>-</v>
      </c>
      <c r="X31" s="37" t="str">
        <f t="shared" ca="1" si="17"/>
        <v>-</v>
      </c>
      <c r="Y31" s="37">
        <f t="shared" ca="1" si="17"/>
        <v>0</v>
      </c>
      <c r="Z31" s="37">
        <f t="shared" ca="1" si="29"/>
        <v>1</v>
      </c>
      <c r="AA31" s="25" t="str">
        <f t="shared" ref="AA31:AC69" si="32">AA$6</f>
        <v>-</v>
      </c>
      <c r="AB31" s="25" t="str">
        <f t="shared" si="32"/>
        <v>-</v>
      </c>
      <c r="AC31" s="25" t="str">
        <f t="shared" si="32"/>
        <v>-</v>
      </c>
      <c r="AD31" s="37" t="str">
        <f t="shared" ca="1" si="30"/>
        <v>-</v>
      </c>
      <c r="AE31" s="37" t="str">
        <f t="shared" ca="1" si="30"/>
        <v>-</v>
      </c>
      <c r="AF31" s="37" t="str">
        <f t="shared" ca="1" si="30"/>
        <v>-</v>
      </c>
      <c r="AG31" s="37" t="str">
        <f t="shared" ca="1" si="30"/>
        <v>-</v>
      </c>
      <c r="AH31" s="37" t="str">
        <f t="shared" ca="1" si="30"/>
        <v>-</v>
      </c>
      <c r="AI31" s="37" t="str">
        <f t="shared" ca="1" si="30"/>
        <v>-</v>
      </c>
      <c r="AJ31" s="37" t="str">
        <f t="shared" ca="1" si="21"/>
        <v>-</v>
      </c>
      <c r="AK31" s="37" t="str">
        <f t="shared" ca="1" si="21"/>
        <v>-</v>
      </c>
      <c r="AL31" s="37">
        <f t="shared" ca="1" si="29"/>
        <v>60</v>
      </c>
      <c r="AM31" s="37">
        <f t="shared" ca="1" si="29"/>
        <v>1</v>
      </c>
      <c r="AN31" s="37">
        <f t="shared" ca="1" si="29"/>
        <v>0</v>
      </c>
      <c r="AO31" s="37">
        <f t="shared" ca="1" si="29"/>
        <v>1</v>
      </c>
      <c r="AP31" s="37">
        <f t="shared" ca="1" si="29"/>
        <v>0</v>
      </c>
      <c r="AQ31" s="37">
        <f t="shared" ca="1" si="29"/>
        <v>0</v>
      </c>
      <c r="AR31" s="37">
        <f t="shared" ca="1" si="29"/>
        <v>1</v>
      </c>
      <c r="AS31" s="37">
        <f t="shared" ca="1" si="29"/>
        <v>0</v>
      </c>
      <c r="AT31" s="34">
        <v>0.4</v>
      </c>
      <c r="AU31" s="37">
        <f t="shared" ca="1" si="28"/>
        <v>0</v>
      </c>
      <c r="AV31" s="37">
        <f t="shared" ca="1" si="28"/>
        <v>0</v>
      </c>
      <c r="AW31" s="37">
        <f t="shared" ca="1" si="29"/>
        <v>80</v>
      </c>
      <c r="AX31" s="37">
        <f t="shared" ca="1" si="31"/>
        <v>90</v>
      </c>
      <c r="AY31" s="37">
        <f t="shared" ca="1" si="31"/>
        <v>0</v>
      </c>
      <c r="AZ31" s="37">
        <f t="shared" ca="1" si="31"/>
        <v>0</v>
      </c>
      <c r="BA31" s="37">
        <f t="shared" ca="1" si="31"/>
        <v>0</v>
      </c>
      <c r="BB31" s="12"/>
    </row>
    <row r="32" spans="1:54">
      <c r="A32" s="15"/>
      <c r="B32">
        <f t="shared" si="11"/>
        <v>27</v>
      </c>
      <c r="C32" s="36">
        <f t="shared" si="19"/>
        <v>4</v>
      </c>
      <c r="D32">
        <v>0</v>
      </c>
      <c r="E32" t="b">
        <v>0</v>
      </c>
      <c r="F32" t="b">
        <v>0</v>
      </c>
      <c r="G32" t="b">
        <v>0</v>
      </c>
      <c r="H32" s="3" t="str">
        <f t="shared" ca="1" si="12"/>
        <v>024-G0_sfw100%_sfd00.0_conc0.30_prlf0000_era000%</v>
      </c>
      <c r="I32" s="19" t="str">
        <f ca="1">IF(MATCH(H32,H$5:H32,0)=(COUNTA(H$5:H32)),"-","Dup")</f>
        <v>-</v>
      </c>
      <c r="J32" s="37" t="str">
        <f t="shared" ca="1" si="17"/>
        <v>-</v>
      </c>
      <c r="K32" s="37" t="b">
        <f t="shared" ca="1" si="17"/>
        <v>0</v>
      </c>
      <c r="L32" s="37" t="b">
        <f t="shared" ca="1" si="17"/>
        <v>1</v>
      </c>
      <c r="M32" s="37">
        <f t="shared" ca="1" si="17"/>
        <v>2</v>
      </c>
      <c r="N32" s="37" t="str">
        <f t="shared" ca="1" si="17"/>
        <v>-</v>
      </c>
      <c r="O32" s="37" t="str">
        <f t="shared" ca="1" si="17"/>
        <v>-</v>
      </c>
      <c r="P32" s="37" t="str">
        <f t="shared" ca="1" si="17"/>
        <v>-</v>
      </c>
      <c r="Q32" s="37" t="str">
        <f t="shared" ca="1" si="17"/>
        <v>-</v>
      </c>
      <c r="R32" s="37" t="str">
        <f t="shared" ca="1" si="17"/>
        <v>-</v>
      </c>
      <c r="S32" s="37" t="str">
        <f t="shared" ca="1" si="17"/>
        <v>-</v>
      </c>
      <c r="T32" s="37" t="str">
        <f t="shared" ca="1" si="17"/>
        <v>-</v>
      </c>
      <c r="U32" s="37">
        <f t="shared" ca="1" si="17"/>
        <v>0</v>
      </c>
      <c r="V32" s="37">
        <f t="shared" ca="1" si="17"/>
        <v>1</v>
      </c>
      <c r="W32" s="37" t="str">
        <f t="shared" ca="1" si="17"/>
        <v>-</v>
      </c>
      <c r="X32" s="37" t="str">
        <f t="shared" ca="1" si="17"/>
        <v>-</v>
      </c>
      <c r="Y32" s="37">
        <f t="shared" ca="1" si="17"/>
        <v>0</v>
      </c>
      <c r="Z32" s="37">
        <f t="shared" ca="1" si="29"/>
        <v>1</v>
      </c>
      <c r="AA32" s="25" t="str">
        <f t="shared" si="32"/>
        <v>-</v>
      </c>
      <c r="AB32" s="25" t="str">
        <f t="shared" si="32"/>
        <v>-</v>
      </c>
      <c r="AC32" s="25" t="str">
        <f t="shared" si="32"/>
        <v>-</v>
      </c>
      <c r="AD32" s="37" t="str">
        <f t="shared" ca="1" si="30"/>
        <v>-</v>
      </c>
      <c r="AE32" s="37" t="str">
        <f t="shared" ca="1" si="30"/>
        <v>-</v>
      </c>
      <c r="AF32" s="37" t="str">
        <f t="shared" ca="1" si="30"/>
        <v>-</v>
      </c>
      <c r="AG32" s="37" t="str">
        <f t="shared" ca="1" si="30"/>
        <v>-</v>
      </c>
      <c r="AH32" s="37" t="str">
        <f t="shared" ca="1" si="30"/>
        <v>-</v>
      </c>
      <c r="AI32" s="37" t="str">
        <f t="shared" ca="1" si="30"/>
        <v>-</v>
      </c>
      <c r="AJ32" s="37" t="str">
        <f t="shared" ca="1" si="21"/>
        <v>-</v>
      </c>
      <c r="AK32" s="37" t="str">
        <f t="shared" ca="1" si="21"/>
        <v>-</v>
      </c>
      <c r="AL32" s="37">
        <f t="shared" ca="1" si="29"/>
        <v>60</v>
      </c>
      <c r="AM32" s="37">
        <f t="shared" ca="1" si="29"/>
        <v>1</v>
      </c>
      <c r="AN32" s="37">
        <f t="shared" ca="1" si="29"/>
        <v>0</v>
      </c>
      <c r="AO32" s="37">
        <f t="shared" ca="1" si="29"/>
        <v>1</v>
      </c>
      <c r="AP32" s="37">
        <f t="shared" ca="1" si="29"/>
        <v>0</v>
      </c>
      <c r="AQ32" s="37">
        <f t="shared" ca="1" si="29"/>
        <v>0</v>
      </c>
      <c r="AR32" s="37">
        <f t="shared" ca="1" si="29"/>
        <v>1</v>
      </c>
      <c r="AS32" s="37">
        <f t="shared" ca="1" si="29"/>
        <v>0</v>
      </c>
      <c r="AT32" s="34">
        <v>0.3</v>
      </c>
      <c r="AU32" s="37">
        <f t="shared" ca="1" si="28"/>
        <v>0</v>
      </c>
      <c r="AV32" s="37">
        <f t="shared" ca="1" si="28"/>
        <v>0</v>
      </c>
      <c r="AW32" s="37">
        <f t="shared" ca="1" si="29"/>
        <v>80</v>
      </c>
      <c r="AX32" s="37">
        <f t="shared" ca="1" si="31"/>
        <v>90</v>
      </c>
      <c r="AY32" s="37">
        <f t="shared" ca="1" si="31"/>
        <v>0</v>
      </c>
      <c r="AZ32" s="37">
        <f t="shared" ca="1" si="31"/>
        <v>0</v>
      </c>
      <c r="BA32" s="37">
        <f t="shared" ca="1" si="31"/>
        <v>0</v>
      </c>
      <c r="BB32" s="12"/>
    </row>
    <row r="33" spans="1:54">
      <c r="A33" s="15"/>
      <c r="B33">
        <f t="shared" si="11"/>
        <v>28</v>
      </c>
      <c r="C33" s="36">
        <f t="shared" ref="C33:C39" si="33">C32</f>
        <v>4</v>
      </c>
      <c r="D33">
        <v>0</v>
      </c>
      <c r="E33" t="b">
        <v>0</v>
      </c>
      <c r="F33" t="b">
        <v>0</v>
      </c>
      <c r="G33" t="b">
        <v>0</v>
      </c>
      <c r="H33" s="3" t="str">
        <f t="shared" ca="1" si="12"/>
        <v>025-G0_sfw100%_sfd00.0_conc0.20_prlf0000_era000%</v>
      </c>
      <c r="I33" s="19" t="str">
        <f ca="1">IF(MATCH(H33,H$5:H33,0)=(COUNTA(H$5:H33)),"-","Dup")</f>
        <v>-</v>
      </c>
      <c r="J33" s="37" t="str">
        <f t="shared" ca="1" si="17"/>
        <v>-</v>
      </c>
      <c r="K33" s="37" t="b">
        <f t="shared" ca="1" si="17"/>
        <v>0</v>
      </c>
      <c r="L33" s="37" t="b">
        <f t="shared" ca="1" si="17"/>
        <v>1</v>
      </c>
      <c r="M33" s="37">
        <f t="shared" ca="1" si="17"/>
        <v>2</v>
      </c>
      <c r="N33" s="37" t="str">
        <f t="shared" ca="1" si="17"/>
        <v>-</v>
      </c>
      <c r="O33" s="37" t="str">
        <f t="shared" ca="1" si="17"/>
        <v>-</v>
      </c>
      <c r="P33" s="37" t="str">
        <f t="shared" ca="1" si="17"/>
        <v>-</v>
      </c>
      <c r="Q33" s="37" t="str">
        <f t="shared" ca="1" si="17"/>
        <v>-</v>
      </c>
      <c r="R33" s="37" t="str">
        <f t="shared" ca="1" si="17"/>
        <v>-</v>
      </c>
      <c r="S33" s="37" t="str">
        <f t="shared" ca="1" si="17"/>
        <v>-</v>
      </c>
      <c r="T33" s="37" t="str">
        <f t="shared" ca="1" si="17"/>
        <v>-</v>
      </c>
      <c r="U33" s="37">
        <f t="shared" ca="1" si="17"/>
        <v>0</v>
      </c>
      <c r="V33" s="37">
        <f t="shared" ca="1" si="17"/>
        <v>1</v>
      </c>
      <c r="W33" s="37" t="str">
        <f t="shared" ca="1" si="17"/>
        <v>-</v>
      </c>
      <c r="X33" s="37" t="str">
        <f t="shared" ca="1" si="17"/>
        <v>-</v>
      </c>
      <c r="Y33" s="37">
        <f t="shared" ca="1" si="17"/>
        <v>0</v>
      </c>
      <c r="Z33" s="37">
        <f t="shared" ca="1" si="29"/>
        <v>1</v>
      </c>
      <c r="AA33" s="25" t="str">
        <f t="shared" si="32"/>
        <v>-</v>
      </c>
      <c r="AB33" s="25" t="str">
        <f t="shared" si="32"/>
        <v>-</v>
      </c>
      <c r="AC33" s="25" t="str">
        <f t="shared" si="32"/>
        <v>-</v>
      </c>
      <c r="AD33" s="37" t="str">
        <f t="shared" ca="1" si="29"/>
        <v>-</v>
      </c>
      <c r="AE33" s="37" t="str">
        <f t="shared" ca="1" si="29"/>
        <v>-</v>
      </c>
      <c r="AF33" s="37" t="str">
        <f t="shared" ca="1" si="29"/>
        <v>-</v>
      </c>
      <c r="AG33" s="37" t="str">
        <f t="shared" ca="1" si="29"/>
        <v>-</v>
      </c>
      <c r="AH33" s="37" t="str">
        <f t="shared" ca="1" si="29"/>
        <v>-</v>
      </c>
      <c r="AI33" s="37" t="str">
        <f t="shared" ca="1" si="29"/>
        <v>-</v>
      </c>
      <c r="AJ33" s="37" t="str">
        <f t="shared" ca="1" si="21"/>
        <v>-</v>
      </c>
      <c r="AK33" s="37" t="str">
        <f t="shared" ca="1" si="21"/>
        <v>-</v>
      </c>
      <c r="AL33" s="37">
        <f t="shared" ca="1" si="29"/>
        <v>60</v>
      </c>
      <c r="AM33" s="37">
        <f t="shared" ca="1" si="29"/>
        <v>1</v>
      </c>
      <c r="AN33" s="37">
        <f t="shared" ca="1" si="29"/>
        <v>0</v>
      </c>
      <c r="AO33" s="37">
        <f t="shared" ca="1" si="29"/>
        <v>1</v>
      </c>
      <c r="AP33" s="37">
        <f t="shared" ca="1" si="29"/>
        <v>0</v>
      </c>
      <c r="AQ33" s="37">
        <f t="shared" ca="1" si="29"/>
        <v>0</v>
      </c>
      <c r="AR33" s="37">
        <f t="shared" ca="1" si="29"/>
        <v>1</v>
      </c>
      <c r="AS33" s="37">
        <f t="shared" ca="1" si="29"/>
        <v>0</v>
      </c>
      <c r="AT33" s="34">
        <v>0.2</v>
      </c>
      <c r="AU33" s="37">
        <f t="shared" ca="1" si="28"/>
        <v>0</v>
      </c>
      <c r="AV33" s="37">
        <f t="shared" ca="1" si="28"/>
        <v>0</v>
      </c>
      <c r="AW33" s="37">
        <f t="shared" ca="1" si="29"/>
        <v>80</v>
      </c>
      <c r="AX33" s="37">
        <f t="shared" ca="1" si="31"/>
        <v>90</v>
      </c>
      <c r="AY33" s="37">
        <f t="shared" ca="1" si="31"/>
        <v>0</v>
      </c>
      <c r="AZ33" s="37">
        <f t="shared" ca="1" si="31"/>
        <v>0</v>
      </c>
      <c r="BA33" s="37">
        <f t="shared" ca="1" si="31"/>
        <v>0</v>
      </c>
      <c r="BB33" s="12"/>
    </row>
    <row r="34" spans="1:54">
      <c r="A34" s="15"/>
      <c r="B34">
        <f t="shared" si="11"/>
        <v>29</v>
      </c>
      <c r="C34" s="36">
        <f t="shared" si="33"/>
        <v>4</v>
      </c>
      <c r="D34">
        <v>0</v>
      </c>
      <c r="E34" t="b">
        <v>0</v>
      </c>
      <c r="F34" t="b">
        <v>0</v>
      </c>
      <c r="G34" t="b">
        <v>0</v>
      </c>
      <c r="H34" s="3" t="str">
        <f t="shared" ca="1" si="12"/>
        <v>026-G0_sfw100%_sfd00.0_conc0.10_prlf0000_era000%</v>
      </c>
      <c r="I34" s="19" t="str">
        <f ca="1">IF(MATCH(H34,H$5:H34,0)=(COUNTA(H$5:H34)),"-","Dup")</f>
        <v>-</v>
      </c>
      <c r="J34" s="37" t="str">
        <f t="shared" ref="J34:Y50" ca="1" si="34">OFFSET(J$5,$C34,0)</f>
        <v>-</v>
      </c>
      <c r="K34" s="37" t="b">
        <f t="shared" ca="1" si="34"/>
        <v>0</v>
      </c>
      <c r="L34" s="37" t="b">
        <f t="shared" ca="1" si="34"/>
        <v>1</v>
      </c>
      <c r="M34" s="37">
        <f t="shared" ca="1" si="34"/>
        <v>2</v>
      </c>
      <c r="N34" s="37" t="str">
        <f t="shared" ca="1" si="34"/>
        <v>-</v>
      </c>
      <c r="O34" s="37" t="str">
        <f t="shared" ca="1" si="34"/>
        <v>-</v>
      </c>
      <c r="P34" s="37" t="str">
        <f t="shared" ca="1" si="34"/>
        <v>-</v>
      </c>
      <c r="Q34" s="37" t="str">
        <f t="shared" ca="1" si="34"/>
        <v>-</v>
      </c>
      <c r="R34" s="37" t="str">
        <f t="shared" ca="1" si="34"/>
        <v>-</v>
      </c>
      <c r="S34" s="37" t="str">
        <f t="shared" ca="1" si="34"/>
        <v>-</v>
      </c>
      <c r="T34" s="37" t="str">
        <f t="shared" ca="1" si="34"/>
        <v>-</v>
      </c>
      <c r="U34" s="37">
        <f t="shared" ca="1" si="34"/>
        <v>0</v>
      </c>
      <c r="V34" s="37">
        <f t="shared" ca="1" si="34"/>
        <v>1</v>
      </c>
      <c r="W34" s="37" t="str">
        <f t="shared" ca="1" si="34"/>
        <v>-</v>
      </c>
      <c r="X34" s="37" t="str">
        <f t="shared" ca="1" si="34"/>
        <v>-</v>
      </c>
      <c r="Y34" s="37">
        <f t="shared" ca="1" si="34"/>
        <v>0</v>
      </c>
      <c r="Z34" s="37">
        <f t="shared" ca="1" si="29"/>
        <v>1</v>
      </c>
      <c r="AA34" s="25" t="str">
        <f t="shared" si="32"/>
        <v>-</v>
      </c>
      <c r="AB34" s="25" t="str">
        <f t="shared" si="32"/>
        <v>-</v>
      </c>
      <c r="AC34" s="25" t="str">
        <f t="shared" si="32"/>
        <v>-</v>
      </c>
      <c r="AD34" s="37" t="str">
        <f t="shared" ca="1" si="29"/>
        <v>-</v>
      </c>
      <c r="AE34" s="37" t="str">
        <f t="shared" ca="1" si="29"/>
        <v>-</v>
      </c>
      <c r="AF34" s="37" t="str">
        <f t="shared" ca="1" si="29"/>
        <v>-</v>
      </c>
      <c r="AG34" s="37" t="str">
        <f t="shared" ca="1" si="29"/>
        <v>-</v>
      </c>
      <c r="AH34" s="37" t="str">
        <f t="shared" ca="1" si="29"/>
        <v>-</v>
      </c>
      <c r="AI34" s="37" t="str">
        <f t="shared" ca="1" si="29"/>
        <v>-</v>
      </c>
      <c r="AJ34" s="37" t="str">
        <f t="shared" ca="1" si="21"/>
        <v>-</v>
      </c>
      <c r="AK34" s="37" t="str">
        <f t="shared" ca="1" si="21"/>
        <v>-</v>
      </c>
      <c r="AL34" s="37">
        <f t="shared" ca="1" si="29"/>
        <v>60</v>
      </c>
      <c r="AM34" s="37">
        <f t="shared" ca="1" si="29"/>
        <v>1</v>
      </c>
      <c r="AN34" s="37">
        <f t="shared" ca="1" si="29"/>
        <v>0</v>
      </c>
      <c r="AO34" s="37">
        <f t="shared" ca="1" si="29"/>
        <v>1</v>
      </c>
      <c r="AP34" s="37">
        <f t="shared" ca="1" si="29"/>
        <v>0</v>
      </c>
      <c r="AQ34" s="37">
        <f t="shared" ca="1" si="29"/>
        <v>0</v>
      </c>
      <c r="AR34" s="37">
        <f t="shared" ca="1" si="29"/>
        <v>1</v>
      </c>
      <c r="AS34" s="37">
        <f t="shared" ca="1" si="29"/>
        <v>0</v>
      </c>
      <c r="AT34" s="34">
        <v>0.1</v>
      </c>
      <c r="AU34" s="37">
        <f t="shared" ca="1" si="28"/>
        <v>0</v>
      </c>
      <c r="AV34" s="37">
        <f t="shared" ca="1" si="28"/>
        <v>0</v>
      </c>
      <c r="AW34" s="37">
        <f t="shared" ca="1" si="29"/>
        <v>80</v>
      </c>
      <c r="AX34" s="37">
        <f t="shared" ca="1" si="31"/>
        <v>90</v>
      </c>
      <c r="AY34" s="37">
        <f t="shared" ca="1" si="31"/>
        <v>0</v>
      </c>
      <c r="AZ34" s="37">
        <f t="shared" ca="1" si="31"/>
        <v>0</v>
      </c>
      <c r="BA34" s="37">
        <f t="shared" ca="1" si="31"/>
        <v>0</v>
      </c>
      <c r="BB34" s="12"/>
    </row>
    <row r="35" spans="1:54">
      <c r="A35" s="15"/>
      <c r="B35">
        <f t="shared" si="11"/>
        <v>30</v>
      </c>
      <c r="C35" s="36">
        <f t="shared" si="33"/>
        <v>4</v>
      </c>
      <c r="D35">
        <v>0</v>
      </c>
      <c r="E35" t="b">
        <v>0</v>
      </c>
      <c r="F35" t="b">
        <v>0</v>
      </c>
      <c r="G35" t="b">
        <v>0</v>
      </c>
      <c r="H35" s="3" t="str">
        <f t="shared" ca="1" si="12"/>
        <v>027-G0_sfw100%_sfd00.0_conc-0.2_prlf0000_era000%</v>
      </c>
      <c r="I35" s="19" t="str">
        <f ca="1">IF(MATCH(H35,H$5:H35,0)=(COUNTA(H$5:H35)),"-","Dup")</f>
        <v>-</v>
      </c>
      <c r="J35" s="37" t="str">
        <f t="shared" ca="1" si="34"/>
        <v>-</v>
      </c>
      <c r="K35" s="37" t="b">
        <f t="shared" ca="1" si="34"/>
        <v>0</v>
      </c>
      <c r="L35" s="37" t="b">
        <f t="shared" ca="1" si="34"/>
        <v>1</v>
      </c>
      <c r="M35" s="37">
        <f t="shared" ca="1" si="34"/>
        <v>2</v>
      </c>
      <c r="N35" s="37" t="str">
        <f t="shared" ca="1" si="34"/>
        <v>-</v>
      </c>
      <c r="O35" s="37" t="str">
        <f t="shared" ca="1" si="34"/>
        <v>-</v>
      </c>
      <c r="P35" s="37" t="str">
        <f t="shared" ca="1" si="34"/>
        <v>-</v>
      </c>
      <c r="Q35" s="37" t="str">
        <f t="shared" ca="1" si="34"/>
        <v>-</v>
      </c>
      <c r="R35" s="37" t="str">
        <f t="shared" ca="1" si="34"/>
        <v>-</v>
      </c>
      <c r="S35" s="37" t="str">
        <f t="shared" ca="1" si="34"/>
        <v>-</v>
      </c>
      <c r="T35" s="37" t="str">
        <f t="shared" ca="1" si="34"/>
        <v>-</v>
      </c>
      <c r="U35" s="37">
        <f t="shared" ca="1" si="34"/>
        <v>0</v>
      </c>
      <c r="V35" s="37">
        <f t="shared" ca="1" si="34"/>
        <v>1</v>
      </c>
      <c r="W35" s="37" t="str">
        <f t="shared" ca="1" si="34"/>
        <v>-</v>
      </c>
      <c r="X35" s="37" t="str">
        <f t="shared" ca="1" si="34"/>
        <v>-</v>
      </c>
      <c r="Y35" s="37">
        <f t="shared" ca="1" si="34"/>
        <v>0</v>
      </c>
      <c r="Z35" s="37">
        <f t="shared" ca="1" si="29"/>
        <v>1</v>
      </c>
      <c r="AA35" s="25" t="str">
        <f t="shared" si="32"/>
        <v>-</v>
      </c>
      <c r="AB35" s="25" t="str">
        <f t="shared" si="32"/>
        <v>-</v>
      </c>
      <c r="AC35" s="25" t="str">
        <f t="shared" si="32"/>
        <v>-</v>
      </c>
      <c r="AD35" s="37" t="str">
        <f t="shared" ca="1" si="29"/>
        <v>-</v>
      </c>
      <c r="AE35" s="37" t="str">
        <f t="shared" ca="1" si="29"/>
        <v>-</v>
      </c>
      <c r="AF35" s="37" t="str">
        <f t="shared" ca="1" si="29"/>
        <v>-</v>
      </c>
      <c r="AG35" s="37" t="str">
        <f t="shared" ca="1" si="29"/>
        <v>-</v>
      </c>
      <c r="AH35" s="37" t="str">
        <f t="shared" ca="1" si="29"/>
        <v>-</v>
      </c>
      <c r="AI35" s="37" t="str">
        <f t="shared" ca="1" si="29"/>
        <v>-</v>
      </c>
      <c r="AJ35" s="37" t="str">
        <f t="shared" ca="1" si="21"/>
        <v>-</v>
      </c>
      <c r="AK35" s="37" t="str">
        <f t="shared" ca="1" si="21"/>
        <v>-</v>
      </c>
      <c r="AL35" s="37">
        <f t="shared" ca="1" si="29"/>
        <v>60</v>
      </c>
      <c r="AM35" s="37">
        <f t="shared" ca="1" si="29"/>
        <v>1</v>
      </c>
      <c r="AN35" s="37">
        <f t="shared" ca="1" si="29"/>
        <v>0</v>
      </c>
      <c r="AO35" s="37">
        <f t="shared" ca="1" si="29"/>
        <v>1</v>
      </c>
      <c r="AP35" s="37">
        <f t="shared" ca="1" si="29"/>
        <v>0</v>
      </c>
      <c r="AQ35" s="37">
        <f t="shared" ca="1" si="29"/>
        <v>0</v>
      </c>
      <c r="AR35" s="37">
        <f t="shared" ca="1" si="29"/>
        <v>1</v>
      </c>
      <c r="AS35" s="37">
        <f t="shared" ca="1" si="29"/>
        <v>0</v>
      </c>
      <c r="AT35" s="34">
        <v>-0.15</v>
      </c>
      <c r="AU35" s="37">
        <f t="shared" ca="1" si="28"/>
        <v>0</v>
      </c>
      <c r="AV35" s="37">
        <f t="shared" ca="1" si="28"/>
        <v>0</v>
      </c>
      <c r="AW35" s="37">
        <f t="shared" ca="1" si="29"/>
        <v>80</v>
      </c>
      <c r="AX35" s="37">
        <f t="shared" ca="1" si="31"/>
        <v>90</v>
      </c>
      <c r="AY35" s="37">
        <f t="shared" ca="1" si="31"/>
        <v>0</v>
      </c>
      <c r="AZ35" s="37">
        <f t="shared" ca="1" si="31"/>
        <v>0</v>
      </c>
      <c r="BA35" s="37">
        <f t="shared" ca="1" si="31"/>
        <v>0</v>
      </c>
      <c r="BB35" s="12"/>
    </row>
    <row r="36" spans="1:54">
      <c r="A36" s="15"/>
      <c r="B36">
        <f t="shared" si="11"/>
        <v>31</v>
      </c>
      <c r="C36" s="36">
        <f t="shared" si="33"/>
        <v>4</v>
      </c>
      <c r="D36">
        <v>0</v>
      </c>
      <c r="E36" t="b">
        <v>0</v>
      </c>
      <c r="F36" t="b">
        <v>0</v>
      </c>
      <c r="G36" t="b">
        <v>0</v>
      </c>
      <c r="H36" s="3" t="str">
        <f t="shared" ca="1" si="12"/>
        <v>028-G0_sfw100%_sfd00.0_conc-0.3_prlf0000_era000%</v>
      </c>
      <c r="I36" s="19" t="str">
        <f ca="1">IF(MATCH(H36,H$5:H36,0)=(COUNTA(H$5:H36)),"-","Dup")</f>
        <v>-</v>
      </c>
      <c r="J36" s="37" t="str">
        <f t="shared" ca="1" si="34"/>
        <v>-</v>
      </c>
      <c r="K36" s="37" t="b">
        <f t="shared" ca="1" si="34"/>
        <v>0</v>
      </c>
      <c r="L36" s="37" t="b">
        <f t="shared" ca="1" si="34"/>
        <v>1</v>
      </c>
      <c r="M36" s="37">
        <f t="shared" ca="1" si="34"/>
        <v>2</v>
      </c>
      <c r="N36" s="37" t="str">
        <f t="shared" ca="1" si="34"/>
        <v>-</v>
      </c>
      <c r="O36" s="37" t="str">
        <f t="shared" ca="1" si="34"/>
        <v>-</v>
      </c>
      <c r="P36" s="37" t="str">
        <f t="shared" ca="1" si="34"/>
        <v>-</v>
      </c>
      <c r="Q36" s="37" t="str">
        <f t="shared" ca="1" si="34"/>
        <v>-</v>
      </c>
      <c r="R36" s="37" t="str">
        <f t="shared" ca="1" si="34"/>
        <v>-</v>
      </c>
      <c r="S36" s="37" t="str">
        <f t="shared" ca="1" si="34"/>
        <v>-</v>
      </c>
      <c r="T36" s="37" t="str">
        <f t="shared" ca="1" si="34"/>
        <v>-</v>
      </c>
      <c r="U36" s="37">
        <f t="shared" ca="1" si="34"/>
        <v>0</v>
      </c>
      <c r="V36" s="37">
        <f t="shared" ca="1" si="34"/>
        <v>1</v>
      </c>
      <c r="W36" s="37" t="str">
        <f t="shared" ca="1" si="34"/>
        <v>-</v>
      </c>
      <c r="X36" s="37" t="str">
        <f t="shared" ca="1" si="34"/>
        <v>-</v>
      </c>
      <c r="Y36" s="37">
        <f t="shared" ca="1" si="34"/>
        <v>0</v>
      </c>
      <c r="Z36" s="37">
        <f t="shared" ca="1" si="29"/>
        <v>1</v>
      </c>
      <c r="AA36" s="25" t="str">
        <f t="shared" si="32"/>
        <v>-</v>
      </c>
      <c r="AB36" s="25" t="str">
        <f t="shared" si="32"/>
        <v>-</v>
      </c>
      <c r="AC36" s="25" t="str">
        <f t="shared" si="32"/>
        <v>-</v>
      </c>
      <c r="AD36" s="37" t="str">
        <f t="shared" ca="1" si="29"/>
        <v>-</v>
      </c>
      <c r="AE36" s="37" t="str">
        <f t="shared" ca="1" si="29"/>
        <v>-</v>
      </c>
      <c r="AF36" s="37" t="str">
        <f t="shared" ca="1" si="29"/>
        <v>-</v>
      </c>
      <c r="AG36" s="37" t="str">
        <f t="shared" ca="1" si="29"/>
        <v>-</v>
      </c>
      <c r="AH36" s="37" t="str">
        <f t="shared" ca="1" si="29"/>
        <v>-</v>
      </c>
      <c r="AI36" s="37" t="str">
        <f t="shared" ca="1" si="29"/>
        <v>-</v>
      </c>
      <c r="AJ36" s="37" t="str">
        <f t="shared" ca="1" si="21"/>
        <v>-</v>
      </c>
      <c r="AK36" s="37" t="str">
        <f t="shared" ca="1" si="21"/>
        <v>-</v>
      </c>
      <c r="AL36" s="37">
        <f t="shared" ca="1" si="29"/>
        <v>60</v>
      </c>
      <c r="AM36" s="37">
        <f t="shared" ca="1" si="29"/>
        <v>1</v>
      </c>
      <c r="AN36" s="37">
        <f t="shared" ca="1" si="29"/>
        <v>0</v>
      </c>
      <c r="AO36" s="37">
        <f t="shared" ca="1" si="29"/>
        <v>1</v>
      </c>
      <c r="AP36" s="37">
        <f t="shared" ca="1" si="29"/>
        <v>0</v>
      </c>
      <c r="AQ36" s="37">
        <f t="shared" ca="1" si="29"/>
        <v>0</v>
      </c>
      <c r="AR36" s="37">
        <f t="shared" ca="1" si="29"/>
        <v>1</v>
      </c>
      <c r="AS36" s="37">
        <f t="shared" ca="1" si="29"/>
        <v>0</v>
      </c>
      <c r="AT36" s="34">
        <v>-0.3</v>
      </c>
      <c r="AU36" s="37">
        <f t="shared" ca="1" si="28"/>
        <v>0</v>
      </c>
      <c r="AV36" s="37">
        <f t="shared" ca="1" si="28"/>
        <v>0</v>
      </c>
      <c r="AW36" s="37">
        <f t="shared" ca="1" si="29"/>
        <v>80</v>
      </c>
      <c r="AX36" s="37">
        <f t="shared" ca="1" si="31"/>
        <v>90</v>
      </c>
      <c r="AY36" s="37">
        <f t="shared" ca="1" si="31"/>
        <v>0</v>
      </c>
      <c r="AZ36" s="37">
        <f t="shared" ca="1" si="31"/>
        <v>0</v>
      </c>
      <c r="BA36" s="37">
        <f t="shared" ca="1" si="31"/>
        <v>0</v>
      </c>
      <c r="BB36" s="12"/>
    </row>
    <row r="37" spans="1:54">
      <c r="A37" s="15"/>
      <c r="B37">
        <f t="shared" si="11"/>
        <v>32</v>
      </c>
      <c r="C37" s="36">
        <f t="shared" si="33"/>
        <v>4</v>
      </c>
      <c r="D37">
        <v>0</v>
      </c>
      <c r="E37" t="b">
        <v>0</v>
      </c>
      <c r="F37" t="b">
        <v>0</v>
      </c>
      <c r="G37" t="b">
        <v>0</v>
      </c>
      <c r="H37" s="3" t="str">
        <f t="shared" ca="1" si="12"/>
        <v>029-G0_sfw100%_sfd00.0_conc-0.5_prlf0000_era000%</v>
      </c>
      <c r="I37" s="19" t="str">
        <f ca="1">IF(MATCH(H37,H$5:H37,0)=(COUNTA(H$5:H37)),"-","Dup")</f>
        <v>-</v>
      </c>
      <c r="J37" s="37" t="str">
        <f t="shared" ca="1" si="34"/>
        <v>-</v>
      </c>
      <c r="K37" s="37" t="b">
        <f t="shared" ca="1" si="34"/>
        <v>0</v>
      </c>
      <c r="L37" s="37" t="b">
        <f t="shared" ca="1" si="34"/>
        <v>1</v>
      </c>
      <c r="M37" s="37">
        <f t="shared" ca="1" si="34"/>
        <v>2</v>
      </c>
      <c r="N37" s="37" t="str">
        <f t="shared" ca="1" si="34"/>
        <v>-</v>
      </c>
      <c r="O37" s="37" t="str">
        <f t="shared" ca="1" si="34"/>
        <v>-</v>
      </c>
      <c r="P37" s="37" t="str">
        <f t="shared" ca="1" si="34"/>
        <v>-</v>
      </c>
      <c r="Q37" s="37" t="str">
        <f t="shared" ca="1" si="34"/>
        <v>-</v>
      </c>
      <c r="R37" s="37" t="str">
        <f t="shared" ca="1" si="34"/>
        <v>-</v>
      </c>
      <c r="S37" s="37" t="str">
        <f t="shared" ca="1" si="34"/>
        <v>-</v>
      </c>
      <c r="T37" s="37" t="str">
        <f t="shared" ca="1" si="34"/>
        <v>-</v>
      </c>
      <c r="U37" s="37">
        <f t="shared" ca="1" si="34"/>
        <v>0</v>
      </c>
      <c r="V37" s="37">
        <f t="shared" ca="1" si="34"/>
        <v>1</v>
      </c>
      <c r="W37" s="37" t="str">
        <f t="shared" ca="1" si="34"/>
        <v>-</v>
      </c>
      <c r="X37" s="37" t="str">
        <f t="shared" ca="1" si="34"/>
        <v>-</v>
      </c>
      <c r="Y37" s="37">
        <f t="shared" ca="1" si="34"/>
        <v>0</v>
      </c>
      <c r="Z37" s="37">
        <f t="shared" ca="1" si="29"/>
        <v>1</v>
      </c>
      <c r="AA37" s="25" t="str">
        <f t="shared" si="32"/>
        <v>-</v>
      </c>
      <c r="AB37" s="25" t="str">
        <f t="shared" si="32"/>
        <v>-</v>
      </c>
      <c r="AC37" s="25" t="str">
        <f t="shared" si="32"/>
        <v>-</v>
      </c>
      <c r="AD37" s="37" t="str">
        <f t="shared" ca="1" si="29"/>
        <v>-</v>
      </c>
      <c r="AE37" s="37" t="str">
        <f t="shared" ca="1" si="29"/>
        <v>-</v>
      </c>
      <c r="AF37" s="37" t="str">
        <f t="shared" ca="1" si="29"/>
        <v>-</v>
      </c>
      <c r="AG37" s="37" t="str">
        <f t="shared" ca="1" si="29"/>
        <v>-</v>
      </c>
      <c r="AH37" s="37" t="str">
        <f t="shared" ca="1" si="29"/>
        <v>-</v>
      </c>
      <c r="AI37" s="37" t="str">
        <f t="shared" ca="1" si="29"/>
        <v>-</v>
      </c>
      <c r="AJ37" s="37" t="str">
        <f t="shared" ca="1" si="21"/>
        <v>-</v>
      </c>
      <c r="AK37" s="37" t="str">
        <f t="shared" ca="1" si="21"/>
        <v>-</v>
      </c>
      <c r="AL37" s="37">
        <f t="shared" ca="1" si="29"/>
        <v>60</v>
      </c>
      <c r="AM37" s="37">
        <f t="shared" ca="1" si="29"/>
        <v>1</v>
      </c>
      <c r="AN37" s="37">
        <f t="shared" ca="1" si="29"/>
        <v>0</v>
      </c>
      <c r="AO37" s="37">
        <f t="shared" ca="1" si="29"/>
        <v>1</v>
      </c>
      <c r="AP37" s="37">
        <f t="shared" ca="1" si="29"/>
        <v>0</v>
      </c>
      <c r="AQ37" s="37">
        <f t="shared" ca="1" si="29"/>
        <v>0</v>
      </c>
      <c r="AR37" s="37">
        <f t="shared" ca="1" si="29"/>
        <v>1</v>
      </c>
      <c r="AS37" s="37">
        <f t="shared" ca="1" si="29"/>
        <v>0</v>
      </c>
      <c r="AT37" s="34">
        <v>-0.45</v>
      </c>
      <c r="AU37" s="37">
        <f t="shared" ca="1" si="28"/>
        <v>0</v>
      </c>
      <c r="AV37" s="37">
        <f t="shared" ca="1" si="28"/>
        <v>0</v>
      </c>
      <c r="AW37" s="37">
        <f t="shared" ca="1" si="29"/>
        <v>80</v>
      </c>
      <c r="AX37" s="37">
        <f t="shared" ca="1" si="31"/>
        <v>90</v>
      </c>
      <c r="AY37" s="37">
        <f t="shared" ca="1" si="31"/>
        <v>0</v>
      </c>
      <c r="AZ37" s="37">
        <f t="shared" ca="1" si="31"/>
        <v>0</v>
      </c>
      <c r="BA37" s="37">
        <f t="shared" ca="1" si="31"/>
        <v>0</v>
      </c>
      <c r="BB37" s="12"/>
    </row>
    <row r="38" spans="1:54">
      <c r="A38" s="15"/>
      <c r="B38">
        <f t="shared" si="11"/>
        <v>33</v>
      </c>
      <c r="C38" s="36">
        <f t="shared" si="33"/>
        <v>4</v>
      </c>
      <c r="D38">
        <v>0</v>
      </c>
      <c r="E38" t="b">
        <v>0</v>
      </c>
      <c r="F38" t="b">
        <v>0</v>
      </c>
      <c r="G38" t="b">
        <v>0</v>
      </c>
      <c r="H38" s="3" t="str">
        <f t="shared" ca="1" si="12"/>
        <v>030-G0_sfw100%_sfd00.0_conc-0.6_prlf0000_era000%</v>
      </c>
      <c r="I38" s="19" t="str">
        <f ca="1">IF(MATCH(H38,H$5:H38,0)=(COUNTA(H$5:H38)),"-","Dup")</f>
        <v>-</v>
      </c>
      <c r="J38" s="37" t="str">
        <f t="shared" ca="1" si="34"/>
        <v>-</v>
      </c>
      <c r="K38" s="37" t="b">
        <f t="shared" ca="1" si="34"/>
        <v>0</v>
      </c>
      <c r="L38" s="37" t="b">
        <f t="shared" ca="1" si="34"/>
        <v>1</v>
      </c>
      <c r="M38" s="37">
        <f t="shared" ca="1" si="34"/>
        <v>2</v>
      </c>
      <c r="N38" s="37" t="str">
        <f t="shared" ca="1" si="34"/>
        <v>-</v>
      </c>
      <c r="O38" s="37" t="str">
        <f t="shared" ca="1" si="34"/>
        <v>-</v>
      </c>
      <c r="P38" s="37" t="str">
        <f t="shared" ca="1" si="34"/>
        <v>-</v>
      </c>
      <c r="Q38" s="37" t="str">
        <f t="shared" ca="1" si="34"/>
        <v>-</v>
      </c>
      <c r="R38" s="37" t="str">
        <f t="shared" ca="1" si="34"/>
        <v>-</v>
      </c>
      <c r="S38" s="37" t="str">
        <f t="shared" ca="1" si="34"/>
        <v>-</v>
      </c>
      <c r="T38" s="37" t="str">
        <f t="shared" ca="1" si="34"/>
        <v>-</v>
      </c>
      <c r="U38" s="37">
        <f t="shared" ca="1" si="34"/>
        <v>0</v>
      </c>
      <c r="V38" s="37">
        <f t="shared" ca="1" si="34"/>
        <v>1</v>
      </c>
      <c r="W38" s="37" t="str">
        <f t="shared" ca="1" si="34"/>
        <v>-</v>
      </c>
      <c r="X38" s="37" t="str">
        <f t="shared" ca="1" si="34"/>
        <v>-</v>
      </c>
      <c r="Y38" s="37">
        <f t="shared" ca="1" si="34"/>
        <v>0</v>
      </c>
      <c r="Z38" s="37">
        <f t="shared" ca="1" si="29"/>
        <v>1</v>
      </c>
      <c r="AA38" s="25" t="str">
        <f t="shared" si="32"/>
        <v>-</v>
      </c>
      <c r="AB38" s="25" t="str">
        <f t="shared" si="32"/>
        <v>-</v>
      </c>
      <c r="AC38" s="25" t="str">
        <f t="shared" si="32"/>
        <v>-</v>
      </c>
      <c r="AD38" s="37" t="str">
        <f t="shared" ca="1" si="29"/>
        <v>-</v>
      </c>
      <c r="AE38" s="37" t="str">
        <f t="shared" ca="1" si="29"/>
        <v>-</v>
      </c>
      <c r="AF38" s="37" t="str">
        <f t="shared" ca="1" si="29"/>
        <v>-</v>
      </c>
      <c r="AG38" s="37" t="str">
        <f t="shared" ca="1" si="29"/>
        <v>-</v>
      </c>
      <c r="AH38" s="37" t="str">
        <f t="shared" ca="1" si="29"/>
        <v>-</v>
      </c>
      <c r="AI38" s="37" t="str">
        <f t="shared" ca="1" si="29"/>
        <v>-</v>
      </c>
      <c r="AJ38" s="37" t="str">
        <f t="shared" ca="1" si="21"/>
        <v>-</v>
      </c>
      <c r="AK38" s="37" t="str">
        <f t="shared" ca="1" si="21"/>
        <v>-</v>
      </c>
      <c r="AL38" s="37">
        <f t="shared" ca="1" si="29"/>
        <v>60</v>
      </c>
      <c r="AM38" s="37">
        <f t="shared" ca="1" si="29"/>
        <v>1</v>
      </c>
      <c r="AN38" s="37">
        <f t="shared" ca="1" si="29"/>
        <v>0</v>
      </c>
      <c r="AO38" s="37">
        <f t="shared" ca="1" si="29"/>
        <v>1</v>
      </c>
      <c r="AP38" s="37">
        <f t="shared" ca="1" si="29"/>
        <v>0</v>
      </c>
      <c r="AQ38" s="37">
        <f t="shared" ca="1" si="29"/>
        <v>0</v>
      </c>
      <c r="AR38" s="37">
        <f t="shared" ca="1" si="29"/>
        <v>1</v>
      </c>
      <c r="AS38" s="37">
        <f t="shared" ca="1" si="29"/>
        <v>0</v>
      </c>
      <c r="AT38" s="34">
        <v>-0.6</v>
      </c>
      <c r="AU38" s="37">
        <f t="shared" ca="1" si="28"/>
        <v>0</v>
      </c>
      <c r="AV38" s="37">
        <f t="shared" ca="1" si="28"/>
        <v>0</v>
      </c>
      <c r="AW38" s="37">
        <f t="shared" ca="1" si="29"/>
        <v>80</v>
      </c>
      <c r="AX38" s="37">
        <f t="shared" ca="1" si="31"/>
        <v>90</v>
      </c>
      <c r="AY38" s="37">
        <f t="shared" ca="1" si="31"/>
        <v>0</v>
      </c>
      <c r="AZ38" s="37">
        <f t="shared" ca="1" si="31"/>
        <v>0</v>
      </c>
      <c r="BA38" s="37">
        <f t="shared" ca="1" si="31"/>
        <v>0</v>
      </c>
      <c r="BB38" s="12"/>
    </row>
    <row r="39" spans="1:54">
      <c r="A39" s="15"/>
      <c r="B39">
        <f t="shared" si="11"/>
        <v>34</v>
      </c>
      <c r="C39" s="36">
        <f t="shared" si="33"/>
        <v>4</v>
      </c>
      <c r="D39">
        <v>0</v>
      </c>
      <c r="E39" t="b">
        <v>0</v>
      </c>
      <c r="F39" t="b">
        <v>0</v>
      </c>
      <c r="G39" t="b">
        <v>0</v>
      </c>
      <c r="H39" s="3" t="str">
        <f t="shared" ca="1" si="12"/>
        <v>031-G0_sfw100%_sfd00.0_conc-0.8_prlf0000_era000%</v>
      </c>
      <c r="I39" s="19" t="str">
        <f ca="1">IF(MATCH(H39,H$5:H39,0)=(COUNTA(H$5:H39)),"-","Dup")</f>
        <v>-</v>
      </c>
      <c r="J39" s="37" t="str">
        <f t="shared" ca="1" si="34"/>
        <v>-</v>
      </c>
      <c r="K39" s="37" t="b">
        <f t="shared" ca="1" si="34"/>
        <v>0</v>
      </c>
      <c r="L39" s="37" t="b">
        <f t="shared" ca="1" si="34"/>
        <v>1</v>
      </c>
      <c r="M39" s="37">
        <f t="shared" ca="1" si="34"/>
        <v>2</v>
      </c>
      <c r="N39" s="37" t="str">
        <f t="shared" ca="1" si="34"/>
        <v>-</v>
      </c>
      <c r="O39" s="37" t="str">
        <f t="shared" ca="1" si="34"/>
        <v>-</v>
      </c>
      <c r="P39" s="37" t="str">
        <f t="shared" ca="1" si="34"/>
        <v>-</v>
      </c>
      <c r="Q39" s="37" t="str">
        <f t="shared" ca="1" si="34"/>
        <v>-</v>
      </c>
      <c r="R39" s="37" t="str">
        <f t="shared" ca="1" si="34"/>
        <v>-</v>
      </c>
      <c r="S39" s="37" t="str">
        <f t="shared" ca="1" si="34"/>
        <v>-</v>
      </c>
      <c r="T39" s="37" t="str">
        <f t="shared" ca="1" si="34"/>
        <v>-</v>
      </c>
      <c r="U39" s="37">
        <f t="shared" ca="1" si="34"/>
        <v>0</v>
      </c>
      <c r="V39" s="37">
        <f t="shared" ca="1" si="34"/>
        <v>1</v>
      </c>
      <c r="W39" s="37" t="str">
        <f t="shared" ca="1" si="34"/>
        <v>-</v>
      </c>
      <c r="X39" s="37" t="str">
        <f t="shared" ca="1" si="34"/>
        <v>-</v>
      </c>
      <c r="Y39" s="37">
        <f t="shared" ca="1" si="34"/>
        <v>0</v>
      </c>
      <c r="Z39" s="37">
        <f t="shared" ca="1" si="29"/>
        <v>1</v>
      </c>
      <c r="AA39" s="25" t="str">
        <f t="shared" si="32"/>
        <v>-</v>
      </c>
      <c r="AB39" s="25" t="str">
        <f t="shared" si="32"/>
        <v>-</v>
      </c>
      <c r="AC39" s="25" t="str">
        <f t="shared" si="32"/>
        <v>-</v>
      </c>
      <c r="AD39" s="37" t="str">
        <f t="shared" ca="1" si="29"/>
        <v>-</v>
      </c>
      <c r="AE39" s="37" t="str">
        <f t="shared" ca="1" si="29"/>
        <v>-</v>
      </c>
      <c r="AF39" s="37" t="str">
        <f t="shared" ca="1" si="29"/>
        <v>-</v>
      </c>
      <c r="AG39" s="37" t="str">
        <f t="shared" ca="1" si="29"/>
        <v>-</v>
      </c>
      <c r="AH39" s="37" t="str">
        <f t="shared" ca="1" si="29"/>
        <v>-</v>
      </c>
      <c r="AI39" s="37" t="str">
        <f t="shared" ca="1" si="29"/>
        <v>-</v>
      </c>
      <c r="AJ39" s="37" t="str">
        <f t="shared" ca="1" si="21"/>
        <v>-</v>
      </c>
      <c r="AK39" s="37" t="str">
        <f t="shared" ca="1" si="21"/>
        <v>-</v>
      </c>
      <c r="AL39" s="37">
        <f t="shared" ca="1" si="29"/>
        <v>60</v>
      </c>
      <c r="AM39" s="37">
        <f t="shared" ca="1" si="29"/>
        <v>1</v>
      </c>
      <c r="AN39" s="37">
        <f t="shared" ca="1" si="29"/>
        <v>0</v>
      </c>
      <c r="AO39" s="37">
        <f t="shared" ca="1" si="29"/>
        <v>1</v>
      </c>
      <c r="AP39" s="37">
        <f t="shared" ca="1" si="29"/>
        <v>0</v>
      </c>
      <c r="AQ39" s="37">
        <f t="shared" ca="1" si="29"/>
        <v>0</v>
      </c>
      <c r="AR39" s="37">
        <f t="shared" ca="1" si="29"/>
        <v>1</v>
      </c>
      <c r="AS39" s="37">
        <f t="shared" ca="1" si="29"/>
        <v>0</v>
      </c>
      <c r="AT39" s="34">
        <v>-0.75</v>
      </c>
      <c r="AU39" s="37">
        <f t="shared" ref="AU39:AV49" ca="1" si="35">OFFSET(AU$5,$C39,0)</f>
        <v>0</v>
      </c>
      <c r="AV39" s="37">
        <f t="shared" ca="1" si="35"/>
        <v>0</v>
      </c>
      <c r="AW39" s="37">
        <f t="shared" ca="1" si="29"/>
        <v>80</v>
      </c>
      <c r="AX39" s="37">
        <f t="shared" ca="1" si="31"/>
        <v>90</v>
      </c>
      <c r="AY39" s="37">
        <f t="shared" ca="1" si="31"/>
        <v>0</v>
      </c>
      <c r="AZ39" s="37">
        <f t="shared" ca="1" si="31"/>
        <v>0</v>
      </c>
      <c r="BA39" s="37">
        <f t="shared" ca="1" si="31"/>
        <v>0</v>
      </c>
      <c r="BB39" s="12"/>
    </row>
    <row r="40" spans="1:54">
      <c r="A40" s="15"/>
      <c r="B40">
        <f t="shared" si="11"/>
        <v>35</v>
      </c>
      <c r="C40" s="36">
        <f>C32</f>
        <v>4</v>
      </c>
      <c r="D40">
        <v>0</v>
      </c>
      <c r="E40" t="b">
        <v>0</v>
      </c>
      <c r="F40" t="b">
        <v>0</v>
      </c>
      <c r="G40" t="b">
        <v>0</v>
      </c>
      <c r="H40" s="3" t="str">
        <f t="shared" ca="1" si="12"/>
        <v>032-G0_sfw100%_sfd00.0_conc0000_prlf1.50_era000%</v>
      </c>
      <c r="I40" s="19" t="str">
        <f ca="1">IF(MATCH(H40,H$5:H40,0)=(COUNTA(H$5:H40)),"-","Dup")</f>
        <v>-</v>
      </c>
      <c r="J40" s="37" t="str">
        <f t="shared" ca="1" si="34"/>
        <v>-</v>
      </c>
      <c r="K40" s="37" t="b">
        <f t="shared" ca="1" si="34"/>
        <v>0</v>
      </c>
      <c r="L40" s="37" t="b">
        <f t="shared" ca="1" si="34"/>
        <v>1</v>
      </c>
      <c r="M40" s="37">
        <f t="shared" ca="1" si="34"/>
        <v>2</v>
      </c>
      <c r="N40" s="37" t="str">
        <f t="shared" ca="1" si="34"/>
        <v>-</v>
      </c>
      <c r="O40" s="37" t="str">
        <f t="shared" ca="1" si="34"/>
        <v>-</v>
      </c>
      <c r="P40" s="37" t="str">
        <f t="shared" ca="1" si="34"/>
        <v>-</v>
      </c>
      <c r="Q40" s="37" t="str">
        <f t="shared" ca="1" si="34"/>
        <v>-</v>
      </c>
      <c r="R40" s="37" t="str">
        <f t="shared" ca="1" si="34"/>
        <v>-</v>
      </c>
      <c r="S40" s="37" t="str">
        <f t="shared" ca="1" si="34"/>
        <v>-</v>
      </c>
      <c r="T40" s="37" t="str">
        <f t="shared" ca="1" si="29"/>
        <v>-</v>
      </c>
      <c r="U40" s="37">
        <f t="shared" ca="1" si="29"/>
        <v>0</v>
      </c>
      <c r="V40" s="37">
        <f t="shared" ca="1" si="29"/>
        <v>1</v>
      </c>
      <c r="W40" s="37" t="str">
        <f t="shared" ca="1" si="29"/>
        <v>-</v>
      </c>
      <c r="X40" s="37" t="str">
        <f t="shared" ca="1" si="29"/>
        <v>-</v>
      </c>
      <c r="Y40" s="37">
        <f t="shared" ca="1" si="29"/>
        <v>0</v>
      </c>
      <c r="Z40" s="37">
        <f t="shared" ca="1" si="29"/>
        <v>1</v>
      </c>
      <c r="AA40" s="25" t="str">
        <f t="shared" si="32"/>
        <v>-</v>
      </c>
      <c r="AB40" s="25" t="str">
        <f t="shared" si="32"/>
        <v>-</v>
      </c>
      <c r="AC40" s="25" t="str">
        <f t="shared" si="32"/>
        <v>-</v>
      </c>
      <c r="AD40" s="37" t="str">
        <f t="shared" ca="1" si="29"/>
        <v>-</v>
      </c>
      <c r="AE40" s="37" t="str">
        <f t="shared" ca="1" si="29"/>
        <v>-</v>
      </c>
      <c r="AF40" s="37" t="str">
        <f t="shared" ca="1" si="29"/>
        <v>-</v>
      </c>
      <c r="AG40" s="37" t="str">
        <f t="shared" ca="1" si="29"/>
        <v>-</v>
      </c>
      <c r="AH40" s="37" t="str">
        <f t="shared" ca="1" si="29"/>
        <v>-</v>
      </c>
      <c r="AI40" s="37" t="str">
        <f t="shared" ca="1" si="29"/>
        <v>-</v>
      </c>
      <c r="AJ40" s="37" t="str">
        <f t="shared" ca="1" si="21"/>
        <v>-</v>
      </c>
      <c r="AK40" s="37" t="str">
        <f t="shared" ca="1" si="21"/>
        <v>-</v>
      </c>
      <c r="AL40" s="37">
        <f t="shared" ca="1" si="29"/>
        <v>60</v>
      </c>
      <c r="AM40" s="37">
        <f t="shared" ca="1" si="29"/>
        <v>1</v>
      </c>
      <c r="AN40" s="37">
        <f t="shared" ca="1" si="29"/>
        <v>0</v>
      </c>
      <c r="AO40" s="37">
        <f t="shared" ca="1" si="29"/>
        <v>1</v>
      </c>
      <c r="AP40" s="37">
        <f t="shared" ca="1" si="29"/>
        <v>0</v>
      </c>
      <c r="AQ40" s="37">
        <f t="shared" ca="1" si="29"/>
        <v>0</v>
      </c>
      <c r="AR40" s="37">
        <f t="shared" ca="1" si="29"/>
        <v>1</v>
      </c>
      <c r="AS40" s="37">
        <f t="shared" ca="1" si="29"/>
        <v>0</v>
      </c>
      <c r="AT40" s="37">
        <f t="shared" ref="AT40:AU55" ca="1" si="36">OFFSET(AT$5,$C40,0)</f>
        <v>0</v>
      </c>
      <c r="AU40" s="34">
        <v>1.5</v>
      </c>
      <c r="AV40" s="37">
        <f t="shared" ca="1" si="35"/>
        <v>0</v>
      </c>
      <c r="AW40" s="37">
        <f t="shared" ca="1" si="29"/>
        <v>80</v>
      </c>
      <c r="AX40" s="37">
        <f t="shared" ca="1" si="31"/>
        <v>90</v>
      </c>
      <c r="AY40" s="37">
        <f t="shared" ca="1" si="31"/>
        <v>0</v>
      </c>
      <c r="AZ40" s="37">
        <f t="shared" ca="1" si="31"/>
        <v>0</v>
      </c>
      <c r="BA40" s="37">
        <f t="shared" ca="1" si="31"/>
        <v>0</v>
      </c>
      <c r="BB40" s="12"/>
    </row>
    <row r="41" spans="1:54">
      <c r="A41" s="15"/>
      <c r="B41">
        <f t="shared" si="11"/>
        <v>36</v>
      </c>
      <c r="C41" s="36">
        <f t="shared" ref="C41:C59" si="37">C40</f>
        <v>4</v>
      </c>
      <c r="D41">
        <v>0</v>
      </c>
      <c r="E41" t="b">
        <v>0</v>
      </c>
      <c r="F41" t="b">
        <v>0</v>
      </c>
      <c r="G41" t="b">
        <v>0</v>
      </c>
      <c r="H41" s="3" t="str">
        <f t="shared" ca="1" si="12"/>
        <v>033-G0_sfw100%_sfd00.0_conc0000_prlf1.20_era000%</v>
      </c>
      <c r="I41" s="19" t="str">
        <f ca="1">IF(MATCH(H41,H$5:H41,0)=(COUNTA(H$5:H41)),"-","Dup")</f>
        <v>-</v>
      </c>
      <c r="J41" s="37" t="str">
        <f t="shared" ca="1" si="34"/>
        <v>-</v>
      </c>
      <c r="K41" s="37" t="b">
        <f t="shared" ca="1" si="34"/>
        <v>0</v>
      </c>
      <c r="L41" s="37" t="b">
        <f t="shared" ca="1" si="34"/>
        <v>1</v>
      </c>
      <c r="M41" s="37">
        <f t="shared" ca="1" si="34"/>
        <v>2</v>
      </c>
      <c r="N41" s="37" t="str">
        <f t="shared" ca="1" si="34"/>
        <v>-</v>
      </c>
      <c r="O41" s="37" t="str">
        <f t="shared" ca="1" si="34"/>
        <v>-</v>
      </c>
      <c r="P41" s="37" t="str">
        <f t="shared" ca="1" si="34"/>
        <v>-</v>
      </c>
      <c r="Q41" s="37" t="str">
        <f t="shared" ca="1" si="34"/>
        <v>-</v>
      </c>
      <c r="R41" s="37" t="str">
        <f t="shared" ca="1" si="34"/>
        <v>-</v>
      </c>
      <c r="S41" s="37" t="str">
        <f t="shared" ca="1" si="34"/>
        <v>-</v>
      </c>
      <c r="T41" s="37" t="str">
        <f t="shared" ca="1" si="34"/>
        <v>-</v>
      </c>
      <c r="U41" s="37">
        <f t="shared" ca="1" si="34"/>
        <v>0</v>
      </c>
      <c r="V41" s="37">
        <f t="shared" ca="1" si="34"/>
        <v>1</v>
      </c>
      <c r="W41" s="37" t="str">
        <f t="shared" ca="1" si="34"/>
        <v>-</v>
      </c>
      <c r="X41" s="37" t="str">
        <f t="shared" ca="1" si="34"/>
        <v>-</v>
      </c>
      <c r="Y41" s="37">
        <f t="shared" ca="1" si="34"/>
        <v>0</v>
      </c>
      <c r="Z41" s="37">
        <f t="shared" ca="1" si="29"/>
        <v>1</v>
      </c>
      <c r="AA41" s="25" t="str">
        <f t="shared" si="32"/>
        <v>-</v>
      </c>
      <c r="AB41" s="25" t="str">
        <f t="shared" si="32"/>
        <v>-</v>
      </c>
      <c r="AC41" s="25" t="str">
        <f t="shared" si="32"/>
        <v>-</v>
      </c>
      <c r="AD41" s="37" t="str">
        <f t="shared" ca="1" si="29"/>
        <v>-</v>
      </c>
      <c r="AE41" s="37" t="str">
        <f t="shared" ca="1" si="29"/>
        <v>-</v>
      </c>
      <c r="AF41" s="37" t="str">
        <f t="shared" ca="1" si="29"/>
        <v>-</v>
      </c>
      <c r="AG41" s="37" t="str">
        <f t="shared" ca="1" si="29"/>
        <v>-</v>
      </c>
      <c r="AH41" s="37" t="str">
        <f t="shared" ca="1" si="29"/>
        <v>-</v>
      </c>
      <c r="AI41" s="37" t="str">
        <f t="shared" ca="1" si="29"/>
        <v>-</v>
      </c>
      <c r="AJ41" s="37" t="str">
        <f t="shared" ca="1" si="29"/>
        <v>-</v>
      </c>
      <c r="AK41" s="37" t="str">
        <f t="shared" ca="1" si="29"/>
        <v>-</v>
      </c>
      <c r="AL41" s="37">
        <f t="shared" ca="1" si="29"/>
        <v>60</v>
      </c>
      <c r="AM41" s="37">
        <f t="shared" ca="1" si="29"/>
        <v>1</v>
      </c>
      <c r="AN41" s="37">
        <f t="shared" ca="1" si="29"/>
        <v>0</v>
      </c>
      <c r="AO41" s="37">
        <f t="shared" ca="1" si="29"/>
        <v>1</v>
      </c>
      <c r="AP41" s="37">
        <f t="shared" ca="1" si="29"/>
        <v>0</v>
      </c>
      <c r="AQ41" s="37">
        <f t="shared" ca="1" si="29"/>
        <v>0</v>
      </c>
      <c r="AR41" s="37">
        <f t="shared" ca="1" si="29"/>
        <v>1</v>
      </c>
      <c r="AS41" s="37">
        <f t="shared" ca="1" si="29"/>
        <v>0</v>
      </c>
      <c r="AT41" s="37">
        <f t="shared" ca="1" si="36"/>
        <v>0</v>
      </c>
      <c r="AU41" s="34">
        <v>1.2</v>
      </c>
      <c r="AV41" s="37">
        <f t="shared" ca="1" si="35"/>
        <v>0</v>
      </c>
      <c r="AW41" s="37">
        <f t="shared" ca="1" si="29"/>
        <v>80</v>
      </c>
      <c r="AX41" s="37">
        <f t="shared" ca="1" si="31"/>
        <v>90</v>
      </c>
      <c r="AY41" s="37">
        <f t="shared" ca="1" si="31"/>
        <v>0</v>
      </c>
      <c r="AZ41" s="37">
        <f t="shared" ca="1" si="31"/>
        <v>0</v>
      </c>
      <c r="BA41" s="37">
        <f t="shared" ca="1" si="31"/>
        <v>0</v>
      </c>
      <c r="BB41" s="12"/>
    </row>
    <row r="42" spans="1:54">
      <c r="A42" s="15"/>
      <c r="B42">
        <f t="shared" si="11"/>
        <v>37</v>
      </c>
      <c r="C42" s="36">
        <f t="shared" si="37"/>
        <v>4</v>
      </c>
      <c r="D42">
        <v>0</v>
      </c>
      <c r="E42" t="b">
        <v>0</v>
      </c>
      <c r="F42" t="b">
        <v>0</v>
      </c>
      <c r="G42" t="b">
        <v>0</v>
      </c>
      <c r="H42" s="3" t="str">
        <f t="shared" ref="H42:H59" ca="1" si="38">TEXT(IFERROR(VALUE(LEFT(OFFSET(H42,-1,0),3)),0)+1,"000")&amp;"-G0_sfw"&amp;TEXT($AR42,"000%")&amp;"_sfd"&amp;TEXT($AS42,"+0.0;-0.0;00.0;@")&amp;"_conc"&amp;TEXT($AT42,"0.00;-0.0;0000;----")&amp;"_prlf"&amp;TEXT($AU42,"0.00;-0.0;0000;----")&amp;"_era"&amp;TEXT($AV42,"+00%;-00%;000%;@")</f>
        <v>034-G0_sfw100%_sfd00.0_conc0000_prlf0.90_era000%</v>
      </c>
      <c r="I42" s="19" t="str">
        <f ca="1">IF(MATCH(H42,H$5:H42,0)=(COUNTA(H$5:H42)),"-","Dup")</f>
        <v>-</v>
      </c>
      <c r="J42" s="37" t="str">
        <f t="shared" ca="1" si="34"/>
        <v>-</v>
      </c>
      <c r="K42" s="37" t="b">
        <f t="shared" ca="1" si="34"/>
        <v>0</v>
      </c>
      <c r="L42" s="37" t="b">
        <f t="shared" ca="1" si="34"/>
        <v>1</v>
      </c>
      <c r="M42" s="37">
        <f t="shared" ca="1" si="34"/>
        <v>2</v>
      </c>
      <c r="N42" s="37" t="str">
        <f t="shared" ca="1" si="34"/>
        <v>-</v>
      </c>
      <c r="O42" s="37" t="str">
        <f t="shared" ca="1" si="34"/>
        <v>-</v>
      </c>
      <c r="P42" s="37" t="str">
        <f t="shared" ca="1" si="34"/>
        <v>-</v>
      </c>
      <c r="Q42" s="37" t="str">
        <f t="shared" ca="1" si="34"/>
        <v>-</v>
      </c>
      <c r="R42" s="37" t="str">
        <f t="shared" ca="1" si="34"/>
        <v>-</v>
      </c>
      <c r="S42" s="37" t="str">
        <f t="shared" ca="1" si="34"/>
        <v>-</v>
      </c>
      <c r="T42" s="37" t="str">
        <f t="shared" ca="1" si="34"/>
        <v>-</v>
      </c>
      <c r="U42" s="37">
        <f t="shared" ca="1" si="34"/>
        <v>0</v>
      </c>
      <c r="V42" s="37">
        <f t="shared" ca="1" si="34"/>
        <v>1</v>
      </c>
      <c r="W42" s="37" t="str">
        <f t="shared" ca="1" si="34"/>
        <v>-</v>
      </c>
      <c r="X42" s="37" t="str">
        <f t="shared" ca="1" si="34"/>
        <v>-</v>
      </c>
      <c r="Y42" s="37">
        <f t="shared" ca="1" si="34"/>
        <v>0</v>
      </c>
      <c r="Z42" s="37">
        <f t="shared" ca="1" si="29"/>
        <v>1</v>
      </c>
      <c r="AA42" s="25" t="str">
        <f t="shared" si="32"/>
        <v>-</v>
      </c>
      <c r="AB42" s="25" t="str">
        <f t="shared" si="32"/>
        <v>-</v>
      </c>
      <c r="AC42" s="25" t="str">
        <f t="shared" si="32"/>
        <v>-</v>
      </c>
      <c r="AD42" s="37" t="str">
        <f t="shared" ca="1" si="29"/>
        <v>-</v>
      </c>
      <c r="AE42" s="37" t="str">
        <f t="shared" ca="1" si="29"/>
        <v>-</v>
      </c>
      <c r="AF42" s="37" t="str">
        <f t="shared" ca="1" si="29"/>
        <v>-</v>
      </c>
      <c r="AG42" s="37" t="str">
        <f t="shared" ca="1" si="29"/>
        <v>-</v>
      </c>
      <c r="AH42" s="37" t="str">
        <f t="shared" ca="1" si="29"/>
        <v>-</v>
      </c>
      <c r="AI42" s="37" t="str">
        <f t="shared" ca="1" si="29"/>
        <v>-</v>
      </c>
      <c r="AJ42" s="37" t="str">
        <f t="shared" ca="1" si="29"/>
        <v>-</v>
      </c>
      <c r="AK42" s="37" t="str">
        <f t="shared" ca="1" si="29"/>
        <v>-</v>
      </c>
      <c r="AL42" s="37">
        <f t="shared" ca="1" si="29"/>
        <v>60</v>
      </c>
      <c r="AM42" s="37">
        <f t="shared" ca="1" si="29"/>
        <v>1</v>
      </c>
      <c r="AN42" s="37">
        <f t="shared" ca="1" si="29"/>
        <v>0</v>
      </c>
      <c r="AO42" s="37">
        <f t="shared" ca="1" si="29"/>
        <v>1</v>
      </c>
      <c r="AP42" s="37">
        <f t="shared" ca="1" si="29"/>
        <v>0</v>
      </c>
      <c r="AQ42" s="37">
        <f t="shared" ca="1" si="29"/>
        <v>0</v>
      </c>
      <c r="AR42" s="37">
        <f t="shared" ca="1" si="29"/>
        <v>1</v>
      </c>
      <c r="AS42" s="37">
        <f t="shared" ca="1" si="29"/>
        <v>0</v>
      </c>
      <c r="AT42" s="37">
        <f t="shared" ca="1" si="36"/>
        <v>0</v>
      </c>
      <c r="AU42" s="34">
        <v>0.9</v>
      </c>
      <c r="AV42" s="37">
        <f t="shared" ca="1" si="35"/>
        <v>0</v>
      </c>
      <c r="AW42" s="37">
        <f t="shared" ca="1" si="29"/>
        <v>80</v>
      </c>
      <c r="AX42" s="37">
        <f t="shared" ca="1" si="31"/>
        <v>90</v>
      </c>
      <c r="AY42" s="37">
        <f t="shared" ca="1" si="31"/>
        <v>0</v>
      </c>
      <c r="AZ42" s="37">
        <f t="shared" ca="1" si="31"/>
        <v>0</v>
      </c>
      <c r="BA42" s="37">
        <f t="shared" ca="1" si="31"/>
        <v>0</v>
      </c>
      <c r="BB42" s="12"/>
    </row>
    <row r="43" spans="1:54">
      <c r="A43" s="15"/>
      <c r="B43">
        <f t="shared" si="11"/>
        <v>38</v>
      </c>
      <c r="C43" s="36">
        <f t="shared" si="37"/>
        <v>4</v>
      </c>
      <c r="D43">
        <v>0</v>
      </c>
      <c r="E43" t="b">
        <v>0</v>
      </c>
      <c r="F43" t="b">
        <v>0</v>
      </c>
      <c r="G43" t="b">
        <v>0</v>
      </c>
      <c r="H43" s="3" t="str">
        <f t="shared" ca="1" si="38"/>
        <v>035-G0_sfw100%_sfd00.0_conc0000_prlf0.60_era000%</v>
      </c>
      <c r="I43" s="19" t="str">
        <f ca="1">IF(MATCH(H43,H$5:H43,0)=(COUNTA(H$5:H43)),"-","Dup")</f>
        <v>-</v>
      </c>
      <c r="J43" s="37" t="str">
        <f t="shared" ca="1" si="34"/>
        <v>-</v>
      </c>
      <c r="K43" s="37" t="b">
        <f t="shared" ca="1" si="34"/>
        <v>0</v>
      </c>
      <c r="L43" s="37" t="b">
        <f t="shared" ca="1" si="34"/>
        <v>1</v>
      </c>
      <c r="M43" s="37">
        <f t="shared" ca="1" si="34"/>
        <v>2</v>
      </c>
      <c r="N43" s="37" t="str">
        <f t="shared" ca="1" si="34"/>
        <v>-</v>
      </c>
      <c r="O43" s="37" t="str">
        <f t="shared" ca="1" si="34"/>
        <v>-</v>
      </c>
      <c r="P43" s="37" t="str">
        <f t="shared" ca="1" si="34"/>
        <v>-</v>
      </c>
      <c r="Q43" s="37" t="str">
        <f t="shared" ca="1" si="34"/>
        <v>-</v>
      </c>
      <c r="R43" s="37" t="str">
        <f t="shared" ca="1" si="34"/>
        <v>-</v>
      </c>
      <c r="S43" s="37" t="str">
        <f t="shared" ca="1" si="34"/>
        <v>-</v>
      </c>
      <c r="T43" s="37" t="str">
        <f t="shared" ca="1" si="34"/>
        <v>-</v>
      </c>
      <c r="U43" s="37">
        <f t="shared" ca="1" si="34"/>
        <v>0</v>
      </c>
      <c r="V43" s="37">
        <f t="shared" ca="1" si="34"/>
        <v>1</v>
      </c>
      <c r="W43" s="37" t="str">
        <f t="shared" ca="1" si="34"/>
        <v>-</v>
      </c>
      <c r="X43" s="37" t="str">
        <f t="shared" ca="1" si="34"/>
        <v>-</v>
      </c>
      <c r="Y43" s="37">
        <f t="shared" ca="1" si="34"/>
        <v>0</v>
      </c>
      <c r="Z43" s="37">
        <f t="shared" ca="1" si="29"/>
        <v>1</v>
      </c>
      <c r="AA43" s="25" t="str">
        <f t="shared" si="32"/>
        <v>-</v>
      </c>
      <c r="AB43" s="25" t="str">
        <f t="shared" si="32"/>
        <v>-</v>
      </c>
      <c r="AC43" s="25" t="str">
        <f t="shared" si="32"/>
        <v>-</v>
      </c>
      <c r="AD43" s="37" t="str">
        <f t="shared" ca="1" si="29"/>
        <v>-</v>
      </c>
      <c r="AE43" s="37" t="str">
        <f t="shared" ca="1" si="29"/>
        <v>-</v>
      </c>
      <c r="AF43" s="37" t="str">
        <f t="shared" ca="1" si="29"/>
        <v>-</v>
      </c>
      <c r="AG43" s="37" t="str">
        <f t="shared" ca="1" si="29"/>
        <v>-</v>
      </c>
      <c r="AH43" s="37" t="str">
        <f t="shared" ca="1" si="29"/>
        <v>-</v>
      </c>
      <c r="AI43" s="37" t="str">
        <f t="shared" ca="1" si="29"/>
        <v>-</v>
      </c>
      <c r="AJ43" s="37" t="str">
        <f t="shared" ca="1" si="29"/>
        <v>-</v>
      </c>
      <c r="AK43" s="37" t="str">
        <f t="shared" ca="1" si="29"/>
        <v>-</v>
      </c>
      <c r="AL43" s="37">
        <f t="shared" ca="1" si="29"/>
        <v>60</v>
      </c>
      <c r="AM43" s="37">
        <f t="shared" ca="1" si="29"/>
        <v>1</v>
      </c>
      <c r="AN43" s="37">
        <f t="shared" ca="1" si="29"/>
        <v>0</v>
      </c>
      <c r="AO43" s="37">
        <f t="shared" ca="1" si="29"/>
        <v>1</v>
      </c>
      <c r="AP43" s="37">
        <f t="shared" ca="1" si="29"/>
        <v>0</v>
      </c>
      <c r="AQ43" s="37">
        <f t="shared" ca="1" si="29"/>
        <v>0</v>
      </c>
      <c r="AR43" s="37">
        <f t="shared" ca="1" si="29"/>
        <v>1</v>
      </c>
      <c r="AS43" s="37">
        <f t="shared" ca="1" si="29"/>
        <v>0</v>
      </c>
      <c r="AT43" s="37">
        <f t="shared" ca="1" si="36"/>
        <v>0</v>
      </c>
      <c r="AU43" s="34">
        <v>0.6</v>
      </c>
      <c r="AV43" s="37">
        <f t="shared" ca="1" si="35"/>
        <v>0</v>
      </c>
      <c r="AW43" s="37">
        <f t="shared" ca="1" si="29"/>
        <v>80</v>
      </c>
      <c r="AX43" s="37">
        <f t="shared" ca="1" si="31"/>
        <v>90</v>
      </c>
      <c r="AY43" s="37">
        <f t="shared" ca="1" si="31"/>
        <v>0</v>
      </c>
      <c r="AZ43" s="37">
        <f t="shared" ca="1" si="31"/>
        <v>0</v>
      </c>
      <c r="BA43" s="37">
        <f t="shared" ca="1" si="31"/>
        <v>0</v>
      </c>
      <c r="BB43" s="12"/>
    </row>
    <row r="44" spans="1:54">
      <c r="A44" s="15"/>
      <c r="B44">
        <f t="shared" si="11"/>
        <v>39</v>
      </c>
      <c r="C44" s="36">
        <f t="shared" si="37"/>
        <v>4</v>
      </c>
      <c r="D44">
        <v>0</v>
      </c>
      <c r="E44" t="b">
        <v>0</v>
      </c>
      <c r="F44" t="b">
        <v>0</v>
      </c>
      <c r="G44" t="b">
        <v>0</v>
      </c>
      <c r="H44" s="3" t="str">
        <f t="shared" ca="1" si="38"/>
        <v>036-G0_sfw100%_sfd00.0_conc0000_prlf0.30_era000%</v>
      </c>
      <c r="I44" s="19" t="str">
        <f ca="1">IF(MATCH(H44,H$5:H44,0)=(COUNTA(H$5:H44)),"-","Dup")</f>
        <v>-</v>
      </c>
      <c r="J44" s="37" t="str">
        <f t="shared" ca="1" si="34"/>
        <v>-</v>
      </c>
      <c r="K44" s="37" t="b">
        <f t="shared" ca="1" si="34"/>
        <v>0</v>
      </c>
      <c r="L44" s="37" t="b">
        <f t="shared" ca="1" si="34"/>
        <v>1</v>
      </c>
      <c r="M44" s="37">
        <f t="shared" ca="1" si="34"/>
        <v>2</v>
      </c>
      <c r="N44" s="37" t="str">
        <f t="shared" ca="1" si="34"/>
        <v>-</v>
      </c>
      <c r="O44" s="37" t="str">
        <f t="shared" ca="1" si="34"/>
        <v>-</v>
      </c>
      <c r="P44" s="37" t="str">
        <f t="shared" ca="1" si="34"/>
        <v>-</v>
      </c>
      <c r="Q44" s="37" t="str">
        <f t="shared" ca="1" si="34"/>
        <v>-</v>
      </c>
      <c r="R44" s="37" t="str">
        <f t="shared" ca="1" si="34"/>
        <v>-</v>
      </c>
      <c r="S44" s="37" t="str">
        <f t="shared" ca="1" si="34"/>
        <v>-</v>
      </c>
      <c r="T44" s="37" t="str">
        <f t="shared" ca="1" si="34"/>
        <v>-</v>
      </c>
      <c r="U44" s="37">
        <f t="shared" ca="1" si="34"/>
        <v>0</v>
      </c>
      <c r="V44" s="37">
        <f t="shared" ca="1" si="34"/>
        <v>1</v>
      </c>
      <c r="W44" s="37" t="str">
        <f t="shared" ca="1" si="34"/>
        <v>-</v>
      </c>
      <c r="X44" s="37" t="str">
        <f t="shared" ca="1" si="34"/>
        <v>-</v>
      </c>
      <c r="Y44" s="37">
        <f t="shared" ca="1" si="34"/>
        <v>0</v>
      </c>
      <c r="Z44" s="37">
        <f t="shared" ca="1" si="29"/>
        <v>1</v>
      </c>
      <c r="AA44" s="25" t="str">
        <f t="shared" si="32"/>
        <v>-</v>
      </c>
      <c r="AB44" s="25" t="str">
        <f t="shared" si="32"/>
        <v>-</v>
      </c>
      <c r="AC44" s="25" t="str">
        <f t="shared" si="32"/>
        <v>-</v>
      </c>
      <c r="AD44" s="37" t="str">
        <f t="shared" ca="1" si="29"/>
        <v>-</v>
      </c>
      <c r="AE44" s="37" t="str">
        <f t="shared" ca="1" si="29"/>
        <v>-</v>
      </c>
      <c r="AF44" s="37" t="str">
        <f t="shared" ca="1" si="29"/>
        <v>-</v>
      </c>
      <c r="AG44" s="37" t="str">
        <f t="shared" ca="1" si="29"/>
        <v>-</v>
      </c>
      <c r="AH44" s="37" t="str">
        <f t="shared" ca="1" si="29"/>
        <v>-</v>
      </c>
      <c r="AI44" s="37" t="str">
        <f t="shared" ca="1" si="29"/>
        <v>-</v>
      </c>
      <c r="AJ44" s="37" t="str">
        <f t="shared" ca="1" si="29"/>
        <v>-</v>
      </c>
      <c r="AK44" s="37" t="str">
        <f t="shared" ca="1" si="29"/>
        <v>-</v>
      </c>
      <c r="AL44" s="37">
        <f t="shared" ca="1" si="29"/>
        <v>60</v>
      </c>
      <c r="AM44" s="37">
        <f t="shared" ca="1" si="29"/>
        <v>1</v>
      </c>
      <c r="AN44" s="37">
        <f t="shared" ca="1" si="29"/>
        <v>0</v>
      </c>
      <c r="AO44" s="37">
        <f t="shared" ca="1" si="29"/>
        <v>1</v>
      </c>
      <c r="AP44" s="37">
        <f t="shared" ca="1" si="29"/>
        <v>0</v>
      </c>
      <c r="AQ44" s="37">
        <f t="shared" ca="1" si="29"/>
        <v>0</v>
      </c>
      <c r="AR44" s="37">
        <f t="shared" ca="1" si="29"/>
        <v>1</v>
      </c>
      <c r="AS44" s="37">
        <f t="shared" ca="1" si="29"/>
        <v>0</v>
      </c>
      <c r="AT44" s="37">
        <f t="shared" ca="1" si="36"/>
        <v>0</v>
      </c>
      <c r="AU44" s="34">
        <v>0.3</v>
      </c>
      <c r="AV44" s="37">
        <f t="shared" ca="1" si="35"/>
        <v>0</v>
      </c>
      <c r="AW44" s="37">
        <f t="shared" ca="1" si="29"/>
        <v>80</v>
      </c>
      <c r="AX44" s="37">
        <f t="shared" ca="1" si="31"/>
        <v>90</v>
      </c>
      <c r="AY44" s="37">
        <f t="shared" ca="1" si="31"/>
        <v>0</v>
      </c>
      <c r="AZ44" s="37">
        <f t="shared" ca="1" si="31"/>
        <v>0</v>
      </c>
      <c r="BA44" s="37">
        <f t="shared" ca="1" si="31"/>
        <v>0</v>
      </c>
      <c r="BB44" s="12"/>
    </row>
    <row r="45" spans="1:54">
      <c r="A45" s="15"/>
      <c r="B45">
        <f t="shared" si="11"/>
        <v>40</v>
      </c>
      <c r="C45" s="36">
        <f t="shared" si="37"/>
        <v>4</v>
      </c>
      <c r="D45">
        <v>0</v>
      </c>
      <c r="E45" t="b">
        <v>0</v>
      </c>
      <c r="F45" t="b">
        <v>0</v>
      </c>
      <c r="G45" t="b">
        <v>0</v>
      </c>
      <c r="H45" s="3" t="str">
        <f t="shared" ca="1" si="38"/>
        <v>037-G0_sfw100%_sfd00.0_conc0000_prlf-0.2_era000%</v>
      </c>
      <c r="I45" s="19" t="str">
        <f ca="1">IF(MATCH(H45,H$5:H45,0)=(COUNTA(H$5:H45)),"-","Dup")</f>
        <v>-</v>
      </c>
      <c r="J45" s="37" t="str">
        <f t="shared" ca="1" si="34"/>
        <v>-</v>
      </c>
      <c r="K45" s="37" t="b">
        <f t="shared" ca="1" si="34"/>
        <v>0</v>
      </c>
      <c r="L45" s="37" t="b">
        <f t="shared" ca="1" si="34"/>
        <v>1</v>
      </c>
      <c r="M45" s="37">
        <f t="shared" ca="1" si="34"/>
        <v>2</v>
      </c>
      <c r="N45" s="37" t="str">
        <f t="shared" ca="1" si="34"/>
        <v>-</v>
      </c>
      <c r="O45" s="37" t="str">
        <f t="shared" ca="1" si="34"/>
        <v>-</v>
      </c>
      <c r="P45" s="37" t="str">
        <f t="shared" ca="1" si="34"/>
        <v>-</v>
      </c>
      <c r="Q45" s="37" t="str">
        <f t="shared" ca="1" si="34"/>
        <v>-</v>
      </c>
      <c r="R45" s="37" t="str">
        <f t="shared" ca="1" si="34"/>
        <v>-</v>
      </c>
      <c r="S45" s="37" t="str">
        <f t="shared" ca="1" si="34"/>
        <v>-</v>
      </c>
      <c r="T45" s="37" t="str">
        <f t="shared" ca="1" si="34"/>
        <v>-</v>
      </c>
      <c r="U45" s="37">
        <f t="shared" ca="1" si="34"/>
        <v>0</v>
      </c>
      <c r="V45" s="37">
        <f t="shared" ca="1" si="34"/>
        <v>1</v>
      </c>
      <c r="W45" s="37" t="str">
        <f t="shared" ca="1" si="34"/>
        <v>-</v>
      </c>
      <c r="X45" s="37" t="str">
        <f t="shared" ca="1" si="34"/>
        <v>-</v>
      </c>
      <c r="Y45" s="37">
        <f t="shared" ca="1" si="34"/>
        <v>0</v>
      </c>
      <c r="Z45" s="37">
        <f t="shared" ca="1" si="29"/>
        <v>1</v>
      </c>
      <c r="AA45" s="25" t="str">
        <f t="shared" si="32"/>
        <v>-</v>
      </c>
      <c r="AB45" s="25" t="str">
        <f t="shared" si="32"/>
        <v>-</v>
      </c>
      <c r="AC45" s="25" t="str">
        <f t="shared" si="32"/>
        <v>-</v>
      </c>
      <c r="AD45" s="37" t="str">
        <f t="shared" ca="1" si="29"/>
        <v>-</v>
      </c>
      <c r="AE45" s="37" t="str">
        <f t="shared" ca="1" si="29"/>
        <v>-</v>
      </c>
      <c r="AF45" s="37" t="str">
        <f t="shared" ca="1" si="29"/>
        <v>-</v>
      </c>
      <c r="AG45" s="37" t="str">
        <f t="shared" ref="AG45:AW50" ca="1" si="39">OFFSET(AG$5,$C45,0)</f>
        <v>-</v>
      </c>
      <c r="AH45" s="37" t="str">
        <f t="shared" ca="1" si="39"/>
        <v>-</v>
      </c>
      <c r="AI45" s="37" t="str">
        <f t="shared" ca="1" si="39"/>
        <v>-</v>
      </c>
      <c r="AJ45" s="37" t="str">
        <f t="shared" ca="1" si="39"/>
        <v>-</v>
      </c>
      <c r="AK45" s="37" t="str">
        <f t="shared" ca="1" si="39"/>
        <v>-</v>
      </c>
      <c r="AL45" s="37">
        <f t="shared" ca="1" si="39"/>
        <v>60</v>
      </c>
      <c r="AM45" s="37">
        <f t="shared" ca="1" si="39"/>
        <v>1</v>
      </c>
      <c r="AN45" s="37">
        <f t="shared" ca="1" si="39"/>
        <v>0</v>
      </c>
      <c r="AO45" s="37">
        <f t="shared" ca="1" si="39"/>
        <v>1</v>
      </c>
      <c r="AP45" s="37">
        <f t="shared" ca="1" si="29"/>
        <v>0</v>
      </c>
      <c r="AQ45" s="37">
        <f t="shared" ca="1" si="29"/>
        <v>0</v>
      </c>
      <c r="AR45" s="37">
        <f t="shared" ca="1" si="39"/>
        <v>1</v>
      </c>
      <c r="AS45" s="37">
        <f t="shared" ca="1" si="39"/>
        <v>0</v>
      </c>
      <c r="AT45" s="37">
        <f t="shared" ca="1" si="36"/>
        <v>0</v>
      </c>
      <c r="AU45" s="34">
        <v>-0.15</v>
      </c>
      <c r="AV45" s="37">
        <f t="shared" ca="1" si="35"/>
        <v>0</v>
      </c>
      <c r="AW45" s="37">
        <f t="shared" ca="1" si="39"/>
        <v>80</v>
      </c>
      <c r="AX45" s="37">
        <f t="shared" ca="1" si="31"/>
        <v>90</v>
      </c>
      <c r="AY45" s="37">
        <f t="shared" ca="1" si="31"/>
        <v>0</v>
      </c>
      <c r="AZ45" s="37">
        <f t="shared" ca="1" si="31"/>
        <v>0</v>
      </c>
      <c r="BA45" s="37">
        <f t="shared" ca="1" si="31"/>
        <v>0</v>
      </c>
      <c r="BB45" s="12"/>
    </row>
    <row r="46" spans="1:54">
      <c r="A46" s="15"/>
      <c r="B46">
        <f t="shared" si="11"/>
        <v>41</v>
      </c>
      <c r="C46" s="36">
        <f t="shared" si="37"/>
        <v>4</v>
      </c>
      <c r="D46">
        <v>0</v>
      </c>
      <c r="E46" t="b">
        <v>0</v>
      </c>
      <c r="F46" t="b">
        <v>0</v>
      </c>
      <c r="G46" t="b">
        <v>0</v>
      </c>
      <c r="H46" s="3" t="str">
        <f t="shared" ca="1" si="38"/>
        <v>038-G0_sfw100%_sfd00.0_conc0000_prlf-0.3_era000%</v>
      </c>
      <c r="I46" s="19" t="str">
        <f ca="1">IF(MATCH(H46,H$5:H46,0)=(COUNTA(H$5:H46)),"-","Dup")</f>
        <v>-</v>
      </c>
      <c r="J46" s="37" t="str">
        <f t="shared" ca="1" si="34"/>
        <v>-</v>
      </c>
      <c r="K46" s="37" t="b">
        <f t="shared" ca="1" si="34"/>
        <v>0</v>
      </c>
      <c r="L46" s="37" t="b">
        <f t="shared" ca="1" si="34"/>
        <v>1</v>
      </c>
      <c r="M46" s="37">
        <f t="shared" ca="1" si="34"/>
        <v>2</v>
      </c>
      <c r="N46" s="37" t="str">
        <f t="shared" ca="1" si="34"/>
        <v>-</v>
      </c>
      <c r="O46" s="37" t="str">
        <f t="shared" ca="1" si="34"/>
        <v>-</v>
      </c>
      <c r="P46" s="37" t="str">
        <f t="shared" ca="1" si="34"/>
        <v>-</v>
      </c>
      <c r="Q46" s="37" t="str">
        <f t="shared" ca="1" si="34"/>
        <v>-</v>
      </c>
      <c r="R46" s="37" t="str">
        <f t="shared" ca="1" si="34"/>
        <v>-</v>
      </c>
      <c r="S46" s="37" t="str">
        <f t="shared" ca="1" si="34"/>
        <v>-</v>
      </c>
      <c r="T46" s="37" t="str">
        <f t="shared" ca="1" si="34"/>
        <v>-</v>
      </c>
      <c r="U46" s="37">
        <f t="shared" ca="1" si="34"/>
        <v>0</v>
      </c>
      <c r="V46" s="37">
        <f t="shared" ca="1" si="34"/>
        <v>1</v>
      </c>
      <c r="W46" s="37" t="str">
        <f t="shared" ca="1" si="34"/>
        <v>-</v>
      </c>
      <c r="X46" s="37" t="str">
        <f t="shared" ca="1" si="34"/>
        <v>-</v>
      </c>
      <c r="Y46" s="37">
        <f t="shared" ca="1" si="34"/>
        <v>0</v>
      </c>
      <c r="Z46" s="37">
        <f t="shared" ref="Z46:BA57" ca="1" si="40">OFFSET(Z$5,$C46,0)</f>
        <v>1</v>
      </c>
      <c r="AA46" s="25" t="str">
        <f t="shared" si="32"/>
        <v>-</v>
      </c>
      <c r="AB46" s="25" t="str">
        <f t="shared" si="32"/>
        <v>-</v>
      </c>
      <c r="AC46" s="25" t="str">
        <f t="shared" si="32"/>
        <v>-</v>
      </c>
      <c r="AD46" s="37" t="str">
        <f t="shared" ca="1" si="40"/>
        <v>-</v>
      </c>
      <c r="AE46" s="37" t="str">
        <f t="shared" ca="1" si="40"/>
        <v>-</v>
      </c>
      <c r="AF46" s="37" t="str">
        <f t="shared" ca="1" si="40"/>
        <v>-</v>
      </c>
      <c r="AG46" s="37" t="str">
        <f t="shared" ca="1" si="40"/>
        <v>-</v>
      </c>
      <c r="AH46" s="37" t="str">
        <f t="shared" ca="1" si="40"/>
        <v>-</v>
      </c>
      <c r="AI46" s="37" t="str">
        <f t="shared" ca="1" si="40"/>
        <v>-</v>
      </c>
      <c r="AJ46" s="37" t="str">
        <f t="shared" ca="1" si="39"/>
        <v>-</v>
      </c>
      <c r="AK46" s="37" t="str">
        <f t="shared" ca="1" si="39"/>
        <v>-</v>
      </c>
      <c r="AL46" s="37">
        <f t="shared" ca="1" si="40"/>
        <v>60</v>
      </c>
      <c r="AM46" s="37">
        <f t="shared" ca="1" si="40"/>
        <v>1</v>
      </c>
      <c r="AN46" s="37">
        <f t="shared" ca="1" si="40"/>
        <v>0</v>
      </c>
      <c r="AO46" s="37">
        <f t="shared" ca="1" si="40"/>
        <v>1</v>
      </c>
      <c r="AP46" s="37">
        <f t="shared" ca="1" si="40"/>
        <v>0</v>
      </c>
      <c r="AQ46" s="37">
        <f t="shared" ca="1" si="40"/>
        <v>0</v>
      </c>
      <c r="AR46" s="37">
        <f t="shared" ca="1" si="40"/>
        <v>1</v>
      </c>
      <c r="AS46" s="37">
        <f t="shared" ca="1" si="40"/>
        <v>0</v>
      </c>
      <c r="AT46" s="37">
        <f t="shared" ca="1" si="36"/>
        <v>0</v>
      </c>
      <c r="AU46" s="34">
        <v>-0.3</v>
      </c>
      <c r="AV46" s="37">
        <f t="shared" ca="1" si="35"/>
        <v>0</v>
      </c>
      <c r="AW46" s="37">
        <f t="shared" ca="1" si="40"/>
        <v>80</v>
      </c>
      <c r="AX46" s="37">
        <f t="shared" ca="1" si="40"/>
        <v>90</v>
      </c>
      <c r="AY46" s="37">
        <f t="shared" ca="1" si="40"/>
        <v>0</v>
      </c>
      <c r="AZ46" s="37">
        <f t="shared" ca="1" si="40"/>
        <v>0</v>
      </c>
      <c r="BA46" s="37">
        <f t="shared" ca="1" si="40"/>
        <v>0</v>
      </c>
      <c r="BB46" s="12"/>
    </row>
    <row r="47" spans="1:54">
      <c r="A47" s="15"/>
      <c r="B47">
        <f t="shared" si="11"/>
        <v>42</v>
      </c>
      <c r="C47" s="36">
        <f t="shared" si="37"/>
        <v>4</v>
      </c>
      <c r="D47">
        <v>0</v>
      </c>
      <c r="E47" t="b">
        <v>0</v>
      </c>
      <c r="F47" t="b">
        <v>0</v>
      </c>
      <c r="G47" t="b">
        <v>0</v>
      </c>
      <c r="H47" s="3" t="str">
        <f t="shared" ca="1" si="38"/>
        <v>039-G0_sfw100%_sfd00.0_conc0000_prlf-0.5_era000%</v>
      </c>
      <c r="I47" s="19" t="str">
        <f ca="1">IF(MATCH(H47,H$5:H47,0)=(COUNTA(H$5:H47)),"-","Dup")</f>
        <v>-</v>
      </c>
      <c r="J47" s="37" t="str">
        <f t="shared" ca="1" si="34"/>
        <v>-</v>
      </c>
      <c r="K47" s="37" t="b">
        <f t="shared" ca="1" si="34"/>
        <v>0</v>
      </c>
      <c r="L47" s="37" t="b">
        <f t="shared" ca="1" si="34"/>
        <v>1</v>
      </c>
      <c r="M47" s="37">
        <f t="shared" ca="1" si="34"/>
        <v>2</v>
      </c>
      <c r="N47" s="37" t="str">
        <f t="shared" ca="1" si="34"/>
        <v>-</v>
      </c>
      <c r="O47" s="37" t="str">
        <f t="shared" ca="1" si="34"/>
        <v>-</v>
      </c>
      <c r="P47" s="37" t="str">
        <f t="shared" ca="1" si="34"/>
        <v>-</v>
      </c>
      <c r="Q47" s="37" t="str">
        <f t="shared" ca="1" si="34"/>
        <v>-</v>
      </c>
      <c r="R47" s="37" t="str">
        <f t="shared" ca="1" si="34"/>
        <v>-</v>
      </c>
      <c r="S47" s="37" t="str">
        <f t="shared" ca="1" si="34"/>
        <v>-</v>
      </c>
      <c r="T47" s="37" t="str">
        <f t="shared" ca="1" si="34"/>
        <v>-</v>
      </c>
      <c r="U47" s="37">
        <f t="shared" ca="1" si="34"/>
        <v>0</v>
      </c>
      <c r="V47" s="37">
        <f t="shared" ca="1" si="34"/>
        <v>1</v>
      </c>
      <c r="W47" s="37" t="str">
        <f t="shared" ca="1" si="34"/>
        <v>-</v>
      </c>
      <c r="X47" s="37" t="str">
        <f t="shared" ca="1" si="34"/>
        <v>-</v>
      </c>
      <c r="Y47" s="37">
        <f t="shared" ca="1" si="34"/>
        <v>0</v>
      </c>
      <c r="Z47" s="37">
        <f t="shared" ca="1" si="40"/>
        <v>1</v>
      </c>
      <c r="AA47" s="25" t="str">
        <f t="shared" si="32"/>
        <v>-</v>
      </c>
      <c r="AB47" s="25" t="str">
        <f t="shared" si="32"/>
        <v>-</v>
      </c>
      <c r="AC47" s="25" t="str">
        <f t="shared" si="32"/>
        <v>-</v>
      </c>
      <c r="AD47" s="37" t="str">
        <f t="shared" ca="1" si="40"/>
        <v>-</v>
      </c>
      <c r="AE47" s="37" t="str">
        <f t="shared" ca="1" si="40"/>
        <v>-</v>
      </c>
      <c r="AF47" s="37" t="str">
        <f t="shared" ca="1" si="40"/>
        <v>-</v>
      </c>
      <c r="AG47" s="37" t="str">
        <f t="shared" ca="1" si="40"/>
        <v>-</v>
      </c>
      <c r="AH47" s="37" t="str">
        <f t="shared" ca="1" si="40"/>
        <v>-</v>
      </c>
      <c r="AI47" s="37" t="str">
        <f t="shared" ca="1" si="40"/>
        <v>-</v>
      </c>
      <c r="AJ47" s="37" t="str">
        <f t="shared" ca="1" si="39"/>
        <v>-</v>
      </c>
      <c r="AK47" s="37" t="str">
        <f t="shared" ca="1" si="39"/>
        <v>-</v>
      </c>
      <c r="AL47" s="37">
        <f t="shared" ca="1" si="40"/>
        <v>60</v>
      </c>
      <c r="AM47" s="37">
        <f t="shared" ca="1" si="40"/>
        <v>1</v>
      </c>
      <c r="AN47" s="37">
        <f t="shared" ca="1" si="40"/>
        <v>0</v>
      </c>
      <c r="AO47" s="37">
        <f t="shared" ca="1" si="40"/>
        <v>1</v>
      </c>
      <c r="AP47" s="37">
        <f t="shared" ca="1" si="40"/>
        <v>0</v>
      </c>
      <c r="AQ47" s="37">
        <f t="shared" ca="1" si="40"/>
        <v>0</v>
      </c>
      <c r="AR47" s="37">
        <f t="shared" ca="1" si="40"/>
        <v>1</v>
      </c>
      <c r="AS47" s="37">
        <f t="shared" ca="1" si="40"/>
        <v>0</v>
      </c>
      <c r="AT47" s="37">
        <f t="shared" ca="1" si="36"/>
        <v>0</v>
      </c>
      <c r="AU47" s="34">
        <v>-0.45</v>
      </c>
      <c r="AV47" s="37">
        <f t="shared" ca="1" si="35"/>
        <v>0</v>
      </c>
      <c r="AW47" s="37">
        <f t="shared" ca="1" si="40"/>
        <v>80</v>
      </c>
      <c r="AX47" s="37">
        <f t="shared" ca="1" si="40"/>
        <v>90</v>
      </c>
      <c r="AY47" s="37">
        <f t="shared" ca="1" si="40"/>
        <v>0</v>
      </c>
      <c r="AZ47" s="37">
        <f t="shared" ca="1" si="40"/>
        <v>0</v>
      </c>
      <c r="BA47" s="37">
        <f t="shared" ca="1" si="40"/>
        <v>0</v>
      </c>
      <c r="BB47" s="12"/>
    </row>
    <row r="48" spans="1:54">
      <c r="A48" s="15"/>
      <c r="B48">
        <f t="shared" si="11"/>
        <v>43</v>
      </c>
      <c r="C48" s="36">
        <f t="shared" si="37"/>
        <v>4</v>
      </c>
      <c r="D48">
        <v>0</v>
      </c>
      <c r="E48" t="b">
        <v>0</v>
      </c>
      <c r="F48" t="b">
        <v>0</v>
      </c>
      <c r="G48" t="b">
        <v>0</v>
      </c>
      <c r="H48" s="3" t="str">
        <f t="shared" ca="1" si="38"/>
        <v>040-G0_sfw100%_sfd00.0_conc0000_prlf-0.6_era000%</v>
      </c>
      <c r="I48" s="19" t="str">
        <f ca="1">IF(MATCH(H48,H$5:H48,0)=(COUNTA(H$5:H48)),"-","Dup")</f>
        <v>-</v>
      </c>
      <c r="J48" s="37" t="str">
        <f t="shared" ca="1" si="34"/>
        <v>-</v>
      </c>
      <c r="K48" s="37" t="b">
        <f t="shared" ca="1" si="34"/>
        <v>0</v>
      </c>
      <c r="L48" s="37" t="b">
        <f t="shared" ca="1" si="34"/>
        <v>1</v>
      </c>
      <c r="M48" s="37">
        <f t="shared" ca="1" si="34"/>
        <v>2</v>
      </c>
      <c r="N48" s="37" t="str">
        <f t="shared" ca="1" si="34"/>
        <v>-</v>
      </c>
      <c r="O48" s="37" t="str">
        <f t="shared" ca="1" si="34"/>
        <v>-</v>
      </c>
      <c r="P48" s="37" t="str">
        <f t="shared" ca="1" si="34"/>
        <v>-</v>
      </c>
      <c r="Q48" s="37" t="str">
        <f t="shared" ca="1" si="34"/>
        <v>-</v>
      </c>
      <c r="R48" s="37" t="str">
        <f t="shared" ca="1" si="34"/>
        <v>-</v>
      </c>
      <c r="S48" s="37" t="str">
        <f t="shared" ca="1" si="34"/>
        <v>-</v>
      </c>
      <c r="T48" s="37" t="str">
        <f t="shared" ca="1" si="34"/>
        <v>-</v>
      </c>
      <c r="U48" s="37">
        <f t="shared" ca="1" si="34"/>
        <v>0</v>
      </c>
      <c r="V48" s="37">
        <f t="shared" ca="1" si="34"/>
        <v>1</v>
      </c>
      <c r="W48" s="37" t="str">
        <f t="shared" ca="1" si="34"/>
        <v>-</v>
      </c>
      <c r="X48" s="37" t="str">
        <f t="shared" ca="1" si="34"/>
        <v>-</v>
      </c>
      <c r="Y48" s="37">
        <f t="shared" ca="1" si="34"/>
        <v>0</v>
      </c>
      <c r="Z48" s="37">
        <f t="shared" ca="1" si="40"/>
        <v>1</v>
      </c>
      <c r="AA48" s="25" t="str">
        <f t="shared" si="32"/>
        <v>-</v>
      </c>
      <c r="AB48" s="25" t="str">
        <f t="shared" si="32"/>
        <v>-</v>
      </c>
      <c r="AC48" s="25" t="str">
        <f t="shared" si="32"/>
        <v>-</v>
      </c>
      <c r="AD48" s="37" t="str">
        <f t="shared" ca="1" si="40"/>
        <v>-</v>
      </c>
      <c r="AE48" s="37" t="str">
        <f t="shared" ca="1" si="40"/>
        <v>-</v>
      </c>
      <c r="AF48" s="37" t="str">
        <f t="shared" ca="1" si="40"/>
        <v>-</v>
      </c>
      <c r="AG48" s="37" t="str">
        <f t="shared" ca="1" si="40"/>
        <v>-</v>
      </c>
      <c r="AH48" s="37" t="str">
        <f t="shared" ca="1" si="40"/>
        <v>-</v>
      </c>
      <c r="AI48" s="37" t="str">
        <f t="shared" ca="1" si="40"/>
        <v>-</v>
      </c>
      <c r="AJ48" s="37" t="str">
        <f t="shared" ca="1" si="39"/>
        <v>-</v>
      </c>
      <c r="AK48" s="37" t="str">
        <f t="shared" ca="1" si="39"/>
        <v>-</v>
      </c>
      <c r="AL48" s="37">
        <f t="shared" ca="1" si="40"/>
        <v>60</v>
      </c>
      <c r="AM48" s="37">
        <f t="shared" ca="1" si="40"/>
        <v>1</v>
      </c>
      <c r="AN48" s="37">
        <f t="shared" ca="1" si="40"/>
        <v>0</v>
      </c>
      <c r="AO48" s="37">
        <f t="shared" ca="1" si="40"/>
        <v>1</v>
      </c>
      <c r="AP48" s="37">
        <f t="shared" ca="1" si="40"/>
        <v>0</v>
      </c>
      <c r="AQ48" s="37">
        <f t="shared" ca="1" si="40"/>
        <v>0</v>
      </c>
      <c r="AR48" s="37">
        <f t="shared" ca="1" si="40"/>
        <v>1</v>
      </c>
      <c r="AS48" s="37">
        <f t="shared" ca="1" si="40"/>
        <v>0</v>
      </c>
      <c r="AT48" s="37">
        <f t="shared" ca="1" si="36"/>
        <v>0</v>
      </c>
      <c r="AU48" s="34">
        <v>-0.6</v>
      </c>
      <c r="AV48" s="37">
        <f t="shared" ca="1" si="35"/>
        <v>0</v>
      </c>
      <c r="AW48" s="37">
        <f t="shared" ca="1" si="40"/>
        <v>80</v>
      </c>
      <c r="AX48" s="37">
        <f t="shared" ca="1" si="40"/>
        <v>90</v>
      </c>
      <c r="AY48" s="37">
        <f t="shared" ca="1" si="40"/>
        <v>0</v>
      </c>
      <c r="AZ48" s="37">
        <f t="shared" ca="1" si="40"/>
        <v>0</v>
      </c>
      <c r="BA48" s="37">
        <f t="shared" ca="1" si="40"/>
        <v>0</v>
      </c>
      <c r="BB48" s="12"/>
    </row>
    <row r="49" spans="1:54">
      <c r="A49" s="15"/>
      <c r="B49">
        <f t="shared" si="11"/>
        <v>44</v>
      </c>
      <c r="C49" s="36">
        <f t="shared" si="37"/>
        <v>4</v>
      </c>
      <c r="D49">
        <v>0</v>
      </c>
      <c r="E49" t="b">
        <v>0</v>
      </c>
      <c r="F49" t="b">
        <v>0</v>
      </c>
      <c r="G49" t="b">
        <v>0</v>
      </c>
      <c r="H49" s="3" t="str">
        <f t="shared" ca="1" si="38"/>
        <v>041-G0_sfw100%_sfd00.0_conc0000_prlf-0.8_era000%</v>
      </c>
      <c r="I49" s="19" t="str">
        <f ca="1">IF(MATCH(H49,H$5:H49,0)=(COUNTA(H$5:H49)),"-","Dup")</f>
        <v>-</v>
      </c>
      <c r="J49" s="37" t="str">
        <f t="shared" ca="1" si="34"/>
        <v>-</v>
      </c>
      <c r="K49" s="37" t="b">
        <f t="shared" ca="1" si="34"/>
        <v>0</v>
      </c>
      <c r="L49" s="37" t="b">
        <f t="shared" ca="1" si="34"/>
        <v>1</v>
      </c>
      <c r="M49" s="37">
        <f t="shared" ca="1" si="34"/>
        <v>2</v>
      </c>
      <c r="N49" s="37" t="str">
        <f t="shared" ca="1" si="34"/>
        <v>-</v>
      </c>
      <c r="O49" s="37" t="str">
        <f t="shared" ca="1" si="34"/>
        <v>-</v>
      </c>
      <c r="P49" s="37" t="str">
        <f t="shared" ca="1" si="34"/>
        <v>-</v>
      </c>
      <c r="Q49" s="37" t="str">
        <f t="shared" ca="1" si="34"/>
        <v>-</v>
      </c>
      <c r="R49" s="37" t="str">
        <f t="shared" ca="1" si="34"/>
        <v>-</v>
      </c>
      <c r="S49" s="37" t="str">
        <f t="shared" ca="1" si="34"/>
        <v>-</v>
      </c>
      <c r="T49" s="37" t="str">
        <f t="shared" ca="1" si="34"/>
        <v>-</v>
      </c>
      <c r="U49" s="37">
        <f t="shared" ca="1" si="34"/>
        <v>0</v>
      </c>
      <c r="V49" s="37">
        <f t="shared" ca="1" si="34"/>
        <v>1</v>
      </c>
      <c r="W49" s="37" t="str">
        <f t="shared" ca="1" si="34"/>
        <v>-</v>
      </c>
      <c r="X49" s="37" t="str">
        <f t="shared" ca="1" si="34"/>
        <v>-</v>
      </c>
      <c r="Y49" s="37">
        <f t="shared" ca="1" si="34"/>
        <v>0</v>
      </c>
      <c r="Z49" s="37">
        <f t="shared" ca="1" si="40"/>
        <v>1</v>
      </c>
      <c r="AA49" s="25" t="str">
        <f t="shared" si="32"/>
        <v>-</v>
      </c>
      <c r="AB49" s="25" t="str">
        <f t="shared" si="32"/>
        <v>-</v>
      </c>
      <c r="AC49" s="25" t="str">
        <f t="shared" si="32"/>
        <v>-</v>
      </c>
      <c r="AD49" s="37" t="str">
        <f t="shared" ca="1" si="40"/>
        <v>-</v>
      </c>
      <c r="AE49" s="37" t="str">
        <f t="shared" ca="1" si="40"/>
        <v>-</v>
      </c>
      <c r="AF49" s="37" t="str">
        <f t="shared" ca="1" si="40"/>
        <v>-</v>
      </c>
      <c r="AG49" s="37" t="str">
        <f t="shared" ca="1" si="40"/>
        <v>-</v>
      </c>
      <c r="AH49" s="37" t="str">
        <f t="shared" ca="1" si="40"/>
        <v>-</v>
      </c>
      <c r="AI49" s="37" t="str">
        <f t="shared" ca="1" si="40"/>
        <v>-</v>
      </c>
      <c r="AJ49" s="37" t="str">
        <f t="shared" ca="1" si="39"/>
        <v>-</v>
      </c>
      <c r="AK49" s="37" t="str">
        <f t="shared" ca="1" si="39"/>
        <v>-</v>
      </c>
      <c r="AL49" s="37">
        <f t="shared" ca="1" si="40"/>
        <v>60</v>
      </c>
      <c r="AM49" s="37">
        <f t="shared" ca="1" si="40"/>
        <v>1</v>
      </c>
      <c r="AN49" s="37">
        <f t="shared" ca="1" si="40"/>
        <v>0</v>
      </c>
      <c r="AO49" s="37">
        <f t="shared" ca="1" si="40"/>
        <v>1</v>
      </c>
      <c r="AP49" s="37">
        <f t="shared" ca="1" si="40"/>
        <v>0</v>
      </c>
      <c r="AQ49" s="37">
        <f t="shared" ca="1" si="40"/>
        <v>0</v>
      </c>
      <c r="AR49" s="37">
        <f t="shared" ca="1" si="40"/>
        <v>1</v>
      </c>
      <c r="AS49" s="37">
        <f t="shared" ca="1" si="40"/>
        <v>0</v>
      </c>
      <c r="AT49" s="37">
        <f t="shared" ca="1" si="36"/>
        <v>0</v>
      </c>
      <c r="AU49" s="34">
        <v>-0.75</v>
      </c>
      <c r="AV49" s="37">
        <f t="shared" ca="1" si="35"/>
        <v>0</v>
      </c>
      <c r="AW49" s="37">
        <f t="shared" ca="1" si="40"/>
        <v>80</v>
      </c>
      <c r="AX49" s="37">
        <f t="shared" ca="1" si="40"/>
        <v>90</v>
      </c>
      <c r="AY49" s="37">
        <f t="shared" ca="1" si="40"/>
        <v>0</v>
      </c>
      <c r="AZ49" s="37">
        <f t="shared" ca="1" si="40"/>
        <v>0</v>
      </c>
      <c r="BA49" s="37">
        <f t="shared" ca="1" si="40"/>
        <v>0</v>
      </c>
      <c r="BB49" s="12"/>
    </row>
    <row r="50" spans="1:54">
      <c r="A50" s="15"/>
      <c r="B50">
        <f t="shared" si="11"/>
        <v>45</v>
      </c>
      <c r="C50" s="36">
        <f>C42</f>
        <v>4</v>
      </c>
      <c r="D50">
        <v>0</v>
      </c>
      <c r="E50" t="b">
        <v>0</v>
      </c>
      <c r="F50" t="b">
        <v>0</v>
      </c>
      <c r="G50" t="b">
        <v>0</v>
      </c>
      <c r="H50" s="3" t="str">
        <f t="shared" ca="1" si="38"/>
        <v>042-G0_sfw100%_sfd00.0_conc0000_prlf0000_era-20%</v>
      </c>
      <c r="I50" s="19" t="str">
        <f ca="1">IF(MATCH(H50,H$5:H50,0)=(COUNTA(H$5:H50)),"-","Dup")</f>
        <v>-</v>
      </c>
      <c r="J50" s="37" t="str">
        <f t="shared" ca="1" si="34"/>
        <v>-</v>
      </c>
      <c r="K50" s="37" t="b">
        <f t="shared" ca="1" si="34"/>
        <v>0</v>
      </c>
      <c r="L50" s="37" t="b">
        <f t="shared" ca="1" si="34"/>
        <v>1</v>
      </c>
      <c r="M50" s="37">
        <f t="shared" ca="1" si="34"/>
        <v>2</v>
      </c>
      <c r="N50" s="37" t="str">
        <f t="shared" ca="1" si="34"/>
        <v>-</v>
      </c>
      <c r="O50" s="37" t="str">
        <f t="shared" ref="O50:AD50" ca="1" si="41">OFFSET(O$5,$C50,0)</f>
        <v>-</v>
      </c>
      <c r="P50" s="37" t="str">
        <f t="shared" ca="1" si="41"/>
        <v>-</v>
      </c>
      <c r="Q50" s="37" t="str">
        <f t="shared" ca="1" si="41"/>
        <v>-</v>
      </c>
      <c r="R50" s="37" t="str">
        <f t="shared" ca="1" si="41"/>
        <v>-</v>
      </c>
      <c r="S50" s="37" t="str">
        <f t="shared" ca="1" si="41"/>
        <v>-</v>
      </c>
      <c r="T50" s="37" t="str">
        <f t="shared" ca="1" si="41"/>
        <v>-</v>
      </c>
      <c r="U50" s="37">
        <f t="shared" ca="1" si="41"/>
        <v>0</v>
      </c>
      <c r="V50" s="37">
        <f t="shared" ca="1" si="41"/>
        <v>1</v>
      </c>
      <c r="W50" s="37" t="str">
        <f t="shared" ca="1" si="41"/>
        <v>-</v>
      </c>
      <c r="X50" s="37" t="str">
        <f t="shared" ca="1" si="41"/>
        <v>-</v>
      </c>
      <c r="Y50" s="37">
        <f t="shared" ca="1" si="41"/>
        <v>0</v>
      </c>
      <c r="Z50" s="37">
        <f t="shared" ca="1" si="41"/>
        <v>1</v>
      </c>
      <c r="AA50" s="25" t="str">
        <f t="shared" si="32"/>
        <v>-</v>
      </c>
      <c r="AB50" s="25" t="str">
        <f t="shared" si="32"/>
        <v>-</v>
      </c>
      <c r="AC50" s="25" t="str">
        <f t="shared" si="32"/>
        <v>-</v>
      </c>
      <c r="AD50" s="37" t="str">
        <f t="shared" ca="1" si="41"/>
        <v>-</v>
      </c>
      <c r="AE50" s="37" t="str">
        <f t="shared" ca="1" si="40"/>
        <v>-</v>
      </c>
      <c r="AF50" s="37" t="str">
        <f t="shared" ca="1" si="40"/>
        <v>-</v>
      </c>
      <c r="AG50" s="37" t="str">
        <f t="shared" ca="1" si="40"/>
        <v>-</v>
      </c>
      <c r="AH50" s="37" t="str">
        <f t="shared" ca="1" si="40"/>
        <v>-</v>
      </c>
      <c r="AI50" s="37" t="str">
        <f t="shared" ca="1" si="40"/>
        <v>-</v>
      </c>
      <c r="AJ50" s="37" t="str">
        <f t="shared" ca="1" si="39"/>
        <v>-</v>
      </c>
      <c r="AK50" s="37" t="str">
        <f t="shared" ca="1" si="39"/>
        <v>-</v>
      </c>
      <c r="AL50" s="37">
        <f t="shared" ca="1" si="40"/>
        <v>60</v>
      </c>
      <c r="AM50" s="37">
        <f t="shared" ca="1" si="40"/>
        <v>1</v>
      </c>
      <c r="AN50" s="37">
        <f t="shared" ca="1" si="40"/>
        <v>0</v>
      </c>
      <c r="AO50" s="37">
        <f t="shared" ca="1" si="40"/>
        <v>1</v>
      </c>
      <c r="AP50" s="37">
        <f t="shared" ca="1" si="40"/>
        <v>0</v>
      </c>
      <c r="AQ50" s="37">
        <f t="shared" ca="1" si="40"/>
        <v>0</v>
      </c>
      <c r="AR50" s="37">
        <f t="shared" ca="1" si="40"/>
        <v>1</v>
      </c>
      <c r="AS50" s="37">
        <f t="shared" ca="1" si="40"/>
        <v>0</v>
      </c>
      <c r="AT50" s="37">
        <f t="shared" ca="1" si="36"/>
        <v>0</v>
      </c>
      <c r="AU50" s="37">
        <f t="shared" ca="1" si="36"/>
        <v>0</v>
      </c>
      <c r="AV50" s="34">
        <v>-0.2</v>
      </c>
      <c r="AW50" s="37">
        <f t="shared" ca="1" si="40"/>
        <v>80</v>
      </c>
      <c r="AX50" s="37">
        <f t="shared" ca="1" si="40"/>
        <v>90</v>
      </c>
      <c r="AY50" s="37">
        <f t="shared" ca="1" si="40"/>
        <v>0</v>
      </c>
      <c r="AZ50" s="37">
        <f t="shared" ca="1" si="40"/>
        <v>0</v>
      </c>
      <c r="BA50" s="37">
        <f t="shared" ca="1" si="40"/>
        <v>0</v>
      </c>
      <c r="BB50" s="12"/>
    </row>
    <row r="51" spans="1:54">
      <c r="A51" s="15"/>
      <c r="B51">
        <f t="shared" si="11"/>
        <v>46</v>
      </c>
      <c r="C51" s="36">
        <f t="shared" si="37"/>
        <v>4</v>
      </c>
      <c r="D51">
        <v>0</v>
      </c>
      <c r="E51" t="b">
        <v>0</v>
      </c>
      <c r="F51" t="b">
        <v>0</v>
      </c>
      <c r="G51" t="b">
        <v>0</v>
      </c>
      <c r="H51" s="3" t="str">
        <f t="shared" ca="1" si="38"/>
        <v>043-G0_sfw100%_sfd00.0_conc0000_prlf0000_era-16%</v>
      </c>
      <c r="I51" s="19" t="str">
        <f ca="1">IF(MATCH(H51,H$5:H51,0)=(COUNTA(H$5:H51)),"-","Dup")</f>
        <v>-</v>
      </c>
      <c r="J51" s="37" t="str">
        <f t="shared" ref="J51:Y59" ca="1" si="42">OFFSET(J$5,$C51,0)</f>
        <v>-</v>
      </c>
      <c r="K51" s="37" t="b">
        <f t="shared" ca="1" si="42"/>
        <v>0</v>
      </c>
      <c r="L51" s="37" t="b">
        <f t="shared" ca="1" si="42"/>
        <v>1</v>
      </c>
      <c r="M51" s="37">
        <f t="shared" ca="1" si="42"/>
        <v>2</v>
      </c>
      <c r="N51" s="37" t="str">
        <f t="shared" ca="1" si="42"/>
        <v>-</v>
      </c>
      <c r="O51" s="37" t="str">
        <f t="shared" ca="1" si="42"/>
        <v>-</v>
      </c>
      <c r="P51" s="37" t="str">
        <f t="shared" ca="1" si="42"/>
        <v>-</v>
      </c>
      <c r="Q51" s="37" t="str">
        <f t="shared" ca="1" si="42"/>
        <v>-</v>
      </c>
      <c r="R51" s="37" t="str">
        <f t="shared" ca="1" si="42"/>
        <v>-</v>
      </c>
      <c r="S51" s="37" t="str">
        <f t="shared" ca="1" si="42"/>
        <v>-</v>
      </c>
      <c r="T51" s="37" t="str">
        <f t="shared" ca="1" si="42"/>
        <v>-</v>
      </c>
      <c r="U51" s="37">
        <f t="shared" ca="1" si="42"/>
        <v>0</v>
      </c>
      <c r="V51" s="37">
        <f t="shared" ca="1" si="42"/>
        <v>1</v>
      </c>
      <c r="W51" s="37" t="str">
        <f t="shared" ca="1" si="42"/>
        <v>-</v>
      </c>
      <c r="X51" s="37" t="str">
        <f t="shared" ca="1" si="42"/>
        <v>-</v>
      </c>
      <c r="Y51" s="37">
        <f t="shared" ca="1" si="42"/>
        <v>0</v>
      </c>
      <c r="Z51" s="37">
        <f t="shared" ca="1" si="40"/>
        <v>1</v>
      </c>
      <c r="AA51" s="25" t="str">
        <f t="shared" si="32"/>
        <v>-</v>
      </c>
      <c r="AB51" s="25" t="str">
        <f t="shared" si="32"/>
        <v>-</v>
      </c>
      <c r="AC51" s="25" t="str">
        <f t="shared" si="32"/>
        <v>-</v>
      </c>
      <c r="AD51" s="37" t="str">
        <f t="shared" ca="1" si="40"/>
        <v>-</v>
      </c>
      <c r="AE51" s="37" t="str">
        <f t="shared" ca="1" si="40"/>
        <v>-</v>
      </c>
      <c r="AF51" s="37" t="str">
        <f t="shared" ca="1" si="40"/>
        <v>-</v>
      </c>
      <c r="AG51" s="37" t="str">
        <f t="shared" ca="1" si="40"/>
        <v>-</v>
      </c>
      <c r="AH51" s="37" t="str">
        <f t="shared" ca="1" si="40"/>
        <v>-</v>
      </c>
      <c r="AI51" s="37" t="str">
        <f t="shared" ca="1" si="40"/>
        <v>-</v>
      </c>
      <c r="AJ51" s="37" t="str">
        <f t="shared" ca="1" si="40"/>
        <v>-</v>
      </c>
      <c r="AK51" s="37" t="str">
        <f t="shared" ca="1" si="40"/>
        <v>-</v>
      </c>
      <c r="AL51" s="37">
        <f t="shared" ca="1" si="40"/>
        <v>60</v>
      </c>
      <c r="AM51" s="37">
        <f t="shared" ca="1" si="40"/>
        <v>1</v>
      </c>
      <c r="AN51" s="37">
        <f t="shared" ca="1" si="40"/>
        <v>0</v>
      </c>
      <c r="AO51" s="37">
        <f t="shared" ca="1" si="40"/>
        <v>1</v>
      </c>
      <c r="AP51" s="37">
        <f t="shared" ca="1" si="40"/>
        <v>0</v>
      </c>
      <c r="AQ51" s="37">
        <f t="shared" ca="1" si="40"/>
        <v>0</v>
      </c>
      <c r="AR51" s="37">
        <f t="shared" ca="1" si="40"/>
        <v>1</v>
      </c>
      <c r="AS51" s="37">
        <f t="shared" ca="1" si="40"/>
        <v>0</v>
      </c>
      <c r="AT51" s="37">
        <f t="shared" ca="1" si="36"/>
        <v>0</v>
      </c>
      <c r="AU51" s="37">
        <f t="shared" ca="1" si="36"/>
        <v>0</v>
      </c>
      <c r="AV51" s="34">
        <v>-0.16</v>
      </c>
      <c r="AW51" s="37">
        <f t="shared" ca="1" si="40"/>
        <v>80</v>
      </c>
      <c r="AX51" s="37">
        <f t="shared" ca="1" si="40"/>
        <v>90</v>
      </c>
      <c r="AY51" s="37">
        <f t="shared" ca="1" si="40"/>
        <v>0</v>
      </c>
      <c r="AZ51" s="37">
        <f t="shared" ca="1" si="40"/>
        <v>0</v>
      </c>
      <c r="BA51" s="37">
        <f t="shared" ca="1" si="40"/>
        <v>0</v>
      </c>
      <c r="BB51" s="12"/>
    </row>
    <row r="52" spans="1:54">
      <c r="A52" s="15"/>
      <c r="B52">
        <f t="shared" si="11"/>
        <v>47</v>
      </c>
      <c r="C52" s="36">
        <f t="shared" si="37"/>
        <v>4</v>
      </c>
      <c r="D52">
        <v>0</v>
      </c>
      <c r="E52" t="b">
        <v>0</v>
      </c>
      <c r="F52" t="b">
        <v>0</v>
      </c>
      <c r="G52" t="b">
        <v>0</v>
      </c>
      <c r="H52" s="3" t="str">
        <f t="shared" ca="1" si="38"/>
        <v>044-G0_sfw100%_sfd00.0_conc0000_prlf0000_era-12%</v>
      </c>
      <c r="I52" s="19" t="str">
        <f ca="1">IF(MATCH(H52,H$5:H52,0)=(COUNTA(H$5:H52)),"-","Dup")</f>
        <v>-</v>
      </c>
      <c r="J52" s="37" t="str">
        <f t="shared" ca="1" si="42"/>
        <v>-</v>
      </c>
      <c r="K52" s="37" t="b">
        <f t="shared" ca="1" si="42"/>
        <v>0</v>
      </c>
      <c r="L52" s="37" t="b">
        <f t="shared" ca="1" si="42"/>
        <v>1</v>
      </c>
      <c r="M52" s="37">
        <f t="shared" ca="1" si="42"/>
        <v>2</v>
      </c>
      <c r="N52" s="37" t="str">
        <f t="shared" ca="1" si="42"/>
        <v>-</v>
      </c>
      <c r="O52" s="37" t="str">
        <f t="shared" ca="1" si="42"/>
        <v>-</v>
      </c>
      <c r="P52" s="37" t="str">
        <f t="shared" ca="1" si="42"/>
        <v>-</v>
      </c>
      <c r="Q52" s="37" t="str">
        <f t="shared" ca="1" si="42"/>
        <v>-</v>
      </c>
      <c r="R52" s="37" t="str">
        <f t="shared" ca="1" si="42"/>
        <v>-</v>
      </c>
      <c r="S52" s="37" t="str">
        <f t="shared" ca="1" si="42"/>
        <v>-</v>
      </c>
      <c r="T52" s="37" t="str">
        <f t="shared" ca="1" si="42"/>
        <v>-</v>
      </c>
      <c r="U52" s="37">
        <f t="shared" ca="1" si="42"/>
        <v>0</v>
      </c>
      <c r="V52" s="37">
        <f t="shared" ca="1" si="42"/>
        <v>1</v>
      </c>
      <c r="W52" s="37" t="str">
        <f t="shared" ca="1" si="42"/>
        <v>-</v>
      </c>
      <c r="X52" s="37" t="str">
        <f t="shared" ca="1" si="42"/>
        <v>-</v>
      </c>
      <c r="Y52" s="37">
        <f t="shared" ca="1" si="42"/>
        <v>0</v>
      </c>
      <c r="Z52" s="37">
        <f t="shared" ca="1" si="40"/>
        <v>1</v>
      </c>
      <c r="AA52" s="25" t="str">
        <f t="shared" si="32"/>
        <v>-</v>
      </c>
      <c r="AB52" s="25" t="str">
        <f t="shared" si="32"/>
        <v>-</v>
      </c>
      <c r="AC52" s="25" t="str">
        <f t="shared" si="32"/>
        <v>-</v>
      </c>
      <c r="AD52" s="37" t="str">
        <f t="shared" ca="1" si="40"/>
        <v>-</v>
      </c>
      <c r="AE52" s="37" t="str">
        <f t="shared" ca="1" si="40"/>
        <v>-</v>
      </c>
      <c r="AF52" s="37" t="str">
        <f t="shared" ca="1" si="40"/>
        <v>-</v>
      </c>
      <c r="AG52" s="37" t="str">
        <f t="shared" ca="1" si="40"/>
        <v>-</v>
      </c>
      <c r="AH52" s="37" t="str">
        <f t="shared" ca="1" si="40"/>
        <v>-</v>
      </c>
      <c r="AI52" s="37" t="str">
        <f t="shared" ca="1" si="40"/>
        <v>-</v>
      </c>
      <c r="AJ52" s="37" t="str">
        <f t="shared" ca="1" si="40"/>
        <v>-</v>
      </c>
      <c r="AK52" s="37" t="str">
        <f t="shared" ca="1" si="40"/>
        <v>-</v>
      </c>
      <c r="AL52" s="37">
        <f t="shared" ca="1" si="40"/>
        <v>60</v>
      </c>
      <c r="AM52" s="37">
        <f t="shared" ca="1" si="40"/>
        <v>1</v>
      </c>
      <c r="AN52" s="37">
        <f t="shared" ca="1" si="40"/>
        <v>0</v>
      </c>
      <c r="AO52" s="37">
        <f t="shared" ca="1" si="40"/>
        <v>1</v>
      </c>
      <c r="AP52" s="37">
        <f t="shared" ca="1" si="40"/>
        <v>0</v>
      </c>
      <c r="AQ52" s="37">
        <f t="shared" ca="1" si="40"/>
        <v>0</v>
      </c>
      <c r="AR52" s="37">
        <f t="shared" ca="1" si="40"/>
        <v>1</v>
      </c>
      <c r="AS52" s="37">
        <f t="shared" ca="1" si="40"/>
        <v>0</v>
      </c>
      <c r="AT52" s="37">
        <f t="shared" ca="1" si="36"/>
        <v>0</v>
      </c>
      <c r="AU52" s="37">
        <f t="shared" ca="1" si="36"/>
        <v>0</v>
      </c>
      <c r="AV52" s="34">
        <v>-0.12</v>
      </c>
      <c r="AW52" s="37">
        <f t="shared" ca="1" si="40"/>
        <v>80</v>
      </c>
      <c r="AX52" s="37">
        <f t="shared" ca="1" si="40"/>
        <v>90</v>
      </c>
      <c r="AY52" s="37">
        <f t="shared" ca="1" si="40"/>
        <v>0</v>
      </c>
      <c r="AZ52" s="37">
        <f t="shared" ca="1" si="40"/>
        <v>0</v>
      </c>
      <c r="BA52" s="37">
        <f t="shared" ca="1" si="40"/>
        <v>0</v>
      </c>
      <c r="BB52" s="12"/>
    </row>
    <row r="53" spans="1:54">
      <c r="A53" s="15"/>
      <c r="B53">
        <f t="shared" si="11"/>
        <v>48</v>
      </c>
      <c r="C53" s="36">
        <f t="shared" si="37"/>
        <v>4</v>
      </c>
      <c r="D53">
        <v>0</v>
      </c>
      <c r="E53" t="b">
        <v>0</v>
      </c>
      <c r="F53" t="b">
        <v>0</v>
      </c>
      <c r="G53" t="b">
        <v>0</v>
      </c>
      <c r="H53" s="3" t="str">
        <f t="shared" ca="1" si="38"/>
        <v>045-G0_sfw100%_sfd00.0_conc0000_prlf0000_era-08%</v>
      </c>
      <c r="I53" s="19" t="str">
        <f ca="1">IF(MATCH(H53,H$5:H53,0)=(COUNTA(H$5:H53)),"-","Dup")</f>
        <v>-</v>
      </c>
      <c r="J53" s="37" t="str">
        <f t="shared" ca="1" si="42"/>
        <v>-</v>
      </c>
      <c r="K53" s="37" t="b">
        <f t="shared" ca="1" si="42"/>
        <v>0</v>
      </c>
      <c r="L53" s="37" t="b">
        <f t="shared" ca="1" si="42"/>
        <v>1</v>
      </c>
      <c r="M53" s="37">
        <f t="shared" ca="1" si="42"/>
        <v>2</v>
      </c>
      <c r="N53" s="37" t="str">
        <f t="shared" ca="1" si="42"/>
        <v>-</v>
      </c>
      <c r="O53" s="37" t="str">
        <f t="shared" ca="1" si="42"/>
        <v>-</v>
      </c>
      <c r="P53" s="37" t="str">
        <f t="shared" ca="1" si="42"/>
        <v>-</v>
      </c>
      <c r="Q53" s="37" t="str">
        <f t="shared" ca="1" si="42"/>
        <v>-</v>
      </c>
      <c r="R53" s="37" t="str">
        <f t="shared" ca="1" si="42"/>
        <v>-</v>
      </c>
      <c r="S53" s="37" t="str">
        <f t="shared" ca="1" si="42"/>
        <v>-</v>
      </c>
      <c r="T53" s="37" t="str">
        <f t="shared" ca="1" si="42"/>
        <v>-</v>
      </c>
      <c r="U53" s="37">
        <f t="shared" ca="1" si="42"/>
        <v>0</v>
      </c>
      <c r="V53" s="37">
        <f t="shared" ca="1" si="42"/>
        <v>1</v>
      </c>
      <c r="W53" s="37" t="str">
        <f t="shared" ca="1" si="42"/>
        <v>-</v>
      </c>
      <c r="X53" s="37" t="str">
        <f t="shared" ca="1" si="42"/>
        <v>-</v>
      </c>
      <c r="Y53" s="37">
        <f t="shared" ca="1" si="42"/>
        <v>0</v>
      </c>
      <c r="Z53" s="37">
        <f t="shared" ca="1" si="40"/>
        <v>1</v>
      </c>
      <c r="AA53" s="25" t="str">
        <f t="shared" si="32"/>
        <v>-</v>
      </c>
      <c r="AB53" s="25" t="str">
        <f t="shared" si="32"/>
        <v>-</v>
      </c>
      <c r="AC53" s="25" t="str">
        <f t="shared" si="32"/>
        <v>-</v>
      </c>
      <c r="AD53" s="37" t="str">
        <f t="shared" ca="1" si="40"/>
        <v>-</v>
      </c>
      <c r="AE53" s="37" t="str">
        <f t="shared" ca="1" si="40"/>
        <v>-</v>
      </c>
      <c r="AF53" s="37" t="str">
        <f t="shared" ca="1" si="40"/>
        <v>-</v>
      </c>
      <c r="AG53" s="37" t="str">
        <f t="shared" ca="1" si="40"/>
        <v>-</v>
      </c>
      <c r="AH53" s="37" t="str">
        <f t="shared" ca="1" si="40"/>
        <v>-</v>
      </c>
      <c r="AI53" s="37" t="str">
        <f t="shared" ca="1" si="40"/>
        <v>-</v>
      </c>
      <c r="AJ53" s="37" t="str">
        <f t="shared" ca="1" si="40"/>
        <v>-</v>
      </c>
      <c r="AK53" s="37" t="str">
        <f t="shared" ca="1" si="40"/>
        <v>-</v>
      </c>
      <c r="AL53" s="37">
        <f t="shared" ca="1" si="40"/>
        <v>60</v>
      </c>
      <c r="AM53" s="37">
        <f t="shared" ca="1" si="40"/>
        <v>1</v>
      </c>
      <c r="AN53" s="37">
        <f t="shared" ca="1" si="40"/>
        <v>0</v>
      </c>
      <c r="AO53" s="37">
        <f t="shared" ca="1" si="40"/>
        <v>1</v>
      </c>
      <c r="AP53" s="37">
        <f t="shared" ca="1" si="40"/>
        <v>0</v>
      </c>
      <c r="AQ53" s="37">
        <f t="shared" ca="1" si="40"/>
        <v>0</v>
      </c>
      <c r="AR53" s="37">
        <f t="shared" ca="1" si="40"/>
        <v>1</v>
      </c>
      <c r="AS53" s="37">
        <f t="shared" ca="1" si="40"/>
        <v>0</v>
      </c>
      <c r="AT53" s="37">
        <f t="shared" ca="1" si="36"/>
        <v>0</v>
      </c>
      <c r="AU53" s="37">
        <f t="shared" ca="1" si="36"/>
        <v>0</v>
      </c>
      <c r="AV53" s="34">
        <v>-0.08</v>
      </c>
      <c r="AW53" s="37">
        <f t="shared" ca="1" si="40"/>
        <v>80</v>
      </c>
      <c r="AX53" s="37">
        <f t="shared" ca="1" si="40"/>
        <v>90</v>
      </c>
      <c r="AY53" s="37">
        <f t="shared" ca="1" si="40"/>
        <v>0</v>
      </c>
      <c r="AZ53" s="37">
        <f t="shared" ca="1" si="40"/>
        <v>0</v>
      </c>
      <c r="BA53" s="37">
        <f t="shared" ca="1" si="40"/>
        <v>0</v>
      </c>
      <c r="BB53" s="12"/>
    </row>
    <row r="54" spans="1:54">
      <c r="A54" s="15"/>
      <c r="B54">
        <f t="shared" si="11"/>
        <v>49</v>
      </c>
      <c r="C54" s="36">
        <f t="shared" si="37"/>
        <v>4</v>
      </c>
      <c r="D54">
        <v>0</v>
      </c>
      <c r="E54" t="b">
        <v>0</v>
      </c>
      <c r="F54" t="b">
        <v>0</v>
      </c>
      <c r="G54" t="b">
        <v>0</v>
      </c>
      <c r="H54" s="3" t="str">
        <f t="shared" ca="1" si="38"/>
        <v>046-G0_sfw100%_sfd00.0_conc0000_prlf0000_era-04%</v>
      </c>
      <c r="I54" s="19" t="str">
        <f ca="1">IF(MATCH(H54,H$5:H54,0)=(COUNTA(H$5:H54)),"-","Dup")</f>
        <v>-</v>
      </c>
      <c r="J54" s="37" t="str">
        <f t="shared" ca="1" si="42"/>
        <v>-</v>
      </c>
      <c r="K54" s="37" t="b">
        <f t="shared" ca="1" si="42"/>
        <v>0</v>
      </c>
      <c r="L54" s="37" t="b">
        <f t="shared" ca="1" si="42"/>
        <v>1</v>
      </c>
      <c r="M54" s="37">
        <f t="shared" ca="1" si="42"/>
        <v>2</v>
      </c>
      <c r="N54" s="37" t="str">
        <f t="shared" ca="1" si="42"/>
        <v>-</v>
      </c>
      <c r="O54" s="37" t="str">
        <f t="shared" ca="1" si="42"/>
        <v>-</v>
      </c>
      <c r="P54" s="37" t="str">
        <f t="shared" ca="1" si="42"/>
        <v>-</v>
      </c>
      <c r="Q54" s="37" t="str">
        <f t="shared" ca="1" si="42"/>
        <v>-</v>
      </c>
      <c r="R54" s="37" t="str">
        <f t="shared" ca="1" si="42"/>
        <v>-</v>
      </c>
      <c r="S54" s="37" t="str">
        <f t="shared" ca="1" si="42"/>
        <v>-</v>
      </c>
      <c r="T54" s="37" t="str">
        <f t="shared" ca="1" si="42"/>
        <v>-</v>
      </c>
      <c r="U54" s="37">
        <f t="shared" ca="1" si="42"/>
        <v>0</v>
      </c>
      <c r="V54" s="37">
        <f t="shared" ca="1" si="42"/>
        <v>1</v>
      </c>
      <c r="W54" s="37" t="str">
        <f t="shared" ca="1" si="42"/>
        <v>-</v>
      </c>
      <c r="X54" s="37" t="str">
        <f t="shared" ca="1" si="42"/>
        <v>-</v>
      </c>
      <c r="Y54" s="37">
        <f t="shared" ca="1" si="42"/>
        <v>0</v>
      </c>
      <c r="Z54" s="37">
        <f t="shared" ca="1" si="40"/>
        <v>1</v>
      </c>
      <c r="AA54" s="25" t="str">
        <f t="shared" si="32"/>
        <v>-</v>
      </c>
      <c r="AB54" s="25" t="str">
        <f t="shared" si="32"/>
        <v>-</v>
      </c>
      <c r="AC54" s="25" t="str">
        <f t="shared" si="32"/>
        <v>-</v>
      </c>
      <c r="AD54" s="37" t="str">
        <f t="shared" ca="1" si="40"/>
        <v>-</v>
      </c>
      <c r="AE54" s="37" t="str">
        <f t="shared" ca="1" si="40"/>
        <v>-</v>
      </c>
      <c r="AF54" s="37" t="str">
        <f t="shared" ca="1" si="40"/>
        <v>-</v>
      </c>
      <c r="AG54" s="37" t="str">
        <f t="shared" ca="1" si="40"/>
        <v>-</v>
      </c>
      <c r="AH54" s="37" t="str">
        <f t="shared" ca="1" si="40"/>
        <v>-</v>
      </c>
      <c r="AI54" s="37" t="str">
        <f t="shared" ca="1" si="40"/>
        <v>-</v>
      </c>
      <c r="AJ54" s="37" t="str">
        <f t="shared" ca="1" si="40"/>
        <v>-</v>
      </c>
      <c r="AK54" s="37" t="str">
        <f t="shared" ca="1" si="40"/>
        <v>-</v>
      </c>
      <c r="AL54" s="37">
        <f t="shared" ca="1" si="40"/>
        <v>60</v>
      </c>
      <c r="AM54" s="37">
        <f t="shared" ca="1" si="40"/>
        <v>1</v>
      </c>
      <c r="AN54" s="37">
        <f t="shared" ca="1" si="40"/>
        <v>0</v>
      </c>
      <c r="AO54" s="37">
        <f t="shared" ca="1" si="40"/>
        <v>1</v>
      </c>
      <c r="AP54" s="37">
        <f t="shared" ca="1" si="40"/>
        <v>0</v>
      </c>
      <c r="AQ54" s="37">
        <f t="shared" ca="1" si="40"/>
        <v>0</v>
      </c>
      <c r="AR54" s="37">
        <f t="shared" ca="1" si="40"/>
        <v>1</v>
      </c>
      <c r="AS54" s="37">
        <f t="shared" ca="1" si="40"/>
        <v>0</v>
      </c>
      <c r="AT54" s="37">
        <f t="shared" ca="1" si="36"/>
        <v>0</v>
      </c>
      <c r="AU54" s="37">
        <f t="shared" ca="1" si="36"/>
        <v>0</v>
      </c>
      <c r="AV54" s="34">
        <v>-0.04</v>
      </c>
      <c r="AW54" s="37">
        <f t="shared" ca="1" si="40"/>
        <v>80</v>
      </c>
      <c r="AX54" s="37">
        <f t="shared" ca="1" si="40"/>
        <v>90</v>
      </c>
      <c r="AY54" s="37">
        <f t="shared" ca="1" si="40"/>
        <v>0</v>
      </c>
      <c r="AZ54" s="37">
        <f t="shared" ca="1" si="40"/>
        <v>0</v>
      </c>
      <c r="BA54" s="37">
        <f t="shared" ca="1" si="40"/>
        <v>0</v>
      </c>
      <c r="BB54" s="12"/>
    </row>
    <row r="55" spans="1:54">
      <c r="A55" s="15"/>
      <c r="B55">
        <f t="shared" si="11"/>
        <v>50</v>
      </c>
      <c r="C55" s="36">
        <f t="shared" si="37"/>
        <v>4</v>
      </c>
      <c r="D55">
        <v>0</v>
      </c>
      <c r="E55" t="b">
        <v>0</v>
      </c>
      <c r="F55" t="b">
        <v>0</v>
      </c>
      <c r="G55" t="b">
        <v>0</v>
      </c>
      <c r="H55" s="3" t="str">
        <f t="shared" ca="1" si="38"/>
        <v>047-G0_sfw100%_sfd00.0_conc0000_prlf0000_era+04%</v>
      </c>
      <c r="I55" s="19" t="str">
        <f ca="1">IF(MATCH(H55,H$5:H55,0)=(COUNTA(H$5:H55)),"-","Dup")</f>
        <v>-</v>
      </c>
      <c r="J55" s="37" t="str">
        <f t="shared" ca="1" si="42"/>
        <v>-</v>
      </c>
      <c r="K55" s="37" t="b">
        <f t="shared" ca="1" si="42"/>
        <v>0</v>
      </c>
      <c r="L55" s="37" t="b">
        <f t="shared" ca="1" si="42"/>
        <v>1</v>
      </c>
      <c r="M55" s="37">
        <f t="shared" ca="1" si="42"/>
        <v>2</v>
      </c>
      <c r="N55" s="37" t="str">
        <f t="shared" ca="1" si="42"/>
        <v>-</v>
      </c>
      <c r="O55" s="37" t="str">
        <f t="shared" ca="1" si="42"/>
        <v>-</v>
      </c>
      <c r="P55" s="37" t="str">
        <f t="shared" ca="1" si="42"/>
        <v>-</v>
      </c>
      <c r="Q55" s="37" t="str">
        <f t="shared" ca="1" si="42"/>
        <v>-</v>
      </c>
      <c r="R55" s="37" t="str">
        <f t="shared" ca="1" si="42"/>
        <v>-</v>
      </c>
      <c r="S55" s="37" t="str">
        <f t="shared" ca="1" si="42"/>
        <v>-</v>
      </c>
      <c r="T55" s="37" t="str">
        <f t="shared" ca="1" si="42"/>
        <v>-</v>
      </c>
      <c r="U55" s="37">
        <f t="shared" ca="1" si="42"/>
        <v>0</v>
      </c>
      <c r="V55" s="37">
        <f t="shared" ca="1" si="42"/>
        <v>1</v>
      </c>
      <c r="W55" s="37" t="str">
        <f t="shared" ca="1" si="42"/>
        <v>-</v>
      </c>
      <c r="X55" s="37" t="str">
        <f t="shared" ca="1" si="42"/>
        <v>-</v>
      </c>
      <c r="Y55" s="37">
        <f t="shared" ca="1" si="42"/>
        <v>0</v>
      </c>
      <c r="Z55" s="37">
        <f t="shared" ca="1" si="40"/>
        <v>1</v>
      </c>
      <c r="AA55" s="25" t="str">
        <f t="shared" si="32"/>
        <v>-</v>
      </c>
      <c r="AB55" s="25" t="str">
        <f t="shared" si="32"/>
        <v>-</v>
      </c>
      <c r="AC55" s="25" t="str">
        <f t="shared" si="32"/>
        <v>-</v>
      </c>
      <c r="AD55" s="37" t="str">
        <f t="shared" ca="1" si="40"/>
        <v>-</v>
      </c>
      <c r="AE55" s="37" t="str">
        <f t="shared" ca="1" si="40"/>
        <v>-</v>
      </c>
      <c r="AF55" s="37" t="str">
        <f t="shared" ca="1" si="40"/>
        <v>-</v>
      </c>
      <c r="AG55" s="37" t="str">
        <f t="shared" ca="1" si="40"/>
        <v>-</v>
      </c>
      <c r="AH55" s="37" t="str">
        <f t="shared" ca="1" si="40"/>
        <v>-</v>
      </c>
      <c r="AI55" s="37" t="str">
        <f t="shared" ca="1" si="40"/>
        <v>-</v>
      </c>
      <c r="AJ55" s="37" t="str">
        <f t="shared" ca="1" si="40"/>
        <v>-</v>
      </c>
      <c r="AK55" s="37" t="str">
        <f t="shared" ca="1" si="40"/>
        <v>-</v>
      </c>
      <c r="AL55" s="37">
        <f t="shared" ca="1" si="40"/>
        <v>60</v>
      </c>
      <c r="AM55" s="37">
        <f t="shared" ca="1" si="40"/>
        <v>1</v>
      </c>
      <c r="AN55" s="37">
        <f t="shared" ca="1" si="40"/>
        <v>0</v>
      </c>
      <c r="AO55" s="37">
        <f t="shared" ca="1" si="40"/>
        <v>1</v>
      </c>
      <c r="AP55" s="37">
        <f t="shared" ca="1" si="40"/>
        <v>0</v>
      </c>
      <c r="AQ55" s="37">
        <f t="shared" ca="1" si="40"/>
        <v>0</v>
      </c>
      <c r="AR55" s="37">
        <f t="shared" ca="1" si="40"/>
        <v>1</v>
      </c>
      <c r="AS55" s="37">
        <f t="shared" ca="1" si="40"/>
        <v>0</v>
      </c>
      <c r="AT55" s="37">
        <f t="shared" ca="1" si="36"/>
        <v>0</v>
      </c>
      <c r="AU55" s="37">
        <f t="shared" ca="1" si="36"/>
        <v>0</v>
      </c>
      <c r="AV55" s="34">
        <v>0.04</v>
      </c>
      <c r="AW55" s="37">
        <f t="shared" ca="1" si="40"/>
        <v>80</v>
      </c>
      <c r="AX55" s="37">
        <f t="shared" ca="1" si="40"/>
        <v>90</v>
      </c>
      <c r="AY55" s="37">
        <f t="shared" ca="1" si="40"/>
        <v>0</v>
      </c>
      <c r="AZ55" s="37">
        <f t="shared" ca="1" si="40"/>
        <v>0</v>
      </c>
      <c r="BA55" s="37">
        <f t="shared" ca="1" si="40"/>
        <v>0</v>
      </c>
      <c r="BB55" s="12"/>
    </row>
    <row r="56" spans="1:54">
      <c r="A56" s="15"/>
      <c r="B56">
        <f t="shared" si="11"/>
        <v>51</v>
      </c>
      <c r="C56" s="36">
        <f t="shared" si="37"/>
        <v>4</v>
      </c>
      <c r="D56">
        <v>0</v>
      </c>
      <c r="E56" t="b">
        <v>0</v>
      </c>
      <c r="F56" t="b">
        <v>0</v>
      </c>
      <c r="G56" t="b">
        <v>0</v>
      </c>
      <c r="H56" s="3" t="str">
        <f t="shared" ca="1" si="38"/>
        <v>048-G0_sfw100%_sfd00.0_conc0000_prlf0000_era+05%</v>
      </c>
      <c r="I56" s="19" t="str">
        <f ca="1">IF(MATCH(H56,H$5:H56,0)=(COUNTA(H$5:H56)),"-","Dup")</f>
        <v>-</v>
      </c>
      <c r="J56" s="37" t="str">
        <f t="shared" ca="1" si="42"/>
        <v>-</v>
      </c>
      <c r="K56" s="37" t="b">
        <f t="shared" ca="1" si="42"/>
        <v>0</v>
      </c>
      <c r="L56" s="37" t="b">
        <f t="shared" ca="1" si="42"/>
        <v>1</v>
      </c>
      <c r="M56" s="37">
        <f t="shared" ca="1" si="42"/>
        <v>2</v>
      </c>
      <c r="N56" s="37" t="str">
        <f t="shared" ca="1" si="42"/>
        <v>-</v>
      </c>
      <c r="O56" s="37" t="str">
        <f t="shared" ca="1" si="42"/>
        <v>-</v>
      </c>
      <c r="P56" s="37" t="str">
        <f t="shared" ca="1" si="42"/>
        <v>-</v>
      </c>
      <c r="Q56" s="37" t="str">
        <f t="shared" ca="1" si="42"/>
        <v>-</v>
      </c>
      <c r="R56" s="37" t="str">
        <f t="shared" ca="1" si="42"/>
        <v>-</v>
      </c>
      <c r="S56" s="37" t="str">
        <f t="shared" ca="1" si="42"/>
        <v>-</v>
      </c>
      <c r="T56" s="37" t="str">
        <f t="shared" ca="1" si="42"/>
        <v>-</v>
      </c>
      <c r="U56" s="37">
        <f t="shared" ca="1" si="42"/>
        <v>0</v>
      </c>
      <c r="V56" s="37">
        <f t="shared" ca="1" si="42"/>
        <v>1</v>
      </c>
      <c r="W56" s="37" t="str">
        <f t="shared" ca="1" si="42"/>
        <v>-</v>
      </c>
      <c r="X56" s="37" t="str">
        <f t="shared" ca="1" si="42"/>
        <v>-</v>
      </c>
      <c r="Y56" s="37">
        <f t="shared" ca="1" si="42"/>
        <v>0</v>
      </c>
      <c r="Z56" s="37">
        <f t="shared" ca="1" si="40"/>
        <v>1</v>
      </c>
      <c r="AA56" s="25" t="str">
        <f t="shared" si="32"/>
        <v>-</v>
      </c>
      <c r="AB56" s="25" t="str">
        <f t="shared" si="32"/>
        <v>-</v>
      </c>
      <c r="AC56" s="25" t="str">
        <f t="shared" si="32"/>
        <v>-</v>
      </c>
      <c r="AD56" s="37" t="str">
        <f t="shared" ca="1" si="40"/>
        <v>-</v>
      </c>
      <c r="AE56" s="37" t="str">
        <f t="shared" ca="1" si="40"/>
        <v>-</v>
      </c>
      <c r="AF56" s="37" t="str">
        <f t="shared" ca="1" si="40"/>
        <v>-</v>
      </c>
      <c r="AG56" s="37" t="str">
        <f t="shared" ca="1" si="40"/>
        <v>-</v>
      </c>
      <c r="AH56" s="37" t="str">
        <f t="shared" ca="1" si="40"/>
        <v>-</v>
      </c>
      <c r="AI56" s="37" t="str">
        <f t="shared" ca="1" si="40"/>
        <v>-</v>
      </c>
      <c r="AJ56" s="37" t="str">
        <f t="shared" ca="1" si="40"/>
        <v>-</v>
      </c>
      <c r="AK56" s="37" t="str">
        <f t="shared" ca="1" si="40"/>
        <v>-</v>
      </c>
      <c r="AL56" s="37">
        <f t="shared" ca="1" si="40"/>
        <v>60</v>
      </c>
      <c r="AM56" s="37">
        <f t="shared" ca="1" si="40"/>
        <v>1</v>
      </c>
      <c r="AN56" s="37">
        <f t="shared" ca="1" si="40"/>
        <v>0</v>
      </c>
      <c r="AO56" s="37">
        <f t="shared" ca="1" si="40"/>
        <v>1</v>
      </c>
      <c r="AP56" s="37">
        <f t="shared" ca="1" si="40"/>
        <v>0</v>
      </c>
      <c r="AQ56" s="37">
        <f t="shared" ca="1" si="40"/>
        <v>0</v>
      </c>
      <c r="AR56" s="37">
        <f t="shared" ca="1" si="40"/>
        <v>1</v>
      </c>
      <c r="AS56" s="37">
        <f t="shared" ca="1" si="40"/>
        <v>0</v>
      </c>
      <c r="AT56" s="37">
        <f t="shared" ref="AT56:AU59" ca="1" si="43">OFFSET(AT$5,$C56,0)</f>
        <v>0</v>
      </c>
      <c r="AU56" s="37">
        <f t="shared" ca="1" si="43"/>
        <v>0</v>
      </c>
      <c r="AV56" s="34">
        <v>0.05</v>
      </c>
      <c r="AW56" s="37">
        <f t="shared" ca="1" si="40"/>
        <v>80</v>
      </c>
      <c r="AX56" s="37">
        <f t="shared" ca="1" si="40"/>
        <v>90</v>
      </c>
      <c r="AY56" s="37">
        <f t="shared" ca="1" si="40"/>
        <v>0</v>
      </c>
      <c r="AZ56" s="37">
        <f t="shared" ca="1" si="40"/>
        <v>0</v>
      </c>
      <c r="BA56" s="37">
        <f t="shared" ca="1" si="40"/>
        <v>0</v>
      </c>
      <c r="BB56" s="12"/>
    </row>
    <row r="57" spans="1:54">
      <c r="A57" s="15"/>
      <c r="B57">
        <f t="shared" si="11"/>
        <v>52</v>
      </c>
      <c r="C57" s="36">
        <f t="shared" si="37"/>
        <v>4</v>
      </c>
      <c r="D57">
        <v>0</v>
      </c>
      <c r="E57" t="b">
        <v>0</v>
      </c>
      <c r="F57" t="b">
        <v>0</v>
      </c>
      <c r="G57" t="b">
        <v>0</v>
      </c>
      <c r="H57" s="3" t="str">
        <f t="shared" ca="1" si="38"/>
        <v>049-G0_sfw100%_sfd00.0_conc0000_prlf0000_era+12%</v>
      </c>
      <c r="I57" s="19" t="str">
        <f ca="1">IF(MATCH(H57,H$5:H57,0)=(COUNTA(H$5:H57)),"-","Dup")</f>
        <v>-</v>
      </c>
      <c r="J57" s="37" t="str">
        <f t="shared" ca="1" si="42"/>
        <v>-</v>
      </c>
      <c r="K57" s="37" t="b">
        <f t="shared" ca="1" si="42"/>
        <v>0</v>
      </c>
      <c r="L57" s="37" t="b">
        <f t="shared" ca="1" si="42"/>
        <v>1</v>
      </c>
      <c r="M57" s="37">
        <f t="shared" ca="1" si="42"/>
        <v>2</v>
      </c>
      <c r="N57" s="37" t="str">
        <f t="shared" ca="1" si="42"/>
        <v>-</v>
      </c>
      <c r="O57" s="37" t="str">
        <f t="shared" ca="1" si="42"/>
        <v>-</v>
      </c>
      <c r="P57" s="37" t="str">
        <f t="shared" ca="1" si="42"/>
        <v>-</v>
      </c>
      <c r="Q57" s="37" t="str">
        <f t="shared" ca="1" si="42"/>
        <v>-</v>
      </c>
      <c r="R57" s="37" t="str">
        <f t="shared" ca="1" si="42"/>
        <v>-</v>
      </c>
      <c r="S57" s="37" t="str">
        <f t="shared" ca="1" si="42"/>
        <v>-</v>
      </c>
      <c r="T57" s="37" t="str">
        <f t="shared" ca="1" si="42"/>
        <v>-</v>
      </c>
      <c r="U57" s="37">
        <f t="shared" ca="1" si="42"/>
        <v>0</v>
      </c>
      <c r="V57" s="37">
        <f t="shared" ca="1" si="42"/>
        <v>1</v>
      </c>
      <c r="W57" s="37" t="str">
        <f t="shared" ca="1" si="42"/>
        <v>-</v>
      </c>
      <c r="X57" s="37" t="str">
        <f t="shared" ca="1" si="42"/>
        <v>-</v>
      </c>
      <c r="Y57" s="37">
        <f t="shared" ca="1" si="42"/>
        <v>0</v>
      </c>
      <c r="Z57" s="37">
        <f t="shared" ca="1" si="40"/>
        <v>1</v>
      </c>
      <c r="AA57" s="25" t="str">
        <f t="shared" si="32"/>
        <v>-</v>
      </c>
      <c r="AB57" s="25" t="str">
        <f t="shared" si="32"/>
        <v>-</v>
      </c>
      <c r="AC57" s="25" t="str">
        <f t="shared" si="32"/>
        <v>-</v>
      </c>
      <c r="AD57" s="37" t="str">
        <f t="shared" ca="1" si="40"/>
        <v>-</v>
      </c>
      <c r="AE57" s="37" t="str">
        <f t="shared" ca="1" si="40"/>
        <v>-</v>
      </c>
      <c r="AF57" s="37" t="str">
        <f t="shared" ca="1" si="40"/>
        <v>-</v>
      </c>
      <c r="AG57" s="37" t="str">
        <f t="shared" ca="1" si="40"/>
        <v>-</v>
      </c>
      <c r="AH57" s="37" t="str">
        <f t="shared" ca="1" si="40"/>
        <v>-</v>
      </c>
      <c r="AI57" s="37" t="str">
        <f t="shared" ca="1" si="40"/>
        <v>-</v>
      </c>
      <c r="AJ57" s="37" t="str">
        <f t="shared" ca="1" si="40"/>
        <v>-</v>
      </c>
      <c r="AK57" s="37" t="str">
        <f t="shared" ca="1" si="40"/>
        <v>-</v>
      </c>
      <c r="AL57" s="37">
        <f t="shared" ca="1" si="40"/>
        <v>60</v>
      </c>
      <c r="AM57" s="37">
        <f t="shared" ca="1" si="40"/>
        <v>1</v>
      </c>
      <c r="AN57" s="37">
        <f t="shared" ca="1" si="40"/>
        <v>0</v>
      </c>
      <c r="AO57" s="37">
        <f t="shared" ca="1" si="40"/>
        <v>1</v>
      </c>
      <c r="AP57" s="37">
        <f t="shared" ca="1" si="40"/>
        <v>0</v>
      </c>
      <c r="AQ57" s="37">
        <f t="shared" ca="1" si="40"/>
        <v>0</v>
      </c>
      <c r="AR57" s="37">
        <f t="shared" ca="1" si="40"/>
        <v>1</v>
      </c>
      <c r="AS57" s="37">
        <f t="shared" ref="AS57:BA57" ca="1" si="44">OFFSET(AS$5,$C57,0)</f>
        <v>0</v>
      </c>
      <c r="AT57" s="37">
        <f t="shared" ca="1" si="43"/>
        <v>0</v>
      </c>
      <c r="AU57" s="37">
        <f t="shared" ca="1" si="43"/>
        <v>0</v>
      </c>
      <c r="AV57" s="34">
        <v>0.12</v>
      </c>
      <c r="AW57" s="37">
        <f t="shared" ca="1" si="44"/>
        <v>80</v>
      </c>
      <c r="AX57" s="37">
        <f t="shared" ca="1" si="44"/>
        <v>90</v>
      </c>
      <c r="AY57" s="37">
        <f t="shared" ca="1" si="44"/>
        <v>0</v>
      </c>
      <c r="AZ57" s="37">
        <f t="shared" ca="1" si="44"/>
        <v>0</v>
      </c>
      <c r="BA57" s="37">
        <f t="shared" ca="1" si="44"/>
        <v>0</v>
      </c>
      <c r="BB57" s="12"/>
    </row>
    <row r="58" spans="1:54">
      <c r="A58" s="15"/>
      <c r="B58">
        <f t="shared" si="11"/>
        <v>53</v>
      </c>
      <c r="C58" s="36">
        <f t="shared" si="37"/>
        <v>4</v>
      </c>
      <c r="D58">
        <v>0</v>
      </c>
      <c r="E58" t="b">
        <v>0</v>
      </c>
      <c r="F58" t="b">
        <v>0</v>
      </c>
      <c r="G58" t="b">
        <v>0</v>
      </c>
      <c r="H58" s="3" t="str">
        <f t="shared" ca="1" si="38"/>
        <v>050-G0_sfw100%_sfd00.0_conc0000_prlf0000_era+16%</v>
      </c>
      <c r="I58" s="19" t="str">
        <f ca="1">IF(MATCH(H58,H$5:H58,0)=(COUNTA(H$5:H58)),"-","Dup")</f>
        <v>-</v>
      </c>
      <c r="J58" s="37" t="str">
        <f t="shared" ca="1" si="42"/>
        <v>-</v>
      </c>
      <c r="K58" s="37" t="b">
        <f t="shared" ca="1" si="42"/>
        <v>0</v>
      </c>
      <c r="L58" s="37" t="b">
        <f t="shared" ca="1" si="42"/>
        <v>1</v>
      </c>
      <c r="M58" s="37">
        <f t="shared" ca="1" si="42"/>
        <v>2</v>
      </c>
      <c r="N58" s="37" t="str">
        <f t="shared" ca="1" si="42"/>
        <v>-</v>
      </c>
      <c r="O58" s="37" t="str">
        <f t="shared" ca="1" si="42"/>
        <v>-</v>
      </c>
      <c r="P58" s="37" t="str">
        <f t="shared" ca="1" si="42"/>
        <v>-</v>
      </c>
      <c r="Q58" s="37" t="str">
        <f t="shared" ca="1" si="42"/>
        <v>-</v>
      </c>
      <c r="R58" s="37" t="str">
        <f t="shared" ca="1" si="42"/>
        <v>-</v>
      </c>
      <c r="S58" s="37" t="str">
        <f t="shared" ca="1" si="42"/>
        <v>-</v>
      </c>
      <c r="T58" s="37" t="str">
        <f t="shared" ca="1" si="42"/>
        <v>-</v>
      </c>
      <c r="U58" s="37">
        <f t="shared" ca="1" si="42"/>
        <v>0</v>
      </c>
      <c r="V58" s="37">
        <f t="shared" ca="1" si="42"/>
        <v>1</v>
      </c>
      <c r="W58" s="37" t="str">
        <f t="shared" ca="1" si="42"/>
        <v>-</v>
      </c>
      <c r="X58" s="37" t="str">
        <f t="shared" ca="1" si="42"/>
        <v>-</v>
      </c>
      <c r="Y58" s="37">
        <f t="shared" ca="1" si="42"/>
        <v>0</v>
      </c>
      <c r="Z58" s="37">
        <f t="shared" ref="Z58:BA59" ca="1" si="45">OFFSET(Z$5,$C58,0)</f>
        <v>1</v>
      </c>
      <c r="AA58" s="25" t="str">
        <f t="shared" si="32"/>
        <v>-</v>
      </c>
      <c r="AB58" s="25" t="str">
        <f t="shared" si="32"/>
        <v>-</v>
      </c>
      <c r="AC58" s="25" t="str">
        <f t="shared" si="32"/>
        <v>-</v>
      </c>
      <c r="AD58" s="37" t="str">
        <f t="shared" ca="1" si="45"/>
        <v>-</v>
      </c>
      <c r="AE58" s="37" t="str">
        <f t="shared" ca="1" si="45"/>
        <v>-</v>
      </c>
      <c r="AF58" s="37" t="str">
        <f t="shared" ca="1" si="45"/>
        <v>-</v>
      </c>
      <c r="AG58" s="37" t="str">
        <f t="shared" ca="1" si="45"/>
        <v>-</v>
      </c>
      <c r="AH58" s="37" t="str">
        <f t="shared" ca="1" si="45"/>
        <v>-</v>
      </c>
      <c r="AI58" s="37" t="str">
        <f t="shared" ca="1" si="45"/>
        <v>-</v>
      </c>
      <c r="AJ58" s="37" t="str">
        <f t="shared" ca="1" si="45"/>
        <v>-</v>
      </c>
      <c r="AK58" s="37" t="str">
        <f t="shared" ca="1" si="45"/>
        <v>-</v>
      </c>
      <c r="AL58" s="37">
        <f t="shared" ca="1" si="45"/>
        <v>60</v>
      </c>
      <c r="AM58" s="37">
        <f t="shared" ca="1" si="45"/>
        <v>1</v>
      </c>
      <c r="AN58" s="37">
        <f t="shared" ca="1" si="45"/>
        <v>0</v>
      </c>
      <c r="AO58" s="37">
        <f t="shared" ca="1" si="45"/>
        <v>1</v>
      </c>
      <c r="AP58" s="37">
        <f t="shared" ca="1" si="45"/>
        <v>0</v>
      </c>
      <c r="AQ58" s="37">
        <f t="shared" ca="1" si="45"/>
        <v>0</v>
      </c>
      <c r="AR58" s="37">
        <f t="shared" ca="1" si="45"/>
        <v>1</v>
      </c>
      <c r="AS58" s="37">
        <f t="shared" ca="1" si="45"/>
        <v>0</v>
      </c>
      <c r="AT58" s="37">
        <f t="shared" ca="1" si="43"/>
        <v>0</v>
      </c>
      <c r="AU58" s="37">
        <f t="shared" ca="1" si="43"/>
        <v>0</v>
      </c>
      <c r="AV58" s="34">
        <v>0.16</v>
      </c>
      <c r="AW58" s="37">
        <f t="shared" ca="1" si="45"/>
        <v>80</v>
      </c>
      <c r="AX58" s="37">
        <f t="shared" ca="1" si="45"/>
        <v>90</v>
      </c>
      <c r="AY58" s="37">
        <f t="shared" ca="1" si="45"/>
        <v>0</v>
      </c>
      <c r="AZ58" s="37">
        <f t="shared" ca="1" si="45"/>
        <v>0</v>
      </c>
      <c r="BA58" s="37">
        <f t="shared" ca="1" si="45"/>
        <v>0</v>
      </c>
      <c r="BB58" s="12"/>
    </row>
    <row r="59" spans="1:54">
      <c r="A59" s="15"/>
      <c r="B59">
        <f t="shared" si="11"/>
        <v>54</v>
      </c>
      <c r="C59" s="36">
        <f t="shared" si="37"/>
        <v>4</v>
      </c>
      <c r="D59">
        <v>0</v>
      </c>
      <c r="E59" t="b">
        <v>0</v>
      </c>
      <c r="F59" t="b">
        <v>0</v>
      </c>
      <c r="G59" t="b">
        <v>0</v>
      </c>
      <c r="H59" s="3" t="str">
        <f t="shared" ca="1" si="38"/>
        <v>051-G0_sfw100%_sfd00.0_conc0000_prlf0000_era+20%</v>
      </c>
      <c r="I59" s="19" t="str">
        <f ca="1">IF(MATCH(H59,H$5:H59,0)=(COUNTA(H$5:H59)),"-","Dup")</f>
        <v>-</v>
      </c>
      <c r="J59" s="37" t="str">
        <f t="shared" ca="1" si="42"/>
        <v>-</v>
      </c>
      <c r="K59" s="37" t="b">
        <f t="shared" ca="1" si="42"/>
        <v>0</v>
      </c>
      <c r="L59" s="37" t="b">
        <f t="shared" ca="1" si="42"/>
        <v>1</v>
      </c>
      <c r="M59" s="37">
        <f t="shared" ca="1" si="42"/>
        <v>2</v>
      </c>
      <c r="N59" s="37" t="str">
        <f t="shared" ca="1" si="42"/>
        <v>-</v>
      </c>
      <c r="O59" s="37" t="str">
        <f t="shared" ca="1" si="42"/>
        <v>-</v>
      </c>
      <c r="P59" s="37" t="str">
        <f t="shared" ca="1" si="42"/>
        <v>-</v>
      </c>
      <c r="Q59" s="37" t="str">
        <f t="shared" ca="1" si="42"/>
        <v>-</v>
      </c>
      <c r="R59" s="37" t="str">
        <f t="shared" ca="1" si="42"/>
        <v>-</v>
      </c>
      <c r="S59" s="37" t="str">
        <f t="shared" ca="1" si="42"/>
        <v>-</v>
      </c>
      <c r="T59" s="37" t="str">
        <f t="shared" ca="1" si="42"/>
        <v>-</v>
      </c>
      <c r="U59" s="37">
        <f t="shared" ca="1" si="42"/>
        <v>0</v>
      </c>
      <c r="V59" s="37">
        <f t="shared" ca="1" si="42"/>
        <v>1</v>
      </c>
      <c r="W59" s="37" t="str">
        <f t="shared" ca="1" si="42"/>
        <v>-</v>
      </c>
      <c r="X59" s="37" t="str">
        <f t="shared" ca="1" si="42"/>
        <v>-</v>
      </c>
      <c r="Y59" s="37">
        <f t="shared" ca="1" si="42"/>
        <v>0</v>
      </c>
      <c r="Z59" s="37">
        <f t="shared" ca="1" si="45"/>
        <v>1</v>
      </c>
      <c r="AA59" s="25" t="str">
        <f t="shared" si="32"/>
        <v>-</v>
      </c>
      <c r="AB59" s="25" t="str">
        <f t="shared" si="32"/>
        <v>-</v>
      </c>
      <c r="AC59" s="25" t="str">
        <f t="shared" si="32"/>
        <v>-</v>
      </c>
      <c r="AD59" s="37" t="str">
        <f t="shared" ca="1" si="45"/>
        <v>-</v>
      </c>
      <c r="AE59" s="37" t="str">
        <f t="shared" ca="1" si="45"/>
        <v>-</v>
      </c>
      <c r="AF59" s="37" t="str">
        <f t="shared" ca="1" si="45"/>
        <v>-</v>
      </c>
      <c r="AG59" s="37" t="str">
        <f t="shared" ca="1" si="45"/>
        <v>-</v>
      </c>
      <c r="AH59" s="37" t="str">
        <f t="shared" ca="1" si="45"/>
        <v>-</v>
      </c>
      <c r="AI59" s="37" t="str">
        <f t="shared" ca="1" si="45"/>
        <v>-</v>
      </c>
      <c r="AJ59" s="37" t="str">
        <f t="shared" ca="1" si="45"/>
        <v>-</v>
      </c>
      <c r="AK59" s="37" t="str">
        <f t="shared" ca="1" si="45"/>
        <v>-</v>
      </c>
      <c r="AL59" s="37">
        <f t="shared" ca="1" si="45"/>
        <v>60</v>
      </c>
      <c r="AM59" s="37">
        <f t="shared" ca="1" si="45"/>
        <v>1</v>
      </c>
      <c r="AN59" s="37">
        <f t="shared" ca="1" si="45"/>
        <v>0</v>
      </c>
      <c r="AO59" s="37">
        <f t="shared" ca="1" si="45"/>
        <v>1</v>
      </c>
      <c r="AP59" s="37">
        <f t="shared" ca="1" si="45"/>
        <v>0</v>
      </c>
      <c r="AQ59" s="37">
        <f t="shared" ca="1" si="45"/>
        <v>0</v>
      </c>
      <c r="AR59" s="37">
        <f t="shared" ca="1" si="45"/>
        <v>1</v>
      </c>
      <c r="AS59" s="37">
        <f t="shared" ca="1" si="45"/>
        <v>0</v>
      </c>
      <c r="AT59" s="37">
        <f t="shared" ca="1" si="43"/>
        <v>0</v>
      </c>
      <c r="AU59" s="37">
        <f t="shared" ca="1" si="43"/>
        <v>0</v>
      </c>
      <c r="AV59" s="34">
        <v>0.2</v>
      </c>
      <c r="AW59" s="37">
        <f t="shared" ca="1" si="45"/>
        <v>80</v>
      </c>
      <c r="AX59" s="37">
        <f t="shared" ca="1" si="45"/>
        <v>90</v>
      </c>
      <c r="AY59" s="37">
        <f t="shared" ca="1" si="45"/>
        <v>0</v>
      </c>
      <c r="AZ59" s="37">
        <f t="shared" ca="1" si="45"/>
        <v>0</v>
      </c>
      <c r="BA59" s="37">
        <f t="shared" ca="1" si="45"/>
        <v>0</v>
      </c>
      <c r="BB59" s="12"/>
    </row>
    <row r="60" spans="1:54">
      <c r="A60" s="15"/>
      <c r="B60">
        <f t="shared" ref="B60:B70" si="46">ROW(B60)-5</f>
        <v>55</v>
      </c>
      <c r="C60" s="36">
        <f>C32</f>
        <v>4</v>
      </c>
      <c r="D60">
        <v>0</v>
      </c>
      <c r="E60" t="b">
        <v>0</v>
      </c>
      <c r="F60" t="b">
        <v>0</v>
      </c>
      <c r="G60" t="b">
        <v>0</v>
      </c>
      <c r="H60" s="41" t="str">
        <f t="shared" ref="H60:H69" ca="1" si="47">TEXT(IFERROR(VALUE(LEFT(OFFSET(H60,-1,0),3)),0)+1,"000")&amp;"-G0_sfw"&amp;TEXT($AR60,"000%")&amp;"_sfd"&amp;TEXT($AS60,"+0.0;-0.0;00.0;@")&amp;"_conc"&amp;TEXT($AT60,"0.00;-0.0;0000;----")&amp;"_prlf"&amp;TEXT($AU60,"0.00;-0.0;0000;----")&amp;"_erb"&amp;TEXT($AQ60,"+00%;-00%;000%;@")</f>
        <v>052-G0_sfw100%_sfd00.0_conc0000_prlf0000_erb-50%</v>
      </c>
      <c r="I60" s="19" t="str">
        <f ca="1">IF(MATCH(H60,H$5:H60,0)=(COUNTA(H$5:H60)),"-","Dup")</f>
        <v>-</v>
      </c>
      <c r="J60" s="37" t="str">
        <f t="shared" ref="J60:S69" ca="1" si="48">OFFSET(J$5,$C60,0)</f>
        <v>-</v>
      </c>
      <c r="K60" s="37" t="b">
        <f t="shared" ca="1" si="48"/>
        <v>0</v>
      </c>
      <c r="L60" s="37" t="b">
        <f t="shared" ca="1" si="48"/>
        <v>1</v>
      </c>
      <c r="M60" s="37">
        <f t="shared" ca="1" si="48"/>
        <v>2</v>
      </c>
      <c r="N60" s="37" t="str">
        <f t="shared" ca="1" si="48"/>
        <v>-</v>
      </c>
      <c r="O60" s="37" t="str">
        <f t="shared" ca="1" si="48"/>
        <v>-</v>
      </c>
      <c r="P60" s="37" t="str">
        <f t="shared" ca="1" si="48"/>
        <v>-</v>
      </c>
      <c r="Q60" s="37" t="str">
        <f t="shared" ca="1" si="48"/>
        <v>-</v>
      </c>
      <c r="R60" s="37" t="str">
        <f t="shared" ca="1" si="48"/>
        <v>-</v>
      </c>
      <c r="S60" s="37" t="str">
        <f t="shared" ca="1" si="48"/>
        <v>-</v>
      </c>
      <c r="T60" s="37" t="str">
        <f t="shared" ref="T60:Z69" ca="1" si="49">OFFSET(T$5,$C60,0)</f>
        <v>-</v>
      </c>
      <c r="U60" s="37">
        <f t="shared" ca="1" si="49"/>
        <v>0</v>
      </c>
      <c r="V60" s="37">
        <f t="shared" ca="1" si="49"/>
        <v>1</v>
      </c>
      <c r="W60" s="37" t="str">
        <f t="shared" ca="1" si="49"/>
        <v>-</v>
      </c>
      <c r="X60" s="37" t="str">
        <f t="shared" ca="1" si="49"/>
        <v>-</v>
      </c>
      <c r="Y60" s="37">
        <f t="shared" ca="1" si="49"/>
        <v>0</v>
      </c>
      <c r="Z60" s="37">
        <f t="shared" ca="1" si="49"/>
        <v>1</v>
      </c>
      <c r="AA60" s="25" t="str">
        <f t="shared" si="32"/>
        <v>-</v>
      </c>
      <c r="AB60" s="25" t="str">
        <f t="shared" si="32"/>
        <v>-</v>
      </c>
      <c r="AC60" s="25" t="str">
        <f t="shared" si="32"/>
        <v>-</v>
      </c>
      <c r="AD60" s="37" t="str">
        <f t="shared" ref="AD60:AP69" ca="1" si="50">OFFSET(AD$5,$C60,0)</f>
        <v>-</v>
      </c>
      <c r="AE60" s="37" t="str">
        <f t="shared" ca="1" si="50"/>
        <v>-</v>
      </c>
      <c r="AF60" s="37" t="str">
        <f t="shared" ca="1" si="50"/>
        <v>-</v>
      </c>
      <c r="AG60" s="37" t="str">
        <f t="shared" ca="1" si="50"/>
        <v>-</v>
      </c>
      <c r="AH60" s="37" t="str">
        <f t="shared" ca="1" si="50"/>
        <v>-</v>
      </c>
      <c r="AI60" s="37" t="str">
        <f t="shared" ca="1" si="50"/>
        <v>-</v>
      </c>
      <c r="AJ60" s="37" t="str">
        <f t="shared" ca="1" si="50"/>
        <v>-</v>
      </c>
      <c r="AK60" s="37" t="str">
        <f t="shared" ca="1" si="50"/>
        <v>-</v>
      </c>
      <c r="AL60" s="37">
        <f t="shared" ca="1" si="50"/>
        <v>60</v>
      </c>
      <c r="AM60" s="37">
        <f t="shared" ca="1" si="50"/>
        <v>1</v>
      </c>
      <c r="AN60" s="37">
        <f t="shared" ca="1" si="50"/>
        <v>0</v>
      </c>
      <c r="AO60" s="37">
        <f t="shared" ca="1" si="50"/>
        <v>1</v>
      </c>
      <c r="AP60" s="37">
        <f t="shared" ca="1" si="50"/>
        <v>0</v>
      </c>
      <c r="AQ60" s="34">
        <v>-0.5</v>
      </c>
      <c r="AR60" s="37">
        <f t="shared" ref="AR60:BA69" ca="1" si="51">OFFSET(AR$5,$C60,0)</f>
        <v>1</v>
      </c>
      <c r="AS60" s="37">
        <f t="shared" ca="1" si="51"/>
        <v>0</v>
      </c>
      <c r="AT60" s="37">
        <f t="shared" ca="1" si="51"/>
        <v>0</v>
      </c>
      <c r="AU60" s="37">
        <f t="shared" ca="1" si="51"/>
        <v>0</v>
      </c>
      <c r="AV60" s="37">
        <f t="shared" ca="1" si="51"/>
        <v>0</v>
      </c>
      <c r="AW60" s="37">
        <f t="shared" ca="1" si="51"/>
        <v>80</v>
      </c>
      <c r="AX60" s="37">
        <f t="shared" ca="1" si="51"/>
        <v>90</v>
      </c>
      <c r="AY60" s="37">
        <f t="shared" ca="1" si="51"/>
        <v>0</v>
      </c>
      <c r="AZ60" s="37">
        <f t="shared" ca="1" si="51"/>
        <v>0</v>
      </c>
      <c r="BA60" s="37">
        <f t="shared" ca="1" si="51"/>
        <v>0</v>
      </c>
      <c r="BB60" s="12"/>
    </row>
    <row r="61" spans="1:54">
      <c r="A61" s="15"/>
      <c r="B61">
        <f t="shared" si="46"/>
        <v>56</v>
      </c>
      <c r="C61" s="36">
        <f t="shared" ref="C61:C69" si="52">C60</f>
        <v>4</v>
      </c>
      <c r="D61">
        <v>0</v>
      </c>
      <c r="E61" t="b">
        <v>0</v>
      </c>
      <c r="F61" t="b">
        <v>0</v>
      </c>
      <c r="G61" t="b">
        <v>0</v>
      </c>
      <c r="H61" s="41" t="str">
        <f t="shared" ca="1" si="47"/>
        <v>053-G0_sfw100%_sfd00.0_conc0000_prlf0000_erb-40%</v>
      </c>
      <c r="I61" s="19" t="str">
        <f ca="1">IF(MATCH(H61,H$5:H61,0)=(COUNTA(H$5:H61)),"-","Dup")</f>
        <v>-</v>
      </c>
      <c r="J61" s="37" t="str">
        <f t="shared" ca="1" si="48"/>
        <v>-</v>
      </c>
      <c r="K61" s="37" t="b">
        <f t="shared" ca="1" si="48"/>
        <v>0</v>
      </c>
      <c r="L61" s="37" t="b">
        <f t="shared" ca="1" si="48"/>
        <v>1</v>
      </c>
      <c r="M61" s="37">
        <f t="shared" ca="1" si="48"/>
        <v>2</v>
      </c>
      <c r="N61" s="37" t="str">
        <f t="shared" ca="1" si="48"/>
        <v>-</v>
      </c>
      <c r="O61" s="37" t="str">
        <f t="shared" ca="1" si="48"/>
        <v>-</v>
      </c>
      <c r="P61" s="37" t="str">
        <f t="shared" ca="1" si="48"/>
        <v>-</v>
      </c>
      <c r="Q61" s="37" t="str">
        <f t="shared" ca="1" si="48"/>
        <v>-</v>
      </c>
      <c r="R61" s="37" t="str">
        <f t="shared" ca="1" si="48"/>
        <v>-</v>
      </c>
      <c r="S61" s="37" t="str">
        <f t="shared" ca="1" si="48"/>
        <v>-</v>
      </c>
      <c r="T61" s="37" t="str">
        <f t="shared" ca="1" si="49"/>
        <v>-</v>
      </c>
      <c r="U61" s="37">
        <f t="shared" ca="1" si="49"/>
        <v>0</v>
      </c>
      <c r="V61" s="37">
        <f t="shared" ca="1" si="49"/>
        <v>1</v>
      </c>
      <c r="W61" s="37" t="str">
        <f t="shared" ca="1" si="49"/>
        <v>-</v>
      </c>
      <c r="X61" s="37" t="str">
        <f t="shared" ca="1" si="49"/>
        <v>-</v>
      </c>
      <c r="Y61" s="37">
        <f t="shared" ca="1" si="49"/>
        <v>0</v>
      </c>
      <c r="Z61" s="37">
        <f t="shared" ca="1" si="49"/>
        <v>1</v>
      </c>
      <c r="AA61" s="25" t="str">
        <f t="shared" si="32"/>
        <v>-</v>
      </c>
      <c r="AB61" s="25" t="str">
        <f t="shared" si="32"/>
        <v>-</v>
      </c>
      <c r="AC61" s="25" t="str">
        <f t="shared" si="32"/>
        <v>-</v>
      </c>
      <c r="AD61" s="37" t="str">
        <f t="shared" ca="1" si="50"/>
        <v>-</v>
      </c>
      <c r="AE61" s="37" t="str">
        <f t="shared" ca="1" si="50"/>
        <v>-</v>
      </c>
      <c r="AF61" s="37" t="str">
        <f t="shared" ca="1" si="50"/>
        <v>-</v>
      </c>
      <c r="AG61" s="37" t="str">
        <f t="shared" ca="1" si="50"/>
        <v>-</v>
      </c>
      <c r="AH61" s="37" t="str">
        <f t="shared" ca="1" si="50"/>
        <v>-</v>
      </c>
      <c r="AI61" s="37" t="str">
        <f t="shared" ca="1" si="50"/>
        <v>-</v>
      </c>
      <c r="AJ61" s="37" t="str">
        <f t="shared" ca="1" si="50"/>
        <v>-</v>
      </c>
      <c r="AK61" s="37" t="str">
        <f t="shared" ca="1" si="50"/>
        <v>-</v>
      </c>
      <c r="AL61" s="37">
        <f t="shared" ca="1" si="50"/>
        <v>60</v>
      </c>
      <c r="AM61" s="37">
        <f t="shared" ca="1" si="50"/>
        <v>1</v>
      </c>
      <c r="AN61" s="37">
        <f t="shared" ca="1" si="50"/>
        <v>0</v>
      </c>
      <c r="AO61" s="37">
        <f t="shared" ca="1" si="50"/>
        <v>1</v>
      </c>
      <c r="AP61" s="37">
        <f t="shared" ca="1" si="50"/>
        <v>0</v>
      </c>
      <c r="AQ61" s="34">
        <v>-0.4</v>
      </c>
      <c r="AR61" s="37">
        <f t="shared" ca="1" si="51"/>
        <v>1</v>
      </c>
      <c r="AS61" s="37">
        <f t="shared" ca="1" si="51"/>
        <v>0</v>
      </c>
      <c r="AT61" s="37">
        <f t="shared" ca="1" si="51"/>
        <v>0</v>
      </c>
      <c r="AU61" s="37">
        <f t="shared" ca="1" si="51"/>
        <v>0</v>
      </c>
      <c r="AV61" s="37">
        <f t="shared" ca="1" si="51"/>
        <v>0</v>
      </c>
      <c r="AW61" s="37">
        <f t="shared" ca="1" si="51"/>
        <v>80</v>
      </c>
      <c r="AX61" s="37">
        <f t="shared" ca="1" si="51"/>
        <v>90</v>
      </c>
      <c r="AY61" s="37">
        <f t="shared" ca="1" si="51"/>
        <v>0</v>
      </c>
      <c r="AZ61" s="37">
        <f t="shared" ca="1" si="51"/>
        <v>0</v>
      </c>
      <c r="BA61" s="37">
        <f t="shared" ca="1" si="51"/>
        <v>0</v>
      </c>
      <c r="BB61" s="12"/>
    </row>
    <row r="62" spans="1:54">
      <c r="A62" s="15"/>
      <c r="B62">
        <f t="shared" si="46"/>
        <v>57</v>
      </c>
      <c r="C62" s="36">
        <f t="shared" si="52"/>
        <v>4</v>
      </c>
      <c r="D62">
        <v>0</v>
      </c>
      <c r="E62" t="b">
        <v>0</v>
      </c>
      <c r="F62" t="b">
        <v>0</v>
      </c>
      <c r="G62" t="b">
        <v>0</v>
      </c>
      <c r="H62" s="41" t="str">
        <f t="shared" ca="1" si="47"/>
        <v>054-G0_sfw100%_sfd00.0_conc0000_prlf0000_erb-30%</v>
      </c>
      <c r="I62" s="19" t="str">
        <f ca="1">IF(MATCH(H62,H$5:H62,0)=(COUNTA(H$5:H62)),"-","Dup")</f>
        <v>-</v>
      </c>
      <c r="J62" s="37" t="str">
        <f t="shared" ca="1" si="48"/>
        <v>-</v>
      </c>
      <c r="K62" s="37" t="b">
        <f t="shared" ca="1" si="48"/>
        <v>0</v>
      </c>
      <c r="L62" s="37" t="b">
        <f t="shared" ca="1" si="48"/>
        <v>1</v>
      </c>
      <c r="M62" s="37">
        <f t="shared" ca="1" si="48"/>
        <v>2</v>
      </c>
      <c r="N62" s="37" t="str">
        <f t="shared" ca="1" si="48"/>
        <v>-</v>
      </c>
      <c r="O62" s="37" t="str">
        <f t="shared" ca="1" si="48"/>
        <v>-</v>
      </c>
      <c r="P62" s="37" t="str">
        <f t="shared" ca="1" si="48"/>
        <v>-</v>
      </c>
      <c r="Q62" s="37" t="str">
        <f t="shared" ca="1" si="48"/>
        <v>-</v>
      </c>
      <c r="R62" s="37" t="str">
        <f t="shared" ca="1" si="48"/>
        <v>-</v>
      </c>
      <c r="S62" s="37" t="str">
        <f t="shared" ca="1" si="48"/>
        <v>-</v>
      </c>
      <c r="T62" s="37" t="str">
        <f t="shared" ca="1" si="49"/>
        <v>-</v>
      </c>
      <c r="U62" s="37">
        <f t="shared" ca="1" si="49"/>
        <v>0</v>
      </c>
      <c r="V62" s="37">
        <f t="shared" ca="1" si="49"/>
        <v>1</v>
      </c>
      <c r="W62" s="37" t="str">
        <f t="shared" ca="1" si="49"/>
        <v>-</v>
      </c>
      <c r="X62" s="37" t="str">
        <f t="shared" ca="1" si="49"/>
        <v>-</v>
      </c>
      <c r="Y62" s="37">
        <f t="shared" ca="1" si="49"/>
        <v>0</v>
      </c>
      <c r="Z62" s="37">
        <f t="shared" ca="1" si="49"/>
        <v>1</v>
      </c>
      <c r="AA62" s="25" t="str">
        <f t="shared" si="32"/>
        <v>-</v>
      </c>
      <c r="AB62" s="25" t="str">
        <f t="shared" si="32"/>
        <v>-</v>
      </c>
      <c r="AC62" s="25" t="str">
        <f t="shared" si="32"/>
        <v>-</v>
      </c>
      <c r="AD62" s="37" t="str">
        <f t="shared" ca="1" si="50"/>
        <v>-</v>
      </c>
      <c r="AE62" s="37" t="str">
        <f t="shared" ca="1" si="50"/>
        <v>-</v>
      </c>
      <c r="AF62" s="37" t="str">
        <f t="shared" ca="1" si="50"/>
        <v>-</v>
      </c>
      <c r="AG62" s="37" t="str">
        <f t="shared" ca="1" si="50"/>
        <v>-</v>
      </c>
      <c r="AH62" s="37" t="str">
        <f t="shared" ca="1" si="50"/>
        <v>-</v>
      </c>
      <c r="AI62" s="37" t="str">
        <f t="shared" ca="1" si="50"/>
        <v>-</v>
      </c>
      <c r="AJ62" s="37" t="str">
        <f t="shared" ca="1" si="50"/>
        <v>-</v>
      </c>
      <c r="AK62" s="37" t="str">
        <f t="shared" ca="1" si="50"/>
        <v>-</v>
      </c>
      <c r="AL62" s="37">
        <f t="shared" ca="1" si="50"/>
        <v>60</v>
      </c>
      <c r="AM62" s="37">
        <f t="shared" ca="1" si="50"/>
        <v>1</v>
      </c>
      <c r="AN62" s="37">
        <f t="shared" ca="1" si="50"/>
        <v>0</v>
      </c>
      <c r="AO62" s="37">
        <f t="shared" ca="1" si="50"/>
        <v>1</v>
      </c>
      <c r="AP62" s="37">
        <f t="shared" ca="1" si="50"/>
        <v>0</v>
      </c>
      <c r="AQ62" s="34">
        <v>-0.3</v>
      </c>
      <c r="AR62" s="37">
        <f t="shared" ca="1" si="51"/>
        <v>1</v>
      </c>
      <c r="AS62" s="37">
        <f t="shared" ca="1" si="51"/>
        <v>0</v>
      </c>
      <c r="AT62" s="37">
        <f t="shared" ca="1" si="51"/>
        <v>0</v>
      </c>
      <c r="AU62" s="37">
        <f t="shared" ca="1" si="51"/>
        <v>0</v>
      </c>
      <c r="AV62" s="37">
        <f t="shared" ca="1" si="51"/>
        <v>0</v>
      </c>
      <c r="AW62" s="37">
        <f t="shared" ca="1" si="51"/>
        <v>80</v>
      </c>
      <c r="AX62" s="37">
        <f t="shared" ca="1" si="51"/>
        <v>90</v>
      </c>
      <c r="AY62" s="37">
        <f t="shared" ca="1" si="51"/>
        <v>0</v>
      </c>
      <c r="AZ62" s="37">
        <f t="shared" ca="1" si="51"/>
        <v>0</v>
      </c>
      <c r="BA62" s="37">
        <f t="shared" ca="1" si="51"/>
        <v>0</v>
      </c>
      <c r="BB62" s="12"/>
    </row>
    <row r="63" spans="1:54">
      <c r="A63" s="15"/>
      <c r="B63">
        <f t="shared" si="46"/>
        <v>58</v>
      </c>
      <c r="C63" s="36">
        <f t="shared" si="52"/>
        <v>4</v>
      </c>
      <c r="D63">
        <v>0</v>
      </c>
      <c r="E63" t="b">
        <v>0</v>
      </c>
      <c r="F63" t="b">
        <v>0</v>
      </c>
      <c r="G63" t="b">
        <v>0</v>
      </c>
      <c r="H63" s="41" t="str">
        <f t="shared" ca="1" si="47"/>
        <v>055-G0_sfw100%_sfd00.0_conc0000_prlf0000_erb-20%</v>
      </c>
      <c r="I63" s="19" t="str">
        <f ca="1">IF(MATCH(H63,H$5:H63,0)=(COUNTA(H$5:H63)),"-","Dup")</f>
        <v>-</v>
      </c>
      <c r="J63" s="37" t="str">
        <f t="shared" ca="1" si="48"/>
        <v>-</v>
      </c>
      <c r="K63" s="37" t="b">
        <f t="shared" ca="1" si="48"/>
        <v>0</v>
      </c>
      <c r="L63" s="37" t="b">
        <f t="shared" ca="1" si="48"/>
        <v>1</v>
      </c>
      <c r="M63" s="37">
        <f t="shared" ca="1" si="48"/>
        <v>2</v>
      </c>
      <c r="N63" s="37" t="str">
        <f t="shared" ca="1" si="48"/>
        <v>-</v>
      </c>
      <c r="O63" s="37" t="str">
        <f t="shared" ca="1" si="48"/>
        <v>-</v>
      </c>
      <c r="P63" s="37" t="str">
        <f t="shared" ca="1" si="48"/>
        <v>-</v>
      </c>
      <c r="Q63" s="37" t="str">
        <f t="shared" ca="1" si="48"/>
        <v>-</v>
      </c>
      <c r="R63" s="37" t="str">
        <f t="shared" ca="1" si="48"/>
        <v>-</v>
      </c>
      <c r="S63" s="37" t="str">
        <f t="shared" ca="1" si="48"/>
        <v>-</v>
      </c>
      <c r="T63" s="37" t="str">
        <f t="shared" ca="1" si="49"/>
        <v>-</v>
      </c>
      <c r="U63" s="37">
        <f t="shared" ca="1" si="49"/>
        <v>0</v>
      </c>
      <c r="V63" s="37">
        <f t="shared" ca="1" si="49"/>
        <v>1</v>
      </c>
      <c r="W63" s="37" t="str">
        <f t="shared" ca="1" si="49"/>
        <v>-</v>
      </c>
      <c r="X63" s="37" t="str">
        <f t="shared" ca="1" si="49"/>
        <v>-</v>
      </c>
      <c r="Y63" s="37">
        <f t="shared" ca="1" si="49"/>
        <v>0</v>
      </c>
      <c r="Z63" s="37">
        <f t="shared" ca="1" si="49"/>
        <v>1</v>
      </c>
      <c r="AA63" s="25" t="str">
        <f t="shared" si="32"/>
        <v>-</v>
      </c>
      <c r="AB63" s="25" t="str">
        <f t="shared" si="32"/>
        <v>-</v>
      </c>
      <c r="AC63" s="25" t="str">
        <f t="shared" si="32"/>
        <v>-</v>
      </c>
      <c r="AD63" s="37" t="str">
        <f t="shared" ca="1" si="50"/>
        <v>-</v>
      </c>
      <c r="AE63" s="37" t="str">
        <f t="shared" ca="1" si="50"/>
        <v>-</v>
      </c>
      <c r="AF63" s="37" t="str">
        <f t="shared" ca="1" si="50"/>
        <v>-</v>
      </c>
      <c r="AG63" s="37" t="str">
        <f t="shared" ca="1" si="50"/>
        <v>-</v>
      </c>
      <c r="AH63" s="37" t="str">
        <f t="shared" ca="1" si="50"/>
        <v>-</v>
      </c>
      <c r="AI63" s="37" t="str">
        <f t="shared" ca="1" si="50"/>
        <v>-</v>
      </c>
      <c r="AJ63" s="37" t="str">
        <f t="shared" ca="1" si="50"/>
        <v>-</v>
      </c>
      <c r="AK63" s="37" t="str">
        <f t="shared" ca="1" si="50"/>
        <v>-</v>
      </c>
      <c r="AL63" s="37">
        <f t="shared" ca="1" si="50"/>
        <v>60</v>
      </c>
      <c r="AM63" s="37">
        <f t="shared" ca="1" si="50"/>
        <v>1</v>
      </c>
      <c r="AN63" s="37">
        <f t="shared" ca="1" si="50"/>
        <v>0</v>
      </c>
      <c r="AO63" s="37">
        <f t="shared" ca="1" si="50"/>
        <v>1</v>
      </c>
      <c r="AP63" s="37">
        <f t="shared" ca="1" si="50"/>
        <v>0</v>
      </c>
      <c r="AQ63" s="34">
        <v>-0.2</v>
      </c>
      <c r="AR63" s="37">
        <f t="shared" ca="1" si="51"/>
        <v>1</v>
      </c>
      <c r="AS63" s="37">
        <f t="shared" ca="1" si="51"/>
        <v>0</v>
      </c>
      <c r="AT63" s="37">
        <f t="shared" ca="1" si="51"/>
        <v>0</v>
      </c>
      <c r="AU63" s="37">
        <f t="shared" ca="1" si="51"/>
        <v>0</v>
      </c>
      <c r="AV63" s="37">
        <f t="shared" ca="1" si="51"/>
        <v>0</v>
      </c>
      <c r="AW63" s="37">
        <f t="shared" ca="1" si="51"/>
        <v>80</v>
      </c>
      <c r="AX63" s="37">
        <f t="shared" ca="1" si="51"/>
        <v>90</v>
      </c>
      <c r="AY63" s="37">
        <f t="shared" ca="1" si="51"/>
        <v>0</v>
      </c>
      <c r="AZ63" s="37">
        <f t="shared" ca="1" si="51"/>
        <v>0</v>
      </c>
      <c r="BA63" s="37">
        <f t="shared" ca="1" si="51"/>
        <v>0</v>
      </c>
      <c r="BB63" s="12"/>
    </row>
    <row r="64" spans="1:54">
      <c r="A64" s="15"/>
      <c r="B64">
        <f t="shared" si="46"/>
        <v>59</v>
      </c>
      <c r="C64" s="36">
        <f t="shared" si="52"/>
        <v>4</v>
      </c>
      <c r="D64">
        <v>0</v>
      </c>
      <c r="E64" t="b">
        <v>0</v>
      </c>
      <c r="F64" t="b">
        <v>0</v>
      </c>
      <c r="G64" t="b">
        <v>0</v>
      </c>
      <c r="H64" s="41" t="str">
        <f t="shared" ca="1" si="47"/>
        <v>056-G0_sfw100%_sfd00.0_conc0000_prlf0000_erb-10%</v>
      </c>
      <c r="I64" s="19" t="str">
        <f ca="1">IF(MATCH(H64,H$5:H64,0)=(COUNTA(H$5:H64)),"-","Dup")</f>
        <v>-</v>
      </c>
      <c r="J64" s="37" t="str">
        <f t="shared" ca="1" si="48"/>
        <v>-</v>
      </c>
      <c r="K64" s="37" t="b">
        <f t="shared" ca="1" si="48"/>
        <v>0</v>
      </c>
      <c r="L64" s="37" t="b">
        <f t="shared" ca="1" si="48"/>
        <v>1</v>
      </c>
      <c r="M64" s="37">
        <f t="shared" ca="1" si="48"/>
        <v>2</v>
      </c>
      <c r="N64" s="37" t="str">
        <f t="shared" ca="1" si="48"/>
        <v>-</v>
      </c>
      <c r="O64" s="37" t="str">
        <f t="shared" ca="1" si="48"/>
        <v>-</v>
      </c>
      <c r="P64" s="37" t="str">
        <f t="shared" ca="1" si="48"/>
        <v>-</v>
      </c>
      <c r="Q64" s="37" t="str">
        <f t="shared" ca="1" si="48"/>
        <v>-</v>
      </c>
      <c r="R64" s="37" t="str">
        <f t="shared" ca="1" si="48"/>
        <v>-</v>
      </c>
      <c r="S64" s="37" t="str">
        <f t="shared" ca="1" si="48"/>
        <v>-</v>
      </c>
      <c r="T64" s="37" t="str">
        <f t="shared" ca="1" si="49"/>
        <v>-</v>
      </c>
      <c r="U64" s="37">
        <f t="shared" ca="1" si="49"/>
        <v>0</v>
      </c>
      <c r="V64" s="37">
        <f t="shared" ca="1" si="49"/>
        <v>1</v>
      </c>
      <c r="W64" s="37" t="str">
        <f t="shared" ca="1" si="49"/>
        <v>-</v>
      </c>
      <c r="X64" s="37" t="str">
        <f t="shared" ca="1" si="49"/>
        <v>-</v>
      </c>
      <c r="Y64" s="37">
        <f t="shared" ca="1" si="49"/>
        <v>0</v>
      </c>
      <c r="Z64" s="37">
        <f t="shared" ca="1" si="49"/>
        <v>1</v>
      </c>
      <c r="AA64" s="25" t="str">
        <f t="shared" si="32"/>
        <v>-</v>
      </c>
      <c r="AB64" s="25" t="str">
        <f t="shared" si="32"/>
        <v>-</v>
      </c>
      <c r="AC64" s="25" t="str">
        <f t="shared" si="32"/>
        <v>-</v>
      </c>
      <c r="AD64" s="37" t="str">
        <f t="shared" ca="1" si="50"/>
        <v>-</v>
      </c>
      <c r="AE64" s="37" t="str">
        <f t="shared" ca="1" si="50"/>
        <v>-</v>
      </c>
      <c r="AF64" s="37" t="str">
        <f t="shared" ca="1" si="50"/>
        <v>-</v>
      </c>
      <c r="AG64" s="37" t="str">
        <f t="shared" ca="1" si="50"/>
        <v>-</v>
      </c>
      <c r="AH64" s="37" t="str">
        <f t="shared" ca="1" si="50"/>
        <v>-</v>
      </c>
      <c r="AI64" s="37" t="str">
        <f t="shared" ca="1" si="50"/>
        <v>-</v>
      </c>
      <c r="AJ64" s="37" t="str">
        <f t="shared" ca="1" si="50"/>
        <v>-</v>
      </c>
      <c r="AK64" s="37" t="str">
        <f t="shared" ca="1" si="50"/>
        <v>-</v>
      </c>
      <c r="AL64" s="37">
        <f t="shared" ca="1" si="50"/>
        <v>60</v>
      </c>
      <c r="AM64" s="37">
        <f t="shared" ca="1" si="50"/>
        <v>1</v>
      </c>
      <c r="AN64" s="37">
        <f t="shared" ca="1" si="50"/>
        <v>0</v>
      </c>
      <c r="AO64" s="37">
        <f t="shared" ca="1" si="50"/>
        <v>1</v>
      </c>
      <c r="AP64" s="37">
        <f t="shared" ca="1" si="50"/>
        <v>0</v>
      </c>
      <c r="AQ64" s="34">
        <v>-0.1</v>
      </c>
      <c r="AR64" s="37">
        <f t="shared" ca="1" si="51"/>
        <v>1</v>
      </c>
      <c r="AS64" s="37">
        <f t="shared" ca="1" si="51"/>
        <v>0</v>
      </c>
      <c r="AT64" s="37">
        <f t="shared" ca="1" si="51"/>
        <v>0</v>
      </c>
      <c r="AU64" s="37">
        <f t="shared" ca="1" si="51"/>
        <v>0</v>
      </c>
      <c r="AV64" s="37">
        <f t="shared" ca="1" si="51"/>
        <v>0</v>
      </c>
      <c r="AW64" s="37">
        <f t="shared" ca="1" si="51"/>
        <v>80</v>
      </c>
      <c r="AX64" s="37">
        <f t="shared" ca="1" si="51"/>
        <v>90</v>
      </c>
      <c r="AY64" s="37">
        <f t="shared" ca="1" si="51"/>
        <v>0</v>
      </c>
      <c r="AZ64" s="37">
        <f t="shared" ca="1" si="51"/>
        <v>0</v>
      </c>
      <c r="BA64" s="37">
        <f t="shared" ca="1" si="51"/>
        <v>0</v>
      </c>
      <c r="BB64" s="12"/>
    </row>
    <row r="65" spans="1:54">
      <c r="A65" s="15"/>
      <c r="B65">
        <f t="shared" si="46"/>
        <v>60</v>
      </c>
      <c r="C65" s="36">
        <f t="shared" si="52"/>
        <v>4</v>
      </c>
      <c r="D65">
        <v>0</v>
      </c>
      <c r="E65" t="b">
        <v>0</v>
      </c>
      <c r="F65" t="b">
        <v>0</v>
      </c>
      <c r="G65" t="b">
        <v>0</v>
      </c>
      <c r="H65" s="41" t="str">
        <f t="shared" ca="1" si="47"/>
        <v>057-G0_sfw100%_sfd00.0_conc0000_prlf0000_erb+10%</v>
      </c>
      <c r="I65" s="19" t="str">
        <f ca="1">IF(MATCH(H65,H$5:H65,0)=(COUNTA(H$5:H65)),"-","Dup")</f>
        <v>-</v>
      </c>
      <c r="J65" s="37" t="str">
        <f t="shared" ca="1" si="48"/>
        <v>-</v>
      </c>
      <c r="K65" s="37" t="b">
        <f t="shared" ca="1" si="48"/>
        <v>0</v>
      </c>
      <c r="L65" s="37" t="b">
        <f t="shared" ca="1" si="48"/>
        <v>1</v>
      </c>
      <c r="M65" s="37">
        <f t="shared" ca="1" si="48"/>
        <v>2</v>
      </c>
      <c r="N65" s="37" t="str">
        <f t="shared" ca="1" si="48"/>
        <v>-</v>
      </c>
      <c r="O65" s="37" t="str">
        <f t="shared" ca="1" si="48"/>
        <v>-</v>
      </c>
      <c r="P65" s="37" t="str">
        <f t="shared" ca="1" si="48"/>
        <v>-</v>
      </c>
      <c r="Q65" s="37" t="str">
        <f t="shared" ca="1" si="48"/>
        <v>-</v>
      </c>
      <c r="R65" s="37" t="str">
        <f t="shared" ca="1" si="48"/>
        <v>-</v>
      </c>
      <c r="S65" s="37" t="str">
        <f t="shared" ca="1" si="48"/>
        <v>-</v>
      </c>
      <c r="T65" s="37" t="str">
        <f t="shared" ca="1" si="49"/>
        <v>-</v>
      </c>
      <c r="U65" s="37">
        <f t="shared" ca="1" si="49"/>
        <v>0</v>
      </c>
      <c r="V65" s="37">
        <f t="shared" ca="1" si="49"/>
        <v>1</v>
      </c>
      <c r="W65" s="37" t="str">
        <f t="shared" ca="1" si="49"/>
        <v>-</v>
      </c>
      <c r="X65" s="37" t="str">
        <f t="shared" ca="1" si="49"/>
        <v>-</v>
      </c>
      <c r="Y65" s="37">
        <f t="shared" ca="1" si="49"/>
        <v>0</v>
      </c>
      <c r="Z65" s="37">
        <f t="shared" ca="1" si="49"/>
        <v>1</v>
      </c>
      <c r="AA65" s="25" t="str">
        <f t="shared" si="32"/>
        <v>-</v>
      </c>
      <c r="AB65" s="25" t="str">
        <f t="shared" si="32"/>
        <v>-</v>
      </c>
      <c r="AC65" s="25" t="str">
        <f t="shared" si="32"/>
        <v>-</v>
      </c>
      <c r="AD65" s="37" t="str">
        <f t="shared" ca="1" si="50"/>
        <v>-</v>
      </c>
      <c r="AE65" s="37" t="str">
        <f t="shared" ca="1" si="50"/>
        <v>-</v>
      </c>
      <c r="AF65" s="37" t="str">
        <f t="shared" ca="1" si="50"/>
        <v>-</v>
      </c>
      <c r="AG65" s="37" t="str">
        <f t="shared" ca="1" si="50"/>
        <v>-</v>
      </c>
      <c r="AH65" s="37" t="str">
        <f t="shared" ca="1" si="50"/>
        <v>-</v>
      </c>
      <c r="AI65" s="37" t="str">
        <f t="shared" ca="1" si="50"/>
        <v>-</v>
      </c>
      <c r="AJ65" s="37" t="str">
        <f t="shared" ca="1" si="50"/>
        <v>-</v>
      </c>
      <c r="AK65" s="37" t="str">
        <f t="shared" ca="1" si="50"/>
        <v>-</v>
      </c>
      <c r="AL65" s="37">
        <f t="shared" ca="1" si="50"/>
        <v>60</v>
      </c>
      <c r="AM65" s="37">
        <f t="shared" ca="1" si="50"/>
        <v>1</v>
      </c>
      <c r="AN65" s="37">
        <f t="shared" ca="1" si="50"/>
        <v>0</v>
      </c>
      <c r="AO65" s="37">
        <f t="shared" ca="1" si="50"/>
        <v>1</v>
      </c>
      <c r="AP65" s="37">
        <f t="shared" ca="1" si="50"/>
        <v>0</v>
      </c>
      <c r="AQ65" s="34">
        <v>0.1</v>
      </c>
      <c r="AR65" s="37">
        <f t="shared" ca="1" si="51"/>
        <v>1</v>
      </c>
      <c r="AS65" s="37">
        <f t="shared" ca="1" si="51"/>
        <v>0</v>
      </c>
      <c r="AT65" s="37">
        <f t="shared" ca="1" si="51"/>
        <v>0</v>
      </c>
      <c r="AU65" s="37">
        <f t="shared" ca="1" si="51"/>
        <v>0</v>
      </c>
      <c r="AV65" s="37">
        <f t="shared" ca="1" si="51"/>
        <v>0</v>
      </c>
      <c r="AW65" s="37">
        <f t="shared" ca="1" si="51"/>
        <v>80</v>
      </c>
      <c r="AX65" s="37">
        <f t="shared" ca="1" si="51"/>
        <v>90</v>
      </c>
      <c r="AY65" s="37">
        <f t="shared" ca="1" si="51"/>
        <v>0</v>
      </c>
      <c r="AZ65" s="37">
        <f t="shared" ca="1" si="51"/>
        <v>0</v>
      </c>
      <c r="BA65" s="37">
        <f t="shared" ca="1" si="51"/>
        <v>0</v>
      </c>
      <c r="BB65" s="12"/>
    </row>
    <row r="66" spans="1:54">
      <c r="A66" s="15"/>
      <c r="B66">
        <f t="shared" si="46"/>
        <v>61</v>
      </c>
      <c r="C66" s="36">
        <f t="shared" si="52"/>
        <v>4</v>
      </c>
      <c r="D66">
        <v>0</v>
      </c>
      <c r="E66" t="b">
        <v>0</v>
      </c>
      <c r="F66" t="b">
        <v>0</v>
      </c>
      <c r="G66" t="b">
        <v>0</v>
      </c>
      <c r="H66" s="41" t="str">
        <f t="shared" ca="1" si="47"/>
        <v>058-G0_sfw100%_sfd00.0_conc0000_prlf0000_erb+20%</v>
      </c>
      <c r="I66" s="19" t="str">
        <f ca="1">IF(MATCH(H66,H$5:H66,0)=(COUNTA(H$5:H66)),"-","Dup")</f>
        <v>-</v>
      </c>
      <c r="J66" s="37" t="str">
        <f t="shared" ca="1" si="48"/>
        <v>-</v>
      </c>
      <c r="K66" s="37" t="b">
        <f t="shared" ca="1" si="48"/>
        <v>0</v>
      </c>
      <c r="L66" s="37" t="b">
        <f t="shared" ca="1" si="48"/>
        <v>1</v>
      </c>
      <c r="M66" s="37">
        <f t="shared" ca="1" si="48"/>
        <v>2</v>
      </c>
      <c r="N66" s="37" t="str">
        <f t="shared" ca="1" si="48"/>
        <v>-</v>
      </c>
      <c r="O66" s="37" t="str">
        <f t="shared" ca="1" si="48"/>
        <v>-</v>
      </c>
      <c r="P66" s="37" t="str">
        <f t="shared" ca="1" si="48"/>
        <v>-</v>
      </c>
      <c r="Q66" s="37" t="str">
        <f t="shared" ca="1" si="48"/>
        <v>-</v>
      </c>
      <c r="R66" s="37" t="str">
        <f t="shared" ca="1" si="48"/>
        <v>-</v>
      </c>
      <c r="S66" s="37" t="str">
        <f t="shared" ca="1" si="48"/>
        <v>-</v>
      </c>
      <c r="T66" s="37" t="str">
        <f t="shared" ca="1" si="49"/>
        <v>-</v>
      </c>
      <c r="U66" s="37">
        <f t="shared" ca="1" si="49"/>
        <v>0</v>
      </c>
      <c r="V66" s="37">
        <f t="shared" ca="1" si="49"/>
        <v>1</v>
      </c>
      <c r="W66" s="37" t="str">
        <f t="shared" ca="1" si="49"/>
        <v>-</v>
      </c>
      <c r="X66" s="37" t="str">
        <f t="shared" ca="1" si="49"/>
        <v>-</v>
      </c>
      <c r="Y66" s="37">
        <f t="shared" ca="1" si="49"/>
        <v>0</v>
      </c>
      <c r="Z66" s="37">
        <f t="shared" ca="1" si="49"/>
        <v>1</v>
      </c>
      <c r="AA66" s="25" t="str">
        <f t="shared" si="32"/>
        <v>-</v>
      </c>
      <c r="AB66" s="25" t="str">
        <f t="shared" si="32"/>
        <v>-</v>
      </c>
      <c r="AC66" s="25" t="str">
        <f t="shared" si="32"/>
        <v>-</v>
      </c>
      <c r="AD66" s="37" t="str">
        <f t="shared" ca="1" si="50"/>
        <v>-</v>
      </c>
      <c r="AE66" s="37" t="str">
        <f t="shared" ca="1" si="50"/>
        <v>-</v>
      </c>
      <c r="AF66" s="37" t="str">
        <f t="shared" ca="1" si="50"/>
        <v>-</v>
      </c>
      <c r="AG66" s="37" t="str">
        <f t="shared" ca="1" si="50"/>
        <v>-</v>
      </c>
      <c r="AH66" s="37" t="str">
        <f t="shared" ca="1" si="50"/>
        <v>-</v>
      </c>
      <c r="AI66" s="37" t="str">
        <f t="shared" ca="1" si="50"/>
        <v>-</v>
      </c>
      <c r="AJ66" s="37" t="str">
        <f t="shared" ca="1" si="50"/>
        <v>-</v>
      </c>
      <c r="AK66" s="37" t="str">
        <f t="shared" ca="1" si="50"/>
        <v>-</v>
      </c>
      <c r="AL66" s="37">
        <f t="shared" ca="1" si="50"/>
        <v>60</v>
      </c>
      <c r="AM66" s="37">
        <f t="shared" ca="1" si="50"/>
        <v>1</v>
      </c>
      <c r="AN66" s="37">
        <f t="shared" ca="1" si="50"/>
        <v>0</v>
      </c>
      <c r="AO66" s="37">
        <f t="shared" ca="1" si="50"/>
        <v>1</v>
      </c>
      <c r="AP66" s="37">
        <f t="shared" ca="1" si="50"/>
        <v>0</v>
      </c>
      <c r="AQ66" s="34">
        <v>0.2</v>
      </c>
      <c r="AR66" s="37">
        <f t="shared" ca="1" si="51"/>
        <v>1</v>
      </c>
      <c r="AS66" s="37">
        <f t="shared" ca="1" si="51"/>
        <v>0</v>
      </c>
      <c r="AT66" s="37">
        <f t="shared" ca="1" si="51"/>
        <v>0</v>
      </c>
      <c r="AU66" s="37">
        <f t="shared" ca="1" si="51"/>
        <v>0</v>
      </c>
      <c r="AV66" s="37">
        <f t="shared" ca="1" si="51"/>
        <v>0</v>
      </c>
      <c r="AW66" s="37">
        <f t="shared" ca="1" si="51"/>
        <v>80</v>
      </c>
      <c r="AX66" s="37">
        <f t="shared" ca="1" si="51"/>
        <v>90</v>
      </c>
      <c r="AY66" s="37">
        <f t="shared" ca="1" si="51"/>
        <v>0</v>
      </c>
      <c r="AZ66" s="37">
        <f t="shared" ca="1" si="51"/>
        <v>0</v>
      </c>
      <c r="BA66" s="37">
        <f t="shared" ca="1" si="51"/>
        <v>0</v>
      </c>
      <c r="BB66" s="12"/>
    </row>
    <row r="67" spans="1:54">
      <c r="A67" s="15"/>
      <c r="B67">
        <f t="shared" si="46"/>
        <v>62</v>
      </c>
      <c r="C67" s="36">
        <f t="shared" si="52"/>
        <v>4</v>
      </c>
      <c r="D67">
        <v>0</v>
      </c>
      <c r="E67" t="b">
        <v>0</v>
      </c>
      <c r="F67" t="b">
        <v>0</v>
      </c>
      <c r="G67" t="b">
        <v>0</v>
      </c>
      <c r="H67" s="41" t="str">
        <f t="shared" ca="1" si="47"/>
        <v>059-G0_sfw100%_sfd00.0_conc0000_prlf0000_erb+30%</v>
      </c>
      <c r="I67" s="19" t="str">
        <f ca="1">IF(MATCH(H67,H$5:H67,0)=(COUNTA(H$5:H67)),"-","Dup")</f>
        <v>-</v>
      </c>
      <c r="J67" s="37" t="str">
        <f t="shared" ca="1" si="48"/>
        <v>-</v>
      </c>
      <c r="K67" s="37" t="b">
        <f t="shared" ca="1" si="48"/>
        <v>0</v>
      </c>
      <c r="L67" s="37" t="b">
        <f t="shared" ca="1" si="48"/>
        <v>1</v>
      </c>
      <c r="M67" s="37">
        <f t="shared" ca="1" si="48"/>
        <v>2</v>
      </c>
      <c r="N67" s="37" t="str">
        <f t="shared" ca="1" si="48"/>
        <v>-</v>
      </c>
      <c r="O67" s="37" t="str">
        <f t="shared" ca="1" si="48"/>
        <v>-</v>
      </c>
      <c r="P67" s="37" t="str">
        <f t="shared" ca="1" si="48"/>
        <v>-</v>
      </c>
      <c r="Q67" s="37" t="str">
        <f t="shared" ca="1" si="48"/>
        <v>-</v>
      </c>
      <c r="R67" s="37" t="str">
        <f t="shared" ca="1" si="48"/>
        <v>-</v>
      </c>
      <c r="S67" s="37" t="str">
        <f t="shared" ca="1" si="48"/>
        <v>-</v>
      </c>
      <c r="T67" s="37" t="str">
        <f t="shared" ca="1" si="49"/>
        <v>-</v>
      </c>
      <c r="U67" s="37">
        <f t="shared" ca="1" si="49"/>
        <v>0</v>
      </c>
      <c r="V67" s="37">
        <f t="shared" ca="1" si="49"/>
        <v>1</v>
      </c>
      <c r="W67" s="37" t="str">
        <f t="shared" ca="1" si="49"/>
        <v>-</v>
      </c>
      <c r="X67" s="37" t="str">
        <f t="shared" ca="1" si="49"/>
        <v>-</v>
      </c>
      <c r="Y67" s="37">
        <f t="shared" ca="1" si="49"/>
        <v>0</v>
      </c>
      <c r="Z67" s="37">
        <f t="shared" ca="1" si="49"/>
        <v>1</v>
      </c>
      <c r="AA67" s="25" t="str">
        <f t="shared" si="32"/>
        <v>-</v>
      </c>
      <c r="AB67" s="25" t="str">
        <f t="shared" si="32"/>
        <v>-</v>
      </c>
      <c r="AC67" s="25" t="str">
        <f t="shared" si="32"/>
        <v>-</v>
      </c>
      <c r="AD67" s="37" t="str">
        <f t="shared" ca="1" si="50"/>
        <v>-</v>
      </c>
      <c r="AE67" s="37" t="str">
        <f t="shared" ca="1" si="50"/>
        <v>-</v>
      </c>
      <c r="AF67" s="37" t="str">
        <f t="shared" ca="1" si="50"/>
        <v>-</v>
      </c>
      <c r="AG67" s="37" t="str">
        <f t="shared" ca="1" si="50"/>
        <v>-</v>
      </c>
      <c r="AH67" s="37" t="str">
        <f t="shared" ca="1" si="50"/>
        <v>-</v>
      </c>
      <c r="AI67" s="37" t="str">
        <f t="shared" ca="1" si="50"/>
        <v>-</v>
      </c>
      <c r="AJ67" s="37" t="str">
        <f t="shared" ca="1" si="50"/>
        <v>-</v>
      </c>
      <c r="AK67" s="37" t="str">
        <f t="shared" ca="1" si="50"/>
        <v>-</v>
      </c>
      <c r="AL67" s="37">
        <f t="shared" ca="1" si="50"/>
        <v>60</v>
      </c>
      <c r="AM67" s="37">
        <f t="shared" ca="1" si="50"/>
        <v>1</v>
      </c>
      <c r="AN67" s="37">
        <f t="shared" ca="1" si="50"/>
        <v>0</v>
      </c>
      <c r="AO67" s="37">
        <f t="shared" ca="1" si="50"/>
        <v>1</v>
      </c>
      <c r="AP67" s="37">
        <f t="shared" ca="1" si="50"/>
        <v>0</v>
      </c>
      <c r="AQ67" s="34">
        <v>0.3</v>
      </c>
      <c r="AR67" s="37">
        <f t="shared" ca="1" si="51"/>
        <v>1</v>
      </c>
      <c r="AS67" s="37">
        <f t="shared" ca="1" si="51"/>
        <v>0</v>
      </c>
      <c r="AT67" s="37">
        <f t="shared" ca="1" si="51"/>
        <v>0</v>
      </c>
      <c r="AU67" s="37">
        <f t="shared" ca="1" si="51"/>
        <v>0</v>
      </c>
      <c r="AV67" s="37">
        <f t="shared" ca="1" si="51"/>
        <v>0</v>
      </c>
      <c r="AW67" s="37">
        <f t="shared" ca="1" si="51"/>
        <v>80</v>
      </c>
      <c r="AX67" s="37">
        <f t="shared" ca="1" si="51"/>
        <v>90</v>
      </c>
      <c r="AY67" s="37">
        <f t="shared" ca="1" si="51"/>
        <v>0</v>
      </c>
      <c r="AZ67" s="37">
        <f t="shared" ca="1" si="51"/>
        <v>0</v>
      </c>
      <c r="BA67" s="37">
        <f t="shared" ca="1" si="51"/>
        <v>0</v>
      </c>
      <c r="BB67" s="12"/>
    </row>
    <row r="68" spans="1:54">
      <c r="A68" s="15"/>
      <c r="B68">
        <f t="shared" si="46"/>
        <v>63</v>
      </c>
      <c r="C68" s="36">
        <f t="shared" si="52"/>
        <v>4</v>
      </c>
      <c r="D68">
        <v>0</v>
      </c>
      <c r="E68" t="b">
        <v>0</v>
      </c>
      <c r="F68" t="b">
        <v>0</v>
      </c>
      <c r="G68" t="b">
        <v>0</v>
      </c>
      <c r="H68" s="41" t="str">
        <f t="shared" ca="1" si="47"/>
        <v>060-G0_sfw100%_sfd00.0_conc0000_prlf0000_erb+40%</v>
      </c>
      <c r="I68" s="19" t="str">
        <f ca="1">IF(MATCH(H68,H$5:H68,0)=(COUNTA(H$5:H68)),"-","Dup")</f>
        <v>-</v>
      </c>
      <c r="J68" s="37" t="str">
        <f t="shared" ca="1" si="48"/>
        <v>-</v>
      </c>
      <c r="K68" s="37" t="b">
        <f t="shared" ca="1" si="48"/>
        <v>0</v>
      </c>
      <c r="L68" s="37" t="b">
        <f t="shared" ca="1" si="48"/>
        <v>1</v>
      </c>
      <c r="M68" s="37">
        <f t="shared" ca="1" si="48"/>
        <v>2</v>
      </c>
      <c r="N68" s="37" t="str">
        <f t="shared" ca="1" si="48"/>
        <v>-</v>
      </c>
      <c r="O68" s="37" t="str">
        <f t="shared" ca="1" si="48"/>
        <v>-</v>
      </c>
      <c r="P68" s="37" t="str">
        <f t="shared" ca="1" si="48"/>
        <v>-</v>
      </c>
      <c r="Q68" s="37" t="str">
        <f t="shared" ca="1" si="48"/>
        <v>-</v>
      </c>
      <c r="R68" s="37" t="str">
        <f t="shared" ca="1" si="48"/>
        <v>-</v>
      </c>
      <c r="S68" s="37" t="str">
        <f t="shared" ca="1" si="48"/>
        <v>-</v>
      </c>
      <c r="T68" s="37" t="str">
        <f t="shared" ca="1" si="49"/>
        <v>-</v>
      </c>
      <c r="U68" s="37">
        <f t="shared" ca="1" si="49"/>
        <v>0</v>
      </c>
      <c r="V68" s="37">
        <f t="shared" ca="1" si="49"/>
        <v>1</v>
      </c>
      <c r="W68" s="37" t="str">
        <f t="shared" ca="1" si="49"/>
        <v>-</v>
      </c>
      <c r="X68" s="37" t="str">
        <f t="shared" ca="1" si="49"/>
        <v>-</v>
      </c>
      <c r="Y68" s="37">
        <f t="shared" ca="1" si="49"/>
        <v>0</v>
      </c>
      <c r="Z68" s="37">
        <f t="shared" ca="1" si="49"/>
        <v>1</v>
      </c>
      <c r="AA68" s="25" t="str">
        <f t="shared" si="32"/>
        <v>-</v>
      </c>
      <c r="AB68" s="25" t="str">
        <f t="shared" si="32"/>
        <v>-</v>
      </c>
      <c r="AC68" s="25" t="str">
        <f t="shared" si="32"/>
        <v>-</v>
      </c>
      <c r="AD68" s="37" t="str">
        <f t="shared" ca="1" si="50"/>
        <v>-</v>
      </c>
      <c r="AE68" s="37" t="str">
        <f t="shared" ca="1" si="50"/>
        <v>-</v>
      </c>
      <c r="AF68" s="37" t="str">
        <f t="shared" ca="1" si="50"/>
        <v>-</v>
      </c>
      <c r="AG68" s="37" t="str">
        <f t="shared" ca="1" si="50"/>
        <v>-</v>
      </c>
      <c r="AH68" s="37" t="str">
        <f t="shared" ca="1" si="50"/>
        <v>-</v>
      </c>
      <c r="AI68" s="37" t="str">
        <f t="shared" ca="1" si="50"/>
        <v>-</v>
      </c>
      <c r="AJ68" s="37" t="str">
        <f t="shared" ca="1" si="50"/>
        <v>-</v>
      </c>
      <c r="AK68" s="37" t="str">
        <f t="shared" ca="1" si="50"/>
        <v>-</v>
      </c>
      <c r="AL68" s="37">
        <f t="shared" ca="1" si="50"/>
        <v>60</v>
      </c>
      <c r="AM68" s="37">
        <f t="shared" ca="1" si="50"/>
        <v>1</v>
      </c>
      <c r="AN68" s="37">
        <f t="shared" ca="1" si="50"/>
        <v>0</v>
      </c>
      <c r="AO68" s="37">
        <f t="shared" ca="1" si="50"/>
        <v>1</v>
      </c>
      <c r="AP68" s="37">
        <f t="shared" ca="1" si="50"/>
        <v>0</v>
      </c>
      <c r="AQ68" s="34">
        <v>0.4</v>
      </c>
      <c r="AR68" s="37">
        <f t="shared" ca="1" si="51"/>
        <v>1</v>
      </c>
      <c r="AS68" s="37">
        <f t="shared" ca="1" si="51"/>
        <v>0</v>
      </c>
      <c r="AT68" s="37">
        <f t="shared" ca="1" si="51"/>
        <v>0</v>
      </c>
      <c r="AU68" s="37">
        <f t="shared" ca="1" si="51"/>
        <v>0</v>
      </c>
      <c r="AV68" s="37">
        <f t="shared" ca="1" si="51"/>
        <v>0</v>
      </c>
      <c r="AW68" s="37">
        <f t="shared" ca="1" si="51"/>
        <v>80</v>
      </c>
      <c r="AX68" s="37">
        <f t="shared" ca="1" si="51"/>
        <v>90</v>
      </c>
      <c r="AY68" s="37">
        <f t="shared" ca="1" si="51"/>
        <v>0</v>
      </c>
      <c r="AZ68" s="37">
        <f t="shared" ca="1" si="51"/>
        <v>0</v>
      </c>
      <c r="BA68" s="37">
        <f t="shared" ca="1" si="51"/>
        <v>0</v>
      </c>
      <c r="BB68" s="12"/>
    </row>
    <row r="69" spans="1:54">
      <c r="A69" s="15"/>
      <c r="B69">
        <f t="shared" si="46"/>
        <v>64</v>
      </c>
      <c r="C69" s="36">
        <f t="shared" si="52"/>
        <v>4</v>
      </c>
      <c r="D69">
        <v>0</v>
      </c>
      <c r="E69" t="b">
        <v>0</v>
      </c>
      <c r="F69" t="b">
        <v>0</v>
      </c>
      <c r="G69" t="b">
        <v>0</v>
      </c>
      <c r="H69" s="41" t="str">
        <f t="shared" ca="1" si="47"/>
        <v>061-G0_sfw100%_sfd00.0_conc0000_prlf0000_erb+50%</v>
      </c>
      <c r="I69" s="19" t="str">
        <f ca="1">IF(MATCH(H69,H$5:H69,0)=(COUNTA(H$5:H69)),"-","Dup")</f>
        <v>-</v>
      </c>
      <c r="J69" s="37" t="str">
        <f t="shared" ca="1" si="48"/>
        <v>-</v>
      </c>
      <c r="K69" s="37" t="b">
        <f t="shared" ca="1" si="48"/>
        <v>0</v>
      </c>
      <c r="L69" s="37" t="b">
        <f t="shared" ca="1" si="48"/>
        <v>1</v>
      </c>
      <c r="M69" s="37">
        <f t="shared" ca="1" si="48"/>
        <v>2</v>
      </c>
      <c r="N69" s="37" t="str">
        <f t="shared" ca="1" si="48"/>
        <v>-</v>
      </c>
      <c r="O69" s="37" t="str">
        <f t="shared" ca="1" si="48"/>
        <v>-</v>
      </c>
      <c r="P69" s="37" t="str">
        <f t="shared" ca="1" si="48"/>
        <v>-</v>
      </c>
      <c r="Q69" s="37" t="str">
        <f t="shared" ca="1" si="48"/>
        <v>-</v>
      </c>
      <c r="R69" s="37" t="str">
        <f t="shared" ca="1" si="48"/>
        <v>-</v>
      </c>
      <c r="S69" s="37" t="str">
        <f t="shared" ca="1" si="48"/>
        <v>-</v>
      </c>
      <c r="T69" s="37" t="str">
        <f t="shared" ca="1" si="49"/>
        <v>-</v>
      </c>
      <c r="U69" s="37">
        <f t="shared" ca="1" si="49"/>
        <v>0</v>
      </c>
      <c r="V69" s="37">
        <f t="shared" ca="1" si="49"/>
        <v>1</v>
      </c>
      <c r="W69" s="37" t="str">
        <f t="shared" ca="1" si="49"/>
        <v>-</v>
      </c>
      <c r="X69" s="37" t="str">
        <f t="shared" ca="1" si="49"/>
        <v>-</v>
      </c>
      <c r="Y69" s="37">
        <f t="shared" ca="1" si="49"/>
        <v>0</v>
      </c>
      <c r="Z69" s="37">
        <f t="shared" ca="1" si="49"/>
        <v>1</v>
      </c>
      <c r="AA69" s="25" t="str">
        <f t="shared" si="32"/>
        <v>-</v>
      </c>
      <c r="AB69" s="25" t="str">
        <f t="shared" si="32"/>
        <v>-</v>
      </c>
      <c r="AC69" s="25" t="str">
        <f t="shared" si="32"/>
        <v>-</v>
      </c>
      <c r="AD69" s="37" t="str">
        <f t="shared" ca="1" si="50"/>
        <v>-</v>
      </c>
      <c r="AE69" s="37" t="str">
        <f t="shared" ca="1" si="50"/>
        <v>-</v>
      </c>
      <c r="AF69" s="37" t="str">
        <f t="shared" ca="1" si="50"/>
        <v>-</v>
      </c>
      <c r="AG69" s="37" t="str">
        <f t="shared" ca="1" si="50"/>
        <v>-</v>
      </c>
      <c r="AH69" s="37" t="str">
        <f t="shared" ca="1" si="50"/>
        <v>-</v>
      </c>
      <c r="AI69" s="37" t="str">
        <f t="shared" ca="1" si="50"/>
        <v>-</v>
      </c>
      <c r="AJ69" s="37" t="str">
        <f t="shared" ca="1" si="50"/>
        <v>-</v>
      </c>
      <c r="AK69" s="37" t="str">
        <f t="shared" ca="1" si="50"/>
        <v>-</v>
      </c>
      <c r="AL69" s="37">
        <f t="shared" ca="1" si="50"/>
        <v>60</v>
      </c>
      <c r="AM69" s="37">
        <f t="shared" ca="1" si="50"/>
        <v>1</v>
      </c>
      <c r="AN69" s="37">
        <f t="shared" ca="1" si="50"/>
        <v>0</v>
      </c>
      <c r="AO69" s="37">
        <f t="shared" ca="1" si="50"/>
        <v>1</v>
      </c>
      <c r="AP69" s="37">
        <f t="shared" ca="1" si="50"/>
        <v>0</v>
      </c>
      <c r="AQ69" s="34">
        <v>0.5</v>
      </c>
      <c r="AR69" s="37">
        <f t="shared" ca="1" si="51"/>
        <v>1</v>
      </c>
      <c r="AS69" s="37">
        <f t="shared" ca="1" si="51"/>
        <v>0</v>
      </c>
      <c r="AT69" s="37">
        <f t="shared" ca="1" si="51"/>
        <v>0</v>
      </c>
      <c r="AU69" s="37">
        <f t="shared" ca="1" si="51"/>
        <v>0</v>
      </c>
      <c r="AV69" s="37">
        <f t="shared" ca="1" si="51"/>
        <v>0</v>
      </c>
      <c r="AW69" s="37">
        <f t="shared" ca="1" si="51"/>
        <v>80</v>
      </c>
      <c r="AX69" s="37">
        <f t="shared" ca="1" si="51"/>
        <v>90</v>
      </c>
      <c r="AY69" s="37">
        <f t="shared" ca="1" si="51"/>
        <v>0</v>
      </c>
      <c r="AZ69" s="37">
        <f t="shared" ca="1" si="51"/>
        <v>0</v>
      </c>
      <c r="BA69" s="37">
        <f t="shared" ca="1" si="51"/>
        <v>0</v>
      </c>
      <c r="BB69" s="12"/>
    </row>
    <row r="70" spans="1:54" ht="6.75" customHeight="1">
      <c r="A70" s="16">
        <v>44283.745671296296</v>
      </c>
      <c r="B70" s="12">
        <f t="shared" si="46"/>
        <v>65</v>
      </c>
      <c r="C70" s="12"/>
      <c r="D70" s="12" t="b">
        <v>0</v>
      </c>
      <c r="E70" s="12" t="b">
        <v>0</v>
      </c>
      <c r="F70" s="12" t="b">
        <v>0</v>
      </c>
      <c r="G70" s="12" t="b">
        <v>0</v>
      </c>
      <c r="H70" s="12" t="s">
        <v>35</v>
      </c>
      <c r="I70" s="20" t="str">
        <f ca="1">IF(MATCH(H70,H$5:H70,0)=(COUNTA(H$5:H70)),"-","Dup")</f>
        <v>-</v>
      </c>
      <c r="J70" s="18" t="str">
        <f>J$5</f>
        <v>-</v>
      </c>
      <c r="K70" s="18" t="str">
        <f t="shared" ref="K70:O70" si="53">K$5</f>
        <v>-</v>
      </c>
      <c r="L70" s="18" t="str">
        <f t="shared" si="53"/>
        <v>-</v>
      </c>
      <c r="M70" s="18" t="str">
        <f t="shared" si="53"/>
        <v>-</v>
      </c>
      <c r="N70" s="18" t="str">
        <f t="shared" si="53"/>
        <v>-</v>
      </c>
      <c r="O70" s="18" t="str">
        <f t="shared" si="53"/>
        <v>-</v>
      </c>
      <c r="P70" s="18" t="str">
        <f t="shared" ref="P70:Q70" si="54">P$5</f>
        <v>-</v>
      </c>
      <c r="Q70" s="18" t="str">
        <f t="shared" si="54"/>
        <v>-</v>
      </c>
      <c r="R70" s="18" t="str">
        <f t="shared" ref="R70:BA70" si="55">R$5</f>
        <v>-</v>
      </c>
      <c r="S70" s="18" t="str">
        <f t="shared" si="55"/>
        <v>-</v>
      </c>
      <c r="T70" s="18" t="str">
        <f t="shared" si="55"/>
        <v>-</v>
      </c>
      <c r="U70" s="18" t="str">
        <f t="shared" si="55"/>
        <v>-</v>
      </c>
      <c r="V70" s="18" t="str">
        <f t="shared" si="55"/>
        <v>-</v>
      </c>
      <c r="W70" s="18" t="str">
        <f t="shared" si="55"/>
        <v>-</v>
      </c>
      <c r="X70" s="18" t="str">
        <f t="shared" si="55"/>
        <v>-</v>
      </c>
      <c r="Y70" s="18" t="str">
        <f t="shared" si="55"/>
        <v>-</v>
      </c>
      <c r="Z70" s="18" t="str">
        <f t="shared" si="55"/>
        <v>-</v>
      </c>
      <c r="AA70" s="18" t="str">
        <f t="shared" ref="AA70:AF70" si="56">AA$5</f>
        <v>-</v>
      </c>
      <c r="AB70" s="18" t="str">
        <f t="shared" si="56"/>
        <v>-</v>
      </c>
      <c r="AC70" s="18" t="str">
        <f t="shared" si="56"/>
        <v>-</v>
      </c>
      <c r="AD70" s="18" t="str">
        <f t="shared" si="56"/>
        <v>-</v>
      </c>
      <c r="AE70" s="18" t="str">
        <f t="shared" si="56"/>
        <v>-</v>
      </c>
      <c r="AF70" s="18" t="str">
        <f t="shared" si="56"/>
        <v>-</v>
      </c>
      <c r="AG70" s="12" t="s">
        <v>49</v>
      </c>
      <c r="AH70" s="12" t="s">
        <v>49</v>
      </c>
      <c r="AI70" s="12" t="s">
        <v>49</v>
      </c>
      <c r="AJ70" s="18" t="str">
        <f t="shared" ref="AJ70:AV70" si="57">AJ$5</f>
        <v>-</v>
      </c>
      <c r="AK70" s="18" t="str">
        <f t="shared" si="57"/>
        <v>-</v>
      </c>
      <c r="AL70" s="18" t="str">
        <f t="shared" si="57"/>
        <v>-</v>
      </c>
      <c r="AM70" s="18">
        <f t="shared" si="57"/>
        <v>1</v>
      </c>
      <c r="AN70" s="18">
        <f t="shared" si="57"/>
        <v>0</v>
      </c>
      <c r="AO70" s="18">
        <f t="shared" si="57"/>
        <v>1</v>
      </c>
      <c r="AP70" s="18">
        <f>AP$5</f>
        <v>0</v>
      </c>
      <c r="AQ70" s="18">
        <f>AQ$5</f>
        <v>0</v>
      </c>
      <c r="AR70" s="18">
        <f t="shared" si="57"/>
        <v>1</v>
      </c>
      <c r="AS70" s="18">
        <f t="shared" si="57"/>
        <v>0</v>
      </c>
      <c r="AT70" s="18">
        <f t="shared" si="57"/>
        <v>0</v>
      </c>
      <c r="AU70" s="18">
        <f t="shared" si="57"/>
        <v>0</v>
      </c>
      <c r="AV70" s="18">
        <f t="shared" si="57"/>
        <v>0</v>
      </c>
      <c r="AW70" s="18" t="str">
        <f t="shared" si="55"/>
        <v>-</v>
      </c>
      <c r="AX70" s="18" t="str">
        <f t="shared" si="55"/>
        <v>-</v>
      </c>
      <c r="AY70" s="18">
        <f t="shared" si="55"/>
        <v>0</v>
      </c>
      <c r="AZ70" s="18">
        <f t="shared" si="55"/>
        <v>0</v>
      </c>
      <c r="BA70" s="18">
        <f t="shared" si="55"/>
        <v>0</v>
      </c>
      <c r="BB70" s="12">
        <v>0</v>
      </c>
    </row>
  </sheetData>
  <autoFilter ref="A4:BB70" xr:uid="{A5DE918E-332D-4563-9BCB-E13ECBAD8AE1}"/>
  <phoneticPr fontId="4" type="noConversion"/>
  <conditionalFormatting sqref="E1:G1048576">
    <cfRule type="cellIs" dxfId="6" priority="59" operator="equal">
      <formula>TRUE</formula>
    </cfRule>
  </conditionalFormatting>
  <conditionalFormatting sqref="A1:XFD1">
    <cfRule type="cellIs" dxfId="5" priority="1" operator="equal">
      <formula>"sar"</formula>
    </cfRule>
    <cfRule type="cellIs" dxfId="4" priority="2" operator="equal">
      <formula>"sat"</formula>
    </cfRule>
    <cfRule type="cellIs" dxfId="3" priority="92" operator="equal">
      <formula>"sav"</formula>
    </cfRule>
    <cfRule type="containsText" dxfId="2" priority="96" operator="containsText" text="sam">
      <formula>NOT(ISERROR(SEARCH("sam",A1)))</formula>
    </cfRule>
    <cfRule type="containsText" dxfId="1" priority="97" operator="containsText" text="sap">
      <formula>NOT(ISERROR(SEARCH("sap",A1)))</formula>
    </cfRule>
    <cfRule type="containsText" dxfId="0" priority="98" operator="containsText" text="saa">
      <formula>NOT(ISERROR(SEARCH("saa",A1)))</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B11"/>
  <sheetViews>
    <sheetView tabSelected="1" workbookViewId="0">
      <pane ySplit="1" topLeftCell="A2" activePane="bottomLeft" state="frozen"/>
      <selection pane="bottomLeft" activeCell="B11" sqref="B11"/>
    </sheetView>
  </sheetViews>
  <sheetFormatPr defaultRowHeight="15"/>
  <cols>
    <col min="1" max="1" width="12.42578125" customWidth="1"/>
    <col min="2" max="2" width="145.140625" customWidth="1"/>
  </cols>
  <sheetData>
    <row r="1" spans="1:2">
      <c r="A1" t="s">
        <v>137</v>
      </c>
      <c r="B1" t="s">
        <v>28</v>
      </c>
    </row>
    <row r="2" spans="1:2">
      <c r="B2" s="7" t="s">
        <v>114</v>
      </c>
    </row>
    <row r="3" spans="1:2">
      <c r="B3" s="7"/>
    </row>
    <row r="4" spans="1:2">
      <c r="B4" s="7" t="s">
        <v>122</v>
      </c>
    </row>
    <row r="5" spans="1:2">
      <c r="B5" s="7"/>
    </row>
    <row r="6" spans="1:2">
      <c r="B6" s="7" t="s">
        <v>123</v>
      </c>
    </row>
    <row r="7" spans="1:2">
      <c r="B7" s="7" t="s">
        <v>135</v>
      </c>
    </row>
    <row r="8" spans="1:2">
      <c r="B8" s="7" t="s">
        <v>132</v>
      </c>
    </row>
    <row r="9" spans="1:2">
      <c r="B9" t="s">
        <v>134</v>
      </c>
    </row>
    <row r="10" spans="1:2">
      <c r="A10" s="48">
        <v>44287.776771411998</v>
      </c>
      <c r="B10" t="s">
        <v>136</v>
      </c>
    </row>
    <row r="11" spans="1:2">
      <c r="B11" t="s">
        <v>138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3"/>
  <sheetViews>
    <sheetView workbookViewId="0">
      <selection activeCell="B10" sqref="B10:B14"/>
    </sheetView>
  </sheetViews>
  <sheetFormatPr defaultRowHeight="15"/>
  <cols>
    <col min="1" max="1" width="21" bestFit="1" customWidth="1"/>
  </cols>
  <sheetData>
    <row r="1" spans="1:3">
      <c r="A1" s="29" t="s">
        <v>51</v>
      </c>
      <c r="B1" s="29" t="s">
        <v>52</v>
      </c>
      <c r="C1" s="29" t="s">
        <v>53</v>
      </c>
    </row>
    <row r="2" spans="1:3">
      <c r="A2" s="28" t="s">
        <v>54</v>
      </c>
      <c r="B2" t="b">
        <v>1</v>
      </c>
      <c r="C2" s="30" t="s">
        <v>59</v>
      </c>
    </row>
    <row r="3" spans="1:3">
      <c r="A3" s="28" t="s">
        <v>55</v>
      </c>
      <c r="B3" t="b">
        <v>1</v>
      </c>
      <c r="C3" s="30" t="s">
        <v>60</v>
      </c>
    </row>
    <row r="4" spans="1:3">
      <c r="A4" s="28" t="s">
        <v>57</v>
      </c>
      <c r="B4" t="b">
        <v>1</v>
      </c>
      <c r="C4" s="30" t="s">
        <v>61</v>
      </c>
    </row>
    <row r="5" spans="1:3">
      <c r="A5" s="28" t="s">
        <v>58</v>
      </c>
      <c r="B5" t="b">
        <v>1</v>
      </c>
      <c r="C5" s="31" t="s">
        <v>62</v>
      </c>
    </row>
    <row r="6" spans="1:3">
      <c r="A6" s="28" t="s">
        <v>63</v>
      </c>
      <c r="B6" t="b">
        <v>1</v>
      </c>
      <c r="C6" s="31" t="s">
        <v>64</v>
      </c>
    </row>
    <row r="7" spans="1:3">
      <c r="A7" s="28" t="s">
        <v>112</v>
      </c>
      <c r="B7" t="b">
        <v>1</v>
      </c>
      <c r="C7" s="31" t="s">
        <v>113</v>
      </c>
    </row>
    <row r="8" spans="1:3">
      <c r="A8" s="28" t="s">
        <v>65</v>
      </c>
      <c r="B8" t="b">
        <v>1</v>
      </c>
      <c r="C8" s="31" t="s">
        <v>66</v>
      </c>
    </row>
    <row r="9" spans="1:3">
      <c r="A9" s="28" t="s">
        <v>117</v>
      </c>
      <c r="B9" t="b">
        <v>1</v>
      </c>
      <c r="C9" s="31" t="s">
        <v>118</v>
      </c>
    </row>
    <row r="10" spans="1:3">
      <c r="A10" s="28" t="s">
        <v>67</v>
      </c>
      <c r="B10" s="38" t="b">
        <v>1</v>
      </c>
      <c r="C10" s="31" t="s">
        <v>68</v>
      </c>
    </row>
    <row r="11" spans="1:3">
      <c r="A11" s="28" t="s">
        <v>69</v>
      </c>
      <c r="B11" s="39" t="b">
        <v>1</v>
      </c>
      <c r="C11" s="31" t="s">
        <v>70</v>
      </c>
    </row>
    <row r="12" spans="1:3">
      <c r="A12" s="28" t="s">
        <v>71</v>
      </c>
      <c r="B12" s="39" t="b">
        <v>1</v>
      </c>
      <c r="C12" s="31" t="s">
        <v>72</v>
      </c>
    </row>
    <row r="13" spans="1:3">
      <c r="A13" s="28" t="s">
        <v>73</v>
      </c>
      <c r="B13" s="39" t="b">
        <v>1</v>
      </c>
      <c r="C13" s="31" t="s">
        <v>74</v>
      </c>
    </row>
    <row r="14" spans="1:3">
      <c r="A14" s="28" t="s">
        <v>75</v>
      </c>
      <c r="B14" s="40" t="b">
        <v>1</v>
      </c>
      <c r="C14" s="31" t="s">
        <v>72</v>
      </c>
    </row>
    <row r="15" spans="1:3">
      <c r="A15" s="28" t="s">
        <v>76</v>
      </c>
      <c r="B15" t="b">
        <v>1</v>
      </c>
      <c r="C15" s="31" t="s">
        <v>77</v>
      </c>
    </row>
    <row r="16" spans="1:3">
      <c r="A16" s="28" t="s">
        <v>78</v>
      </c>
      <c r="B16" t="b">
        <v>1</v>
      </c>
      <c r="C16" s="31" t="s">
        <v>79</v>
      </c>
    </row>
    <row r="17" spans="1:3">
      <c r="A17" s="28" t="s">
        <v>119</v>
      </c>
      <c r="B17" t="b">
        <v>1</v>
      </c>
      <c r="C17" s="31" t="s">
        <v>120</v>
      </c>
    </row>
    <row r="18" spans="1:3">
      <c r="A18" s="28" t="s">
        <v>80</v>
      </c>
      <c r="B18" t="b">
        <v>1</v>
      </c>
      <c r="C18" s="31" t="s">
        <v>81</v>
      </c>
    </row>
    <row r="19" spans="1:3">
      <c r="A19" s="28" t="s">
        <v>56</v>
      </c>
      <c r="B19" t="b">
        <v>1</v>
      </c>
      <c r="C19" s="31" t="s">
        <v>82</v>
      </c>
    </row>
    <row r="20" spans="1:3">
      <c r="A20" s="28" t="s">
        <v>83</v>
      </c>
      <c r="B20" t="b">
        <v>1</v>
      </c>
      <c r="C20" s="31" t="s">
        <v>84</v>
      </c>
    </row>
    <row r="21" spans="1:3">
      <c r="A21" s="28" t="s">
        <v>85</v>
      </c>
      <c r="B21" t="b">
        <v>1</v>
      </c>
      <c r="C21" s="31" t="s">
        <v>86</v>
      </c>
    </row>
    <row r="22" spans="1:3">
      <c r="A22" s="28" t="s">
        <v>87</v>
      </c>
      <c r="B22" t="b">
        <v>1</v>
      </c>
      <c r="C22" s="31" t="s">
        <v>88</v>
      </c>
    </row>
    <row r="23" spans="1:3">
      <c r="A23" s="28" t="s">
        <v>89</v>
      </c>
      <c r="B23" t="b">
        <v>1</v>
      </c>
      <c r="C23" s="31" t="s">
        <v>90</v>
      </c>
    </row>
    <row r="24" spans="1:3">
      <c r="A24" s="28" t="s">
        <v>91</v>
      </c>
      <c r="B24" t="b">
        <v>1</v>
      </c>
      <c r="C24" s="31" t="s">
        <v>92</v>
      </c>
    </row>
    <row r="25" spans="1:3">
      <c r="A25" s="28" t="s">
        <v>93</v>
      </c>
      <c r="B25" t="b">
        <v>1</v>
      </c>
      <c r="C25" s="31" t="s">
        <v>94</v>
      </c>
    </row>
    <row r="26" spans="1:3">
      <c r="A26" s="28" t="s">
        <v>95</v>
      </c>
      <c r="B26" t="b">
        <v>1</v>
      </c>
      <c r="C26" s="31" t="s">
        <v>96</v>
      </c>
    </row>
    <row r="27" spans="1:3">
      <c r="A27" s="28" t="s">
        <v>97</v>
      </c>
      <c r="B27" t="b">
        <v>1</v>
      </c>
      <c r="C27" s="31" t="s">
        <v>98</v>
      </c>
    </row>
    <row r="28" spans="1:3">
      <c r="A28" s="28" t="s">
        <v>99</v>
      </c>
      <c r="B28" t="b">
        <v>1</v>
      </c>
      <c r="C28" s="31" t="s">
        <v>100</v>
      </c>
    </row>
    <row r="29" spans="1:3">
      <c r="A29" s="28" t="s">
        <v>101</v>
      </c>
      <c r="B29" t="b">
        <v>1</v>
      </c>
      <c r="C29" s="31" t="s">
        <v>102</v>
      </c>
    </row>
    <row r="30" spans="1:3">
      <c r="A30" s="28" t="s">
        <v>103</v>
      </c>
      <c r="B30" t="b">
        <v>1</v>
      </c>
      <c r="C30" s="31" t="s">
        <v>104</v>
      </c>
    </row>
    <row r="31" spans="1:3">
      <c r="A31" s="28" t="s">
        <v>105</v>
      </c>
      <c r="B31" t="b">
        <v>1</v>
      </c>
      <c r="C31" s="31" t="s">
        <v>104</v>
      </c>
    </row>
    <row r="32" spans="1:3">
      <c r="A32" s="28" t="s">
        <v>106</v>
      </c>
      <c r="B32" t="b">
        <v>1</v>
      </c>
      <c r="C32" s="31" t="s">
        <v>107</v>
      </c>
    </row>
    <row r="33" spans="1:3">
      <c r="A33" s="28" t="s">
        <v>108</v>
      </c>
      <c r="B33" t="b">
        <v>1</v>
      </c>
      <c r="C33" s="31" t="s">
        <v>109</v>
      </c>
    </row>
  </sheetData>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John</cp:lastModifiedBy>
  <dcterms:created xsi:type="dcterms:W3CDTF">2019-11-05T07:30:33Z</dcterms:created>
  <dcterms:modified xsi:type="dcterms:W3CDTF">2021-04-01T14:17:32Z</dcterms:modified>
</cp:coreProperties>
</file>