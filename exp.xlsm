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512438\Dropbox\Michael\Work-Uni-Coding\AFO\AFO\"/>
    </mc:Choice>
  </mc:AlternateContent>
  <xr:revisionPtr revIDLastSave="0" documentId="13_ncr:1_{812E5BC6-34B7-4982-A9AD-E59027994903}" xr6:coauthVersionLast="45" xr6:coauthVersionMax="46" xr10:uidLastSave="{00000000-0000-0000-0000-000000000000}"/>
  <bookViews>
    <workbookView xWindow="-110" yWindow="-110" windowWidth="19420" windowHeight="10420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Sheet1!$F$4:$BH$4</definedName>
    <definedName name="ExpData">Sheet1!$B$5:$BI$46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5" i="1" l="1"/>
  <c r="K35" i="1"/>
  <c r="L35" i="1"/>
  <c r="J36" i="1"/>
  <c r="K36" i="1"/>
  <c r="L36" i="1"/>
  <c r="J37" i="1"/>
  <c r="K37" i="1"/>
  <c r="L37" i="1"/>
  <c r="J38" i="1"/>
  <c r="K38" i="1"/>
  <c r="L38" i="1"/>
  <c r="J39" i="1"/>
  <c r="K39" i="1"/>
  <c r="L39" i="1"/>
  <c r="J40" i="1"/>
  <c r="K40" i="1"/>
  <c r="L40" i="1"/>
  <c r="J41" i="1"/>
  <c r="K41" i="1"/>
  <c r="L41" i="1"/>
  <c r="J42" i="1"/>
  <c r="K42" i="1"/>
  <c r="L42" i="1"/>
  <c r="J43" i="1"/>
  <c r="K43" i="1"/>
  <c r="L43" i="1"/>
  <c r="J6" i="1"/>
  <c r="K6" i="1"/>
  <c r="L6" i="1"/>
  <c r="L5" i="1" a="1"/>
  <c r="L5" i="1" s="1"/>
  <c r="K5" i="1" a="1"/>
  <c r="K5" i="1" s="1"/>
  <c r="J5" i="1" a="1"/>
  <c r="J5" i="1" s="1"/>
  <c r="J46" i="1" l="1"/>
  <c r="K46" i="1"/>
  <c r="L46" i="1"/>
  <c r="K30" i="1" l="1"/>
  <c r="K22" i="1"/>
  <c r="K14" i="1"/>
  <c r="K13" i="1"/>
  <c r="K18" i="1"/>
  <c r="K27" i="1"/>
  <c r="K19" i="1"/>
  <c r="K11" i="1"/>
  <c r="K31" i="1"/>
  <c r="K23" i="1"/>
  <c r="K7" i="1"/>
  <c r="K28" i="1"/>
  <c r="K20" i="1"/>
  <c r="K12" i="1"/>
  <c r="K32" i="1"/>
  <c r="K24" i="1"/>
  <c r="K16" i="1"/>
  <c r="K8" i="1"/>
  <c r="K29" i="1"/>
  <c r="K21" i="1"/>
  <c r="K15" i="1"/>
  <c r="K45" i="1"/>
  <c r="K34" i="1"/>
  <c r="K26" i="1"/>
  <c r="K10" i="1"/>
  <c r="K44" i="1"/>
  <c r="K33" i="1"/>
  <c r="K25" i="1"/>
  <c r="K17" i="1"/>
  <c r="K9" i="1"/>
  <c r="L27" i="1"/>
  <c r="L19" i="1"/>
  <c r="L11" i="1"/>
  <c r="L20" i="1"/>
  <c r="L32" i="1"/>
  <c r="L24" i="1"/>
  <c r="L16" i="1"/>
  <c r="L8" i="1"/>
  <c r="L23" i="1"/>
  <c r="L28" i="1"/>
  <c r="L29" i="1"/>
  <c r="L21" i="1"/>
  <c r="L13" i="1"/>
  <c r="L18" i="1"/>
  <c r="L45" i="1"/>
  <c r="L34" i="1"/>
  <c r="L26" i="1"/>
  <c r="L10" i="1"/>
  <c r="L15" i="1"/>
  <c r="L7" i="1"/>
  <c r="L44" i="1"/>
  <c r="L31" i="1"/>
  <c r="L12" i="1"/>
  <c r="L33" i="1"/>
  <c r="L25" i="1"/>
  <c r="L17" i="1"/>
  <c r="L9" i="1"/>
  <c r="L30" i="1"/>
  <c r="L22" i="1"/>
  <c r="L14" i="1"/>
  <c r="J44" i="1"/>
  <c r="J33" i="1"/>
  <c r="J25" i="1"/>
  <c r="J17" i="1"/>
  <c r="J9" i="1"/>
  <c r="J8" i="1"/>
  <c r="J30" i="1"/>
  <c r="J22" i="1"/>
  <c r="J14" i="1"/>
  <c r="J16" i="1"/>
  <c r="J13" i="1"/>
  <c r="J45" i="1"/>
  <c r="J34" i="1"/>
  <c r="J18" i="1"/>
  <c r="J27" i="1"/>
  <c r="J19" i="1"/>
  <c r="J11" i="1"/>
  <c r="J32" i="1"/>
  <c r="J24" i="1"/>
  <c r="J26" i="1"/>
  <c r="J10" i="1"/>
  <c r="J31" i="1"/>
  <c r="J23" i="1"/>
  <c r="J15" i="1"/>
  <c r="J7" i="1"/>
  <c r="J29" i="1"/>
  <c r="J21" i="1"/>
  <c r="J28" i="1"/>
  <c r="J20" i="1"/>
  <c r="J12" i="1"/>
  <c r="H5" i="1" l="1" a="1"/>
  <c r="H5" i="1" s="1"/>
  <c r="I5" i="1" a="1"/>
  <c r="I5" i="1" s="1"/>
  <c r="M5" i="1" a="1"/>
  <c r="M5" i="1"/>
  <c r="N5" i="1" a="1"/>
  <c r="N5" i="1" s="1"/>
  <c r="O5" i="1" a="1"/>
  <c r="O5" i="1" s="1"/>
  <c r="P5" i="1" a="1"/>
  <c r="P5" i="1" s="1"/>
  <c r="Q5" i="1" a="1"/>
  <c r="Q5" i="1"/>
  <c r="R5" i="1" a="1"/>
  <c r="R5" i="1" s="1"/>
  <c r="S5" i="1" a="1"/>
  <c r="S5" i="1" s="1"/>
  <c r="T5" i="1" a="1"/>
  <c r="T5" i="1" s="1"/>
  <c r="U5" i="1" a="1"/>
  <c r="U5" i="1"/>
  <c r="V5" i="1" a="1"/>
  <c r="V5" i="1" s="1"/>
  <c r="W5" i="1" a="1"/>
  <c r="W5" i="1" s="1"/>
  <c r="X5" i="1" a="1"/>
  <c r="X5" i="1" s="1"/>
  <c r="Y5" i="1" a="1"/>
  <c r="Y5" i="1"/>
  <c r="Z5" i="1" a="1"/>
  <c r="Z5" i="1" s="1"/>
  <c r="AA5" i="1" a="1"/>
  <c r="AA5" i="1" s="1"/>
  <c r="AB5" i="1" a="1"/>
  <c r="AB5" i="1" s="1"/>
  <c r="AC5" i="1" a="1"/>
  <c r="AC5" i="1"/>
  <c r="AD5" i="1" a="1"/>
  <c r="AD5" i="1" s="1"/>
  <c r="AE5" i="1" a="1"/>
  <c r="AE5" i="1" s="1"/>
  <c r="AF5" i="1" a="1"/>
  <c r="AF5" i="1" s="1"/>
  <c r="AG5" i="1" a="1"/>
  <c r="AG5" i="1"/>
  <c r="AH5" i="1" a="1"/>
  <c r="AH5" i="1" s="1"/>
  <c r="AI5" i="1" a="1"/>
  <c r="AI5" i="1" s="1"/>
  <c r="AJ5" i="1" a="1"/>
  <c r="AJ5" i="1" s="1"/>
  <c r="AK5" i="1" a="1"/>
  <c r="AK5" i="1"/>
  <c r="AL5" i="1" a="1"/>
  <c r="AL5" i="1" s="1"/>
  <c r="AM5" i="1" a="1"/>
  <c r="AM5" i="1" s="1"/>
  <c r="AN5" i="1" a="1"/>
  <c r="AN5" i="1" s="1"/>
  <c r="AO5" i="1" a="1"/>
  <c r="AO5" i="1"/>
  <c r="AP5" i="1" a="1"/>
  <c r="AP5" i="1" s="1"/>
  <c r="AQ5" i="1" a="1"/>
  <c r="AQ5" i="1" s="1"/>
  <c r="AR5" i="1" a="1"/>
  <c r="AR5" i="1" s="1"/>
  <c r="AS5" i="1" a="1"/>
  <c r="AS5" i="1"/>
  <c r="AT5" i="1" a="1"/>
  <c r="AT5" i="1" s="1"/>
  <c r="AU5" i="1" a="1"/>
  <c r="AU5" i="1" s="1"/>
  <c r="AV5" i="1" a="1"/>
  <c r="AV5" i="1" s="1"/>
  <c r="AW5" i="1" a="1"/>
  <c r="AW5" i="1"/>
  <c r="AX5" i="1" a="1"/>
  <c r="AX5" i="1" s="1"/>
  <c r="AY5" i="1" a="1"/>
  <c r="AY5" i="1" s="1"/>
  <c r="AZ5" i="1" a="1"/>
  <c r="AZ5" i="1" s="1"/>
  <c r="BA5" i="1" a="1"/>
  <c r="BA5" i="1" s="1"/>
  <c r="BB5" i="1" a="1"/>
  <c r="BB5" i="1" s="1"/>
  <c r="BC5" i="1" a="1"/>
  <c r="BC5" i="1" s="1"/>
  <c r="BD5" i="1" a="1"/>
  <c r="BD5" i="1" s="1"/>
  <c r="BE5" i="1" a="1"/>
  <c r="BE5" i="1" s="1"/>
  <c r="BF5" i="1" a="1"/>
  <c r="BF5" i="1" s="1"/>
  <c r="BG5" i="1" a="1"/>
  <c r="BG5" i="1" s="1"/>
  <c r="BH5" i="1" a="1"/>
  <c r="BH5" i="1" s="1"/>
  <c r="G5" i="1" a="1"/>
  <c r="G5" i="1" s="1"/>
  <c r="BG46" i="1" l="1"/>
  <c r="BG6" i="1"/>
  <c r="BC46" i="1"/>
  <c r="BC6" i="1"/>
  <c r="BB46" i="1"/>
  <c r="BB6" i="1"/>
  <c r="BA46" i="1"/>
  <c r="BA6" i="1"/>
  <c r="AZ46" i="1"/>
  <c r="AZ6" i="1"/>
  <c r="AM46" i="1"/>
  <c r="AM6" i="1"/>
  <c r="AK46" i="1"/>
  <c r="AK6" i="1"/>
  <c r="AL46" i="1"/>
  <c r="AL6" i="1"/>
  <c r="U46" i="1"/>
  <c r="U6" i="1"/>
  <c r="X46" i="1"/>
  <c r="X6" i="1"/>
  <c r="AA46" i="1"/>
  <c r="AA6" i="1"/>
  <c r="R46" i="1"/>
  <c r="R6" i="1"/>
  <c r="AJ46" i="1"/>
  <c r="AJ6" i="1"/>
  <c r="I45" i="1"/>
  <c r="H45" i="1"/>
  <c r="I44" i="1"/>
  <c r="H44" i="1"/>
  <c r="I43" i="1"/>
  <c r="H43" i="1"/>
  <c r="I42" i="1"/>
  <c r="H42" i="1"/>
  <c r="I41" i="1"/>
  <c r="H41" i="1"/>
  <c r="I39" i="1"/>
  <c r="H39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B7" i="1"/>
  <c r="B46" i="1"/>
  <c r="E4" i="1"/>
  <c r="D4" i="1"/>
  <c r="BG38" i="1" l="1"/>
  <c r="BG30" i="1"/>
  <c r="BG22" i="1"/>
  <c r="BG14" i="1"/>
  <c r="BG27" i="1"/>
  <c r="BG32" i="1"/>
  <c r="BG7" i="1"/>
  <c r="BG45" i="1"/>
  <c r="BG37" i="1"/>
  <c r="BG29" i="1"/>
  <c r="BG21" i="1"/>
  <c r="BG13" i="1"/>
  <c r="BG11" i="1"/>
  <c r="BG40" i="1"/>
  <c r="BG8" i="1"/>
  <c r="BG44" i="1"/>
  <c r="BG36" i="1"/>
  <c r="BG28" i="1"/>
  <c r="BG20" i="1"/>
  <c r="BG12" i="1"/>
  <c r="BG43" i="1"/>
  <c r="BG35" i="1"/>
  <c r="BG19" i="1"/>
  <c r="BG15" i="1"/>
  <c r="BG42" i="1"/>
  <c r="BG34" i="1"/>
  <c r="BG26" i="1"/>
  <c r="BG18" i="1"/>
  <c r="BG10" i="1"/>
  <c r="BG25" i="1"/>
  <c r="BG9" i="1"/>
  <c r="BG24" i="1"/>
  <c r="BG41" i="1"/>
  <c r="BG33" i="1"/>
  <c r="BG17" i="1"/>
  <c r="BG16" i="1"/>
  <c r="BG39" i="1"/>
  <c r="BG31" i="1"/>
  <c r="BG23" i="1"/>
  <c r="BA28" i="1"/>
  <c r="BA30" i="1"/>
  <c r="BA31" i="1"/>
  <c r="BA29" i="1"/>
  <c r="BB29" i="1"/>
  <c r="BB28" i="1"/>
  <c r="BB30" i="1"/>
  <c r="BB31" i="1"/>
  <c r="AZ28" i="1"/>
  <c r="AZ30" i="1"/>
  <c r="AZ29" i="1"/>
  <c r="AZ31" i="1"/>
  <c r="BC28" i="1"/>
  <c r="BC30" i="1"/>
  <c r="BC29" i="1"/>
  <c r="BC31" i="1"/>
  <c r="BC38" i="1"/>
  <c r="BC20" i="1"/>
  <c r="BC12" i="1"/>
  <c r="BC45" i="1"/>
  <c r="BC37" i="1"/>
  <c r="BC27" i="1"/>
  <c r="BC19" i="1"/>
  <c r="BC11" i="1"/>
  <c r="BC22" i="1"/>
  <c r="BC44" i="1"/>
  <c r="BC36" i="1"/>
  <c r="BC26" i="1"/>
  <c r="BC18" i="1"/>
  <c r="BC10" i="1"/>
  <c r="BC32" i="1"/>
  <c r="BC43" i="1"/>
  <c r="BC35" i="1"/>
  <c r="BC25" i="1"/>
  <c r="BC17" i="1"/>
  <c r="BC9" i="1"/>
  <c r="BC13" i="1"/>
  <c r="BC42" i="1"/>
  <c r="BC34" i="1"/>
  <c r="BC24" i="1"/>
  <c r="BC16" i="1"/>
  <c r="BC8" i="1"/>
  <c r="BC15" i="1"/>
  <c r="BC40" i="1"/>
  <c r="BC14" i="1"/>
  <c r="BC41" i="1"/>
  <c r="BC33" i="1"/>
  <c r="BC23" i="1"/>
  <c r="BC7" i="1"/>
  <c r="BC39" i="1"/>
  <c r="BC21" i="1"/>
  <c r="BB38" i="1"/>
  <c r="BB20" i="1"/>
  <c r="BB12" i="1"/>
  <c r="BB44" i="1"/>
  <c r="BB36" i="1"/>
  <c r="BB26" i="1"/>
  <c r="BB18" i="1"/>
  <c r="BB10" i="1"/>
  <c r="BB34" i="1"/>
  <c r="BB8" i="1"/>
  <c r="BB14" i="1"/>
  <c r="BB45" i="1"/>
  <c r="BB43" i="1"/>
  <c r="BB35" i="1"/>
  <c r="BB25" i="1"/>
  <c r="BB17" i="1"/>
  <c r="BB9" i="1"/>
  <c r="BB16" i="1"/>
  <c r="BB22" i="1"/>
  <c r="BB19" i="1"/>
  <c r="BB42" i="1"/>
  <c r="BB24" i="1"/>
  <c r="BB37" i="1"/>
  <c r="BB11" i="1"/>
  <c r="BB41" i="1"/>
  <c r="BB33" i="1"/>
  <c r="BB23" i="1"/>
  <c r="BB15" i="1"/>
  <c r="BB7" i="1"/>
  <c r="BB40" i="1"/>
  <c r="BB32" i="1"/>
  <c r="BB39" i="1"/>
  <c r="BB21" i="1"/>
  <c r="BB13" i="1"/>
  <c r="BB27" i="1"/>
  <c r="BA38" i="1"/>
  <c r="BA20" i="1"/>
  <c r="BA12" i="1"/>
  <c r="BA45" i="1"/>
  <c r="BA37" i="1"/>
  <c r="BA27" i="1"/>
  <c r="BA19" i="1"/>
  <c r="BA11" i="1"/>
  <c r="BA25" i="1"/>
  <c r="BA44" i="1"/>
  <c r="BA36" i="1"/>
  <c r="BA26" i="1"/>
  <c r="BA18" i="1"/>
  <c r="BA10" i="1"/>
  <c r="BA35" i="1"/>
  <c r="BA9" i="1"/>
  <c r="BA43" i="1"/>
  <c r="BA17" i="1"/>
  <c r="BA42" i="1"/>
  <c r="BA34" i="1"/>
  <c r="BA24" i="1"/>
  <c r="BA16" i="1"/>
  <c r="BA8" i="1"/>
  <c r="BA40" i="1"/>
  <c r="BA22" i="1"/>
  <c r="BA21" i="1"/>
  <c r="BA41" i="1"/>
  <c r="BA33" i="1"/>
  <c r="BA23" i="1"/>
  <c r="BA15" i="1"/>
  <c r="BA7" i="1"/>
  <c r="BA32" i="1"/>
  <c r="BA14" i="1"/>
  <c r="BA13" i="1"/>
  <c r="BA39" i="1"/>
  <c r="AZ38" i="1"/>
  <c r="AZ20" i="1"/>
  <c r="AZ12" i="1"/>
  <c r="AZ45" i="1"/>
  <c r="AZ37" i="1"/>
  <c r="AZ27" i="1"/>
  <c r="AZ19" i="1"/>
  <c r="AZ11" i="1"/>
  <c r="AZ18" i="1"/>
  <c r="AZ35" i="1"/>
  <c r="AZ25" i="1"/>
  <c r="AZ17" i="1"/>
  <c r="AZ33" i="1"/>
  <c r="AZ7" i="1"/>
  <c r="AZ32" i="1"/>
  <c r="AZ44" i="1"/>
  <c r="AZ36" i="1"/>
  <c r="AZ26" i="1"/>
  <c r="AZ10" i="1"/>
  <c r="AZ9" i="1"/>
  <c r="AZ23" i="1"/>
  <c r="AZ22" i="1"/>
  <c r="AZ13" i="1"/>
  <c r="AZ43" i="1"/>
  <c r="AZ42" i="1"/>
  <c r="AZ34" i="1"/>
  <c r="AZ24" i="1"/>
  <c r="AZ16" i="1"/>
  <c r="AZ8" i="1"/>
  <c r="AZ15" i="1"/>
  <c r="AZ40" i="1"/>
  <c r="AZ41" i="1"/>
  <c r="AZ14" i="1"/>
  <c r="AZ39" i="1"/>
  <c r="AZ21" i="1"/>
  <c r="AM38" i="1"/>
  <c r="AM30" i="1"/>
  <c r="AM22" i="1"/>
  <c r="AM14" i="1"/>
  <c r="AM12" i="1"/>
  <c r="AM35" i="1"/>
  <c r="AM19" i="1"/>
  <c r="AM11" i="1"/>
  <c r="AM32" i="1"/>
  <c r="AM16" i="1"/>
  <c r="AM31" i="1"/>
  <c r="AM45" i="1"/>
  <c r="AM37" i="1"/>
  <c r="AM29" i="1"/>
  <c r="AM21" i="1"/>
  <c r="AM13" i="1"/>
  <c r="AM27" i="1"/>
  <c r="AM40" i="1"/>
  <c r="AM8" i="1"/>
  <c r="AM15" i="1"/>
  <c r="AM44" i="1"/>
  <c r="AM36" i="1"/>
  <c r="AM28" i="1"/>
  <c r="AM20" i="1"/>
  <c r="AM43" i="1"/>
  <c r="AM7" i="1"/>
  <c r="AM42" i="1"/>
  <c r="AM34" i="1"/>
  <c r="AM26" i="1"/>
  <c r="AM18" i="1"/>
  <c r="AM10" i="1"/>
  <c r="AM41" i="1"/>
  <c r="AM33" i="1"/>
  <c r="AM25" i="1"/>
  <c r="AM17" i="1"/>
  <c r="AM9" i="1"/>
  <c r="AM24" i="1"/>
  <c r="AM39" i="1"/>
  <c r="AM23" i="1"/>
  <c r="AK38" i="1"/>
  <c r="AK30" i="1"/>
  <c r="AK22" i="1"/>
  <c r="AK14" i="1"/>
  <c r="AK11" i="1"/>
  <c r="AK8" i="1"/>
  <c r="AK45" i="1"/>
  <c r="AK37" i="1"/>
  <c r="AK29" i="1"/>
  <c r="AK21" i="1"/>
  <c r="AK13" i="1"/>
  <c r="AK27" i="1"/>
  <c r="AK23" i="1"/>
  <c r="AK44" i="1"/>
  <c r="AK36" i="1"/>
  <c r="AK28" i="1"/>
  <c r="AK20" i="1"/>
  <c r="AK12" i="1"/>
  <c r="AK43" i="1"/>
  <c r="AK35" i="1"/>
  <c r="AK19" i="1"/>
  <c r="AK15" i="1"/>
  <c r="AK42" i="1"/>
  <c r="AK34" i="1"/>
  <c r="AK26" i="1"/>
  <c r="AK18" i="1"/>
  <c r="AK10" i="1"/>
  <c r="AK40" i="1"/>
  <c r="AK16" i="1"/>
  <c r="AK7" i="1"/>
  <c r="AK41" i="1"/>
  <c r="AK33" i="1"/>
  <c r="AK25" i="1"/>
  <c r="AK17" i="1"/>
  <c r="AK9" i="1"/>
  <c r="AK32" i="1"/>
  <c r="AK24" i="1"/>
  <c r="AK31" i="1"/>
  <c r="AK39" i="1"/>
  <c r="AL38" i="1"/>
  <c r="AL30" i="1"/>
  <c r="AL22" i="1"/>
  <c r="AL14" i="1"/>
  <c r="AL27" i="1"/>
  <c r="AL19" i="1"/>
  <c r="AL17" i="1"/>
  <c r="AL32" i="1"/>
  <c r="AL23" i="1"/>
  <c r="AL45" i="1"/>
  <c r="AL37" i="1"/>
  <c r="AL29" i="1"/>
  <c r="AL21" i="1"/>
  <c r="AL13" i="1"/>
  <c r="AL35" i="1"/>
  <c r="AL11" i="1"/>
  <c r="AL40" i="1"/>
  <c r="AL8" i="1"/>
  <c r="AL15" i="1"/>
  <c r="AL44" i="1"/>
  <c r="AL36" i="1"/>
  <c r="AL28" i="1"/>
  <c r="AL20" i="1"/>
  <c r="AL12" i="1"/>
  <c r="AL43" i="1"/>
  <c r="AL16" i="1"/>
  <c r="AL42" i="1"/>
  <c r="AL34" i="1"/>
  <c r="AL26" i="1"/>
  <c r="AL18" i="1"/>
  <c r="AL10" i="1"/>
  <c r="AL41" i="1"/>
  <c r="AL25" i="1"/>
  <c r="AL9" i="1"/>
  <c r="AL24" i="1"/>
  <c r="AL31" i="1"/>
  <c r="AL33" i="1"/>
  <c r="AL39" i="1"/>
  <c r="AL7" i="1"/>
  <c r="AA44" i="1"/>
  <c r="AA45" i="1"/>
  <c r="AA42" i="1"/>
  <c r="AA43" i="1"/>
  <c r="X42" i="1"/>
  <c r="X43" i="1"/>
  <c r="X44" i="1"/>
  <c r="X45" i="1"/>
  <c r="U43" i="1"/>
  <c r="U45" i="1"/>
  <c r="U42" i="1"/>
  <c r="U44" i="1"/>
  <c r="U34" i="1"/>
  <c r="U26" i="1"/>
  <c r="U18" i="1"/>
  <c r="U10" i="1"/>
  <c r="U23" i="1"/>
  <c r="U29" i="1"/>
  <c r="U20" i="1"/>
  <c r="U41" i="1"/>
  <c r="U33" i="1"/>
  <c r="U25" i="1"/>
  <c r="U17" i="1"/>
  <c r="U9" i="1"/>
  <c r="U31" i="1"/>
  <c r="U11" i="1"/>
  <c r="U40" i="1"/>
  <c r="U32" i="1"/>
  <c r="U24" i="1"/>
  <c r="U16" i="1"/>
  <c r="U8" i="1"/>
  <c r="U15" i="1"/>
  <c r="U7" i="1"/>
  <c r="U13" i="1"/>
  <c r="U36" i="1"/>
  <c r="U39" i="1"/>
  <c r="U12" i="1"/>
  <c r="U38" i="1"/>
  <c r="U30" i="1"/>
  <c r="U22" i="1"/>
  <c r="U14" i="1"/>
  <c r="U21" i="1"/>
  <c r="U28" i="1"/>
  <c r="U37" i="1"/>
  <c r="U35" i="1"/>
  <c r="U27" i="1"/>
  <c r="U19" i="1"/>
  <c r="X34" i="1"/>
  <c r="X26" i="1"/>
  <c r="X18" i="1"/>
  <c r="X10" i="1"/>
  <c r="X15" i="1"/>
  <c r="X19" i="1"/>
  <c r="X41" i="1"/>
  <c r="X33" i="1"/>
  <c r="X25" i="1"/>
  <c r="X17" i="1"/>
  <c r="X9" i="1"/>
  <c r="X7" i="1"/>
  <c r="X35" i="1"/>
  <c r="X40" i="1"/>
  <c r="X32" i="1"/>
  <c r="X24" i="1"/>
  <c r="X16" i="1"/>
  <c r="X8" i="1"/>
  <c r="X23" i="1"/>
  <c r="X11" i="1"/>
  <c r="X39" i="1"/>
  <c r="X31" i="1"/>
  <c r="X38" i="1"/>
  <c r="X30" i="1"/>
  <c r="X22" i="1"/>
  <c r="X14" i="1"/>
  <c r="X21" i="1"/>
  <c r="X37" i="1"/>
  <c r="X29" i="1"/>
  <c r="X13" i="1"/>
  <c r="X27" i="1"/>
  <c r="X36" i="1"/>
  <c r="X28" i="1"/>
  <c r="X20" i="1"/>
  <c r="X12" i="1"/>
  <c r="AA34" i="1"/>
  <c r="AA26" i="1"/>
  <c r="AA18" i="1"/>
  <c r="AA10" i="1"/>
  <c r="AA39" i="1"/>
  <c r="AA7" i="1"/>
  <c r="AA29" i="1"/>
  <c r="AA41" i="1"/>
  <c r="AA33" i="1"/>
  <c r="AA25" i="1"/>
  <c r="AA17" i="1"/>
  <c r="AA9" i="1"/>
  <c r="AA24" i="1"/>
  <c r="AA8" i="1"/>
  <c r="AA23" i="1"/>
  <c r="AA30" i="1"/>
  <c r="AA21" i="1"/>
  <c r="AA27" i="1"/>
  <c r="AA40" i="1"/>
  <c r="AA32" i="1"/>
  <c r="AA16" i="1"/>
  <c r="AA15" i="1"/>
  <c r="AA22" i="1"/>
  <c r="AA14" i="1"/>
  <c r="AA37" i="1"/>
  <c r="AA35" i="1"/>
  <c r="AA11" i="1"/>
  <c r="AA31" i="1"/>
  <c r="AA19" i="1"/>
  <c r="AA38" i="1"/>
  <c r="AA13" i="1"/>
  <c r="AA36" i="1"/>
  <c r="AA28" i="1"/>
  <c r="AA20" i="1"/>
  <c r="AA12" i="1"/>
  <c r="R43" i="1"/>
  <c r="R44" i="1"/>
  <c r="R45" i="1"/>
  <c r="R42" i="1"/>
  <c r="R34" i="1"/>
  <c r="R26" i="1"/>
  <c r="R18" i="1"/>
  <c r="R10" i="1"/>
  <c r="R8" i="1"/>
  <c r="R31" i="1"/>
  <c r="R29" i="1"/>
  <c r="R20" i="1"/>
  <c r="R11" i="1"/>
  <c r="R41" i="1"/>
  <c r="R33" i="1"/>
  <c r="R25" i="1"/>
  <c r="R17" i="1"/>
  <c r="R9" i="1"/>
  <c r="R16" i="1"/>
  <c r="R23" i="1"/>
  <c r="R7" i="1"/>
  <c r="R14" i="1"/>
  <c r="R13" i="1"/>
  <c r="R28" i="1"/>
  <c r="R19" i="1"/>
  <c r="R40" i="1"/>
  <c r="R32" i="1"/>
  <c r="R24" i="1"/>
  <c r="R15" i="1"/>
  <c r="R22" i="1"/>
  <c r="R21" i="1"/>
  <c r="R36" i="1"/>
  <c r="R39" i="1"/>
  <c r="R27" i="1"/>
  <c r="R38" i="1"/>
  <c r="R30" i="1"/>
  <c r="R12" i="1"/>
  <c r="R37" i="1"/>
  <c r="R35" i="1"/>
  <c r="AJ37" i="1"/>
  <c r="AJ45" i="1"/>
  <c r="AJ44" i="1"/>
  <c r="AJ38" i="1"/>
  <c r="AJ43" i="1"/>
  <c r="AJ39" i="1"/>
  <c r="AJ40" i="1"/>
  <c r="AJ41" i="1"/>
  <c r="AJ42" i="1"/>
  <c r="AJ31" i="1"/>
  <c r="AJ23" i="1"/>
  <c r="AJ15" i="1"/>
  <c r="AJ7" i="1"/>
  <c r="AJ30" i="1"/>
  <c r="AJ22" i="1"/>
  <c r="AJ14" i="1"/>
  <c r="AJ29" i="1"/>
  <c r="AJ21" i="1"/>
  <c r="AJ28" i="1"/>
  <c r="AJ12" i="1"/>
  <c r="AJ19" i="1"/>
  <c r="AJ26" i="1"/>
  <c r="AJ10" i="1"/>
  <c r="AJ33" i="1"/>
  <c r="AJ24" i="1"/>
  <c r="AJ13" i="1"/>
  <c r="AJ20" i="1"/>
  <c r="AJ27" i="1"/>
  <c r="AJ11" i="1"/>
  <c r="AJ34" i="1"/>
  <c r="AJ18" i="1"/>
  <c r="AJ25" i="1"/>
  <c r="AJ9" i="1"/>
  <c r="AJ16" i="1"/>
  <c r="AJ36" i="1"/>
  <c r="AJ17" i="1"/>
  <c r="AJ8" i="1"/>
  <c r="AJ35" i="1"/>
  <c r="AJ32" i="1"/>
  <c r="C4" i="1"/>
  <c r="B43" i="1"/>
  <c r="B45" i="1"/>
  <c r="B44" i="1"/>
  <c r="B42" i="1"/>
  <c r="AC6" i="1"/>
  <c r="AC9" i="1" s="1"/>
  <c r="T46" i="1" l="1"/>
  <c r="T6" i="1"/>
  <c r="AC7" i="1"/>
  <c r="AC40" i="1"/>
  <c r="AC33" i="1"/>
  <c r="AC31" i="1"/>
  <c r="AC36" i="1"/>
  <c r="AC20" i="1"/>
  <c r="AC26" i="1"/>
  <c r="Z46" i="1"/>
  <c r="Z6" i="1"/>
  <c r="AC14" i="1"/>
  <c r="AC21" i="1"/>
  <c r="AC15" i="1"/>
  <c r="AC19" i="1"/>
  <c r="AC16" i="1"/>
  <c r="AC10" i="1"/>
  <c r="W46" i="1"/>
  <c r="W6" i="1"/>
  <c r="AC24" i="1"/>
  <c r="AC37" i="1"/>
  <c r="AC38" i="1"/>
  <c r="AC34" i="1"/>
  <c r="AC35" i="1"/>
  <c r="AC41" i="1"/>
  <c r="AC32" i="1"/>
  <c r="AC8" i="1"/>
  <c r="AC18" i="1"/>
  <c r="AC17" i="1"/>
  <c r="AC23" i="1"/>
  <c r="AC22" i="1"/>
  <c r="AC13" i="1"/>
  <c r="AC28" i="1"/>
  <c r="AC27" i="1"/>
  <c r="AC11" i="1"/>
  <c r="AC12" i="1"/>
  <c r="AC29" i="1"/>
  <c r="AC30" i="1"/>
  <c r="AC25" i="1"/>
  <c r="AC39" i="1"/>
  <c r="AC46" i="1"/>
  <c r="W8" i="1" l="1"/>
  <c r="W38" i="1"/>
  <c r="W12" i="1"/>
  <c r="W18" i="1"/>
  <c r="W23" i="1"/>
  <c r="W13" i="1"/>
  <c r="W32" i="1"/>
  <c r="W25" i="1"/>
  <c r="W37" i="1"/>
  <c r="W41" i="1"/>
  <c r="W28" i="1"/>
  <c r="W14" i="1"/>
  <c r="W16" i="1"/>
  <c r="W21" i="1"/>
  <c r="W20" i="1"/>
  <c r="W24" i="1"/>
  <c r="W29" i="1"/>
  <c r="W31" i="1"/>
  <c r="W9" i="1"/>
  <c r="W10" i="1"/>
  <c r="W35" i="1"/>
  <c r="W36" i="1"/>
  <c r="W30" i="1"/>
  <c r="W26" i="1"/>
  <c r="W33" i="1"/>
  <c r="W40" i="1"/>
  <c r="W17" i="1"/>
  <c r="W22" i="1"/>
  <c r="W27" i="1"/>
  <c r="W11" i="1"/>
  <c r="W15" i="1"/>
  <c r="W19" i="1"/>
  <c r="W39" i="1"/>
  <c r="W34" i="1"/>
  <c r="W7" i="1"/>
  <c r="T23" i="1"/>
  <c r="T38" i="1"/>
  <c r="T28" i="1"/>
  <c r="T27" i="1"/>
  <c r="T11" i="1"/>
  <c r="T12" i="1"/>
  <c r="T21" i="1"/>
  <c r="T16" i="1"/>
  <c r="T33" i="1"/>
  <c r="T32" i="1"/>
  <c r="T31" i="1"/>
  <c r="T26" i="1"/>
  <c r="T17" i="1"/>
  <c r="T22" i="1"/>
  <c r="T41" i="1"/>
  <c r="T9" i="1"/>
  <c r="T8" i="1"/>
  <c r="T20" i="1"/>
  <c r="T35" i="1"/>
  <c r="T10" i="1"/>
  <c r="T25" i="1"/>
  <c r="T36" i="1"/>
  <c r="T15" i="1"/>
  <c r="T13" i="1"/>
  <c r="T34" i="1"/>
  <c r="T39" i="1"/>
  <c r="T30" i="1"/>
  <c r="T19" i="1"/>
  <c r="T40" i="1"/>
  <c r="T7" i="1"/>
  <c r="T18" i="1"/>
  <c r="T14" i="1"/>
  <c r="T24" i="1"/>
  <c r="T29" i="1"/>
  <c r="T37" i="1"/>
  <c r="Z41" i="1"/>
  <c r="Z38" i="1"/>
  <c r="Z16" i="1"/>
  <c r="Z32" i="1"/>
  <c r="Z18" i="1"/>
  <c r="Z17" i="1"/>
  <c r="Z8" i="1"/>
  <c r="Z23" i="1"/>
  <c r="Z22" i="1"/>
  <c r="Z13" i="1"/>
  <c r="Z27" i="1"/>
  <c r="Z11" i="1"/>
  <c r="Z12" i="1"/>
  <c r="Z28" i="1"/>
  <c r="Z35" i="1"/>
  <c r="Z25" i="1"/>
  <c r="Z21" i="1"/>
  <c r="Z37" i="1"/>
  <c r="Z15" i="1"/>
  <c r="Z9" i="1"/>
  <c r="Z14" i="1"/>
  <c r="Z29" i="1"/>
  <c r="Z31" i="1"/>
  <c r="Z20" i="1"/>
  <c r="Z33" i="1"/>
  <c r="Z26" i="1"/>
  <c r="Z24" i="1"/>
  <c r="Z36" i="1"/>
  <c r="Z39" i="1"/>
  <c r="Z10" i="1"/>
  <c r="Z30" i="1"/>
  <c r="Z7" i="1"/>
  <c r="Z19" i="1"/>
  <c r="Z34" i="1"/>
  <c r="Z40" i="1"/>
  <c r="AI46" i="1" l="1"/>
  <c r="AI6" i="1"/>
  <c r="AH46" i="1"/>
  <c r="AH6" i="1"/>
  <c r="B41" i="1"/>
  <c r="AH30" i="1" l="1"/>
  <c r="AH39" i="1"/>
  <c r="AH38" i="1"/>
  <c r="AH14" i="1"/>
  <c r="AH29" i="1"/>
  <c r="AH36" i="1"/>
  <c r="AH8" i="1"/>
  <c r="AH7" i="1"/>
  <c r="AH13" i="1"/>
  <c r="AH9" i="1"/>
  <c r="AH32" i="1"/>
  <c r="AH31" i="1"/>
  <c r="AH20" i="1"/>
  <c r="AH35" i="1"/>
  <c r="AH34" i="1"/>
  <c r="AH28" i="1"/>
  <c r="AH12" i="1"/>
  <c r="AH16" i="1"/>
  <c r="AH21" i="1"/>
  <c r="AH22" i="1"/>
  <c r="AH25" i="1"/>
  <c r="AH15" i="1"/>
  <c r="AH24" i="1"/>
  <c r="AH33" i="1"/>
  <c r="AH19" i="1"/>
  <c r="AH27" i="1"/>
  <c r="AH18" i="1"/>
  <c r="AH26" i="1"/>
  <c r="AH23" i="1"/>
  <c r="AH11" i="1"/>
  <c r="AH17" i="1"/>
  <c r="AH10" i="1"/>
  <c r="AI25" i="1"/>
  <c r="AI38" i="1"/>
  <c r="AI36" i="1"/>
  <c r="AI34" i="1"/>
  <c r="AI28" i="1"/>
  <c r="AI29" i="1"/>
  <c r="AI24" i="1"/>
  <c r="AI12" i="1"/>
  <c r="AI8" i="1"/>
  <c r="AI7" i="1"/>
  <c r="AI35" i="1"/>
  <c r="AI18" i="1"/>
  <c r="AI9" i="1"/>
  <c r="AI23" i="1"/>
  <c r="AI13" i="1"/>
  <c r="AI19" i="1"/>
  <c r="AI14" i="1"/>
  <c r="AI39" i="1"/>
  <c r="AI30" i="1"/>
  <c r="AI32" i="1"/>
  <c r="AI26" i="1"/>
  <c r="AI11" i="1"/>
  <c r="AI17" i="1"/>
  <c r="AI10" i="1"/>
  <c r="AI15" i="1"/>
  <c r="AI33" i="1"/>
  <c r="AI31" i="1"/>
  <c r="AI27" i="1"/>
  <c r="AI22" i="1"/>
  <c r="AI16" i="1"/>
  <c r="AI21" i="1"/>
  <c r="AI20" i="1"/>
  <c r="B6" i="1"/>
  <c r="H46" i="1" l="1"/>
  <c r="AB46" i="1" l="1"/>
  <c r="AB6" i="1"/>
  <c r="Y46" i="1"/>
  <c r="Y6" i="1"/>
  <c r="V46" i="1"/>
  <c r="V6" i="1"/>
  <c r="V27" i="1" s="1"/>
  <c r="S46" i="1"/>
  <c r="S6" i="1"/>
  <c r="B38" i="1"/>
  <c r="S28" i="1" l="1"/>
  <c r="S22" i="1"/>
  <c r="S41" i="1"/>
  <c r="S27" i="1"/>
  <c r="S32" i="1"/>
  <c r="S17" i="1"/>
  <c r="S38" i="1"/>
  <c r="S19" i="1"/>
  <c r="S34" i="1"/>
  <c r="S23" i="1"/>
  <c r="S15" i="1"/>
  <c r="S12" i="1"/>
  <c r="S40" i="1"/>
  <c r="S29" i="1"/>
  <c r="S37" i="1"/>
  <c r="S25" i="1"/>
  <c r="S26" i="1"/>
  <c r="S35" i="1"/>
  <c r="S11" i="1"/>
  <c r="S24" i="1"/>
  <c r="S33" i="1"/>
  <c r="S13" i="1"/>
  <c r="S10" i="1"/>
  <c r="S18" i="1"/>
  <c r="S7" i="1"/>
  <c r="S36" i="1"/>
  <c r="S39" i="1"/>
  <c r="S21" i="1"/>
  <c r="S9" i="1"/>
  <c r="S20" i="1"/>
  <c r="S30" i="1"/>
  <c r="S8" i="1"/>
  <c r="S14" i="1"/>
  <c r="S31" i="1"/>
  <c r="S16" i="1"/>
  <c r="Y41" i="1"/>
  <c r="Y38" i="1"/>
  <c r="Y18" i="1"/>
  <c r="Y8" i="1"/>
  <c r="Y23" i="1"/>
  <c r="Y13" i="1"/>
  <c r="Y40" i="1"/>
  <c r="Y11" i="1"/>
  <c r="Y33" i="1"/>
  <c r="Y24" i="1"/>
  <c r="Y32" i="1"/>
  <c r="Y27" i="1"/>
  <c r="Y16" i="1"/>
  <c r="Y25" i="1"/>
  <c r="Y12" i="1"/>
  <c r="Y30" i="1"/>
  <c r="Y31" i="1"/>
  <c r="Y17" i="1"/>
  <c r="Y35" i="1"/>
  <c r="Y21" i="1"/>
  <c r="Y9" i="1"/>
  <c r="Y39" i="1"/>
  <c r="Y7" i="1"/>
  <c r="Y14" i="1"/>
  <c r="Y22" i="1"/>
  <c r="Y20" i="1"/>
  <c r="Y19" i="1"/>
  <c r="Y26" i="1"/>
  <c r="Y34" i="1"/>
  <c r="Y28" i="1"/>
  <c r="Y10" i="1"/>
  <c r="Y36" i="1"/>
  <c r="Y15" i="1"/>
  <c r="Y37" i="1"/>
  <c r="Y29" i="1"/>
  <c r="AB29" i="1"/>
  <c r="AB41" i="1"/>
  <c r="AB39" i="1"/>
  <c r="AB37" i="1"/>
  <c r="AB18" i="1"/>
  <c r="AB38" i="1"/>
  <c r="AB34" i="1"/>
  <c r="AB32" i="1"/>
  <c r="AB17" i="1"/>
  <c r="AB8" i="1"/>
  <c r="AB23" i="1"/>
  <c r="AB22" i="1"/>
  <c r="AB13" i="1"/>
  <c r="AB35" i="1"/>
  <c r="AB28" i="1"/>
  <c r="AB27" i="1"/>
  <c r="AB11" i="1"/>
  <c r="AB12" i="1"/>
  <c r="AB33" i="1"/>
  <c r="AB24" i="1"/>
  <c r="AB20" i="1"/>
  <c r="AB36" i="1"/>
  <c r="AB15" i="1"/>
  <c r="AB16" i="1"/>
  <c r="AB40" i="1"/>
  <c r="AB21" i="1"/>
  <c r="AB9" i="1"/>
  <c r="AB30" i="1"/>
  <c r="AB31" i="1"/>
  <c r="AB26" i="1"/>
  <c r="AB25" i="1"/>
  <c r="AB7" i="1"/>
  <c r="AB14" i="1"/>
  <c r="AB10" i="1"/>
  <c r="AB19" i="1"/>
  <c r="V13" i="1"/>
  <c r="V23" i="1"/>
  <c r="V21" i="1"/>
  <c r="V16" i="1"/>
  <c r="V12" i="1"/>
  <c r="V38" i="1"/>
  <c r="V32" i="1"/>
  <c r="V31" i="1"/>
  <c r="V26" i="1"/>
  <c r="V17" i="1"/>
  <c r="V28" i="1"/>
  <c r="V22" i="1"/>
  <c r="V18" i="1"/>
  <c r="V11" i="1"/>
  <c r="V20" i="1"/>
  <c r="V40" i="1"/>
  <c r="V35" i="1"/>
  <c r="V39" i="1"/>
  <c r="V30" i="1"/>
  <c r="V8" i="1"/>
  <c r="V25" i="1"/>
  <c r="V14" i="1"/>
  <c r="V37" i="1"/>
  <c r="V7" i="1"/>
  <c r="V9" i="1"/>
  <c r="V19" i="1"/>
  <c r="V10" i="1"/>
  <c r="V41" i="1"/>
  <c r="V33" i="1"/>
  <c r="V29" i="1"/>
  <c r="V34" i="1"/>
  <c r="V24" i="1"/>
  <c r="V36" i="1"/>
  <c r="V15" i="1"/>
  <c r="B37" i="1"/>
  <c r="B39" i="1" l="1"/>
  <c r="B40" i="1" l="1"/>
  <c r="AG6" i="1"/>
  <c r="AG30" i="1" l="1"/>
  <c r="AG39" i="1"/>
  <c r="AG34" i="1"/>
  <c r="AG36" i="1"/>
  <c r="AG38" i="1"/>
  <c r="AG14" i="1"/>
  <c r="AG8" i="1"/>
  <c r="AG7" i="1"/>
  <c r="AG9" i="1"/>
  <c r="AG29" i="1"/>
  <c r="AG32" i="1"/>
  <c r="AG11" i="1"/>
  <c r="AG20" i="1"/>
  <c r="AG12" i="1"/>
  <c r="AG28" i="1"/>
  <c r="AG16" i="1"/>
  <c r="AG21" i="1"/>
  <c r="AG10" i="1"/>
  <c r="AG15" i="1"/>
  <c r="AG24" i="1"/>
  <c r="AG23" i="1"/>
  <c r="AG33" i="1"/>
  <c r="AG31" i="1"/>
  <c r="AG17" i="1"/>
  <c r="AG19" i="1"/>
  <c r="AG18" i="1"/>
  <c r="AG27" i="1"/>
  <c r="AG22" i="1"/>
  <c r="AG25" i="1"/>
  <c r="AG13" i="1"/>
  <c r="AG35" i="1"/>
  <c r="AG26" i="1"/>
  <c r="AG46" i="1"/>
  <c r="P6" i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P28" i="1" l="1"/>
  <c r="P38" i="1"/>
  <c r="P37" i="1"/>
  <c r="P35" i="1"/>
  <c r="P39" i="1"/>
  <c r="P45" i="1"/>
  <c r="P44" i="1"/>
  <c r="P43" i="1"/>
  <c r="P41" i="1"/>
  <c r="P36" i="1"/>
  <c r="P42" i="1"/>
  <c r="P32" i="1"/>
  <c r="P40" i="1"/>
  <c r="P34" i="1"/>
  <c r="P33" i="1"/>
  <c r="P26" i="1"/>
  <c r="P24" i="1"/>
  <c r="P14" i="1"/>
  <c r="P29" i="1"/>
  <c r="P20" i="1"/>
  <c r="P30" i="1"/>
  <c r="P16" i="1"/>
  <c r="P15" i="1"/>
  <c r="P7" i="1"/>
  <c r="P17" i="1"/>
  <c r="P31" i="1"/>
  <c r="P10" i="1"/>
  <c r="P13" i="1"/>
  <c r="P11" i="1"/>
  <c r="P19" i="1"/>
  <c r="P18" i="1"/>
  <c r="P22" i="1"/>
  <c r="P8" i="1"/>
  <c r="P25" i="1"/>
  <c r="P9" i="1"/>
  <c r="P21" i="1"/>
  <c r="P27" i="1"/>
  <c r="P12" i="1"/>
  <c r="P23" i="1"/>
  <c r="B4" i="1"/>
  <c r="P46" i="1"/>
  <c r="AF6" i="1"/>
  <c r="AE6" i="1"/>
  <c r="AE9" i="1" l="1"/>
  <c r="AE45" i="1"/>
  <c r="AE44" i="1"/>
  <c r="AE43" i="1"/>
  <c r="AE42" i="1"/>
  <c r="AE41" i="1"/>
  <c r="AE40" i="1"/>
  <c r="AE36" i="1"/>
  <c r="AE39" i="1"/>
  <c r="AE23" i="1"/>
  <c r="AE22" i="1"/>
  <c r="AE19" i="1"/>
  <c r="AE13" i="1"/>
  <c r="AE38" i="1"/>
  <c r="AE28" i="1"/>
  <c r="AE27" i="1"/>
  <c r="AE37" i="1"/>
  <c r="AE24" i="1"/>
  <c r="AE14" i="1"/>
  <c r="AE12" i="1"/>
  <c r="AE29" i="1"/>
  <c r="AE18" i="1"/>
  <c r="AE17" i="1"/>
  <c r="AE8" i="1"/>
  <c r="AE20" i="1"/>
  <c r="AE31" i="1"/>
  <c r="AE15" i="1"/>
  <c r="AE26" i="1"/>
  <c r="AE25" i="1"/>
  <c r="AE10" i="1"/>
  <c r="AE30" i="1"/>
  <c r="AE7" i="1"/>
  <c r="AE11" i="1"/>
  <c r="AE21" i="1"/>
  <c r="AE16" i="1"/>
  <c r="AF30" i="1"/>
  <c r="AF39" i="1"/>
  <c r="AF38" i="1"/>
  <c r="AF37" i="1"/>
  <c r="AF23" i="1"/>
  <c r="AF22" i="1"/>
  <c r="AF19" i="1"/>
  <c r="AF13" i="1"/>
  <c r="AF9" i="1"/>
  <c r="AF45" i="1"/>
  <c r="AF28" i="1"/>
  <c r="AF27" i="1"/>
  <c r="AF12" i="1"/>
  <c r="AF44" i="1"/>
  <c r="AF24" i="1"/>
  <c r="AF14" i="1"/>
  <c r="AF43" i="1"/>
  <c r="AF29" i="1"/>
  <c r="AF42" i="1"/>
  <c r="AF41" i="1"/>
  <c r="AF36" i="1"/>
  <c r="AF40" i="1"/>
  <c r="AF18" i="1"/>
  <c r="AF7" i="1"/>
  <c r="AF8" i="1"/>
  <c r="AF17" i="1"/>
  <c r="AF11" i="1"/>
  <c r="AF25" i="1"/>
  <c r="AF26" i="1"/>
  <c r="AF16" i="1"/>
  <c r="AF21" i="1"/>
  <c r="AF31" i="1"/>
  <c r="AF15" i="1"/>
  <c r="AF10" i="1"/>
  <c r="AF20" i="1"/>
  <c r="AF46" i="1"/>
  <c r="AE46" i="1"/>
  <c r="AD6" i="1"/>
  <c r="AD14" i="1" l="1"/>
  <c r="AD45" i="1"/>
  <c r="AD44" i="1"/>
  <c r="AD43" i="1"/>
  <c r="AD42" i="1"/>
  <c r="AD41" i="1"/>
  <c r="AD40" i="1"/>
  <c r="AD36" i="1"/>
  <c r="AD32" i="1"/>
  <c r="AD39" i="1"/>
  <c r="AD38" i="1"/>
  <c r="AD37" i="1"/>
  <c r="AD18" i="1"/>
  <c r="AD17" i="1"/>
  <c r="AD8" i="1"/>
  <c r="AD13" i="1"/>
  <c r="AD19" i="1"/>
  <c r="AD23" i="1"/>
  <c r="AD22" i="1"/>
  <c r="AD28" i="1"/>
  <c r="AD27" i="1"/>
  <c r="AD34" i="1"/>
  <c r="AD24" i="1"/>
  <c r="AD12" i="1"/>
  <c r="AD33" i="1"/>
  <c r="AD29" i="1"/>
  <c r="AD35" i="1"/>
  <c r="AD7" i="1"/>
  <c r="AD21" i="1"/>
  <c r="AD9" i="1"/>
  <c r="AD26" i="1"/>
  <c r="AD15" i="1"/>
  <c r="AD16" i="1"/>
  <c r="AD10" i="1"/>
  <c r="AD20" i="1"/>
  <c r="AD31" i="1"/>
  <c r="AD11" i="1"/>
  <c r="AD30" i="1"/>
  <c r="AD25" i="1"/>
  <c r="AD46" i="1"/>
  <c r="Q6" i="1" l="1"/>
  <c r="Q10" i="1" l="1"/>
  <c r="Q35" i="1"/>
  <c r="Q45" i="1"/>
  <c r="Q44" i="1"/>
  <c r="Q43" i="1"/>
  <c r="Q42" i="1"/>
  <c r="Q41" i="1"/>
  <c r="Q40" i="1"/>
  <c r="Q36" i="1"/>
  <c r="Q32" i="1"/>
  <c r="Q33" i="1"/>
  <c r="Q34" i="1"/>
  <c r="Q39" i="1"/>
  <c r="Q38" i="1"/>
  <c r="Q37" i="1"/>
  <c r="Q26" i="1"/>
  <c r="Q7" i="1"/>
  <c r="Q14" i="1"/>
  <c r="Q9" i="1"/>
  <c r="Q15" i="1"/>
  <c r="Q8" i="1"/>
  <c r="Q13" i="1"/>
  <c r="Q27" i="1"/>
  <c r="Q12" i="1"/>
  <c r="Q11" i="1"/>
  <c r="Q31" i="1"/>
  <c r="Q30" i="1"/>
  <c r="Q23" i="1"/>
  <c r="Q24" i="1"/>
  <c r="Q17" i="1"/>
  <c r="Q16" i="1"/>
  <c r="Q20" i="1"/>
  <c r="Q28" i="1"/>
  <c r="Q22" i="1"/>
  <c r="Q29" i="1"/>
  <c r="Q18" i="1"/>
  <c r="Q21" i="1"/>
  <c r="Q25" i="1"/>
  <c r="Q19" i="1"/>
  <c r="Q46" i="1"/>
  <c r="M6" i="1"/>
  <c r="N6" i="1"/>
  <c r="O6" i="1"/>
  <c r="AN6" i="1"/>
  <c r="AO6" i="1"/>
  <c r="AP6" i="1"/>
  <c r="AQ6" i="1"/>
  <c r="AR6" i="1"/>
  <c r="AS6" i="1"/>
  <c r="AT6" i="1"/>
  <c r="AU6" i="1"/>
  <c r="AV6" i="1"/>
  <c r="AW6" i="1"/>
  <c r="AX6" i="1"/>
  <c r="AY6" i="1"/>
  <c r="BD6" i="1"/>
  <c r="BE6" i="1"/>
  <c r="BF6" i="1"/>
  <c r="BH6" i="1"/>
  <c r="G6" i="1"/>
  <c r="AR30" i="1" l="1"/>
  <c r="AR22" i="1"/>
  <c r="AR9" i="1"/>
  <c r="AR34" i="1"/>
  <c r="AR27" i="1"/>
  <c r="AR19" i="1"/>
  <c r="AR14" i="1"/>
  <c r="AR24" i="1"/>
  <c r="AR11" i="1"/>
  <c r="AR45" i="1"/>
  <c r="AR44" i="1"/>
  <c r="AR43" i="1"/>
  <c r="AR42" i="1"/>
  <c r="AR41" i="1"/>
  <c r="AR40" i="1"/>
  <c r="AR39" i="1"/>
  <c r="AR35" i="1"/>
  <c r="AR26" i="1"/>
  <c r="AR18" i="1"/>
  <c r="AR13" i="1"/>
  <c r="AR38" i="1"/>
  <c r="AR32" i="1"/>
  <c r="AR28" i="1"/>
  <c r="AR20" i="1"/>
  <c r="AR15" i="1"/>
  <c r="AR33" i="1"/>
  <c r="AR12" i="1"/>
  <c r="AR10" i="1"/>
  <c r="AR8" i="1"/>
  <c r="AR37" i="1"/>
  <c r="AR31" i="1"/>
  <c r="AR29" i="1"/>
  <c r="AR36" i="1"/>
  <c r="AR25" i="1"/>
  <c r="AR23" i="1"/>
  <c r="AR21" i="1"/>
  <c r="AR7" i="1"/>
  <c r="AY28" i="1"/>
  <c r="AY20" i="1"/>
  <c r="AY12" i="1"/>
  <c r="AY37" i="1"/>
  <c r="AY36" i="1"/>
  <c r="AY25" i="1"/>
  <c r="AY17" i="1"/>
  <c r="AY9" i="1"/>
  <c r="AY34" i="1"/>
  <c r="AY22" i="1"/>
  <c r="AY14" i="1"/>
  <c r="AY24" i="1"/>
  <c r="AY16" i="1"/>
  <c r="AY8" i="1"/>
  <c r="AY26" i="1"/>
  <c r="AY18" i="1"/>
  <c r="AY10" i="1"/>
  <c r="AY29" i="1"/>
  <c r="AY27" i="1"/>
  <c r="AY41" i="1"/>
  <c r="AY23" i="1"/>
  <c r="AY21" i="1"/>
  <c r="AY19" i="1"/>
  <c r="AY40" i="1"/>
  <c r="AY35" i="1"/>
  <c r="AY15" i="1"/>
  <c r="AY13" i="1"/>
  <c r="AY11" i="1"/>
  <c r="AY39" i="1"/>
  <c r="AY33" i="1"/>
  <c r="AY32" i="1"/>
  <c r="AY45" i="1"/>
  <c r="AY38" i="1"/>
  <c r="AY43" i="1"/>
  <c r="AY44" i="1"/>
  <c r="AY7" i="1"/>
  <c r="AY42" i="1"/>
  <c r="AQ25" i="1"/>
  <c r="AQ17" i="1"/>
  <c r="AQ12" i="1"/>
  <c r="AQ37" i="1"/>
  <c r="AQ36" i="1"/>
  <c r="AQ30" i="1"/>
  <c r="AQ22" i="1"/>
  <c r="AQ9" i="1"/>
  <c r="AQ34" i="1"/>
  <c r="AQ27" i="1"/>
  <c r="AQ19" i="1"/>
  <c r="AQ29" i="1"/>
  <c r="AQ21" i="1"/>
  <c r="AQ8" i="1"/>
  <c r="AQ31" i="1"/>
  <c r="AQ23" i="1"/>
  <c r="AQ10" i="1"/>
  <c r="AQ20" i="1"/>
  <c r="AQ18" i="1"/>
  <c r="AQ16" i="1"/>
  <c r="AQ44" i="1"/>
  <c r="AQ43" i="1"/>
  <c r="AQ42" i="1"/>
  <c r="AQ41" i="1"/>
  <c r="AQ40" i="1"/>
  <c r="AQ35" i="1"/>
  <c r="AQ13" i="1"/>
  <c r="AQ11" i="1"/>
  <c r="AQ39" i="1"/>
  <c r="AQ33" i="1"/>
  <c r="AQ32" i="1"/>
  <c r="AQ28" i="1"/>
  <c r="AQ26" i="1"/>
  <c r="AQ24" i="1"/>
  <c r="AQ45" i="1"/>
  <c r="AQ38" i="1"/>
  <c r="AQ7" i="1"/>
  <c r="AP28" i="1"/>
  <c r="AP20" i="1"/>
  <c r="AP33" i="1"/>
  <c r="AP25" i="1"/>
  <c r="AP17" i="1"/>
  <c r="AP37" i="1"/>
  <c r="AP36" i="1"/>
  <c r="AP30" i="1"/>
  <c r="AP22" i="1"/>
  <c r="AP14" i="1"/>
  <c r="AP9" i="1"/>
  <c r="AP34" i="1"/>
  <c r="AP24" i="1"/>
  <c r="AP16" i="1"/>
  <c r="AP11" i="1"/>
  <c r="AP45" i="1"/>
  <c r="AP44" i="1"/>
  <c r="AP43" i="1"/>
  <c r="AP42" i="1"/>
  <c r="AP41" i="1"/>
  <c r="AP40" i="1"/>
  <c r="AP39" i="1"/>
  <c r="AP35" i="1"/>
  <c r="AP26" i="1"/>
  <c r="AP18" i="1"/>
  <c r="AP38" i="1"/>
  <c r="AP32" i="1"/>
  <c r="AP7" i="1"/>
  <c r="AP10" i="1"/>
  <c r="AP8" i="1"/>
  <c r="AP31" i="1"/>
  <c r="AP29" i="1"/>
  <c r="AP27" i="1"/>
  <c r="AP23" i="1"/>
  <c r="AP21" i="1"/>
  <c r="AP19" i="1"/>
  <c r="AP15" i="1"/>
  <c r="AW31" i="1"/>
  <c r="AW18" i="1"/>
  <c r="AW10" i="1"/>
  <c r="AW28" i="1"/>
  <c r="AW23" i="1"/>
  <c r="AW15" i="1"/>
  <c r="AW33" i="1"/>
  <c r="AW20" i="1"/>
  <c r="AW12" i="1"/>
  <c r="AW37" i="1"/>
  <c r="AW36" i="1"/>
  <c r="AW22" i="1"/>
  <c r="AW14" i="1"/>
  <c r="AW29" i="1"/>
  <c r="AW24" i="1"/>
  <c r="AW16" i="1"/>
  <c r="AW8" i="1"/>
  <c r="AW42" i="1"/>
  <c r="AW25" i="1"/>
  <c r="AW41" i="1"/>
  <c r="AW7" i="1"/>
  <c r="AW21" i="1"/>
  <c r="AW19" i="1"/>
  <c r="AW17" i="1"/>
  <c r="AW40" i="1"/>
  <c r="AW35" i="1"/>
  <c r="AW34" i="1"/>
  <c r="AW13" i="1"/>
  <c r="AW11" i="1"/>
  <c r="AW9" i="1"/>
  <c r="AW39" i="1"/>
  <c r="AW32" i="1"/>
  <c r="AW44" i="1"/>
  <c r="AW30" i="1"/>
  <c r="AW45" i="1"/>
  <c r="AW38" i="1"/>
  <c r="AW43" i="1"/>
  <c r="AO31" i="1"/>
  <c r="AO23" i="1"/>
  <c r="AO15" i="1"/>
  <c r="AO28" i="1"/>
  <c r="AO20" i="1"/>
  <c r="AO12" i="1"/>
  <c r="AO33" i="1"/>
  <c r="AO25" i="1"/>
  <c r="AO17" i="1"/>
  <c r="AO37" i="1"/>
  <c r="AO36" i="1"/>
  <c r="AO27" i="1"/>
  <c r="AO19" i="1"/>
  <c r="AO29" i="1"/>
  <c r="AO21" i="1"/>
  <c r="AO13" i="1"/>
  <c r="AO8" i="1"/>
  <c r="AO26" i="1"/>
  <c r="AO24" i="1"/>
  <c r="AO22" i="1"/>
  <c r="AO45" i="1"/>
  <c r="AO38" i="1"/>
  <c r="AO7" i="1"/>
  <c r="AO18" i="1"/>
  <c r="AO16" i="1"/>
  <c r="AO14" i="1"/>
  <c r="AO44" i="1"/>
  <c r="AO43" i="1"/>
  <c r="AO42" i="1"/>
  <c r="AO39" i="1"/>
  <c r="AO41" i="1"/>
  <c r="AO40" i="1"/>
  <c r="AO35" i="1"/>
  <c r="AO34" i="1"/>
  <c r="AO9" i="1"/>
  <c r="AO32" i="1"/>
  <c r="AO30" i="1"/>
  <c r="G22" i="1"/>
  <c r="G37" i="1"/>
  <c r="G44" i="1"/>
  <c r="G36" i="1"/>
  <c r="G43" i="1"/>
  <c r="G35" i="1"/>
  <c r="G41" i="1"/>
  <c r="G33" i="1"/>
  <c r="G39" i="1"/>
  <c r="G31" i="1"/>
  <c r="G21" i="1"/>
  <c r="G19" i="1"/>
  <c r="G16" i="1"/>
  <c r="G10" i="1"/>
  <c r="G15" i="1"/>
  <c r="G14" i="1"/>
  <c r="G24" i="1"/>
  <c r="G8" i="1"/>
  <c r="G26" i="1"/>
  <c r="G20" i="1"/>
  <c r="G42" i="1"/>
  <c r="G29" i="1"/>
  <c r="G7" i="1"/>
  <c r="G40" i="1"/>
  <c r="G30" i="1"/>
  <c r="G25" i="1"/>
  <c r="G17" i="1"/>
  <c r="G13" i="1"/>
  <c r="G38" i="1"/>
  <c r="G27" i="1"/>
  <c r="G11" i="1"/>
  <c r="G9" i="1"/>
  <c r="G32" i="1"/>
  <c r="G34" i="1"/>
  <c r="G45" i="1"/>
  <c r="G18" i="1"/>
  <c r="G23" i="1"/>
  <c r="G12" i="1"/>
  <c r="G28" i="1"/>
  <c r="AV26" i="1"/>
  <c r="AV21" i="1"/>
  <c r="AV13" i="1"/>
  <c r="AV38" i="1"/>
  <c r="AV32" i="1"/>
  <c r="AV31" i="1"/>
  <c r="AV18" i="1"/>
  <c r="AV10" i="1"/>
  <c r="AV28" i="1"/>
  <c r="AV23" i="1"/>
  <c r="AV15" i="1"/>
  <c r="AV33" i="1"/>
  <c r="AV30" i="1"/>
  <c r="AV17" i="1"/>
  <c r="AV9" i="1"/>
  <c r="AV34" i="1"/>
  <c r="AV19" i="1"/>
  <c r="AV11" i="1"/>
  <c r="AV45" i="1"/>
  <c r="AV44" i="1"/>
  <c r="AV43" i="1"/>
  <c r="AV42" i="1"/>
  <c r="AV41" i="1"/>
  <c r="AV40" i="1"/>
  <c r="AV39" i="1"/>
  <c r="AV35" i="1"/>
  <c r="AV8" i="1"/>
  <c r="AV36" i="1"/>
  <c r="AV7" i="1"/>
  <c r="AV22" i="1"/>
  <c r="AV29" i="1"/>
  <c r="AV27" i="1"/>
  <c r="AV20" i="1"/>
  <c r="AV14" i="1"/>
  <c r="AV12" i="1"/>
  <c r="AV37" i="1"/>
  <c r="AV16" i="1"/>
  <c r="AN26" i="1"/>
  <c r="AN18" i="1"/>
  <c r="AN10" i="1"/>
  <c r="AN38" i="1"/>
  <c r="AN32" i="1"/>
  <c r="AN31" i="1"/>
  <c r="AN23" i="1"/>
  <c r="AN15" i="1"/>
  <c r="AN28" i="1"/>
  <c r="AN20" i="1"/>
  <c r="AN12" i="1"/>
  <c r="AN33" i="1"/>
  <c r="AN30" i="1"/>
  <c r="AN22" i="1"/>
  <c r="AN14" i="1"/>
  <c r="AN34" i="1"/>
  <c r="AN24" i="1"/>
  <c r="AN16" i="1"/>
  <c r="AN45" i="1"/>
  <c r="AN44" i="1"/>
  <c r="AN43" i="1"/>
  <c r="AN42" i="1"/>
  <c r="AN41" i="1"/>
  <c r="AN40" i="1"/>
  <c r="AN39" i="1"/>
  <c r="AN35" i="1"/>
  <c r="AN7" i="1"/>
  <c r="AN37" i="1"/>
  <c r="AN36" i="1"/>
  <c r="AN13" i="1"/>
  <c r="AN29" i="1"/>
  <c r="AN27" i="1"/>
  <c r="AN25" i="1"/>
  <c r="AN11" i="1"/>
  <c r="AN21" i="1"/>
  <c r="AN19" i="1"/>
  <c r="AN17" i="1"/>
  <c r="BH31" i="1"/>
  <c r="BH38" i="1"/>
  <c r="BH32" i="1"/>
  <c r="BH37" i="1"/>
  <c r="BH36" i="1"/>
  <c r="BH40" i="1"/>
  <c r="BH35" i="1"/>
  <c r="BH34" i="1"/>
  <c r="BH33" i="1"/>
  <c r="BH11" i="1"/>
  <c r="BH39" i="1"/>
  <c r="BH20" i="1"/>
  <c r="BH18" i="1"/>
  <c r="BH15" i="1"/>
  <c r="BH9" i="1"/>
  <c r="BH13" i="1"/>
  <c r="BH30" i="1"/>
  <c r="BH45" i="1"/>
  <c r="BH25" i="1"/>
  <c r="BH23" i="1"/>
  <c r="BH19" i="1"/>
  <c r="BH14" i="1"/>
  <c r="BH7" i="1"/>
  <c r="BH44" i="1"/>
  <c r="BH28" i="1"/>
  <c r="BH43" i="1"/>
  <c r="BH29" i="1"/>
  <c r="BH27" i="1"/>
  <c r="BH24" i="1"/>
  <c r="BH12" i="1"/>
  <c r="BH42" i="1"/>
  <c r="BH41" i="1"/>
  <c r="BH10" i="1"/>
  <c r="BH8" i="1"/>
  <c r="BH21" i="1"/>
  <c r="BH26" i="1"/>
  <c r="BH17" i="1"/>
  <c r="BH16" i="1"/>
  <c r="BH22" i="1"/>
  <c r="AU29" i="1"/>
  <c r="AU16" i="1"/>
  <c r="AU8" i="1"/>
  <c r="AU26" i="1"/>
  <c r="AU21" i="1"/>
  <c r="AU13" i="1"/>
  <c r="AU38" i="1"/>
  <c r="AU32" i="1"/>
  <c r="AU31" i="1"/>
  <c r="AU18" i="1"/>
  <c r="AU10" i="1"/>
  <c r="AU25" i="1"/>
  <c r="AU20" i="1"/>
  <c r="AU12" i="1"/>
  <c r="AU37" i="1"/>
  <c r="AU36" i="1"/>
  <c r="AU27" i="1"/>
  <c r="AU14" i="1"/>
  <c r="AU43" i="1"/>
  <c r="AU42" i="1"/>
  <c r="AU41" i="1"/>
  <c r="AU19" i="1"/>
  <c r="AU17" i="1"/>
  <c r="AU15" i="1"/>
  <c r="AU40" i="1"/>
  <c r="AU35" i="1"/>
  <c r="AU34" i="1"/>
  <c r="AU33" i="1"/>
  <c r="AU7" i="1"/>
  <c r="AU11" i="1"/>
  <c r="AU9" i="1"/>
  <c r="AU39" i="1"/>
  <c r="AU45" i="1"/>
  <c r="AU30" i="1"/>
  <c r="AU28" i="1"/>
  <c r="AU24" i="1"/>
  <c r="AU44" i="1"/>
  <c r="O28" i="1"/>
  <c r="O34" i="1"/>
  <c r="O38" i="1"/>
  <c r="O37" i="1"/>
  <c r="O35" i="1"/>
  <c r="O45" i="1"/>
  <c r="O44" i="1"/>
  <c r="O43" i="1"/>
  <c r="O42" i="1"/>
  <c r="O41" i="1"/>
  <c r="O40" i="1"/>
  <c r="O36" i="1"/>
  <c r="O32" i="1"/>
  <c r="O33" i="1"/>
  <c r="O9" i="1"/>
  <c r="O22" i="1"/>
  <c r="O11" i="1"/>
  <c r="O27" i="1"/>
  <c r="O21" i="1"/>
  <c r="O19" i="1"/>
  <c r="O16" i="1"/>
  <c r="O12" i="1"/>
  <c r="O10" i="1"/>
  <c r="O14" i="1"/>
  <c r="O31" i="1"/>
  <c r="O26" i="1"/>
  <c r="O24" i="1"/>
  <c r="O20" i="1"/>
  <c r="O15" i="1"/>
  <c r="O8" i="1"/>
  <c r="O17" i="1"/>
  <c r="O30" i="1"/>
  <c r="O7" i="1"/>
  <c r="O25" i="1"/>
  <c r="O13" i="1"/>
  <c r="O23" i="1"/>
  <c r="O29" i="1"/>
  <c r="O18" i="1"/>
  <c r="N34" i="1"/>
  <c r="N38" i="1"/>
  <c r="N37" i="1"/>
  <c r="N40" i="1"/>
  <c r="N33" i="1"/>
  <c r="N32" i="1"/>
  <c r="N30" i="1"/>
  <c r="N25" i="1"/>
  <c r="N17" i="1"/>
  <c r="N13" i="1"/>
  <c r="N7" i="1"/>
  <c r="N9" i="1"/>
  <c r="N28" i="1"/>
  <c r="N23" i="1"/>
  <c r="N39" i="1"/>
  <c r="N22" i="1"/>
  <c r="N11" i="1"/>
  <c r="N45" i="1"/>
  <c r="N27" i="1"/>
  <c r="N44" i="1"/>
  <c r="N21" i="1"/>
  <c r="N19" i="1"/>
  <c r="N16" i="1"/>
  <c r="N12" i="1"/>
  <c r="N10" i="1"/>
  <c r="N43" i="1"/>
  <c r="N14" i="1"/>
  <c r="N42" i="1"/>
  <c r="N20" i="1"/>
  <c r="N15" i="1"/>
  <c r="N41" i="1"/>
  <c r="N35" i="1"/>
  <c r="N8" i="1"/>
  <c r="N29" i="1"/>
  <c r="N26" i="1"/>
  <c r="N18" i="1"/>
  <c r="N24" i="1"/>
  <c r="N36" i="1"/>
  <c r="N31" i="1"/>
  <c r="AX23" i="1"/>
  <c r="AX15" i="1"/>
  <c r="AX33" i="1"/>
  <c r="AX20" i="1"/>
  <c r="AX12" i="1"/>
  <c r="AX37" i="1"/>
  <c r="AX36" i="1"/>
  <c r="AX30" i="1"/>
  <c r="AX25" i="1"/>
  <c r="AX17" i="1"/>
  <c r="AX9" i="1"/>
  <c r="AX34" i="1"/>
  <c r="AX27" i="1"/>
  <c r="AX19" i="1"/>
  <c r="AX11" i="1"/>
  <c r="AX45" i="1"/>
  <c r="AX44" i="1"/>
  <c r="AX43" i="1"/>
  <c r="AX42" i="1"/>
  <c r="AX41" i="1"/>
  <c r="AX40" i="1"/>
  <c r="AX39" i="1"/>
  <c r="AX35" i="1"/>
  <c r="AX21" i="1"/>
  <c r="AX13" i="1"/>
  <c r="AX38" i="1"/>
  <c r="AX32" i="1"/>
  <c r="AX31" i="1"/>
  <c r="AX7" i="1"/>
  <c r="AX16" i="1"/>
  <c r="AX26" i="1"/>
  <c r="AX24" i="1"/>
  <c r="AX22" i="1"/>
  <c r="AX14" i="1"/>
  <c r="AX10" i="1"/>
  <c r="AX18" i="1"/>
  <c r="AX8" i="1"/>
  <c r="BF45" i="1"/>
  <c r="BF44" i="1"/>
  <c r="BF43" i="1"/>
  <c r="BF42" i="1"/>
  <c r="BF41" i="1"/>
  <c r="BF40" i="1"/>
  <c r="BF39" i="1"/>
  <c r="BF35" i="1"/>
  <c r="BF38" i="1"/>
  <c r="BF32" i="1"/>
  <c r="BF33" i="1"/>
  <c r="BF34" i="1"/>
  <c r="BF31" i="1"/>
  <c r="BF26" i="1"/>
  <c r="BF10" i="1"/>
  <c r="BF8" i="1"/>
  <c r="BF11" i="1"/>
  <c r="BF15" i="1"/>
  <c r="BF9" i="1"/>
  <c r="BF20" i="1"/>
  <c r="BF18" i="1"/>
  <c r="BF30" i="1"/>
  <c r="BF17" i="1"/>
  <c r="BF13" i="1"/>
  <c r="BF25" i="1"/>
  <c r="BF23" i="1"/>
  <c r="BF19" i="1"/>
  <c r="BF14" i="1"/>
  <c r="BF7" i="1"/>
  <c r="BF37" i="1"/>
  <c r="BF28" i="1"/>
  <c r="BF22" i="1"/>
  <c r="BF16" i="1"/>
  <c r="BF36" i="1"/>
  <c r="BF24" i="1"/>
  <c r="BF12" i="1"/>
  <c r="BF27" i="1"/>
  <c r="BF21" i="1"/>
  <c r="BF29" i="1"/>
  <c r="AT24" i="1"/>
  <c r="AT19" i="1"/>
  <c r="AT11" i="1"/>
  <c r="AT45" i="1"/>
  <c r="AT44" i="1"/>
  <c r="AT43" i="1"/>
  <c r="AT42" i="1"/>
  <c r="AT41" i="1"/>
  <c r="AT40" i="1"/>
  <c r="AT39" i="1"/>
  <c r="AT35" i="1"/>
  <c r="AT29" i="1"/>
  <c r="AT16" i="1"/>
  <c r="AT8" i="1"/>
  <c r="AT26" i="1"/>
  <c r="AT13" i="1"/>
  <c r="AT38" i="1"/>
  <c r="AT32" i="1"/>
  <c r="AT28" i="1"/>
  <c r="AT15" i="1"/>
  <c r="AT33" i="1"/>
  <c r="AT30" i="1"/>
  <c r="AT22" i="1"/>
  <c r="AT17" i="1"/>
  <c r="AT9" i="1"/>
  <c r="AT34" i="1"/>
  <c r="AT14" i="1"/>
  <c r="AT12" i="1"/>
  <c r="AT10" i="1"/>
  <c r="AT37" i="1"/>
  <c r="AT31" i="1"/>
  <c r="AT36" i="1"/>
  <c r="AT27" i="1"/>
  <c r="AT25" i="1"/>
  <c r="AT23" i="1"/>
  <c r="AT7" i="1"/>
  <c r="AT18" i="1"/>
  <c r="BE45" i="1"/>
  <c r="BE44" i="1"/>
  <c r="BE43" i="1"/>
  <c r="BE42" i="1"/>
  <c r="BE41" i="1"/>
  <c r="BE40" i="1"/>
  <c r="BE39" i="1"/>
  <c r="BE35" i="1"/>
  <c r="BE37" i="1"/>
  <c r="BE36" i="1"/>
  <c r="BE10" i="1"/>
  <c r="BE34" i="1"/>
  <c r="BE33" i="1"/>
  <c r="BE32" i="1"/>
  <c r="BE31" i="1"/>
  <c r="BE26" i="1"/>
  <c r="BE8" i="1"/>
  <c r="BE11" i="1"/>
  <c r="BE38" i="1"/>
  <c r="BE20" i="1"/>
  <c r="BE18" i="1"/>
  <c r="BE15" i="1"/>
  <c r="BE9" i="1"/>
  <c r="BE30" i="1"/>
  <c r="BE17" i="1"/>
  <c r="BE13" i="1"/>
  <c r="BE25" i="1"/>
  <c r="BE23" i="1"/>
  <c r="BE19" i="1"/>
  <c r="BE14" i="1"/>
  <c r="BE7" i="1"/>
  <c r="BE29" i="1"/>
  <c r="BE12" i="1"/>
  <c r="BE28" i="1"/>
  <c r="BE21" i="1"/>
  <c r="BE24" i="1"/>
  <c r="BE27" i="1"/>
  <c r="BE16" i="1"/>
  <c r="BE22" i="1"/>
  <c r="AS27" i="1"/>
  <c r="AS14" i="1"/>
  <c r="AS24" i="1"/>
  <c r="AS11" i="1"/>
  <c r="AS45" i="1"/>
  <c r="AS44" i="1"/>
  <c r="AS43" i="1"/>
  <c r="AS42" i="1"/>
  <c r="AS41" i="1"/>
  <c r="AS40" i="1"/>
  <c r="AS39" i="1"/>
  <c r="AS35" i="1"/>
  <c r="AS29" i="1"/>
  <c r="AS21" i="1"/>
  <c r="AS16" i="1"/>
  <c r="AS8" i="1"/>
  <c r="AS31" i="1"/>
  <c r="AS23" i="1"/>
  <c r="AS10" i="1"/>
  <c r="AS25" i="1"/>
  <c r="AS12" i="1"/>
  <c r="AS37" i="1"/>
  <c r="AS36" i="1"/>
  <c r="AS28" i="1"/>
  <c r="AS17" i="1"/>
  <c r="AS15" i="1"/>
  <c r="AS13" i="1"/>
  <c r="AS34" i="1"/>
  <c r="AS33" i="1"/>
  <c r="AS32" i="1"/>
  <c r="AS30" i="1"/>
  <c r="AS38" i="1"/>
  <c r="AS9" i="1"/>
  <c r="AS7" i="1"/>
  <c r="AS26" i="1"/>
  <c r="AS22" i="1"/>
  <c r="AS20" i="1"/>
  <c r="M39" i="1"/>
  <c r="M33" i="1"/>
  <c r="M7" i="1"/>
  <c r="M34" i="1"/>
  <c r="M35" i="1"/>
  <c r="M45" i="1"/>
  <c r="M44" i="1"/>
  <c r="M43" i="1"/>
  <c r="M42" i="1"/>
  <c r="M41" i="1"/>
  <c r="M40" i="1"/>
  <c r="M36" i="1"/>
  <c r="M32" i="1"/>
  <c r="M29" i="1"/>
  <c r="M18" i="1"/>
  <c r="M30" i="1"/>
  <c r="M25" i="1"/>
  <c r="M17" i="1"/>
  <c r="M13" i="1"/>
  <c r="M28" i="1"/>
  <c r="M23" i="1"/>
  <c r="M22" i="1"/>
  <c r="M11" i="1"/>
  <c r="M9" i="1"/>
  <c r="M38" i="1"/>
  <c r="M27" i="1"/>
  <c r="M37" i="1"/>
  <c r="M21" i="1"/>
  <c r="M19" i="1"/>
  <c r="M16" i="1"/>
  <c r="M12" i="1"/>
  <c r="M10" i="1"/>
  <c r="M31" i="1"/>
  <c r="M20" i="1"/>
  <c r="M15" i="1"/>
  <c r="M24" i="1"/>
  <c r="M26" i="1"/>
  <c r="M14" i="1"/>
  <c r="M8" i="1"/>
  <c r="BD34" i="1"/>
  <c r="BD45" i="1"/>
  <c r="BD44" i="1"/>
  <c r="BD43" i="1"/>
  <c r="BD42" i="1"/>
  <c r="BD41" i="1"/>
  <c r="BD40" i="1"/>
  <c r="BD39" i="1"/>
  <c r="BD35" i="1"/>
  <c r="BD38" i="1"/>
  <c r="BD32" i="1"/>
  <c r="BD33" i="1"/>
  <c r="BD29" i="1"/>
  <c r="BD27" i="1"/>
  <c r="BD24" i="1"/>
  <c r="BD21" i="1"/>
  <c r="BD12" i="1"/>
  <c r="BD10" i="1"/>
  <c r="BD8" i="1"/>
  <c r="BD31" i="1"/>
  <c r="BD26" i="1"/>
  <c r="BD11" i="1"/>
  <c r="BD20" i="1"/>
  <c r="BD18" i="1"/>
  <c r="BD15" i="1"/>
  <c r="BD9" i="1"/>
  <c r="BD37" i="1"/>
  <c r="BD30" i="1"/>
  <c r="BD17" i="1"/>
  <c r="BD13" i="1"/>
  <c r="BD23" i="1"/>
  <c r="BD7" i="1"/>
  <c r="BD16" i="1"/>
  <c r="BD19" i="1"/>
  <c r="BD14" i="1"/>
  <c r="BD36" i="1"/>
  <c r="BD28" i="1"/>
  <c r="BD25" i="1"/>
  <c r="BD22" i="1"/>
  <c r="AR46" i="1"/>
  <c r="AV46" i="1"/>
  <c r="AP46" i="1"/>
  <c r="AS46" i="1"/>
  <c r="AO46" i="1"/>
  <c r="M46" i="1"/>
  <c r="BF46" i="1"/>
  <c r="AU46" i="1"/>
  <c r="AQ46" i="1"/>
  <c r="AN46" i="1"/>
  <c r="N46" i="1"/>
  <c r="BE46" i="1"/>
  <c r="BD46" i="1"/>
  <c r="AT46" i="1"/>
  <c r="O46" i="1"/>
  <c r="I46" i="1"/>
  <c r="G46" i="1"/>
  <c r="BH46" i="1"/>
  <c r="AY46" i="1"/>
  <c r="AX46" i="1"/>
  <c r="AW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R4" authorId="0" shapeId="0" xr:uid="{5E9937B7-593D-4C08-A5F4-680E01B068E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S4" authorId="0" shapeId="0" xr:uid="{DFEED9F5-DAF3-439E-9282-67343199380A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T4" authorId="0" shapeId="0" xr:uid="{5DB71789-2A0E-4D55-924F-B2B3E6AAC9F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U4" authorId="0" shapeId="0" xr:uid="{A688DF82-6F38-4E55-A9CC-B23BA9F38B8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V4" authorId="0" shapeId="0" xr:uid="{2CE129D6-0396-4382-8FDF-E442EAF91709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W4" authorId="0" shapeId="0" xr:uid="{9E0EA609-9502-454F-B389-2CE90420ED02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X4" authorId="0" shapeId="0" xr:uid="{5E1F6867-DE89-4325-A0D6-6371F2CA6D61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Y4" authorId="0" shapeId="0" xr:uid="{5AED2239-480A-40F4-B377-23AC1726132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Z4" authorId="0" shapeId="0" xr:uid="{577087E1-068B-4478-8D20-702DF1F08598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A4" authorId="0" shapeId="0" xr:uid="{C96C639B-9387-4B8A-8C94-16B8B4592166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AB4" authorId="0" shapeId="0" xr:uid="{000F0FC5-C81D-4D0D-8F2E-435FA99D835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C4" authorId="0" shapeId="0" xr:uid="{D68E2321-B490-4AB8-90C7-2F78558E7A65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L4" authorId="0" shapeId="0" xr:uid="{B326D098-177C-461D-85E0-A915E55A4969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1 young</t>
        </r>
      </text>
    </comment>
    <comment ref="AM4" authorId="0" shapeId="0" xr:uid="{4F79B1BA-0287-46DF-95A1-6398C138451F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2 young</t>
        </r>
      </text>
    </comment>
    <comment ref="AZ4" authorId="0" shapeId="0" xr:uid="{13C81614-D294-404F-8AEB-2661A28CF526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potential intake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<sst xmlns="http://schemas.openxmlformats.org/spreadsheetml/2006/main" count="202" uniqueCount="96">
  <si>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</si>
  <si>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</si>
  <si>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</si>
  <si>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</si>
  <si>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</si>
  <si>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</si>
  <si>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</si>
  <si>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</si>
  <si>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</si>
  <si>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</si>
  <si>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</si>
  <si>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</si>
  <si>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</si>
  <si>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</si>
  <si>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</si>
  <si>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</si>
  <si>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</si>
  <si>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</si>
  <si>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</si>
  <si>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</si>
  <si>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</si>
  <si>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</si>
  <si>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</si>
  <si>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</si>
  <si>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</si>
  <si>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</si>
  <si>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</si>
  <si>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</si>
  <si>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</si>
  <si>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</si>
  <si>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</si>
  <si>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</si>
  <si>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</si>
  <si>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</si>
  <si>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</si>
  <si>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</si>
  <si>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</si>
  <si>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</si>
  <si>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</si>
  <si>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</si>
  <si>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</si>
  <si>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</si>
  <si>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</si>
  <si>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</si>
  <si>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</si>
  <si>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</si>
  <si>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</si>
  <si>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</si>
  <si>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</si>
  <si>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</si>
  <si>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</si>
  <si>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</si>
  <si>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</si>
  <si>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</si>
  <si>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</si>
  <si>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</si>
  <si>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</si>
  <si>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</si>
  <si>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</si>
  <si>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</si>
  <si>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</si>
  <si>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</si>
  <si>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</si>
  <si>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</si>
  <si>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</si>
  <si>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</si>
  <si>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</si>
  <si>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</si>
  <si>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</si>
  <si>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</si>
  <si>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</si>
  <si>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</si>
  <si>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</si>
  <si>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</si>
  <si>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</si>
  <si>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</si>
  <si>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</si>
  <si>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</si>
  <si>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</si>
  <si>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</si>
  <si>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</si>
  <si>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</si>
  <si>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</si>
  <si>
    <t>evg_c2</t>
  </si>
  <si>
    <t>srw_c2</t>
  </si>
  <si>
    <t>cl0_c2</t>
  </si>
  <si>
    <t>ci_c2</t>
  </si>
  <si>
    <t>sfw_c2</t>
  </si>
  <si>
    <t>sfd_c2</t>
  </si>
  <si>
    <t>kg</t>
  </si>
  <si>
    <t>sar</t>
  </si>
  <si>
    <t>mortalityp</t>
  </si>
  <si>
    <t>8:9,:</t>
  </si>
  <si>
    <t>3:4,1:2,:</t>
  </si>
  <si>
    <t>3:4,2:3,:</t>
  </si>
  <si>
    <t>genotype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</si>
</sst>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6" fillId="5" borderId="2" applyNumberFormat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5" borderId="2" xfId="2"/>
  </cellXfs>
  <cellStyles count="3">
    <cellStyle name="Calculation" xfId="1" builtinId="22"/>
    <cellStyle name="Input" xfId="2" builtinId="20" customBuiltin="1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BI46"/>
  <sheetViews>
    <sheetView tabSelected="1" workbookViewId="0">
      <pane xSplit="6" ySplit="6" topLeftCell="G32" activePane="bottomRight" state="frozen"/>
      <selection pane="topRight" activeCell="G1" sqref="G1"/>
      <selection pane="bottomLeft" activeCell="A7" sqref="A7"/>
      <selection pane="bottomRight" activeCell="J34" sqref="J34:L43"/>
    </sheetView>
  </sheetViews>
  <sheetFormatPr defaultRowHeight="14.5" x14ac:dyDescent="0.35"/>
  <cols>
    <col min="1" max="1" width="11" customWidth="1"/>
    <col min="3" max="3" width="10.54296875" customWidth="1"/>
    <col min="6" max="6" width="17.54296875" style="3" customWidth="1"/>
    <col min="30" max="30" width="10.81640625" bestFit="1" customWidth="1"/>
    <col min="31" max="39" width="9.81640625" customWidth="1"/>
    <col min="61" max="61" width="2.81640625" customWidth="1"/>
  </cols>
  <sheetData>
    <row r="1" spans="1:61" s="1" customFormat="1" ht="41.25" customHeight="1" x14ac:dyDescent="0.35">
      <c r="A1" s="21" t="s">
        <v>50</v>
      </c>
      <c r="B1" s="6" t="s">
        <v>50</v>
      </c>
      <c r="C1" s="10" t="s">
        <v>43</v>
      </c>
      <c r="F1" s="4" t="s">
        <v>2</v>
      </c>
      <c r="G1" s="6" t="s">
        <v>41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41</v>
      </c>
      <c r="AD1" s="6" t="s">
        <v>41</v>
      </c>
      <c r="AE1" s="6" t="s">
        <v>41</v>
      </c>
      <c r="AF1" s="6" t="s">
        <v>41</v>
      </c>
      <c r="AG1" s="6" t="s">
        <v>41</v>
      </c>
      <c r="AH1" s="6" t="s">
        <v>41</v>
      </c>
      <c r="AI1" s="6" t="s">
        <v>41</v>
      </c>
      <c r="AJ1" s="6" t="s">
        <v>41</v>
      </c>
      <c r="AK1" s="6" t="s">
        <v>41</v>
      </c>
      <c r="AL1" s="6" t="s">
        <v>41</v>
      </c>
      <c r="AM1" s="6" t="s">
        <v>41</v>
      </c>
      <c r="AN1" s="6" t="s">
        <v>0</v>
      </c>
      <c r="AO1" s="6" t="s">
        <v>0</v>
      </c>
      <c r="AP1" s="6" t="s">
        <v>0</v>
      </c>
      <c r="AQ1" s="6" t="s">
        <v>0</v>
      </c>
      <c r="AR1" s="6" t="s">
        <v>0</v>
      </c>
      <c r="AS1" s="6" t="s">
        <v>0</v>
      </c>
      <c r="AT1" s="6" t="s">
        <v>0</v>
      </c>
      <c r="AU1" s="6" t="s">
        <v>0</v>
      </c>
      <c r="AV1" s="6" t="s">
        <v>0</v>
      </c>
      <c r="AW1" s="6" t="s">
        <v>0</v>
      </c>
      <c r="AX1" s="6" t="s">
        <v>0</v>
      </c>
      <c r="AY1" s="6" t="s">
        <v>0</v>
      </c>
      <c r="AZ1" s="6" t="s">
        <v>0</v>
      </c>
      <c r="BA1" s="6" t="s">
        <v>0</v>
      </c>
      <c r="BB1" s="6" t="s">
        <v>0</v>
      </c>
      <c r="BC1" s="6" t="s">
        <v>0</v>
      </c>
      <c r="BD1" s="6" t="s">
        <v>40</v>
      </c>
      <c r="BE1" s="6" t="s">
        <v>40</v>
      </c>
      <c r="BF1" s="6" t="s">
        <v>40</v>
      </c>
      <c r="BG1" s="6" t="s">
        <v>90</v>
      </c>
      <c r="BH1" s="1" t="s">
        <v>42</v>
      </c>
      <c r="BI1" s="16"/>
    </row>
    <row r="2" spans="1:61" s="2" customFormat="1" ht="72.75" customHeight="1" x14ac:dyDescent="0.35">
      <c r="A2" s="14" t="s">
        <v>79</v>
      </c>
      <c r="F2" s="5" t="s">
        <v>3</v>
      </c>
      <c r="G2" s="6" t="s">
        <v>66</v>
      </c>
      <c r="H2" s="6" t="s">
        <v>45</v>
      </c>
      <c r="I2" s="6" t="s">
        <v>45</v>
      </c>
      <c r="J2" s="6" t="s">
        <v>95</v>
      </c>
      <c r="K2" s="6" t="s">
        <v>95</v>
      </c>
      <c r="L2" s="6" t="s">
        <v>95</v>
      </c>
      <c r="M2" s="6" t="s">
        <v>46</v>
      </c>
      <c r="N2" s="6" t="s">
        <v>46</v>
      </c>
      <c r="O2" s="6" t="s">
        <v>46</v>
      </c>
      <c r="P2" s="6" t="s">
        <v>56</v>
      </c>
      <c r="Q2" s="6" t="s">
        <v>44</v>
      </c>
      <c r="R2" s="6" t="s">
        <v>62</v>
      </c>
      <c r="S2" s="6" t="s">
        <v>62</v>
      </c>
      <c r="T2" s="6" t="s">
        <v>62</v>
      </c>
      <c r="U2" s="6" t="s">
        <v>65</v>
      </c>
      <c r="V2" s="6" t="s">
        <v>65</v>
      </c>
      <c r="W2" s="6" t="s">
        <v>65</v>
      </c>
      <c r="X2" s="6" t="s">
        <v>64</v>
      </c>
      <c r="Y2" s="6" t="s">
        <v>64</v>
      </c>
      <c r="Z2" s="6" t="s">
        <v>64</v>
      </c>
      <c r="AA2" s="6" t="s">
        <v>63</v>
      </c>
      <c r="AB2" s="6" t="s">
        <v>63</v>
      </c>
      <c r="AC2" s="6" t="s">
        <v>63</v>
      </c>
      <c r="AD2" s="6" t="s">
        <v>47</v>
      </c>
      <c r="AE2" s="6" t="s">
        <v>48</v>
      </c>
      <c r="AF2" s="6" t="s">
        <v>49</v>
      </c>
      <c r="AG2" s="6" t="s">
        <v>58</v>
      </c>
      <c r="AH2" s="6" t="s">
        <v>70</v>
      </c>
      <c r="AI2" s="6" t="s">
        <v>71</v>
      </c>
      <c r="AJ2" s="6" t="s">
        <v>83</v>
      </c>
      <c r="AK2" s="6" t="s">
        <v>84</v>
      </c>
      <c r="AL2" s="6" t="s">
        <v>85</v>
      </c>
      <c r="AM2" s="6" t="s">
        <v>85</v>
      </c>
      <c r="AN2" s="6" t="s">
        <v>8</v>
      </c>
      <c r="AO2" s="6" t="s">
        <v>1</v>
      </c>
      <c r="AP2" s="6" t="s">
        <v>1</v>
      </c>
      <c r="AQ2" s="6" t="s">
        <v>1</v>
      </c>
      <c r="AR2" s="6" t="s">
        <v>1</v>
      </c>
      <c r="AS2" s="6" t="s">
        <v>1</v>
      </c>
      <c r="AT2" s="6" t="s">
        <v>9</v>
      </c>
      <c r="AU2" s="6" t="s">
        <v>10</v>
      </c>
      <c r="AV2" s="6" t="s">
        <v>10</v>
      </c>
      <c r="AW2" s="6" t="s">
        <v>10</v>
      </c>
      <c r="AX2" s="6" t="s">
        <v>10</v>
      </c>
      <c r="AY2" s="6" t="s">
        <v>10</v>
      </c>
      <c r="AZ2" s="6" t="s">
        <v>86</v>
      </c>
      <c r="BA2" s="6" t="s">
        <v>87</v>
      </c>
      <c r="BB2" s="6" t="s">
        <v>88</v>
      </c>
      <c r="BC2" s="6" t="s">
        <v>89</v>
      </c>
      <c r="BD2" s="6"/>
      <c r="BE2" s="6"/>
      <c r="BF2" s="6"/>
      <c r="BG2" s="6" t="s">
        <v>91</v>
      </c>
      <c r="BI2" s="17"/>
    </row>
    <row r="3" spans="1:61" s="2" customFormat="1" ht="42.65" customHeight="1" x14ac:dyDescent="0.35">
      <c r="F3" s="5" t="s">
        <v>4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 t="s">
        <v>6</v>
      </c>
      <c r="AO3" s="6" t="s">
        <v>6</v>
      </c>
      <c r="AP3" s="6" t="s">
        <v>6</v>
      </c>
      <c r="AQ3" s="6" t="s">
        <v>6</v>
      </c>
      <c r="AR3" s="6" t="s">
        <v>6</v>
      </c>
      <c r="AS3" s="6" t="s">
        <v>6</v>
      </c>
      <c r="AT3" s="6" t="s">
        <v>6</v>
      </c>
      <c r="AU3" s="6" t="s">
        <v>6</v>
      </c>
      <c r="AV3" s="6" t="s">
        <v>6</v>
      </c>
      <c r="AW3" s="6" t="s">
        <v>6</v>
      </c>
      <c r="AX3" s="6" t="s">
        <v>6</v>
      </c>
      <c r="AY3" s="6" t="s">
        <v>6</v>
      </c>
      <c r="AZ3" s="6"/>
      <c r="BA3" s="6"/>
      <c r="BB3" s="6"/>
      <c r="BC3" s="6"/>
      <c r="BD3" s="6"/>
      <c r="BE3" s="6"/>
      <c r="BF3" s="6"/>
      <c r="BG3" s="6"/>
      <c r="BI3" s="17"/>
    </row>
    <row r="4" spans="1:61" s="2" customFormat="1" ht="42.65" customHeight="1" x14ac:dyDescent="0.35">
      <c r="A4" s="13" t="s">
        <v>78</v>
      </c>
      <c r="B4" s="11" t="str">
        <f>"Trial Number
("&amp;COUNT(B$5:B$46)-1&amp;")"</f>
        <v>Trial Number
(41)</v>
      </c>
      <c r="C4" s="11" t="str">
        <f>"Run Trials
("&amp;COUNTIFS(C$5:C$46,TRUE)&amp;")"</f>
        <v>Run Trials
(2)</v>
      </c>
      <c r="D4" s="18" t="str">
        <f>"Full output
("&amp;TEXT(COUNTIFS($C$5:$C$46,TRUE,D$5:D$46,TRUE)/COUNTIFS($C$5:$C$46,TRUE),"0%)")</f>
        <v>Full output
(100%)</v>
      </c>
      <c r="E4" s="11" t="str">
        <f>"Report
("&amp;TEXT(COUNTIFS(E$5:E$46,TRUE)/COUNTA(E$5:E$46),"0%)")</f>
        <v>Report
(5%)</v>
      </c>
      <c r="F4" s="5" t="s">
        <v>5</v>
      </c>
      <c r="G4" s="8"/>
      <c r="H4" s="8" t="s">
        <v>35</v>
      </c>
      <c r="I4" s="8" t="s">
        <v>36</v>
      </c>
      <c r="J4" s="8" t="s">
        <v>35</v>
      </c>
      <c r="K4" s="8" t="s">
        <v>36</v>
      </c>
      <c r="L4" s="8" t="s">
        <v>37</v>
      </c>
      <c r="M4" s="8" t="s">
        <v>35</v>
      </c>
      <c r="N4" s="8" t="s">
        <v>36</v>
      </c>
      <c r="O4" s="8" t="s">
        <v>37</v>
      </c>
      <c r="P4" s="8" t="s">
        <v>57</v>
      </c>
      <c r="Q4" s="8"/>
      <c r="R4" s="8" t="s">
        <v>92</v>
      </c>
      <c r="S4" s="8" t="s">
        <v>72</v>
      </c>
      <c r="T4" s="8" t="s">
        <v>73</v>
      </c>
      <c r="U4" s="8" t="s">
        <v>92</v>
      </c>
      <c r="V4" s="8" t="s">
        <v>72</v>
      </c>
      <c r="W4" s="8" t="s">
        <v>73</v>
      </c>
      <c r="X4" s="8" t="s">
        <v>92</v>
      </c>
      <c r="Y4" s="8" t="s">
        <v>72</v>
      </c>
      <c r="Z4" s="8" t="s">
        <v>73</v>
      </c>
      <c r="AA4" s="8" t="s">
        <v>92</v>
      </c>
      <c r="AB4" s="8" t="s">
        <v>72</v>
      </c>
      <c r="AC4" s="8" t="s">
        <v>73</v>
      </c>
      <c r="AD4" s="8"/>
      <c r="AE4" s="8"/>
      <c r="AF4" s="8"/>
      <c r="AG4" s="8"/>
      <c r="AH4" s="8"/>
      <c r="AI4" s="8"/>
      <c r="AJ4" s="8"/>
      <c r="AK4" s="8"/>
      <c r="AL4" s="8" t="s">
        <v>93</v>
      </c>
      <c r="AM4" s="8" t="s">
        <v>94</v>
      </c>
      <c r="AN4" s="7"/>
      <c r="AO4" s="7" t="s">
        <v>35</v>
      </c>
      <c r="AP4" s="8" t="s">
        <v>36</v>
      </c>
      <c r="AQ4" s="8" t="s">
        <v>37</v>
      </c>
      <c r="AR4" s="8" t="s">
        <v>38</v>
      </c>
      <c r="AS4" s="8" t="s">
        <v>39</v>
      </c>
      <c r="AT4" s="7"/>
      <c r="AU4" s="7" t="s">
        <v>35</v>
      </c>
      <c r="AV4" s="8" t="s">
        <v>36</v>
      </c>
      <c r="AW4" s="8" t="s">
        <v>37</v>
      </c>
      <c r="AX4" s="8" t="s">
        <v>38</v>
      </c>
      <c r="AY4" s="8" t="s">
        <v>39</v>
      </c>
      <c r="AZ4" s="8" t="s">
        <v>72</v>
      </c>
      <c r="BA4" s="8"/>
      <c r="BB4" s="8"/>
      <c r="BC4" s="8"/>
      <c r="BD4" s="8"/>
      <c r="BE4" s="8"/>
      <c r="BF4" s="8"/>
      <c r="BG4" s="8"/>
      <c r="BH4" s="12"/>
      <c r="BI4" s="17"/>
    </row>
    <row r="5" spans="1:61" x14ac:dyDescent="0.35">
      <c r="A5" s="19">
        <v>44275.614120370374</v>
      </c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G5" s="9" t="str" cm="1">
        <f t="array" ref="G5">_xlfn.IFS(OR(G1="sam",G1="sai"),1,G1="sav","-",OR(G1="sap",G1="saa"),0,G1="sar",0)</f>
        <v>-</v>
      </c>
      <c r="H5" s="9" t="str" cm="1">
        <f t="array" ref="H5">_xlfn.IFS(OR(H1="sam",H1="sai"),1,H1="sav","-",OR(H1="sap",H1="saa"),0,H1="sar",0)</f>
        <v>-</v>
      </c>
      <c r="I5" s="9" t="str" cm="1">
        <f t="array" ref="I5">_xlfn.IFS(OR(I1="sam",I1="sai"),1,I1="sav","-",OR(I1="sap",I1="saa"),0,I1="sar",0)</f>
        <v>-</v>
      </c>
      <c r="J5" s="9" t="str" cm="1">
        <f t="array" ref="J5">_xlfn.IFS(OR(J1="sam",J1="sai"),1,J1="sav","-",OR(J1="sap",J1="saa"),0,J1="sar",0)</f>
        <v>-</v>
      </c>
      <c r="K5" s="9" t="str" cm="1">
        <f t="array" ref="K5">_xlfn.IFS(OR(K1="sam",K1="sai"),1,K1="sav","-",OR(K1="sap",K1="saa"),0,K1="sar",0)</f>
        <v>-</v>
      </c>
      <c r="L5" s="9" t="str" cm="1">
        <f t="array" ref="L5">_xlfn.IFS(OR(L1="sam",L1="sai"),1,L1="sav","-",OR(L1="sap",L1="saa"),0,L1="sar",0)</f>
        <v>-</v>
      </c>
      <c r="M5" s="9" t="str" cm="1">
        <f t="array" ref="M5">_xlfn.IFS(OR(M1="sam",M1="sai"),1,M1="sav","-",OR(M1="sap",M1="saa"),0,M1="sar",0)</f>
        <v>-</v>
      </c>
      <c r="N5" s="9" t="str" cm="1">
        <f t="array" ref="N5">_xlfn.IFS(OR(N1="sam",N1="sai"),1,N1="sav","-",OR(N1="sap",N1="saa"),0,N1="sar",0)</f>
        <v>-</v>
      </c>
      <c r="O5" s="9" t="str" cm="1">
        <f t="array" ref="O5">_xlfn.IFS(OR(O1="sam",O1="sai"),1,O1="sav","-",OR(O1="sap",O1="saa"),0,O1="sar",0)</f>
        <v>-</v>
      </c>
      <c r="P5" s="9" t="str" cm="1">
        <f t="array" ref="P5">_xlfn.IFS(OR(P1="sam",P1="sai"),1,P1="sav","-",OR(P1="sap",P1="saa"),0,P1="sar",0)</f>
        <v>-</v>
      </c>
      <c r="Q5" s="9" t="str" cm="1">
        <f t="array" ref="Q5">_xlfn.IFS(OR(Q1="sam",Q1="sai"),1,Q1="sav","-",OR(Q1="sap",Q1="saa"),0,Q1="sar",0)</f>
        <v>-</v>
      </c>
      <c r="R5" s="9" t="str" cm="1">
        <f t="array" ref="R5">_xlfn.IFS(OR(R1="sam",R1="sai"),1,R1="sav","-",OR(R1="sap",R1="saa"),0,R1="sar",0)</f>
        <v>-</v>
      </c>
      <c r="S5" s="9" t="str" cm="1">
        <f t="array" ref="S5">_xlfn.IFS(OR(S1="sam",S1="sai"),1,S1="sav","-",OR(S1="sap",S1="saa"),0,S1="sar",0)</f>
        <v>-</v>
      </c>
      <c r="T5" s="9" t="str" cm="1">
        <f t="array" ref="T5">_xlfn.IFS(OR(T1="sam",T1="sai"),1,T1="sav","-",OR(T1="sap",T1="saa"),0,T1="sar",0)</f>
        <v>-</v>
      </c>
      <c r="U5" s="9" t="str" cm="1">
        <f t="array" ref="U5">_xlfn.IFS(OR(U1="sam",U1="sai"),1,U1="sav","-",OR(U1="sap",U1="saa"),0,U1="sar",0)</f>
        <v>-</v>
      </c>
      <c r="V5" s="9" t="str" cm="1">
        <f t="array" ref="V5">_xlfn.IFS(OR(V1="sam",V1="sai"),1,V1="sav","-",OR(V1="sap",V1="saa"),0,V1="sar",0)</f>
        <v>-</v>
      </c>
      <c r="W5" s="9" t="str" cm="1">
        <f t="array" ref="W5">_xlfn.IFS(OR(W1="sam",W1="sai"),1,W1="sav","-",OR(W1="sap",W1="saa"),0,W1="sar",0)</f>
        <v>-</v>
      </c>
      <c r="X5" s="9" t="str" cm="1">
        <f t="array" ref="X5">_xlfn.IFS(OR(X1="sam",X1="sai"),1,X1="sav","-",OR(X1="sap",X1="saa"),0,X1="sar",0)</f>
        <v>-</v>
      </c>
      <c r="Y5" s="9" t="str" cm="1">
        <f t="array" ref="Y5">_xlfn.IFS(OR(Y1="sam",Y1="sai"),1,Y1="sav","-",OR(Y1="sap",Y1="saa"),0,Y1="sar",0)</f>
        <v>-</v>
      </c>
      <c r="Z5" s="9" t="str" cm="1">
        <f t="array" ref="Z5">_xlfn.IFS(OR(Z1="sam",Z1="sai"),1,Z1="sav","-",OR(Z1="sap",Z1="saa"),0,Z1="sar",0)</f>
        <v>-</v>
      </c>
      <c r="AA5" s="9" t="str" cm="1">
        <f t="array" ref="AA5">_xlfn.IFS(OR(AA1="sam",AA1="sai"),1,AA1="sav","-",OR(AA1="sap",AA1="saa"),0,AA1="sar",0)</f>
        <v>-</v>
      </c>
      <c r="AB5" s="9" t="str" cm="1">
        <f t="array" ref="AB5">_xlfn.IFS(OR(AB1="sam",AB1="sai"),1,AB1="sav","-",OR(AB1="sap",AB1="saa"),0,AB1="sar",0)</f>
        <v>-</v>
      </c>
      <c r="AC5" s="9" t="str" cm="1">
        <f t="array" ref="AC5">_xlfn.IFS(OR(AC1="sam",AC1="sai"),1,AC1="sav","-",OR(AC1="sap",AC1="saa"),0,AC1="sar",0)</f>
        <v>-</v>
      </c>
      <c r="AD5" s="9" t="str" cm="1">
        <f t="array" ref="AD5">_xlfn.IFS(OR(AD1="sam",AD1="sai"),1,AD1="sav","-",OR(AD1="sap",AD1="saa"),0,AD1="sar",0)</f>
        <v>-</v>
      </c>
      <c r="AE5" s="9" t="str" cm="1">
        <f t="array" ref="AE5">_xlfn.IFS(OR(AE1="sam",AE1="sai"),1,AE1="sav","-",OR(AE1="sap",AE1="saa"),0,AE1="sar",0)</f>
        <v>-</v>
      </c>
      <c r="AF5" s="9" t="str" cm="1">
        <f t="array" ref="AF5">_xlfn.IFS(OR(AF1="sam",AF1="sai"),1,AF1="sav","-",OR(AF1="sap",AF1="saa"),0,AF1="sar",0)</f>
        <v>-</v>
      </c>
      <c r="AG5" s="9" t="str" cm="1">
        <f t="array" ref="AG5">_xlfn.IFS(OR(AG1="sam",AG1="sai"),1,AG1="sav","-",OR(AG1="sap",AG1="saa"),0,AG1="sar",0)</f>
        <v>-</v>
      </c>
      <c r="AH5" s="9" t="str" cm="1">
        <f t="array" ref="AH5">_xlfn.IFS(OR(AH1="sam",AH1="sai"),1,AH1="sav","-",OR(AH1="sap",AH1="saa"),0,AH1="sar",0)</f>
        <v>-</v>
      </c>
      <c r="AI5" s="9" t="str" cm="1">
        <f t="array" ref="AI5">_xlfn.IFS(OR(AI1="sam",AI1="sai"),1,AI1="sav","-",OR(AI1="sap",AI1="saa"),0,AI1="sar",0)</f>
        <v>-</v>
      </c>
      <c r="AJ5" s="9" t="str" cm="1">
        <f t="array" ref="AJ5">_xlfn.IFS(OR(AJ1="sam",AJ1="sai"),1,AJ1="sav","-",OR(AJ1="sap",AJ1="saa"),0,AJ1="sar",0)</f>
        <v>-</v>
      </c>
      <c r="AK5" s="9" t="str" cm="1">
        <f t="array" ref="AK5">_xlfn.IFS(OR(AK1="sam",AK1="sai"),1,AK1="sav","-",OR(AK1="sap",AK1="saa"),0,AK1="sar",0)</f>
        <v>-</v>
      </c>
      <c r="AL5" s="9" t="str" cm="1">
        <f t="array" ref="AL5">_xlfn.IFS(OR(AL1="sam",AL1="sai"),1,AL1="sav","-",OR(AL1="sap",AL1="saa"),0,AL1="sar",0)</f>
        <v>-</v>
      </c>
      <c r="AM5" s="9" t="str" cm="1">
        <f t="array" ref="AM5">_xlfn.IFS(OR(AM1="sam",AM1="sai"),1,AM1="sav","-",OR(AM1="sap",AM1="saa"),0,AM1="sar",0)</f>
        <v>-</v>
      </c>
      <c r="AN5" s="9" cm="1">
        <f t="array" ref="AN5">_xlfn.IFS(OR(AN1="sam",AN1="sai"),1,AN1="sav","-",OR(AN1="sap",AN1="saa"),0,AN1="sar",0)</f>
        <v>1</v>
      </c>
      <c r="AO5" s="9" cm="1">
        <f t="array" ref="AO5">_xlfn.IFS(OR(AO1="sam",AO1="sai"),1,AO1="sav","-",OR(AO1="sap",AO1="saa"),0,AO1="sar",0)</f>
        <v>1</v>
      </c>
      <c r="AP5" s="9" cm="1">
        <f t="array" ref="AP5">_xlfn.IFS(OR(AP1="sam",AP1="sai"),1,AP1="sav","-",OR(AP1="sap",AP1="saa"),0,AP1="sar",0)</f>
        <v>1</v>
      </c>
      <c r="AQ5" s="9" cm="1">
        <f t="array" ref="AQ5">_xlfn.IFS(OR(AQ1="sam",AQ1="sai"),1,AQ1="sav","-",OR(AQ1="sap",AQ1="saa"),0,AQ1="sar",0)</f>
        <v>1</v>
      </c>
      <c r="AR5" s="9" cm="1">
        <f t="array" ref="AR5">_xlfn.IFS(OR(AR1="sam",AR1="sai"),1,AR1="sav","-",OR(AR1="sap",AR1="saa"),0,AR1="sar",0)</f>
        <v>1</v>
      </c>
      <c r="AS5" s="9" cm="1">
        <f t="array" ref="AS5">_xlfn.IFS(OR(AS1="sam",AS1="sai"),1,AS1="sav","-",OR(AS1="sap",AS1="saa"),0,AS1="sar",0)</f>
        <v>1</v>
      </c>
      <c r="AT5" s="9" cm="1">
        <f t="array" ref="AT5">_xlfn.IFS(OR(AT1="sam",AT1="sai"),1,AT1="sav","-",OR(AT1="sap",AT1="saa"),0,AT1="sar",0)</f>
        <v>1</v>
      </c>
      <c r="AU5" s="9" cm="1">
        <f t="array" ref="AU5">_xlfn.IFS(OR(AU1="sam",AU1="sai"),1,AU1="sav","-",OR(AU1="sap",AU1="saa"),0,AU1="sar",0)</f>
        <v>1</v>
      </c>
      <c r="AV5" s="9" cm="1">
        <f t="array" ref="AV5">_xlfn.IFS(OR(AV1="sam",AV1="sai"),1,AV1="sav","-",OR(AV1="sap",AV1="saa"),0,AV1="sar",0)</f>
        <v>1</v>
      </c>
      <c r="AW5" s="9" cm="1">
        <f t="array" ref="AW5">_xlfn.IFS(OR(AW1="sam",AW1="sai"),1,AW1="sav","-",OR(AW1="sap",AW1="saa"),0,AW1="sar",0)</f>
        <v>1</v>
      </c>
      <c r="AX5" s="9" cm="1">
        <f t="array" ref="AX5">_xlfn.IFS(OR(AX1="sam",AX1="sai"),1,AX1="sav","-",OR(AX1="sap",AX1="saa"),0,AX1="sar",0)</f>
        <v>1</v>
      </c>
      <c r="AY5" s="9" cm="1">
        <f t="array" ref="AY5">_xlfn.IFS(OR(AY1="sam",AY1="sai"),1,AY1="sav","-",OR(AY1="sap",AY1="saa"),0,AY1="sar",0)</f>
        <v>1</v>
      </c>
      <c r="AZ5" s="9" cm="1">
        <f t="array" ref="AZ5">_xlfn.IFS(OR(AZ1="sam",AZ1="sai"),1,AZ1="sav","-",OR(AZ1="sap",AZ1="saa"),0,AZ1="sar",0)</f>
        <v>1</v>
      </c>
      <c r="BA5" s="9" cm="1">
        <f t="array" ref="BA5">_xlfn.IFS(OR(BA1="sam",BA1="sai"),1,BA1="sav","-",OR(BA1="sap",BA1="saa"),0,BA1="sar",0)</f>
        <v>1</v>
      </c>
      <c r="BB5" s="9" cm="1">
        <f t="array" ref="BB5">_xlfn.IFS(OR(BB1="sam",BB1="sai"),1,BB1="sav","-",OR(BB1="sap",BB1="saa"),0,BB1="sar",0)</f>
        <v>1</v>
      </c>
      <c r="BC5" s="9" cm="1">
        <f t="array" ref="BC5">_xlfn.IFS(OR(BC1="sam",BC1="sai"),1,BC1="sav","-",OR(BC1="sap",BC1="saa"),0,BC1="sar",0)</f>
        <v>1</v>
      </c>
      <c r="BD5" s="9" cm="1">
        <f t="array" ref="BD5">_xlfn.IFS(OR(BD1="sam",BD1="sai"),1,BD1="sav","-",OR(BD1="sap",BD1="saa"),0,BD1="sar",0)</f>
        <v>0</v>
      </c>
      <c r="BE5" s="9" cm="1">
        <f t="array" ref="BE5">_xlfn.IFS(OR(BE1="sam",BE1="sai"),1,BE1="sav","-",OR(BE1="sap",BE1="saa"),0,BE1="sar",0)</f>
        <v>0</v>
      </c>
      <c r="BF5" s="9" cm="1">
        <f t="array" ref="BF5">_xlfn.IFS(OR(BF1="sam",BF1="sai"),1,BF1="sav","-",OR(BF1="sap",BF1="saa"),0,BF1="sar",0)</f>
        <v>0</v>
      </c>
      <c r="BG5" s="9" cm="1">
        <f t="array" ref="BG5">_xlfn.IFS(OR(BG1="sam",BG1="sai"),1,BG1="sav","-",OR(BG1="sap",BG1="saa"),0,BG1="sar",0)</f>
        <v>0</v>
      </c>
      <c r="BH5" s="9" cm="1">
        <f t="array" ref="BH5">_xlfn.IFS(OR(BH1="sam",BH1="sai"),1,BH1="sav","-",OR(BH1="sap",BH1="saa"),0,BH1="sar",0)</f>
        <v>0</v>
      </c>
      <c r="BI5" s="15">
        <v>0</v>
      </c>
    </row>
    <row r="6" spans="1:61" x14ac:dyDescent="0.35">
      <c r="A6" s="19">
        <v>44277.73196759259</v>
      </c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t="str">
        <f>G$5</f>
        <v>-</v>
      </c>
      <c r="H6" s="22" t="b">
        <v>0</v>
      </c>
      <c r="I6" s="22" t="b">
        <v>1</v>
      </c>
      <c r="J6" t="str">
        <f t="shared" ref="J6:L6" si="0">J$5</f>
        <v>-</v>
      </c>
      <c r="K6" t="str">
        <f t="shared" si="0"/>
        <v>-</v>
      </c>
      <c r="L6" t="str">
        <f t="shared" si="0"/>
        <v>-</v>
      </c>
      <c r="M6" t="str">
        <f t="shared" ref="M6:BH6" si="1">M$5</f>
        <v>-</v>
      </c>
      <c r="N6" t="str">
        <f t="shared" si="1"/>
        <v>-</v>
      </c>
      <c r="O6" t="str">
        <f t="shared" si="1"/>
        <v>-</v>
      </c>
      <c r="P6" t="str">
        <f t="shared" si="1"/>
        <v>-</v>
      </c>
      <c r="Q6" t="str">
        <f t="shared" si="1"/>
        <v>-</v>
      </c>
      <c r="R6" t="str">
        <f t="shared" si="1"/>
        <v>-</v>
      </c>
      <c r="S6" t="str">
        <f t="shared" si="1"/>
        <v>-</v>
      </c>
      <c r="T6" t="str">
        <f t="shared" si="1"/>
        <v>-</v>
      </c>
      <c r="U6" t="str">
        <f t="shared" si="1"/>
        <v>-</v>
      </c>
      <c r="V6" t="str">
        <f t="shared" si="1"/>
        <v>-</v>
      </c>
      <c r="W6" t="str">
        <f t="shared" si="1"/>
        <v>-</v>
      </c>
      <c r="X6" t="str">
        <f t="shared" si="1"/>
        <v>-</v>
      </c>
      <c r="Y6" t="str">
        <f t="shared" si="1"/>
        <v>-</v>
      </c>
      <c r="Z6" t="str">
        <f t="shared" si="1"/>
        <v>-</v>
      </c>
      <c r="AA6" t="str">
        <f t="shared" si="1"/>
        <v>-</v>
      </c>
      <c r="AB6" t="str">
        <f t="shared" si="1"/>
        <v>-</v>
      </c>
      <c r="AC6" t="str">
        <f t="shared" si="1"/>
        <v>-</v>
      </c>
      <c r="AD6" t="str">
        <f t="shared" si="1"/>
        <v>-</v>
      </c>
      <c r="AE6" t="str">
        <f t="shared" si="1"/>
        <v>-</v>
      </c>
      <c r="AF6" t="str">
        <f t="shared" si="1"/>
        <v>-</v>
      </c>
      <c r="AG6" t="str">
        <f t="shared" si="1"/>
        <v>-</v>
      </c>
      <c r="AH6" t="str">
        <f t="shared" si="1"/>
        <v>-</v>
      </c>
      <c r="AI6" t="str">
        <f t="shared" si="1"/>
        <v>-</v>
      </c>
      <c r="AJ6" t="str">
        <f t="shared" si="1"/>
        <v>-</v>
      </c>
      <c r="AK6" t="str">
        <f t="shared" si="1"/>
        <v>-</v>
      </c>
      <c r="AL6" t="str">
        <f t="shared" si="1"/>
        <v>-</v>
      </c>
      <c r="AM6" t="str">
        <f t="shared" si="1"/>
        <v>-</v>
      </c>
      <c r="AN6">
        <f t="shared" si="1"/>
        <v>1</v>
      </c>
      <c r="AO6">
        <f t="shared" si="1"/>
        <v>1</v>
      </c>
      <c r="AP6">
        <f t="shared" si="1"/>
        <v>1</v>
      </c>
      <c r="AQ6">
        <f t="shared" si="1"/>
        <v>1</v>
      </c>
      <c r="AR6">
        <f t="shared" si="1"/>
        <v>1</v>
      </c>
      <c r="AS6">
        <f t="shared" si="1"/>
        <v>1</v>
      </c>
      <c r="AT6">
        <f t="shared" si="1"/>
        <v>1</v>
      </c>
      <c r="AU6">
        <f t="shared" si="1"/>
        <v>1</v>
      </c>
      <c r="AV6">
        <f t="shared" si="1"/>
        <v>1</v>
      </c>
      <c r="AW6">
        <f t="shared" si="1"/>
        <v>1</v>
      </c>
      <c r="AX6">
        <f t="shared" si="1"/>
        <v>1</v>
      </c>
      <c r="AY6">
        <f t="shared" si="1"/>
        <v>1</v>
      </c>
      <c r="AZ6">
        <f t="shared" si="1"/>
        <v>1</v>
      </c>
      <c r="BA6">
        <f t="shared" si="1"/>
        <v>1</v>
      </c>
      <c r="BB6">
        <f t="shared" si="1"/>
        <v>1</v>
      </c>
      <c r="BC6">
        <f t="shared" si="1"/>
        <v>1</v>
      </c>
      <c r="BD6">
        <f t="shared" si="1"/>
        <v>0</v>
      </c>
      <c r="BE6">
        <f t="shared" si="1"/>
        <v>0</v>
      </c>
      <c r="BF6">
        <f t="shared" si="1"/>
        <v>0</v>
      </c>
      <c r="BG6">
        <f t="shared" si="1"/>
        <v>0</v>
      </c>
      <c r="BH6">
        <f t="shared" si="1"/>
        <v>0</v>
      </c>
      <c r="BI6" s="15">
        <v>0</v>
      </c>
    </row>
    <row r="7" spans="1:61" x14ac:dyDescent="0.35">
      <c r="A7" s="19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t="str">
        <f t="shared" ref="G7:BH7" si="2">G$6</f>
        <v>-</v>
      </c>
      <c r="H7" t="b">
        <f t="shared" si="2"/>
        <v>0</v>
      </c>
      <c r="I7" t="b">
        <f t="shared" si="2"/>
        <v>1</v>
      </c>
      <c r="J7" t="str">
        <f t="shared" si="2"/>
        <v>-</v>
      </c>
      <c r="K7" t="str">
        <f t="shared" si="2"/>
        <v>-</v>
      </c>
      <c r="L7" t="str">
        <f t="shared" si="2"/>
        <v>-</v>
      </c>
      <c r="M7" t="str">
        <f t="shared" si="2"/>
        <v>-</v>
      </c>
      <c r="N7" t="str">
        <f t="shared" si="2"/>
        <v>-</v>
      </c>
      <c r="O7" t="str">
        <f t="shared" si="2"/>
        <v>-</v>
      </c>
      <c r="P7" t="str">
        <f t="shared" si="2"/>
        <v>-</v>
      </c>
      <c r="Q7" t="str">
        <f t="shared" si="2"/>
        <v>-</v>
      </c>
      <c r="R7" t="str">
        <f t="shared" si="2"/>
        <v>-</v>
      </c>
      <c r="S7" t="str">
        <f t="shared" si="2"/>
        <v>-</v>
      </c>
      <c r="T7" t="str">
        <f t="shared" si="2"/>
        <v>-</v>
      </c>
      <c r="U7" t="str">
        <f t="shared" si="2"/>
        <v>-</v>
      </c>
      <c r="V7" t="str">
        <f t="shared" si="2"/>
        <v>-</v>
      </c>
      <c r="W7" t="str">
        <f t="shared" si="2"/>
        <v>-</v>
      </c>
      <c r="X7" t="str">
        <f t="shared" si="2"/>
        <v>-</v>
      </c>
      <c r="Y7" t="str">
        <f t="shared" si="2"/>
        <v>-</v>
      </c>
      <c r="Z7" t="str">
        <f t="shared" si="2"/>
        <v>-</v>
      </c>
      <c r="AA7" t="str">
        <f t="shared" si="2"/>
        <v>-</v>
      </c>
      <c r="AB7" t="str">
        <f t="shared" si="2"/>
        <v>-</v>
      </c>
      <c r="AC7" t="str">
        <f t="shared" si="2"/>
        <v>-</v>
      </c>
      <c r="AD7" t="str">
        <f t="shared" si="2"/>
        <v>-</v>
      </c>
      <c r="AE7" t="str">
        <f t="shared" si="2"/>
        <v>-</v>
      </c>
      <c r="AF7" t="str">
        <f t="shared" si="2"/>
        <v>-</v>
      </c>
      <c r="AG7" t="str">
        <f t="shared" si="2"/>
        <v>-</v>
      </c>
      <c r="AH7" t="str">
        <f t="shared" si="2"/>
        <v>-</v>
      </c>
      <c r="AI7" t="str">
        <f t="shared" si="2"/>
        <v>-</v>
      </c>
      <c r="AJ7" t="str">
        <f t="shared" si="2"/>
        <v>-</v>
      </c>
      <c r="AK7" t="str">
        <f t="shared" si="2"/>
        <v>-</v>
      </c>
      <c r="AL7" t="str">
        <f t="shared" si="2"/>
        <v>-</v>
      </c>
      <c r="AM7" t="str">
        <f t="shared" si="2"/>
        <v>-</v>
      </c>
      <c r="AN7">
        <f t="shared" si="2"/>
        <v>1</v>
      </c>
      <c r="AO7">
        <f t="shared" si="2"/>
        <v>1</v>
      </c>
      <c r="AP7">
        <f t="shared" si="2"/>
        <v>1</v>
      </c>
      <c r="AQ7">
        <f t="shared" si="2"/>
        <v>1</v>
      </c>
      <c r="AR7">
        <f t="shared" si="2"/>
        <v>1</v>
      </c>
      <c r="AS7">
        <f t="shared" si="2"/>
        <v>1</v>
      </c>
      <c r="AT7">
        <f t="shared" si="2"/>
        <v>1</v>
      </c>
      <c r="AU7">
        <f t="shared" si="2"/>
        <v>1</v>
      </c>
      <c r="AV7">
        <f t="shared" si="2"/>
        <v>1</v>
      </c>
      <c r="AW7">
        <f t="shared" si="2"/>
        <v>1</v>
      </c>
      <c r="AX7">
        <f t="shared" si="2"/>
        <v>1</v>
      </c>
      <c r="AY7">
        <f t="shared" si="2"/>
        <v>1</v>
      </c>
      <c r="AZ7">
        <f t="shared" si="2"/>
        <v>1</v>
      </c>
      <c r="BA7">
        <f t="shared" si="2"/>
        <v>1</v>
      </c>
      <c r="BB7">
        <f t="shared" si="2"/>
        <v>1</v>
      </c>
      <c r="BC7">
        <f t="shared" si="2"/>
        <v>1</v>
      </c>
      <c r="BD7">
        <f t="shared" si="2"/>
        <v>0</v>
      </c>
      <c r="BE7">
        <f t="shared" si="2"/>
        <v>0</v>
      </c>
      <c r="BF7">
        <f t="shared" si="2"/>
        <v>0</v>
      </c>
      <c r="BG7">
        <f t="shared" si="2"/>
        <v>0</v>
      </c>
      <c r="BH7">
        <f t="shared" si="2"/>
        <v>0</v>
      </c>
      <c r="BI7" s="15">
        <v>0</v>
      </c>
    </row>
    <row r="8" spans="1:61" x14ac:dyDescent="0.35">
      <c r="A8" s="19">
        <v>44275.512511574074</v>
      </c>
      <c r="B8">
        <f t="shared" ref="B8:B46" si="3">ROW(B8)-5</f>
        <v>3</v>
      </c>
      <c r="C8" t="b">
        <v>0</v>
      </c>
      <c r="D8" t="b">
        <v>0</v>
      </c>
      <c r="E8" t="b">
        <v>0</v>
      </c>
      <c r="F8" s="3" t="s">
        <v>11</v>
      </c>
      <c r="G8" t="str">
        <f t="shared" ref="G8:T17" si="4">G$6</f>
        <v>-</v>
      </c>
      <c r="H8" t="b">
        <f t="shared" si="4"/>
        <v>0</v>
      </c>
      <c r="I8" t="b">
        <f t="shared" si="4"/>
        <v>1</v>
      </c>
      <c r="J8" t="str">
        <f t="shared" si="4"/>
        <v>-</v>
      </c>
      <c r="K8" t="str">
        <f t="shared" si="4"/>
        <v>-</v>
      </c>
      <c r="L8" t="str">
        <f t="shared" si="4"/>
        <v>-</v>
      </c>
      <c r="M8" t="str">
        <f t="shared" si="4"/>
        <v>-</v>
      </c>
      <c r="N8" t="str">
        <f t="shared" si="4"/>
        <v>-</v>
      </c>
      <c r="O8" t="str">
        <f t="shared" si="4"/>
        <v>-</v>
      </c>
      <c r="P8" t="str">
        <f t="shared" si="4"/>
        <v>-</v>
      </c>
      <c r="Q8" t="str">
        <f t="shared" si="4"/>
        <v>-</v>
      </c>
      <c r="R8" t="str">
        <f t="shared" si="4"/>
        <v>-</v>
      </c>
      <c r="S8" t="str">
        <f t="shared" si="4"/>
        <v>-</v>
      </c>
      <c r="T8" t="str">
        <f t="shared" si="4"/>
        <v>-</v>
      </c>
      <c r="U8" t="str">
        <f t="shared" ref="U8:AM17" si="5">U$6</f>
        <v>-</v>
      </c>
      <c r="V8" t="str">
        <f t="shared" si="5"/>
        <v>-</v>
      </c>
      <c r="W8" t="str">
        <f t="shared" si="5"/>
        <v>-</v>
      </c>
      <c r="X8" t="str">
        <f t="shared" si="5"/>
        <v>-</v>
      </c>
      <c r="Y8" t="str">
        <f t="shared" si="5"/>
        <v>-</v>
      </c>
      <c r="Z8" t="str">
        <f t="shared" si="5"/>
        <v>-</v>
      </c>
      <c r="AA8" t="str">
        <f t="shared" si="5"/>
        <v>-</v>
      </c>
      <c r="AB8" t="str">
        <f t="shared" si="5"/>
        <v>-</v>
      </c>
      <c r="AC8" t="str">
        <f t="shared" si="5"/>
        <v>-</v>
      </c>
      <c r="AD8" t="str">
        <f t="shared" si="5"/>
        <v>-</v>
      </c>
      <c r="AE8" t="str">
        <f t="shared" si="5"/>
        <v>-</v>
      </c>
      <c r="AF8" t="str">
        <f t="shared" si="5"/>
        <v>-</v>
      </c>
      <c r="AG8" t="str">
        <f t="shared" si="5"/>
        <v>-</v>
      </c>
      <c r="AH8" t="str">
        <f t="shared" si="5"/>
        <v>-</v>
      </c>
      <c r="AI8" t="str">
        <f t="shared" si="5"/>
        <v>-</v>
      </c>
      <c r="AJ8" t="str">
        <f t="shared" si="5"/>
        <v>-</v>
      </c>
      <c r="AK8" t="str">
        <f t="shared" si="5"/>
        <v>-</v>
      </c>
      <c r="AL8" t="str">
        <f t="shared" si="5"/>
        <v>-</v>
      </c>
      <c r="AM8" t="str">
        <f t="shared" si="5"/>
        <v>-</v>
      </c>
      <c r="AN8" s="22">
        <v>0.9</v>
      </c>
      <c r="AO8">
        <f t="shared" ref="AO8:BH9" si="6">AO$6</f>
        <v>1</v>
      </c>
      <c r="AP8">
        <f t="shared" si="6"/>
        <v>1</v>
      </c>
      <c r="AQ8">
        <f t="shared" si="6"/>
        <v>1</v>
      </c>
      <c r="AR8">
        <f t="shared" si="6"/>
        <v>1</v>
      </c>
      <c r="AS8">
        <f t="shared" si="6"/>
        <v>1</v>
      </c>
      <c r="AT8">
        <f t="shared" si="6"/>
        <v>1</v>
      </c>
      <c r="AU8">
        <f t="shared" si="6"/>
        <v>1</v>
      </c>
      <c r="AV8">
        <f t="shared" si="6"/>
        <v>1</v>
      </c>
      <c r="AW8">
        <f t="shared" si="6"/>
        <v>1</v>
      </c>
      <c r="AX8">
        <f t="shared" si="6"/>
        <v>1</v>
      </c>
      <c r="AY8">
        <f t="shared" si="6"/>
        <v>1</v>
      </c>
      <c r="AZ8">
        <f t="shared" si="6"/>
        <v>1</v>
      </c>
      <c r="BA8">
        <f t="shared" si="6"/>
        <v>1</v>
      </c>
      <c r="BB8">
        <f t="shared" si="6"/>
        <v>1</v>
      </c>
      <c r="BC8">
        <f t="shared" si="6"/>
        <v>1</v>
      </c>
      <c r="BD8">
        <f t="shared" si="6"/>
        <v>0</v>
      </c>
      <c r="BE8">
        <f t="shared" si="6"/>
        <v>0</v>
      </c>
      <c r="BF8">
        <f t="shared" si="6"/>
        <v>0</v>
      </c>
      <c r="BG8">
        <f t="shared" si="6"/>
        <v>0</v>
      </c>
      <c r="BH8">
        <f t="shared" si="6"/>
        <v>0</v>
      </c>
      <c r="BI8" s="15">
        <v>0</v>
      </c>
    </row>
    <row r="9" spans="1:61" x14ac:dyDescent="0.35">
      <c r="A9" s="19"/>
      <c r="B9">
        <f t="shared" si="3"/>
        <v>4</v>
      </c>
      <c r="C9" t="b">
        <v>0</v>
      </c>
      <c r="D9" t="b">
        <v>0</v>
      </c>
      <c r="E9" t="b">
        <v>0</v>
      </c>
      <c r="F9" s="3" t="s">
        <v>12</v>
      </c>
      <c r="G9" t="str">
        <f t="shared" si="4"/>
        <v>-</v>
      </c>
      <c r="H9" t="b">
        <f t="shared" si="4"/>
        <v>0</v>
      </c>
      <c r="I9" t="b">
        <f t="shared" si="4"/>
        <v>1</v>
      </c>
      <c r="J9" t="str">
        <f t="shared" si="4"/>
        <v>-</v>
      </c>
      <c r="K9" t="str">
        <f t="shared" si="4"/>
        <v>-</v>
      </c>
      <c r="L9" t="str">
        <f t="shared" si="4"/>
        <v>-</v>
      </c>
      <c r="M9" t="str">
        <f t="shared" si="4"/>
        <v>-</v>
      </c>
      <c r="N9" t="str">
        <f t="shared" si="4"/>
        <v>-</v>
      </c>
      <c r="O9" t="str">
        <f t="shared" si="4"/>
        <v>-</v>
      </c>
      <c r="P9" t="str">
        <f t="shared" si="4"/>
        <v>-</v>
      </c>
      <c r="Q9" t="str">
        <f t="shared" si="4"/>
        <v>-</v>
      </c>
      <c r="R9" t="str">
        <f t="shared" si="4"/>
        <v>-</v>
      </c>
      <c r="S9" t="str">
        <f t="shared" si="4"/>
        <v>-</v>
      </c>
      <c r="T9" t="str">
        <f t="shared" si="4"/>
        <v>-</v>
      </c>
      <c r="U9" t="str">
        <f t="shared" si="5"/>
        <v>-</v>
      </c>
      <c r="V9" t="str">
        <f t="shared" si="5"/>
        <v>-</v>
      </c>
      <c r="W9" t="str">
        <f t="shared" si="5"/>
        <v>-</v>
      </c>
      <c r="X9" t="str">
        <f t="shared" si="5"/>
        <v>-</v>
      </c>
      <c r="Y9" t="str">
        <f t="shared" si="5"/>
        <v>-</v>
      </c>
      <c r="Z9" t="str">
        <f t="shared" si="5"/>
        <v>-</v>
      </c>
      <c r="AA9" t="str">
        <f t="shared" si="5"/>
        <v>-</v>
      </c>
      <c r="AB9" t="str">
        <f t="shared" si="5"/>
        <v>-</v>
      </c>
      <c r="AC9" t="str">
        <f t="shared" si="5"/>
        <v>-</v>
      </c>
      <c r="AD9" t="str">
        <f t="shared" si="5"/>
        <v>-</v>
      </c>
      <c r="AE9" t="str">
        <f t="shared" si="5"/>
        <v>-</v>
      </c>
      <c r="AF9" t="str">
        <f t="shared" si="5"/>
        <v>-</v>
      </c>
      <c r="AG9" t="str">
        <f t="shared" si="5"/>
        <v>-</v>
      </c>
      <c r="AH9" t="str">
        <f t="shared" si="5"/>
        <v>-</v>
      </c>
      <c r="AI9" t="str">
        <f t="shared" si="5"/>
        <v>-</v>
      </c>
      <c r="AJ9" t="str">
        <f t="shared" si="5"/>
        <v>-</v>
      </c>
      <c r="AK9" t="str">
        <f t="shared" si="5"/>
        <v>-</v>
      </c>
      <c r="AL9" t="str">
        <f t="shared" si="5"/>
        <v>-</v>
      </c>
      <c r="AM9" t="str">
        <f t="shared" si="5"/>
        <v>-</v>
      </c>
      <c r="AN9" s="22">
        <v>1.1000000000000001</v>
      </c>
      <c r="AO9">
        <f t="shared" si="6"/>
        <v>1</v>
      </c>
      <c r="AP9">
        <f t="shared" si="6"/>
        <v>1</v>
      </c>
      <c r="AQ9">
        <f t="shared" si="6"/>
        <v>1</v>
      </c>
      <c r="AR9">
        <f t="shared" si="6"/>
        <v>1</v>
      </c>
      <c r="AS9">
        <f t="shared" si="6"/>
        <v>1</v>
      </c>
      <c r="AT9">
        <f t="shared" si="6"/>
        <v>1</v>
      </c>
      <c r="AU9">
        <f t="shared" si="6"/>
        <v>1</v>
      </c>
      <c r="AV9">
        <f t="shared" si="6"/>
        <v>1</v>
      </c>
      <c r="AW9">
        <f t="shared" si="6"/>
        <v>1</v>
      </c>
      <c r="AX9">
        <f t="shared" si="6"/>
        <v>1</v>
      </c>
      <c r="AY9">
        <f t="shared" si="6"/>
        <v>1</v>
      </c>
      <c r="AZ9">
        <f t="shared" si="6"/>
        <v>1</v>
      </c>
      <c r="BA9">
        <f t="shared" si="6"/>
        <v>1</v>
      </c>
      <c r="BB9">
        <f t="shared" si="6"/>
        <v>1</v>
      </c>
      <c r="BC9">
        <f t="shared" si="6"/>
        <v>1</v>
      </c>
      <c r="BD9">
        <f t="shared" si="6"/>
        <v>0</v>
      </c>
      <c r="BE9">
        <f t="shared" si="6"/>
        <v>0</v>
      </c>
      <c r="BF9">
        <f t="shared" si="6"/>
        <v>0</v>
      </c>
      <c r="BG9">
        <f t="shared" si="6"/>
        <v>0</v>
      </c>
      <c r="BH9">
        <f t="shared" si="6"/>
        <v>0</v>
      </c>
      <c r="BI9" s="15">
        <v>0</v>
      </c>
    </row>
    <row r="10" spans="1:61" x14ac:dyDescent="0.35">
      <c r="A10" s="19"/>
      <c r="B10">
        <f t="shared" si="3"/>
        <v>5</v>
      </c>
      <c r="C10" t="b">
        <v>0</v>
      </c>
      <c r="D10" t="b">
        <v>0</v>
      </c>
      <c r="E10" t="b">
        <v>0</v>
      </c>
      <c r="F10" s="3" t="s">
        <v>13</v>
      </c>
      <c r="G10" t="str">
        <f t="shared" si="4"/>
        <v>-</v>
      </c>
      <c r="H10" t="b">
        <f t="shared" si="4"/>
        <v>0</v>
      </c>
      <c r="I10" t="b">
        <f t="shared" si="4"/>
        <v>1</v>
      </c>
      <c r="J10" t="str">
        <f t="shared" si="4"/>
        <v>-</v>
      </c>
      <c r="K10" t="str">
        <f t="shared" si="4"/>
        <v>-</v>
      </c>
      <c r="L10" t="str">
        <f t="shared" si="4"/>
        <v>-</v>
      </c>
      <c r="M10" t="str">
        <f t="shared" si="4"/>
        <v>-</v>
      </c>
      <c r="N10" t="str">
        <f t="shared" si="4"/>
        <v>-</v>
      </c>
      <c r="O10" t="str">
        <f t="shared" si="4"/>
        <v>-</v>
      </c>
      <c r="P10" t="str">
        <f t="shared" si="4"/>
        <v>-</v>
      </c>
      <c r="Q10" t="str">
        <f t="shared" si="4"/>
        <v>-</v>
      </c>
      <c r="R10" t="str">
        <f t="shared" si="4"/>
        <v>-</v>
      </c>
      <c r="S10" t="str">
        <f t="shared" si="4"/>
        <v>-</v>
      </c>
      <c r="T10" t="str">
        <f t="shared" si="4"/>
        <v>-</v>
      </c>
      <c r="U10" t="str">
        <f t="shared" si="5"/>
        <v>-</v>
      </c>
      <c r="V10" t="str">
        <f t="shared" si="5"/>
        <v>-</v>
      </c>
      <c r="W10" t="str">
        <f t="shared" si="5"/>
        <v>-</v>
      </c>
      <c r="X10" t="str">
        <f t="shared" si="5"/>
        <v>-</v>
      </c>
      <c r="Y10" t="str">
        <f t="shared" si="5"/>
        <v>-</v>
      </c>
      <c r="Z10" t="str">
        <f t="shared" si="5"/>
        <v>-</v>
      </c>
      <c r="AA10" t="str">
        <f t="shared" si="5"/>
        <v>-</v>
      </c>
      <c r="AB10" t="str">
        <f t="shared" si="5"/>
        <v>-</v>
      </c>
      <c r="AC10" t="str">
        <f t="shared" si="5"/>
        <v>-</v>
      </c>
      <c r="AD10" t="str">
        <f t="shared" si="5"/>
        <v>-</v>
      </c>
      <c r="AE10" t="str">
        <f t="shared" si="5"/>
        <v>-</v>
      </c>
      <c r="AF10" t="str">
        <f t="shared" si="5"/>
        <v>-</v>
      </c>
      <c r="AG10" t="str">
        <f t="shared" si="5"/>
        <v>-</v>
      </c>
      <c r="AH10" t="str">
        <f t="shared" si="5"/>
        <v>-</v>
      </c>
      <c r="AI10" t="str">
        <f t="shared" si="5"/>
        <v>-</v>
      </c>
      <c r="AJ10" t="str">
        <f t="shared" si="5"/>
        <v>-</v>
      </c>
      <c r="AK10" t="str">
        <f t="shared" si="5"/>
        <v>-</v>
      </c>
      <c r="AL10" t="str">
        <f t="shared" si="5"/>
        <v>-</v>
      </c>
      <c r="AM10" t="str">
        <f t="shared" si="5"/>
        <v>-</v>
      </c>
      <c r="AN10">
        <f t="shared" ref="AN10:AN45" si="7">AN$6</f>
        <v>1</v>
      </c>
      <c r="AO10" s="22">
        <v>0.9</v>
      </c>
      <c r="AP10">
        <f t="shared" ref="AP10:BH11" si="8">AP$6</f>
        <v>1</v>
      </c>
      <c r="AQ10">
        <f t="shared" si="8"/>
        <v>1</v>
      </c>
      <c r="AR10">
        <f t="shared" si="8"/>
        <v>1</v>
      </c>
      <c r="AS10">
        <f t="shared" si="8"/>
        <v>1</v>
      </c>
      <c r="AT10">
        <f t="shared" si="8"/>
        <v>1</v>
      </c>
      <c r="AU10">
        <f t="shared" si="8"/>
        <v>1</v>
      </c>
      <c r="AV10">
        <f t="shared" si="8"/>
        <v>1</v>
      </c>
      <c r="AW10">
        <f t="shared" si="8"/>
        <v>1</v>
      </c>
      <c r="AX10">
        <f t="shared" si="8"/>
        <v>1</v>
      </c>
      <c r="AY10">
        <f t="shared" si="8"/>
        <v>1</v>
      </c>
      <c r="AZ10">
        <f t="shared" si="8"/>
        <v>1</v>
      </c>
      <c r="BA10">
        <f t="shared" si="8"/>
        <v>1</v>
      </c>
      <c r="BB10">
        <f t="shared" si="8"/>
        <v>1</v>
      </c>
      <c r="BC10">
        <f t="shared" si="8"/>
        <v>1</v>
      </c>
      <c r="BD10">
        <f t="shared" si="8"/>
        <v>0</v>
      </c>
      <c r="BE10">
        <f t="shared" si="8"/>
        <v>0</v>
      </c>
      <c r="BF10">
        <f t="shared" si="8"/>
        <v>0</v>
      </c>
      <c r="BG10">
        <f t="shared" si="8"/>
        <v>0</v>
      </c>
      <c r="BH10">
        <f t="shared" si="8"/>
        <v>0</v>
      </c>
      <c r="BI10" s="15">
        <v>0</v>
      </c>
    </row>
    <row r="11" spans="1:61" x14ac:dyDescent="0.35">
      <c r="A11" s="19"/>
      <c r="B11">
        <f t="shared" si="3"/>
        <v>6</v>
      </c>
      <c r="C11" t="b">
        <v>0</v>
      </c>
      <c r="D11" t="b">
        <v>0</v>
      </c>
      <c r="E11" t="b">
        <v>0</v>
      </c>
      <c r="F11" s="3" t="s">
        <v>14</v>
      </c>
      <c r="G11" t="str">
        <f t="shared" si="4"/>
        <v>-</v>
      </c>
      <c r="H11" t="b">
        <f t="shared" si="4"/>
        <v>0</v>
      </c>
      <c r="I11" t="b">
        <f t="shared" si="4"/>
        <v>1</v>
      </c>
      <c r="J11" t="str">
        <f t="shared" si="4"/>
        <v>-</v>
      </c>
      <c r="K11" t="str">
        <f t="shared" si="4"/>
        <v>-</v>
      </c>
      <c r="L11" t="str">
        <f t="shared" si="4"/>
        <v>-</v>
      </c>
      <c r="M11" t="str">
        <f t="shared" si="4"/>
        <v>-</v>
      </c>
      <c r="N11" t="str">
        <f t="shared" si="4"/>
        <v>-</v>
      </c>
      <c r="O11" t="str">
        <f t="shared" si="4"/>
        <v>-</v>
      </c>
      <c r="P11" t="str">
        <f t="shared" si="4"/>
        <v>-</v>
      </c>
      <c r="Q11" t="str">
        <f t="shared" si="4"/>
        <v>-</v>
      </c>
      <c r="R11" t="str">
        <f t="shared" si="4"/>
        <v>-</v>
      </c>
      <c r="S11" t="str">
        <f t="shared" si="4"/>
        <v>-</v>
      </c>
      <c r="T11" t="str">
        <f t="shared" si="4"/>
        <v>-</v>
      </c>
      <c r="U11" t="str">
        <f t="shared" si="5"/>
        <v>-</v>
      </c>
      <c r="V11" t="str">
        <f t="shared" si="5"/>
        <v>-</v>
      </c>
      <c r="W11" t="str">
        <f t="shared" si="5"/>
        <v>-</v>
      </c>
      <c r="X11" t="str">
        <f t="shared" si="5"/>
        <v>-</v>
      </c>
      <c r="Y11" t="str">
        <f t="shared" si="5"/>
        <v>-</v>
      </c>
      <c r="Z11" t="str">
        <f t="shared" si="5"/>
        <v>-</v>
      </c>
      <c r="AA11" t="str">
        <f t="shared" si="5"/>
        <v>-</v>
      </c>
      <c r="AB11" t="str">
        <f t="shared" si="5"/>
        <v>-</v>
      </c>
      <c r="AC11" t="str">
        <f t="shared" si="5"/>
        <v>-</v>
      </c>
      <c r="AD11" t="str">
        <f t="shared" si="5"/>
        <v>-</v>
      </c>
      <c r="AE11" t="str">
        <f t="shared" si="5"/>
        <v>-</v>
      </c>
      <c r="AF11" t="str">
        <f t="shared" si="5"/>
        <v>-</v>
      </c>
      <c r="AG11" t="str">
        <f t="shared" si="5"/>
        <v>-</v>
      </c>
      <c r="AH11" t="str">
        <f t="shared" si="5"/>
        <v>-</v>
      </c>
      <c r="AI11" t="str">
        <f t="shared" si="5"/>
        <v>-</v>
      </c>
      <c r="AJ11" t="str">
        <f t="shared" si="5"/>
        <v>-</v>
      </c>
      <c r="AK11" t="str">
        <f t="shared" si="5"/>
        <v>-</v>
      </c>
      <c r="AL11" t="str">
        <f t="shared" si="5"/>
        <v>-</v>
      </c>
      <c r="AM11" t="str">
        <f t="shared" si="5"/>
        <v>-</v>
      </c>
      <c r="AN11">
        <f t="shared" si="7"/>
        <v>1</v>
      </c>
      <c r="AO11" s="22">
        <v>1.1000000000000001</v>
      </c>
      <c r="AP11">
        <f t="shared" si="8"/>
        <v>1</v>
      </c>
      <c r="AQ11">
        <f t="shared" si="8"/>
        <v>1</v>
      </c>
      <c r="AR11">
        <f t="shared" si="8"/>
        <v>1</v>
      </c>
      <c r="AS11">
        <f t="shared" si="8"/>
        <v>1</v>
      </c>
      <c r="AT11">
        <f t="shared" si="8"/>
        <v>1</v>
      </c>
      <c r="AU11">
        <f t="shared" si="8"/>
        <v>1</v>
      </c>
      <c r="AV11">
        <f t="shared" si="8"/>
        <v>1</v>
      </c>
      <c r="AW11">
        <f t="shared" si="8"/>
        <v>1</v>
      </c>
      <c r="AX11">
        <f t="shared" si="8"/>
        <v>1</v>
      </c>
      <c r="AY11">
        <f t="shared" si="8"/>
        <v>1</v>
      </c>
      <c r="AZ11">
        <f t="shared" si="8"/>
        <v>1</v>
      </c>
      <c r="BA11">
        <f t="shared" si="8"/>
        <v>1</v>
      </c>
      <c r="BB11">
        <f t="shared" si="8"/>
        <v>1</v>
      </c>
      <c r="BC11">
        <f t="shared" si="8"/>
        <v>1</v>
      </c>
      <c r="BD11">
        <f t="shared" si="8"/>
        <v>0</v>
      </c>
      <c r="BE11">
        <f t="shared" si="8"/>
        <v>0</v>
      </c>
      <c r="BF11">
        <f t="shared" si="8"/>
        <v>0</v>
      </c>
      <c r="BG11">
        <f t="shared" si="8"/>
        <v>0</v>
      </c>
      <c r="BH11">
        <f t="shared" si="8"/>
        <v>0</v>
      </c>
      <c r="BI11" s="15">
        <v>0</v>
      </c>
    </row>
    <row r="12" spans="1:61" x14ac:dyDescent="0.35">
      <c r="A12" s="19"/>
      <c r="B12">
        <f t="shared" si="3"/>
        <v>7</v>
      </c>
      <c r="C12" t="b">
        <v>0</v>
      </c>
      <c r="D12" t="b">
        <v>0</v>
      </c>
      <c r="E12" t="b">
        <v>0</v>
      </c>
      <c r="F12" s="3" t="s">
        <v>15</v>
      </c>
      <c r="G12" t="str">
        <f t="shared" si="4"/>
        <v>-</v>
      </c>
      <c r="H12" t="b">
        <f t="shared" si="4"/>
        <v>0</v>
      </c>
      <c r="I12" t="b">
        <f t="shared" si="4"/>
        <v>1</v>
      </c>
      <c r="J12" t="str">
        <f t="shared" si="4"/>
        <v>-</v>
      </c>
      <c r="K12" t="str">
        <f t="shared" si="4"/>
        <v>-</v>
      </c>
      <c r="L12" t="str">
        <f t="shared" si="4"/>
        <v>-</v>
      </c>
      <c r="M12" t="str">
        <f t="shared" si="4"/>
        <v>-</v>
      </c>
      <c r="N12" t="str">
        <f t="shared" si="4"/>
        <v>-</v>
      </c>
      <c r="O12" t="str">
        <f t="shared" si="4"/>
        <v>-</v>
      </c>
      <c r="P12" t="str">
        <f t="shared" si="4"/>
        <v>-</v>
      </c>
      <c r="Q12" t="str">
        <f t="shared" si="4"/>
        <v>-</v>
      </c>
      <c r="R12" t="str">
        <f t="shared" si="4"/>
        <v>-</v>
      </c>
      <c r="S12" t="str">
        <f t="shared" si="4"/>
        <v>-</v>
      </c>
      <c r="T12" t="str">
        <f t="shared" si="4"/>
        <v>-</v>
      </c>
      <c r="U12" t="str">
        <f t="shared" si="5"/>
        <v>-</v>
      </c>
      <c r="V12" t="str">
        <f t="shared" si="5"/>
        <v>-</v>
      </c>
      <c r="W12" t="str">
        <f t="shared" si="5"/>
        <v>-</v>
      </c>
      <c r="X12" t="str">
        <f t="shared" si="5"/>
        <v>-</v>
      </c>
      <c r="Y12" t="str">
        <f t="shared" si="5"/>
        <v>-</v>
      </c>
      <c r="Z12" t="str">
        <f t="shared" si="5"/>
        <v>-</v>
      </c>
      <c r="AA12" t="str">
        <f t="shared" si="5"/>
        <v>-</v>
      </c>
      <c r="AB12" t="str">
        <f t="shared" si="5"/>
        <v>-</v>
      </c>
      <c r="AC12" t="str">
        <f t="shared" si="5"/>
        <v>-</v>
      </c>
      <c r="AD12" t="str">
        <f t="shared" si="5"/>
        <v>-</v>
      </c>
      <c r="AE12" t="str">
        <f t="shared" si="5"/>
        <v>-</v>
      </c>
      <c r="AF12" t="str">
        <f t="shared" si="5"/>
        <v>-</v>
      </c>
      <c r="AG12" t="str">
        <f t="shared" si="5"/>
        <v>-</v>
      </c>
      <c r="AH12" t="str">
        <f t="shared" si="5"/>
        <v>-</v>
      </c>
      <c r="AI12" t="str">
        <f t="shared" si="5"/>
        <v>-</v>
      </c>
      <c r="AJ12" t="str">
        <f t="shared" si="5"/>
        <v>-</v>
      </c>
      <c r="AK12" t="str">
        <f t="shared" si="5"/>
        <v>-</v>
      </c>
      <c r="AL12" t="str">
        <f t="shared" si="5"/>
        <v>-</v>
      </c>
      <c r="AM12" t="str">
        <f t="shared" si="5"/>
        <v>-</v>
      </c>
      <c r="AN12">
        <f t="shared" si="7"/>
        <v>1</v>
      </c>
      <c r="AO12">
        <f t="shared" ref="AO12:AO45" si="9">AO$6</f>
        <v>1</v>
      </c>
      <c r="AP12" s="22">
        <v>0.9</v>
      </c>
      <c r="AQ12">
        <f t="shared" ref="AQ12:BH13" si="10">AQ$6</f>
        <v>1</v>
      </c>
      <c r="AR12">
        <f t="shared" si="10"/>
        <v>1</v>
      </c>
      <c r="AS12">
        <f t="shared" si="10"/>
        <v>1</v>
      </c>
      <c r="AT12">
        <f t="shared" si="10"/>
        <v>1</v>
      </c>
      <c r="AU12">
        <f t="shared" si="10"/>
        <v>1</v>
      </c>
      <c r="AV12">
        <f t="shared" si="10"/>
        <v>1</v>
      </c>
      <c r="AW12">
        <f t="shared" si="10"/>
        <v>1</v>
      </c>
      <c r="AX12">
        <f t="shared" si="10"/>
        <v>1</v>
      </c>
      <c r="AY12">
        <f t="shared" si="10"/>
        <v>1</v>
      </c>
      <c r="AZ12">
        <f t="shared" si="10"/>
        <v>1</v>
      </c>
      <c r="BA12">
        <f t="shared" si="10"/>
        <v>1</v>
      </c>
      <c r="BB12">
        <f t="shared" si="10"/>
        <v>1</v>
      </c>
      <c r="BC12">
        <f t="shared" si="10"/>
        <v>1</v>
      </c>
      <c r="BD12">
        <f t="shared" si="10"/>
        <v>0</v>
      </c>
      <c r="BE12">
        <f t="shared" si="10"/>
        <v>0</v>
      </c>
      <c r="BF12">
        <f t="shared" si="10"/>
        <v>0</v>
      </c>
      <c r="BG12">
        <f t="shared" si="10"/>
        <v>0</v>
      </c>
      <c r="BH12">
        <f t="shared" si="10"/>
        <v>0</v>
      </c>
      <c r="BI12" s="15">
        <v>0</v>
      </c>
    </row>
    <row r="13" spans="1:61" x14ac:dyDescent="0.35">
      <c r="A13" s="19"/>
      <c r="B13">
        <f t="shared" si="3"/>
        <v>8</v>
      </c>
      <c r="C13" t="b">
        <v>0</v>
      </c>
      <c r="D13" t="b">
        <v>0</v>
      </c>
      <c r="E13" t="b">
        <v>0</v>
      </c>
      <c r="F13" s="3" t="s">
        <v>16</v>
      </c>
      <c r="G13" t="str">
        <f t="shared" si="4"/>
        <v>-</v>
      </c>
      <c r="H13" t="b">
        <f t="shared" si="4"/>
        <v>0</v>
      </c>
      <c r="I13" t="b">
        <f t="shared" si="4"/>
        <v>1</v>
      </c>
      <c r="J13" t="str">
        <f t="shared" si="4"/>
        <v>-</v>
      </c>
      <c r="K13" t="str">
        <f t="shared" si="4"/>
        <v>-</v>
      </c>
      <c r="L13" t="str">
        <f t="shared" si="4"/>
        <v>-</v>
      </c>
      <c r="M13" t="str">
        <f t="shared" si="4"/>
        <v>-</v>
      </c>
      <c r="N13" t="str">
        <f t="shared" si="4"/>
        <v>-</v>
      </c>
      <c r="O13" t="str">
        <f t="shared" si="4"/>
        <v>-</v>
      </c>
      <c r="P13" t="str">
        <f t="shared" si="4"/>
        <v>-</v>
      </c>
      <c r="Q13" t="str">
        <f t="shared" si="4"/>
        <v>-</v>
      </c>
      <c r="R13" t="str">
        <f t="shared" si="4"/>
        <v>-</v>
      </c>
      <c r="S13" t="str">
        <f t="shared" si="4"/>
        <v>-</v>
      </c>
      <c r="T13" t="str">
        <f t="shared" si="4"/>
        <v>-</v>
      </c>
      <c r="U13" t="str">
        <f t="shared" si="5"/>
        <v>-</v>
      </c>
      <c r="V13" t="str">
        <f t="shared" si="5"/>
        <v>-</v>
      </c>
      <c r="W13" t="str">
        <f t="shared" si="5"/>
        <v>-</v>
      </c>
      <c r="X13" t="str">
        <f t="shared" si="5"/>
        <v>-</v>
      </c>
      <c r="Y13" t="str">
        <f t="shared" si="5"/>
        <v>-</v>
      </c>
      <c r="Z13" t="str">
        <f t="shared" si="5"/>
        <v>-</v>
      </c>
      <c r="AA13" t="str">
        <f t="shared" si="5"/>
        <v>-</v>
      </c>
      <c r="AB13" t="str">
        <f t="shared" si="5"/>
        <v>-</v>
      </c>
      <c r="AC13" t="str">
        <f t="shared" si="5"/>
        <v>-</v>
      </c>
      <c r="AD13" t="str">
        <f t="shared" si="5"/>
        <v>-</v>
      </c>
      <c r="AE13" t="str">
        <f t="shared" si="5"/>
        <v>-</v>
      </c>
      <c r="AF13" t="str">
        <f t="shared" si="5"/>
        <v>-</v>
      </c>
      <c r="AG13" t="str">
        <f t="shared" si="5"/>
        <v>-</v>
      </c>
      <c r="AH13" t="str">
        <f t="shared" si="5"/>
        <v>-</v>
      </c>
      <c r="AI13" t="str">
        <f t="shared" si="5"/>
        <v>-</v>
      </c>
      <c r="AJ13" t="str">
        <f t="shared" si="5"/>
        <v>-</v>
      </c>
      <c r="AK13" t="str">
        <f t="shared" si="5"/>
        <v>-</v>
      </c>
      <c r="AL13" t="str">
        <f t="shared" si="5"/>
        <v>-</v>
      </c>
      <c r="AM13" t="str">
        <f t="shared" si="5"/>
        <v>-</v>
      </c>
      <c r="AN13">
        <f t="shared" si="7"/>
        <v>1</v>
      </c>
      <c r="AO13">
        <f t="shared" si="9"/>
        <v>1</v>
      </c>
      <c r="AP13" s="22">
        <v>1.1000000000000001</v>
      </c>
      <c r="AQ13">
        <f t="shared" si="10"/>
        <v>1</v>
      </c>
      <c r="AR13">
        <f t="shared" si="10"/>
        <v>1</v>
      </c>
      <c r="AS13">
        <f t="shared" si="10"/>
        <v>1</v>
      </c>
      <c r="AT13">
        <f t="shared" si="10"/>
        <v>1</v>
      </c>
      <c r="AU13">
        <f t="shared" si="10"/>
        <v>1</v>
      </c>
      <c r="AV13">
        <f t="shared" si="10"/>
        <v>1</v>
      </c>
      <c r="AW13">
        <f t="shared" si="10"/>
        <v>1</v>
      </c>
      <c r="AX13">
        <f t="shared" si="10"/>
        <v>1</v>
      </c>
      <c r="AY13">
        <f t="shared" si="10"/>
        <v>1</v>
      </c>
      <c r="AZ13">
        <f t="shared" si="10"/>
        <v>1</v>
      </c>
      <c r="BA13">
        <f t="shared" si="10"/>
        <v>1</v>
      </c>
      <c r="BB13">
        <f t="shared" si="10"/>
        <v>1</v>
      </c>
      <c r="BC13">
        <f t="shared" si="10"/>
        <v>1</v>
      </c>
      <c r="BD13">
        <f t="shared" si="10"/>
        <v>0</v>
      </c>
      <c r="BE13">
        <f t="shared" si="10"/>
        <v>0</v>
      </c>
      <c r="BF13">
        <f t="shared" si="10"/>
        <v>0</v>
      </c>
      <c r="BG13">
        <f t="shared" si="10"/>
        <v>0</v>
      </c>
      <c r="BH13">
        <f t="shared" si="10"/>
        <v>0</v>
      </c>
      <c r="BI13" s="15">
        <v>0</v>
      </c>
    </row>
    <row r="14" spans="1:61" x14ac:dyDescent="0.35">
      <c r="A14" s="19"/>
      <c r="B14">
        <f t="shared" si="3"/>
        <v>9</v>
      </c>
      <c r="C14" t="b">
        <v>0</v>
      </c>
      <c r="D14" t="b">
        <v>0</v>
      </c>
      <c r="E14" t="b">
        <v>0</v>
      </c>
      <c r="F14" s="3" t="s">
        <v>22</v>
      </c>
      <c r="G14" t="str">
        <f t="shared" si="4"/>
        <v>-</v>
      </c>
      <c r="H14" t="b">
        <f t="shared" si="4"/>
        <v>0</v>
      </c>
      <c r="I14" t="b">
        <f t="shared" si="4"/>
        <v>1</v>
      </c>
      <c r="J14" t="str">
        <f t="shared" si="4"/>
        <v>-</v>
      </c>
      <c r="K14" t="str">
        <f t="shared" si="4"/>
        <v>-</v>
      </c>
      <c r="L14" t="str">
        <f t="shared" si="4"/>
        <v>-</v>
      </c>
      <c r="M14" t="str">
        <f t="shared" si="4"/>
        <v>-</v>
      </c>
      <c r="N14" t="str">
        <f t="shared" si="4"/>
        <v>-</v>
      </c>
      <c r="O14" t="str">
        <f t="shared" si="4"/>
        <v>-</v>
      </c>
      <c r="P14" t="str">
        <f t="shared" si="4"/>
        <v>-</v>
      </c>
      <c r="Q14" t="str">
        <f t="shared" si="4"/>
        <v>-</v>
      </c>
      <c r="R14" t="str">
        <f t="shared" si="4"/>
        <v>-</v>
      </c>
      <c r="S14" t="str">
        <f t="shared" si="4"/>
        <v>-</v>
      </c>
      <c r="T14" t="str">
        <f t="shared" si="4"/>
        <v>-</v>
      </c>
      <c r="U14" t="str">
        <f t="shared" si="5"/>
        <v>-</v>
      </c>
      <c r="V14" t="str">
        <f t="shared" si="5"/>
        <v>-</v>
      </c>
      <c r="W14" t="str">
        <f t="shared" si="5"/>
        <v>-</v>
      </c>
      <c r="X14" t="str">
        <f t="shared" si="5"/>
        <v>-</v>
      </c>
      <c r="Y14" t="str">
        <f t="shared" si="5"/>
        <v>-</v>
      </c>
      <c r="Z14" t="str">
        <f t="shared" si="5"/>
        <v>-</v>
      </c>
      <c r="AA14" t="str">
        <f t="shared" si="5"/>
        <v>-</v>
      </c>
      <c r="AB14" t="str">
        <f t="shared" si="5"/>
        <v>-</v>
      </c>
      <c r="AC14" t="str">
        <f t="shared" si="5"/>
        <v>-</v>
      </c>
      <c r="AD14" t="str">
        <f t="shared" si="5"/>
        <v>-</v>
      </c>
      <c r="AE14" t="str">
        <f t="shared" si="5"/>
        <v>-</v>
      </c>
      <c r="AF14" t="str">
        <f t="shared" si="5"/>
        <v>-</v>
      </c>
      <c r="AG14" t="str">
        <f t="shared" si="5"/>
        <v>-</v>
      </c>
      <c r="AH14" t="str">
        <f t="shared" si="5"/>
        <v>-</v>
      </c>
      <c r="AI14" t="str">
        <f t="shared" si="5"/>
        <v>-</v>
      </c>
      <c r="AJ14" t="str">
        <f t="shared" si="5"/>
        <v>-</v>
      </c>
      <c r="AK14" t="str">
        <f t="shared" si="5"/>
        <v>-</v>
      </c>
      <c r="AL14" t="str">
        <f t="shared" si="5"/>
        <v>-</v>
      </c>
      <c r="AM14" t="str">
        <f t="shared" si="5"/>
        <v>-</v>
      </c>
      <c r="AN14">
        <f t="shared" si="7"/>
        <v>1</v>
      </c>
      <c r="AO14">
        <f t="shared" si="9"/>
        <v>1</v>
      </c>
      <c r="AP14">
        <f t="shared" ref="AP14:AP45" si="11">AP$6</f>
        <v>1</v>
      </c>
      <c r="AQ14" s="22">
        <v>0.9</v>
      </c>
      <c r="AR14">
        <f t="shared" ref="AR14:BH15" si="12">AR$6</f>
        <v>1</v>
      </c>
      <c r="AS14">
        <f t="shared" si="12"/>
        <v>1</v>
      </c>
      <c r="AT14">
        <f t="shared" si="12"/>
        <v>1</v>
      </c>
      <c r="AU14">
        <f t="shared" si="12"/>
        <v>1</v>
      </c>
      <c r="AV14">
        <f t="shared" si="12"/>
        <v>1</v>
      </c>
      <c r="AW14">
        <f t="shared" si="12"/>
        <v>1</v>
      </c>
      <c r="AX14">
        <f t="shared" si="12"/>
        <v>1</v>
      </c>
      <c r="AY14">
        <f t="shared" si="12"/>
        <v>1</v>
      </c>
      <c r="AZ14">
        <f t="shared" si="12"/>
        <v>1</v>
      </c>
      <c r="BA14">
        <f t="shared" si="12"/>
        <v>1</v>
      </c>
      <c r="BB14">
        <f t="shared" si="12"/>
        <v>1</v>
      </c>
      <c r="BC14">
        <f t="shared" si="12"/>
        <v>1</v>
      </c>
      <c r="BD14">
        <f t="shared" si="12"/>
        <v>0</v>
      </c>
      <c r="BE14">
        <f t="shared" si="12"/>
        <v>0</v>
      </c>
      <c r="BF14">
        <f t="shared" si="12"/>
        <v>0</v>
      </c>
      <c r="BG14">
        <f t="shared" si="12"/>
        <v>0</v>
      </c>
      <c r="BH14">
        <f t="shared" si="12"/>
        <v>0</v>
      </c>
      <c r="BI14" s="15">
        <v>0</v>
      </c>
    </row>
    <row r="15" spans="1:61" x14ac:dyDescent="0.35">
      <c r="A15" s="19"/>
      <c r="B15">
        <f t="shared" si="3"/>
        <v>10</v>
      </c>
      <c r="C15" t="b">
        <v>0</v>
      </c>
      <c r="D15" t="b">
        <v>0</v>
      </c>
      <c r="E15" t="b">
        <v>0</v>
      </c>
      <c r="F15" s="3" t="s">
        <v>17</v>
      </c>
      <c r="G15" t="str">
        <f t="shared" si="4"/>
        <v>-</v>
      </c>
      <c r="H15" t="b">
        <f t="shared" si="4"/>
        <v>0</v>
      </c>
      <c r="I15" t="b">
        <f t="shared" si="4"/>
        <v>1</v>
      </c>
      <c r="J15" t="str">
        <f t="shared" si="4"/>
        <v>-</v>
      </c>
      <c r="K15" t="str">
        <f t="shared" si="4"/>
        <v>-</v>
      </c>
      <c r="L15" t="str">
        <f t="shared" si="4"/>
        <v>-</v>
      </c>
      <c r="M15" t="str">
        <f t="shared" si="4"/>
        <v>-</v>
      </c>
      <c r="N15" t="str">
        <f t="shared" si="4"/>
        <v>-</v>
      </c>
      <c r="O15" t="str">
        <f t="shared" si="4"/>
        <v>-</v>
      </c>
      <c r="P15" t="str">
        <f t="shared" si="4"/>
        <v>-</v>
      </c>
      <c r="Q15" t="str">
        <f t="shared" si="4"/>
        <v>-</v>
      </c>
      <c r="R15" t="str">
        <f t="shared" si="4"/>
        <v>-</v>
      </c>
      <c r="S15" t="str">
        <f t="shared" si="4"/>
        <v>-</v>
      </c>
      <c r="T15" t="str">
        <f t="shared" si="4"/>
        <v>-</v>
      </c>
      <c r="U15" t="str">
        <f t="shared" si="5"/>
        <v>-</v>
      </c>
      <c r="V15" t="str">
        <f t="shared" si="5"/>
        <v>-</v>
      </c>
      <c r="W15" t="str">
        <f t="shared" si="5"/>
        <v>-</v>
      </c>
      <c r="X15" t="str">
        <f t="shared" si="5"/>
        <v>-</v>
      </c>
      <c r="Y15" t="str">
        <f t="shared" si="5"/>
        <v>-</v>
      </c>
      <c r="Z15" t="str">
        <f t="shared" si="5"/>
        <v>-</v>
      </c>
      <c r="AA15" t="str">
        <f t="shared" si="5"/>
        <v>-</v>
      </c>
      <c r="AB15" t="str">
        <f t="shared" si="5"/>
        <v>-</v>
      </c>
      <c r="AC15" t="str">
        <f t="shared" si="5"/>
        <v>-</v>
      </c>
      <c r="AD15" t="str">
        <f t="shared" si="5"/>
        <v>-</v>
      </c>
      <c r="AE15" t="str">
        <f t="shared" si="5"/>
        <v>-</v>
      </c>
      <c r="AF15" t="str">
        <f t="shared" si="5"/>
        <v>-</v>
      </c>
      <c r="AG15" t="str">
        <f t="shared" si="5"/>
        <v>-</v>
      </c>
      <c r="AH15" t="str">
        <f t="shared" si="5"/>
        <v>-</v>
      </c>
      <c r="AI15" t="str">
        <f t="shared" si="5"/>
        <v>-</v>
      </c>
      <c r="AJ15" t="str">
        <f t="shared" si="5"/>
        <v>-</v>
      </c>
      <c r="AK15" t="str">
        <f t="shared" si="5"/>
        <v>-</v>
      </c>
      <c r="AL15" t="str">
        <f t="shared" si="5"/>
        <v>-</v>
      </c>
      <c r="AM15" t="str">
        <f t="shared" si="5"/>
        <v>-</v>
      </c>
      <c r="AN15">
        <f t="shared" si="7"/>
        <v>1</v>
      </c>
      <c r="AO15">
        <f t="shared" si="9"/>
        <v>1</v>
      </c>
      <c r="AP15">
        <f t="shared" si="11"/>
        <v>1</v>
      </c>
      <c r="AQ15" s="22">
        <v>1.1000000000000001</v>
      </c>
      <c r="AR15">
        <f t="shared" si="12"/>
        <v>1</v>
      </c>
      <c r="AS15">
        <f t="shared" si="12"/>
        <v>1</v>
      </c>
      <c r="AT15">
        <f t="shared" si="12"/>
        <v>1</v>
      </c>
      <c r="AU15">
        <f t="shared" si="12"/>
        <v>1</v>
      </c>
      <c r="AV15">
        <f t="shared" si="12"/>
        <v>1</v>
      </c>
      <c r="AW15">
        <f t="shared" si="12"/>
        <v>1</v>
      </c>
      <c r="AX15">
        <f t="shared" si="12"/>
        <v>1</v>
      </c>
      <c r="AY15">
        <f t="shared" si="12"/>
        <v>1</v>
      </c>
      <c r="AZ15">
        <f t="shared" si="12"/>
        <v>1</v>
      </c>
      <c r="BA15">
        <f t="shared" si="12"/>
        <v>1</v>
      </c>
      <c r="BB15">
        <f t="shared" si="12"/>
        <v>1</v>
      </c>
      <c r="BC15">
        <f t="shared" si="12"/>
        <v>1</v>
      </c>
      <c r="BD15">
        <f t="shared" si="12"/>
        <v>0</v>
      </c>
      <c r="BE15">
        <f t="shared" si="12"/>
        <v>0</v>
      </c>
      <c r="BF15">
        <f t="shared" si="12"/>
        <v>0</v>
      </c>
      <c r="BG15">
        <f t="shared" si="12"/>
        <v>0</v>
      </c>
      <c r="BH15">
        <f t="shared" si="12"/>
        <v>0</v>
      </c>
      <c r="BI15" s="15">
        <v>0</v>
      </c>
    </row>
    <row r="16" spans="1:61" x14ac:dyDescent="0.35">
      <c r="A16" s="19"/>
      <c r="B16">
        <f t="shared" si="3"/>
        <v>11</v>
      </c>
      <c r="C16" t="b">
        <v>0</v>
      </c>
      <c r="D16" t="b">
        <v>0</v>
      </c>
      <c r="E16" t="b">
        <v>0</v>
      </c>
      <c r="F16" s="3" t="s">
        <v>18</v>
      </c>
      <c r="G16" t="str">
        <f t="shared" si="4"/>
        <v>-</v>
      </c>
      <c r="H16" t="b">
        <f t="shared" si="4"/>
        <v>0</v>
      </c>
      <c r="I16" t="b">
        <f t="shared" si="4"/>
        <v>1</v>
      </c>
      <c r="J16" t="str">
        <f t="shared" si="4"/>
        <v>-</v>
      </c>
      <c r="K16" t="str">
        <f t="shared" si="4"/>
        <v>-</v>
      </c>
      <c r="L16" t="str">
        <f t="shared" si="4"/>
        <v>-</v>
      </c>
      <c r="M16" t="str">
        <f t="shared" si="4"/>
        <v>-</v>
      </c>
      <c r="N16" t="str">
        <f t="shared" si="4"/>
        <v>-</v>
      </c>
      <c r="O16" t="str">
        <f t="shared" si="4"/>
        <v>-</v>
      </c>
      <c r="P16" t="str">
        <f t="shared" si="4"/>
        <v>-</v>
      </c>
      <c r="Q16" t="str">
        <f t="shared" si="4"/>
        <v>-</v>
      </c>
      <c r="R16" t="str">
        <f t="shared" si="4"/>
        <v>-</v>
      </c>
      <c r="S16" t="str">
        <f t="shared" si="4"/>
        <v>-</v>
      </c>
      <c r="T16" t="str">
        <f t="shared" si="4"/>
        <v>-</v>
      </c>
      <c r="U16" t="str">
        <f t="shared" si="5"/>
        <v>-</v>
      </c>
      <c r="V16" t="str">
        <f t="shared" si="5"/>
        <v>-</v>
      </c>
      <c r="W16" t="str">
        <f t="shared" si="5"/>
        <v>-</v>
      </c>
      <c r="X16" t="str">
        <f t="shared" si="5"/>
        <v>-</v>
      </c>
      <c r="Y16" t="str">
        <f t="shared" si="5"/>
        <v>-</v>
      </c>
      <c r="Z16" t="str">
        <f t="shared" si="5"/>
        <v>-</v>
      </c>
      <c r="AA16" t="str">
        <f t="shared" si="5"/>
        <v>-</v>
      </c>
      <c r="AB16" t="str">
        <f t="shared" si="5"/>
        <v>-</v>
      </c>
      <c r="AC16" t="str">
        <f t="shared" si="5"/>
        <v>-</v>
      </c>
      <c r="AD16" t="str">
        <f t="shared" si="5"/>
        <v>-</v>
      </c>
      <c r="AE16" t="str">
        <f t="shared" si="5"/>
        <v>-</v>
      </c>
      <c r="AF16" t="str">
        <f t="shared" si="5"/>
        <v>-</v>
      </c>
      <c r="AG16" t="str">
        <f t="shared" si="5"/>
        <v>-</v>
      </c>
      <c r="AH16" t="str">
        <f t="shared" si="5"/>
        <v>-</v>
      </c>
      <c r="AI16" t="str">
        <f t="shared" si="5"/>
        <v>-</v>
      </c>
      <c r="AJ16" t="str">
        <f t="shared" si="5"/>
        <v>-</v>
      </c>
      <c r="AK16" t="str">
        <f t="shared" si="5"/>
        <v>-</v>
      </c>
      <c r="AL16" t="str">
        <f t="shared" si="5"/>
        <v>-</v>
      </c>
      <c r="AM16" t="str">
        <f t="shared" si="5"/>
        <v>-</v>
      </c>
      <c r="AN16">
        <f t="shared" si="7"/>
        <v>1</v>
      </c>
      <c r="AO16">
        <f t="shared" si="9"/>
        <v>1</v>
      </c>
      <c r="AP16">
        <f t="shared" si="11"/>
        <v>1</v>
      </c>
      <c r="AQ16">
        <f t="shared" ref="AQ16:AQ45" si="13">AQ$6</f>
        <v>1</v>
      </c>
      <c r="AR16" s="22">
        <v>0.9</v>
      </c>
      <c r="AS16">
        <f t="shared" ref="AS16:BH17" si="14">AS$6</f>
        <v>1</v>
      </c>
      <c r="AT16">
        <f t="shared" si="14"/>
        <v>1</v>
      </c>
      <c r="AU16">
        <f t="shared" si="14"/>
        <v>1</v>
      </c>
      <c r="AV16">
        <f t="shared" si="14"/>
        <v>1</v>
      </c>
      <c r="AW16">
        <f t="shared" si="14"/>
        <v>1</v>
      </c>
      <c r="AX16">
        <f t="shared" si="14"/>
        <v>1</v>
      </c>
      <c r="AY16">
        <f t="shared" si="14"/>
        <v>1</v>
      </c>
      <c r="AZ16">
        <f t="shared" si="14"/>
        <v>1</v>
      </c>
      <c r="BA16">
        <f t="shared" si="14"/>
        <v>1</v>
      </c>
      <c r="BB16">
        <f t="shared" si="14"/>
        <v>1</v>
      </c>
      <c r="BC16">
        <f t="shared" si="14"/>
        <v>1</v>
      </c>
      <c r="BD16">
        <f t="shared" si="14"/>
        <v>0</v>
      </c>
      <c r="BE16">
        <f t="shared" si="14"/>
        <v>0</v>
      </c>
      <c r="BF16">
        <f t="shared" si="14"/>
        <v>0</v>
      </c>
      <c r="BG16">
        <f t="shared" si="14"/>
        <v>0</v>
      </c>
      <c r="BH16">
        <f t="shared" si="14"/>
        <v>0</v>
      </c>
      <c r="BI16" s="15">
        <v>0</v>
      </c>
    </row>
    <row r="17" spans="1:61" x14ac:dyDescent="0.35">
      <c r="A17" s="19"/>
      <c r="B17">
        <f t="shared" si="3"/>
        <v>12</v>
      </c>
      <c r="C17" t="b">
        <v>0</v>
      </c>
      <c r="D17" t="b">
        <v>0</v>
      </c>
      <c r="E17" t="b">
        <v>0</v>
      </c>
      <c r="F17" s="3" t="s">
        <v>19</v>
      </c>
      <c r="G17" t="str">
        <f t="shared" si="4"/>
        <v>-</v>
      </c>
      <c r="H17" t="b">
        <f t="shared" si="4"/>
        <v>0</v>
      </c>
      <c r="I17" t="b">
        <f t="shared" si="4"/>
        <v>1</v>
      </c>
      <c r="J17" t="str">
        <f t="shared" si="4"/>
        <v>-</v>
      </c>
      <c r="K17" t="str">
        <f t="shared" si="4"/>
        <v>-</v>
      </c>
      <c r="L17" t="str">
        <f t="shared" si="4"/>
        <v>-</v>
      </c>
      <c r="M17" t="str">
        <f t="shared" si="4"/>
        <v>-</v>
      </c>
      <c r="N17" t="str">
        <f t="shared" si="4"/>
        <v>-</v>
      </c>
      <c r="O17" t="str">
        <f t="shared" si="4"/>
        <v>-</v>
      </c>
      <c r="P17" t="str">
        <f t="shared" si="4"/>
        <v>-</v>
      </c>
      <c r="Q17" t="str">
        <f t="shared" si="4"/>
        <v>-</v>
      </c>
      <c r="R17" t="str">
        <f t="shared" si="4"/>
        <v>-</v>
      </c>
      <c r="S17" t="str">
        <f t="shared" si="4"/>
        <v>-</v>
      </c>
      <c r="T17" t="str">
        <f t="shared" si="4"/>
        <v>-</v>
      </c>
      <c r="U17" t="str">
        <f t="shared" si="5"/>
        <v>-</v>
      </c>
      <c r="V17" t="str">
        <f t="shared" si="5"/>
        <v>-</v>
      </c>
      <c r="W17" t="str">
        <f t="shared" si="5"/>
        <v>-</v>
      </c>
      <c r="X17" t="str">
        <f t="shared" si="5"/>
        <v>-</v>
      </c>
      <c r="Y17" t="str">
        <f t="shared" si="5"/>
        <v>-</v>
      </c>
      <c r="Z17" t="str">
        <f t="shared" si="5"/>
        <v>-</v>
      </c>
      <c r="AA17" t="str">
        <f t="shared" si="5"/>
        <v>-</v>
      </c>
      <c r="AB17" t="str">
        <f t="shared" si="5"/>
        <v>-</v>
      </c>
      <c r="AC17" t="str">
        <f t="shared" si="5"/>
        <v>-</v>
      </c>
      <c r="AD17" t="str">
        <f t="shared" si="5"/>
        <v>-</v>
      </c>
      <c r="AE17" t="str">
        <f t="shared" si="5"/>
        <v>-</v>
      </c>
      <c r="AF17" t="str">
        <f t="shared" si="5"/>
        <v>-</v>
      </c>
      <c r="AG17" t="str">
        <f t="shared" si="5"/>
        <v>-</v>
      </c>
      <c r="AH17" t="str">
        <f t="shared" si="5"/>
        <v>-</v>
      </c>
      <c r="AI17" t="str">
        <f t="shared" si="5"/>
        <v>-</v>
      </c>
      <c r="AJ17" t="str">
        <f t="shared" si="5"/>
        <v>-</v>
      </c>
      <c r="AK17" t="str">
        <f t="shared" si="5"/>
        <v>-</v>
      </c>
      <c r="AL17" t="str">
        <f t="shared" si="5"/>
        <v>-</v>
      </c>
      <c r="AM17" t="str">
        <f t="shared" si="5"/>
        <v>-</v>
      </c>
      <c r="AN17">
        <f t="shared" si="7"/>
        <v>1</v>
      </c>
      <c r="AO17">
        <f t="shared" si="9"/>
        <v>1</v>
      </c>
      <c r="AP17">
        <f t="shared" si="11"/>
        <v>1</v>
      </c>
      <c r="AQ17">
        <f t="shared" si="13"/>
        <v>1</v>
      </c>
      <c r="AR17" s="22">
        <v>1.1000000000000001</v>
      </c>
      <c r="AS17">
        <f t="shared" si="14"/>
        <v>1</v>
      </c>
      <c r="AT17">
        <f t="shared" si="14"/>
        <v>1</v>
      </c>
      <c r="AU17">
        <f t="shared" si="14"/>
        <v>1</v>
      </c>
      <c r="AV17">
        <f t="shared" si="14"/>
        <v>1</v>
      </c>
      <c r="AW17">
        <f t="shared" si="14"/>
        <v>1</v>
      </c>
      <c r="AX17">
        <f t="shared" si="14"/>
        <v>1</v>
      </c>
      <c r="AY17">
        <f t="shared" si="14"/>
        <v>1</v>
      </c>
      <c r="AZ17">
        <f t="shared" si="14"/>
        <v>1</v>
      </c>
      <c r="BA17">
        <f t="shared" si="14"/>
        <v>1</v>
      </c>
      <c r="BB17">
        <f t="shared" si="14"/>
        <v>1</v>
      </c>
      <c r="BC17">
        <f t="shared" si="14"/>
        <v>1</v>
      </c>
      <c r="BD17">
        <f t="shared" si="14"/>
        <v>0</v>
      </c>
      <c r="BE17">
        <f t="shared" si="14"/>
        <v>0</v>
      </c>
      <c r="BF17">
        <f t="shared" si="14"/>
        <v>0</v>
      </c>
      <c r="BG17">
        <f t="shared" si="14"/>
        <v>0</v>
      </c>
      <c r="BH17">
        <f t="shared" si="14"/>
        <v>0</v>
      </c>
      <c r="BI17" s="15">
        <v>0</v>
      </c>
    </row>
    <row r="18" spans="1:61" x14ac:dyDescent="0.35">
      <c r="A18" s="19"/>
      <c r="B18">
        <f t="shared" si="3"/>
        <v>13</v>
      </c>
      <c r="C18" t="b">
        <v>0</v>
      </c>
      <c r="D18" t="b">
        <v>0</v>
      </c>
      <c r="E18" t="b">
        <v>0</v>
      </c>
      <c r="F18" s="3" t="s">
        <v>20</v>
      </c>
      <c r="G18" t="str">
        <f t="shared" ref="G18:T30" si="15">G$6</f>
        <v>-</v>
      </c>
      <c r="H18" t="b">
        <f t="shared" si="15"/>
        <v>0</v>
      </c>
      <c r="I18" t="b">
        <f t="shared" si="15"/>
        <v>1</v>
      </c>
      <c r="J18" t="str">
        <f t="shared" si="15"/>
        <v>-</v>
      </c>
      <c r="K18" t="str">
        <f t="shared" si="15"/>
        <v>-</v>
      </c>
      <c r="L18" t="str">
        <f t="shared" si="15"/>
        <v>-</v>
      </c>
      <c r="M18" t="str">
        <f t="shared" si="15"/>
        <v>-</v>
      </c>
      <c r="N18" t="str">
        <f t="shared" si="15"/>
        <v>-</v>
      </c>
      <c r="O18" t="str">
        <f t="shared" si="15"/>
        <v>-</v>
      </c>
      <c r="P18" t="str">
        <f t="shared" si="15"/>
        <v>-</v>
      </c>
      <c r="Q18" t="str">
        <f t="shared" si="15"/>
        <v>-</v>
      </c>
      <c r="R18" t="str">
        <f t="shared" si="15"/>
        <v>-</v>
      </c>
      <c r="S18" t="str">
        <f t="shared" si="15"/>
        <v>-</v>
      </c>
      <c r="T18" t="str">
        <f t="shared" si="15"/>
        <v>-</v>
      </c>
      <c r="U18" t="str">
        <f t="shared" ref="U18:AM30" si="16">U$6</f>
        <v>-</v>
      </c>
      <c r="V18" t="str">
        <f t="shared" si="16"/>
        <v>-</v>
      </c>
      <c r="W18" t="str">
        <f t="shared" si="16"/>
        <v>-</v>
      </c>
      <c r="X18" t="str">
        <f t="shared" si="16"/>
        <v>-</v>
      </c>
      <c r="Y18" t="str">
        <f t="shared" si="16"/>
        <v>-</v>
      </c>
      <c r="Z18" t="str">
        <f t="shared" si="16"/>
        <v>-</v>
      </c>
      <c r="AA18" t="str">
        <f t="shared" si="16"/>
        <v>-</v>
      </c>
      <c r="AB18" t="str">
        <f t="shared" si="16"/>
        <v>-</v>
      </c>
      <c r="AC18" t="str">
        <f t="shared" si="16"/>
        <v>-</v>
      </c>
      <c r="AD18" t="str">
        <f t="shared" si="16"/>
        <v>-</v>
      </c>
      <c r="AE18" t="str">
        <f t="shared" si="16"/>
        <v>-</v>
      </c>
      <c r="AF18" t="str">
        <f t="shared" si="16"/>
        <v>-</v>
      </c>
      <c r="AG18" t="str">
        <f t="shared" si="16"/>
        <v>-</v>
      </c>
      <c r="AH18" t="str">
        <f t="shared" si="16"/>
        <v>-</v>
      </c>
      <c r="AI18" t="str">
        <f t="shared" si="16"/>
        <v>-</v>
      </c>
      <c r="AJ18" t="str">
        <f t="shared" si="16"/>
        <v>-</v>
      </c>
      <c r="AK18" t="str">
        <f t="shared" si="16"/>
        <v>-</v>
      </c>
      <c r="AL18" t="str">
        <f t="shared" si="16"/>
        <v>-</v>
      </c>
      <c r="AM18" t="str">
        <f t="shared" si="16"/>
        <v>-</v>
      </c>
      <c r="AN18">
        <f t="shared" si="7"/>
        <v>1</v>
      </c>
      <c r="AO18">
        <f t="shared" si="9"/>
        <v>1</v>
      </c>
      <c r="AP18">
        <f t="shared" si="11"/>
        <v>1</v>
      </c>
      <c r="AQ18">
        <f t="shared" si="13"/>
        <v>1</v>
      </c>
      <c r="AR18">
        <f t="shared" ref="AR18:AR45" si="17">AR$6</f>
        <v>1</v>
      </c>
      <c r="AS18" s="22">
        <v>0.9</v>
      </c>
      <c r="AT18">
        <f t="shared" ref="AT18:BH19" si="18">AT$6</f>
        <v>1</v>
      </c>
      <c r="AU18">
        <f t="shared" si="18"/>
        <v>1</v>
      </c>
      <c r="AV18">
        <f t="shared" si="18"/>
        <v>1</v>
      </c>
      <c r="AW18">
        <f t="shared" si="18"/>
        <v>1</v>
      </c>
      <c r="AX18">
        <f t="shared" si="18"/>
        <v>1</v>
      </c>
      <c r="AY18">
        <f t="shared" si="18"/>
        <v>1</v>
      </c>
      <c r="AZ18">
        <f t="shared" si="18"/>
        <v>1</v>
      </c>
      <c r="BA18">
        <f t="shared" si="18"/>
        <v>1</v>
      </c>
      <c r="BB18">
        <f t="shared" si="18"/>
        <v>1</v>
      </c>
      <c r="BC18">
        <f t="shared" si="18"/>
        <v>1</v>
      </c>
      <c r="BD18">
        <f t="shared" si="18"/>
        <v>0</v>
      </c>
      <c r="BE18">
        <f t="shared" si="18"/>
        <v>0</v>
      </c>
      <c r="BF18">
        <f t="shared" si="18"/>
        <v>0</v>
      </c>
      <c r="BG18">
        <f t="shared" si="18"/>
        <v>0</v>
      </c>
      <c r="BH18">
        <f t="shared" si="18"/>
        <v>0</v>
      </c>
      <c r="BI18" s="15">
        <v>0</v>
      </c>
    </row>
    <row r="19" spans="1:61" x14ac:dyDescent="0.35">
      <c r="A19" s="19"/>
      <c r="B19">
        <f t="shared" si="3"/>
        <v>14</v>
      </c>
      <c r="C19" t="b">
        <v>0</v>
      </c>
      <c r="D19" t="b">
        <v>0</v>
      </c>
      <c r="E19" t="b">
        <v>0</v>
      </c>
      <c r="F19" s="3" t="s">
        <v>21</v>
      </c>
      <c r="G19" t="str">
        <f t="shared" si="15"/>
        <v>-</v>
      </c>
      <c r="H19" t="b">
        <f t="shared" si="15"/>
        <v>0</v>
      </c>
      <c r="I19" t="b">
        <f t="shared" si="15"/>
        <v>1</v>
      </c>
      <c r="J19" t="str">
        <f t="shared" si="15"/>
        <v>-</v>
      </c>
      <c r="K19" t="str">
        <f t="shared" si="15"/>
        <v>-</v>
      </c>
      <c r="L19" t="str">
        <f t="shared" si="15"/>
        <v>-</v>
      </c>
      <c r="M19" t="str">
        <f t="shared" si="15"/>
        <v>-</v>
      </c>
      <c r="N19" t="str">
        <f t="shared" si="15"/>
        <v>-</v>
      </c>
      <c r="O19" t="str">
        <f t="shared" si="15"/>
        <v>-</v>
      </c>
      <c r="P19" t="str">
        <f t="shared" si="15"/>
        <v>-</v>
      </c>
      <c r="Q19" t="str">
        <f t="shared" si="15"/>
        <v>-</v>
      </c>
      <c r="R19" t="str">
        <f t="shared" si="15"/>
        <v>-</v>
      </c>
      <c r="S19" t="str">
        <f t="shared" si="15"/>
        <v>-</v>
      </c>
      <c r="T19" t="str">
        <f t="shared" si="15"/>
        <v>-</v>
      </c>
      <c r="U19" t="str">
        <f t="shared" si="16"/>
        <v>-</v>
      </c>
      <c r="V19" t="str">
        <f t="shared" si="16"/>
        <v>-</v>
      </c>
      <c r="W19" t="str">
        <f t="shared" si="16"/>
        <v>-</v>
      </c>
      <c r="X19" t="str">
        <f t="shared" si="16"/>
        <v>-</v>
      </c>
      <c r="Y19" t="str">
        <f t="shared" si="16"/>
        <v>-</v>
      </c>
      <c r="Z19" t="str">
        <f t="shared" si="16"/>
        <v>-</v>
      </c>
      <c r="AA19" t="str">
        <f t="shared" si="16"/>
        <v>-</v>
      </c>
      <c r="AB19" t="str">
        <f t="shared" si="16"/>
        <v>-</v>
      </c>
      <c r="AC19" t="str">
        <f t="shared" si="16"/>
        <v>-</v>
      </c>
      <c r="AD19" t="str">
        <f t="shared" si="16"/>
        <v>-</v>
      </c>
      <c r="AE19" t="str">
        <f t="shared" si="16"/>
        <v>-</v>
      </c>
      <c r="AF19" t="str">
        <f t="shared" si="16"/>
        <v>-</v>
      </c>
      <c r="AG19" t="str">
        <f t="shared" si="16"/>
        <v>-</v>
      </c>
      <c r="AH19" t="str">
        <f t="shared" si="16"/>
        <v>-</v>
      </c>
      <c r="AI19" t="str">
        <f t="shared" si="16"/>
        <v>-</v>
      </c>
      <c r="AJ19" t="str">
        <f t="shared" si="16"/>
        <v>-</v>
      </c>
      <c r="AK19" t="str">
        <f t="shared" si="16"/>
        <v>-</v>
      </c>
      <c r="AL19" t="str">
        <f t="shared" si="16"/>
        <v>-</v>
      </c>
      <c r="AM19" t="str">
        <f t="shared" si="16"/>
        <v>-</v>
      </c>
      <c r="AN19">
        <f t="shared" si="7"/>
        <v>1</v>
      </c>
      <c r="AO19">
        <f t="shared" si="9"/>
        <v>1</v>
      </c>
      <c r="AP19">
        <f t="shared" si="11"/>
        <v>1</v>
      </c>
      <c r="AQ19">
        <f t="shared" si="13"/>
        <v>1</v>
      </c>
      <c r="AR19">
        <f t="shared" si="17"/>
        <v>1</v>
      </c>
      <c r="AS19" s="22">
        <v>1.1000000000000001</v>
      </c>
      <c r="AT19">
        <f t="shared" si="18"/>
        <v>1</v>
      </c>
      <c r="AU19">
        <f t="shared" si="18"/>
        <v>1</v>
      </c>
      <c r="AV19">
        <f t="shared" si="18"/>
        <v>1</v>
      </c>
      <c r="AW19">
        <f t="shared" si="18"/>
        <v>1</v>
      </c>
      <c r="AX19">
        <f t="shared" si="18"/>
        <v>1</v>
      </c>
      <c r="AY19">
        <f t="shared" si="18"/>
        <v>1</v>
      </c>
      <c r="AZ19">
        <f t="shared" si="18"/>
        <v>1</v>
      </c>
      <c r="BA19">
        <f t="shared" si="18"/>
        <v>1</v>
      </c>
      <c r="BB19">
        <f t="shared" si="18"/>
        <v>1</v>
      </c>
      <c r="BC19">
        <f t="shared" si="18"/>
        <v>1</v>
      </c>
      <c r="BD19">
        <f t="shared" si="18"/>
        <v>0</v>
      </c>
      <c r="BE19">
        <f t="shared" si="18"/>
        <v>0</v>
      </c>
      <c r="BF19">
        <f t="shared" si="18"/>
        <v>0</v>
      </c>
      <c r="BG19">
        <f t="shared" si="18"/>
        <v>0</v>
      </c>
      <c r="BH19">
        <f t="shared" si="18"/>
        <v>0</v>
      </c>
      <c r="BI19" s="15">
        <v>0</v>
      </c>
    </row>
    <row r="20" spans="1:61" x14ac:dyDescent="0.35">
      <c r="A20" s="19"/>
      <c r="B20">
        <f t="shared" si="3"/>
        <v>15</v>
      </c>
      <c r="C20" t="b">
        <v>0</v>
      </c>
      <c r="D20" t="b">
        <v>0</v>
      </c>
      <c r="E20" t="b">
        <v>0</v>
      </c>
      <c r="F20" s="3" t="s">
        <v>23</v>
      </c>
      <c r="G20" t="str">
        <f t="shared" si="15"/>
        <v>-</v>
      </c>
      <c r="H20" t="b">
        <f t="shared" si="15"/>
        <v>0</v>
      </c>
      <c r="I20" t="b">
        <f t="shared" si="15"/>
        <v>1</v>
      </c>
      <c r="J20" t="str">
        <f t="shared" si="15"/>
        <v>-</v>
      </c>
      <c r="K20" t="str">
        <f t="shared" si="15"/>
        <v>-</v>
      </c>
      <c r="L20" t="str">
        <f t="shared" si="15"/>
        <v>-</v>
      </c>
      <c r="M20" t="str">
        <f t="shared" si="15"/>
        <v>-</v>
      </c>
      <c r="N20" t="str">
        <f t="shared" si="15"/>
        <v>-</v>
      </c>
      <c r="O20" t="str">
        <f t="shared" si="15"/>
        <v>-</v>
      </c>
      <c r="P20" t="str">
        <f t="shared" si="15"/>
        <v>-</v>
      </c>
      <c r="Q20" t="str">
        <f t="shared" si="15"/>
        <v>-</v>
      </c>
      <c r="R20" t="str">
        <f t="shared" si="15"/>
        <v>-</v>
      </c>
      <c r="S20" t="str">
        <f t="shared" si="15"/>
        <v>-</v>
      </c>
      <c r="T20" t="str">
        <f t="shared" si="15"/>
        <v>-</v>
      </c>
      <c r="U20" t="str">
        <f t="shared" si="16"/>
        <v>-</v>
      </c>
      <c r="V20" t="str">
        <f t="shared" si="16"/>
        <v>-</v>
      </c>
      <c r="W20" t="str">
        <f t="shared" si="16"/>
        <v>-</v>
      </c>
      <c r="X20" t="str">
        <f t="shared" si="16"/>
        <v>-</v>
      </c>
      <c r="Y20" t="str">
        <f t="shared" si="16"/>
        <v>-</v>
      </c>
      <c r="Z20" t="str">
        <f t="shared" si="16"/>
        <v>-</v>
      </c>
      <c r="AA20" t="str">
        <f t="shared" si="16"/>
        <v>-</v>
      </c>
      <c r="AB20" t="str">
        <f t="shared" si="16"/>
        <v>-</v>
      </c>
      <c r="AC20" t="str">
        <f t="shared" si="16"/>
        <v>-</v>
      </c>
      <c r="AD20" t="str">
        <f t="shared" si="16"/>
        <v>-</v>
      </c>
      <c r="AE20" t="str">
        <f t="shared" si="16"/>
        <v>-</v>
      </c>
      <c r="AF20" t="str">
        <f t="shared" si="16"/>
        <v>-</v>
      </c>
      <c r="AG20" t="str">
        <f t="shared" si="16"/>
        <v>-</v>
      </c>
      <c r="AH20" t="str">
        <f t="shared" si="16"/>
        <v>-</v>
      </c>
      <c r="AI20" t="str">
        <f t="shared" si="16"/>
        <v>-</v>
      </c>
      <c r="AJ20" t="str">
        <f t="shared" si="16"/>
        <v>-</v>
      </c>
      <c r="AK20" t="str">
        <f t="shared" si="16"/>
        <v>-</v>
      </c>
      <c r="AL20" t="str">
        <f t="shared" si="16"/>
        <v>-</v>
      </c>
      <c r="AM20" t="str">
        <f t="shared" si="16"/>
        <v>-</v>
      </c>
      <c r="AN20">
        <f t="shared" si="7"/>
        <v>1</v>
      </c>
      <c r="AO20">
        <f t="shared" si="9"/>
        <v>1</v>
      </c>
      <c r="AP20">
        <f t="shared" si="11"/>
        <v>1</v>
      </c>
      <c r="AQ20">
        <f t="shared" si="13"/>
        <v>1</v>
      </c>
      <c r="AR20">
        <f t="shared" si="17"/>
        <v>1</v>
      </c>
      <c r="AS20">
        <f t="shared" ref="AS20:AS45" si="19">AS$6</f>
        <v>1</v>
      </c>
      <c r="AT20" s="22">
        <v>0.9</v>
      </c>
      <c r="AU20">
        <f t="shared" ref="AU20:BH21" si="20">AU$6</f>
        <v>1</v>
      </c>
      <c r="AV20">
        <f t="shared" si="20"/>
        <v>1</v>
      </c>
      <c r="AW20">
        <f t="shared" si="20"/>
        <v>1</v>
      </c>
      <c r="AX20">
        <f t="shared" si="20"/>
        <v>1</v>
      </c>
      <c r="AY20">
        <f t="shared" si="20"/>
        <v>1</v>
      </c>
      <c r="AZ20">
        <f t="shared" si="20"/>
        <v>1</v>
      </c>
      <c r="BA20">
        <f t="shared" si="20"/>
        <v>1</v>
      </c>
      <c r="BB20">
        <f t="shared" si="20"/>
        <v>1</v>
      </c>
      <c r="BC20">
        <f t="shared" si="20"/>
        <v>1</v>
      </c>
      <c r="BD20">
        <f t="shared" si="20"/>
        <v>0</v>
      </c>
      <c r="BE20">
        <f t="shared" si="20"/>
        <v>0</v>
      </c>
      <c r="BF20">
        <f t="shared" si="20"/>
        <v>0</v>
      </c>
      <c r="BG20">
        <f t="shared" si="20"/>
        <v>0</v>
      </c>
      <c r="BH20">
        <f t="shared" si="20"/>
        <v>0</v>
      </c>
      <c r="BI20" s="15">
        <v>0</v>
      </c>
    </row>
    <row r="21" spans="1:61" x14ac:dyDescent="0.35">
      <c r="A21" s="19"/>
      <c r="B21">
        <f t="shared" si="3"/>
        <v>16</v>
      </c>
      <c r="C21" t="b">
        <v>0</v>
      </c>
      <c r="D21" t="b">
        <v>0</v>
      </c>
      <c r="E21" t="b">
        <v>0</v>
      </c>
      <c r="F21" s="3" t="s">
        <v>24</v>
      </c>
      <c r="G21" t="str">
        <f t="shared" si="15"/>
        <v>-</v>
      </c>
      <c r="H21" t="b">
        <f t="shared" si="15"/>
        <v>0</v>
      </c>
      <c r="I21" t="b">
        <f t="shared" si="15"/>
        <v>1</v>
      </c>
      <c r="J21" t="str">
        <f t="shared" si="15"/>
        <v>-</v>
      </c>
      <c r="K21" t="str">
        <f t="shared" si="15"/>
        <v>-</v>
      </c>
      <c r="L21" t="str">
        <f t="shared" si="15"/>
        <v>-</v>
      </c>
      <c r="M21" t="str">
        <f t="shared" si="15"/>
        <v>-</v>
      </c>
      <c r="N21" t="str">
        <f t="shared" si="15"/>
        <v>-</v>
      </c>
      <c r="O21" t="str">
        <f t="shared" si="15"/>
        <v>-</v>
      </c>
      <c r="P21" t="str">
        <f t="shared" si="15"/>
        <v>-</v>
      </c>
      <c r="Q21" t="str">
        <f t="shared" si="15"/>
        <v>-</v>
      </c>
      <c r="R21" t="str">
        <f t="shared" si="15"/>
        <v>-</v>
      </c>
      <c r="S21" t="str">
        <f t="shared" si="15"/>
        <v>-</v>
      </c>
      <c r="T21" t="str">
        <f t="shared" si="15"/>
        <v>-</v>
      </c>
      <c r="U21" t="str">
        <f t="shared" si="16"/>
        <v>-</v>
      </c>
      <c r="V21" t="str">
        <f t="shared" si="16"/>
        <v>-</v>
      </c>
      <c r="W21" t="str">
        <f t="shared" si="16"/>
        <v>-</v>
      </c>
      <c r="X21" t="str">
        <f t="shared" si="16"/>
        <v>-</v>
      </c>
      <c r="Y21" t="str">
        <f t="shared" si="16"/>
        <v>-</v>
      </c>
      <c r="Z21" t="str">
        <f t="shared" si="16"/>
        <v>-</v>
      </c>
      <c r="AA21" t="str">
        <f t="shared" si="16"/>
        <v>-</v>
      </c>
      <c r="AB21" t="str">
        <f t="shared" si="16"/>
        <v>-</v>
      </c>
      <c r="AC21" t="str">
        <f t="shared" si="16"/>
        <v>-</v>
      </c>
      <c r="AD21" t="str">
        <f t="shared" si="16"/>
        <v>-</v>
      </c>
      <c r="AE21" t="str">
        <f t="shared" si="16"/>
        <v>-</v>
      </c>
      <c r="AF21" t="str">
        <f t="shared" si="16"/>
        <v>-</v>
      </c>
      <c r="AG21" t="str">
        <f t="shared" si="16"/>
        <v>-</v>
      </c>
      <c r="AH21" t="str">
        <f t="shared" si="16"/>
        <v>-</v>
      </c>
      <c r="AI21" t="str">
        <f t="shared" si="16"/>
        <v>-</v>
      </c>
      <c r="AJ21" t="str">
        <f t="shared" si="16"/>
        <v>-</v>
      </c>
      <c r="AK21" t="str">
        <f t="shared" si="16"/>
        <v>-</v>
      </c>
      <c r="AL21" t="str">
        <f t="shared" si="16"/>
        <v>-</v>
      </c>
      <c r="AM21" t="str">
        <f t="shared" si="16"/>
        <v>-</v>
      </c>
      <c r="AN21">
        <f t="shared" si="7"/>
        <v>1</v>
      </c>
      <c r="AO21">
        <f t="shared" si="9"/>
        <v>1</v>
      </c>
      <c r="AP21">
        <f t="shared" si="11"/>
        <v>1</v>
      </c>
      <c r="AQ21">
        <f t="shared" si="13"/>
        <v>1</v>
      </c>
      <c r="AR21">
        <f t="shared" si="17"/>
        <v>1</v>
      </c>
      <c r="AS21">
        <f t="shared" si="19"/>
        <v>1</v>
      </c>
      <c r="AT21" s="22">
        <v>1.1000000000000001</v>
      </c>
      <c r="AU21">
        <f t="shared" si="20"/>
        <v>1</v>
      </c>
      <c r="AV21">
        <f t="shared" si="20"/>
        <v>1</v>
      </c>
      <c r="AW21">
        <f t="shared" si="20"/>
        <v>1</v>
      </c>
      <c r="AX21">
        <f t="shared" si="20"/>
        <v>1</v>
      </c>
      <c r="AY21">
        <f t="shared" si="20"/>
        <v>1</v>
      </c>
      <c r="AZ21">
        <f t="shared" si="20"/>
        <v>1</v>
      </c>
      <c r="BA21">
        <f t="shared" si="20"/>
        <v>1</v>
      </c>
      <c r="BB21">
        <f t="shared" si="20"/>
        <v>1</v>
      </c>
      <c r="BC21">
        <f t="shared" si="20"/>
        <v>1</v>
      </c>
      <c r="BD21">
        <f t="shared" si="20"/>
        <v>0</v>
      </c>
      <c r="BE21">
        <f t="shared" si="20"/>
        <v>0</v>
      </c>
      <c r="BF21">
        <f t="shared" si="20"/>
        <v>0</v>
      </c>
      <c r="BG21">
        <f t="shared" si="20"/>
        <v>0</v>
      </c>
      <c r="BH21">
        <f t="shared" si="20"/>
        <v>0</v>
      </c>
      <c r="BI21" s="15">
        <v>0</v>
      </c>
    </row>
    <row r="22" spans="1:61" x14ac:dyDescent="0.35">
      <c r="A22" s="19"/>
      <c r="B22">
        <f t="shared" si="3"/>
        <v>17</v>
      </c>
      <c r="C22" t="b">
        <v>0</v>
      </c>
      <c r="D22" t="b">
        <v>0</v>
      </c>
      <c r="E22" t="b">
        <v>0</v>
      </c>
      <c r="F22" s="3" t="s">
        <v>25</v>
      </c>
      <c r="G22" t="str">
        <f t="shared" si="15"/>
        <v>-</v>
      </c>
      <c r="H22" t="b">
        <f t="shared" si="15"/>
        <v>0</v>
      </c>
      <c r="I22" t="b">
        <f t="shared" si="15"/>
        <v>1</v>
      </c>
      <c r="J22" t="str">
        <f t="shared" si="15"/>
        <v>-</v>
      </c>
      <c r="K22" t="str">
        <f t="shared" si="15"/>
        <v>-</v>
      </c>
      <c r="L22" t="str">
        <f t="shared" si="15"/>
        <v>-</v>
      </c>
      <c r="M22" t="str">
        <f t="shared" si="15"/>
        <v>-</v>
      </c>
      <c r="N22" t="str">
        <f t="shared" si="15"/>
        <v>-</v>
      </c>
      <c r="O22" t="str">
        <f t="shared" si="15"/>
        <v>-</v>
      </c>
      <c r="P22" t="str">
        <f t="shared" si="15"/>
        <v>-</v>
      </c>
      <c r="Q22" t="str">
        <f t="shared" si="15"/>
        <v>-</v>
      </c>
      <c r="R22" t="str">
        <f t="shared" si="15"/>
        <v>-</v>
      </c>
      <c r="S22" t="str">
        <f t="shared" si="15"/>
        <v>-</v>
      </c>
      <c r="T22" t="str">
        <f t="shared" si="15"/>
        <v>-</v>
      </c>
      <c r="U22" t="str">
        <f t="shared" si="16"/>
        <v>-</v>
      </c>
      <c r="V22" t="str">
        <f t="shared" si="16"/>
        <v>-</v>
      </c>
      <c r="W22" t="str">
        <f t="shared" si="16"/>
        <v>-</v>
      </c>
      <c r="X22" t="str">
        <f t="shared" si="16"/>
        <v>-</v>
      </c>
      <c r="Y22" t="str">
        <f t="shared" si="16"/>
        <v>-</v>
      </c>
      <c r="Z22" t="str">
        <f t="shared" si="16"/>
        <v>-</v>
      </c>
      <c r="AA22" t="str">
        <f t="shared" si="16"/>
        <v>-</v>
      </c>
      <c r="AB22" t="str">
        <f t="shared" si="16"/>
        <v>-</v>
      </c>
      <c r="AC22" t="str">
        <f t="shared" si="16"/>
        <v>-</v>
      </c>
      <c r="AD22" t="str">
        <f t="shared" si="16"/>
        <v>-</v>
      </c>
      <c r="AE22" t="str">
        <f t="shared" si="16"/>
        <v>-</v>
      </c>
      <c r="AF22" t="str">
        <f t="shared" si="16"/>
        <v>-</v>
      </c>
      <c r="AG22" t="str">
        <f t="shared" si="16"/>
        <v>-</v>
      </c>
      <c r="AH22" t="str">
        <f t="shared" si="16"/>
        <v>-</v>
      </c>
      <c r="AI22" t="str">
        <f t="shared" si="16"/>
        <v>-</v>
      </c>
      <c r="AJ22" t="str">
        <f t="shared" si="16"/>
        <v>-</v>
      </c>
      <c r="AK22" t="str">
        <f t="shared" si="16"/>
        <v>-</v>
      </c>
      <c r="AL22" t="str">
        <f t="shared" si="16"/>
        <v>-</v>
      </c>
      <c r="AM22" t="str">
        <f t="shared" si="16"/>
        <v>-</v>
      </c>
      <c r="AN22">
        <f t="shared" si="7"/>
        <v>1</v>
      </c>
      <c r="AO22">
        <f t="shared" si="9"/>
        <v>1</v>
      </c>
      <c r="AP22">
        <f t="shared" si="11"/>
        <v>1</v>
      </c>
      <c r="AQ22">
        <f t="shared" si="13"/>
        <v>1</v>
      </c>
      <c r="AR22">
        <f t="shared" si="17"/>
        <v>1</v>
      </c>
      <c r="AS22">
        <f t="shared" si="19"/>
        <v>1</v>
      </c>
      <c r="AT22">
        <f t="shared" ref="AT22:AT45" si="21">AT$6</f>
        <v>1</v>
      </c>
      <c r="AU22" s="22">
        <v>0.9</v>
      </c>
      <c r="AV22">
        <f t="shared" ref="AV22:BH23" si="22">AV$6</f>
        <v>1</v>
      </c>
      <c r="AW22">
        <f t="shared" si="22"/>
        <v>1</v>
      </c>
      <c r="AX22">
        <f t="shared" si="22"/>
        <v>1</v>
      </c>
      <c r="AY22">
        <f t="shared" si="22"/>
        <v>1</v>
      </c>
      <c r="AZ22">
        <f t="shared" si="22"/>
        <v>1</v>
      </c>
      <c r="BA22">
        <f t="shared" si="22"/>
        <v>1</v>
      </c>
      <c r="BB22">
        <f t="shared" si="22"/>
        <v>1</v>
      </c>
      <c r="BC22">
        <f t="shared" si="22"/>
        <v>1</v>
      </c>
      <c r="BD22">
        <f t="shared" si="22"/>
        <v>0</v>
      </c>
      <c r="BE22">
        <f t="shared" si="22"/>
        <v>0</v>
      </c>
      <c r="BF22">
        <f t="shared" si="22"/>
        <v>0</v>
      </c>
      <c r="BG22">
        <f t="shared" si="22"/>
        <v>0</v>
      </c>
      <c r="BH22">
        <f t="shared" si="22"/>
        <v>0</v>
      </c>
      <c r="BI22" s="15">
        <v>0</v>
      </c>
    </row>
    <row r="23" spans="1:61" x14ac:dyDescent="0.35">
      <c r="A23" s="19"/>
      <c r="B23">
        <f t="shared" si="3"/>
        <v>18</v>
      </c>
      <c r="C23" t="b">
        <v>0</v>
      </c>
      <c r="D23" t="b">
        <v>0</v>
      </c>
      <c r="E23" t="b">
        <v>0</v>
      </c>
      <c r="F23" s="3" t="s">
        <v>26</v>
      </c>
      <c r="G23" t="str">
        <f t="shared" si="15"/>
        <v>-</v>
      </c>
      <c r="H23" t="b">
        <f t="shared" si="15"/>
        <v>0</v>
      </c>
      <c r="I23" t="b">
        <f t="shared" si="15"/>
        <v>1</v>
      </c>
      <c r="J23" t="str">
        <f t="shared" si="15"/>
        <v>-</v>
      </c>
      <c r="K23" t="str">
        <f t="shared" si="15"/>
        <v>-</v>
      </c>
      <c r="L23" t="str">
        <f t="shared" si="15"/>
        <v>-</v>
      </c>
      <c r="M23" t="str">
        <f t="shared" si="15"/>
        <v>-</v>
      </c>
      <c r="N23" t="str">
        <f t="shared" si="15"/>
        <v>-</v>
      </c>
      <c r="O23" t="str">
        <f t="shared" si="15"/>
        <v>-</v>
      </c>
      <c r="P23" t="str">
        <f t="shared" si="15"/>
        <v>-</v>
      </c>
      <c r="Q23" t="str">
        <f t="shared" si="15"/>
        <v>-</v>
      </c>
      <c r="R23" t="str">
        <f t="shared" si="15"/>
        <v>-</v>
      </c>
      <c r="S23" t="str">
        <f t="shared" si="15"/>
        <v>-</v>
      </c>
      <c r="T23" t="str">
        <f t="shared" si="15"/>
        <v>-</v>
      </c>
      <c r="U23" t="str">
        <f t="shared" si="16"/>
        <v>-</v>
      </c>
      <c r="V23" t="str">
        <f t="shared" si="16"/>
        <v>-</v>
      </c>
      <c r="W23" t="str">
        <f t="shared" si="16"/>
        <v>-</v>
      </c>
      <c r="X23" t="str">
        <f t="shared" si="16"/>
        <v>-</v>
      </c>
      <c r="Y23" t="str">
        <f t="shared" si="16"/>
        <v>-</v>
      </c>
      <c r="Z23" t="str">
        <f t="shared" si="16"/>
        <v>-</v>
      </c>
      <c r="AA23" t="str">
        <f t="shared" si="16"/>
        <v>-</v>
      </c>
      <c r="AB23" t="str">
        <f t="shared" si="16"/>
        <v>-</v>
      </c>
      <c r="AC23" t="str">
        <f t="shared" si="16"/>
        <v>-</v>
      </c>
      <c r="AD23" t="str">
        <f t="shared" si="16"/>
        <v>-</v>
      </c>
      <c r="AE23" t="str">
        <f t="shared" si="16"/>
        <v>-</v>
      </c>
      <c r="AF23" t="str">
        <f t="shared" si="16"/>
        <v>-</v>
      </c>
      <c r="AG23" t="str">
        <f t="shared" si="16"/>
        <v>-</v>
      </c>
      <c r="AH23" t="str">
        <f t="shared" si="16"/>
        <v>-</v>
      </c>
      <c r="AI23" t="str">
        <f t="shared" si="16"/>
        <v>-</v>
      </c>
      <c r="AJ23" t="str">
        <f t="shared" si="16"/>
        <v>-</v>
      </c>
      <c r="AK23" t="str">
        <f t="shared" si="16"/>
        <v>-</v>
      </c>
      <c r="AL23" t="str">
        <f t="shared" si="16"/>
        <v>-</v>
      </c>
      <c r="AM23" t="str">
        <f t="shared" si="16"/>
        <v>-</v>
      </c>
      <c r="AN23">
        <f t="shared" si="7"/>
        <v>1</v>
      </c>
      <c r="AO23">
        <f t="shared" si="9"/>
        <v>1</v>
      </c>
      <c r="AP23">
        <f t="shared" si="11"/>
        <v>1</v>
      </c>
      <c r="AQ23">
        <f t="shared" si="13"/>
        <v>1</v>
      </c>
      <c r="AR23">
        <f t="shared" si="17"/>
        <v>1</v>
      </c>
      <c r="AS23">
        <f t="shared" si="19"/>
        <v>1</v>
      </c>
      <c r="AT23">
        <f t="shared" si="21"/>
        <v>1</v>
      </c>
      <c r="AU23" s="22">
        <v>1.1000000000000001</v>
      </c>
      <c r="AV23">
        <f t="shared" si="22"/>
        <v>1</v>
      </c>
      <c r="AW23">
        <f t="shared" si="22"/>
        <v>1</v>
      </c>
      <c r="AX23">
        <f t="shared" si="22"/>
        <v>1</v>
      </c>
      <c r="AY23">
        <f t="shared" si="22"/>
        <v>1</v>
      </c>
      <c r="AZ23">
        <f t="shared" si="22"/>
        <v>1</v>
      </c>
      <c r="BA23">
        <f t="shared" si="22"/>
        <v>1</v>
      </c>
      <c r="BB23">
        <f t="shared" si="22"/>
        <v>1</v>
      </c>
      <c r="BC23">
        <f t="shared" si="22"/>
        <v>1</v>
      </c>
      <c r="BD23">
        <f t="shared" si="22"/>
        <v>0</v>
      </c>
      <c r="BE23">
        <f t="shared" si="22"/>
        <v>0</v>
      </c>
      <c r="BF23">
        <f t="shared" si="22"/>
        <v>0</v>
      </c>
      <c r="BG23">
        <f t="shared" si="22"/>
        <v>0</v>
      </c>
      <c r="BH23">
        <f t="shared" si="22"/>
        <v>0</v>
      </c>
      <c r="BI23" s="15">
        <v>0</v>
      </c>
    </row>
    <row r="24" spans="1:61" x14ac:dyDescent="0.35">
      <c r="A24" s="19"/>
      <c r="B24">
        <f t="shared" si="3"/>
        <v>19</v>
      </c>
      <c r="C24" t="b">
        <v>0</v>
      </c>
      <c r="D24" t="b">
        <v>0</v>
      </c>
      <c r="E24" t="b">
        <v>0</v>
      </c>
      <c r="F24" s="3" t="s">
        <v>27</v>
      </c>
      <c r="G24" t="str">
        <f t="shared" si="15"/>
        <v>-</v>
      </c>
      <c r="H24" t="b">
        <f t="shared" si="15"/>
        <v>0</v>
      </c>
      <c r="I24" t="b">
        <f t="shared" si="15"/>
        <v>1</v>
      </c>
      <c r="J24" t="str">
        <f t="shared" si="15"/>
        <v>-</v>
      </c>
      <c r="K24" t="str">
        <f t="shared" si="15"/>
        <v>-</v>
      </c>
      <c r="L24" t="str">
        <f t="shared" si="15"/>
        <v>-</v>
      </c>
      <c r="M24" t="str">
        <f t="shared" si="15"/>
        <v>-</v>
      </c>
      <c r="N24" t="str">
        <f t="shared" si="15"/>
        <v>-</v>
      </c>
      <c r="O24" t="str">
        <f t="shared" si="15"/>
        <v>-</v>
      </c>
      <c r="P24" t="str">
        <f t="shared" si="15"/>
        <v>-</v>
      </c>
      <c r="Q24" t="str">
        <f t="shared" si="15"/>
        <v>-</v>
      </c>
      <c r="R24" t="str">
        <f t="shared" si="15"/>
        <v>-</v>
      </c>
      <c r="S24" t="str">
        <f t="shared" si="15"/>
        <v>-</v>
      </c>
      <c r="T24" t="str">
        <f t="shared" si="15"/>
        <v>-</v>
      </c>
      <c r="U24" t="str">
        <f t="shared" si="16"/>
        <v>-</v>
      </c>
      <c r="V24" t="str">
        <f t="shared" si="16"/>
        <v>-</v>
      </c>
      <c r="W24" t="str">
        <f t="shared" si="16"/>
        <v>-</v>
      </c>
      <c r="X24" t="str">
        <f t="shared" si="16"/>
        <v>-</v>
      </c>
      <c r="Y24" t="str">
        <f t="shared" si="16"/>
        <v>-</v>
      </c>
      <c r="Z24" t="str">
        <f t="shared" si="16"/>
        <v>-</v>
      </c>
      <c r="AA24" t="str">
        <f t="shared" si="16"/>
        <v>-</v>
      </c>
      <c r="AB24" t="str">
        <f t="shared" si="16"/>
        <v>-</v>
      </c>
      <c r="AC24" t="str">
        <f t="shared" si="16"/>
        <v>-</v>
      </c>
      <c r="AD24" t="str">
        <f t="shared" si="16"/>
        <v>-</v>
      </c>
      <c r="AE24" t="str">
        <f t="shared" si="16"/>
        <v>-</v>
      </c>
      <c r="AF24" t="str">
        <f t="shared" si="16"/>
        <v>-</v>
      </c>
      <c r="AG24" t="str">
        <f t="shared" si="16"/>
        <v>-</v>
      </c>
      <c r="AH24" t="str">
        <f t="shared" si="16"/>
        <v>-</v>
      </c>
      <c r="AI24" t="str">
        <f t="shared" si="16"/>
        <v>-</v>
      </c>
      <c r="AJ24" t="str">
        <f t="shared" si="16"/>
        <v>-</v>
      </c>
      <c r="AK24" t="str">
        <f t="shared" si="16"/>
        <v>-</v>
      </c>
      <c r="AL24" t="str">
        <f t="shared" si="16"/>
        <v>-</v>
      </c>
      <c r="AM24" t="str">
        <f t="shared" si="16"/>
        <v>-</v>
      </c>
      <c r="AN24">
        <f t="shared" si="7"/>
        <v>1</v>
      </c>
      <c r="AO24">
        <f t="shared" si="9"/>
        <v>1</v>
      </c>
      <c r="AP24">
        <f t="shared" si="11"/>
        <v>1</v>
      </c>
      <c r="AQ24">
        <f t="shared" si="13"/>
        <v>1</v>
      </c>
      <c r="AR24">
        <f t="shared" si="17"/>
        <v>1</v>
      </c>
      <c r="AS24">
        <f t="shared" si="19"/>
        <v>1</v>
      </c>
      <c r="AT24">
        <f t="shared" si="21"/>
        <v>1</v>
      </c>
      <c r="AU24">
        <f t="shared" ref="AU24:AU45" si="23">AU$6</f>
        <v>1</v>
      </c>
      <c r="AV24" s="22">
        <v>0.9</v>
      </c>
      <c r="AW24">
        <f t="shared" ref="AW24:BH25" si="24">AW$6</f>
        <v>1</v>
      </c>
      <c r="AX24">
        <f t="shared" si="24"/>
        <v>1</v>
      </c>
      <c r="AY24">
        <f t="shared" si="24"/>
        <v>1</v>
      </c>
      <c r="AZ24">
        <f t="shared" si="24"/>
        <v>1</v>
      </c>
      <c r="BA24">
        <f t="shared" si="24"/>
        <v>1</v>
      </c>
      <c r="BB24">
        <f t="shared" si="24"/>
        <v>1</v>
      </c>
      <c r="BC24">
        <f t="shared" si="24"/>
        <v>1</v>
      </c>
      <c r="BD24">
        <f t="shared" si="24"/>
        <v>0</v>
      </c>
      <c r="BE24">
        <f t="shared" si="24"/>
        <v>0</v>
      </c>
      <c r="BF24">
        <f t="shared" si="24"/>
        <v>0</v>
      </c>
      <c r="BG24">
        <f t="shared" si="24"/>
        <v>0</v>
      </c>
      <c r="BH24">
        <f t="shared" si="24"/>
        <v>0</v>
      </c>
      <c r="BI24" s="15">
        <v>0</v>
      </c>
    </row>
    <row r="25" spans="1:61" x14ac:dyDescent="0.35">
      <c r="A25" s="19"/>
      <c r="B25">
        <f t="shared" si="3"/>
        <v>20</v>
      </c>
      <c r="C25" t="b">
        <v>0</v>
      </c>
      <c r="D25" t="b">
        <v>0</v>
      </c>
      <c r="E25" t="b">
        <v>0</v>
      </c>
      <c r="F25" s="3" t="s">
        <v>28</v>
      </c>
      <c r="G25" t="str">
        <f t="shared" si="15"/>
        <v>-</v>
      </c>
      <c r="H25" t="b">
        <f t="shared" si="15"/>
        <v>0</v>
      </c>
      <c r="I25" t="b">
        <f t="shared" si="15"/>
        <v>1</v>
      </c>
      <c r="J25" t="str">
        <f t="shared" si="15"/>
        <v>-</v>
      </c>
      <c r="K25" t="str">
        <f t="shared" si="15"/>
        <v>-</v>
      </c>
      <c r="L25" t="str">
        <f t="shared" si="15"/>
        <v>-</v>
      </c>
      <c r="M25" t="str">
        <f t="shared" si="15"/>
        <v>-</v>
      </c>
      <c r="N25" t="str">
        <f t="shared" si="15"/>
        <v>-</v>
      </c>
      <c r="O25" t="str">
        <f t="shared" si="15"/>
        <v>-</v>
      </c>
      <c r="P25" t="str">
        <f t="shared" si="15"/>
        <v>-</v>
      </c>
      <c r="Q25" t="str">
        <f t="shared" si="15"/>
        <v>-</v>
      </c>
      <c r="R25" t="str">
        <f t="shared" si="15"/>
        <v>-</v>
      </c>
      <c r="S25" t="str">
        <f t="shared" si="15"/>
        <v>-</v>
      </c>
      <c r="T25" t="str">
        <f t="shared" si="15"/>
        <v>-</v>
      </c>
      <c r="U25" t="str">
        <f t="shared" si="16"/>
        <v>-</v>
      </c>
      <c r="V25" t="str">
        <f t="shared" si="16"/>
        <v>-</v>
      </c>
      <c r="W25" t="str">
        <f t="shared" si="16"/>
        <v>-</v>
      </c>
      <c r="X25" t="str">
        <f t="shared" si="16"/>
        <v>-</v>
      </c>
      <c r="Y25" t="str">
        <f t="shared" si="16"/>
        <v>-</v>
      </c>
      <c r="Z25" t="str">
        <f t="shared" si="16"/>
        <v>-</v>
      </c>
      <c r="AA25" t="str">
        <f t="shared" si="16"/>
        <v>-</v>
      </c>
      <c r="AB25" t="str">
        <f t="shared" si="16"/>
        <v>-</v>
      </c>
      <c r="AC25" t="str">
        <f t="shared" si="16"/>
        <v>-</v>
      </c>
      <c r="AD25" t="str">
        <f t="shared" si="16"/>
        <v>-</v>
      </c>
      <c r="AE25" t="str">
        <f t="shared" si="16"/>
        <v>-</v>
      </c>
      <c r="AF25" t="str">
        <f t="shared" si="16"/>
        <v>-</v>
      </c>
      <c r="AG25" t="str">
        <f t="shared" si="16"/>
        <v>-</v>
      </c>
      <c r="AH25" t="str">
        <f t="shared" si="16"/>
        <v>-</v>
      </c>
      <c r="AI25" t="str">
        <f t="shared" si="16"/>
        <v>-</v>
      </c>
      <c r="AJ25" t="str">
        <f t="shared" si="16"/>
        <v>-</v>
      </c>
      <c r="AK25" t="str">
        <f t="shared" si="16"/>
        <v>-</v>
      </c>
      <c r="AL25" t="str">
        <f t="shared" si="16"/>
        <v>-</v>
      </c>
      <c r="AM25" t="str">
        <f t="shared" si="16"/>
        <v>-</v>
      </c>
      <c r="AN25">
        <f t="shared" si="7"/>
        <v>1</v>
      </c>
      <c r="AO25">
        <f t="shared" si="9"/>
        <v>1</v>
      </c>
      <c r="AP25">
        <f t="shared" si="11"/>
        <v>1</v>
      </c>
      <c r="AQ25">
        <f t="shared" si="13"/>
        <v>1</v>
      </c>
      <c r="AR25">
        <f t="shared" si="17"/>
        <v>1</v>
      </c>
      <c r="AS25">
        <f t="shared" si="19"/>
        <v>1</v>
      </c>
      <c r="AT25">
        <f t="shared" si="21"/>
        <v>1</v>
      </c>
      <c r="AU25">
        <f t="shared" si="23"/>
        <v>1</v>
      </c>
      <c r="AV25" s="22">
        <v>1.1000000000000001</v>
      </c>
      <c r="AW25">
        <f t="shared" si="24"/>
        <v>1</v>
      </c>
      <c r="AX25">
        <f t="shared" si="24"/>
        <v>1</v>
      </c>
      <c r="AY25">
        <f t="shared" si="24"/>
        <v>1</v>
      </c>
      <c r="AZ25">
        <f t="shared" si="24"/>
        <v>1</v>
      </c>
      <c r="BA25">
        <f t="shared" si="24"/>
        <v>1</v>
      </c>
      <c r="BB25">
        <f t="shared" si="24"/>
        <v>1</v>
      </c>
      <c r="BC25">
        <f t="shared" si="24"/>
        <v>1</v>
      </c>
      <c r="BD25">
        <f t="shared" si="24"/>
        <v>0</v>
      </c>
      <c r="BE25">
        <f t="shared" si="24"/>
        <v>0</v>
      </c>
      <c r="BF25">
        <f t="shared" si="24"/>
        <v>0</v>
      </c>
      <c r="BG25">
        <f t="shared" si="24"/>
        <v>0</v>
      </c>
      <c r="BH25">
        <f t="shared" si="24"/>
        <v>0</v>
      </c>
      <c r="BI25" s="15">
        <v>0</v>
      </c>
    </row>
    <row r="26" spans="1:61" x14ac:dyDescent="0.35">
      <c r="A26" s="19"/>
      <c r="B26">
        <f t="shared" si="3"/>
        <v>21</v>
      </c>
      <c r="C26" t="b">
        <v>0</v>
      </c>
      <c r="D26" t="b">
        <v>0</v>
      </c>
      <c r="E26" t="b">
        <v>0</v>
      </c>
      <c r="F26" s="3" t="s">
        <v>29</v>
      </c>
      <c r="G26" t="str">
        <f t="shared" si="15"/>
        <v>-</v>
      </c>
      <c r="H26" t="b">
        <f t="shared" si="15"/>
        <v>0</v>
      </c>
      <c r="I26" t="b">
        <f t="shared" si="15"/>
        <v>1</v>
      </c>
      <c r="J26" t="str">
        <f t="shared" si="15"/>
        <v>-</v>
      </c>
      <c r="K26" t="str">
        <f t="shared" si="15"/>
        <v>-</v>
      </c>
      <c r="L26" t="str">
        <f t="shared" si="15"/>
        <v>-</v>
      </c>
      <c r="M26" t="str">
        <f t="shared" si="15"/>
        <v>-</v>
      </c>
      <c r="N26" t="str">
        <f t="shared" si="15"/>
        <v>-</v>
      </c>
      <c r="O26" t="str">
        <f t="shared" si="15"/>
        <v>-</v>
      </c>
      <c r="P26" t="str">
        <f t="shared" si="15"/>
        <v>-</v>
      </c>
      <c r="Q26" t="str">
        <f t="shared" si="15"/>
        <v>-</v>
      </c>
      <c r="R26" t="str">
        <f t="shared" si="15"/>
        <v>-</v>
      </c>
      <c r="S26" t="str">
        <f t="shared" si="15"/>
        <v>-</v>
      </c>
      <c r="T26" t="str">
        <f t="shared" si="15"/>
        <v>-</v>
      </c>
      <c r="U26" t="str">
        <f t="shared" si="16"/>
        <v>-</v>
      </c>
      <c r="V26" t="str">
        <f t="shared" si="16"/>
        <v>-</v>
      </c>
      <c r="W26" t="str">
        <f t="shared" si="16"/>
        <v>-</v>
      </c>
      <c r="X26" t="str">
        <f t="shared" si="16"/>
        <v>-</v>
      </c>
      <c r="Y26" t="str">
        <f t="shared" si="16"/>
        <v>-</v>
      </c>
      <c r="Z26" t="str">
        <f t="shared" si="16"/>
        <v>-</v>
      </c>
      <c r="AA26" t="str">
        <f t="shared" si="16"/>
        <v>-</v>
      </c>
      <c r="AB26" t="str">
        <f t="shared" si="16"/>
        <v>-</v>
      </c>
      <c r="AC26" t="str">
        <f t="shared" si="16"/>
        <v>-</v>
      </c>
      <c r="AD26" t="str">
        <f t="shared" si="16"/>
        <v>-</v>
      </c>
      <c r="AE26" t="str">
        <f t="shared" si="16"/>
        <v>-</v>
      </c>
      <c r="AF26" t="str">
        <f t="shared" si="16"/>
        <v>-</v>
      </c>
      <c r="AG26" t="str">
        <f t="shared" si="16"/>
        <v>-</v>
      </c>
      <c r="AH26" t="str">
        <f t="shared" si="16"/>
        <v>-</v>
      </c>
      <c r="AI26" t="str">
        <f t="shared" si="16"/>
        <v>-</v>
      </c>
      <c r="AJ26" t="str">
        <f t="shared" si="16"/>
        <v>-</v>
      </c>
      <c r="AK26" t="str">
        <f t="shared" si="16"/>
        <v>-</v>
      </c>
      <c r="AL26" t="str">
        <f t="shared" si="16"/>
        <v>-</v>
      </c>
      <c r="AM26" t="str">
        <f t="shared" si="16"/>
        <v>-</v>
      </c>
      <c r="AN26">
        <f t="shared" si="7"/>
        <v>1</v>
      </c>
      <c r="AO26">
        <f t="shared" si="9"/>
        <v>1</v>
      </c>
      <c r="AP26">
        <f t="shared" si="11"/>
        <v>1</v>
      </c>
      <c r="AQ26">
        <f t="shared" si="13"/>
        <v>1</v>
      </c>
      <c r="AR26">
        <f t="shared" si="17"/>
        <v>1</v>
      </c>
      <c r="AS26">
        <f t="shared" si="19"/>
        <v>1</v>
      </c>
      <c r="AT26">
        <f t="shared" si="21"/>
        <v>1</v>
      </c>
      <c r="AU26">
        <f t="shared" si="23"/>
        <v>1</v>
      </c>
      <c r="AV26">
        <f t="shared" ref="AV26:AV45" si="25">AV$6</f>
        <v>1</v>
      </c>
      <c r="AW26" s="22">
        <v>0.9</v>
      </c>
      <c r="AX26">
        <f t="shared" ref="AX26:BH31" si="26">AX$6</f>
        <v>1</v>
      </c>
      <c r="AY26">
        <f t="shared" si="26"/>
        <v>1</v>
      </c>
      <c r="AZ26">
        <f t="shared" si="26"/>
        <v>1</v>
      </c>
      <c r="BA26">
        <f t="shared" si="26"/>
        <v>1</v>
      </c>
      <c r="BB26">
        <f t="shared" si="26"/>
        <v>1</v>
      </c>
      <c r="BC26">
        <f t="shared" si="26"/>
        <v>1</v>
      </c>
      <c r="BD26">
        <f t="shared" si="26"/>
        <v>0</v>
      </c>
      <c r="BE26">
        <f t="shared" si="26"/>
        <v>0</v>
      </c>
      <c r="BF26">
        <f t="shared" si="26"/>
        <v>0</v>
      </c>
      <c r="BG26">
        <f t="shared" si="26"/>
        <v>0</v>
      </c>
      <c r="BH26">
        <f t="shared" si="26"/>
        <v>0</v>
      </c>
      <c r="BI26" s="15">
        <v>0</v>
      </c>
    </row>
    <row r="27" spans="1:61" x14ac:dyDescent="0.35">
      <c r="A27" s="19">
        <v>44275.489791666667</v>
      </c>
      <c r="B27">
        <f t="shared" si="3"/>
        <v>22</v>
      </c>
      <c r="C27" t="b">
        <v>0</v>
      </c>
      <c r="D27" t="b">
        <v>0</v>
      </c>
      <c r="E27" t="b">
        <v>0</v>
      </c>
      <c r="F27" s="3" t="s">
        <v>30</v>
      </c>
      <c r="G27" t="str">
        <f t="shared" si="15"/>
        <v>-</v>
      </c>
      <c r="H27" t="b">
        <f t="shared" si="15"/>
        <v>0</v>
      </c>
      <c r="I27" t="b">
        <f t="shared" si="15"/>
        <v>1</v>
      </c>
      <c r="J27" t="str">
        <f t="shared" si="15"/>
        <v>-</v>
      </c>
      <c r="K27" t="str">
        <f t="shared" si="15"/>
        <v>-</v>
      </c>
      <c r="L27" t="str">
        <f t="shared" si="15"/>
        <v>-</v>
      </c>
      <c r="M27" t="str">
        <f t="shared" si="15"/>
        <v>-</v>
      </c>
      <c r="N27" t="str">
        <f t="shared" si="15"/>
        <v>-</v>
      </c>
      <c r="O27" t="str">
        <f t="shared" si="15"/>
        <v>-</v>
      </c>
      <c r="P27" t="str">
        <f t="shared" si="15"/>
        <v>-</v>
      </c>
      <c r="Q27" t="str">
        <f t="shared" si="15"/>
        <v>-</v>
      </c>
      <c r="R27" t="str">
        <f t="shared" si="15"/>
        <v>-</v>
      </c>
      <c r="S27" t="str">
        <f t="shared" si="15"/>
        <v>-</v>
      </c>
      <c r="T27" t="str">
        <f t="shared" si="15"/>
        <v>-</v>
      </c>
      <c r="U27" t="str">
        <f t="shared" si="16"/>
        <v>-</v>
      </c>
      <c r="V27" t="str">
        <f t="shared" si="16"/>
        <v>-</v>
      </c>
      <c r="W27" t="str">
        <f t="shared" si="16"/>
        <v>-</v>
      </c>
      <c r="X27" t="str">
        <f t="shared" si="16"/>
        <v>-</v>
      </c>
      <c r="Y27" t="str">
        <f t="shared" si="16"/>
        <v>-</v>
      </c>
      <c r="Z27" t="str">
        <f t="shared" si="16"/>
        <v>-</v>
      </c>
      <c r="AA27" t="str">
        <f t="shared" si="16"/>
        <v>-</v>
      </c>
      <c r="AB27" t="str">
        <f t="shared" si="16"/>
        <v>-</v>
      </c>
      <c r="AC27" t="str">
        <f t="shared" si="16"/>
        <v>-</v>
      </c>
      <c r="AD27" t="str">
        <f t="shared" si="16"/>
        <v>-</v>
      </c>
      <c r="AE27" t="str">
        <f t="shared" si="16"/>
        <v>-</v>
      </c>
      <c r="AF27" t="str">
        <f t="shared" si="16"/>
        <v>-</v>
      </c>
      <c r="AG27" t="str">
        <f t="shared" si="16"/>
        <v>-</v>
      </c>
      <c r="AH27" t="str">
        <f t="shared" si="16"/>
        <v>-</v>
      </c>
      <c r="AI27" t="str">
        <f t="shared" si="16"/>
        <v>-</v>
      </c>
      <c r="AJ27" t="str">
        <f t="shared" si="16"/>
        <v>-</v>
      </c>
      <c r="AK27" t="str">
        <f t="shared" si="16"/>
        <v>-</v>
      </c>
      <c r="AL27" t="str">
        <f t="shared" si="16"/>
        <v>-</v>
      </c>
      <c r="AM27" t="str">
        <f t="shared" si="16"/>
        <v>-</v>
      </c>
      <c r="AN27">
        <f t="shared" si="7"/>
        <v>1</v>
      </c>
      <c r="AO27">
        <f t="shared" si="9"/>
        <v>1</v>
      </c>
      <c r="AP27">
        <f t="shared" si="11"/>
        <v>1</v>
      </c>
      <c r="AQ27">
        <f t="shared" si="13"/>
        <v>1</v>
      </c>
      <c r="AR27">
        <f t="shared" si="17"/>
        <v>1</v>
      </c>
      <c r="AS27">
        <f t="shared" si="19"/>
        <v>1</v>
      </c>
      <c r="AT27">
        <f t="shared" si="21"/>
        <v>1</v>
      </c>
      <c r="AU27">
        <f t="shared" si="23"/>
        <v>1</v>
      </c>
      <c r="AV27">
        <f t="shared" si="25"/>
        <v>1</v>
      </c>
      <c r="AW27" s="22">
        <v>1.1000000000000001</v>
      </c>
      <c r="AX27">
        <f t="shared" si="26"/>
        <v>1</v>
      </c>
      <c r="AY27">
        <f t="shared" si="26"/>
        <v>1</v>
      </c>
      <c r="AZ27">
        <f t="shared" si="26"/>
        <v>1</v>
      </c>
      <c r="BA27">
        <f t="shared" si="26"/>
        <v>1</v>
      </c>
      <c r="BB27">
        <f t="shared" si="26"/>
        <v>1</v>
      </c>
      <c r="BC27">
        <f t="shared" si="26"/>
        <v>1</v>
      </c>
      <c r="BD27">
        <f t="shared" si="26"/>
        <v>0</v>
      </c>
      <c r="BE27">
        <f t="shared" si="26"/>
        <v>0</v>
      </c>
      <c r="BF27">
        <f t="shared" si="26"/>
        <v>0</v>
      </c>
      <c r="BG27">
        <f t="shared" si="26"/>
        <v>0</v>
      </c>
      <c r="BH27">
        <f t="shared" si="26"/>
        <v>0</v>
      </c>
      <c r="BI27" s="15">
        <v>0</v>
      </c>
    </row>
    <row r="28" spans="1:61" x14ac:dyDescent="0.35">
      <c r="A28" s="19">
        <v>44275.611388888887</v>
      </c>
      <c r="B28">
        <f t="shared" si="3"/>
        <v>23</v>
      </c>
      <c r="C28" t="b">
        <v>0</v>
      </c>
      <c r="D28" t="b">
        <v>0</v>
      </c>
      <c r="E28" t="b">
        <v>0</v>
      </c>
      <c r="F28" s="3" t="s">
        <v>31</v>
      </c>
      <c r="G28" t="str">
        <f t="shared" si="15"/>
        <v>-</v>
      </c>
      <c r="H28" t="b">
        <f t="shared" si="15"/>
        <v>0</v>
      </c>
      <c r="I28" t="b">
        <f t="shared" si="15"/>
        <v>1</v>
      </c>
      <c r="J28" t="str">
        <f t="shared" si="15"/>
        <v>-</v>
      </c>
      <c r="K28" t="str">
        <f t="shared" si="15"/>
        <v>-</v>
      </c>
      <c r="L28" t="str">
        <f t="shared" si="15"/>
        <v>-</v>
      </c>
      <c r="M28" t="str">
        <f t="shared" si="15"/>
        <v>-</v>
      </c>
      <c r="N28" t="str">
        <f t="shared" si="15"/>
        <v>-</v>
      </c>
      <c r="O28" t="str">
        <f t="shared" si="15"/>
        <v>-</v>
      </c>
      <c r="P28" t="str">
        <f t="shared" si="15"/>
        <v>-</v>
      </c>
      <c r="Q28" t="str">
        <f t="shared" si="15"/>
        <v>-</v>
      </c>
      <c r="R28" t="str">
        <f t="shared" si="15"/>
        <v>-</v>
      </c>
      <c r="S28" t="str">
        <f t="shared" si="15"/>
        <v>-</v>
      </c>
      <c r="T28" t="str">
        <f t="shared" si="15"/>
        <v>-</v>
      </c>
      <c r="U28" t="str">
        <f t="shared" si="16"/>
        <v>-</v>
      </c>
      <c r="V28" t="str">
        <f t="shared" si="16"/>
        <v>-</v>
      </c>
      <c r="W28" t="str">
        <f t="shared" si="16"/>
        <v>-</v>
      </c>
      <c r="X28" t="str">
        <f t="shared" si="16"/>
        <v>-</v>
      </c>
      <c r="Y28" t="str">
        <f t="shared" si="16"/>
        <v>-</v>
      </c>
      <c r="Z28" t="str">
        <f t="shared" si="16"/>
        <v>-</v>
      </c>
      <c r="AA28" t="str">
        <f t="shared" si="16"/>
        <v>-</v>
      </c>
      <c r="AB28" t="str">
        <f t="shared" si="16"/>
        <v>-</v>
      </c>
      <c r="AC28" t="str">
        <f t="shared" si="16"/>
        <v>-</v>
      </c>
      <c r="AD28" t="str">
        <f t="shared" si="16"/>
        <v>-</v>
      </c>
      <c r="AE28" t="str">
        <f t="shared" si="16"/>
        <v>-</v>
      </c>
      <c r="AF28" t="str">
        <f t="shared" si="16"/>
        <v>-</v>
      </c>
      <c r="AG28" t="str">
        <f t="shared" si="16"/>
        <v>-</v>
      </c>
      <c r="AH28" t="str">
        <f t="shared" si="16"/>
        <v>-</v>
      </c>
      <c r="AI28" t="str">
        <f t="shared" si="16"/>
        <v>-</v>
      </c>
      <c r="AJ28" t="str">
        <f t="shared" si="16"/>
        <v>-</v>
      </c>
      <c r="AK28" t="str">
        <f t="shared" si="16"/>
        <v>-</v>
      </c>
      <c r="AL28" t="str">
        <f t="shared" si="16"/>
        <v>-</v>
      </c>
      <c r="AM28" t="str">
        <f t="shared" si="16"/>
        <v>-</v>
      </c>
      <c r="AN28">
        <f t="shared" si="7"/>
        <v>1</v>
      </c>
      <c r="AO28">
        <f t="shared" si="9"/>
        <v>1</v>
      </c>
      <c r="AP28">
        <f t="shared" si="11"/>
        <v>1</v>
      </c>
      <c r="AQ28">
        <f t="shared" si="13"/>
        <v>1</v>
      </c>
      <c r="AR28">
        <f t="shared" si="17"/>
        <v>1</v>
      </c>
      <c r="AS28">
        <f t="shared" si="19"/>
        <v>1</v>
      </c>
      <c r="AT28">
        <f t="shared" si="21"/>
        <v>1</v>
      </c>
      <c r="AU28">
        <f t="shared" si="23"/>
        <v>1</v>
      </c>
      <c r="AV28">
        <f t="shared" si="25"/>
        <v>1</v>
      </c>
      <c r="AW28">
        <f t="shared" ref="AW28:AW45" si="27">AW$6</f>
        <v>1</v>
      </c>
      <c r="AX28" s="22">
        <v>0.9</v>
      </c>
      <c r="AY28">
        <f t="shared" ref="AY28:BH29" si="28">AY$6</f>
        <v>1</v>
      </c>
      <c r="AZ28">
        <f t="shared" si="26"/>
        <v>1</v>
      </c>
      <c r="BA28">
        <f t="shared" si="26"/>
        <v>1</v>
      </c>
      <c r="BB28">
        <f t="shared" si="26"/>
        <v>1</v>
      </c>
      <c r="BC28">
        <f t="shared" si="26"/>
        <v>1</v>
      </c>
      <c r="BD28">
        <f t="shared" si="28"/>
        <v>0</v>
      </c>
      <c r="BE28">
        <f t="shared" si="28"/>
        <v>0</v>
      </c>
      <c r="BF28">
        <f t="shared" si="28"/>
        <v>0</v>
      </c>
      <c r="BG28">
        <f t="shared" si="28"/>
        <v>0</v>
      </c>
      <c r="BH28">
        <f t="shared" si="28"/>
        <v>0</v>
      </c>
      <c r="BI28" s="15">
        <v>0</v>
      </c>
    </row>
    <row r="29" spans="1:61" x14ac:dyDescent="0.35">
      <c r="A29" s="19"/>
      <c r="B29">
        <f t="shared" si="3"/>
        <v>24</v>
      </c>
      <c r="C29" t="b">
        <v>0</v>
      </c>
      <c r="D29" t="b">
        <v>0</v>
      </c>
      <c r="E29" t="b">
        <v>0</v>
      </c>
      <c r="F29" s="3" t="s">
        <v>32</v>
      </c>
      <c r="G29" t="str">
        <f t="shared" si="15"/>
        <v>-</v>
      </c>
      <c r="H29" t="b">
        <f t="shared" si="15"/>
        <v>0</v>
      </c>
      <c r="I29" t="b">
        <f t="shared" si="15"/>
        <v>1</v>
      </c>
      <c r="J29" t="str">
        <f t="shared" si="15"/>
        <v>-</v>
      </c>
      <c r="K29" t="str">
        <f t="shared" si="15"/>
        <v>-</v>
      </c>
      <c r="L29" t="str">
        <f t="shared" si="15"/>
        <v>-</v>
      </c>
      <c r="M29" t="str">
        <f t="shared" si="15"/>
        <v>-</v>
      </c>
      <c r="N29" t="str">
        <f t="shared" si="15"/>
        <v>-</v>
      </c>
      <c r="O29" t="str">
        <f t="shared" si="15"/>
        <v>-</v>
      </c>
      <c r="P29" t="str">
        <f t="shared" si="15"/>
        <v>-</v>
      </c>
      <c r="Q29" t="str">
        <f t="shared" si="15"/>
        <v>-</v>
      </c>
      <c r="R29" t="str">
        <f t="shared" si="15"/>
        <v>-</v>
      </c>
      <c r="S29" t="str">
        <f t="shared" si="15"/>
        <v>-</v>
      </c>
      <c r="T29" t="str">
        <f t="shared" si="15"/>
        <v>-</v>
      </c>
      <c r="U29" t="str">
        <f t="shared" si="16"/>
        <v>-</v>
      </c>
      <c r="V29" t="str">
        <f t="shared" si="16"/>
        <v>-</v>
      </c>
      <c r="W29" t="str">
        <f t="shared" si="16"/>
        <v>-</v>
      </c>
      <c r="X29" t="str">
        <f t="shared" si="16"/>
        <v>-</v>
      </c>
      <c r="Y29" t="str">
        <f t="shared" si="16"/>
        <v>-</v>
      </c>
      <c r="Z29" t="str">
        <f t="shared" si="16"/>
        <v>-</v>
      </c>
      <c r="AA29" t="str">
        <f t="shared" si="16"/>
        <v>-</v>
      </c>
      <c r="AB29" t="str">
        <f t="shared" si="16"/>
        <v>-</v>
      </c>
      <c r="AC29" t="str">
        <f t="shared" si="16"/>
        <v>-</v>
      </c>
      <c r="AD29" t="str">
        <f t="shared" si="16"/>
        <v>-</v>
      </c>
      <c r="AE29" t="str">
        <f t="shared" si="16"/>
        <v>-</v>
      </c>
      <c r="AF29" t="str">
        <f t="shared" si="16"/>
        <v>-</v>
      </c>
      <c r="AG29" t="str">
        <f t="shared" si="16"/>
        <v>-</v>
      </c>
      <c r="AH29" t="str">
        <f t="shared" si="16"/>
        <v>-</v>
      </c>
      <c r="AI29" t="str">
        <f t="shared" si="16"/>
        <v>-</v>
      </c>
      <c r="AJ29" t="str">
        <f t="shared" si="16"/>
        <v>-</v>
      </c>
      <c r="AK29" t="str">
        <f t="shared" si="16"/>
        <v>-</v>
      </c>
      <c r="AL29" t="str">
        <f t="shared" si="16"/>
        <v>-</v>
      </c>
      <c r="AM29" t="str">
        <f t="shared" si="16"/>
        <v>-</v>
      </c>
      <c r="AN29">
        <f t="shared" si="7"/>
        <v>1</v>
      </c>
      <c r="AO29">
        <f t="shared" si="9"/>
        <v>1</v>
      </c>
      <c r="AP29">
        <f t="shared" si="11"/>
        <v>1</v>
      </c>
      <c r="AQ29">
        <f t="shared" si="13"/>
        <v>1</v>
      </c>
      <c r="AR29">
        <f t="shared" si="17"/>
        <v>1</v>
      </c>
      <c r="AS29">
        <f t="shared" si="19"/>
        <v>1</v>
      </c>
      <c r="AT29">
        <f t="shared" si="21"/>
        <v>1</v>
      </c>
      <c r="AU29">
        <f t="shared" si="23"/>
        <v>1</v>
      </c>
      <c r="AV29">
        <f t="shared" si="25"/>
        <v>1</v>
      </c>
      <c r="AW29">
        <f t="shared" si="27"/>
        <v>1</v>
      </c>
      <c r="AX29" s="22">
        <v>1.1000000000000001</v>
      </c>
      <c r="AY29">
        <f t="shared" si="28"/>
        <v>1</v>
      </c>
      <c r="AZ29">
        <f t="shared" si="26"/>
        <v>1</v>
      </c>
      <c r="BA29">
        <f t="shared" si="26"/>
        <v>1</v>
      </c>
      <c r="BB29">
        <f t="shared" si="26"/>
        <v>1</v>
      </c>
      <c r="BC29">
        <f t="shared" si="26"/>
        <v>1</v>
      </c>
      <c r="BD29">
        <f t="shared" si="28"/>
        <v>0</v>
      </c>
      <c r="BE29">
        <f t="shared" si="28"/>
        <v>0</v>
      </c>
      <c r="BF29">
        <f t="shared" si="28"/>
        <v>0</v>
      </c>
      <c r="BG29">
        <f t="shared" si="28"/>
        <v>0</v>
      </c>
      <c r="BH29">
        <f t="shared" si="28"/>
        <v>0</v>
      </c>
      <c r="BI29" s="15">
        <v>0</v>
      </c>
    </row>
    <row r="30" spans="1:61" x14ac:dyDescent="0.35">
      <c r="A30" s="19"/>
      <c r="B30">
        <f t="shared" si="3"/>
        <v>25</v>
      </c>
      <c r="C30" t="b">
        <v>0</v>
      </c>
      <c r="D30" t="b">
        <v>0</v>
      </c>
      <c r="E30" t="b">
        <v>0</v>
      </c>
      <c r="F30" s="3" t="s">
        <v>33</v>
      </c>
      <c r="G30" t="str">
        <f t="shared" si="15"/>
        <v>-</v>
      </c>
      <c r="H30" t="b">
        <f t="shared" si="15"/>
        <v>0</v>
      </c>
      <c r="I30" t="b">
        <f t="shared" si="15"/>
        <v>1</v>
      </c>
      <c r="J30" t="str">
        <f t="shared" si="15"/>
        <v>-</v>
      </c>
      <c r="K30" t="str">
        <f t="shared" si="15"/>
        <v>-</v>
      </c>
      <c r="L30" t="str">
        <f t="shared" si="15"/>
        <v>-</v>
      </c>
      <c r="M30" t="str">
        <f t="shared" si="15"/>
        <v>-</v>
      </c>
      <c r="N30" t="str">
        <f t="shared" si="15"/>
        <v>-</v>
      </c>
      <c r="O30" t="str">
        <f t="shared" si="15"/>
        <v>-</v>
      </c>
      <c r="P30" t="str">
        <f t="shared" si="15"/>
        <v>-</v>
      </c>
      <c r="Q30" t="str">
        <f t="shared" si="15"/>
        <v>-</v>
      </c>
      <c r="R30" t="str">
        <f t="shared" si="15"/>
        <v>-</v>
      </c>
      <c r="S30" t="str">
        <f t="shared" si="15"/>
        <v>-</v>
      </c>
      <c r="T30" t="str">
        <f t="shared" si="15"/>
        <v>-</v>
      </c>
      <c r="U30" t="str">
        <f t="shared" si="16"/>
        <v>-</v>
      </c>
      <c r="V30" t="str">
        <f t="shared" si="16"/>
        <v>-</v>
      </c>
      <c r="W30" t="str">
        <f t="shared" si="16"/>
        <v>-</v>
      </c>
      <c r="X30" t="str">
        <f t="shared" si="16"/>
        <v>-</v>
      </c>
      <c r="Y30" t="str">
        <f t="shared" si="16"/>
        <v>-</v>
      </c>
      <c r="Z30" t="str">
        <f t="shared" si="16"/>
        <v>-</v>
      </c>
      <c r="AA30" t="str">
        <f t="shared" si="16"/>
        <v>-</v>
      </c>
      <c r="AB30" t="str">
        <f t="shared" si="16"/>
        <v>-</v>
      </c>
      <c r="AC30" t="str">
        <f t="shared" si="16"/>
        <v>-</v>
      </c>
      <c r="AD30" t="str">
        <f t="shared" si="16"/>
        <v>-</v>
      </c>
      <c r="AE30" t="str">
        <f t="shared" si="16"/>
        <v>-</v>
      </c>
      <c r="AF30" t="str">
        <f t="shared" si="16"/>
        <v>-</v>
      </c>
      <c r="AG30" t="str">
        <f t="shared" si="16"/>
        <v>-</v>
      </c>
      <c r="AH30" t="str">
        <f t="shared" si="16"/>
        <v>-</v>
      </c>
      <c r="AI30" t="str">
        <f t="shared" si="16"/>
        <v>-</v>
      </c>
      <c r="AJ30" t="str">
        <f t="shared" si="16"/>
        <v>-</v>
      </c>
      <c r="AK30" t="str">
        <f t="shared" si="16"/>
        <v>-</v>
      </c>
      <c r="AL30" t="str">
        <f t="shared" si="16"/>
        <v>-</v>
      </c>
      <c r="AM30" t="str">
        <f t="shared" si="16"/>
        <v>-</v>
      </c>
      <c r="AN30">
        <f t="shared" si="7"/>
        <v>1</v>
      </c>
      <c r="AO30">
        <f t="shared" si="9"/>
        <v>1</v>
      </c>
      <c r="AP30">
        <f t="shared" si="11"/>
        <v>1</v>
      </c>
      <c r="AQ30">
        <f t="shared" si="13"/>
        <v>1</v>
      </c>
      <c r="AR30">
        <f t="shared" si="17"/>
        <v>1</v>
      </c>
      <c r="AS30">
        <f t="shared" si="19"/>
        <v>1</v>
      </c>
      <c r="AT30">
        <f t="shared" si="21"/>
        <v>1</v>
      </c>
      <c r="AU30">
        <f t="shared" si="23"/>
        <v>1</v>
      </c>
      <c r="AV30">
        <f t="shared" si="25"/>
        <v>1</v>
      </c>
      <c r="AW30">
        <f t="shared" si="27"/>
        <v>1</v>
      </c>
      <c r="AX30">
        <f t="shared" ref="AX30:AX45" si="29">AX$6</f>
        <v>1</v>
      </c>
      <c r="AY30" s="22">
        <v>0.9</v>
      </c>
      <c r="AZ30">
        <f t="shared" si="26"/>
        <v>1</v>
      </c>
      <c r="BA30">
        <f t="shared" si="26"/>
        <v>1</v>
      </c>
      <c r="BB30">
        <f t="shared" si="26"/>
        <v>1</v>
      </c>
      <c r="BC30">
        <f t="shared" si="26"/>
        <v>1</v>
      </c>
      <c r="BD30">
        <f t="shared" ref="BD30:BH45" si="30">BD$6</f>
        <v>0</v>
      </c>
      <c r="BE30">
        <f t="shared" si="30"/>
        <v>0</v>
      </c>
      <c r="BF30">
        <f t="shared" si="30"/>
        <v>0</v>
      </c>
      <c r="BG30">
        <f t="shared" si="30"/>
        <v>0</v>
      </c>
      <c r="BH30">
        <f t="shared" si="30"/>
        <v>0</v>
      </c>
      <c r="BI30" s="15">
        <v>0</v>
      </c>
    </row>
    <row r="31" spans="1:61" x14ac:dyDescent="0.35">
      <c r="A31" s="19"/>
      <c r="B31">
        <f t="shared" si="3"/>
        <v>26</v>
      </c>
      <c r="C31" t="b">
        <v>0</v>
      </c>
      <c r="D31" t="b">
        <v>0</v>
      </c>
      <c r="E31" t="b">
        <v>0</v>
      </c>
      <c r="F31" s="3" t="s">
        <v>34</v>
      </c>
      <c r="G31" t="str">
        <f t="shared" ref="G31:I45" si="31">G$6</f>
        <v>-</v>
      </c>
      <c r="H31" t="b">
        <f t="shared" ref="H31:AM31" si="32">H$6</f>
        <v>0</v>
      </c>
      <c r="I31" t="b">
        <f t="shared" si="32"/>
        <v>1</v>
      </c>
      <c r="J31" t="str">
        <f t="shared" si="32"/>
        <v>-</v>
      </c>
      <c r="K31" t="str">
        <f t="shared" si="32"/>
        <v>-</v>
      </c>
      <c r="L31" t="str">
        <f t="shared" si="32"/>
        <v>-</v>
      </c>
      <c r="M31" t="str">
        <f t="shared" si="32"/>
        <v>-</v>
      </c>
      <c r="N31" t="str">
        <f t="shared" si="32"/>
        <v>-</v>
      </c>
      <c r="O31" t="str">
        <f t="shared" si="32"/>
        <v>-</v>
      </c>
      <c r="P31" t="str">
        <f t="shared" si="32"/>
        <v>-</v>
      </c>
      <c r="Q31" t="str">
        <f t="shared" si="32"/>
        <v>-</v>
      </c>
      <c r="R31" t="str">
        <f t="shared" si="32"/>
        <v>-</v>
      </c>
      <c r="S31" t="str">
        <f t="shared" si="32"/>
        <v>-</v>
      </c>
      <c r="T31" t="str">
        <f t="shared" si="32"/>
        <v>-</v>
      </c>
      <c r="U31" t="str">
        <f t="shared" si="32"/>
        <v>-</v>
      </c>
      <c r="V31" t="str">
        <f t="shared" si="32"/>
        <v>-</v>
      </c>
      <c r="W31" t="str">
        <f t="shared" si="32"/>
        <v>-</v>
      </c>
      <c r="X31" t="str">
        <f t="shared" si="32"/>
        <v>-</v>
      </c>
      <c r="Y31" t="str">
        <f t="shared" si="32"/>
        <v>-</v>
      </c>
      <c r="Z31" t="str">
        <f t="shared" si="32"/>
        <v>-</v>
      </c>
      <c r="AA31" t="str">
        <f t="shared" si="32"/>
        <v>-</v>
      </c>
      <c r="AB31" t="str">
        <f t="shared" si="32"/>
        <v>-</v>
      </c>
      <c r="AC31" t="str">
        <f t="shared" si="32"/>
        <v>-</v>
      </c>
      <c r="AD31" t="str">
        <f t="shared" si="32"/>
        <v>-</v>
      </c>
      <c r="AE31" t="str">
        <f t="shared" si="32"/>
        <v>-</v>
      </c>
      <c r="AF31" t="str">
        <f t="shared" si="32"/>
        <v>-</v>
      </c>
      <c r="AG31" t="str">
        <f t="shared" si="32"/>
        <v>-</v>
      </c>
      <c r="AH31" t="str">
        <f t="shared" si="32"/>
        <v>-</v>
      </c>
      <c r="AI31" t="str">
        <f t="shared" si="32"/>
        <v>-</v>
      </c>
      <c r="AJ31" t="str">
        <f t="shared" si="32"/>
        <v>-</v>
      </c>
      <c r="AK31" t="str">
        <f t="shared" si="32"/>
        <v>-</v>
      </c>
      <c r="AL31" t="str">
        <f t="shared" si="32"/>
        <v>-</v>
      </c>
      <c r="AM31" t="str">
        <f t="shared" si="32"/>
        <v>-</v>
      </c>
      <c r="AN31">
        <f t="shared" si="7"/>
        <v>1</v>
      </c>
      <c r="AO31">
        <f t="shared" si="9"/>
        <v>1</v>
      </c>
      <c r="AP31">
        <f t="shared" si="11"/>
        <v>1</v>
      </c>
      <c r="AQ31">
        <f t="shared" si="13"/>
        <v>1</v>
      </c>
      <c r="AR31">
        <f t="shared" si="17"/>
        <v>1</v>
      </c>
      <c r="AS31">
        <f t="shared" si="19"/>
        <v>1</v>
      </c>
      <c r="AT31">
        <f t="shared" si="21"/>
        <v>1</v>
      </c>
      <c r="AU31">
        <f t="shared" si="23"/>
        <v>1</v>
      </c>
      <c r="AV31">
        <f t="shared" si="25"/>
        <v>1</v>
      </c>
      <c r="AW31">
        <f t="shared" si="27"/>
        <v>1</v>
      </c>
      <c r="AX31">
        <f t="shared" si="29"/>
        <v>1</v>
      </c>
      <c r="AY31" s="22">
        <v>1.1000000000000001</v>
      </c>
      <c r="AZ31">
        <f t="shared" si="26"/>
        <v>1</v>
      </c>
      <c r="BA31">
        <f t="shared" si="26"/>
        <v>1</v>
      </c>
      <c r="BB31">
        <f t="shared" si="26"/>
        <v>1</v>
      </c>
      <c r="BC31">
        <f t="shared" si="26"/>
        <v>1</v>
      </c>
      <c r="BD31">
        <f t="shared" si="30"/>
        <v>0</v>
      </c>
      <c r="BE31">
        <f t="shared" si="30"/>
        <v>0</v>
      </c>
      <c r="BF31">
        <f t="shared" si="30"/>
        <v>0</v>
      </c>
      <c r="BG31">
        <f t="shared" si="30"/>
        <v>0</v>
      </c>
      <c r="BH31">
        <f t="shared" si="30"/>
        <v>0</v>
      </c>
      <c r="BI31" s="15">
        <v>0</v>
      </c>
    </row>
    <row r="32" spans="1:61" x14ac:dyDescent="0.35">
      <c r="A32" s="19"/>
      <c r="B32">
        <f t="shared" si="3"/>
        <v>27</v>
      </c>
      <c r="C32" t="b">
        <v>0</v>
      </c>
      <c r="D32" t="b">
        <v>0</v>
      </c>
      <c r="E32" t="b">
        <v>0</v>
      </c>
      <c r="F32" s="3" t="s">
        <v>51</v>
      </c>
      <c r="G32" t="str">
        <f t="shared" si="31"/>
        <v>-</v>
      </c>
      <c r="H32" t="b">
        <f t="shared" ref="H32:AD43" si="33">H$6</f>
        <v>0</v>
      </c>
      <c r="I32" t="b">
        <f t="shared" si="33"/>
        <v>1</v>
      </c>
      <c r="J32" t="str">
        <f t="shared" si="33"/>
        <v>-</v>
      </c>
      <c r="K32" t="str">
        <f t="shared" si="33"/>
        <v>-</v>
      </c>
      <c r="L32" t="str">
        <f t="shared" si="33"/>
        <v>-</v>
      </c>
      <c r="M32" t="str">
        <f t="shared" si="33"/>
        <v>-</v>
      </c>
      <c r="N32" t="str">
        <f t="shared" si="33"/>
        <v>-</v>
      </c>
      <c r="O32" t="str">
        <f t="shared" si="33"/>
        <v>-</v>
      </c>
      <c r="P32" t="str">
        <f t="shared" si="33"/>
        <v>-</v>
      </c>
      <c r="Q32" t="str">
        <f t="shared" si="33"/>
        <v>-</v>
      </c>
      <c r="R32" t="str">
        <f t="shared" si="33"/>
        <v>-</v>
      </c>
      <c r="S32" t="str">
        <f t="shared" si="33"/>
        <v>-</v>
      </c>
      <c r="T32" t="str">
        <f t="shared" si="33"/>
        <v>-</v>
      </c>
      <c r="U32" t="str">
        <f t="shared" si="33"/>
        <v>-</v>
      </c>
      <c r="V32" t="str">
        <f t="shared" si="33"/>
        <v>-</v>
      </c>
      <c r="W32" t="str">
        <f t="shared" si="33"/>
        <v>-</v>
      </c>
      <c r="X32" t="str">
        <f t="shared" si="33"/>
        <v>-</v>
      </c>
      <c r="Y32" t="str">
        <f t="shared" si="33"/>
        <v>-</v>
      </c>
      <c r="Z32" t="str">
        <f t="shared" si="33"/>
        <v>-</v>
      </c>
      <c r="AA32" t="str">
        <f t="shared" si="33"/>
        <v>-</v>
      </c>
      <c r="AB32" t="str">
        <f t="shared" si="33"/>
        <v>-</v>
      </c>
      <c r="AC32" t="str">
        <f t="shared" si="33"/>
        <v>-</v>
      </c>
      <c r="AD32" t="str">
        <f t="shared" si="33"/>
        <v>-</v>
      </c>
      <c r="AE32" s="22">
        <v>200</v>
      </c>
      <c r="AF32" s="22" t="b">
        <v>1</v>
      </c>
      <c r="AG32" t="str">
        <f t="shared" ref="AG32:AM45" si="34">AG$6</f>
        <v>-</v>
      </c>
      <c r="AH32" t="str">
        <f t="shared" si="34"/>
        <v>-</v>
      </c>
      <c r="AI32" t="str">
        <f t="shared" si="34"/>
        <v>-</v>
      </c>
      <c r="AJ32" t="str">
        <f t="shared" si="34"/>
        <v>-</v>
      </c>
      <c r="AK32" t="str">
        <f t="shared" si="34"/>
        <v>-</v>
      </c>
      <c r="AL32" t="str">
        <f t="shared" si="34"/>
        <v>-</v>
      </c>
      <c r="AM32" t="str">
        <f t="shared" si="34"/>
        <v>-</v>
      </c>
      <c r="AN32">
        <f t="shared" si="7"/>
        <v>1</v>
      </c>
      <c r="AO32">
        <f t="shared" si="9"/>
        <v>1</v>
      </c>
      <c r="AP32">
        <f t="shared" si="11"/>
        <v>1</v>
      </c>
      <c r="AQ32">
        <f t="shared" si="13"/>
        <v>1</v>
      </c>
      <c r="AR32">
        <f t="shared" si="17"/>
        <v>1</v>
      </c>
      <c r="AS32">
        <f t="shared" si="19"/>
        <v>1</v>
      </c>
      <c r="AT32">
        <f t="shared" si="21"/>
        <v>1</v>
      </c>
      <c r="AU32">
        <f t="shared" si="23"/>
        <v>1</v>
      </c>
      <c r="AV32">
        <f t="shared" si="25"/>
        <v>1</v>
      </c>
      <c r="AW32">
        <f t="shared" si="27"/>
        <v>1</v>
      </c>
      <c r="AX32">
        <f t="shared" si="29"/>
        <v>1</v>
      </c>
      <c r="AY32">
        <f t="shared" ref="AY32:BC45" si="35">AY$6</f>
        <v>1</v>
      </c>
      <c r="AZ32">
        <f t="shared" si="35"/>
        <v>1</v>
      </c>
      <c r="BA32">
        <f t="shared" si="35"/>
        <v>1</v>
      </c>
      <c r="BB32">
        <f t="shared" si="35"/>
        <v>1</v>
      </c>
      <c r="BC32">
        <f t="shared" si="35"/>
        <v>1</v>
      </c>
      <c r="BD32">
        <f t="shared" si="30"/>
        <v>0</v>
      </c>
      <c r="BE32">
        <f t="shared" si="30"/>
        <v>0</v>
      </c>
      <c r="BF32">
        <f t="shared" si="30"/>
        <v>0</v>
      </c>
      <c r="BG32">
        <f t="shared" si="30"/>
        <v>0</v>
      </c>
      <c r="BH32">
        <f t="shared" si="30"/>
        <v>0</v>
      </c>
      <c r="BI32" s="15">
        <v>0</v>
      </c>
    </row>
    <row r="33" spans="1:61" x14ac:dyDescent="0.35">
      <c r="A33" s="19"/>
      <c r="B33">
        <f t="shared" si="3"/>
        <v>28</v>
      </c>
      <c r="C33" t="b">
        <v>0</v>
      </c>
      <c r="D33" t="b">
        <v>0</v>
      </c>
      <c r="E33" t="b">
        <v>0</v>
      </c>
      <c r="F33" s="3" t="s">
        <v>52</v>
      </c>
      <c r="G33" t="str">
        <f t="shared" si="31"/>
        <v>-</v>
      </c>
      <c r="H33" t="b">
        <f t="shared" si="33"/>
        <v>0</v>
      </c>
      <c r="I33" t="b">
        <f t="shared" si="33"/>
        <v>1</v>
      </c>
      <c r="J33" t="str">
        <f t="shared" si="33"/>
        <v>-</v>
      </c>
      <c r="K33" t="str">
        <f t="shared" si="33"/>
        <v>-</v>
      </c>
      <c r="L33" t="str">
        <f t="shared" si="33"/>
        <v>-</v>
      </c>
      <c r="M33" t="str">
        <f t="shared" si="33"/>
        <v>-</v>
      </c>
      <c r="N33" t="str">
        <f t="shared" si="33"/>
        <v>-</v>
      </c>
      <c r="O33" t="str">
        <f t="shared" si="33"/>
        <v>-</v>
      </c>
      <c r="P33" t="str">
        <f t="shared" si="33"/>
        <v>-</v>
      </c>
      <c r="Q33" t="str">
        <f t="shared" si="33"/>
        <v>-</v>
      </c>
      <c r="R33" t="str">
        <f t="shared" si="33"/>
        <v>-</v>
      </c>
      <c r="S33" t="str">
        <f t="shared" si="33"/>
        <v>-</v>
      </c>
      <c r="T33" t="str">
        <f t="shared" si="33"/>
        <v>-</v>
      </c>
      <c r="U33" t="str">
        <f t="shared" si="33"/>
        <v>-</v>
      </c>
      <c r="V33" t="str">
        <f t="shared" si="33"/>
        <v>-</v>
      </c>
      <c r="W33" t="str">
        <f t="shared" si="33"/>
        <v>-</v>
      </c>
      <c r="X33" t="str">
        <f t="shared" si="33"/>
        <v>-</v>
      </c>
      <c r="Y33" t="str">
        <f t="shared" si="33"/>
        <v>-</v>
      </c>
      <c r="Z33" t="str">
        <f t="shared" si="33"/>
        <v>-</v>
      </c>
      <c r="AA33" t="str">
        <f t="shared" si="33"/>
        <v>-</v>
      </c>
      <c r="AB33" t="str">
        <f t="shared" si="33"/>
        <v>-</v>
      </c>
      <c r="AC33" t="str">
        <f t="shared" si="33"/>
        <v>-</v>
      </c>
      <c r="AD33" t="str">
        <f t="shared" si="33"/>
        <v>-</v>
      </c>
      <c r="AE33" s="22">
        <v>800</v>
      </c>
      <c r="AF33" s="22" t="b">
        <v>1</v>
      </c>
      <c r="AG33" t="str">
        <f t="shared" si="34"/>
        <v>-</v>
      </c>
      <c r="AH33" t="str">
        <f t="shared" si="34"/>
        <v>-</v>
      </c>
      <c r="AI33" t="str">
        <f t="shared" si="34"/>
        <v>-</v>
      </c>
      <c r="AJ33" t="str">
        <f t="shared" si="34"/>
        <v>-</v>
      </c>
      <c r="AK33" t="str">
        <f t="shared" si="34"/>
        <v>-</v>
      </c>
      <c r="AL33" t="str">
        <f t="shared" si="34"/>
        <v>-</v>
      </c>
      <c r="AM33" t="str">
        <f t="shared" si="34"/>
        <v>-</v>
      </c>
      <c r="AN33">
        <f t="shared" si="7"/>
        <v>1</v>
      </c>
      <c r="AO33">
        <f t="shared" si="9"/>
        <v>1</v>
      </c>
      <c r="AP33">
        <f t="shared" si="11"/>
        <v>1</v>
      </c>
      <c r="AQ33">
        <f t="shared" si="13"/>
        <v>1</v>
      </c>
      <c r="AR33">
        <f t="shared" si="17"/>
        <v>1</v>
      </c>
      <c r="AS33">
        <f t="shared" si="19"/>
        <v>1</v>
      </c>
      <c r="AT33">
        <f t="shared" si="21"/>
        <v>1</v>
      </c>
      <c r="AU33">
        <f t="shared" si="23"/>
        <v>1</v>
      </c>
      <c r="AV33">
        <f t="shared" si="25"/>
        <v>1</v>
      </c>
      <c r="AW33">
        <f t="shared" si="27"/>
        <v>1</v>
      </c>
      <c r="AX33">
        <f t="shared" si="29"/>
        <v>1</v>
      </c>
      <c r="AY33">
        <f t="shared" si="35"/>
        <v>1</v>
      </c>
      <c r="AZ33">
        <f t="shared" si="35"/>
        <v>1</v>
      </c>
      <c r="BA33">
        <f t="shared" si="35"/>
        <v>1</v>
      </c>
      <c r="BB33">
        <f t="shared" si="35"/>
        <v>1</v>
      </c>
      <c r="BC33">
        <f t="shared" si="35"/>
        <v>1</v>
      </c>
      <c r="BD33">
        <f t="shared" si="30"/>
        <v>0</v>
      </c>
      <c r="BE33">
        <f t="shared" si="30"/>
        <v>0</v>
      </c>
      <c r="BF33">
        <f t="shared" si="30"/>
        <v>0</v>
      </c>
      <c r="BG33">
        <f t="shared" si="30"/>
        <v>0</v>
      </c>
      <c r="BH33">
        <f t="shared" si="30"/>
        <v>0</v>
      </c>
      <c r="BI33" s="15">
        <v>0</v>
      </c>
    </row>
    <row r="34" spans="1:61" x14ac:dyDescent="0.35">
      <c r="A34" s="19"/>
      <c r="B34">
        <f t="shared" si="3"/>
        <v>29</v>
      </c>
      <c r="C34" t="b">
        <v>0</v>
      </c>
      <c r="D34" t="b">
        <v>0</v>
      </c>
      <c r="E34" t="b">
        <v>0</v>
      </c>
      <c r="F34" s="3" t="s">
        <v>53</v>
      </c>
      <c r="G34" t="str">
        <f t="shared" si="31"/>
        <v>-</v>
      </c>
      <c r="H34" t="b">
        <f t="shared" si="33"/>
        <v>0</v>
      </c>
      <c r="I34" t="b">
        <f t="shared" si="33"/>
        <v>1</v>
      </c>
      <c r="J34" t="str">
        <f t="shared" si="33"/>
        <v>-</v>
      </c>
      <c r="K34" t="str">
        <f t="shared" si="33"/>
        <v>-</v>
      </c>
      <c r="L34" t="str">
        <f t="shared" si="33"/>
        <v>-</v>
      </c>
      <c r="M34" t="str">
        <f t="shared" si="33"/>
        <v>-</v>
      </c>
      <c r="N34" t="str">
        <f t="shared" si="33"/>
        <v>-</v>
      </c>
      <c r="O34" t="str">
        <f t="shared" si="33"/>
        <v>-</v>
      </c>
      <c r="P34" t="str">
        <f t="shared" si="33"/>
        <v>-</v>
      </c>
      <c r="Q34" t="str">
        <f t="shared" si="33"/>
        <v>-</v>
      </c>
      <c r="R34" t="str">
        <f t="shared" si="33"/>
        <v>-</v>
      </c>
      <c r="S34" t="str">
        <f t="shared" si="33"/>
        <v>-</v>
      </c>
      <c r="T34" t="str">
        <f t="shared" si="33"/>
        <v>-</v>
      </c>
      <c r="U34" t="str">
        <f t="shared" si="33"/>
        <v>-</v>
      </c>
      <c r="V34" t="str">
        <f t="shared" si="33"/>
        <v>-</v>
      </c>
      <c r="W34" t="str">
        <f t="shared" si="33"/>
        <v>-</v>
      </c>
      <c r="X34" t="str">
        <f t="shared" si="33"/>
        <v>-</v>
      </c>
      <c r="Y34" t="str">
        <f t="shared" si="33"/>
        <v>-</v>
      </c>
      <c r="Z34" t="str">
        <f t="shared" si="33"/>
        <v>-</v>
      </c>
      <c r="AA34" t="str">
        <f t="shared" si="33"/>
        <v>-</v>
      </c>
      <c r="AB34" t="str">
        <f t="shared" si="33"/>
        <v>-</v>
      </c>
      <c r="AC34" t="str">
        <f t="shared" si="33"/>
        <v>-</v>
      </c>
      <c r="AD34" t="str">
        <f t="shared" si="33"/>
        <v>-</v>
      </c>
      <c r="AE34" s="22">
        <v>1200</v>
      </c>
      <c r="AF34" s="22" t="b">
        <v>1</v>
      </c>
      <c r="AG34" t="str">
        <f t="shared" si="34"/>
        <v>-</v>
      </c>
      <c r="AH34" t="str">
        <f t="shared" si="34"/>
        <v>-</v>
      </c>
      <c r="AI34" t="str">
        <f t="shared" si="34"/>
        <v>-</v>
      </c>
      <c r="AJ34" t="str">
        <f t="shared" si="34"/>
        <v>-</v>
      </c>
      <c r="AK34" t="str">
        <f t="shared" si="34"/>
        <v>-</v>
      </c>
      <c r="AL34" t="str">
        <f t="shared" si="34"/>
        <v>-</v>
      </c>
      <c r="AM34" t="str">
        <f t="shared" si="34"/>
        <v>-</v>
      </c>
      <c r="AN34">
        <f t="shared" si="7"/>
        <v>1</v>
      </c>
      <c r="AO34">
        <f t="shared" si="9"/>
        <v>1</v>
      </c>
      <c r="AP34">
        <f t="shared" si="11"/>
        <v>1</v>
      </c>
      <c r="AQ34">
        <f t="shared" si="13"/>
        <v>1</v>
      </c>
      <c r="AR34">
        <f t="shared" si="17"/>
        <v>1</v>
      </c>
      <c r="AS34">
        <f t="shared" si="19"/>
        <v>1</v>
      </c>
      <c r="AT34">
        <f t="shared" si="21"/>
        <v>1</v>
      </c>
      <c r="AU34">
        <f t="shared" si="23"/>
        <v>1</v>
      </c>
      <c r="AV34">
        <f t="shared" si="25"/>
        <v>1</v>
      </c>
      <c r="AW34">
        <f t="shared" si="27"/>
        <v>1</v>
      </c>
      <c r="AX34">
        <f t="shared" si="29"/>
        <v>1</v>
      </c>
      <c r="AY34">
        <f t="shared" si="35"/>
        <v>1</v>
      </c>
      <c r="AZ34">
        <f t="shared" si="35"/>
        <v>1</v>
      </c>
      <c r="BA34">
        <f t="shared" si="35"/>
        <v>1</v>
      </c>
      <c r="BB34">
        <f t="shared" si="35"/>
        <v>1</v>
      </c>
      <c r="BC34">
        <f t="shared" si="35"/>
        <v>1</v>
      </c>
      <c r="BD34">
        <f t="shared" si="30"/>
        <v>0</v>
      </c>
      <c r="BE34">
        <f t="shared" si="30"/>
        <v>0</v>
      </c>
      <c r="BF34">
        <f t="shared" si="30"/>
        <v>0</v>
      </c>
      <c r="BG34">
        <f t="shared" si="30"/>
        <v>0</v>
      </c>
      <c r="BH34">
        <f t="shared" si="30"/>
        <v>0</v>
      </c>
      <c r="BI34" s="15">
        <v>0</v>
      </c>
    </row>
    <row r="35" spans="1:61" x14ac:dyDescent="0.35">
      <c r="A35" s="19">
        <v>44277.732129629629</v>
      </c>
      <c r="B35">
        <f t="shared" si="3"/>
        <v>30</v>
      </c>
      <c r="C35" t="b">
        <v>0</v>
      </c>
      <c r="D35" t="b">
        <v>0</v>
      </c>
      <c r="E35" t="b">
        <v>0</v>
      </c>
      <c r="F35" s="3" t="s">
        <v>54</v>
      </c>
      <c r="G35" t="str">
        <f t="shared" si="31"/>
        <v>-</v>
      </c>
      <c r="H35" t="b">
        <f t="shared" si="33"/>
        <v>0</v>
      </c>
      <c r="I35" t="b">
        <f t="shared" si="33"/>
        <v>1</v>
      </c>
      <c r="J35" t="str">
        <f t="shared" si="33"/>
        <v>-</v>
      </c>
      <c r="K35" t="str">
        <f t="shared" si="33"/>
        <v>-</v>
      </c>
      <c r="L35" t="str">
        <f t="shared" si="33"/>
        <v>-</v>
      </c>
      <c r="M35" t="str">
        <f t="shared" si="33"/>
        <v>-</v>
      </c>
      <c r="N35" t="str">
        <f t="shared" si="33"/>
        <v>-</v>
      </c>
      <c r="O35" t="str">
        <f t="shared" si="33"/>
        <v>-</v>
      </c>
      <c r="P35" t="str">
        <f t="shared" si="33"/>
        <v>-</v>
      </c>
      <c r="Q35" t="str">
        <f t="shared" si="33"/>
        <v>-</v>
      </c>
      <c r="R35" t="str">
        <f t="shared" si="33"/>
        <v>-</v>
      </c>
      <c r="S35" t="str">
        <f t="shared" si="33"/>
        <v>-</v>
      </c>
      <c r="T35" t="str">
        <f t="shared" si="33"/>
        <v>-</v>
      </c>
      <c r="U35" t="str">
        <f t="shared" si="33"/>
        <v>-</v>
      </c>
      <c r="V35" t="str">
        <f t="shared" si="33"/>
        <v>-</v>
      </c>
      <c r="W35" t="str">
        <f t="shared" si="33"/>
        <v>-</v>
      </c>
      <c r="X35" t="str">
        <f t="shared" si="33"/>
        <v>-</v>
      </c>
      <c r="Y35" t="str">
        <f t="shared" si="33"/>
        <v>-</v>
      </c>
      <c r="Z35" t="str">
        <f t="shared" si="33"/>
        <v>-</v>
      </c>
      <c r="AA35" t="str">
        <f t="shared" si="33"/>
        <v>-</v>
      </c>
      <c r="AB35" t="str">
        <f t="shared" si="33"/>
        <v>-</v>
      </c>
      <c r="AC35" t="str">
        <f t="shared" si="33"/>
        <v>-</v>
      </c>
      <c r="AD35" t="str">
        <f t="shared" si="33"/>
        <v>-</v>
      </c>
      <c r="AE35" s="22">
        <v>1600</v>
      </c>
      <c r="AF35" s="22" t="b">
        <v>1</v>
      </c>
      <c r="AG35" t="str">
        <f t="shared" si="34"/>
        <v>-</v>
      </c>
      <c r="AH35" t="str">
        <f t="shared" si="34"/>
        <v>-</v>
      </c>
      <c r="AI35" t="str">
        <f t="shared" si="34"/>
        <v>-</v>
      </c>
      <c r="AJ35" t="str">
        <f t="shared" si="34"/>
        <v>-</v>
      </c>
      <c r="AK35" t="str">
        <f t="shared" si="34"/>
        <v>-</v>
      </c>
      <c r="AL35" t="str">
        <f t="shared" si="34"/>
        <v>-</v>
      </c>
      <c r="AM35" t="str">
        <f t="shared" si="34"/>
        <v>-</v>
      </c>
      <c r="AN35">
        <f t="shared" si="7"/>
        <v>1</v>
      </c>
      <c r="AO35">
        <f t="shared" si="9"/>
        <v>1</v>
      </c>
      <c r="AP35">
        <f t="shared" si="11"/>
        <v>1</v>
      </c>
      <c r="AQ35">
        <f t="shared" si="13"/>
        <v>1</v>
      </c>
      <c r="AR35">
        <f t="shared" si="17"/>
        <v>1</v>
      </c>
      <c r="AS35">
        <f t="shared" si="19"/>
        <v>1</v>
      </c>
      <c r="AT35">
        <f t="shared" si="21"/>
        <v>1</v>
      </c>
      <c r="AU35">
        <f t="shared" si="23"/>
        <v>1</v>
      </c>
      <c r="AV35">
        <f t="shared" si="25"/>
        <v>1</v>
      </c>
      <c r="AW35">
        <f t="shared" si="27"/>
        <v>1</v>
      </c>
      <c r="AX35">
        <f t="shared" si="29"/>
        <v>1</v>
      </c>
      <c r="AY35">
        <f t="shared" si="35"/>
        <v>1</v>
      </c>
      <c r="AZ35">
        <f t="shared" si="35"/>
        <v>1</v>
      </c>
      <c r="BA35">
        <f t="shared" si="35"/>
        <v>1</v>
      </c>
      <c r="BB35">
        <f t="shared" si="35"/>
        <v>1</v>
      </c>
      <c r="BC35">
        <f t="shared" si="35"/>
        <v>1</v>
      </c>
      <c r="BD35">
        <f t="shared" si="30"/>
        <v>0</v>
      </c>
      <c r="BE35">
        <f t="shared" si="30"/>
        <v>0</v>
      </c>
      <c r="BF35">
        <f t="shared" si="30"/>
        <v>0</v>
      </c>
      <c r="BG35">
        <f t="shared" si="30"/>
        <v>0</v>
      </c>
      <c r="BH35">
        <f t="shared" si="30"/>
        <v>0</v>
      </c>
      <c r="BI35" s="15">
        <v>0</v>
      </c>
    </row>
    <row r="36" spans="1:61" x14ac:dyDescent="0.35">
      <c r="A36" s="19"/>
      <c r="B36">
        <f t="shared" si="3"/>
        <v>31</v>
      </c>
      <c r="C36" t="b">
        <v>0</v>
      </c>
      <c r="D36" t="b">
        <v>1</v>
      </c>
      <c r="E36" t="b">
        <v>0</v>
      </c>
      <c r="F36" s="3" t="s">
        <v>55</v>
      </c>
      <c r="G36" t="str">
        <f t="shared" si="31"/>
        <v>-</v>
      </c>
      <c r="H36" s="22" t="b">
        <v>1</v>
      </c>
      <c r="I36" s="22" t="b">
        <v>1</v>
      </c>
      <c r="J36" t="str">
        <f t="shared" si="33"/>
        <v>-</v>
      </c>
      <c r="K36" t="str">
        <f t="shared" si="33"/>
        <v>-</v>
      </c>
      <c r="L36" t="str">
        <f t="shared" si="33"/>
        <v>-</v>
      </c>
      <c r="M36" t="str">
        <f t="shared" ref="M36:AF38" si="36">M$6</f>
        <v>-</v>
      </c>
      <c r="N36" t="str">
        <f t="shared" si="36"/>
        <v>-</v>
      </c>
      <c r="O36" t="str">
        <f t="shared" si="36"/>
        <v>-</v>
      </c>
      <c r="P36" t="str">
        <f t="shared" si="36"/>
        <v>-</v>
      </c>
      <c r="Q36" t="str">
        <f t="shared" si="36"/>
        <v>-</v>
      </c>
      <c r="R36" t="str">
        <f t="shared" si="36"/>
        <v>-</v>
      </c>
      <c r="S36" t="str">
        <f t="shared" si="36"/>
        <v>-</v>
      </c>
      <c r="T36" t="str">
        <f t="shared" si="36"/>
        <v>-</v>
      </c>
      <c r="U36" t="str">
        <f t="shared" si="36"/>
        <v>-</v>
      </c>
      <c r="V36" t="str">
        <f t="shared" si="36"/>
        <v>-</v>
      </c>
      <c r="W36" t="str">
        <f t="shared" si="36"/>
        <v>-</v>
      </c>
      <c r="X36" t="str">
        <f t="shared" si="36"/>
        <v>-</v>
      </c>
      <c r="Y36" t="str">
        <f t="shared" si="36"/>
        <v>-</v>
      </c>
      <c r="Z36" t="str">
        <f t="shared" si="36"/>
        <v>-</v>
      </c>
      <c r="AA36" t="str">
        <f t="shared" si="36"/>
        <v>-</v>
      </c>
      <c r="AB36" t="str">
        <f t="shared" si="36"/>
        <v>-</v>
      </c>
      <c r="AC36" t="str">
        <f t="shared" si="36"/>
        <v>-</v>
      </c>
      <c r="AD36" t="str">
        <f t="shared" si="36"/>
        <v>-</v>
      </c>
      <c r="AE36" t="str">
        <f t="shared" si="36"/>
        <v>-</v>
      </c>
      <c r="AF36" t="str">
        <f t="shared" si="36"/>
        <v>-</v>
      </c>
      <c r="AG36" t="str">
        <f t="shared" si="34"/>
        <v>-</v>
      </c>
      <c r="AH36" t="str">
        <f t="shared" si="34"/>
        <v>-</v>
      </c>
      <c r="AI36" t="str">
        <f t="shared" si="34"/>
        <v>-</v>
      </c>
      <c r="AJ36" t="str">
        <f t="shared" si="34"/>
        <v>-</v>
      </c>
      <c r="AK36" t="str">
        <f t="shared" si="34"/>
        <v>-</v>
      </c>
      <c r="AL36" t="str">
        <f t="shared" si="34"/>
        <v>-</v>
      </c>
      <c r="AM36" t="str">
        <f t="shared" si="34"/>
        <v>-</v>
      </c>
      <c r="AN36">
        <f t="shared" si="7"/>
        <v>1</v>
      </c>
      <c r="AO36">
        <f t="shared" si="9"/>
        <v>1</v>
      </c>
      <c r="AP36">
        <f t="shared" si="11"/>
        <v>1</v>
      </c>
      <c r="AQ36">
        <f t="shared" si="13"/>
        <v>1</v>
      </c>
      <c r="AR36">
        <f t="shared" si="17"/>
        <v>1</v>
      </c>
      <c r="AS36">
        <f t="shared" si="19"/>
        <v>1</v>
      </c>
      <c r="AT36">
        <f t="shared" si="21"/>
        <v>1</v>
      </c>
      <c r="AU36">
        <f t="shared" si="23"/>
        <v>1</v>
      </c>
      <c r="AV36">
        <f t="shared" si="25"/>
        <v>1</v>
      </c>
      <c r="AW36">
        <f t="shared" si="27"/>
        <v>1</v>
      </c>
      <c r="AX36">
        <f t="shared" si="29"/>
        <v>1</v>
      </c>
      <c r="AY36">
        <f t="shared" si="35"/>
        <v>1</v>
      </c>
      <c r="AZ36">
        <f t="shared" si="35"/>
        <v>1</v>
      </c>
      <c r="BA36">
        <f t="shared" si="35"/>
        <v>1</v>
      </c>
      <c r="BB36">
        <f t="shared" si="35"/>
        <v>1</v>
      </c>
      <c r="BC36">
        <f t="shared" si="35"/>
        <v>1</v>
      </c>
      <c r="BD36">
        <f t="shared" si="30"/>
        <v>0</v>
      </c>
      <c r="BE36">
        <f t="shared" si="30"/>
        <v>0</v>
      </c>
      <c r="BF36">
        <f t="shared" si="30"/>
        <v>0</v>
      </c>
      <c r="BG36">
        <f t="shared" si="30"/>
        <v>0</v>
      </c>
      <c r="BH36">
        <f t="shared" si="30"/>
        <v>0</v>
      </c>
      <c r="BI36" s="15">
        <v>0</v>
      </c>
    </row>
    <row r="37" spans="1:61" x14ac:dyDescent="0.35">
      <c r="A37" s="19">
        <v>44275.509710648148</v>
      </c>
      <c r="B37">
        <f t="shared" si="3"/>
        <v>32</v>
      </c>
      <c r="C37" t="b">
        <v>1</v>
      </c>
      <c r="D37" t="b">
        <v>1</v>
      </c>
      <c r="E37" t="b">
        <v>1</v>
      </c>
      <c r="F37" s="3" t="s">
        <v>60</v>
      </c>
      <c r="G37" t="str">
        <f t="shared" si="31"/>
        <v>-</v>
      </c>
      <c r="H37" s="22" t="b">
        <v>1</v>
      </c>
      <c r="I37" s="22" t="b">
        <v>0</v>
      </c>
      <c r="J37" t="str">
        <f t="shared" si="33"/>
        <v>-</v>
      </c>
      <c r="K37" t="str">
        <f t="shared" si="33"/>
        <v>-</v>
      </c>
      <c r="L37" t="str">
        <f t="shared" si="33"/>
        <v>-</v>
      </c>
      <c r="M37" t="str">
        <f t="shared" si="36"/>
        <v>-</v>
      </c>
      <c r="N37" t="str">
        <f t="shared" si="36"/>
        <v>-</v>
      </c>
      <c r="O37" t="str">
        <f t="shared" si="36"/>
        <v>-</v>
      </c>
      <c r="P37" t="str">
        <f t="shared" si="36"/>
        <v>-</v>
      </c>
      <c r="Q37" t="str">
        <f t="shared" si="36"/>
        <v>-</v>
      </c>
      <c r="R37" t="str">
        <f t="shared" si="36"/>
        <v>-</v>
      </c>
      <c r="S37" t="str">
        <f t="shared" si="36"/>
        <v>-</v>
      </c>
      <c r="T37" t="str">
        <f t="shared" si="36"/>
        <v>-</v>
      </c>
      <c r="U37" t="str">
        <f t="shared" si="36"/>
        <v>-</v>
      </c>
      <c r="V37" t="str">
        <f t="shared" si="36"/>
        <v>-</v>
      </c>
      <c r="W37" t="str">
        <f t="shared" si="36"/>
        <v>-</v>
      </c>
      <c r="X37" t="str">
        <f t="shared" si="36"/>
        <v>-</v>
      </c>
      <c r="Y37" t="str">
        <f t="shared" si="36"/>
        <v>-</v>
      </c>
      <c r="Z37" t="str">
        <f t="shared" si="36"/>
        <v>-</v>
      </c>
      <c r="AA37" t="str">
        <f t="shared" si="36"/>
        <v>-</v>
      </c>
      <c r="AB37" t="str">
        <f t="shared" si="36"/>
        <v>-</v>
      </c>
      <c r="AC37" t="str">
        <f t="shared" si="36"/>
        <v>-</v>
      </c>
      <c r="AD37" t="str">
        <f t="shared" si="36"/>
        <v>-</v>
      </c>
      <c r="AE37" t="str">
        <f t="shared" si="36"/>
        <v>-</v>
      </c>
      <c r="AF37" t="str">
        <f t="shared" si="36"/>
        <v>-</v>
      </c>
      <c r="AG37" s="22" t="b">
        <v>1</v>
      </c>
      <c r="AH37" s="22" t="b">
        <v>0</v>
      </c>
      <c r="AI37" s="22" t="b">
        <v>1</v>
      </c>
      <c r="AJ37" t="str">
        <f t="shared" si="34"/>
        <v>-</v>
      </c>
      <c r="AK37" t="str">
        <f t="shared" si="34"/>
        <v>-</v>
      </c>
      <c r="AL37" t="str">
        <f t="shared" si="34"/>
        <v>-</v>
      </c>
      <c r="AM37" t="str">
        <f t="shared" si="34"/>
        <v>-</v>
      </c>
      <c r="AN37">
        <f t="shared" si="7"/>
        <v>1</v>
      </c>
      <c r="AO37">
        <f t="shared" si="9"/>
        <v>1</v>
      </c>
      <c r="AP37">
        <f t="shared" si="11"/>
        <v>1</v>
      </c>
      <c r="AQ37">
        <f t="shared" si="13"/>
        <v>1</v>
      </c>
      <c r="AR37">
        <f t="shared" si="17"/>
        <v>1</v>
      </c>
      <c r="AS37">
        <f t="shared" si="19"/>
        <v>1</v>
      </c>
      <c r="AT37">
        <f t="shared" si="21"/>
        <v>1</v>
      </c>
      <c r="AU37">
        <f t="shared" si="23"/>
        <v>1</v>
      </c>
      <c r="AV37">
        <f t="shared" si="25"/>
        <v>1</v>
      </c>
      <c r="AW37">
        <f t="shared" si="27"/>
        <v>1</v>
      </c>
      <c r="AX37">
        <f t="shared" si="29"/>
        <v>1</v>
      </c>
      <c r="AY37">
        <f t="shared" si="35"/>
        <v>1</v>
      </c>
      <c r="AZ37">
        <f t="shared" si="35"/>
        <v>1</v>
      </c>
      <c r="BA37">
        <f t="shared" si="35"/>
        <v>1</v>
      </c>
      <c r="BB37">
        <f t="shared" si="35"/>
        <v>1</v>
      </c>
      <c r="BC37">
        <f t="shared" si="35"/>
        <v>1</v>
      </c>
      <c r="BD37">
        <f t="shared" si="30"/>
        <v>0</v>
      </c>
      <c r="BE37">
        <f t="shared" si="30"/>
        <v>0</v>
      </c>
      <c r="BF37">
        <f t="shared" si="30"/>
        <v>0</v>
      </c>
      <c r="BG37">
        <f t="shared" si="30"/>
        <v>0</v>
      </c>
      <c r="BH37">
        <f t="shared" si="30"/>
        <v>0</v>
      </c>
      <c r="BI37" s="15">
        <v>0</v>
      </c>
    </row>
    <row r="38" spans="1:61" x14ac:dyDescent="0.35">
      <c r="A38" s="19"/>
      <c r="B38">
        <f t="shared" si="3"/>
        <v>33</v>
      </c>
      <c r="C38" t="b">
        <v>0</v>
      </c>
      <c r="D38" t="b">
        <v>1</v>
      </c>
      <c r="E38" t="b">
        <v>0</v>
      </c>
      <c r="F38" s="3" t="s">
        <v>61</v>
      </c>
      <c r="G38" t="str">
        <f t="shared" si="31"/>
        <v>-</v>
      </c>
      <c r="H38" s="22" t="b">
        <v>0</v>
      </c>
      <c r="I38" s="22" t="b">
        <v>1</v>
      </c>
      <c r="J38" t="str">
        <f t="shared" si="33"/>
        <v>-</v>
      </c>
      <c r="K38" t="str">
        <f t="shared" si="33"/>
        <v>-</v>
      </c>
      <c r="L38" t="str">
        <f t="shared" si="33"/>
        <v>-</v>
      </c>
      <c r="M38" t="str">
        <f t="shared" si="36"/>
        <v>-</v>
      </c>
      <c r="N38" t="str">
        <f t="shared" si="36"/>
        <v>-</v>
      </c>
      <c r="O38" t="str">
        <f t="shared" si="36"/>
        <v>-</v>
      </c>
      <c r="P38" t="str">
        <f t="shared" si="36"/>
        <v>-</v>
      </c>
      <c r="Q38" t="str">
        <f t="shared" si="36"/>
        <v>-</v>
      </c>
      <c r="R38" t="str">
        <f t="shared" si="36"/>
        <v>-</v>
      </c>
      <c r="S38" t="str">
        <f t="shared" si="36"/>
        <v>-</v>
      </c>
      <c r="T38" t="str">
        <f t="shared" si="36"/>
        <v>-</v>
      </c>
      <c r="U38" t="str">
        <f t="shared" si="36"/>
        <v>-</v>
      </c>
      <c r="V38" t="str">
        <f t="shared" si="36"/>
        <v>-</v>
      </c>
      <c r="W38" t="str">
        <f t="shared" si="36"/>
        <v>-</v>
      </c>
      <c r="X38" t="str">
        <f t="shared" si="36"/>
        <v>-</v>
      </c>
      <c r="Y38" t="str">
        <f t="shared" si="36"/>
        <v>-</v>
      </c>
      <c r="Z38" t="str">
        <f t="shared" si="36"/>
        <v>-</v>
      </c>
      <c r="AA38" t="str">
        <f t="shared" si="36"/>
        <v>-</v>
      </c>
      <c r="AB38" t="str">
        <f t="shared" si="36"/>
        <v>-</v>
      </c>
      <c r="AC38" t="str">
        <f t="shared" si="36"/>
        <v>-</v>
      </c>
      <c r="AD38" t="str">
        <f t="shared" si="36"/>
        <v>-</v>
      </c>
      <c r="AE38" t="str">
        <f t="shared" si="36"/>
        <v>-</v>
      </c>
      <c r="AF38" t="str">
        <f t="shared" si="36"/>
        <v>-</v>
      </c>
      <c r="AG38" t="str">
        <f t="shared" ref="AG38:AI39" si="37">AG$6</f>
        <v>-</v>
      </c>
      <c r="AH38" t="str">
        <f t="shared" si="37"/>
        <v>-</v>
      </c>
      <c r="AI38" t="str">
        <f t="shared" si="37"/>
        <v>-</v>
      </c>
      <c r="AJ38" t="str">
        <f t="shared" si="34"/>
        <v>-</v>
      </c>
      <c r="AK38" t="str">
        <f t="shared" si="34"/>
        <v>-</v>
      </c>
      <c r="AL38" t="str">
        <f t="shared" si="34"/>
        <v>-</v>
      </c>
      <c r="AM38" t="str">
        <f t="shared" si="34"/>
        <v>-</v>
      </c>
      <c r="AN38">
        <f t="shared" si="7"/>
        <v>1</v>
      </c>
      <c r="AO38">
        <f t="shared" si="9"/>
        <v>1</v>
      </c>
      <c r="AP38">
        <f t="shared" si="11"/>
        <v>1</v>
      </c>
      <c r="AQ38">
        <f t="shared" si="13"/>
        <v>1</v>
      </c>
      <c r="AR38">
        <f t="shared" si="17"/>
        <v>1</v>
      </c>
      <c r="AS38">
        <f t="shared" si="19"/>
        <v>1</v>
      </c>
      <c r="AT38">
        <f t="shared" si="21"/>
        <v>1</v>
      </c>
      <c r="AU38">
        <f t="shared" si="23"/>
        <v>1</v>
      </c>
      <c r="AV38">
        <f t="shared" si="25"/>
        <v>1</v>
      </c>
      <c r="AW38">
        <f t="shared" si="27"/>
        <v>1</v>
      </c>
      <c r="AX38">
        <f t="shared" si="29"/>
        <v>1</v>
      </c>
      <c r="AY38">
        <f t="shared" si="35"/>
        <v>1</v>
      </c>
      <c r="AZ38">
        <f t="shared" si="35"/>
        <v>1</v>
      </c>
      <c r="BA38">
        <f t="shared" si="35"/>
        <v>1</v>
      </c>
      <c r="BB38">
        <f t="shared" si="35"/>
        <v>1</v>
      </c>
      <c r="BC38">
        <f t="shared" si="35"/>
        <v>1</v>
      </c>
      <c r="BD38">
        <f t="shared" si="30"/>
        <v>0</v>
      </c>
      <c r="BE38">
        <f t="shared" si="30"/>
        <v>0</v>
      </c>
      <c r="BF38">
        <f t="shared" si="30"/>
        <v>0</v>
      </c>
      <c r="BG38">
        <f t="shared" si="30"/>
        <v>0</v>
      </c>
      <c r="BH38">
        <f t="shared" si="30"/>
        <v>0</v>
      </c>
      <c r="BI38" s="15">
        <v>0</v>
      </c>
    </row>
    <row r="39" spans="1:61" x14ac:dyDescent="0.35">
      <c r="A39" s="19"/>
      <c r="B39">
        <f t="shared" si="3"/>
        <v>34</v>
      </c>
      <c r="C39" t="b">
        <v>0</v>
      </c>
      <c r="D39" t="b">
        <v>0</v>
      </c>
      <c r="E39" t="b">
        <v>0</v>
      </c>
      <c r="F39" s="3" t="s">
        <v>59</v>
      </c>
      <c r="G39" t="str">
        <f t="shared" si="31"/>
        <v>-</v>
      </c>
      <c r="H39" t="b">
        <f>H$6</f>
        <v>0</v>
      </c>
      <c r="I39" t="b">
        <f>I$6</f>
        <v>1</v>
      </c>
      <c r="J39" t="str">
        <f t="shared" si="33"/>
        <v>-</v>
      </c>
      <c r="K39" t="str">
        <f t="shared" si="33"/>
        <v>-</v>
      </c>
      <c r="L39" t="str">
        <f t="shared" si="33"/>
        <v>-</v>
      </c>
      <c r="M39" t="str">
        <f>M$6</f>
        <v>-</v>
      </c>
      <c r="N39" t="str">
        <f>N$6</f>
        <v>-</v>
      </c>
      <c r="O39" s="22" t="b">
        <v>1</v>
      </c>
      <c r="P39" t="str">
        <f t="shared" ref="P39:AF45" si="38">P$6</f>
        <v>-</v>
      </c>
      <c r="Q39" t="str">
        <f t="shared" si="38"/>
        <v>-</v>
      </c>
      <c r="R39" t="str">
        <f t="shared" si="38"/>
        <v>-</v>
      </c>
      <c r="S39" t="str">
        <f t="shared" si="38"/>
        <v>-</v>
      </c>
      <c r="T39" t="str">
        <f t="shared" si="38"/>
        <v>-</v>
      </c>
      <c r="U39" t="str">
        <f t="shared" si="38"/>
        <v>-</v>
      </c>
      <c r="V39" t="str">
        <f t="shared" si="38"/>
        <v>-</v>
      </c>
      <c r="W39" t="str">
        <f t="shared" si="38"/>
        <v>-</v>
      </c>
      <c r="X39" t="str">
        <f t="shared" si="38"/>
        <v>-</v>
      </c>
      <c r="Y39" t="str">
        <f t="shared" si="38"/>
        <v>-</v>
      </c>
      <c r="Z39" t="str">
        <f t="shared" si="38"/>
        <v>-</v>
      </c>
      <c r="AA39" t="str">
        <f t="shared" si="38"/>
        <v>-</v>
      </c>
      <c r="AB39" t="str">
        <f t="shared" si="38"/>
        <v>-</v>
      </c>
      <c r="AC39" t="str">
        <f t="shared" si="38"/>
        <v>-</v>
      </c>
      <c r="AD39" t="str">
        <f t="shared" si="38"/>
        <v>-</v>
      </c>
      <c r="AE39" t="str">
        <f t="shared" si="38"/>
        <v>-</v>
      </c>
      <c r="AF39" t="str">
        <f t="shared" si="38"/>
        <v>-</v>
      </c>
      <c r="AG39" t="str">
        <f t="shared" si="37"/>
        <v>-</v>
      </c>
      <c r="AH39" t="str">
        <f t="shared" si="37"/>
        <v>-</v>
      </c>
      <c r="AI39" t="str">
        <f t="shared" si="37"/>
        <v>-</v>
      </c>
      <c r="AJ39" t="str">
        <f t="shared" si="34"/>
        <v>-</v>
      </c>
      <c r="AK39" t="str">
        <f t="shared" si="34"/>
        <v>-</v>
      </c>
      <c r="AL39" t="str">
        <f t="shared" si="34"/>
        <v>-</v>
      </c>
      <c r="AM39" t="str">
        <f t="shared" si="34"/>
        <v>-</v>
      </c>
      <c r="AN39">
        <f t="shared" si="7"/>
        <v>1</v>
      </c>
      <c r="AO39">
        <f t="shared" si="9"/>
        <v>1</v>
      </c>
      <c r="AP39">
        <f t="shared" si="11"/>
        <v>1</v>
      </c>
      <c r="AQ39">
        <f t="shared" si="13"/>
        <v>1</v>
      </c>
      <c r="AR39">
        <f t="shared" si="17"/>
        <v>1</v>
      </c>
      <c r="AS39">
        <f t="shared" si="19"/>
        <v>1</v>
      </c>
      <c r="AT39">
        <f t="shared" si="21"/>
        <v>1</v>
      </c>
      <c r="AU39">
        <f t="shared" si="23"/>
        <v>1</v>
      </c>
      <c r="AV39">
        <f t="shared" si="25"/>
        <v>1</v>
      </c>
      <c r="AW39">
        <f t="shared" si="27"/>
        <v>1</v>
      </c>
      <c r="AX39">
        <f t="shared" si="29"/>
        <v>1</v>
      </c>
      <c r="AY39">
        <f t="shared" si="35"/>
        <v>1</v>
      </c>
      <c r="AZ39">
        <f t="shared" si="35"/>
        <v>1</v>
      </c>
      <c r="BA39">
        <f t="shared" si="35"/>
        <v>1</v>
      </c>
      <c r="BB39">
        <f t="shared" si="35"/>
        <v>1</v>
      </c>
      <c r="BC39">
        <f t="shared" si="35"/>
        <v>1</v>
      </c>
      <c r="BD39">
        <f t="shared" si="30"/>
        <v>0</v>
      </c>
      <c r="BE39">
        <f t="shared" si="30"/>
        <v>0</v>
      </c>
      <c r="BF39">
        <f t="shared" si="30"/>
        <v>0</v>
      </c>
      <c r="BG39">
        <f t="shared" si="30"/>
        <v>0</v>
      </c>
      <c r="BH39">
        <f t="shared" si="30"/>
        <v>0</v>
      </c>
      <c r="BI39" s="15">
        <v>0</v>
      </c>
    </row>
    <row r="40" spans="1:61" x14ac:dyDescent="0.35">
      <c r="A40" s="19"/>
      <c r="B40">
        <f t="shared" si="3"/>
        <v>35</v>
      </c>
      <c r="C40" t="b">
        <v>0</v>
      </c>
      <c r="D40" t="b">
        <v>1</v>
      </c>
      <c r="E40" t="b">
        <v>0</v>
      </c>
      <c r="F40" s="3" t="s">
        <v>68</v>
      </c>
      <c r="G40" t="str">
        <f t="shared" si="31"/>
        <v>-</v>
      </c>
      <c r="H40" s="22" t="b">
        <v>1</v>
      </c>
      <c r="I40" s="22" t="b">
        <v>0</v>
      </c>
      <c r="J40" t="str">
        <f t="shared" si="33"/>
        <v>-</v>
      </c>
      <c r="K40" t="str">
        <f t="shared" si="33"/>
        <v>-</v>
      </c>
      <c r="L40" t="str">
        <f t="shared" si="33"/>
        <v>-</v>
      </c>
      <c r="M40" t="str">
        <f t="shared" ref="M40:O45" si="39">M$6</f>
        <v>-</v>
      </c>
      <c r="N40" t="str">
        <f t="shared" si="39"/>
        <v>-</v>
      </c>
      <c r="O40" t="str">
        <f t="shared" si="39"/>
        <v>-</v>
      </c>
      <c r="P40" t="str">
        <f t="shared" si="38"/>
        <v>-</v>
      </c>
      <c r="Q40" t="str">
        <f t="shared" si="38"/>
        <v>-</v>
      </c>
      <c r="R40" t="str">
        <f t="shared" si="38"/>
        <v>-</v>
      </c>
      <c r="S40" t="str">
        <f t="shared" si="38"/>
        <v>-</v>
      </c>
      <c r="T40" t="str">
        <f t="shared" si="38"/>
        <v>-</v>
      </c>
      <c r="U40" t="str">
        <f t="shared" si="38"/>
        <v>-</v>
      </c>
      <c r="V40" t="str">
        <f t="shared" si="38"/>
        <v>-</v>
      </c>
      <c r="W40" t="str">
        <f t="shared" si="38"/>
        <v>-</v>
      </c>
      <c r="X40" t="str">
        <f t="shared" si="38"/>
        <v>-</v>
      </c>
      <c r="Y40" t="str">
        <f t="shared" si="38"/>
        <v>-</v>
      </c>
      <c r="Z40" t="str">
        <f t="shared" si="38"/>
        <v>-</v>
      </c>
      <c r="AA40" t="str">
        <f t="shared" si="38"/>
        <v>-</v>
      </c>
      <c r="AB40" t="str">
        <f t="shared" si="38"/>
        <v>-</v>
      </c>
      <c r="AC40" t="str">
        <f t="shared" si="38"/>
        <v>-</v>
      </c>
      <c r="AD40" t="str">
        <f t="shared" si="38"/>
        <v>-</v>
      </c>
      <c r="AE40" t="str">
        <f t="shared" si="38"/>
        <v>-</v>
      </c>
      <c r="AF40" t="str">
        <f t="shared" si="38"/>
        <v>-</v>
      </c>
      <c r="AG40" s="22" t="b">
        <v>1</v>
      </c>
      <c r="AH40" s="22" t="b">
        <v>0</v>
      </c>
      <c r="AI40" s="22" t="b">
        <v>1</v>
      </c>
      <c r="AJ40" t="str">
        <f t="shared" si="34"/>
        <v>-</v>
      </c>
      <c r="AK40" t="str">
        <f t="shared" si="34"/>
        <v>-</v>
      </c>
      <c r="AL40" t="str">
        <f t="shared" si="34"/>
        <v>-</v>
      </c>
      <c r="AM40" t="str">
        <f t="shared" si="34"/>
        <v>-</v>
      </c>
      <c r="AN40">
        <f t="shared" si="7"/>
        <v>1</v>
      </c>
      <c r="AO40">
        <f t="shared" si="9"/>
        <v>1</v>
      </c>
      <c r="AP40">
        <f t="shared" si="11"/>
        <v>1</v>
      </c>
      <c r="AQ40">
        <f t="shared" si="13"/>
        <v>1</v>
      </c>
      <c r="AR40">
        <f t="shared" si="17"/>
        <v>1</v>
      </c>
      <c r="AS40">
        <f t="shared" si="19"/>
        <v>1</v>
      </c>
      <c r="AT40">
        <f t="shared" si="21"/>
        <v>1</v>
      </c>
      <c r="AU40">
        <f t="shared" si="23"/>
        <v>1</v>
      </c>
      <c r="AV40">
        <f t="shared" si="25"/>
        <v>1</v>
      </c>
      <c r="AW40">
        <f t="shared" si="27"/>
        <v>1</v>
      </c>
      <c r="AX40">
        <f t="shared" si="29"/>
        <v>1</v>
      </c>
      <c r="AY40">
        <f t="shared" si="35"/>
        <v>1</v>
      </c>
      <c r="AZ40">
        <f t="shared" si="35"/>
        <v>1</v>
      </c>
      <c r="BA40">
        <f t="shared" si="35"/>
        <v>1</v>
      </c>
      <c r="BB40">
        <f t="shared" si="35"/>
        <v>1</v>
      </c>
      <c r="BC40">
        <f t="shared" si="35"/>
        <v>1</v>
      </c>
      <c r="BD40">
        <f t="shared" si="30"/>
        <v>0</v>
      </c>
      <c r="BE40">
        <f t="shared" si="30"/>
        <v>0</v>
      </c>
      <c r="BF40">
        <f t="shared" si="30"/>
        <v>0</v>
      </c>
      <c r="BG40">
        <f t="shared" si="30"/>
        <v>0</v>
      </c>
      <c r="BH40">
        <f t="shared" si="30"/>
        <v>0</v>
      </c>
      <c r="BI40" s="15">
        <v>0</v>
      </c>
    </row>
    <row r="41" spans="1:61" x14ac:dyDescent="0.35">
      <c r="A41" s="19"/>
      <c r="B41">
        <f t="shared" si="3"/>
        <v>36</v>
      </c>
      <c r="C41" t="b">
        <v>0</v>
      </c>
      <c r="D41" t="b">
        <v>1</v>
      </c>
      <c r="E41" t="b">
        <v>0</v>
      </c>
      <c r="F41" s="3" t="s">
        <v>74</v>
      </c>
      <c r="G41" t="str">
        <f t="shared" si="31"/>
        <v>-</v>
      </c>
      <c r="H41" t="b">
        <f t="shared" si="31"/>
        <v>0</v>
      </c>
      <c r="I41" t="b">
        <f t="shared" si="31"/>
        <v>1</v>
      </c>
      <c r="J41" t="str">
        <f t="shared" si="33"/>
        <v>-</v>
      </c>
      <c r="K41" t="str">
        <f t="shared" si="33"/>
        <v>-</v>
      </c>
      <c r="L41" t="str">
        <f t="shared" si="33"/>
        <v>-</v>
      </c>
      <c r="M41" t="str">
        <f t="shared" si="39"/>
        <v>-</v>
      </c>
      <c r="N41" t="str">
        <f t="shared" si="39"/>
        <v>-</v>
      </c>
      <c r="O41" t="str">
        <f t="shared" si="39"/>
        <v>-</v>
      </c>
      <c r="P41" t="str">
        <f t="shared" si="38"/>
        <v>-</v>
      </c>
      <c r="Q41" t="str">
        <f t="shared" si="38"/>
        <v>-</v>
      </c>
      <c r="R41" t="str">
        <f t="shared" si="38"/>
        <v>-</v>
      </c>
      <c r="S41" t="str">
        <f t="shared" si="38"/>
        <v>-</v>
      </c>
      <c r="T41" t="str">
        <f t="shared" si="38"/>
        <v>-</v>
      </c>
      <c r="U41" t="str">
        <f t="shared" si="38"/>
        <v>-</v>
      </c>
      <c r="V41" t="str">
        <f t="shared" si="38"/>
        <v>-</v>
      </c>
      <c r="W41" t="str">
        <f t="shared" si="38"/>
        <v>-</v>
      </c>
      <c r="X41" t="str">
        <f t="shared" si="38"/>
        <v>-</v>
      </c>
      <c r="Y41" t="str">
        <f t="shared" si="38"/>
        <v>-</v>
      </c>
      <c r="Z41" t="str">
        <f t="shared" si="38"/>
        <v>-</v>
      </c>
      <c r="AA41" t="str">
        <f t="shared" si="38"/>
        <v>-</v>
      </c>
      <c r="AB41" t="str">
        <f t="shared" si="38"/>
        <v>-</v>
      </c>
      <c r="AC41" t="str">
        <f t="shared" si="38"/>
        <v>-</v>
      </c>
      <c r="AD41" t="str">
        <f t="shared" si="38"/>
        <v>-</v>
      </c>
      <c r="AE41" t="str">
        <f t="shared" si="38"/>
        <v>-</v>
      </c>
      <c r="AF41" t="str">
        <f t="shared" si="38"/>
        <v>-</v>
      </c>
      <c r="AG41" s="22" t="b">
        <v>1</v>
      </c>
      <c r="AH41" s="22" t="b">
        <v>0</v>
      </c>
      <c r="AI41" s="22" t="b">
        <v>1</v>
      </c>
      <c r="AJ41" t="str">
        <f t="shared" si="34"/>
        <v>-</v>
      </c>
      <c r="AK41" t="str">
        <f t="shared" si="34"/>
        <v>-</v>
      </c>
      <c r="AL41" t="str">
        <f t="shared" si="34"/>
        <v>-</v>
      </c>
      <c r="AM41" t="str">
        <f t="shared" si="34"/>
        <v>-</v>
      </c>
      <c r="AN41">
        <f t="shared" si="7"/>
        <v>1</v>
      </c>
      <c r="AO41">
        <f t="shared" si="9"/>
        <v>1</v>
      </c>
      <c r="AP41">
        <f t="shared" si="11"/>
        <v>1</v>
      </c>
      <c r="AQ41">
        <f t="shared" si="13"/>
        <v>1</v>
      </c>
      <c r="AR41">
        <f t="shared" si="17"/>
        <v>1</v>
      </c>
      <c r="AS41">
        <f t="shared" si="19"/>
        <v>1</v>
      </c>
      <c r="AT41">
        <f t="shared" si="21"/>
        <v>1</v>
      </c>
      <c r="AU41">
        <f t="shared" si="23"/>
        <v>1</v>
      </c>
      <c r="AV41">
        <f t="shared" si="25"/>
        <v>1</v>
      </c>
      <c r="AW41">
        <f t="shared" si="27"/>
        <v>1</v>
      </c>
      <c r="AX41">
        <f t="shared" si="29"/>
        <v>1</v>
      </c>
      <c r="AY41">
        <f t="shared" si="35"/>
        <v>1</v>
      </c>
      <c r="AZ41">
        <f t="shared" si="35"/>
        <v>1</v>
      </c>
      <c r="BA41">
        <f t="shared" si="35"/>
        <v>1</v>
      </c>
      <c r="BB41">
        <f t="shared" si="35"/>
        <v>1</v>
      </c>
      <c r="BC41">
        <f t="shared" si="35"/>
        <v>1</v>
      </c>
      <c r="BD41">
        <f t="shared" si="30"/>
        <v>0</v>
      </c>
      <c r="BE41">
        <f t="shared" si="30"/>
        <v>0</v>
      </c>
      <c r="BF41">
        <f t="shared" si="30"/>
        <v>0</v>
      </c>
      <c r="BG41">
        <f t="shared" si="30"/>
        <v>0</v>
      </c>
      <c r="BH41">
        <f t="shared" si="30"/>
        <v>0</v>
      </c>
      <c r="BI41" s="15">
        <v>0</v>
      </c>
    </row>
    <row r="42" spans="1:61" x14ac:dyDescent="0.35">
      <c r="A42" s="19">
        <v>44275.513912037037</v>
      </c>
      <c r="B42">
        <f t="shared" si="3"/>
        <v>37</v>
      </c>
      <c r="C42" t="b">
        <v>0</v>
      </c>
      <c r="D42" t="b">
        <v>1</v>
      </c>
      <c r="E42" t="b">
        <v>0</v>
      </c>
      <c r="F42" s="3" t="s">
        <v>75</v>
      </c>
      <c r="G42" t="str">
        <f t="shared" si="31"/>
        <v>-</v>
      </c>
      <c r="H42" t="b">
        <f t="shared" si="31"/>
        <v>0</v>
      </c>
      <c r="I42" t="b">
        <f t="shared" si="31"/>
        <v>1</v>
      </c>
      <c r="J42" t="str">
        <f t="shared" si="33"/>
        <v>-</v>
      </c>
      <c r="K42" t="str">
        <f t="shared" si="33"/>
        <v>-</v>
      </c>
      <c r="L42" t="str">
        <f t="shared" si="33"/>
        <v>-</v>
      </c>
      <c r="M42" t="str">
        <f t="shared" si="39"/>
        <v>-</v>
      </c>
      <c r="N42" t="str">
        <f t="shared" si="39"/>
        <v>-</v>
      </c>
      <c r="O42" t="str">
        <f t="shared" si="39"/>
        <v>-</v>
      </c>
      <c r="P42" t="str">
        <f t="shared" ref="P42:Q45" si="40">P$6</f>
        <v>-</v>
      </c>
      <c r="Q42" t="str">
        <f t="shared" si="40"/>
        <v>-</v>
      </c>
      <c r="R42" t="str">
        <f t="shared" si="38"/>
        <v>-</v>
      </c>
      <c r="S42" s="22">
        <v>1</v>
      </c>
      <c r="T42" s="22">
        <v>1</v>
      </c>
      <c r="U42" t="str">
        <f t="shared" si="38"/>
        <v>-</v>
      </c>
      <c r="V42" s="22">
        <v>1</v>
      </c>
      <c r="W42" s="22">
        <v>1</v>
      </c>
      <c r="X42" t="str">
        <f t="shared" si="38"/>
        <v>-</v>
      </c>
      <c r="Y42" s="22">
        <v>1</v>
      </c>
      <c r="Z42" s="22">
        <v>1</v>
      </c>
      <c r="AA42" t="str">
        <f t="shared" si="38"/>
        <v>-</v>
      </c>
      <c r="AB42" s="22">
        <v>1</v>
      </c>
      <c r="AC42" s="22">
        <v>1</v>
      </c>
      <c r="AD42" t="str">
        <f t="shared" ref="AD42:AF45" si="41">AD$6</f>
        <v>-</v>
      </c>
      <c r="AE42" t="str">
        <f t="shared" si="41"/>
        <v>-</v>
      </c>
      <c r="AF42" t="str">
        <f t="shared" si="41"/>
        <v>-</v>
      </c>
      <c r="AG42" s="22" t="b">
        <v>1</v>
      </c>
      <c r="AH42" s="22" t="b">
        <v>0</v>
      </c>
      <c r="AI42" s="22" t="b">
        <v>1</v>
      </c>
      <c r="AJ42" t="str">
        <f t="shared" si="34"/>
        <v>-</v>
      </c>
      <c r="AK42" t="str">
        <f t="shared" si="34"/>
        <v>-</v>
      </c>
      <c r="AL42" t="str">
        <f t="shared" si="34"/>
        <v>-</v>
      </c>
      <c r="AM42" t="str">
        <f t="shared" si="34"/>
        <v>-</v>
      </c>
      <c r="AN42">
        <f t="shared" si="7"/>
        <v>1</v>
      </c>
      <c r="AO42">
        <f t="shared" si="9"/>
        <v>1</v>
      </c>
      <c r="AP42">
        <f t="shared" si="11"/>
        <v>1</v>
      </c>
      <c r="AQ42">
        <f t="shared" si="13"/>
        <v>1</v>
      </c>
      <c r="AR42">
        <f t="shared" si="17"/>
        <v>1</v>
      </c>
      <c r="AS42">
        <f t="shared" si="19"/>
        <v>1</v>
      </c>
      <c r="AT42">
        <f t="shared" si="21"/>
        <v>1</v>
      </c>
      <c r="AU42">
        <f t="shared" si="23"/>
        <v>1</v>
      </c>
      <c r="AV42">
        <f t="shared" si="25"/>
        <v>1</v>
      </c>
      <c r="AW42">
        <f t="shared" si="27"/>
        <v>1</v>
      </c>
      <c r="AX42">
        <f t="shared" si="29"/>
        <v>1</v>
      </c>
      <c r="AY42">
        <f t="shared" si="35"/>
        <v>1</v>
      </c>
      <c r="AZ42">
        <f t="shared" si="35"/>
        <v>1</v>
      </c>
      <c r="BA42">
        <f t="shared" si="35"/>
        <v>1</v>
      </c>
      <c r="BB42">
        <f t="shared" si="35"/>
        <v>1</v>
      </c>
      <c r="BC42">
        <f t="shared" si="35"/>
        <v>1</v>
      </c>
      <c r="BD42">
        <f t="shared" si="30"/>
        <v>0</v>
      </c>
      <c r="BE42">
        <f t="shared" si="30"/>
        <v>0</v>
      </c>
      <c r="BF42">
        <f t="shared" si="30"/>
        <v>0</v>
      </c>
      <c r="BG42">
        <f t="shared" si="30"/>
        <v>0</v>
      </c>
      <c r="BH42">
        <f t="shared" si="30"/>
        <v>0</v>
      </c>
      <c r="BI42" s="15">
        <v>0</v>
      </c>
    </row>
    <row r="43" spans="1:61" x14ac:dyDescent="0.35">
      <c r="A43" s="19"/>
      <c r="B43">
        <f t="shared" si="3"/>
        <v>38</v>
      </c>
      <c r="C43" t="b">
        <v>0</v>
      </c>
      <c r="D43" t="b">
        <v>1</v>
      </c>
      <c r="E43" t="b">
        <v>0</v>
      </c>
      <c r="F43" s="3" t="s">
        <v>77</v>
      </c>
      <c r="G43" t="str">
        <f t="shared" si="31"/>
        <v>-</v>
      </c>
      <c r="H43" t="b">
        <f t="shared" si="31"/>
        <v>0</v>
      </c>
      <c r="I43" t="b">
        <f t="shared" si="31"/>
        <v>1</v>
      </c>
      <c r="J43" t="str">
        <f t="shared" si="33"/>
        <v>-</v>
      </c>
      <c r="K43" t="str">
        <f t="shared" si="33"/>
        <v>-</v>
      </c>
      <c r="L43" t="str">
        <f t="shared" si="33"/>
        <v>-</v>
      </c>
      <c r="M43" t="str">
        <f t="shared" si="39"/>
        <v>-</v>
      </c>
      <c r="N43" t="str">
        <f t="shared" si="39"/>
        <v>-</v>
      </c>
      <c r="O43" t="str">
        <f t="shared" si="39"/>
        <v>-</v>
      </c>
      <c r="P43" t="str">
        <f t="shared" si="40"/>
        <v>-</v>
      </c>
      <c r="Q43" t="str">
        <f t="shared" si="40"/>
        <v>-</v>
      </c>
      <c r="R43" t="str">
        <f t="shared" si="38"/>
        <v>-</v>
      </c>
      <c r="S43" s="22">
        <v>1</v>
      </c>
      <c r="T43" s="22">
        <v>1</v>
      </c>
      <c r="U43" t="str">
        <f t="shared" si="38"/>
        <v>-</v>
      </c>
      <c r="V43" s="22">
        <v>1</v>
      </c>
      <c r="W43" s="22">
        <v>1</v>
      </c>
      <c r="X43" t="str">
        <f t="shared" si="38"/>
        <v>-</v>
      </c>
      <c r="Y43" s="22">
        <v>1</v>
      </c>
      <c r="Z43" s="22">
        <v>1</v>
      </c>
      <c r="AA43" t="str">
        <f t="shared" si="38"/>
        <v>-</v>
      </c>
      <c r="AB43" s="22">
        <v>1</v>
      </c>
      <c r="AC43" s="22">
        <v>1</v>
      </c>
      <c r="AD43" t="str">
        <f t="shared" si="41"/>
        <v>-</v>
      </c>
      <c r="AE43" t="str">
        <f t="shared" si="41"/>
        <v>-</v>
      </c>
      <c r="AF43" t="str">
        <f t="shared" si="41"/>
        <v>-</v>
      </c>
      <c r="AG43" s="22" t="b">
        <v>1</v>
      </c>
      <c r="AH43" s="22" t="b">
        <v>0</v>
      </c>
      <c r="AI43" s="22" t="b">
        <v>1</v>
      </c>
      <c r="AJ43" t="str">
        <f t="shared" si="34"/>
        <v>-</v>
      </c>
      <c r="AK43" t="str">
        <f t="shared" si="34"/>
        <v>-</v>
      </c>
      <c r="AL43" t="str">
        <f t="shared" si="34"/>
        <v>-</v>
      </c>
      <c r="AM43" t="str">
        <f t="shared" si="34"/>
        <v>-</v>
      </c>
      <c r="AN43">
        <f t="shared" si="7"/>
        <v>1</v>
      </c>
      <c r="AO43">
        <f t="shared" si="9"/>
        <v>1</v>
      </c>
      <c r="AP43">
        <f t="shared" si="11"/>
        <v>1</v>
      </c>
      <c r="AQ43">
        <f t="shared" si="13"/>
        <v>1</v>
      </c>
      <c r="AR43">
        <f t="shared" si="17"/>
        <v>1</v>
      </c>
      <c r="AS43">
        <f t="shared" si="19"/>
        <v>1</v>
      </c>
      <c r="AT43">
        <f t="shared" si="21"/>
        <v>1</v>
      </c>
      <c r="AU43">
        <f t="shared" si="23"/>
        <v>1</v>
      </c>
      <c r="AV43">
        <f t="shared" si="25"/>
        <v>1</v>
      </c>
      <c r="AW43">
        <f t="shared" si="27"/>
        <v>1</v>
      </c>
      <c r="AX43">
        <f t="shared" si="29"/>
        <v>1</v>
      </c>
      <c r="AY43">
        <f t="shared" si="35"/>
        <v>1</v>
      </c>
      <c r="AZ43">
        <f t="shared" si="35"/>
        <v>1</v>
      </c>
      <c r="BA43">
        <f t="shared" si="35"/>
        <v>1</v>
      </c>
      <c r="BB43">
        <f t="shared" si="35"/>
        <v>1</v>
      </c>
      <c r="BC43">
        <f t="shared" si="35"/>
        <v>1</v>
      </c>
      <c r="BD43">
        <f t="shared" si="30"/>
        <v>0</v>
      </c>
      <c r="BE43">
        <f t="shared" si="30"/>
        <v>0</v>
      </c>
      <c r="BF43">
        <f t="shared" si="30"/>
        <v>0</v>
      </c>
      <c r="BG43">
        <f t="shared" si="30"/>
        <v>0</v>
      </c>
      <c r="BH43">
        <f t="shared" si="30"/>
        <v>0</v>
      </c>
      <c r="BI43" s="15">
        <v>0</v>
      </c>
    </row>
    <row r="44" spans="1:61" x14ac:dyDescent="0.35">
      <c r="A44" s="19"/>
      <c r="B44">
        <f t="shared" si="3"/>
        <v>39</v>
      </c>
      <c r="C44" t="b">
        <v>0</v>
      </c>
      <c r="D44" t="b">
        <v>1</v>
      </c>
      <c r="E44" t="b">
        <v>0</v>
      </c>
      <c r="F44" s="3" t="s">
        <v>76</v>
      </c>
      <c r="G44" t="str">
        <f t="shared" si="31"/>
        <v>-</v>
      </c>
      <c r="H44" t="b">
        <f t="shared" si="31"/>
        <v>0</v>
      </c>
      <c r="I44" t="b">
        <f t="shared" si="31"/>
        <v>1</v>
      </c>
      <c r="J44" t="str">
        <f t="shared" ref="J40:L45" si="42">J$6</f>
        <v>-</v>
      </c>
      <c r="K44" t="str">
        <f t="shared" si="42"/>
        <v>-</v>
      </c>
      <c r="L44" t="str">
        <f t="shared" si="42"/>
        <v>-</v>
      </c>
      <c r="M44" t="str">
        <f t="shared" si="39"/>
        <v>-</v>
      </c>
      <c r="N44" t="str">
        <f t="shared" si="39"/>
        <v>-</v>
      </c>
      <c r="O44" t="str">
        <f t="shared" si="39"/>
        <v>-</v>
      </c>
      <c r="P44" t="str">
        <f t="shared" si="40"/>
        <v>-</v>
      </c>
      <c r="Q44" t="str">
        <f t="shared" si="40"/>
        <v>-</v>
      </c>
      <c r="R44" t="str">
        <f t="shared" si="38"/>
        <v>-</v>
      </c>
      <c r="S44" s="22">
        <v>1</v>
      </c>
      <c r="T44" s="22">
        <v>1</v>
      </c>
      <c r="U44" t="str">
        <f t="shared" si="38"/>
        <v>-</v>
      </c>
      <c r="V44" s="22">
        <v>1</v>
      </c>
      <c r="W44" s="22">
        <v>1</v>
      </c>
      <c r="X44" t="str">
        <f t="shared" si="38"/>
        <v>-</v>
      </c>
      <c r="Y44" s="22">
        <v>1</v>
      </c>
      <c r="Z44" s="22">
        <v>1</v>
      </c>
      <c r="AA44" t="str">
        <f t="shared" si="38"/>
        <v>-</v>
      </c>
      <c r="AB44" s="22">
        <v>1</v>
      </c>
      <c r="AC44" s="22">
        <v>1</v>
      </c>
      <c r="AD44" t="str">
        <f t="shared" si="41"/>
        <v>-</v>
      </c>
      <c r="AE44" t="str">
        <f t="shared" si="41"/>
        <v>-</v>
      </c>
      <c r="AF44" t="str">
        <f t="shared" si="41"/>
        <v>-</v>
      </c>
      <c r="AG44" s="22" t="b">
        <v>1</v>
      </c>
      <c r="AH44" s="22" t="b">
        <v>0</v>
      </c>
      <c r="AI44" s="22" t="b">
        <v>1</v>
      </c>
      <c r="AJ44" t="str">
        <f t="shared" si="34"/>
        <v>-</v>
      </c>
      <c r="AK44" t="str">
        <f t="shared" si="34"/>
        <v>-</v>
      </c>
      <c r="AL44" t="str">
        <f t="shared" si="34"/>
        <v>-</v>
      </c>
      <c r="AM44" t="str">
        <f t="shared" si="34"/>
        <v>-</v>
      </c>
      <c r="AN44">
        <f t="shared" si="7"/>
        <v>1</v>
      </c>
      <c r="AO44">
        <f t="shared" si="9"/>
        <v>1</v>
      </c>
      <c r="AP44">
        <f t="shared" si="11"/>
        <v>1</v>
      </c>
      <c r="AQ44">
        <f t="shared" si="13"/>
        <v>1</v>
      </c>
      <c r="AR44">
        <f t="shared" si="17"/>
        <v>1</v>
      </c>
      <c r="AS44">
        <f t="shared" si="19"/>
        <v>1</v>
      </c>
      <c r="AT44">
        <f t="shared" si="21"/>
        <v>1</v>
      </c>
      <c r="AU44">
        <f t="shared" si="23"/>
        <v>1</v>
      </c>
      <c r="AV44">
        <f t="shared" si="25"/>
        <v>1</v>
      </c>
      <c r="AW44">
        <f t="shared" si="27"/>
        <v>1</v>
      </c>
      <c r="AX44">
        <f t="shared" si="29"/>
        <v>1</v>
      </c>
      <c r="AY44">
        <f t="shared" si="35"/>
        <v>1</v>
      </c>
      <c r="AZ44">
        <f t="shared" si="35"/>
        <v>1</v>
      </c>
      <c r="BA44">
        <f t="shared" si="35"/>
        <v>1</v>
      </c>
      <c r="BB44">
        <f t="shared" si="35"/>
        <v>1</v>
      </c>
      <c r="BC44">
        <f t="shared" si="35"/>
        <v>1</v>
      </c>
      <c r="BD44">
        <f t="shared" si="30"/>
        <v>0</v>
      </c>
      <c r="BE44">
        <f t="shared" si="30"/>
        <v>0</v>
      </c>
      <c r="BF44">
        <f t="shared" si="30"/>
        <v>0</v>
      </c>
      <c r="BG44">
        <f t="shared" si="30"/>
        <v>0</v>
      </c>
      <c r="BH44">
        <f t="shared" si="30"/>
        <v>0</v>
      </c>
      <c r="BI44" s="15">
        <v>0</v>
      </c>
    </row>
    <row r="45" spans="1:61" x14ac:dyDescent="0.35">
      <c r="A45" s="19"/>
      <c r="B45">
        <f t="shared" si="3"/>
        <v>40</v>
      </c>
      <c r="C45" t="b">
        <v>1</v>
      </c>
      <c r="D45" t="b">
        <v>1</v>
      </c>
      <c r="E45" t="b">
        <v>1</v>
      </c>
      <c r="F45" s="3" t="s">
        <v>81</v>
      </c>
      <c r="G45" t="str">
        <f t="shared" si="31"/>
        <v>-</v>
      </c>
      <c r="H45" t="b">
        <f t="shared" si="31"/>
        <v>0</v>
      </c>
      <c r="I45" t="b">
        <f t="shared" si="31"/>
        <v>1</v>
      </c>
      <c r="J45" t="str">
        <f t="shared" si="42"/>
        <v>-</v>
      </c>
      <c r="K45" t="str">
        <f t="shared" si="42"/>
        <v>-</v>
      </c>
      <c r="L45" t="str">
        <f t="shared" si="42"/>
        <v>-</v>
      </c>
      <c r="M45" t="str">
        <f t="shared" si="39"/>
        <v>-</v>
      </c>
      <c r="N45" t="str">
        <f t="shared" si="39"/>
        <v>-</v>
      </c>
      <c r="O45" t="str">
        <f t="shared" si="39"/>
        <v>-</v>
      </c>
      <c r="P45" t="str">
        <f t="shared" si="40"/>
        <v>-</v>
      </c>
      <c r="Q45" t="str">
        <f t="shared" si="40"/>
        <v>-</v>
      </c>
      <c r="R45" t="str">
        <f t="shared" si="38"/>
        <v>-</v>
      </c>
      <c r="S45" s="22">
        <v>1</v>
      </c>
      <c r="T45" s="22">
        <v>1</v>
      </c>
      <c r="U45" t="str">
        <f t="shared" si="38"/>
        <v>-</v>
      </c>
      <c r="V45" s="22">
        <v>1</v>
      </c>
      <c r="W45" s="22">
        <v>1</v>
      </c>
      <c r="X45" t="str">
        <f t="shared" si="38"/>
        <v>-</v>
      </c>
      <c r="Y45" s="22">
        <v>1</v>
      </c>
      <c r="Z45" s="22">
        <v>1</v>
      </c>
      <c r="AA45" t="str">
        <f t="shared" si="38"/>
        <v>-</v>
      </c>
      <c r="AB45" s="22">
        <v>1</v>
      </c>
      <c r="AC45" s="22">
        <v>1</v>
      </c>
      <c r="AD45" t="str">
        <f t="shared" si="41"/>
        <v>-</v>
      </c>
      <c r="AE45" t="str">
        <f t="shared" si="41"/>
        <v>-</v>
      </c>
      <c r="AF45" t="str">
        <f t="shared" si="41"/>
        <v>-</v>
      </c>
      <c r="AG45" s="22" t="b">
        <v>1</v>
      </c>
      <c r="AH45" s="22" t="b">
        <v>0</v>
      </c>
      <c r="AI45" s="22" t="b">
        <v>1</v>
      </c>
      <c r="AJ45" t="str">
        <f t="shared" si="34"/>
        <v>-</v>
      </c>
      <c r="AK45" t="str">
        <f t="shared" si="34"/>
        <v>-</v>
      </c>
      <c r="AL45" t="str">
        <f t="shared" si="34"/>
        <v>-</v>
      </c>
      <c r="AM45" t="str">
        <f t="shared" si="34"/>
        <v>-</v>
      </c>
      <c r="AN45">
        <f t="shared" si="7"/>
        <v>1</v>
      </c>
      <c r="AO45">
        <f t="shared" si="9"/>
        <v>1</v>
      </c>
      <c r="AP45">
        <f t="shared" si="11"/>
        <v>1</v>
      </c>
      <c r="AQ45">
        <f t="shared" si="13"/>
        <v>1</v>
      </c>
      <c r="AR45">
        <f t="shared" si="17"/>
        <v>1</v>
      </c>
      <c r="AS45">
        <f t="shared" si="19"/>
        <v>1</v>
      </c>
      <c r="AT45">
        <f t="shared" si="21"/>
        <v>1</v>
      </c>
      <c r="AU45">
        <f t="shared" si="23"/>
        <v>1</v>
      </c>
      <c r="AV45">
        <f t="shared" si="25"/>
        <v>1</v>
      </c>
      <c r="AW45">
        <f t="shared" si="27"/>
        <v>1</v>
      </c>
      <c r="AX45">
        <f t="shared" si="29"/>
        <v>1</v>
      </c>
      <c r="AY45">
        <f t="shared" si="35"/>
        <v>1</v>
      </c>
      <c r="AZ45">
        <f t="shared" si="35"/>
        <v>1</v>
      </c>
      <c r="BA45">
        <f t="shared" si="35"/>
        <v>1</v>
      </c>
      <c r="BB45">
        <f t="shared" si="35"/>
        <v>1</v>
      </c>
      <c r="BC45">
        <f t="shared" si="35"/>
        <v>1</v>
      </c>
      <c r="BD45">
        <f t="shared" si="30"/>
        <v>0</v>
      </c>
      <c r="BE45">
        <f t="shared" si="30"/>
        <v>0</v>
      </c>
      <c r="BF45">
        <f t="shared" si="30"/>
        <v>0</v>
      </c>
      <c r="BG45">
        <f t="shared" si="30"/>
        <v>0</v>
      </c>
      <c r="BH45">
        <f t="shared" si="30"/>
        <v>0</v>
      </c>
      <c r="BI45" s="15">
        <v>0</v>
      </c>
    </row>
    <row r="46" spans="1:61" ht="6.75" customHeight="1" x14ac:dyDescent="0.35">
      <c r="A46" s="20">
        <v>44273.922303240739</v>
      </c>
      <c r="B46" s="15">
        <f t="shared" si="3"/>
        <v>41</v>
      </c>
      <c r="C46" s="15" t="b">
        <v>0</v>
      </c>
      <c r="D46" s="15" t="b">
        <v>0</v>
      </c>
      <c r="E46" s="15" t="b">
        <v>0</v>
      </c>
      <c r="F46" s="15" t="s">
        <v>80</v>
      </c>
      <c r="G46" s="15" t="str">
        <f>G$5</f>
        <v>-</v>
      </c>
      <c r="H46" s="15" t="str">
        <f t="shared" ref="H46:L46" si="43">H$5</f>
        <v>-</v>
      </c>
      <c r="I46" s="15" t="str">
        <f t="shared" si="43"/>
        <v>-</v>
      </c>
      <c r="J46" s="15" t="str">
        <f t="shared" si="43"/>
        <v>-</v>
      </c>
      <c r="K46" s="15" t="str">
        <f t="shared" si="43"/>
        <v>-</v>
      </c>
      <c r="L46" s="15" t="str">
        <f t="shared" si="43"/>
        <v>-</v>
      </c>
      <c r="M46" s="15" t="str">
        <f t="shared" ref="M46:N46" si="44">M$5</f>
        <v>-</v>
      </c>
      <c r="N46" s="15" t="str">
        <f t="shared" si="44"/>
        <v>-</v>
      </c>
      <c r="O46" s="15" t="str">
        <f t="shared" ref="O46:BH46" si="45">O$5</f>
        <v>-</v>
      </c>
      <c r="P46" s="15" t="str">
        <f t="shared" si="45"/>
        <v>-</v>
      </c>
      <c r="Q46" s="15" t="str">
        <f t="shared" si="45"/>
        <v>-</v>
      </c>
      <c r="R46" s="15" t="str">
        <f t="shared" si="45"/>
        <v>-</v>
      </c>
      <c r="S46" s="15" t="str">
        <f t="shared" si="45"/>
        <v>-</v>
      </c>
      <c r="T46" s="15" t="str">
        <f t="shared" si="45"/>
        <v>-</v>
      </c>
      <c r="U46" s="15" t="str">
        <f t="shared" si="45"/>
        <v>-</v>
      </c>
      <c r="V46" s="15" t="str">
        <f t="shared" si="45"/>
        <v>-</v>
      </c>
      <c r="W46" s="15" t="str">
        <f t="shared" si="45"/>
        <v>-</v>
      </c>
      <c r="X46" s="15" t="str">
        <f t="shared" si="45"/>
        <v>-</v>
      </c>
      <c r="Y46" s="15" t="str">
        <f t="shared" si="45"/>
        <v>-</v>
      </c>
      <c r="Z46" s="15" t="str">
        <f t="shared" si="45"/>
        <v>-</v>
      </c>
      <c r="AA46" s="15" t="str">
        <f t="shared" si="45"/>
        <v>-</v>
      </c>
      <c r="AB46" s="15" t="str">
        <f t="shared" si="45"/>
        <v>-</v>
      </c>
      <c r="AC46" s="15" t="str">
        <f t="shared" si="45"/>
        <v>-</v>
      </c>
      <c r="AD46" s="15" t="str">
        <f t="shared" si="45"/>
        <v>-</v>
      </c>
      <c r="AE46" s="15" t="str">
        <f t="shared" si="45"/>
        <v>-</v>
      </c>
      <c r="AF46" s="15" t="str">
        <f t="shared" si="45"/>
        <v>-</v>
      </c>
      <c r="AG46" s="15" t="str">
        <f t="shared" si="45"/>
        <v>-</v>
      </c>
      <c r="AH46" s="15" t="str">
        <f t="shared" si="45"/>
        <v>-</v>
      </c>
      <c r="AI46" s="15" t="str">
        <f t="shared" si="45"/>
        <v>-</v>
      </c>
      <c r="AJ46" s="15" t="str">
        <f t="shared" si="45"/>
        <v>-</v>
      </c>
      <c r="AK46" s="15" t="str">
        <f t="shared" si="45"/>
        <v>-</v>
      </c>
      <c r="AL46" s="15" t="str">
        <f t="shared" si="45"/>
        <v>-</v>
      </c>
      <c r="AM46" s="15" t="str">
        <f t="shared" si="45"/>
        <v>-</v>
      </c>
      <c r="AN46" s="15">
        <f t="shared" si="45"/>
        <v>1</v>
      </c>
      <c r="AO46" s="15">
        <f t="shared" si="45"/>
        <v>1</v>
      </c>
      <c r="AP46" s="15">
        <f t="shared" si="45"/>
        <v>1</v>
      </c>
      <c r="AQ46" s="15">
        <f t="shared" si="45"/>
        <v>1</v>
      </c>
      <c r="AR46" s="15">
        <f t="shared" si="45"/>
        <v>1</v>
      </c>
      <c r="AS46" s="15">
        <f t="shared" si="45"/>
        <v>1</v>
      </c>
      <c r="AT46" s="15">
        <f t="shared" si="45"/>
        <v>1</v>
      </c>
      <c r="AU46" s="15">
        <f t="shared" si="45"/>
        <v>1</v>
      </c>
      <c r="AV46" s="15">
        <f t="shared" si="45"/>
        <v>1</v>
      </c>
      <c r="AW46" s="15">
        <f t="shared" si="45"/>
        <v>1</v>
      </c>
      <c r="AX46" s="15">
        <f t="shared" si="45"/>
        <v>1</v>
      </c>
      <c r="AY46" s="15">
        <f t="shared" si="45"/>
        <v>1</v>
      </c>
      <c r="AZ46" s="15">
        <f t="shared" si="45"/>
        <v>1</v>
      </c>
      <c r="BA46" s="15">
        <f t="shared" si="45"/>
        <v>1</v>
      </c>
      <c r="BB46" s="15">
        <f t="shared" si="45"/>
        <v>1</v>
      </c>
      <c r="BC46" s="15">
        <f t="shared" si="45"/>
        <v>1</v>
      </c>
      <c r="BD46" s="15">
        <f t="shared" si="45"/>
        <v>0</v>
      </c>
      <c r="BE46" s="15">
        <f t="shared" si="45"/>
        <v>0</v>
      </c>
      <c r="BF46" s="15">
        <f t="shared" si="45"/>
        <v>0</v>
      </c>
      <c r="BG46" s="15">
        <f t="shared" si="45"/>
        <v>0</v>
      </c>
      <c r="BH46" s="15">
        <f t="shared" si="45"/>
        <v>0</v>
      </c>
      <c r="BI46" s="15">
        <v>0</v>
      </c>
    </row>
  </sheetData>
  <autoFilter ref="F4:BH4" xr:uid="{74BD5C81-DA63-4249-A1B4-6F29577A4105}"/>
  <phoneticPr fontId="4" type="noConversion"/>
  <conditionalFormatting sqref="C1:E1048576">
    <cfRule type="cellIs" dxfId="4" priority="36" operator="equal">
      <formula>TRUE</formula>
    </cfRule>
  </conditionalFormatting>
  <conditionalFormatting sqref="A1:XFD1">
    <cfRule type="cellIs" dxfId="3" priority="69" operator="equal">
      <formula>"sav"</formula>
    </cfRule>
    <cfRule type="containsText" dxfId="2" priority="73" operator="containsText" text="sam">
      <formula>NOT(ISERROR(SEARCH("sam",A1)))</formula>
    </cfRule>
    <cfRule type="containsText" dxfId="1" priority="74" operator="containsText" text="sap">
      <formula>NOT(ISERROR(SEARCH("sap",A1)))</formula>
    </cfRule>
    <cfRule type="containsText" dxfId="0" priority="75" operator="containsText" text="saa">
      <formula>NOT(ISERROR(SEARCH("saa",A1)))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4.5" x14ac:dyDescent="0.35"/>
  <cols>
    <col min="1" max="1" width="145.1796875" customWidth="1"/>
  </cols>
  <sheetData>
    <row r="1" spans="1:1" x14ac:dyDescent="0.35">
      <c r="A1" t="s">
        <v>69</v>
      </c>
    </row>
    <row r="2" spans="1:1" x14ac:dyDescent="0.35">
      <c r="A2" s="10"/>
    </row>
    <row r="3" spans="1:1" x14ac:dyDescent="0.35">
      <c r="A3" s="10"/>
    </row>
    <row r="4" spans="1:1" x14ac:dyDescent="0.35">
      <c r="A4" s="10"/>
    </row>
    <row r="5" spans="1:1" x14ac:dyDescent="0.35">
      <c r="A5" s="10"/>
    </row>
    <row r="6" spans="1:1" x14ac:dyDescent="0.35">
      <c r="A6" s="10"/>
    </row>
    <row r="7" spans="1:1" x14ac:dyDescent="0.35">
      <c r="A7" s="10"/>
    </row>
    <row r="8" spans="1:1" x14ac:dyDescent="0.3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Michael Young (21512438)</cp:lastModifiedBy>
  <dcterms:created xsi:type="dcterms:W3CDTF">2019-11-05T07:30:33Z</dcterms:created>
  <dcterms:modified xsi:type="dcterms:W3CDTF">2021-03-22T09:34:21Z</dcterms:modified>
</cp:coreProperties>
</file>