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21512438\Dropbox\Michael\Work-Uni-Coding\AFO\AFO\"/>
    </mc:Choice>
  </mc:AlternateContent>
  <xr:revisionPtr revIDLastSave="0" documentId="13_ncr:1_{1AD2B6B9-0671-44DD-A932-01E123969FD8}" xr6:coauthVersionLast="45" xr6:coauthVersionMax="46" xr10:uidLastSave="{00000000-0000-0000-0000-000000000000}"/>
  <bookViews>
    <workbookView xWindow="28680" yWindow="-120" windowWidth="29040" windowHeight="15840" activeTab="2" xr2:uid="{92F76B5C-EE3B-4928-B619-32EB52950B18}"/>
  </bookViews>
  <sheets>
    <sheet name="Sheet1" sheetId="1" r:id="rId1"/>
    <sheet name="Description" sheetId="2" r:id="rId2"/>
    <sheet name="Run Report" sheetId="3" r:id="rId3"/>
  </sheets>
  <definedNames>
    <definedName name="_xlnm._FilterDatabase" localSheetId="0" hidden="1">Sheet1!$A$4:$BP$97</definedName>
    <definedName name="ExpData">Sheet1!$B$5:$BP$97</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R95" i="1" l="1"/>
  <c r="AT94" i="1"/>
  <c r="J94" i="1"/>
  <c r="I94" i="1"/>
  <c r="B94" i="1"/>
  <c r="AT96" i="1"/>
  <c r="J96" i="1"/>
  <c r="I96" i="1"/>
  <c r="B96" i="1"/>
  <c r="AT95" i="1"/>
  <c r="J95" i="1"/>
  <c r="I95" i="1"/>
  <c r="B95" i="1"/>
  <c r="J93" i="1"/>
  <c r="I93" i="1"/>
  <c r="J92" i="1"/>
  <c r="I92" i="1"/>
  <c r="J91" i="1"/>
  <c r="I91" i="1"/>
  <c r="J90" i="1"/>
  <c r="I90" i="1"/>
  <c r="J88" i="1"/>
  <c r="I88" i="1"/>
  <c r="J87" i="1"/>
  <c r="I87" i="1"/>
  <c r="J86" i="1"/>
  <c r="I86" i="1"/>
  <c r="J85" i="1"/>
  <c r="I85" i="1"/>
  <c r="J84" i="1"/>
  <c r="I84" i="1"/>
  <c r="J83" i="1"/>
  <c r="I83" i="1"/>
  <c r="J82" i="1"/>
  <c r="I82" i="1"/>
  <c r="J81" i="1"/>
  <c r="I81" i="1"/>
  <c r="J80" i="1"/>
  <c r="I80" i="1"/>
  <c r="J79" i="1"/>
  <c r="I79" i="1"/>
  <c r="J78" i="1"/>
  <c r="I78" i="1"/>
  <c r="J77" i="1"/>
  <c r="I77" i="1"/>
  <c r="J76" i="1"/>
  <c r="I76" i="1"/>
  <c r="J75" i="1"/>
  <c r="I75" i="1"/>
  <c r="J74" i="1"/>
  <c r="I74" i="1"/>
  <c r="J73" i="1"/>
  <c r="I73" i="1"/>
  <c r="J72" i="1"/>
  <c r="I72" i="1"/>
  <c r="J71" i="1"/>
  <c r="I71" i="1"/>
  <c r="J70" i="1"/>
  <c r="I70" i="1"/>
  <c r="J69" i="1"/>
  <c r="I69" i="1"/>
  <c r="J68" i="1"/>
  <c r="I68" i="1"/>
  <c r="J67" i="1"/>
  <c r="I67" i="1"/>
  <c r="J66" i="1"/>
  <c r="I66" i="1"/>
  <c r="J65" i="1"/>
  <c r="I65" i="1"/>
  <c r="J63" i="1"/>
  <c r="I63" i="1"/>
  <c r="J62" i="1"/>
  <c r="I62" i="1"/>
  <c r="J61" i="1"/>
  <c r="I61" i="1"/>
  <c r="J60" i="1"/>
  <c r="I60" i="1"/>
  <c r="J59" i="1"/>
  <c r="I59" i="1"/>
  <c r="J58" i="1"/>
  <c r="I58" i="1"/>
  <c r="J57" i="1"/>
  <c r="I57" i="1"/>
  <c r="J56" i="1"/>
  <c r="I56" i="1"/>
  <c r="J55" i="1"/>
  <c r="I55" i="1"/>
  <c r="J54" i="1"/>
  <c r="I54" i="1"/>
  <c r="J53" i="1"/>
  <c r="I53" i="1"/>
  <c r="J52" i="1"/>
  <c r="I52" i="1"/>
  <c r="J51" i="1"/>
  <c r="I51" i="1"/>
  <c r="AT56" i="1"/>
  <c r="AS56" i="1"/>
  <c r="AS53" i="1"/>
  <c r="AS52" i="1"/>
  <c r="AS50" i="1"/>
  <c r="AS49" i="1"/>
  <c r="AS36" i="1"/>
  <c r="AS35" i="1"/>
  <c r="AS25" i="1"/>
  <c r="AS24" i="1"/>
  <c r="AT6" i="1"/>
  <c r="AT47" i="1" s="1"/>
  <c r="AS6" i="1"/>
  <c r="AS34" i="1" s="1"/>
  <c r="AR6" i="1"/>
  <c r="AR15" i="1" s="1"/>
  <c r="A97" i="1"/>
  <c r="AO48" i="1"/>
  <c r="AO49" i="1" s="1"/>
  <c r="G46" i="1"/>
  <c r="G64" i="1"/>
  <c r="G63" i="1"/>
  <c r="G62" i="1"/>
  <c r="G61" i="1"/>
  <c r="G60" i="1"/>
  <c r="G59" i="1"/>
  <c r="G58" i="1"/>
  <c r="G57" i="1"/>
  <c r="G56" i="1"/>
  <c r="G55" i="1"/>
  <c r="G54" i="1"/>
  <c r="G53" i="1"/>
  <c r="G52" i="1"/>
  <c r="G51" i="1"/>
  <c r="G50" i="1"/>
  <c r="G49" i="1"/>
  <c r="G48" i="1"/>
  <c r="G47" i="1"/>
  <c r="G45" i="1"/>
  <c r="G44" i="1"/>
  <c r="G43" i="1"/>
  <c r="G42" i="1"/>
  <c r="G41" i="1"/>
  <c r="G40" i="1"/>
  <c r="G39" i="1"/>
  <c r="G38" i="1"/>
  <c r="G37" i="1"/>
  <c r="G36" i="1"/>
  <c r="G35" i="1"/>
  <c r="G34" i="1"/>
  <c r="G33" i="1"/>
  <c r="G32" i="1"/>
  <c r="G31" i="1"/>
  <c r="G30" i="1"/>
  <c r="G29" i="1"/>
  <c r="G28" i="1"/>
  <c r="G27" i="1"/>
  <c r="G26" i="1"/>
  <c r="G25" i="1"/>
  <c r="G24" i="1"/>
  <c r="G23" i="1"/>
  <c r="G22" i="1"/>
  <c r="G21" i="1"/>
  <c r="G20" i="1"/>
  <c r="G19" i="1"/>
  <c r="G18" i="1"/>
  <c r="G17" i="1"/>
  <c r="G16" i="1"/>
  <c r="G15" i="1"/>
  <c r="G14" i="1"/>
  <c r="G13" i="1"/>
  <c r="G12" i="1"/>
  <c r="G11" i="1"/>
  <c r="G10" i="1"/>
  <c r="G9" i="1"/>
  <c r="G8" i="1"/>
  <c r="G6" i="1"/>
  <c r="G7" i="1"/>
  <c r="B93" i="1"/>
  <c r="B92" i="1"/>
  <c r="B91" i="1"/>
  <c r="B90" i="1"/>
  <c r="B63" i="1"/>
  <c r="AR93" i="1"/>
  <c r="AR91" i="1"/>
  <c r="AS93" i="1"/>
  <c r="AS95" i="1" s="1"/>
  <c r="AS92" i="1"/>
  <c r="AS94" i="1" s="1"/>
  <c r="F94" i="1" s="1"/>
  <c r="AT78" i="1"/>
  <c r="AT79" i="1" s="1"/>
  <c r="AT80" i="1" s="1"/>
  <c r="AT81" i="1" s="1"/>
  <c r="AT82" i="1" s="1"/>
  <c r="AT83" i="1" s="1"/>
  <c r="AT84" i="1" s="1"/>
  <c r="AT85" i="1" s="1"/>
  <c r="AT86" i="1" s="1"/>
  <c r="AT87" i="1" s="1"/>
  <c r="AT88" i="1" s="1"/>
  <c r="AR80" i="1"/>
  <c r="AR83" i="1" s="1"/>
  <c r="AR86" i="1" s="1"/>
  <c r="AR68" i="1"/>
  <c r="AR71" i="1" s="1"/>
  <c r="AR74" i="1" s="1"/>
  <c r="F95" i="1" l="1"/>
  <c r="AS37" i="1"/>
  <c r="AS54" i="1"/>
  <c r="AS47" i="1"/>
  <c r="AR55" i="1"/>
  <c r="AS16" i="1"/>
  <c r="AS48" i="1"/>
  <c r="AS55" i="1"/>
  <c r="AO52" i="1"/>
  <c r="AO56" i="1" s="1"/>
  <c r="AO60" i="1" s="1"/>
  <c r="AS26" i="1"/>
  <c r="AS51" i="1"/>
  <c r="AO50" i="1"/>
  <c r="AO54" i="1" s="1"/>
  <c r="AO58" i="1" s="1"/>
  <c r="AO62" i="1" s="1"/>
  <c r="AO53" i="1"/>
  <c r="AO57" i="1" s="1"/>
  <c r="AO61" i="1" s="1"/>
  <c r="AR96" i="1"/>
  <c r="F96" i="1" s="1"/>
  <c r="AS58" i="1"/>
  <c r="AS59" i="1"/>
  <c r="AS57" i="1"/>
  <c r="AS61" i="1"/>
  <c r="AS62" i="1"/>
  <c r="AS63" i="1"/>
  <c r="AS13" i="1"/>
  <c r="AS14" i="1"/>
  <c r="AT14" i="1"/>
  <c r="AT37" i="1"/>
  <c r="AT58" i="1"/>
  <c r="AR45" i="1"/>
  <c r="AR58" i="1"/>
  <c r="AR47" i="1"/>
  <c r="AR57" i="1"/>
  <c r="AR56" i="1"/>
  <c r="AR37" i="1"/>
  <c r="AR54" i="1"/>
  <c r="AR35" i="1"/>
  <c r="AR53" i="1"/>
  <c r="AR63" i="1"/>
  <c r="AR26" i="1"/>
  <c r="AR52" i="1"/>
  <c r="AR62" i="1"/>
  <c r="AR25" i="1"/>
  <c r="AR51" i="1"/>
  <c r="AR61" i="1"/>
  <c r="AR24" i="1"/>
  <c r="AR50" i="1"/>
  <c r="AR16" i="1"/>
  <c r="AR60" i="1"/>
  <c r="AR49" i="1"/>
  <c r="AR48" i="1"/>
  <c r="AR14" i="1"/>
  <c r="AT45" i="1"/>
  <c r="AR36" i="1"/>
  <c r="AT48" i="1"/>
  <c r="AR59" i="1"/>
  <c r="AT23" i="1"/>
  <c r="AT13" i="1"/>
  <c r="AT57" i="1"/>
  <c r="AT55" i="1"/>
  <c r="AT36" i="1"/>
  <c r="AT54" i="1"/>
  <c r="AT35" i="1"/>
  <c r="AT93" i="1"/>
  <c r="AT92" i="1"/>
  <c r="AT91" i="1"/>
  <c r="AT53" i="1"/>
  <c r="AT34" i="1"/>
  <c r="AT90" i="1"/>
  <c r="AT27" i="1"/>
  <c r="AT63" i="1"/>
  <c r="AT26" i="1"/>
  <c r="AT52" i="1"/>
  <c r="AT15" i="1"/>
  <c r="AT62" i="1"/>
  <c r="AT25" i="1"/>
  <c r="AT51" i="1"/>
  <c r="AT61" i="1"/>
  <c r="AT24" i="1"/>
  <c r="AT50" i="1"/>
  <c r="AT60" i="1"/>
  <c r="AT49" i="1"/>
  <c r="AT59" i="1"/>
  <c r="AS15" i="1"/>
  <c r="AS60" i="1"/>
  <c r="AS45" i="1"/>
  <c r="AS27" i="1"/>
  <c r="AR17" i="1"/>
  <c r="AT16" i="1"/>
  <c r="AR38" i="1"/>
  <c r="AS38" i="1"/>
  <c r="AR27" i="1"/>
  <c r="AS17" i="1"/>
  <c r="AR28" i="1"/>
  <c r="AT38" i="1"/>
  <c r="AR7" i="1"/>
  <c r="AT17" i="1"/>
  <c r="AS28" i="1"/>
  <c r="AR39" i="1"/>
  <c r="AS7" i="1"/>
  <c r="AR18" i="1"/>
  <c r="AT28" i="1"/>
  <c r="AS39" i="1"/>
  <c r="AT7" i="1"/>
  <c r="AS18" i="1"/>
  <c r="AR29" i="1"/>
  <c r="AT39" i="1"/>
  <c r="AR8" i="1"/>
  <c r="AT18" i="1"/>
  <c r="AS29" i="1"/>
  <c r="AR40" i="1"/>
  <c r="AS8" i="1"/>
  <c r="AR19" i="1"/>
  <c r="AT29" i="1"/>
  <c r="AS40" i="1"/>
  <c r="AT8" i="1"/>
  <c r="AS19" i="1"/>
  <c r="AR30" i="1"/>
  <c r="AT40" i="1"/>
  <c r="AR9" i="1"/>
  <c r="AT19" i="1"/>
  <c r="AS30" i="1"/>
  <c r="AR41" i="1"/>
  <c r="AS9" i="1"/>
  <c r="AR20" i="1"/>
  <c r="AT30" i="1"/>
  <c r="AS41" i="1"/>
  <c r="AT9" i="1"/>
  <c r="AS20" i="1"/>
  <c r="AR31" i="1"/>
  <c r="AT41" i="1"/>
  <c r="AR10" i="1"/>
  <c r="AT20" i="1"/>
  <c r="AS31" i="1"/>
  <c r="AR42" i="1"/>
  <c r="AS10" i="1"/>
  <c r="AR21" i="1"/>
  <c r="AT31" i="1"/>
  <c r="AS42" i="1"/>
  <c r="AT10" i="1"/>
  <c r="AS21" i="1"/>
  <c r="AR32" i="1"/>
  <c r="AT42" i="1"/>
  <c r="AR11" i="1"/>
  <c r="AT21" i="1"/>
  <c r="AS32" i="1"/>
  <c r="AR43" i="1"/>
  <c r="AS11" i="1"/>
  <c r="AR22" i="1"/>
  <c r="AT32" i="1"/>
  <c r="AS43" i="1"/>
  <c r="AT11" i="1"/>
  <c r="AS22" i="1"/>
  <c r="AR33" i="1"/>
  <c r="AT43" i="1"/>
  <c r="AR12" i="1"/>
  <c r="AT22" i="1"/>
  <c r="AS33" i="1"/>
  <c r="AR44" i="1"/>
  <c r="AS12" i="1"/>
  <c r="AR23" i="1"/>
  <c r="AT33" i="1"/>
  <c r="AS44" i="1"/>
  <c r="AT12" i="1"/>
  <c r="AS23" i="1"/>
  <c r="AR34" i="1"/>
  <c r="AT44" i="1"/>
  <c r="AR13" i="1"/>
  <c r="B88" i="1"/>
  <c r="B87" i="1"/>
  <c r="B86" i="1"/>
  <c r="B85" i="1"/>
  <c r="B84" i="1"/>
  <c r="B83" i="1"/>
  <c r="B82" i="1"/>
  <c r="B81" i="1"/>
  <c r="B80" i="1"/>
  <c r="B79" i="1"/>
  <c r="B78" i="1"/>
  <c r="B77" i="1"/>
  <c r="B76" i="1"/>
  <c r="B75" i="1"/>
  <c r="B74" i="1"/>
  <c r="B73" i="1"/>
  <c r="B72" i="1"/>
  <c r="B71" i="1"/>
  <c r="B70" i="1"/>
  <c r="B69" i="1"/>
  <c r="B68" i="1"/>
  <c r="B67" i="1"/>
  <c r="B66" i="1"/>
  <c r="B65" i="1"/>
  <c r="AR78" i="1"/>
  <c r="AR81" i="1" s="1"/>
  <c r="AR84" i="1" s="1"/>
  <c r="AR87" i="1" s="1"/>
  <c r="AQ66" i="1"/>
  <c r="AQ67" i="1" s="1"/>
  <c r="AQ68" i="1" s="1"/>
  <c r="AQ69" i="1" s="1"/>
  <c r="AQ70" i="1" s="1"/>
  <c r="AQ71" i="1" s="1"/>
  <c r="AQ72" i="1" s="1"/>
  <c r="AQ73" i="1" s="1"/>
  <c r="AQ74" i="1" s="1"/>
  <c r="AQ75" i="1" s="1"/>
  <c r="AQ76" i="1" s="1"/>
  <c r="AQ77" i="1" s="1"/>
  <c r="AQ78" i="1" s="1"/>
  <c r="AQ79" i="1" s="1"/>
  <c r="AQ80" i="1" s="1"/>
  <c r="AQ81" i="1" s="1"/>
  <c r="AQ82" i="1" s="1"/>
  <c r="AQ83" i="1" s="1"/>
  <c r="AQ84" i="1" s="1"/>
  <c r="AQ85" i="1" s="1"/>
  <c r="AQ86" i="1" s="1"/>
  <c r="AQ87" i="1" s="1"/>
  <c r="AQ88" i="1" s="1"/>
  <c r="AQ90" i="1" s="1"/>
  <c r="AP66" i="1"/>
  <c r="AP67" i="1" s="1"/>
  <c r="AP68" i="1" s="1"/>
  <c r="AP69" i="1" s="1"/>
  <c r="AP70" i="1" s="1"/>
  <c r="AP71" i="1" s="1"/>
  <c r="AP72" i="1" s="1"/>
  <c r="AP73" i="1" s="1"/>
  <c r="AP74" i="1" s="1"/>
  <c r="AP75" i="1" s="1"/>
  <c r="AP76" i="1" s="1"/>
  <c r="AP77" i="1" s="1"/>
  <c r="AP78" i="1" s="1"/>
  <c r="AP79" i="1" s="1"/>
  <c r="AP80" i="1" s="1"/>
  <c r="AP81" i="1" s="1"/>
  <c r="AP82" i="1" s="1"/>
  <c r="AP83" i="1" s="1"/>
  <c r="AP84" i="1" s="1"/>
  <c r="AP85" i="1" s="1"/>
  <c r="AP86" i="1" s="1"/>
  <c r="AP87" i="1" s="1"/>
  <c r="AP88" i="1" s="1"/>
  <c r="AP90" i="1" s="1"/>
  <c r="AO66" i="1"/>
  <c r="AO67" i="1" s="1"/>
  <c r="AO68" i="1" s="1"/>
  <c r="AO69" i="1" s="1"/>
  <c r="AO70" i="1" s="1"/>
  <c r="AO71" i="1" s="1"/>
  <c r="AO72" i="1" s="1"/>
  <c r="AO73" i="1" s="1"/>
  <c r="AO74" i="1" s="1"/>
  <c r="AO75" i="1" s="1"/>
  <c r="AO76" i="1" s="1"/>
  <c r="AO77" i="1" s="1"/>
  <c r="AO78" i="1" s="1"/>
  <c r="AO79" i="1" s="1"/>
  <c r="AO80" i="1" s="1"/>
  <c r="AO81" i="1" s="1"/>
  <c r="AO82" i="1" s="1"/>
  <c r="AO83" i="1" s="1"/>
  <c r="AO84" i="1" s="1"/>
  <c r="AO85" i="1" s="1"/>
  <c r="AO86" i="1" s="1"/>
  <c r="AO87" i="1" s="1"/>
  <c r="AO88" i="1" s="1"/>
  <c r="AO90" i="1" s="1"/>
  <c r="F93" i="1"/>
  <c r="F92" i="1"/>
  <c r="F91" i="1"/>
  <c r="F90" i="1"/>
  <c r="AS77" i="1"/>
  <c r="AR66" i="1"/>
  <c r="AT65" i="1"/>
  <c r="AT68" i="1" s="1"/>
  <c r="AT71" i="1" s="1"/>
  <c r="AT74" i="1" s="1"/>
  <c r="AS65" i="1"/>
  <c r="AS68" i="1" s="1"/>
  <c r="AS71" i="1" s="1"/>
  <c r="AS74" i="1" s="1"/>
  <c r="B62" i="1"/>
  <c r="B61" i="1"/>
  <c r="B60" i="1"/>
  <c r="B59" i="1"/>
  <c r="B58" i="1"/>
  <c r="B57" i="1"/>
  <c r="B56" i="1"/>
  <c r="B55" i="1"/>
  <c r="B54" i="1"/>
  <c r="B53" i="1"/>
  <c r="B52" i="1"/>
  <c r="B51" i="1"/>
  <c r="AQ50" i="1"/>
  <c r="AQ54" i="1" s="1"/>
  <c r="AQ58" i="1" s="1"/>
  <c r="AQ62" i="1" s="1"/>
  <c r="AQ49" i="1"/>
  <c r="AQ53" i="1" s="1"/>
  <c r="AQ57" i="1" s="1"/>
  <c r="AQ61" i="1" s="1"/>
  <c r="AQ48" i="1"/>
  <c r="AQ52" i="1" s="1"/>
  <c r="AQ56" i="1" s="1"/>
  <c r="AQ60" i="1" s="1"/>
  <c r="AQ47" i="1"/>
  <c r="AQ51" i="1" s="1"/>
  <c r="AQ55" i="1" s="1"/>
  <c r="AQ59" i="1" s="1"/>
  <c r="AP50" i="1"/>
  <c r="AP54" i="1" s="1"/>
  <c r="AP58" i="1" s="1"/>
  <c r="AP49" i="1"/>
  <c r="AP53" i="1" s="1"/>
  <c r="AP57" i="1" s="1"/>
  <c r="AP61" i="1" s="1"/>
  <c r="AP48" i="1"/>
  <c r="AP52" i="1" s="1"/>
  <c r="AP56" i="1" s="1"/>
  <c r="AP60" i="1" s="1"/>
  <c r="AP47" i="1"/>
  <c r="AP51" i="1" s="1"/>
  <c r="AP55" i="1" s="1"/>
  <c r="AP59" i="1" s="1"/>
  <c r="AO51" i="1"/>
  <c r="AO55" i="1" s="1"/>
  <c r="AO59" i="1" s="1"/>
  <c r="J50" i="1"/>
  <c r="I50" i="1"/>
  <c r="B50" i="1"/>
  <c r="I47" i="1"/>
  <c r="J47" i="1"/>
  <c r="I48" i="1"/>
  <c r="J48" i="1"/>
  <c r="I49" i="1"/>
  <c r="J49" i="1"/>
  <c r="B47" i="1"/>
  <c r="B48" i="1"/>
  <c r="B49" i="1"/>
  <c r="AQ5" i="1" a="1"/>
  <c r="AQ5" i="1" s="1"/>
  <c r="AP5" i="1" a="1"/>
  <c r="AP5" i="1" s="1"/>
  <c r="AP97" i="1" s="1"/>
  <c r="AO5" i="1" a="1"/>
  <c r="AO5" i="1" s="1"/>
  <c r="F65" i="1" l="1"/>
  <c r="AS66" i="1"/>
  <c r="AR69" i="1"/>
  <c r="AR72" i="1" s="1"/>
  <c r="AR75" i="1" s="1"/>
  <c r="F77" i="1"/>
  <c r="AS80" i="1"/>
  <c r="AS83" i="1" s="1"/>
  <c r="AS86" i="1" s="1"/>
  <c r="AR79" i="1"/>
  <c r="AS78" i="1"/>
  <c r="AP91" i="1"/>
  <c r="AP92" i="1" s="1"/>
  <c r="AP93" i="1" s="1"/>
  <c r="AQ91" i="1"/>
  <c r="AQ92" i="1" s="1"/>
  <c r="AQ93" i="1" s="1"/>
  <c r="AO91" i="1"/>
  <c r="AO92" i="1" s="1"/>
  <c r="AO93" i="1" s="1"/>
  <c r="AR67" i="1"/>
  <c r="AR70" i="1" s="1"/>
  <c r="AR73" i="1" s="1"/>
  <c r="AR76" i="1" s="1"/>
  <c r="F68" i="1"/>
  <c r="AT66" i="1"/>
  <c r="AT69" i="1" s="1"/>
  <c r="AT72" i="1" s="1"/>
  <c r="AT75" i="1" s="1"/>
  <c r="AO97" i="1"/>
  <c r="AO6" i="1"/>
  <c r="AO45" i="1" s="1"/>
  <c r="AQ97" i="1"/>
  <c r="AQ6" i="1"/>
  <c r="AQ45" i="1" s="1"/>
  <c r="AP6" i="1"/>
  <c r="AP45" i="1" s="1"/>
  <c r="M5" i="1" a="1"/>
  <c r="M5" i="1" s="1"/>
  <c r="M6" i="1" s="1"/>
  <c r="M94" i="1" s="1"/>
  <c r="L5" i="1" a="1"/>
  <c r="L5" i="1" s="1"/>
  <c r="L6" i="1" s="1"/>
  <c r="L94" i="1" s="1"/>
  <c r="K5" i="1" a="1"/>
  <c r="K5" i="1" s="1"/>
  <c r="K6" i="1" s="1"/>
  <c r="K94" i="1" s="1"/>
  <c r="AQ94" i="1" l="1"/>
  <c r="AQ95" i="1" s="1"/>
  <c r="AQ96" i="1" s="1"/>
  <c r="AP94" i="1"/>
  <c r="AP95" i="1" s="1"/>
  <c r="AP96" i="1" s="1"/>
  <c r="AO94" i="1"/>
  <c r="AO95" i="1" s="1"/>
  <c r="AO96" i="1" s="1"/>
  <c r="K95" i="1"/>
  <c r="K96" i="1"/>
  <c r="M95" i="1"/>
  <c r="M96" i="1"/>
  <c r="L95" i="1"/>
  <c r="L96" i="1"/>
  <c r="G65" i="1"/>
  <c r="L78" i="1"/>
  <c r="L61" i="1"/>
  <c r="L90" i="1"/>
  <c r="L73" i="1"/>
  <c r="L56" i="1"/>
  <c r="L84" i="1"/>
  <c r="L68" i="1"/>
  <c r="L51" i="1"/>
  <c r="L79" i="1"/>
  <c r="L62" i="1"/>
  <c r="L91" i="1"/>
  <c r="L74" i="1"/>
  <c r="L57" i="1"/>
  <c r="L85" i="1"/>
  <c r="L69" i="1"/>
  <c r="L52" i="1"/>
  <c r="L80" i="1"/>
  <c r="L63" i="1"/>
  <c r="L92" i="1"/>
  <c r="L75" i="1"/>
  <c r="L58" i="1"/>
  <c r="L86" i="1"/>
  <c r="L70" i="1"/>
  <c r="L53" i="1"/>
  <c r="L81" i="1"/>
  <c r="L65" i="1"/>
  <c r="L93" i="1"/>
  <c r="L76" i="1"/>
  <c r="L59" i="1"/>
  <c r="L87" i="1"/>
  <c r="L71" i="1"/>
  <c r="L54" i="1"/>
  <c r="L82" i="1"/>
  <c r="L66" i="1"/>
  <c r="L77" i="1"/>
  <c r="L60" i="1"/>
  <c r="L88" i="1"/>
  <c r="L72" i="1"/>
  <c r="L83" i="1"/>
  <c r="L67" i="1"/>
  <c r="L55" i="1"/>
  <c r="K83" i="1"/>
  <c r="K67" i="1"/>
  <c r="K90" i="1"/>
  <c r="K73" i="1"/>
  <c r="K56" i="1"/>
  <c r="K84" i="1"/>
  <c r="K68" i="1"/>
  <c r="K51" i="1"/>
  <c r="K79" i="1"/>
  <c r="K62" i="1"/>
  <c r="K91" i="1"/>
  <c r="K74" i="1"/>
  <c r="K57" i="1"/>
  <c r="K85" i="1"/>
  <c r="K69" i="1"/>
  <c r="K52" i="1"/>
  <c r="K80" i="1"/>
  <c r="K63" i="1"/>
  <c r="K92" i="1"/>
  <c r="K75" i="1"/>
  <c r="K58" i="1"/>
  <c r="K60" i="1"/>
  <c r="K86" i="1"/>
  <c r="K70" i="1"/>
  <c r="K53" i="1"/>
  <c r="K77" i="1"/>
  <c r="K81" i="1"/>
  <c r="K65" i="1"/>
  <c r="K93" i="1"/>
  <c r="K76" i="1"/>
  <c r="K59" i="1"/>
  <c r="K87" i="1"/>
  <c r="K71" i="1"/>
  <c r="K54" i="1"/>
  <c r="K82" i="1"/>
  <c r="K66" i="1"/>
  <c r="K88" i="1"/>
  <c r="K72" i="1"/>
  <c r="K55" i="1"/>
  <c r="K78" i="1"/>
  <c r="K61" i="1"/>
  <c r="AS67" i="1"/>
  <c r="AS70" i="1" s="1"/>
  <c r="AS73" i="1" s="1"/>
  <c r="AS76" i="1" s="1"/>
  <c r="M78" i="1"/>
  <c r="M61" i="1"/>
  <c r="M84" i="1"/>
  <c r="M68" i="1"/>
  <c r="M51" i="1"/>
  <c r="M79" i="1"/>
  <c r="M62" i="1"/>
  <c r="M91" i="1"/>
  <c r="M74" i="1"/>
  <c r="M57" i="1"/>
  <c r="M85" i="1"/>
  <c r="M69" i="1"/>
  <c r="M52" i="1"/>
  <c r="M80" i="1"/>
  <c r="M63" i="1"/>
  <c r="M92" i="1"/>
  <c r="M75" i="1"/>
  <c r="M58" i="1"/>
  <c r="M86" i="1"/>
  <c r="M70" i="1"/>
  <c r="M53" i="1"/>
  <c r="M55" i="1"/>
  <c r="M81" i="1"/>
  <c r="M65" i="1"/>
  <c r="M88" i="1"/>
  <c r="M93" i="1"/>
  <c r="M76" i="1"/>
  <c r="M59" i="1"/>
  <c r="M87" i="1"/>
  <c r="M71" i="1"/>
  <c r="M54" i="1"/>
  <c r="M72" i="1"/>
  <c r="M82" i="1"/>
  <c r="M66" i="1"/>
  <c r="M77" i="1"/>
  <c r="M60" i="1"/>
  <c r="M83" i="1"/>
  <c r="M67" i="1"/>
  <c r="M56" i="1"/>
  <c r="M90" i="1"/>
  <c r="M73" i="1"/>
  <c r="F78" i="1"/>
  <c r="AS81" i="1"/>
  <c r="AS84" i="1" s="1"/>
  <c r="AS87" i="1" s="1"/>
  <c r="AS79" i="1"/>
  <c r="AR82" i="1"/>
  <c r="AR85" i="1" s="1"/>
  <c r="AR88" i="1" s="1"/>
  <c r="AS69" i="1"/>
  <c r="F66" i="1"/>
  <c r="AT67" i="1"/>
  <c r="AT70" i="1" s="1"/>
  <c r="AT73" i="1" s="1"/>
  <c r="AT76" i="1" s="1"/>
  <c r="F71" i="1"/>
  <c r="K50" i="1"/>
  <c r="K47" i="1"/>
  <c r="K48" i="1"/>
  <c r="K49" i="1"/>
  <c r="K35" i="1"/>
  <c r="K36" i="1"/>
  <c r="K38" i="1"/>
  <c r="K39" i="1"/>
  <c r="K40" i="1"/>
  <c r="K41" i="1"/>
  <c r="K42" i="1"/>
  <c r="K43" i="1"/>
  <c r="K37" i="1"/>
  <c r="L50" i="1"/>
  <c r="L47" i="1"/>
  <c r="L45" i="1"/>
  <c r="L48" i="1"/>
  <c r="L49" i="1"/>
  <c r="L35" i="1"/>
  <c r="L37" i="1"/>
  <c r="L38" i="1"/>
  <c r="L39" i="1"/>
  <c r="L40" i="1"/>
  <c r="L41" i="1"/>
  <c r="L42" i="1"/>
  <c r="L36" i="1"/>
  <c r="L43" i="1"/>
  <c r="M50" i="1"/>
  <c r="M47" i="1"/>
  <c r="M49" i="1"/>
  <c r="M45" i="1"/>
  <c r="M48" i="1"/>
  <c r="M35" i="1"/>
  <c r="M43" i="1"/>
  <c r="M36" i="1"/>
  <c r="M37" i="1"/>
  <c r="M38" i="1"/>
  <c r="M39" i="1"/>
  <c r="M40" i="1"/>
  <c r="M41" i="1"/>
  <c r="M42" i="1"/>
  <c r="AQ40" i="1"/>
  <c r="AQ32" i="1"/>
  <c r="AQ24" i="1"/>
  <c r="AQ16" i="1"/>
  <c r="AQ8" i="1"/>
  <c r="AQ37" i="1"/>
  <c r="AQ29" i="1"/>
  <c r="AQ21" i="1"/>
  <c r="AQ13" i="1"/>
  <c r="AQ42" i="1"/>
  <c r="AQ34" i="1"/>
  <c r="AQ26" i="1"/>
  <c r="AQ18" i="1"/>
  <c r="AQ10" i="1"/>
  <c r="AQ39" i="1"/>
  <c r="AQ31" i="1"/>
  <c r="AQ23" i="1"/>
  <c r="AQ15" i="1"/>
  <c r="AQ7" i="1"/>
  <c r="AQ44" i="1"/>
  <c r="AQ36" i="1"/>
  <c r="AQ28" i="1"/>
  <c r="AQ20" i="1"/>
  <c r="AQ12" i="1"/>
  <c r="AQ41" i="1"/>
  <c r="AQ33" i="1"/>
  <c r="AQ25" i="1"/>
  <c r="AQ17" i="1"/>
  <c r="AQ9" i="1"/>
  <c r="AQ38" i="1"/>
  <c r="AQ30" i="1"/>
  <c r="AQ22" i="1"/>
  <c r="AQ14" i="1"/>
  <c r="AQ43" i="1"/>
  <c r="AQ35" i="1"/>
  <c r="AQ27" i="1"/>
  <c r="AQ19" i="1"/>
  <c r="AQ11" i="1"/>
  <c r="AP43" i="1"/>
  <c r="AP35" i="1"/>
  <c r="AP27" i="1"/>
  <c r="AP19" i="1"/>
  <c r="AP11" i="1"/>
  <c r="AP40" i="1"/>
  <c r="AP32" i="1"/>
  <c r="AP24" i="1"/>
  <c r="AP16" i="1"/>
  <c r="AP8" i="1"/>
  <c r="AP37" i="1"/>
  <c r="AP29" i="1"/>
  <c r="AP21" i="1"/>
  <c r="AP13" i="1"/>
  <c r="AP42" i="1"/>
  <c r="AP34" i="1"/>
  <c r="AP26" i="1"/>
  <c r="AP18" i="1"/>
  <c r="AP10" i="1"/>
  <c r="AP39" i="1"/>
  <c r="AP31" i="1"/>
  <c r="AP23" i="1"/>
  <c r="AP15" i="1"/>
  <c r="AP7" i="1"/>
  <c r="AP36" i="1"/>
  <c r="AP28" i="1"/>
  <c r="AP20" i="1"/>
  <c r="AP12" i="1"/>
  <c r="AP41" i="1"/>
  <c r="AP33" i="1"/>
  <c r="AP25" i="1"/>
  <c r="AP17" i="1"/>
  <c r="AP9" i="1"/>
  <c r="AP38" i="1"/>
  <c r="AP30" i="1"/>
  <c r="AP22" i="1"/>
  <c r="AP14" i="1"/>
  <c r="AP44" i="1"/>
  <c r="AO38" i="1"/>
  <c r="AO30" i="1"/>
  <c r="AO22" i="1"/>
  <c r="AO14" i="1"/>
  <c r="AO43" i="1"/>
  <c r="AO35" i="1"/>
  <c r="AO27" i="1"/>
  <c r="AO19" i="1"/>
  <c r="AO11" i="1"/>
  <c r="AO40" i="1"/>
  <c r="AO32" i="1"/>
  <c r="AO24" i="1"/>
  <c r="AO16" i="1"/>
  <c r="AO8" i="1"/>
  <c r="AO37" i="1"/>
  <c r="AO29" i="1"/>
  <c r="AO21" i="1"/>
  <c r="AO13" i="1"/>
  <c r="AO42" i="1"/>
  <c r="AO34" i="1"/>
  <c r="AO26" i="1"/>
  <c r="AO18" i="1"/>
  <c r="AO10" i="1"/>
  <c r="AO39" i="1"/>
  <c r="AO31" i="1"/>
  <c r="AO23" i="1"/>
  <c r="AO15" i="1"/>
  <c r="AO7" i="1"/>
  <c r="AO44" i="1"/>
  <c r="AO36" i="1"/>
  <c r="AO28" i="1"/>
  <c r="AO20" i="1"/>
  <c r="AO12" i="1"/>
  <c r="AO41" i="1"/>
  <c r="AO33" i="1"/>
  <c r="AO25" i="1"/>
  <c r="AO17" i="1"/>
  <c r="AO9" i="1"/>
  <c r="K97" i="1"/>
  <c r="L97" i="1"/>
  <c r="M97" i="1"/>
  <c r="F67" i="1" l="1"/>
  <c r="F81" i="1"/>
  <c r="G66" i="1"/>
  <c r="AS72" i="1"/>
  <c r="F69" i="1"/>
  <c r="G69" i="1" s="1"/>
  <c r="F79" i="1"/>
  <c r="AS82" i="1"/>
  <c r="AS85" i="1" s="1"/>
  <c r="AS88" i="1" s="1"/>
  <c r="F87" i="1"/>
  <c r="F84" i="1"/>
  <c r="F80" i="1"/>
  <c r="F74" i="1"/>
  <c r="F70" i="1"/>
  <c r="G70" i="1" s="1"/>
  <c r="L30" i="1"/>
  <c r="L22" i="1"/>
  <c r="L14" i="1"/>
  <c r="L13" i="1"/>
  <c r="L18" i="1"/>
  <c r="L27" i="1"/>
  <c r="L19" i="1"/>
  <c r="L11" i="1"/>
  <c r="L31" i="1"/>
  <c r="L23" i="1"/>
  <c r="L7" i="1"/>
  <c r="L28" i="1"/>
  <c r="L20" i="1"/>
  <c r="L12" i="1"/>
  <c r="L32" i="1"/>
  <c r="L24" i="1"/>
  <c r="L16" i="1"/>
  <c r="L8" i="1"/>
  <c r="L29" i="1"/>
  <c r="L21" i="1"/>
  <c r="L15" i="1"/>
  <c r="L34" i="1"/>
  <c r="L26" i="1"/>
  <c r="L10" i="1"/>
  <c r="L44" i="1"/>
  <c r="L33" i="1"/>
  <c r="L25" i="1"/>
  <c r="L17" i="1"/>
  <c r="L9" i="1"/>
  <c r="M27" i="1"/>
  <c r="M19" i="1"/>
  <c r="M11" i="1"/>
  <c r="M20" i="1"/>
  <c r="M32" i="1"/>
  <c r="M24" i="1"/>
  <c r="M16" i="1"/>
  <c r="M8" i="1"/>
  <c r="M23" i="1"/>
  <c r="M28" i="1"/>
  <c r="M29" i="1"/>
  <c r="M21" i="1"/>
  <c r="M13" i="1"/>
  <c r="M18" i="1"/>
  <c r="M34" i="1"/>
  <c r="M26" i="1"/>
  <c r="M10" i="1"/>
  <c r="M15" i="1"/>
  <c r="M7" i="1"/>
  <c r="M44" i="1"/>
  <c r="M31" i="1"/>
  <c r="M12" i="1"/>
  <c r="M33" i="1"/>
  <c r="M25" i="1"/>
  <c r="M17" i="1"/>
  <c r="M9" i="1"/>
  <c r="M30" i="1"/>
  <c r="M22" i="1"/>
  <c r="M14" i="1"/>
  <c r="K44" i="1"/>
  <c r="K33" i="1"/>
  <c r="K25" i="1"/>
  <c r="K17" i="1"/>
  <c r="K9" i="1"/>
  <c r="K8" i="1"/>
  <c r="K30" i="1"/>
  <c r="K22" i="1"/>
  <c r="K14" i="1"/>
  <c r="K16" i="1"/>
  <c r="K13" i="1"/>
  <c r="K45" i="1"/>
  <c r="K34" i="1"/>
  <c r="K18" i="1"/>
  <c r="K27" i="1"/>
  <c r="K19" i="1"/>
  <c r="K11" i="1"/>
  <c r="K32" i="1"/>
  <c r="K24" i="1"/>
  <c r="K26" i="1"/>
  <c r="K10" i="1"/>
  <c r="K31" i="1"/>
  <c r="K23" i="1"/>
  <c r="K15" i="1"/>
  <c r="K7" i="1"/>
  <c r="K29" i="1"/>
  <c r="K21" i="1"/>
  <c r="K28" i="1"/>
  <c r="K20" i="1"/>
  <c r="K12" i="1"/>
  <c r="G68" i="1" l="1"/>
  <c r="G67" i="1"/>
  <c r="G71" i="1"/>
  <c r="AS75" i="1"/>
  <c r="F75" i="1" s="1"/>
  <c r="F72" i="1"/>
  <c r="G72" i="1" s="1"/>
  <c r="F73" i="1"/>
  <c r="F83" i="1"/>
  <c r="I5" i="1" a="1"/>
  <c r="I5" i="1" s="1"/>
  <c r="J5" i="1" a="1"/>
  <c r="J5" i="1" s="1"/>
  <c r="N5" i="1" a="1"/>
  <c r="N5" i="1" s="1"/>
  <c r="O5" i="1" a="1"/>
  <c r="O5" i="1" s="1"/>
  <c r="P5" i="1" a="1"/>
  <c r="P5" i="1" s="1"/>
  <c r="Q5" i="1" a="1"/>
  <c r="Q5" i="1" s="1"/>
  <c r="R5" i="1" a="1"/>
  <c r="R5" i="1" s="1"/>
  <c r="S5" i="1" a="1"/>
  <c r="S5" i="1" s="1"/>
  <c r="T5" i="1" a="1"/>
  <c r="T5" i="1" s="1"/>
  <c r="U5" i="1" a="1"/>
  <c r="U5" i="1" s="1"/>
  <c r="V5" i="1" a="1"/>
  <c r="V5" i="1" s="1"/>
  <c r="W5" i="1" a="1"/>
  <c r="W5" i="1" s="1"/>
  <c r="X5" i="1" a="1"/>
  <c r="X5" i="1" s="1"/>
  <c r="Y5" i="1" a="1"/>
  <c r="Y5" i="1" s="1"/>
  <c r="Z5" i="1" a="1"/>
  <c r="Z5" i="1" s="1"/>
  <c r="AA5" i="1" a="1"/>
  <c r="AA5" i="1" s="1"/>
  <c r="AB5" i="1" a="1"/>
  <c r="AB5" i="1" s="1"/>
  <c r="AC5" i="1" a="1"/>
  <c r="AC5" i="1" s="1"/>
  <c r="AD5" i="1" a="1"/>
  <c r="AD5" i="1" s="1"/>
  <c r="AE5" i="1" a="1"/>
  <c r="AE5" i="1" s="1"/>
  <c r="AF5" i="1" a="1"/>
  <c r="AF5" i="1" s="1"/>
  <c r="AG5" i="1" a="1"/>
  <c r="AG5" i="1" s="1"/>
  <c r="AH5" i="1" a="1"/>
  <c r="AH5" i="1" s="1"/>
  <c r="AI5" i="1" a="1"/>
  <c r="AI5" i="1" s="1"/>
  <c r="AJ5" i="1" a="1"/>
  <c r="AJ5" i="1" s="1"/>
  <c r="AK5" i="1" a="1"/>
  <c r="AK5" i="1" s="1"/>
  <c r="AL5" i="1" a="1"/>
  <c r="AL5" i="1" s="1"/>
  <c r="AM5" i="1" a="1"/>
  <c r="AM5" i="1" s="1"/>
  <c r="AN5" i="1" a="1"/>
  <c r="AN5" i="1" s="1"/>
  <c r="AU5" i="1" a="1"/>
  <c r="AU5" i="1" s="1"/>
  <c r="AV5" i="1" a="1"/>
  <c r="AV5" i="1" s="1"/>
  <c r="AW5" i="1" a="1"/>
  <c r="AW5" i="1" s="1"/>
  <c r="AX5" i="1" a="1"/>
  <c r="AX5" i="1" s="1"/>
  <c r="AY5" i="1" a="1"/>
  <c r="AY5" i="1" s="1"/>
  <c r="AZ5" i="1" a="1"/>
  <c r="AZ5" i="1" s="1"/>
  <c r="BA5" i="1" a="1"/>
  <c r="BA5" i="1" s="1"/>
  <c r="BB5" i="1" a="1"/>
  <c r="BB5" i="1" s="1"/>
  <c r="BC5" i="1" a="1"/>
  <c r="BC5" i="1" s="1"/>
  <c r="BD5" i="1" a="1"/>
  <c r="BD5" i="1" s="1"/>
  <c r="BE5" i="1" a="1"/>
  <c r="BE5" i="1" s="1"/>
  <c r="BF5" i="1" a="1"/>
  <c r="BF5" i="1" s="1"/>
  <c r="BG5" i="1" a="1"/>
  <c r="BG5" i="1" s="1"/>
  <c r="BH5" i="1" a="1"/>
  <c r="BH5" i="1" s="1"/>
  <c r="BI5" i="1" a="1"/>
  <c r="BI5" i="1" s="1"/>
  <c r="BJ5" i="1" a="1"/>
  <c r="BJ5" i="1" s="1"/>
  <c r="BK5" i="1" a="1"/>
  <c r="BK5" i="1" s="1"/>
  <c r="BL5" i="1" a="1"/>
  <c r="BL5" i="1" s="1"/>
  <c r="BM5" i="1" a="1"/>
  <c r="BM5" i="1" s="1"/>
  <c r="BN5" i="1" a="1"/>
  <c r="BN5" i="1" s="1"/>
  <c r="BO5" i="1" a="1"/>
  <c r="BO5" i="1" s="1"/>
  <c r="H5" i="1" a="1"/>
  <c r="H5" i="1" s="1"/>
  <c r="G73" i="1" l="1"/>
  <c r="G75" i="1"/>
  <c r="G74" i="1"/>
  <c r="F86" i="1"/>
  <c r="F82" i="1"/>
  <c r="G82" i="1" s="1"/>
  <c r="F76" i="1"/>
  <c r="G76" i="1" s="1"/>
  <c r="BN97" i="1"/>
  <c r="BN6" i="1"/>
  <c r="BN94" i="1" s="1"/>
  <c r="BJ97" i="1"/>
  <c r="BJ6" i="1"/>
  <c r="BJ94" i="1" s="1"/>
  <c r="BI97" i="1"/>
  <c r="BI6" i="1"/>
  <c r="BI94" i="1" s="1"/>
  <c r="BH97" i="1"/>
  <c r="BH6" i="1"/>
  <c r="BH94" i="1" s="1"/>
  <c r="BG97" i="1"/>
  <c r="BG6" i="1"/>
  <c r="BG94" i="1" s="1"/>
  <c r="AN97" i="1"/>
  <c r="AN6" i="1"/>
  <c r="AN94" i="1" s="1"/>
  <c r="AL97" i="1"/>
  <c r="AL6" i="1"/>
  <c r="AL94" i="1" s="1"/>
  <c r="AM97" i="1"/>
  <c r="AM6" i="1"/>
  <c r="AM94" i="1" s="1"/>
  <c r="V97" i="1"/>
  <c r="V6" i="1"/>
  <c r="V94" i="1" s="1"/>
  <c r="Y97" i="1"/>
  <c r="Y6" i="1"/>
  <c r="Y94" i="1" s="1"/>
  <c r="AB97" i="1"/>
  <c r="AB6" i="1"/>
  <c r="AB94" i="1" s="1"/>
  <c r="S97" i="1"/>
  <c r="S6" i="1"/>
  <c r="S94" i="1" s="1"/>
  <c r="AK97" i="1"/>
  <c r="AK6" i="1"/>
  <c r="AK94" i="1" s="1"/>
  <c r="J45" i="1"/>
  <c r="I45" i="1"/>
  <c r="J44" i="1"/>
  <c r="I44" i="1"/>
  <c r="J43" i="1"/>
  <c r="I43" i="1"/>
  <c r="J42" i="1"/>
  <c r="I42" i="1"/>
  <c r="J41" i="1"/>
  <c r="I41" i="1"/>
  <c r="J39" i="1"/>
  <c r="I39" i="1"/>
  <c r="J35" i="1"/>
  <c r="I35" i="1"/>
  <c r="J34" i="1"/>
  <c r="I34" i="1"/>
  <c r="J33" i="1"/>
  <c r="I33" i="1"/>
  <c r="J32" i="1"/>
  <c r="I32" i="1"/>
  <c r="J31" i="1"/>
  <c r="I31" i="1"/>
  <c r="J30" i="1"/>
  <c r="I30" i="1"/>
  <c r="J29" i="1"/>
  <c r="I29" i="1"/>
  <c r="J28" i="1"/>
  <c r="I28" i="1"/>
  <c r="J27" i="1"/>
  <c r="I27" i="1"/>
  <c r="J26" i="1"/>
  <c r="I26" i="1"/>
  <c r="J25" i="1"/>
  <c r="I25" i="1"/>
  <c r="J24" i="1"/>
  <c r="I24" i="1"/>
  <c r="J23" i="1"/>
  <c r="I23" i="1"/>
  <c r="J22" i="1"/>
  <c r="I22" i="1"/>
  <c r="J21" i="1"/>
  <c r="I21" i="1"/>
  <c r="J20" i="1"/>
  <c r="I20" i="1"/>
  <c r="J19" i="1"/>
  <c r="I19" i="1"/>
  <c r="J18" i="1"/>
  <c r="I18" i="1"/>
  <c r="J17" i="1"/>
  <c r="I17" i="1"/>
  <c r="J16" i="1"/>
  <c r="I16" i="1"/>
  <c r="J15" i="1"/>
  <c r="I15" i="1"/>
  <c r="J14" i="1"/>
  <c r="I14" i="1"/>
  <c r="J13" i="1"/>
  <c r="I13" i="1"/>
  <c r="J12" i="1"/>
  <c r="I12" i="1"/>
  <c r="J11" i="1"/>
  <c r="I11" i="1"/>
  <c r="J10" i="1"/>
  <c r="I10" i="1"/>
  <c r="J9" i="1"/>
  <c r="I9" i="1"/>
  <c r="J8" i="1"/>
  <c r="I8" i="1"/>
  <c r="J7" i="1"/>
  <c r="I7" i="1"/>
  <c r="B7" i="1"/>
  <c r="B97" i="1"/>
  <c r="E4" i="1"/>
  <c r="D4" i="1"/>
  <c r="BI95" i="1" l="1"/>
  <c r="BI96" i="1"/>
  <c r="BJ95" i="1"/>
  <c r="BJ96" i="1"/>
  <c r="S95" i="1"/>
  <c r="S96" i="1"/>
  <c r="AM95" i="1"/>
  <c r="AM96" i="1"/>
  <c r="BN96" i="1"/>
  <c r="BN95" i="1"/>
  <c r="BG95" i="1"/>
  <c r="BG96" i="1"/>
  <c r="V95" i="1"/>
  <c r="V96" i="1"/>
  <c r="AN95" i="1"/>
  <c r="AN96" i="1"/>
  <c r="AK96" i="1"/>
  <c r="AK95" i="1"/>
  <c r="AB96" i="1"/>
  <c r="AB95" i="1"/>
  <c r="Y95" i="1"/>
  <c r="Y96" i="1"/>
  <c r="AL95" i="1"/>
  <c r="AL96" i="1"/>
  <c r="BH95" i="1"/>
  <c r="BH96" i="1"/>
  <c r="AK56" i="1"/>
  <c r="AK86" i="1"/>
  <c r="AK78" i="1"/>
  <c r="AK70" i="1"/>
  <c r="AK91" i="1"/>
  <c r="AK63" i="1"/>
  <c r="AK55" i="1"/>
  <c r="AK85" i="1"/>
  <c r="AK77" i="1"/>
  <c r="AK69" i="1"/>
  <c r="AK90" i="1"/>
  <c r="AK62" i="1"/>
  <c r="AK54" i="1"/>
  <c r="AK84" i="1"/>
  <c r="AK76" i="1"/>
  <c r="AK68" i="1"/>
  <c r="AK61" i="1"/>
  <c r="AK53" i="1"/>
  <c r="AK83" i="1"/>
  <c r="AK75" i="1"/>
  <c r="AK67" i="1"/>
  <c r="AK60" i="1"/>
  <c r="AK52" i="1"/>
  <c r="AK82" i="1"/>
  <c r="AK74" i="1"/>
  <c r="AK66" i="1"/>
  <c r="AK59" i="1"/>
  <c r="AK51" i="1"/>
  <c r="AK81" i="1"/>
  <c r="AK73" i="1"/>
  <c r="AK65" i="1"/>
  <c r="AK71" i="1"/>
  <c r="AK58" i="1"/>
  <c r="AK72" i="1"/>
  <c r="AK93" i="1"/>
  <c r="AK88" i="1"/>
  <c r="AK57" i="1"/>
  <c r="AK87" i="1"/>
  <c r="AK92" i="1"/>
  <c r="AK79" i="1"/>
  <c r="AK80" i="1"/>
  <c r="AN56" i="1"/>
  <c r="AN86" i="1"/>
  <c r="AN78" i="1"/>
  <c r="AN70" i="1"/>
  <c r="AN91" i="1"/>
  <c r="AN63" i="1"/>
  <c r="AN55" i="1"/>
  <c r="AN85" i="1"/>
  <c r="AN77" i="1"/>
  <c r="AN69" i="1"/>
  <c r="AN90" i="1"/>
  <c r="AN62" i="1"/>
  <c r="AN54" i="1"/>
  <c r="AN84" i="1"/>
  <c r="AN76" i="1"/>
  <c r="AN68" i="1"/>
  <c r="AN61" i="1"/>
  <c r="AN53" i="1"/>
  <c r="AN83" i="1"/>
  <c r="AN75" i="1"/>
  <c r="AN67" i="1"/>
  <c r="AN60" i="1"/>
  <c r="AN52" i="1"/>
  <c r="AN82" i="1"/>
  <c r="AN74" i="1"/>
  <c r="AN66" i="1"/>
  <c r="AN59" i="1"/>
  <c r="AN51" i="1"/>
  <c r="AN81" i="1"/>
  <c r="AN73" i="1"/>
  <c r="AN65" i="1"/>
  <c r="AN58" i="1"/>
  <c r="AN88" i="1"/>
  <c r="AN80" i="1"/>
  <c r="AN72" i="1"/>
  <c r="AN93" i="1"/>
  <c r="AN71" i="1"/>
  <c r="AN57" i="1"/>
  <c r="AN87" i="1"/>
  <c r="AN92" i="1"/>
  <c r="AN79" i="1"/>
  <c r="BI76" i="1"/>
  <c r="BI79" i="1"/>
  <c r="BI85" i="1"/>
  <c r="BI52" i="1"/>
  <c r="BI88" i="1"/>
  <c r="BI92" i="1"/>
  <c r="BI58" i="1"/>
  <c r="BI61" i="1"/>
  <c r="BI65" i="1"/>
  <c r="BI68" i="1"/>
  <c r="BI74" i="1"/>
  <c r="BI77" i="1"/>
  <c r="BI80" i="1"/>
  <c r="BI83" i="1"/>
  <c r="BI86" i="1"/>
  <c r="BI53" i="1"/>
  <c r="BI90" i="1"/>
  <c r="BI56" i="1"/>
  <c r="BI93" i="1"/>
  <c r="BI59" i="1"/>
  <c r="BI62" i="1"/>
  <c r="BI66" i="1"/>
  <c r="BI69" i="1"/>
  <c r="BI72" i="1"/>
  <c r="BI75" i="1"/>
  <c r="BI78" i="1"/>
  <c r="BI81" i="1"/>
  <c r="BI63" i="1"/>
  <c r="BI84" i="1"/>
  <c r="BI51" i="1"/>
  <c r="BI87" i="1"/>
  <c r="BI54" i="1"/>
  <c r="BI91" i="1"/>
  <c r="BI57" i="1"/>
  <c r="BI60" i="1"/>
  <c r="BI55" i="1"/>
  <c r="BI71" i="1"/>
  <c r="BI82" i="1"/>
  <c r="BI67" i="1"/>
  <c r="BI73" i="1"/>
  <c r="BI70" i="1"/>
  <c r="S79" i="1"/>
  <c r="S62" i="1"/>
  <c r="S52" i="1"/>
  <c r="S85" i="1"/>
  <c r="S69" i="1"/>
  <c r="S80" i="1"/>
  <c r="S63" i="1"/>
  <c r="S92" i="1"/>
  <c r="S75" i="1"/>
  <c r="S58" i="1"/>
  <c r="S86" i="1"/>
  <c r="S70" i="1"/>
  <c r="S53" i="1"/>
  <c r="S81" i="1"/>
  <c r="S65" i="1"/>
  <c r="S93" i="1"/>
  <c r="S76" i="1"/>
  <c r="S59" i="1"/>
  <c r="S87" i="1"/>
  <c r="S71" i="1"/>
  <c r="S54" i="1"/>
  <c r="S90" i="1"/>
  <c r="S73" i="1"/>
  <c r="S56" i="1"/>
  <c r="S82" i="1"/>
  <c r="S66" i="1"/>
  <c r="S77" i="1"/>
  <c r="S60" i="1"/>
  <c r="S88" i="1"/>
  <c r="S72" i="1"/>
  <c r="S55" i="1"/>
  <c r="S83" i="1"/>
  <c r="S67" i="1"/>
  <c r="S78" i="1"/>
  <c r="S61" i="1"/>
  <c r="S84" i="1"/>
  <c r="S68" i="1"/>
  <c r="S51" i="1"/>
  <c r="S57" i="1"/>
  <c r="S91" i="1"/>
  <c r="S74" i="1"/>
  <c r="AM57" i="1"/>
  <c r="AM87" i="1"/>
  <c r="AM79" i="1"/>
  <c r="AM71" i="1"/>
  <c r="AM92" i="1"/>
  <c r="AM63" i="1"/>
  <c r="AM55" i="1"/>
  <c r="AM85" i="1"/>
  <c r="AM77" i="1"/>
  <c r="AM69" i="1"/>
  <c r="AM90" i="1"/>
  <c r="AM62" i="1"/>
  <c r="AM54" i="1"/>
  <c r="AM84" i="1"/>
  <c r="AM76" i="1"/>
  <c r="AM68" i="1"/>
  <c r="AM61" i="1"/>
  <c r="AM53" i="1"/>
  <c r="AM83" i="1"/>
  <c r="AM75" i="1"/>
  <c r="AM67" i="1"/>
  <c r="AM60" i="1"/>
  <c r="AM52" i="1"/>
  <c r="AM82" i="1"/>
  <c r="AM74" i="1"/>
  <c r="AM66" i="1"/>
  <c r="AM59" i="1"/>
  <c r="AM51" i="1"/>
  <c r="AM81" i="1"/>
  <c r="AM73" i="1"/>
  <c r="AM65" i="1"/>
  <c r="AM78" i="1"/>
  <c r="AM88" i="1"/>
  <c r="AM80" i="1"/>
  <c r="AM72" i="1"/>
  <c r="AM58" i="1"/>
  <c r="AM86" i="1"/>
  <c r="AM56" i="1"/>
  <c r="AM70" i="1"/>
  <c r="AM93" i="1"/>
  <c r="AM91" i="1"/>
  <c r="BJ79" i="1"/>
  <c r="BJ82" i="1"/>
  <c r="BJ88" i="1"/>
  <c r="BJ55" i="1"/>
  <c r="BJ92" i="1"/>
  <c r="BJ61" i="1"/>
  <c r="BJ65" i="1"/>
  <c r="BJ68" i="1"/>
  <c r="BJ71" i="1"/>
  <c r="BJ77" i="1"/>
  <c r="BJ80" i="1"/>
  <c r="BJ83" i="1"/>
  <c r="BJ86" i="1"/>
  <c r="BJ53" i="1"/>
  <c r="BJ90" i="1"/>
  <c r="BJ56" i="1"/>
  <c r="BJ93" i="1"/>
  <c r="BJ59" i="1"/>
  <c r="BJ62" i="1"/>
  <c r="BJ66" i="1"/>
  <c r="BJ69" i="1"/>
  <c r="BJ67" i="1"/>
  <c r="BJ72" i="1"/>
  <c r="BJ75" i="1"/>
  <c r="BJ78" i="1"/>
  <c r="BJ81" i="1"/>
  <c r="BJ84" i="1"/>
  <c r="BJ51" i="1"/>
  <c r="BJ87" i="1"/>
  <c r="BJ54" i="1"/>
  <c r="BJ91" i="1"/>
  <c r="BJ57" i="1"/>
  <c r="BJ60" i="1"/>
  <c r="BJ63" i="1"/>
  <c r="BJ73" i="1"/>
  <c r="BJ52" i="1"/>
  <c r="BJ76" i="1"/>
  <c r="BJ58" i="1"/>
  <c r="BJ85" i="1"/>
  <c r="BJ74" i="1"/>
  <c r="BJ70" i="1"/>
  <c r="V85" i="1"/>
  <c r="V69" i="1"/>
  <c r="V52" i="1"/>
  <c r="V80" i="1"/>
  <c r="V63" i="1"/>
  <c r="V92" i="1"/>
  <c r="V75" i="1"/>
  <c r="V58" i="1"/>
  <c r="V86" i="1"/>
  <c r="V70" i="1"/>
  <c r="V53" i="1"/>
  <c r="V81" i="1"/>
  <c r="V65" i="1"/>
  <c r="V93" i="1"/>
  <c r="V76" i="1"/>
  <c r="V59" i="1"/>
  <c r="V87" i="1"/>
  <c r="V71" i="1"/>
  <c r="V54" i="1"/>
  <c r="V82" i="1"/>
  <c r="V66" i="1"/>
  <c r="V77" i="1"/>
  <c r="V60" i="1"/>
  <c r="V88" i="1"/>
  <c r="V72" i="1"/>
  <c r="V55" i="1"/>
  <c r="V83" i="1"/>
  <c r="V67" i="1"/>
  <c r="V78" i="1"/>
  <c r="V61" i="1"/>
  <c r="V90" i="1"/>
  <c r="V73" i="1"/>
  <c r="V56" i="1"/>
  <c r="V84" i="1"/>
  <c r="V68" i="1"/>
  <c r="V51" i="1"/>
  <c r="V79" i="1"/>
  <c r="V62" i="1"/>
  <c r="V91" i="1"/>
  <c r="V74" i="1"/>
  <c r="V57" i="1"/>
  <c r="BN92" i="1"/>
  <c r="BN58" i="1"/>
  <c r="BN61" i="1"/>
  <c r="BN68" i="1"/>
  <c r="BN71" i="1"/>
  <c r="BN74" i="1"/>
  <c r="BN77" i="1"/>
  <c r="BN80" i="1"/>
  <c r="BN83" i="1"/>
  <c r="BN86" i="1"/>
  <c r="BN90" i="1"/>
  <c r="BN56" i="1"/>
  <c r="BN93" i="1"/>
  <c r="BN59" i="1"/>
  <c r="BN62" i="1"/>
  <c r="BN66" i="1"/>
  <c r="BN69" i="1"/>
  <c r="BN72" i="1"/>
  <c r="BN75" i="1"/>
  <c r="BN78" i="1"/>
  <c r="BN81" i="1"/>
  <c r="BN84" i="1"/>
  <c r="BN51" i="1"/>
  <c r="BN87" i="1"/>
  <c r="BN54" i="1"/>
  <c r="BN91" i="1"/>
  <c r="BN57" i="1"/>
  <c r="BN60" i="1"/>
  <c r="BN63" i="1"/>
  <c r="BN79" i="1"/>
  <c r="BN67" i="1"/>
  <c r="BN70" i="1"/>
  <c r="BN73" i="1"/>
  <c r="BN76" i="1"/>
  <c r="BN52" i="1"/>
  <c r="BN88" i="1"/>
  <c r="BN55" i="1"/>
  <c r="BN65" i="1"/>
  <c r="BN85" i="1"/>
  <c r="BN53" i="1"/>
  <c r="BN82" i="1"/>
  <c r="AL57" i="1"/>
  <c r="AL87" i="1"/>
  <c r="AL79" i="1"/>
  <c r="AL71" i="1"/>
  <c r="AL92" i="1"/>
  <c r="AL56" i="1"/>
  <c r="AL86" i="1"/>
  <c r="AL78" i="1"/>
  <c r="AL70" i="1"/>
  <c r="AL91" i="1"/>
  <c r="AL62" i="1"/>
  <c r="AL54" i="1"/>
  <c r="AL84" i="1"/>
  <c r="AL76" i="1"/>
  <c r="AL68" i="1"/>
  <c r="AL61" i="1"/>
  <c r="AL53" i="1"/>
  <c r="AL83" i="1"/>
  <c r="AL75" i="1"/>
  <c r="AL67" i="1"/>
  <c r="AL60" i="1"/>
  <c r="AL52" i="1"/>
  <c r="AL82" i="1"/>
  <c r="AL74" i="1"/>
  <c r="AL66" i="1"/>
  <c r="AL59" i="1"/>
  <c r="AL51" i="1"/>
  <c r="AL81" i="1"/>
  <c r="AL73" i="1"/>
  <c r="AL65" i="1"/>
  <c r="AL63" i="1"/>
  <c r="AL77" i="1"/>
  <c r="AL88" i="1"/>
  <c r="AL72" i="1"/>
  <c r="AL58" i="1"/>
  <c r="AL90" i="1"/>
  <c r="AL69" i="1"/>
  <c r="AL93" i="1"/>
  <c r="AL55" i="1"/>
  <c r="AL85" i="1"/>
  <c r="AL80" i="1"/>
  <c r="BH73" i="1"/>
  <c r="BH76" i="1"/>
  <c r="BH82" i="1"/>
  <c r="BH85" i="1"/>
  <c r="BH88" i="1"/>
  <c r="BH55" i="1"/>
  <c r="BH92" i="1"/>
  <c r="BH58" i="1"/>
  <c r="BH61" i="1"/>
  <c r="BH65" i="1"/>
  <c r="BH71" i="1"/>
  <c r="BH74" i="1"/>
  <c r="BH77" i="1"/>
  <c r="BH80" i="1"/>
  <c r="BH83" i="1"/>
  <c r="BH86" i="1"/>
  <c r="BH53" i="1"/>
  <c r="BH90" i="1"/>
  <c r="BH56" i="1"/>
  <c r="BH60" i="1"/>
  <c r="BH93" i="1"/>
  <c r="BH59" i="1"/>
  <c r="BH62" i="1"/>
  <c r="BH66" i="1"/>
  <c r="BH69" i="1"/>
  <c r="BH72" i="1"/>
  <c r="BH75" i="1"/>
  <c r="BH78" i="1"/>
  <c r="BH81" i="1"/>
  <c r="BH84" i="1"/>
  <c r="BH51" i="1"/>
  <c r="BH87" i="1"/>
  <c r="BH54" i="1"/>
  <c r="BH91" i="1"/>
  <c r="BH57" i="1"/>
  <c r="BH68" i="1"/>
  <c r="BH52" i="1"/>
  <c r="BH63" i="1"/>
  <c r="BH79" i="1"/>
  <c r="BH67" i="1"/>
  <c r="BH70" i="1"/>
  <c r="AB86" i="1"/>
  <c r="AB70" i="1"/>
  <c r="AB53" i="1"/>
  <c r="AB81" i="1"/>
  <c r="AB65" i="1"/>
  <c r="AB93" i="1"/>
  <c r="AB76" i="1"/>
  <c r="AB59" i="1"/>
  <c r="AB87" i="1"/>
  <c r="AB71" i="1"/>
  <c r="AB54" i="1"/>
  <c r="AB82" i="1"/>
  <c r="AB66" i="1"/>
  <c r="AB77" i="1"/>
  <c r="AB60" i="1"/>
  <c r="AB88" i="1"/>
  <c r="AB72" i="1"/>
  <c r="AB55" i="1"/>
  <c r="AB83" i="1"/>
  <c r="AB67" i="1"/>
  <c r="AB78" i="1"/>
  <c r="AB61" i="1"/>
  <c r="AB90" i="1"/>
  <c r="AB73" i="1"/>
  <c r="AB56" i="1"/>
  <c r="AB84" i="1"/>
  <c r="AB68" i="1"/>
  <c r="AB51" i="1"/>
  <c r="AB79" i="1"/>
  <c r="AB62" i="1"/>
  <c r="AB91" i="1"/>
  <c r="AB74" i="1"/>
  <c r="AB57" i="1"/>
  <c r="AB85" i="1"/>
  <c r="AB69" i="1"/>
  <c r="AB52" i="1"/>
  <c r="AB80" i="1"/>
  <c r="AB63" i="1"/>
  <c r="AB92" i="1"/>
  <c r="AB75" i="1"/>
  <c r="AB58" i="1"/>
  <c r="BG70" i="1"/>
  <c r="BG73" i="1"/>
  <c r="BG79" i="1"/>
  <c r="BG82" i="1"/>
  <c r="BG85" i="1"/>
  <c r="BG52" i="1"/>
  <c r="BG88" i="1"/>
  <c r="BG55" i="1"/>
  <c r="BG92" i="1"/>
  <c r="BG58" i="1"/>
  <c r="BG61" i="1"/>
  <c r="BG68" i="1"/>
  <c r="BG71" i="1"/>
  <c r="BG74" i="1"/>
  <c r="BG77" i="1"/>
  <c r="BG80" i="1"/>
  <c r="BG83" i="1"/>
  <c r="BG86" i="1"/>
  <c r="BG53" i="1"/>
  <c r="BG90" i="1"/>
  <c r="BG56" i="1"/>
  <c r="BG93" i="1"/>
  <c r="BG59" i="1"/>
  <c r="BG62" i="1"/>
  <c r="BG66" i="1"/>
  <c r="BG69" i="1"/>
  <c r="BG72" i="1"/>
  <c r="BG75" i="1"/>
  <c r="BG91" i="1"/>
  <c r="BG57" i="1"/>
  <c r="BG78" i="1"/>
  <c r="BG81" i="1"/>
  <c r="BG84" i="1"/>
  <c r="BG51" i="1"/>
  <c r="BG87" i="1"/>
  <c r="BG54" i="1"/>
  <c r="BG67" i="1"/>
  <c r="BG65" i="1"/>
  <c r="BG76" i="1"/>
  <c r="BG63" i="1"/>
  <c r="BG60" i="1"/>
  <c r="Y80" i="1"/>
  <c r="Y63" i="1"/>
  <c r="Y92" i="1"/>
  <c r="Y70" i="1"/>
  <c r="Y86" i="1"/>
  <c r="Y53" i="1"/>
  <c r="Y81" i="1"/>
  <c r="Y65" i="1"/>
  <c r="Y93" i="1"/>
  <c r="Y76" i="1"/>
  <c r="Y59" i="1"/>
  <c r="Y87" i="1"/>
  <c r="Y71" i="1"/>
  <c r="Y54" i="1"/>
  <c r="Y82" i="1"/>
  <c r="Y66" i="1"/>
  <c r="Y77" i="1"/>
  <c r="Y60" i="1"/>
  <c r="Y88" i="1"/>
  <c r="Y72" i="1"/>
  <c r="Y55" i="1"/>
  <c r="Y74" i="1"/>
  <c r="Y83" i="1"/>
  <c r="Y67" i="1"/>
  <c r="Y91" i="1"/>
  <c r="Y78" i="1"/>
  <c r="Y61" i="1"/>
  <c r="Y90" i="1"/>
  <c r="Y73" i="1"/>
  <c r="Y56" i="1"/>
  <c r="Y57" i="1"/>
  <c r="Y84" i="1"/>
  <c r="Y68" i="1"/>
  <c r="Y51" i="1"/>
  <c r="Y79" i="1"/>
  <c r="Y62" i="1"/>
  <c r="Y85" i="1"/>
  <c r="Y69" i="1"/>
  <c r="Y52" i="1"/>
  <c r="Y58" i="1"/>
  <c r="Y75" i="1"/>
  <c r="G77" i="1"/>
  <c r="G80" i="1"/>
  <c r="G78" i="1"/>
  <c r="G79" i="1"/>
  <c r="G83" i="1"/>
  <c r="G84" i="1"/>
  <c r="G81" i="1"/>
  <c r="F85" i="1"/>
  <c r="G85" i="1" s="1"/>
  <c r="AB50" i="1"/>
  <c r="AB49" i="1"/>
  <c r="AB47" i="1"/>
  <c r="AB48" i="1"/>
  <c r="AB45" i="1"/>
  <c r="V48" i="1"/>
  <c r="V50" i="1"/>
  <c r="V49" i="1"/>
  <c r="V47" i="1"/>
  <c r="V45" i="1"/>
  <c r="AM45" i="1"/>
  <c r="AM48" i="1"/>
  <c r="AM49" i="1"/>
  <c r="AM50" i="1"/>
  <c r="AM47" i="1"/>
  <c r="AL48" i="1"/>
  <c r="AL45" i="1"/>
  <c r="AL47" i="1"/>
  <c r="AL50" i="1"/>
  <c r="AL49" i="1"/>
  <c r="AN47" i="1"/>
  <c r="AN45" i="1"/>
  <c r="AN48" i="1"/>
  <c r="AN49" i="1"/>
  <c r="AN50" i="1"/>
  <c r="S47" i="1"/>
  <c r="S49" i="1"/>
  <c r="S50" i="1"/>
  <c r="S45" i="1"/>
  <c r="S48" i="1"/>
  <c r="Y48" i="1"/>
  <c r="Y49" i="1"/>
  <c r="Y45" i="1"/>
  <c r="Y47" i="1"/>
  <c r="Y50" i="1"/>
  <c r="AK45" i="1"/>
  <c r="AK49" i="1"/>
  <c r="AK47" i="1"/>
  <c r="AK48" i="1"/>
  <c r="AK50" i="1"/>
  <c r="BG47" i="1"/>
  <c r="BG49" i="1"/>
  <c r="BG48" i="1"/>
  <c r="BG50" i="1"/>
  <c r="BG45" i="1"/>
  <c r="BH47" i="1"/>
  <c r="BH49" i="1"/>
  <c r="BH50" i="1"/>
  <c r="BH45" i="1"/>
  <c r="BH48" i="1"/>
  <c r="BI45" i="1"/>
  <c r="BI50" i="1"/>
  <c r="BI47" i="1"/>
  <c r="BI48" i="1"/>
  <c r="BI49" i="1"/>
  <c r="BJ45" i="1"/>
  <c r="BJ49" i="1"/>
  <c r="BJ47" i="1"/>
  <c r="BJ50" i="1"/>
  <c r="BJ48" i="1"/>
  <c r="BN50" i="1"/>
  <c r="BN45" i="1"/>
  <c r="BN48" i="1"/>
  <c r="BN49" i="1"/>
  <c r="BN47" i="1"/>
  <c r="BN38" i="1"/>
  <c r="BN30" i="1"/>
  <c r="BN22" i="1"/>
  <c r="BN14" i="1"/>
  <c r="BN27" i="1"/>
  <c r="BN32" i="1"/>
  <c r="BN7" i="1"/>
  <c r="BN37" i="1"/>
  <c r="BN29" i="1"/>
  <c r="BN21" i="1"/>
  <c r="BN13" i="1"/>
  <c r="BN11" i="1"/>
  <c r="BN40" i="1"/>
  <c r="BN8" i="1"/>
  <c r="BN44" i="1"/>
  <c r="BN36" i="1"/>
  <c r="BN28" i="1"/>
  <c r="BN20" i="1"/>
  <c r="BN12" i="1"/>
  <c r="BN43" i="1"/>
  <c r="BN35" i="1"/>
  <c r="BN19" i="1"/>
  <c r="BN15" i="1"/>
  <c r="BN42" i="1"/>
  <c r="BN34" i="1"/>
  <c r="BN26" i="1"/>
  <c r="BN18" i="1"/>
  <c r="BN10" i="1"/>
  <c r="BN25" i="1"/>
  <c r="BN9" i="1"/>
  <c r="BN24" i="1"/>
  <c r="BN41" i="1"/>
  <c r="BN33" i="1"/>
  <c r="BN17" i="1"/>
  <c r="BN16" i="1"/>
  <c r="BN39" i="1"/>
  <c r="BN31" i="1"/>
  <c r="BN23" i="1"/>
  <c r="BH28" i="1"/>
  <c r="BH30" i="1"/>
  <c r="BH31" i="1"/>
  <c r="BH29" i="1"/>
  <c r="BI29" i="1"/>
  <c r="BI28" i="1"/>
  <c r="BI30" i="1"/>
  <c r="BI31" i="1"/>
  <c r="BG28" i="1"/>
  <c r="BG30" i="1"/>
  <c r="BG29" i="1"/>
  <c r="BG31" i="1"/>
  <c r="BJ28" i="1"/>
  <c r="BJ30" i="1"/>
  <c r="BJ29" i="1"/>
  <c r="BJ31" i="1"/>
  <c r="BJ38" i="1"/>
  <c r="BJ20" i="1"/>
  <c r="BJ12" i="1"/>
  <c r="BJ37" i="1"/>
  <c r="BJ27" i="1"/>
  <c r="BJ19" i="1"/>
  <c r="BJ11" i="1"/>
  <c r="BJ22" i="1"/>
  <c r="BJ44" i="1"/>
  <c r="BJ36" i="1"/>
  <c r="BJ26" i="1"/>
  <c r="BJ18" i="1"/>
  <c r="BJ10" i="1"/>
  <c r="BJ32" i="1"/>
  <c r="BJ43" i="1"/>
  <c r="BJ35" i="1"/>
  <c r="BJ25" i="1"/>
  <c r="BJ17" i="1"/>
  <c r="BJ9" i="1"/>
  <c r="BJ13" i="1"/>
  <c r="BJ42" i="1"/>
  <c r="BJ34" i="1"/>
  <c r="BJ24" i="1"/>
  <c r="BJ16" i="1"/>
  <c r="BJ8" i="1"/>
  <c r="BJ15" i="1"/>
  <c r="BJ40" i="1"/>
  <c r="BJ14" i="1"/>
  <c r="BJ41" i="1"/>
  <c r="BJ33" i="1"/>
  <c r="BJ23" i="1"/>
  <c r="BJ7" i="1"/>
  <c r="BJ39" i="1"/>
  <c r="BJ21" i="1"/>
  <c r="BI38" i="1"/>
  <c r="BI20" i="1"/>
  <c r="BI12" i="1"/>
  <c r="BI44" i="1"/>
  <c r="BI36" i="1"/>
  <c r="BI26" i="1"/>
  <c r="BI18" i="1"/>
  <c r="BI10" i="1"/>
  <c r="BI34" i="1"/>
  <c r="BI8" i="1"/>
  <c r="BI14" i="1"/>
  <c r="BI43" i="1"/>
  <c r="BI35" i="1"/>
  <c r="BI25" i="1"/>
  <c r="BI17" i="1"/>
  <c r="BI9" i="1"/>
  <c r="BI16" i="1"/>
  <c r="BI22" i="1"/>
  <c r="BI19" i="1"/>
  <c r="BI42" i="1"/>
  <c r="BI24" i="1"/>
  <c r="BI37" i="1"/>
  <c r="BI11" i="1"/>
  <c r="BI41" i="1"/>
  <c r="BI33" i="1"/>
  <c r="BI23" i="1"/>
  <c r="BI15" i="1"/>
  <c r="BI7" i="1"/>
  <c r="BI40" i="1"/>
  <c r="BI32" i="1"/>
  <c r="BI39" i="1"/>
  <c r="BI21" i="1"/>
  <c r="BI13" i="1"/>
  <c r="BI27" i="1"/>
  <c r="BH38" i="1"/>
  <c r="BH20" i="1"/>
  <c r="BH12" i="1"/>
  <c r="BH37" i="1"/>
  <c r="BH27" i="1"/>
  <c r="BH19" i="1"/>
  <c r="BH11" i="1"/>
  <c r="BH25" i="1"/>
  <c r="BH44" i="1"/>
  <c r="BH36" i="1"/>
  <c r="BH26" i="1"/>
  <c r="BH18" i="1"/>
  <c r="BH10" i="1"/>
  <c r="BH35" i="1"/>
  <c r="BH9" i="1"/>
  <c r="BH43" i="1"/>
  <c r="BH17" i="1"/>
  <c r="BH42" i="1"/>
  <c r="BH34" i="1"/>
  <c r="BH24" i="1"/>
  <c r="BH16" i="1"/>
  <c r="BH8" i="1"/>
  <c r="BH40" i="1"/>
  <c r="BH22" i="1"/>
  <c r="BH21" i="1"/>
  <c r="BH41" i="1"/>
  <c r="BH33" i="1"/>
  <c r="BH23" i="1"/>
  <c r="BH15" i="1"/>
  <c r="BH7" i="1"/>
  <c r="BH32" i="1"/>
  <c r="BH14" i="1"/>
  <c r="BH13" i="1"/>
  <c r="BH39" i="1"/>
  <c r="BG38" i="1"/>
  <c r="BG20" i="1"/>
  <c r="BG12" i="1"/>
  <c r="BG37" i="1"/>
  <c r="BG27" i="1"/>
  <c r="BG19" i="1"/>
  <c r="BG11" i="1"/>
  <c r="BG18" i="1"/>
  <c r="BG35" i="1"/>
  <c r="BG25" i="1"/>
  <c r="BG17" i="1"/>
  <c r="BG33" i="1"/>
  <c r="BG7" i="1"/>
  <c r="BG32" i="1"/>
  <c r="BG44" i="1"/>
  <c r="BG36" i="1"/>
  <c r="BG26" i="1"/>
  <c r="BG10" i="1"/>
  <c r="BG9" i="1"/>
  <c r="BG23" i="1"/>
  <c r="BG22" i="1"/>
  <c r="BG13" i="1"/>
  <c r="BG43" i="1"/>
  <c r="BG42" i="1"/>
  <c r="BG34" i="1"/>
  <c r="BG24" i="1"/>
  <c r="BG16" i="1"/>
  <c r="BG8" i="1"/>
  <c r="BG15" i="1"/>
  <c r="BG40" i="1"/>
  <c r="BG41" i="1"/>
  <c r="BG14" i="1"/>
  <c r="BG39" i="1"/>
  <c r="BG21" i="1"/>
  <c r="AN38" i="1"/>
  <c r="AN30" i="1"/>
  <c r="AN22" i="1"/>
  <c r="AN14" i="1"/>
  <c r="AN12" i="1"/>
  <c r="AN35" i="1"/>
  <c r="AN19" i="1"/>
  <c r="AN11" i="1"/>
  <c r="AN32" i="1"/>
  <c r="AN16" i="1"/>
  <c r="AN31" i="1"/>
  <c r="AN37" i="1"/>
  <c r="AN29" i="1"/>
  <c r="AN21" i="1"/>
  <c r="AN13" i="1"/>
  <c r="AN27" i="1"/>
  <c r="AN40" i="1"/>
  <c r="AN8" i="1"/>
  <c r="AN15" i="1"/>
  <c r="AN44" i="1"/>
  <c r="AN36" i="1"/>
  <c r="AN28" i="1"/>
  <c r="AN20" i="1"/>
  <c r="AN43" i="1"/>
  <c r="AN7" i="1"/>
  <c r="AN42" i="1"/>
  <c r="AN34" i="1"/>
  <c r="AN26" i="1"/>
  <c r="AN18" i="1"/>
  <c r="AN10" i="1"/>
  <c r="AN41" i="1"/>
  <c r="AN33" i="1"/>
  <c r="AN25" i="1"/>
  <c r="AN17" i="1"/>
  <c r="AN9" i="1"/>
  <c r="AN24" i="1"/>
  <c r="AN39" i="1"/>
  <c r="AN23" i="1"/>
  <c r="AL38" i="1"/>
  <c r="AL30" i="1"/>
  <c r="AL22" i="1"/>
  <c r="AL14" i="1"/>
  <c r="AL11" i="1"/>
  <c r="AL8" i="1"/>
  <c r="AL37" i="1"/>
  <c r="AL29" i="1"/>
  <c r="AL21" i="1"/>
  <c r="AL13" i="1"/>
  <c r="AL27" i="1"/>
  <c r="AL23" i="1"/>
  <c r="AL44" i="1"/>
  <c r="AL36" i="1"/>
  <c r="AL28" i="1"/>
  <c r="AL20" i="1"/>
  <c r="AL12" i="1"/>
  <c r="AL43" i="1"/>
  <c r="AL35" i="1"/>
  <c r="AL19" i="1"/>
  <c r="AL15" i="1"/>
  <c r="AL42" i="1"/>
  <c r="AL34" i="1"/>
  <c r="AL26" i="1"/>
  <c r="AL18" i="1"/>
  <c r="AL10" i="1"/>
  <c r="AL40" i="1"/>
  <c r="AL16" i="1"/>
  <c r="AL7" i="1"/>
  <c r="AL41" i="1"/>
  <c r="AL33" i="1"/>
  <c r="AL25" i="1"/>
  <c r="AL17" i="1"/>
  <c r="AL9" i="1"/>
  <c r="AL32" i="1"/>
  <c r="AL24" i="1"/>
  <c r="AL31" i="1"/>
  <c r="AL39" i="1"/>
  <c r="AM38" i="1"/>
  <c r="AM30" i="1"/>
  <c r="AM22" i="1"/>
  <c r="AM14" i="1"/>
  <c r="AM27" i="1"/>
  <c r="AM19" i="1"/>
  <c r="AM17" i="1"/>
  <c r="AM32" i="1"/>
  <c r="AM23" i="1"/>
  <c r="AM37" i="1"/>
  <c r="AM29" i="1"/>
  <c r="AM21" i="1"/>
  <c r="AM13" i="1"/>
  <c r="AM35" i="1"/>
  <c r="AM11" i="1"/>
  <c r="AM40" i="1"/>
  <c r="AM8" i="1"/>
  <c r="AM15" i="1"/>
  <c r="AM44" i="1"/>
  <c r="AM36" i="1"/>
  <c r="AM28" i="1"/>
  <c r="AM20" i="1"/>
  <c r="AM12" i="1"/>
  <c r="AM43" i="1"/>
  <c r="AM16" i="1"/>
  <c r="AM42" i="1"/>
  <c r="AM34" i="1"/>
  <c r="AM26" i="1"/>
  <c r="AM18" i="1"/>
  <c r="AM10" i="1"/>
  <c r="AM41" i="1"/>
  <c r="AM25" i="1"/>
  <c r="AM9" i="1"/>
  <c r="AM24" i="1"/>
  <c r="AM31" i="1"/>
  <c r="AM33" i="1"/>
  <c r="AM39" i="1"/>
  <c r="AM7" i="1"/>
  <c r="AB44" i="1"/>
  <c r="AB42" i="1"/>
  <c r="AB43" i="1"/>
  <c r="Y42" i="1"/>
  <c r="Y43" i="1"/>
  <c r="Y44" i="1"/>
  <c r="V43" i="1"/>
  <c r="V42" i="1"/>
  <c r="V44" i="1"/>
  <c r="V34" i="1"/>
  <c r="V26" i="1"/>
  <c r="V18" i="1"/>
  <c r="V10" i="1"/>
  <c r="V23" i="1"/>
  <c r="V29" i="1"/>
  <c r="V20" i="1"/>
  <c r="V41" i="1"/>
  <c r="V33" i="1"/>
  <c r="V25" i="1"/>
  <c r="V17" i="1"/>
  <c r="V9" i="1"/>
  <c r="V31" i="1"/>
  <c r="V11" i="1"/>
  <c r="V40" i="1"/>
  <c r="V32" i="1"/>
  <c r="V24" i="1"/>
  <c r="V16" i="1"/>
  <c r="V8" i="1"/>
  <c r="V15" i="1"/>
  <c r="V7" i="1"/>
  <c r="V13" i="1"/>
  <c r="V36" i="1"/>
  <c r="V39" i="1"/>
  <c r="V12" i="1"/>
  <c r="V38" i="1"/>
  <c r="V30" i="1"/>
  <c r="V22" i="1"/>
  <c r="V14" i="1"/>
  <c r="V21" i="1"/>
  <c r="V28" i="1"/>
  <c r="V37" i="1"/>
  <c r="V35" i="1"/>
  <c r="V27" i="1"/>
  <c r="V19" i="1"/>
  <c r="Y34" i="1"/>
  <c r="Y26" i="1"/>
  <c r="Y18" i="1"/>
  <c r="Y10" i="1"/>
  <c r="Y15" i="1"/>
  <c r="Y19" i="1"/>
  <c r="Y41" i="1"/>
  <c r="Y33" i="1"/>
  <c r="Y25" i="1"/>
  <c r="Y17" i="1"/>
  <c r="Y9" i="1"/>
  <c r="Y7" i="1"/>
  <c r="Y35" i="1"/>
  <c r="Y40" i="1"/>
  <c r="Y32" i="1"/>
  <c r="Y24" i="1"/>
  <c r="Y16" i="1"/>
  <c r="Y8" i="1"/>
  <c r="Y23" i="1"/>
  <c r="Y11" i="1"/>
  <c r="Y39" i="1"/>
  <c r="Y31" i="1"/>
  <c r="Y38" i="1"/>
  <c r="Y30" i="1"/>
  <c r="Y22" i="1"/>
  <c r="Y14" i="1"/>
  <c r="Y21" i="1"/>
  <c r="Y37" i="1"/>
  <c r="Y29" i="1"/>
  <c r="Y13" i="1"/>
  <c r="Y27" i="1"/>
  <c r="Y36" i="1"/>
  <c r="Y28" i="1"/>
  <c r="Y20" i="1"/>
  <c r="Y12" i="1"/>
  <c r="AB34" i="1"/>
  <c r="AB26" i="1"/>
  <c r="AB18" i="1"/>
  <c r="AB10" i="1"/>
  <c r="AB39" i="1"/>
  <c r="AB7" i="1"/>
  <c r="AB29" i="1"/>
  <c r="AB41" i="1"/>
  <c r="AB33" i="1"/>
  <c r="AB25" i="1"/>
  <c r="AB17" i="1"/>
  <c r="AB9" i="1"/>
  <c r="AB24" i="1"/>
  <c r="AB8" i="1"/>
  <c r="AB23" i="1"/>
  <c r="AB30" i="1"/>
  <c r="AB21" i="1"/>
  <c r="AB27" i="1"/>
  <c r="AB40" i="1"/>
  <c r="AB32" i="1"/>
  <c r="AB16" i="1"/>
  <c r="AB15" i="1"/>
  <c r="AB22" i="1"/>
  <c r="AB14" i="1"/>
  <c r="AB37" i="1"/>
  <c r="AB35" i="1"/>
  <c r="AB11" i="1"/>
  <c r="AB31" i="1"/>
  <c r="AB19" i="1"/>
  <c r="AB38" i="1"/>
  <c r="AB13" i="1"/>
  <c r="AB36" i="1"/>
  <c r="AB28" i="1"/>
  <c r="AB20" i="1"/>
  <c r="AB12" i="1"/>
  <c r="S43" i="1"/>
  <c r="S44" i="1"/>
  <c r="S42" i="1"/>
  <c r="S34" i="1"/>
  <c r="S26" i="1"/>
  <c r="S18" i="1"/>
  <c r="S10" i="1"/>
  <c r="S8" i="1"/>
  <c r="S31" i="1"/>
  <c r="S29" i="1"/>
  <c r="S20" i="1"/>
  <c r="S11" i="1"/>
  <c r="S41" i="1"/>
  <c r="S33" i="1"/>
  <c r="S25" i="1"/>
  <c r="S17" i="1"/>
  <c r="S9" i="1"/>
  <c r="S16" i="1"/>
  <c r="S23" i="1"/>
  <c r="S7" i="1"/>
  <c r="S14" i="1"/>
  <c r="S13" i="1"/>
  <c r="S28" i="1"/>
  <c r="S19" i="1"/>
  <c r="S40" i="1"/>
  <c r="S32" i="1"/>
  <c r="S24" i="1"/>
  <c r="S15" i="1"/>
  <c r="S22" i="1"/>
  <c r="S21" i="1"/>
  <c r="S36" i="1"/>
  <c r="S39" i="1"/>
  <c r="S27" i="1"/>
  <c r="S38" i="1"/>
  <c r="S30" i="1"/>
  <c r="S12" i="1"/>
  <c r="S37" i="1"/>
  <c r="S35" i="1"/>
  <c r="AK37" i="1"/>
  <c r="AK44" i="1"/>
  <c r="AK38" i="1"/>
  <c r="AK43" i="1"/>
  <c r="AK39" i="1"/>
  <c r="AK40" i="1"/>
  <c r="AK41" i="1"/>
  <c r="AK42" i="1"/>
  <c r="AK31" i="1"/>
  <c r="AK23" i="1"/>
  <c r="AK15" i="1"/>
  <c r="AK7" i="1"/>
  <c r="AK30" i="1"/>
  <c r="AK22" i="1"/>
  <c r="AK14" i="1"/>
  <c r="AK29" i="1"/>
  <c r="AK21" i="1"/>
  <c r="AK28" i="1"/>
  <c r="AK12" i="1"/>
  <c r="AK19" i="1"/>
  <c r="AK26" i="1"/>
  <c r="AK10" i="1"/>
  <c r="AK33" i="1"/>
  <c r="AK24" i="1"/>
  <c r="AK13" i="1"/>
  <c r="AK20" i="1"/>
  <c r="AK27" i="1"/>
  <c r="AK11" i="1"/>
  <c r="AK34" i="1"/>
  <c r="AK18" i="1"/>
  <c r="AK25" i="1"/>
  <c r="AK9" i="1"/>
  <c r="AK16" i="1"/>
  <c r="AK36" i="1"/>
  <c r="AK17" i="1"/>
  <c r="AK8" i="1"/>
  <c r="AK35" i="1"/>
  <c r="AK32" i="1"/>
  <c r="C4" i="1"/>
  <c r="B43" i="1"/>
  <c r="B45" i="1"/>
  <c r="B44" i="1"/>
  <c r="B42" i="1"/>
  <c r="AD6" i="1"/>
  <c r="AD94" i="1" s="1"/>
  <c r="AD96" i="1" l="1"/>
  <c r="AD95" i="1"/>
  <c r="AD81" i="1"/>
  <c r="AD65" i="1"/>
  <c r="AD93" i="1"/>
  <c r="AD76" i="1"/>
  <c r="AD59" i="1"/>
  <c r="AD87" i="1"/>
  <c r="AD71" i="1"/>
  <c r="AD54" i="1"/>
  <c r="AD82" i="1"/>
  <c r="AD66" i="1"/>
  <c r="AD77" i="1"/>
  <c r="AD60" i="1"/>
  <c r="AD88" i="1"/>
  <c r="AD72" i="1"/>
  <c r="AD55" i="1"/>
  <c r="AD83" i="1"/>
  <c r="AD67" i="1"/>
  <c r="AD78" i="1"/>
  <c r="AD61" i="1"/>
  <c r="AD90" i="1"/>
  <c r="AD73" i="1"/>
  <c r="AD56" i="1"/>
  <c r="AD84" i="1"/>
  <c r="AD68" i="1"/>
  <c r="AD51" i="1"/>
  <c r="AD79" i="1"/>
  <c r="AD62" i="1"/>
  <c r="AD91" i="1"/>
  <c r="AD74" i="1"/>
  <c r="AD57" i="1"/>
  <c r="AD85" i="1"/>
  <c r="AD69" i="1"/>
  <c r="AD52" i="1"/>
  <c r="AD80" i="1"/>
  <c r="AD63" i="1"/>
  <c r="AD92" i="1"/>
  <c r="AD75" i="1"/>
  <c r="AD58" i="1"/>
  <c r="AD86" i="1"/>
  <c r="AD70" i="1"/>
  <c r="AD53" i="1"/>
  <c r="G87" i="1"/>
  <c r="G86" i="1"/>
  <c r="F88" i="1"/>
  <c r="G94" i="1" s="1"/>
  <c r="AD9" i="1"/>
  <c r="AD48" i="1"/>
  <c r="AD45" i="1"/>
  <c r="AD50" i="1"/>
  <c r="AD49" i="1"/>
  <c r="AD47" i="1"/>
  <c r="U97" i="1"/>
  <c r="U6" i="1"/>
  <c r="U94" i="1" s="1"/>
  <c r="AD7" i="1"/>
  <c r="AD40" i="1"/>
  <c r="AD33" i="1"/>
  <c r="AD31" i="1"/>
  <c r="AD36" i="1"/>
  <c r="AD20" i="1"/>
  <c r="AD26" i="1"/>
  <c r="AA97" i="1"/>
  <c r="AA6" i="1"/>
  <c r="AA94" i="1" s="1"/>
  <c r="AD14" i="1"/>
  <c r="AD21" i="1"/>
  <c r="AD15" i="1"/>
  <c r="AD19" i="1"/>
  <c r="AD16" i="1"/>
  <c r="AD10" i="1"/>
  <c r="X97" i="1"/>
  <c r="X6" i="1"/>
  <c r="X94" i="1" s="1"/>
  <c r="AD24" i="1"/>
  <c r="AD37" i="1"/>
  <c r="AD38" i="1"/>
  <c r="AD34" i="1"/>
  <c r="AD35" i="1"/>
  <c r="AD41" i="1"/>
  <c r="AD32" i="1"/>
  <c r="AD8" i="1"/>
  <c r="AD18" i="1"/>
  <c r="AD17" i="1"/>
  <c r="AD23" i="1"/>
  <c r="AD22" i="1"/>
  <c r="AD13" i="1"/>
  <c r="AD28" i="1"/>
  <c r="AD27" i="1"/>
  <c r="AD11" i="1"/>
  <c r="AD12" i="1"/>
  <c r="AD29" i="1"/>
  <c r="AD30" i="1"/>
  <c r="AD25" i="1"/>
  <c r="AD39" i="1"/>
  <c r="AD97" i="1"/>
  <c r="U95" i="1" l="1"/>
  <c r="U96" i="1"/>
  <c r="X95" i="1"/>
  <c r="X96" i="1"/>
  <c r="AA95" i="1"/>
  <c r="AA96" i="1"/>
  <c r="G97" i="1"/>
  <c r="G95" i="1"/>
  <c r="G96" i="1"/>
  <c r="U91" i="1"/>
  <c r="U74" i="1"/>
  <c r="U57" i="1"/>
  <c r="U80" i="1"/>
  <c r="U63" i="1"/>
  <c r="U92" i="1"/>
  <c r="U75" i="1"/>
  <c r="U58" i="1"/>
  <c r="U86" i="1"/>
  <c r="U70" i="1"/>
  <c r="U53" i="1"/>
  <c r="U81" i="1"/>
  <c r="U65" i="1"/>
  <c r="U93" i="1"/>
  <c r="U76" i="1"/>
  <c r="U59" i="1"/>
  <c r="U87" i="1"/>
  <c r="U71" i="1"/>
  <c r="U54" i="1"/>
  <c r="U82" i="1"/>
  <c r="U66" i="1"/>
  <c r="U68" i="1"/>
  <c r="U77" i="1"/>
  <c r="U60" i="1"/>
  <c r="U88" i="1"/>
  <c r="U72" i="1"/>
  <c r="U55" i="1"/>
  <c r="U51" i="1"/>
  <c r="U83" i="1"/>
  <c r="U67" i="1"/>
  <c r="U84" i="1"/>
  <c r="U78" i="1"/>
  <c r="U61" i="1"/>
  <c r="U90" i="1"/>
  <c r="U73" i="1"/>
  <c r="U56" i="1"/>
  <c r="U79" i="1"/>
  <c r="U62" i="1"/>
  <c r="U69" i="1"/>
  <c r="U52" i="1"/>
  <c r="U85" i="1"/>
  <c r="AA92" i="1"/>
  <c r="AA75" i="1"/>
  <c r="AA58" i="1"/>
  <c r="AA81" i="1"/>
  <c r="AA65" i="1"/>
  <c r="AA93" i="1"/>
  <c r="AA76" i="1"/>
  <c r="AA59" i="1"/>
  <c r="AA87" i="1"/>
  <c r="AA71" i="1"/>
  <c r="AA54" i="1"/>
  <c r="AA82" i="1"/>
  <c r="AA66" i="1"/>
  <c r="AA77" i="1"/>
  <c r="AA60" i="1"/>
  <c r="AA88" i="1"/>
  <c r="AA72" i="1"/>
  <c r="AA55" i="1"/>
  <c r="AA83" i="1"/>
  <c r="AA67" i="1"/>
  <c r="AA78" i="1"/>
  <c r="AA61" i="1"/>
  <c r="AA69" i="1"/>
  <c r="AA90" i="1"/>
  <c r="AA73" i="1"/>
  <c r="AA56" i="1"/>
  <c r="AA84" i="1"/>
  <c r="AA68" i="1"/>
  <c r="AA51" i="1"/>
  <c r="AA52" i="1"/>
  <c r="AA79" i="1"/>
  <c r="AA62" i="1"/>
  <c r="AA91" i="1"/>
  <c r="AA74" i="1"/>
  <c r="AA57" i="1"/>
  <c r="AA80" i="1"/>
  <c r="AA63" i="1"/>
  <c r="AA53" i="1"/>
  <c r="AA86" i="1"/>
  <c r="AA85" i="1"/>
  <c r="AA70" i="1"/>
  <c r="X80" i="1"/>
  <c r="X63" i="1"/>
  <c r="X92" i="1"/>
  <c r="X75" i="1"/>
  <c r="X58" i="1"/>
  <c r="X86" i="1"/>
  <c r="X70" i="1"/>
  <c r="X53" i="1"/>
  <c r="X81" i="1"/>
  <c r="X65" i="1"/>
  <c r="X93" i="1"/>
  <c r="X76" i="1"/>
  <c r="X59" i="1"/>
  <c r="X87" i="1"/>
  <c r="X71" i="1"/>
  <c r="X54" i="1"/>
  <c r="X82" i="1"/>
  <c r="X66" i="1"/>
  <c r="X77" i="1"/>
  <c r="X60" i="1"/>
  <c r="X88" i="1"/>
  <c r="X72" i="1"/>
  <c r="X55" i="1"/>
  <c r="X83" i="1"/>
  <c r="X67" i="1"/>
  <c r="X78" i="1"/>
  <c r="X61" i="1"/>
  <c r="X90" i="1"/>
  <c r="X73" i="1"/>
  <c r="X56" i="1"/>
  <c r="X84" i="1"/>
  <c r="X68" i="1"/>
  <c r="X51" i="1"/>
  <c r="X79" i="1"/>
  <c r="X62" i="1"/>
  <c r="X91" i="1"/>
  <c r="X74" i="1"/>
  <c r="X57" i="1"/>
  <c r="X85" i="1"/>
  <c r="X69" i="1"/>
  <c r="X52" i="1"/>
  <c r="G88" i="1"/>
  <c r="G90" i="1"/>
  <c r="G91" i="1"/>
  <c r="G93" i="1"/>
  <c r="G92" i="1"/>
  <c r="G89" i="1"/>
  <c r="X50" i="1"/>
  <c r="X49" i="1"/>
  <c r="X47" i="1"/>
  <c r="X45" i="1"/>
  <c r="X48" i="1"/>
  <c r="AA45" i="1"/>
  <c r="AA50" i="1"/>
  <c r="AA48" i="1"/>
  <c r="AA49" i="1"/>
  <c r="AA47" i="1"/>
  <c r="U49" i="1"/>
  <c r="U47" i="1"/>
  <c r="U45" i="1"/>
  <c r="U50" i="1"/>
  <c r="U48" i="1"/>
  <c r="X8" i="1"/>
  <c r="X38" i="1"/>
  <c r="X12" i="1"/>
  <c r="X18" i="1"/>
  <c r="X23" i="1"/>
  <c r="X13" i="1"/>
  <c r="X32" i="1"/>
  <c r="X25" i="1"/>
  <c r="X37" i="1"/>
  <c r="X41" i="1"/>
  <c r="X28" i="1"/>
  <c r="X14" i="1"/>
  <c r="X16" i="1"/>
  <c r="X21" i="1"/>
  <c r="X20" i="1"/>
  <c r="X24" i="1"/>
  <c r="X29" i="1"/>
  <c r="X31" i="1"/>
  <c r="X9" i="1"/>
  <c r="X10" i="1"/>
  <c r="X35" i="1"/>
  <c r="X36" i="1"/>
  <c r="X30" i="1"/>
  <c r="X26" i="1"/>
  <c r="X33" i="1"/>
  <c r="X40" i="1"/>
  <c r="X17" i="1"/>
  <c r="X22" i="1"/>
  <c r="X27" i="1"/>
  <c r="X11" i="1"/>
  <c r="X15" i="1"/>
  <c r="X19" i="1"/>
  <c r="X39" i="1"/>
  <c r="X34" i="1"/>
  <c r="X7" i="1"/>
  <c r="U23" i="1"/>
  <c r="U38" i="1"/>
  <c r="U28" i="1"/>
  <c r="U27" i="1"/>
  <c r="U11" i="1"/>
  <c r="U12" i="1"/>
  <c r="U21" i="1"/>
  <c r="U16" i="1"/>
  <c r="U33" i="1"/>
  <c r="U32" i="1"/>
  <c r="U31" i="1"/>
  <c r="U26" i="1"/>
  <c r="U17" i="1"/>
  <c r="U22" i="1"/>
  <c r="U41" i="1"/>
  <c r="U9" i="1"/>
  <c r="U8" i="1"/>
  <c r="U20" i="1"/>
  <c r="U35" i="1"/>
  <c r="U10" i="1"/>
  <c r="U25" i="1"/>
  <c r="U36" i="1"/>
  <c r="U15" i="1"/>
  <c r="U13" i="1"/>
  <c r="U34" i="1"/>
  <c r="U39" i="1"/>
  <c r="U30" i="1"/>
  <c r="U19" i="1"/>
  <c r="U40" i="1"/>
  <c r="U7" i="1"/>
  <c r="U18" i="1"/>
  <c r="U14" i="1"/>
  <c r="U24" i="1"/>
  <c r="U29" i="1"/>
  <c r="U37" i="1"/>
  <c r="AA41" i="1"/>
  <c r="AA38" i="1"/>
  <c r="AA16" i="1"/>
  <c r="AA32" i="1"/>
  <c r="AA18" i="1"/>
  <c r="AA17" i="1"/>
  <c r="AA8" i="1"/>
  <c r="AA23" i="1"/>
  <c r="AA22" i="1"/>
  <c r="AA13" i="1"/>
  <c r="AA27" i="1"/>
  <c r="AA11" i="1"/>
  <c r="AA12" i="1"/>
  <c r="AA28" i="1"/>
  <c r="AA35" i="1"/>
  <c r="AA25" i="1"/>
  <c r="AA21" i="1"/>
  <c r="AA37" i="1"/>
  <c r="AA15" i="1"/>
  <c r="AA9" i="1"/>
  <c r="AA14" i="1"/>
  <c r="AA29" i="1"/>
  <c r="AA31" i="1"/>
  <c r="AA20" i="1"/>
  <c r="AA33" i="1"/>
  <c r="AA26" i="1"/>
  <c r="AA24" i="1"/>
  <c r="AA36" i="1"/>
  <c r="AA39" i="1"/>
  <c r="AA10" i="1"/>
  <c r="AA30" i="1"/>
  <c r="AA7" i="1"/>
  <c r="AA19" i="1"/>
  <c r="AA34" i="1"/>
  <c r="AA40" i="1"/>
  <c r="G4" i="1" l="1"/>
  <c r="AJ97" i="1"/>
  <c r="AJ6" i="1"/>
  <c r="AJ45" i="1" s="1"/>
  <c r="AI97" i="1"/>
  <c r="AI6" i="1"/>
  <c r="AI45" i="1" s="1"/>
  <c r="B41" i="1"/>
  <c r="AI30" i="1" l="1"/>
  <c r="AI39" i="1"/>
  <c r="AI38" i="1"/>
  <c r="AI14" i="1"/>
  <c r="AI29" i="1"/>
  <c r="AI36" i="1"/>
  <c r="AI8" i="1"/>
  <c r="AI7" i="1"/>
  <c r="AI13" i="1"/>
  <c r="AI9" i="1"/>
  <c r="AI32" i="1"/>
  <c r="AI31" i="1"/>
  <c r="AI20" i="1"/>
  <c r="AI35" i="1"/>
  <c r="AI34" i="1"/>
  <c r="AI28" i="1"/>
  <c r="AI12" i="1"/>
  <c r="AI16" i="1"/>
  <c r="AI21" i="1"/>
  <c r="AI22" i="1"/>
  <c r="AI25" i="1"/>
  <c r="AI15" i="1"/>
  <c r="AI24" i="1"/>
  <c r="AI33" i="1"/>
  <c r="AI19" i="1"/>
  <c r="AI27" i="1"/>
  <c r="AI18" i="1"/>
  <c r="AI26" i="1"/>
  <c r="AI23" i="1"/>
  <c r="AI11" i="1"/>
  <c r="AI17" i="1"/>
  <c r="AI10" i="1"/>
  <c r="AJ25" i="1"/>
  <c r="AJ38" i="1"/>
  <c r="AJ36" i="1"/>
  <c r="AJ34" i="1"/>
  <c r="AJ28" i="1"/>
  <c r="AJ29" i="1"/>
  <c r="AJ24" i="1"/>
  <c r="AJ12" i="1"/>
  <c r="AJ8" i="1"/>
  <c r="AJ7" i="1"/>
  <c r="AJ35" i="1"/>
  <c r="AJ18" i="1"/>
  <c r="AJ9" i="1"/>
  <c r="AJ23" i="1"/>
  <c r="AJ13" i="1"/>
  <c r="AJ19" i="1"/>
  <c r="AJ14" i="1"/>
  <c r="AJ39" i="1"/>
  <c r="AJ30" i="1"/>
  <c r="AJ32" i="1"/>
  <c r="AJ26" i="1"/>
  <c r="AJ11" i="1"/>
  <c r="AJ17" i="1"/>
  <c r="AJ10" i="1"/>
  <c r="AJ15" i="1"/>
  <c r="AJ33" i="1"/>
  <c r="AJ31" i="1"/>
  <c r="AJ27" i="1"/>
  <c r="AJ22" i="1"/>
  <c r="AJ16" i="1"/>
  <c r="AJ21" i="1"/>
  <c r="AJ20" i="1"/>
  <c r="B6" i="1"/>
  <c r="I97" i="1" l="1"/>
  <c r="AC97" i="1" l="1"/>
  <c r="AC6" i="1"/>
  <c r="AC94" i="1" s="1"/>
  <c r="Z97" i="1"/>
  <c r="Z6" i="1"/>
  <c r="Z94" i="1" s="1"/>
  <c r="W97" i="1"/>
  <c r="W6" i="1"/>
  <c r="W94" i="1" s="1"/>
  <c r="T97" i="1"/>
  <c r="T6" i="1"/>
  <c r="T94" i="1" s="1"/>
  <c r="B38" i="1"/>
  <c r="W95" i="1" l="1"/>
  <c r="W96" i="1"/>
  <c r="AC96" i="1"/>
  <c r="AC95" i="1"/>
  <c r="T95" i="1"/>
  <c r="T96" i="1"/>
  <c r="Z95" i="1"/>
  <c r="Z96" i="1"/>
  <c r="T91" i="1"/>
  <c r="T74" i="1"/>
  <c r="T57" i="1"/>
  <c r="T85" i="1"/>
  <c r="T69" i="1"/>
  <c r="T52" i="1"/>
  <c r="T80" i="1"/>
  <c r="T63" i="1"/>
  <c r="T92" i="1"/>
  <c r="T75" i="1"/>
  <c r="T58" i="1"/>
  <c r="T86" i="1"/>
  <c r="T70" i="1"/>
  <c r="T53" i="1"/>
  <c r="T81" i="1"/>
  <c r="T65" i="1"/>
  <c r="T93" i="1"/>
  <c r="T76" i="1"/>
  <c r="T59" i="1"/>
  <c r="T87" i="1"/>
  <c r="T71" i="1"/>
  <c r="T54" i="1"/>
  <c r="T82" i="1"/>
  <c r="T66" i="1"/>
  <c r="T77" i="1"/>
  <c r="T60" i="1"/>
  <c r="T88" i="1"/>
  <c r="T72" i="1"/>
  <c r="T55" i="1"/>
  <c r="T83" i="1"/>
  <c r="T67" i="1"/>
  <c r="T78" i="1"/>
  <c r="T61" i="1"/>
  <c r="T90" i="1"/>
  <c r="T73" i="1"/>
  <c r="T56" i="1"/>
  <c r="T84" i="1"/>
  <c r="T68" i="1"/>
  <c r="T79" i="1"/>
  <c r="T62" i="1"/>
  <c r="T51" i="1"/>
  <c r="W85" i="1"/>
  <c r="W69" i="1"/>
  <c r="W52" i="1"/>
  <c r="W92" i="1"/>
  <c r="W75" i="1"/>
  <c r="W58" i="1"/>
  <c r="W86" i="1"/>
  <c r="W70" i="1"/>
  <c r="W53" i="1"/>
  <c r="W81" i="1"/>
  <c r="W65" i="1"/>
  <c r="W93" i="1"/>
  <c r="W76" i="1"/>
  <c r="W59" i="1"/>
  <c r="W87" i="1"/>
  <c r="W71" i="1"/>
  <c r="W54" i="1"/>
  <c r="W82" i="1"/>
  <c r="W66" i="1"/>
  <c r="W77" i="1"/>
  <c r="W60" i="1"/>
  <c r="W79" i="1"/>
  <c r="W88" i="1"/>
  <c r="W72" i="1"/>
  <c r="W55" i="1"/>
  <c r="W62" i="1"/>
  <c r="W83" i="1"/>
  <c r="W67" i="1"/>
  <c r="W78" i="1"/>
  <c r="W61" i="1"/>
  <c r="W90" i="1"/>
  <c r="W73" i="1"/>
  <c r="W56" i="1"/>
  <c r="W84" i="1"/>
  <c r="W68" i="1"/>
  <c r="W51" i="1"/>
  <c r="W91" i="1"/>
  <c r="W74" i="1"/>
  <c r="W57" i="1"/>
  <c r="W80" i="1"/>
  <c r="W63" i="1"/>
  <c r="Z92" i="1"/>
  <c r="Z75" i="1"/>
  <c r="Z58" i="1"/>
  <c r="Z86" i="1"/>
  <c r="Z70" i="1"/>
  <c r="Z53" i="1"/>
  <c r="Z81" i="1"/>
  <c r="Z65" i="1"/>
  <c r="Z93" i="1"/>
  <c r="Z76" i="1"/>
  <c r="Z59" i="1"/>
  <c r="Z87" i="1"/>
  <c r="Z71" i="1"/>
  <c r="Z54" i="1"/>
  <c r="Z82" i="1"/>
  <c r="Z66" i="1"/>
  <c r="Z77" i="1"/>
  <c r="Z60" i="1"/>
  <c r="Z88" i="1"/>
  <c r="Z72" i="1"/>
  <c r="Z55" i="1"/>
  <c r="Z83" i="1"/>
  <c r="Z67" i="1"/>
  <c r="Z78" i="1"/>
  <c r="Z61" i="1"/>
  <c r="Z90" i="1"/>
  <c r="Z73" i="1"/>
  <c r="Z56" i="1"/>
  <c r="Z84" i="1"/>
  <c r="Z68" i="1"/>
  <c r="Z51" i="1"/>
  <c r="Z79" i="1"/>
  <c r="Z62" i="1"/>
  <c r="Z91" i="1"/>
  <c r="Z74" i="1"/>
  <c r="Z57" i="1"/>
  <c r="Z85" i="1"/>
  <c r="Z69" i="1"/>
  <c r="Z80" i="1"/>
  <c r="Z63" i="1"/>
  <c r="Z52" i="1"/>
  <c r="AC86" i="1"/>
  <c r="AC70" i="1"/>
  <c r="AC53" i="1"/>
  <c r="AC93" i="1"/>
  <c r="AC76" i="1"/>
  <c r="AC59" i="1"/>
  <c r="AC87" i="1"/>
  <c r="AC71" i="1"/>
  <c r="AC54" i="1"/>
  <c r="AC82" i="1"/>
  <c r="AC66" i="1"/>
  <c r="AC77" i="1"/>
  <c r="AC60" i="1"/>
  <c r="AC88" i="1"/>
  <c r="AC72" i="1"/>
  <c r="AC55" i="1"/>
  <c r="AC83" i="1"/>
  <c r="AC67" i="1"/>
  <c r="AC78" i="1"/>
  <c r="AC61" i="1"/>
  <c r="AC90" i="1"/>
  <c r="AC73" i="1"/>
  <c r="AC56" i="1"/>
  <c r="AC84" i="1"/>
  <c r="AC68" i="1"/>
  <c r="AC51" i="1"/>
  <c r="AC79" i="1"/>
  <c r="AC62" i="1"/>
  <c r="AC63" i="1"/>
  <c r="AC91" i="1"/>
  <c r="AC74" i="1"/>
  <c r="AC57" i="1"/>
  <c r="AC80" i="1"/>
  <c r="AC85" i="1"/>
  <c r="AC69" i="1"/>
  <c r="AC52" i="1"/>
  <c r="AC92" i="1"/>
  <c r="AC75" i="1"/>
  <c r="AC58" i="1"/>
  <c r="AC65" i="1"/>
  <c r="AC81" i="1"/>
  <c r="T50" i="1"/>
  <c r="T47" i="1"/>
  <c r="T49" i="1"/>
  <c r="T45" i="1"/>
  <c r="T48" i="1"/>
  <c r="W27" i="1"/>
  <c r="W50" i="1"/>
  <c r="W48" i="1"/>
  <c r="W49" i="1"/>
  <c r="W47" i="1"/>
  <c r="W45" i="1"/>
  <c r="Z45" i="1"/>
  <c r="Z49" i="1"/>
  <c r="Z48" i="1"/>
  <c r="Z47" i="1"/>
  <c r="Z50" i="1"/>
  <c r="AC48" i="1"/>
  <c r="AC50" i="1"/>
  <c r="AC49" i="1"/>
  <c r="AC45" i="1"/>
  <c r="AC47" i="1"/>
  <c r="T28" i="1"/>
  <c r="T22" i="1"/>
  <c r="T41" i="1"/>
  <c r="T27" i="1"/>
  <c r="T32" i="1"/>
  <c r="T17" i="1"/>
  <c r="T38" i="1"/>
  <c r="T19" i="1"/>
  <c r="T34" i="1"/>
  <c r="T23" i="1"/>
  <c r="T15" i="1"/>
  <c r="T12" i="1"/>
  <c r="T40" i="1"/>
  <c r="T29" i="1"/>
  <c r="T37" i="1"/>
  <c r="T25" i="1"/>
  <c r="T26" i="1"/>
  <c r="T35" i="1"/>
  <c r="T11" i="1"/>
  <c r="T24" i="1"/>
  <c r="T33" i="1"/>
  <c r="T13" i="1"/>
  <c r="T10" i="1"/>
  <c r="T18" i="1"/>
  <c r="T7" i="1"/>
  <c r="T36" i="1"/>
  <c r="T39" i="1"/>
  <c r="T21" i="1"/>
  <c r="T9" i="1"/>
  <c r="T20" i="1"/>
  <c r="T30" i="1"/>
  <c r="T8" i="1"/>
  <c r="T14" i="1"/>
  <c r="T31" i="1"/>
  <c r="T16" i="1"/>
  <c r="Z41" i="1"/>
  <c r="Z38" i="1"/>
  <c r="Z18" i="1"/>
  <c r="Z8" i="1"/>
  <c r="Z23" i="1"/>
  <c r="Z13" i="1"/>
  <c r="Z40" i="1"/>
  <c r="Z11" i="1"/>
  <c r="Z33" i="1"/>
  <c r="Z24" i="1"/>
  <c r="Z32" i="1"/>
  <c r="Z27" i="1"/>
  <c r="Z16" i="1"/>
  <c r="Z25" i="1"/>
  <c r="Z12" i="1"/>
  <c r="Z30" i="1"/>
  <c r="Z31" i="1"/>
  <c r="Z17" i="1"/>
  <c r="Z35" i="1"/>
  <c r="Z21" i="1"/>
  <c r="Z9" i="1"/>
  <c r="Z39" i="1"/>
  <c r="Z7" i="1"/>
  <c r="Z14" i="1"/>
  <c r="Z22" i="1"/>
  <c r="Z20" i="1"/>
  <c r="Z19" i="1"/>
  <c r="Z26" i="1"/>
  <c r="Z34" i="1"/>
  <c r="Z28" i="1"/>
  <c r="Z10" i="1"/>
  <c r="Z36" i="1"/>
  <c r="Z15" i="1"/>
  <c r="Z37" i="1"/>
  <c r="Z29" i="1"/>
  <c r="AC29" i="1"/>
  <c r="AC41" i="1"/>
  <c r="AC39" i="1"/>
  <c r="AC37" i="1"/>
  <c r="AC18" i="1"/>
  <c r="AC38" i="1"/>
  <c r="AC34" i="1"/>
  <c r="AC32" i="1"/>
  <c r="AC17" i="1"/>
  <c r="AC8" i="1"/>
  <c r="AC23" i="1"/>
  <c r="AC22" i="1"/>
  <c r="AC13" i="1"/>
  <c r="AC35" i="1"/>
  <c r="AC28" i="1"/>
  <c r="AC27" i="1"/>
  <c r="AC11" i="1"/>
  <c r="AC12" i="1"/>
  <c r="AC33" i="1"/>
  <c r="AC24" i="1"/>
  <c r="AC20" i="1"/>
  <c r="AC36" i="1"/>
  <c r="AC15" i="1"/>
  <c r="AC16" i="1"/>
  <c r="AC40" i="1"/>
  <c r="AC21" i="1"/>
  <c r="AC9" i="1"/>
  <c r="AC30" i="1"/>
  <c r="AC31" i="1"/>
  <c r="AC26" i="1"/>
  <c r="AC25" i="1"/>
  <c r="AC7" i="1"/>
  <c r="AC14" i="1"/>
  <c r="AC10" i="1"/>
  <c r="AC19" i="1"/>
  <c r="W13" i="1"/>
  <c r="W23" i="1"/>
  <c r="W21" i="1"/>
  <c r="W16" i="1"/>
  <c r="W12" i="1"/>
  <c r="W38" i="1"/>
  <c r="W32" i="1"/>
  <c r="W31" i="1"/>
  <c r="W26" i="1"/>
  <c r="W17" i="1"/>
  <c r="W28" i="1"/>
  <c r="W22" i="1"/>
  <c r="W18" i="1"/>
  <c r="W11" i="1"/>
  <c r="W20" i="1"/>
  <c r="W40" i="1"/>
  <c r="W35" i="1"/>
  <c r="W39" i="1"/>
  <c r="W30" i="1"/>
  <c r="W8" i="1"/>
  <c r="W25" i="1"/>
  <c r="W14" i="1"/>
  <c r="W37" i="1"/>
  <c r="W7" i="1"/>
  <c r="W9" i="1"/>
  <c r="W19" i="1"/>
  <c r="W10" i="1"/>
  <c r="W41" i="1"/>
  <c r="W33" i="1"/>
  <c r="W29" i="1"/>
  <c r="W34" i="1"/>
  <c r="W24" i="1"/>
  <c r="W36" i="1"/>
  <c r="W15" i="1"/>
  <c r="B37" i="1"/>
  <c r="B39" i="1" l="1"/>
  <c r="B40" i="1" l="1"/>
  <c r="AH6" i="1"/>
  <c r="AH45" i="1" s="1"/>
  <c r="AH30" i="1" l="1"/>
  <c r="AH39" i="1"/>
  <c r="AH34" i="1"/>
  <c r="AH36" i="1"/>
  <c r="AH38" i="1"/>
  <c r="AH14" i="1"/>
  <c r="AH8" i="1"/>
  <c r="AH7" i="1"/>
  <c r="AH9" i="1"/>
  <c r="AH29" i="1"/>
  <c r="AH32" i="1"/>
  <c r="AH11" i="1"/>
  <c r="AH20" i="1"/>
  <c r="AH12" i="1"/>
  <c r="AH28" i="1"/>
  <c r="AH16" i="1"/>
  <c r="AH21" i="1"/>
  <c r="AH10" i="1"/>
  <c r="AH15" i="1"/>
  <c r="AH24" i="1"/>
  <c r="AH23" i="1"/>
  <c r="AH33" i="1"/>
  <c r="AH31" i="1"/>
  <c r="AH17" i="1"/>
  <c r="AH19" i="1"/>
  <c r="AH18" i="1"/>
  <c r="AH27" i="1"/>
  <c r="AH22" i="1"/>
  <c r="AH25" i="1"/>
  <c r="AH13" i="1"/>
  <c r="AH35" i="1"/>
  <c r="AH26" i="1"/>
  <c r="AH97" i="1"/>
  <c r="Q6" i="1"/>
  <c r="Q94" i="1" s="1"/>
  <c r="B36" i="1"/>
  <c r="B8" i="1"/>
  <c r="B9" i="1"/>
  <c r="B10" i="1"/>
  <c r="B11" i="1"/>
  <c r="B12" i="1"/>
  <c r="B13" i="1"/>
  <c r="B14" i="1"/>
  <c r="B15" i="1"/>
  <c r="B16" i="1"/>
  <c r="B17" i="1"/>
  <c r="B18" i="1"/>
  <c r="B19" i="1"/>
  <c r="B20" i="1"/>
  <c r="B21" i="1"/>
  <c r="B22" i="1"/>
  <c r="B23" i="1"/>
  <c r="B24" i="1"/>
  <c r="B25" i="1"/>
  <c r="B26" i="1"/>
  <c r="B27" i="1"/>
  <c r="B28" i="1"/>
  <c r="B29" i="1"/>
  <c r="B30" i="1"/>
  <c r="B31" i="1"/>
  <c r="B32" i="1"/>
  <c r="B33" i="1"/>
  <c r="B34" i="1"/>
  <c r="B35" i="1"/>
  <c r="B5" i="1"/>
  <c r="Q95" i="1" l="1"/>
  <c r="Q96" i="1"/>
  <c r="Q84" i="1"/>
  <c r="Q68" i="1"/>
  <c r="Q51" i="1"/>
  <c r="Q57" i="1"/>
  <c r="Q91" i="1"/>
  <c r="Q74" i="1"/>
  <c r="Q85" i="1"/>
  <c r="Q69" i="1"/>
  <c r="Q52" i="1"/>
  <c r="Q80" i="1"/>
  <c r="Q63" i="1"/>
  <c r="Q92" i="1"/>
  <c r="Q75" i="1"/>
  <c r="Q58" i="1"/>
  <c r="Q86" i="1"/>
  <c r="Q70" i="1"/>
  <c r="Q53" i="1"/>
  <c r="Q81" i="1"/>
  <c r="Q65" i="1"/>
  <c r="Q93" i="1"/>
  <c r="Q76" i="1"/>
  <c r="Q59" i="1"/>
  <c r="Q87" i="1"/>
  <c r="Q71" i="1"/>
  <c r="Q54" i="1"/>
  <c r="Q61" i="1"/>
  <c r="Q82" i="1"/>
  <c r="Q66" i="1"/>
  <c r="Q77" i="1"/>
  <c r="Q60" i="1"/>
  <c r="Q78" i="1"/>
  <c r="Q88" i="1"/>
  <c r="Q72" i="1"/>
  <c r="Q55" i="1"/>
  <c r="Q83" i="1"/>
  <c r="Q67" i="1"/>
  <c r="Q90" i="1"/>
  <c r="Q73" i="1"/>
  <c r="Q56" i="1"/>
  <c r="Q79" i="1"/>
  <c r="Q62" i="1"/>
  <c r="Q49" i="1"/>
  <c r="Q50" i="1"/>
  <c r="Q47" i="1"/>
  <c r="Q48" i="1"/>
  <c r="Q45" i="1"/>
  <c r="Q28" i="1"/>
  <c r="Q38" i="1"/>
  <c r="Q37" i="1"/>
  <c r="Q35" i="1"/>
  <c r="Q39" i="1"/>
  <c r="Q44" i="1"/>
  <c r="Q43" i="1"/>
  <c r="Q41" i="1"/>
  <c r="Q36" i="1"/>
  <c r="Q42" i="1"/>
  <c r="Q32" i="1"/>
  <c r="Q40" i="1"/>
  <c r="Q34" i="1"/>
  <c r="Q33" i="1"/>
  <c r="Q26" i="1"/>
  <c r="Q24" i="1"/>
  <c r="Q14" i="1"/>
  <c r="Q29" i="1"/>
  <c r="Q20" i="1"/>
  <c r="Q30" i="1"/>
  <c r="Q16" i="1"/>
  <c r="Q15" i="1"/>
  <c r="Q7" i="1"/>
  <c r="Q17" i="1"/>
  <c r="Q31" i="1"/>
  <c r="Q10" i="1"/>
  <c r="Q13" i="1"/>
  <c r="Q11" i="1"/>
  <c r="Q19" i="1"/>
  <c r="Q18" i="1"/>
  <c r="Q22" i="1"/>
  <c r="Q8" i="1"/>
  <c r="Q25" i="1"/>
  <c r="Q9" i="1"/>
  <c r="Q21" i="1"/>
  <c r="Q27" i="1"/>
  <c r="Q12" i="1"/>
  <c r="Q23" i="1"/>
  <c r="B4" i="1"/>
  <c r="Q97" i="1"/>
  <c r="AG6" i="1"/>
  <c r="AG94" i="1" s="1"/>
  <c r="AF6" i="1"/>
  <c r="AF94" i="1" s="1"/>
  <c r="AG96" i="1" l="1"/>
  <c r="AG95" i="1"/>
  <c r="AF96" i="1"/>
  <c r="AF95" i="1"/>
  <c r="AG93" i="1"/>
  <c r="AG76" i="1"/>
  <c r="AG59" i="1"/>
  <c r="AG82" i="1"/>
  <c r="AG66" i="1"/>
  <c r="AG77" i="1"/>
  <c r="AG60" i="1"/>
  <c r="AG88" i="1"/>
  <c r="AG72" i="1"/>
  <c r="AG55" i="1"/>
  <c r="AG83" i="1"/>
  <c r="AG67" i="1"/>
  <c r="AG78" i="1"/>
  <c r="AG61" i="1"/>
  <c r="AG90" i="1"/>
  <c r="AG73" i="1"/>
  <c r="AG56" i="1"/>
  <c r="AG84" i="1"/>
  <c r="AG68" i="1"/>
  <c r="AG51" i="1"/>
  <c r="AG79" i="1"/>
  <c r="AG62" i="1"/>
  <c r="AG53" i="1"/>
  <c r="AG70" i="1"/>
  <c r="AG91" i="1"/>
  <c r="AG74" i="1"/>
  <c r="AG57" i="1"/>
  <c r="AG85" i="1"/>
  <c r="AG69" i="1"/>
  <c r="AG52" i="1"/>
  <c r="AG80" i="1"/>
  <c r="AG63" i="1"/>
  <c r="AG92" i="1"/>
  <c r="AG75" i="1"/>
  <c r="AG58" i="1"/>
  <c r="AG81" i="1"/>
  <c r="AG65" i="1"/>
  <c r="AG54" i="1"/>
  <c r="AG87" i="1"/>
  <c r="AG86" i="1"/>
  <c r="AG71" i="1"/>
  <c r="AF93" i="1"/>
  <c r="AF76" i="1"/>
  <c r="AF59" i="1"/>
  <c r="AF87" i="1"/>
  <c r="AF71" i="1"/>
  <c r="AF54" i="1"/>
  <c r="AF82" i="1"/>
  <c r="AF66" i="1"/>
  <c r="AF77" i="1"/>
  <c r="AF60" i="1"/>
  <c r="AF88" i="1"/>
  <c r="AF72" i="1"/>
  <c r="AF55" i="1"/>
  <c r="AF83" i="1"/>
  <c r="AF67" i="1"/>
  <c r="AF78" i="1"/>
  <c r="AF61" i="1"/>
  <c r="AF90" i="1"/>
  <c r="AF73" i="1"/>
  <c r="AF56" i="1"/>
  <c r="AF84" i="1"/>
  <c r="AF68" i="1"/>
  <c r="AF51" i="1"/>
  <c r="AF79" i="1"/>
  <c r="AF62" i="1"/>
  <c r="AF91" i="1"/>
  <c r="AF74" i="1"/>
  <c r="AF57" i="1"/>
  <c r="AF85" i="1"/>
  <c r="AF69" i="1"/>
  <c r="AF52" i="1"/>
  <c r="AF80" i="1"/>
  <c r="AF63" i="1"/>
  <c r="AF92" i="1"/>
  <c r="AF75" i="1"/>
  <c r="AF58" i="1"/>
  <c r="AF86" i="1"/>
  <c r="AF70" i="1"/>
  <c r="AF81" i="1"/>
  <c r="AF65" i="1"/>
  <c r="AF53" i="1"/>
  <c r="AF50" i="1"/>
  <c r="AF49" i="1"/>
  <c r="AF45" i="1"/>
  <c r="AF48" i="1"/>
  <c r="AF47" i="1"/>
  <c r="AG45" i="1"/>
  <c r="AG49" i="1"/>
  <c r="AG48" i="1"/>
  <c r="AG50" i="1"/>
  <c r="AG47" i="1"/>
  <c r="AF9" i="1"/>
  <c r="AF44" i="1"/>
  <c r="AF43" i="1"/>
  <c r="AF42" i="1"/>
  <c r="AF41" i="1"/>
  <c r="AF40" i="1"/>
  <c r="AF36" i="1"/>
  <c r="AF39" i="1"/>
  <c r="AF23" i="1"/>
  <c r="AF22" i="1"/>
  <c r="AF19" i="1"/>
  <c r="AF13" i="1"/>
  <c r="AF38" i="1"/>
  <c r="AF28" i="1"/>
  <c r="AF27" i="1"/>
  <c r="AF37" i="1"/>
  <c r="AF24" i="1"/>
  <c r="AF14" i="1"/>
  <c r="AF12" i="1"/>
  <c r="AF29" i="1"/>
  <c r="AF18" i="1"/>
  <c r="AF17" i="1"/>
  <c r="AF8" i="1"/>
  <c r="AF20" i="1"/>
  <c r="AF31" i="1"/>
  <c r="AF15" i="1"/>
  <c r="AF26" i="1"/>
  <c r="AF25" i="1"/>
  <c r="AF10" i="1"/>
  <c r="AF30" i="1"/>
  <c r="AF7" i="1"/>
  <c r="AF11" i="1"/>
  <c r="AF21" i="1"/>
  <c r="AF16" i="1"/>
  <c r="AG30" i="1"/>
  <c r="AG39" i="1"/>
  <c r="AG38" i="1"/>
  <c r="AG37" i="1"/>
  <c r="AG23" i="1"/>
  <c r="AG22" i="1"/>
  <c r="AG19" i="1"/>
  <c r="AG13" i="1"/>
  <c r="AG9" i="1"/>
  <c r="AG28" i="1"/>
  <c r="AG27" i="1"/>
  <c r="AG12" i="1"/>
  <c r="AG44" i="1"/>
  <c r="AG24" i="1"/>
  <c r="AG14" i="1"/>
  <c r="AG43" i="1"/>
  <c r="AG29" i="1"/>
  <c r="AG42" i="1"/>
  <c r="AG41" i="1"/>
  <c r="AG36" i="1"/>
  <c r="AG40" i="1"/>
  <c r="AG18" i="1"/>
  <c r="AG7" i="1"/>
  <c r="AG8" i="1"/>
  <c r="AG17" i="1"/>
  <c r="AG11" i="1"/>
  <c r="AG25" i="1"/>
  <c r="AG26" i="1"/>
  <c r="AG16" i="1"/>
  <c r="AG21" i="1"/>
  <c r="AG31" i="1"/>
  <c r="AG15" i="1"/>
  <c r="AG10" i="1"/>
  <c r="AG20" i="1"/>
  <c r="AG97" i="1"/>
  <c r="AF97" i="1"/>
  <c r="AE6" i="1"/>
  <c r="AE94" i="1" s="1"/>
  <c r="AE96" i="1" l="1"/>
  <c r="AE95" i="1"/>
  <c r="AE81" i="1"/>
  <c r="AE65" i="1"/>
  <c r="AE93" i="1"/>
  <c r="AE54" i="1"/>
  <c r="AE87" i="1"/>
  <c r="AE71" i="1"/>
  <c r="AE82" i="1"/>
  <c r="AE66" i="1"/>
  <c r="AE77" i="1"/>
  <c r="AE60" i="1"/>
  <c r="AE88" i="1"/>
  <c r="AE72" i="1"/>
  <c r="AE55" i="1"/>
  <c r="AE83" i="1"/>
  <c r="AE67" i="1"/>
  <c r="AE78" i="1"/>
  <c r="AE61" i="1"/>
  <c r="AE90" i="1"/>
  <c r="AE73" i="1"/>
  <c r="AE56" i="1"/>
  <c r="AE92" i="1"/>
  <c r="AE58" i="1"/>
  <c r="AE84" i="1"/>
  <c r="AE68" i="1"/>
  <c r="AE51" i="1"/>
  <c r="AE79" i="1"/>
  <c r="AE62" i="1"/>
  <c r="AE91" i="1"/>
  <c r="AE74" i="1"/>
  <c r="AE57" i="1"/>
  <c r="AE75" i="1"/>
  <c r="AE85" i="1"/>
  <c r="AE69" i="1"/>
  <c r="AE52" i="1"/>
  <c r="AE80" i="1"/>
  <c r="AE63" i="1"/>
  <c r="AE86" i="1"/>
  <c r="AE70" i="1"/>
  <c r="AE53" i="1"/>
  <c r="AE59" i="1"/>
  <c r="AE76" i="1"/>
  <c r="AE48" i="1"/>
  <c r="AE49" i="1"/>
  <c r="AE50" i="1"/>
  <c r="AE47" i="1"/>
  <c r="AE45" i="1"/>
  <c r="AE14" i="1"/>
  <c r="AE44" i="1"/>
  <c r="AE43" i="1"/>
  <c r="AE42" i="1"/>
  <c r="AE41" i="1"/>
  <c r="AE40" i="1"/>
  <c r="AE36" i="1"/>
  <c r="AE32" i="1"/>
  <c r="AE39" i="1"/>
  <c r="AE38" i="1"/>
  <c r="AE37" i="1"/>
  <c r="AE18" i="1"/>
  <c r="AE17" i="1"/>
  <c r="AE8" i="1"/>
  <c r="AE13" i="1"/>
  <c r="AE19" i="1"/>
  <c r="AE23" i="1"/>
  <c r="AE22" i="1"/>
  <c r="AE28" i="1"/>
  <c r="AE27" i="1"/>
  <c r="AE34" i="1"/>
  <c r="AE24" i="1"/>
  <c r="AE12" i="1"/>
  <c r="AE33" i="1"/>
  <c r="AE29" i="1"/>
  <c r="AE35" i="1"/>
  <c r="AE7" i="1"/>
  <c r="AE21" i="1"/>
  <c r="AE9" i="1"/>
  <c r="AE26" i="1"/>
  <c r="AE15" i="1"/>
  <c r="AE16" i="1"/>
  <c r="AE10" i="1"/>
  <c r="AE20" i="1"/>
  <c r="AE31" i="1"/>
  <c r="AE11" i="1"/>
  <c r="AE30" i="1"/>
  <c r="AE25" i="1"/>
  <c r="AE97" i="1"/>
  <c r="R6" i="1" l="1"/>
  <c r="R94" i="1" s="1"/>
  <c r="R95" i="1" l="1"/>
  <c r="R96" i="1"/>
  <c r="R79" i="1"/>
  <c r="R62" i="1"/>
  <c r="R91" i="1"/>
  <c r="R74" i="1"/>
  <c r="R57" i="1"/>
  <c r="R85" i="1"/>
  <c r="R69" i="1"/>
  <c r="R52" i="1"/>
  <c r="R80" i="1"/>
  <c r="R63" i="1"/>
  <c r="R92" i="1"/>
  <c r="R75" i="1"/>
  <c r="R58" i="1"/>
  <c r="R86" i="1"/>
  <c r="R70" i="1"/>
  <c r="R53" i="1"/>
  <c r="R81" i="1"/>
  <c r="R65" i="1"/>
  <c r="R93" i="1"/>
  <c r="R76" i="1"/>
  <c r="R59" i="1"/>
  <c r="R87" i="1"/>
  <c r="R71" i="1"/>
  <c r="R54" i="1"/>
  <c r="R82" i="1"/>
  <c r="R66" i="1"/>
  <c r="R77" i="1"/>
  <c r="R60" i="1"/>
  <c r="R88" i="1"/>
  <c r="R72" i="1"/>
  <c r="R55" i="1"/>
  <c r="R83" i="1"/>
  <c r="R67" i="1"/>
  <c r="R78" i="1"/>
  <c r="R61" i="1"/>
  <c r="R90" i="1"/>
  <c r="R73" i="1"/>
  <c r="R84" i="1"/>
  <c r="R68" i="1"/>
  <c r="R56" i="1"/>
  <c r="R51" i="1"/>
  <c r="R47" i="1"/>
  <c r="R49" i="1"/>
  <c r="R48" i="1"/>
  <c r="R45" i="1"/>
  <c r="R50" i="1"/>
  <c r="R10" i="1"/>
  <c r="R35" i="1"/>
  <c r="R44" i="1"/>
  <c r="R43" i="1"/>
  <c r="R42" i="1"/>
  <c r="R41" i="1"/>
  <c r="R40" i="1"/>
  <c r="R36" i="1"/>
  <c r="R32" i="1"/>
  <c r="R33" i="1"/>
  <c r="R34" i="1"/>
  <c r="R39" i="1"/>
  <c r="R38" i="1"/>
  <c r="R37" i="1"/>
  <c r="R26" i="1"/>
  <c r="R7" i="1"/>
  <c r="R14" i="1"/>
  <c r="R9" i="1"/>
  <c r="R15" i="1"/>
  <c r="R8" i="1"/>
  <c r="R13" i="1"/>
  <c r="R27" i="1"/>
  <c r="R12" i="1"/>
  <c r="R11" i="1"/>
  <c r="R31" i="1"/>
  <c r="R30" i="1"/>
  <c r="R23" i="1"/>
  <c r="R24" i="1"/>
  <c r="R17" i="1"/>
  <c r="R16" i="1"/>
  <c r="R20" i="1"/>
  <c r="R28" i="1"/>
  <c r="R22" i="1"/>
  <c r="R29" i="1"/>
  <c r="R18" i="1"/>
  <c r="R21" i="1"/>
  <c r="R25" i="1"/>
  <c r="R19" i="1"/>
  <c r="R97" i="1"/>
  <c r="N6" i="1"/>
  <c r="N94" i="1" s="1"/>
  <c r="O6" i="1"/>
  <c r="O94" i="1" s="1"/>
  <c r="P6" i="1"/>
  <c r="P94" i="1" s="1"/>
  <c r="AU6" i="1"/>
  <c r="AU94" i="1" s="1"/>
  <c r="AV6" i="1"/>
  <c r="AV94" i="1" s="1"/>
  <c r="AW6" i="1"/>
  <c r="AW94" i="1" s="1"/>
  <c r="AX6" i="1"/>
  <c r="AX94" i="1" s="1"/>
  <c r="AY6" i="1"/>
  <c r="AY94" i="1" s="1"/>
  <c r="AZ6" i="1"/>
  <c r="AZ94" i="1" s="1"/>
  <c r="BA6" i="1"/>
  <c r="BA94" i="1" s="1"/>
  <c r="BB6" i="1"/>
  <c r="BB94" i="1" s="1"/>
  <c r="BC6" i="1"/>
  <c r="BC94" i="1" s="1"/>
  <c r="BD6" i="1"/>
  <c r="BD94" i="1" s="1"/>
  <c r="BE6" i="1"/>
  <c r="BE94" i="1" s="1"/>
  <c r="BF6" i="1"/>
  <c r="BF94" i="1" s="1"/>
  <c r="BK6" i="1"/>
  <c r="BK94" i="1" s="1"/>
  <c r="BL6" i="1"/>
  <c r="BL94" i="1" s="1"/>
  <c r="BM6" i="1"/>
  <c r="BM94" i="1" s="1"/>
  <c r="BO6" i="1"/>
  <c r="BO94" i="1" s="1"/>
  <c r="H6" i="1"/>
  <c r="H94" i="1" s="1"/>
  <c r="N95" i="1" l="1"/>
  <c r="N96" i="1"/>
  <c r="AW95" i="1"/>
  <c r="AW96" i="1"/>
  <c r="O95" i="1"/>
  <c r="O96" i="1"/>
  <c r="H95" i="1"/>
  <c r="H96" i="1"/>
  <c r="AX96" i="1"/>
  <c r="AX95" i="1"/>
  <c r="AU95" i="1"/>
  <c r="AU96" i="1"/>
  <c r="AV95" i="1"/>
  <c r="AV96" i="1"/>
  <c r="BO96" i="1"/>
  <c r="BO95" i="1"/>
  <c r="BL96" i="1"/>
  <c r="BL95" i="1"/>
  <c r="BK96" i="1"/>
  <c r="BK95" i="1"/>
  <c r="BM96" i="1"/>
  <c r="BM95" i="1"/>
  <c r="AY95" i="1"/>
  <c r="AY96" i="1"/>
  <c r="BF95" i="1"/>
  <c r="BF96" i="1"/>
  <c r="BE95" i="1"/>
  <c r="BE96" i="1"/>
  <c r="AZ95" i="1"/>
  <c r="AZ96" i="1"/>
  <c r="P95" i="1"/>
  <c r="P96" i="1"/>
  <c r="BD95" i="1"/>
  <c r="BD96" i="1"/>
  <c r="BC95" i="1"/>
  <c r="BC96" i="1"/>
  <c r="BB95" i="1"/>
  <c r="BB96" i="1"/>
  <c r="BA95" i="1"/>
  <c r="BA96" i="1"/>
  <c r="AY78" i="1"/>
  <c r="AY81" i="1"/>
  <c r="AY87" i="1"/>
  <c r="AY54" i="1"/>
  <c r="AY91" i="1"/>
  <c r="AY60" i="1"/>
  <c r="AY63" i="1"/>
  <c r="AY67" i="1"/>
  <c r="AY70" i="1"/>
  <c r="AY76" i="1"/>
  <c r="AY79" i="1"/>
  <c r="AY82" i="1"/>
  <c r="AY85" i="1"/>
  <c r="AY52" i="1"/>
  <c r="AY88" i="1"/>
  <c r="AY55" i="1"/>
  <c r="AY92" i="1"/>
  <c r="AY58" i="1"/>
  <c r="AY61" i="1"/>
  <c r="AY65" i="1"/>
  <c r="AY68" i="1"/>
  <c r="AY71" i="1"/>
  <c r="AY66" i="1"/>
  <c r="AY74" i="1"/>
  <c r="AY77" i="1"/>
  <c r="AY80" i="1"/>
  <c r="AY83" i="1"/>
  <c r="AY86" i="1"/>
  <c r="AY53" i="1"/>
  <c r="AY90" i="1"/>
  <c r="AY56" i="1"/>
  <c r="AY93" i="1"/>
  <c r="AY59" i="1"/>
  <c r="AY62" i="1"/>
  <c r="AY69" i="1"/>
  <c r="AY73" i="1"/>
  <c r="AY84" i="1"/>
  <c r="AY72" i="1"/>
  <c r="AY51" i="1"/>
  <c r="AY75" i="1"/>
  <c r="AY57" i="1"/>
  <c r="AW72" i="1"/>
  <c r="AW75" i="1"/>
  <c r="AW81" i="1"/>
  <c r="AW84" i="1"/>
  <c r="AW87" i="1"/>
  <c r="AW54" i="1"/>
  <c r="AW91" i="1"/>
  <c r="AW57" i="1"/>
  <c r="AW60" i="1"/>
  <c r="AW63" i="1"/>
  <c r="AW70" i="1"/>
  <c r="AW73" i="1"/>
  <c r="AW76" i="1"/>
  <c r="AW79" i="1"/>
  <c r="AW82" i="1"/>
  <c r="AW52" i="1"/>
  <c r="AW85" i="1"/>
  <c r="AW88" i="1"/>
  <c r="AW55" i="1"/>
  <c r="AW93" i="1"/>
  <c r="AW92" i="1"/>
  <c r="AW58" i="1"/>
  <c r="AW61" i="1"/>
  <c r="AW59" i="1"/>
  <c r="AW65" i="1"/>
  <c r="AW68" i="1"/>
  <c r="AW71" i="1"/>
  <c r="AW74" i="1"/>
  <c r="AW77" i="1"/>
  <c r="AW80" i="1"/>
  <c r="AW83" i="1"/>
  <c r="AW86" i="1"/>
  <c r="AW53" i="1"/>
  <c r="AW90" i="1"/>
  <c r="AW56" i="1"/>
  <c r="AW69" i="1"/>
  <c r="AW51" i="1"/>
  <c r="AW66" i="1"/>
  <c r="AW78" i="1"/>
  <c r="AW62" i="1"/>
  <c r="AW67" i="1"/>
  <c r="P84" i="1"/>
  <c r="P68" i="1"/>
  <c r="P51" i="1"/>
  <c r="P79" i="1"/>
  <c r="P62" i="1"/>
  <c r="P91" i="1"/>
  <c r="P74" i="1"/>
  <c r="P57" i="1"/>
  <c r="P85" i="1"/>
  <c r="P69" i="1"/>
  <c r="P52" i="1"/>
  <c r="P80" i="1"/>
  <c r="P63" i="1"/>
  <c r="P92" i="1"/>
  <c r="P75" i="1"/>
  <c r="P58" i="1"/>
  <c r="P86" i="1"/>
  <c r="P70" i="1"/>
  <c r="P53" i="1"/>
  <c r="P81" i="1"/>
  <c r="P65" i="1"/>
  <c r="P93" i="1"/>
  <c r="P76" i="1"/>
  <c r="P59" i="1"/>
  <c r="P87" i="1"/>
  <c r="P71" i="1"/>
  <c r="P54" i="1"/>
  <c r="P82" i="1"/>
  <c r="P66" i="1"/>
  <c r="P77" i="1"/>
  <c r="P60" i="1"/>
  <c r="P88" i="1"/>
  <c r="P72" i="1"/>
  <c r="P55" i="1"/>
  <c r="P83" i="1"/>
  <c r="P67" i="1"/>
  <c r="P78" i="1"/>
  <c r="P61" i="1"/>
  <c r="P90" i="1"/>
  <c r="P73" i="1"/>
  <c r="P56" i="1"/>
  <c r="N90" i="1"/>
  <c r="N73" i="1"/>
  <c r="N56" i="1"/>
  <c r="N84" i="1"/>
  <c r="N68" i="1"/>
  <c r="N51" i="1"/>
  <c r="N79" i="1"/>
  <c r="N62" i="1"/>
  <c r="N91" i="1"/>
  <c r="N74" i="1"/>
  <c r="N57" i="1"/>
  <c r="N85" i="1"/>
  <c r="N69" i="1"/>
  <c r="N52" i="1"/>
  <c r="N80" i="1"/>
  <c r="N63" i="1"/>
  <c r="N92" i="1"/>
  <c r="N75" i="1"/>
  <c r="N58" i="1"/>
  <c r="N86" i="1"/>
  <c r="N70" i="1"/>
  <c r="N53" i="1"/>
  <c r="N81" i="1"/>
  <c r="N65" i="1"/>
  <c r="N93" i="1"/>
  <c r="N76" i="1"/>
  <c r="N59" i="1"/>
  <c r="N87" i="1"/>
  <c r="N71" i="1"/>
  <c r="N54" i="1"/>
  <c r="N82" i="1"/>
  <c r="N66" i="1"/>
  <c r="N77" i="1"/>
  <c r="N60" i="1"/>
  <c r="N88" i="1"/>
  <c r="N72" i="1"/>
  <c r="N55" i="1"/>
  <c r="N83" i="1"/>
  <c r="N67" i="1"/>
  <c r="N78" i="1"/>
  <c r="N61" i="1"/>
  <c r="BB87" i="1"/>
  <c r="BB54" i="1"/>
  <c r="BB91" i="1"/>
  <c r="BB57" i="1"/>
  <c r="BB63" i="1"/>
  <c r="BB70" i="1"/>
  <c r="BB73" i="1"/>
  <c r="BB76" i="1"/>
  <c r="BB79" i="1"/>
  <c r="BB85" i="1"/>
  <c r="BB52" i="1"/>
  <c r="BB88" i="1"/>
  <c r="BB55" i="1"/>
  <c r="BB92" i="1"/>
  <c r="BB58" i="1"/>
  <c r="BB61" i="1"/>
  <c r="BB65" i="1"/>
  <c r="BB68" i="1"/>
  <c r="BB71" i="1"/>
  <c r="BB74" i="1"/>
  <c r="BB77" i="1"/>
  <c r="BB75" i="1"/>
  <c r="BB80" i="1"/>
  <c r="BB83" i="1"/>
  <c r="BB86" i="1"/>
  <c r="BB53" i="1"/>
  <c r="BB90" i="1"/>
  <c r="BB56" i="1"/>
  <c r="BB93" i="1"/>
  <c r="BB59" i="1"/>
  <c r="BB62" i="1"/>
  <c r="BB66" i="1"/>
  <c r="BB69" i="1"/>
  <c r="BB72" i="1"/>
  <c r="BB78" i="1"/>
  <c r="BB60" i="1"/>
  <c r="BB67" i="1"/>
  <c r="BB84" i="1"/>
  <c r="BB51" i="1"/>
  <c r="BB82" i="1"/>
  <c r="BB81" i="1"/>
  <c r="AZ81" i="1"/>
  <c r="AZ84" i="1"/>
  <c r="AZ51" i="1"/>
  <c r="AZ91" i="1"/>
  <c r="AZ57" i="1"/>
  <c r="AZ63" i="1"/>
  <c r="AZ67" i="1"/>
  <c r="AZ70" i="1"/>
  <c r="AZ73" i="1"/>
  <c r="AZ79" i="1"/>
  <c r="AZ82" i="1"/>
  <c r="AZ85" i="1"/>
  <c r="AZ52" i="1"/>
  <c r="AZ88" i="1"/>
  <c r="AZ55" i="1"/>
  <c r="AZ92" i="1"/>
  <c r="AZ58" i="1"/>
  <c r="AZ61" i="1"/>
  <c r="AZ65" i="1"/>
  <c r="AZ69" i="1"/>
  <c r="AZ68" i="1"/>
  <c r="AZ71" i="1"/>
  <c r="AZ74" i="1"/>
  <c r="AZ77" i="1"/>
  <c r="AZ80" i="1"/>
  <c r="AZ83" i="1"/>
  <c r="AZ86" i="1"/>
  <c r="AZ53" i="1"/>
  <c r="AZ90" i="1"/>
  <c r="AZ56" i="1"/>
  <c r="AZ93" i="1"/>
  <c r="AZ59" i="1"/>
  <c r="AZ62" i="1"/>
  <c r="AZ66" i="1"/>
  <c r="AZ78" i="1"/>
  <c r="AZ60" i="1"/>
  <c r="AZ87" i="1"/>
  <c r="AZ72" i="1"/>
  <c r="AZ76" i="1"/>
  <c r="AZ75" i="1"/>
  <c r="AZ54" i="1"/>
  <c r="AX75" i="1"/>
  <c r="AX78" i="1"/>
  <c r="AX84" i="1"/>
  <c r="AX51" i="1"/>
  <c r="AX87" i="1"/>
  <c r="AX91" i="1"/>
  <c r="AX57" i="1"/>
  <c r="AX60" i="1"/>
  <c r="AX63" i="1"/>
  <c r="AX67" i="1"/>
  <c r="AX73" i="1"/>
  <c r="AX76" i="1"/>
  <c r="AX79" i="1"/>
  <c r="AX82" i="1"/>
  <c r="AX85" i="1"/>
  <c r="AX52" i="1"/>
  <c r="AX88" i="1"/>
  <c r="AX55" i="1"/>
  <c r="AX92" i="1"/>
  <c r="AX58" i="1"/>
  <c r="AX61" i="1"/>
  <c r="AX62" i="1"/>
  <c r="AX65" i="1"/>
  <c r="AX68" i="1"/>
  <c r="AX71" i="1"/>
  <c r="AX74" i="1"/>
  <c r="AX77" i="1"/>
  <c r="AX80" i="1"/>
  <c r="AX83" i="1"/>
  <c r="AX86" i="1"/>
  <c r="AX53" i="1"/>
  <c r="AX90" i="1"/>
  <c r="AX56" i="1"/>
  <c r="AX93" i="1"/>
  <c r="AX59" i="1"/>
  <c r="AX70" i="1"/>
  <c r="AX66" i="1"/>
  <c r="AX69" i="1"/>
  <c r="AX72" i="1"/>
  <c r="AX54" i="1"/>
  <c r="AX81" i="1"/>
  <c r="AV69" i="1"/>
  <c r="AV72" i="1"/>
  <c r="AV78" i="1"/>
  <c r="AV81" i="1"/>
  <c r="AV84" i="1"/>
  <c r="AV51" i="1"/>
  <c r="AV87" i="1"/>
  <c r="AV54" i="1"/>
  <c r="AV91" i="1"/>
  <c r="AV57" i="1"/>
  <c r="AV60" i="1"/>
  <c r="AV67" i="1"/>
  <c r="AV70" i="1"/>
  <c r="AV73" i="1"/>
  <c r="AV76" i="1"/>
  <c r="AV79" i="1"/>
  <c r="AV82" i="1"/>
  <c r="AV85" i="1"/>
  <c r="AV52" i="1"/>
  <c r="AV88" i="1"/>
  <c r="AV55" i="1"/>
  <c r="AV90" i="1"/>
  <c r="AV92" i="1"/>
  <c r="AV58" i="1"/>
  <c r="AV61" i="1"/>
  <c r="AV65" i="1"/>
  <c r="AV68" i="1"/>
  <c r="AV71" i="1"/>
  <c r="AV74" i="1"/>
  <c r="AV77" i="1"/>
  <c r="AV80" i="1"/>
  <c r="AV83" i="1"/>
  <c r="AV86" i="1"/>
  <c r="AV53" i="1"/>
  <c r="AV75" i="1"/>
  <c r="AV56" i="1"/>
  <c r="AV62" i="1"/>
  <c r="AV59" i="1"/>
  <c r="AV66" i="1"/>
  <c r="AV93" i="1"/>
  <c r="AV63" i="1"/>
  <c r="O90" i="1"/>
  <c r="O73" i="1"/>
  <c r="O56" i="1"/>
  <c r="O62" i="1"/>
  <c r="O79" i="1"/>
  <c r="O91" i="1"/>
  <c r="O74" i="1"/>
  <c r="O57" i="1"/>
  <c r="O85" i="1"/>
  <c r="O69" i="1"/>
  <c r="O52" i="1"/>
  <c r="O80" i="1"/>
  <c r="O63" i="1"/>
  <c r="O92" i="1"/>
  <c r="O75" i="1"/>
  <c r="O58" i="1"/>
  <c r="O86" i="1"/>
  <c r="O70" i="1"/>
  <c r="O53" i="1"/>
  <c r="O81" i="1"/>
  <c r="O65" i="1"/>
  <c r="O67" i="1"/>
  <c r="O93" i="1"/>
  <c r="O76" i="1"/>
  <c r="O59" i="1"/>
  <c r="O87" i="1"/>
  <c r="O71" i="1"/>
  <c r="O54" i="1"/>
  <c r="O83" i="1"/>
  <c r="O82" i="1"/>
  <c r="O66" i="1"/>
  <c r="O77" i="1"/>
  <c r="O60" i="1"/>
  <c r="O88" i="1"/>
  <c r="O72" i="1"/>
  <c r="O55" i="1"/>
  <c r="O78" i="1"/>
  <c r="O61" i="1"/>
  <c r="O68" i="1"/>
  <c r="O51" i="1"/>
  <c r="O84" i="1"/>
  <c r="BO61" i="1"/>
  <c r="BO65" i="1"/>
  <c r="BO71" i="1"/>
  <c r="BO74" i="1"/>
  <c r="BO77" i="1"/>
  <c r="BO80" i="1"/>
  <c r="BO83" i="1"/>
  <c r="BO86" i="1"/>
  <c r="BO53" i="1"/>
  <c r="BO90" i="1"/>
  <c r="BO93" i="1"/>
  <c r="BO59" i="1"/>
  <c r="BO62" i="1"/>
  <c r="BO66" i="1"/>
  <c r="BO69" i="1"/>
  <c r="BO72" i="1"/>
  <c r="BO75" i="1"/>
  <c r="BO78" i="1"/>
  <c r="BO81" i="1"/>
  <c r="BO84" i="1"/>
  <c r="BO51" i="1"/>
  <c r="BO82" i="1"/>
  <c r="BO87" i="1"/>
  <c r="BO54" i="1"/>
  <c r="BO91" i="1"/>
  <c r="BO57" i="1"/>
  <c r="BO60" i="1"/>
  <c r="BO63" i="1"/>
  <c r="BO67" i="1"/>
  <c r="BO70" i="1"/>
  <c r="BO73" i="1"/>
  <c r="BO76" i="1"/>
  <c r="BO79" i="1"/>
  <c r="BO88" i="1"/>
  <c r="BO52" i="1"/>
  <c r="BO58" i="1"/>
  <c r="BO56" i="1"/>
  <c r="BO55" i="1"/>
  <c r="BO68" i="1"/>
  <c r="BO85" i="1"/>
  <c r="BO92" i="1"/>
  <c r="BM88" i="1"/>
  <c r="BM55" i="1"/>
  <c r="BM92" i="1"/>
  <c r="BM58" i="1"/>
  <c r="BM65" i="1"/>
  <c r="BM71" i="1"/>
  <c r="BM74" i="1"/>
  <c r="BM77" i="1"/>
  <c r="BM80" i="1"/>
  <c r="BM86" i="1"/>
  <c r="BM53" i="1"/>
  <c r="BM90" i="1"/>
  <c r="BM56" i="1"/>
  <c r="BM93" i="1"/>
  <c r="BM59" i="1"/>
  <c r="BM62" i="1"/>
  <c r="BM66" i="1"/>
  <c r="BM69" i="1"/>
  <c r="BM72" i="1"/>
  <c r="BM76" i="1"/>
  <c r="BM75" i="1"/>
  <c r="BM78" i="1"/>
  <c r="BM81" i="1"/>
  <c r="BM84" i="1"/>
  <c r="BM51" i="1"/>
  <c r="BM87" i="1"/>
  <c r="BM54" i="1"/>
  <c r="BM91" i="1"/>
  <c r="BM57" i="1"/>
  <c r="BM60" i="1"/>
  <c r="BM63" i="1"/>
  <c r="BM67" i="1"/>
  <c r="BM70" i="1"/>
  <c r="BM73" i="1"/>
  <c r="BM52" i="1"/>
  <c r="BM68" i="1"/>
  <c r="BM85" i="1"/>
  <c r="BM82" i="1"/>
  <c r="BM83" i="1"/>
  <c r="BM79" i="1"/>
  <c r="BM61" i="1"/>
  <c r="BK82" i="1"/>
  <c r="BK85" i="1"/>
  <c r="BK52" i="1"/>
  <c r="BK92" i="1"/>
  <c r="BK58" i="1"/>
  <c r="BK65" i="1"/>
  <c r="BK68" i="1"/>
  <c r="BK71" i="1"/>
  <c r="BK74" i="1"/>
  <c r="BK80" i="1"/>
  <c r="BK83" i="1"/>
  <c r="BK86" i="1"/>
  <c r="BK53" i="1"/>
  <c r="BK90" i="1"/>
  <c r="BK56" i="1"/>
  <c r="BK93" i="1"/>
  <c r="BK59" i="1"/>
  <c r="BK62" i="1"/>
  <c r="BK66" i="1"/>
  <c r="BK69" i="1"/>
  <c r="BK70" i="1"/>
  <c r="BK72" i="1"/>
  <c r="BK75" i="1"/>
  <c r="BK78" i="1"/>
  <c r="BK81" i="1"/>
  <c r="BK84" i="1"/>
  <c r="BK51" i="1"/>
  <c r="BK87" i="1"/>
  <c r="BK54" i="1"/>
  <c r="BK91" i="1"/>
  <c r="BK57" i="1"/>
  <c r="BK60" i="1"/>
  <c r="BK63" i="1"/>
  <c r="BK67" i="1"/>
  <c r="BK88" i="1"/>
  <c r="BK55" i="1"/>
  <c r="BK77" i="1"/>
  <c r="BK73" i="1"/>
  <c r="BK79" i="1"/>
  <c r="BK76" i="1"/>
  <c r="BK61" i="1"/>
  <c r="BF67" i="1"/>
  <c r="BF70" i="1"/>
  <c r="BF76" i="1"/>
  <c r="BF79" i="1"/>
  <c r="BF82" i="1"/>
  <c r="BF85" i="1"/>
  <c r="BF52" i="1"/>
  <c r="BF88" i="1"/>
  <c r="BF55" i="1"/>
  <c r="BF92" i="1"/>
  <c r="BF58" i="1"/>
  <c r="BF65" i="1"/>
  <c r="BF68" i="1"/>
  <c r="BF71" i="1"/>
  <c r="BF74" i="1"/>
  <c r="BF77" i="1"/>
  <c r="BF80" i="1"/>
  <c r="BF83" i="1"/>
  <c r="BF86" i="1"/>
  <c r="BF53" i="1"/>
  <c r="BF90" i="1"/>
  <c r="BF56" i="1"/>
  <c r="BF93" i="1"/>
  <c r="BF59" i="1"/>
  <c r="BF62" i="1"/>
  <c r="BF66" i="1"/>
  <c r="BF69" i="1"/>
  <c r="BF72" i="1"/>
  <c r="BF87" i="1"/>
  <c r="BF75" i="1"/>
  <c r="BF78" i="1"/>
  <c r="BF81" i="1"/>
  <c r="BF84" i="1"/>
  <c r="BF51" i="1"/>
  <c r="BF60" i="1"/>
  <c r="BF73" i="1"/>
  <c r="BF61" i="1"/>
  <c r="BF63" i="1"/>
  <c r="BF54" i="1"/>
  <c r="BF57" i="1"/>
  <c r="BF91" i="1"/>
  <c r="BL85" i="1"/>
  <c r="BL52" i="1"/>
  <c r="BL88" i="1"/>
  <c r="BL55" i="1"/>
  <c r="BL61" i="1"/>
  <c r="BL68" i="1"/>
  <c r="BL71" i="1"/>
  <c r="BL74" i="1"/>
  <c r="BL77" i="1"/>
  <c r="BL83" i="1"/>
  <c r="BL86" i="1"/>
  <c r="BL53" i="1"/>
  <c r="BL90" i="1"/>
  <c r="BL56" i="1"/>
  <c r="BL93" i="1"/>
  <c r="BL59" i="1"/>
  <c r="BL62" i="1"/>
  <c r="BL66" i="1"/>
  <c r="BL69" i="1"/>
  <c r="BL72" i="1"/>
  <c r="BL75" i="1"/>
  <c r="BL78" i="1"/>
  <c r="BL81" i="1"/>
  <c r="BL84" i="1"/>
  <c r="BL51" i="1"/>
  <c r="BL87" i="1"/>
  <c r="BL54" i="1"/>
  <c r="BL91" i="1"/>
  <c r="BL57" i="1"/>
  <c r="BL60" i="1"/>
  <c r="BL63" i="1"/>
  <c r="BL67" i="1"/>
  <c r="BL70" i="1"/>
  <c r="BL73" i="1"/>
  <c r="BL65" i="1"/>
  <c r="BL76" i="1"/>
  <c r="BL82" i="1"/>
  <c r="BL58" i="1"/>
  <c r="BL79" i="1"/>
  <c r="BL92" i="1"/>
  <c r="BL80" i="1"/>
  <c r="BA84" i="1"/>
  <c r="BA51" i="1"/>
  <c r="BA87" i="1"/>
  <c r="BA54" i="1"/>
  <c r="BA60" i="1"/>
  <c r="BA67" i="1"/>
  <c r="BA70" i="1"/>
  <c r="BA73" i="1"/>
  <c r="BA76" i="1"/>
  <c r="BA82" i="1"/>
  <c r="BA85" i="1"/>
  <c r="BA52" i="1"/>
  <c r="BA88" i="1"/>
  <c r="BA55" i="1"/>
  <c r="BA92" i="1"/>
  <c r="BA58" i="1"/>
  <c r="BA61" i="1"/>
  <c r="BA65" i="1"/>
  <c r="BA68" i="1"/>
  <c r="BA71" i="1"/>
  <c r="BA74" i="1"/>
  <c r="BA77" i="1"/>
  <c r="BA80" i="1"/>
  <c r="BA83" i="1"/>
  <c r="BA86" i="1"/>
  <c r="BA53" i="1"/>
  <c r="BA90" i="1"/>
  <c r="BA56" i="1"/>
  <c r="BA72" i="1"/>
  <c r="BA93" i="1"/>
  <c r="BA59" i="1"/>
  <c r="BA62" i="1"/>
  <c r="BA66" i="1"/>
  <c r="BA69" i="1"/>
  <c r="BA91" i="1"/>
  <c r="BA79" i="1"/>
  <c r="BA63" i="1"/>
  <c r="BA78" i="1"/>
  <c r="BA75" i="1"/>
  <c r="BA57" i="1"/>
  <c r="BA81" i="1"/>
  <c r="H88" i="1"/>
  <c r="H72" i="1"/>
  <c r="H55" i="1"/>
  <c r="H83" i="1"/>
  <c r="H67" i="1"/>
  <c r="H78" i="1"/>
  <c r="H61" i="1"/>
  <c r="H7" i="1"/>
  <c r="H90" i="1"/>
  <c r="H73" i="1"/>
  <c r="H56" i="1"/>
  <c r="H84" i="1"/>
  <c r="H68" i="1"/>
  <c r="H51" i="1"/>
  <c r="H79" i="1"/>
  <c r="H62" i="1"/>
  <c r="H91" i="1"/>
  <c r="H74" i="1"/>
  <c r="H57" i="1"/>
  <c r="H85" i="1"/>
  <c r="H69" i="1"/>
  <c r="H52" i="1"/>
  <c r="H80" i="1"/>
  <c r="H63" i="1"/>
  <c r="H92" i="1"/>
  <c r="H75" i="1"/>
  <c r="H58" i="1"/>
  <c r="H86" i="1"/>
  <c r="H70" i="1"/>
  <c r="H53" i="1"/>
  <c r="H81" i="1"/>
  <c r="H65" i="1"/>
  <c r="H93" i="1"/>
  <c r="H76" i="1"/>
  <c r="H59" i="1"/>
  <c r="H87" i="1"/>
  <c r="H71" i="1"/>
  <c r="H54" i="1"/>
  <c r="H82" i="1"/>
  <c r="H66" i="1"/>
  <c r="H77" i="1"/>
  <c r="H60" i="1"/>
  <c r="BE63" i="1"/>
  <c r="BE67" i="1"/>
  <c r="BE73" i="1"/>
  <c r="BE76" i="1"/>
  <c r="BE79" i="1"/>
  <c r="BE82" i="1"/>
  <c r="BE85" i="1"/>
  <c r="BE52" i="1"/>
  <c r="BE88" i="1"/>
  <c r="BE55" i="1"/>
  <c r="BE92" i="1"/>
  <c r="BE61" i="1"/>
  <c r="BE65" i="1"/>
  <c r="BE68" i="1"/>
  <c r="BE71" i="1"/>
  <c r="BE74" i="1"/>
  <c r="BE77" i="1"/>
  <c r="BE80" i="1"/>
  <c r="BE84" i="1"/>
  <c r="BE83" i="1"/>
  <c r="BE86" i="1"/>
  <c r="BE53" i="1"/>
  <c r="BE90" i="1"/>
  <c r="BE56" i="1"/>
  <c r="BE93" i="1"/>
  <c r="BE59" i="1"/>
  <c r="BE62" i="1"/>
  <c r="BE66" i="1"/>
  <c r="BE69" i="1"/>
  <c r="BE72" i="1"/>
  <c r="BE75" i="1"/>
  <c r="BE78" i="1"/>
  <c r="BE81" i="1"/>
  <c r="BE91" i="1"/>
  <c r="BE60" i="1"/>
  <c r="BE51" i="1"/>
  <c r="BE87" i="1"/>
  <c r="BE58" i="1"/>
  <c r="BE57" i="1"/>
  <c r="BE70" i="1"/>
  <c r="BE54" i="1"/>
  <c r="BD60" i="1"/>
  <c r="BD63" i="1"/>
  <c r="BD70" i="1"/>
  <c r="BD73" i="1"/>
  <c r="BD76" i="1"/>
  <c r="BD79" i="1"/>
  <c r="BD82" i="1"/>
  <c r="BD85" i="1"/>
  <c r="BD52" i="1"/>
  <c r="BD88" i="1"/>
  <c r="BD92" i="1"/>
  <c r="BD58" i="1"/>
  <c r="BD61" i="1"/>
  <c r="BD65" i="1"/>
  <c r="BD68" i="1"/>
  <c r="BD71" i="1"/>
  <c r="BD74" i="1"/>
  <c r="BD77" i="1"/>
  <c r="BD80" i="1"/>
  <c r="BD83" i="1"/>
  <c r="BD86" i="1"/>
  <c r="BD53" i="1"/>
  <c r="BD90" i="1"/>
  <c r="BD56" i="1"/>
  <c r="BD93" i="1"/>
  <c r="BD59" i="1"/>
  <c r="BD62" i="1"/>
  <c r="BD66" i="1"/>
  <c r="BD69" i="1"/>
  <c r="BD72" i="1"/>
  <c r="BD75" i="1"/>
  <c r="BD78" i="1"/>
  <c r="BD51" i="1"/>
  <c r="BD57" i="1"/>
  <c r="BD87" i="1"/>
  <c r="BD67" i="1"/>
  <c r="BD55" i="1"/>
  <c r="BD84" i="1"/>
  <c r="BD54" i="1"/>
  <c r="BD91" i="1"/>
  <c r="BD81" i="1"/>
  <c r="AU66" i="1"/>
  <c r="AU69" i="1"/>
  <c r="AU75" i="1"/>
  <c r="AU78" i="1"/>
  <c r="AU81" i="1"/>
  <c r="AU84" i="1"/>
  <c r="AU51" i="1"/>
  <c r="AU87" i="1"/>
  <c r="AU54" i="1"/>
  <c r="AU91" i="1"/>
  <c r="AU57" i="1"/>
  <c r="AU63" i="1"/>
  <c r="AU67" i="1"/>
  <c r="AU70" i="1"/>
  <c r="AU73" i="1"/>
  <c r="AU76" i="1"/>
  <c r="AU79" i="1"/>
  <c r="AU82" i="1"/>
  <c r="AU85" i="1"/>
  <c r="AU52" i="1"/>
  <c r="AU88" i="1"/>
  <c r="AU55" i="1"/>
  <c r="AU92" i="1"/>
  <c r="AU58" i="1"/>
  <c r="AU86" i="1"/>
  <c r="AU61" i="1"/>
  <c r="AU65" i="1"/>
  <c r="AU68" i="1"/>
  <c r="AU71" i="1"/>
  <c r="AU74" i="1"/>
  <c r="AU77" i="1"/>
  <c r="AU80" i="1"/>
  <c r="AU83" i="1"/>
  <c r="AU93" i="1"/>
  <c r="AU90" i="1"/>
  <c r="AU62" i="1"/>
  <c r="AU60" i="1"/>
  <c r="AU59" i="1"/>
  <c r="AU72" i="1"/>
  <c r="AU56" i="1"/>
  <c r="AU53" i="1"/>
  <c r="BC91" i="1"/>
  <c r="BC57" i="1"/>
  <c r="BC60" i="1"/>
  <c r="BC67" i="1"/>
  <c r="BC73" i="1"/>
  <c r="BC76" i="1"/>
  <c r="BC79" i="1"/>
  <c r="BC82" i="1"/>
  <c r="BC85" i="1"/>
  <c r="BC88" i="1"/>
  <c r="BC55" i="1"/>
  <c r="BC92" i="1"/>
  <c r="BC58" i="1"/>
  <c r="BC61" i="1"/>
  <c r="BC65" i="1"/>
  <c r="BC68" i="1"/>
  <c r="BC71" i="1"/>
  <c r="BC74" i="1"/>
  <c r="BC77" i="1"/>
  <c r="BC78" i="1"/>
  <c r="BC80" i="1"/>
  <c r="BC83" i="1"/>
  <c r="BC86" i="1"/>
  <c r="BC53" i="1"/>
  <c r="BC90" i="1"/>
  <c r="BC56" i="1"/>
  <c r="BC93" i="1"/>
  <c r="BC59" i="1"/>
  <c r="BC62" i="1"/>
  <c r="BC66" i="1"/>
  <c r="BC69" i="1"/>
  <c r="BC72" i="1"/>
  <c r="BC75" i="1"/>
  <c r="BC52" i="1"/>
  <c r="BC84" i="1"/>
  <c r="BC81" i="1"/>
  <c r="BC87" i="1"/>
  <c r="BC51" i="1"/>
  <c r="BC63" i="1"/>
  <c r="BC70" i="1"/>
  <c r="BC54" i="1"/>
  <c r="BF50" i="1"/>
  <c r="BF49" i="1"/>
  <c r="BF48" i="1"/>
  <c r="BF47" i="1"/>
  <c r="BF45" i="1"/>
  <c r="BM50" i="1"/>
  <c r="BM49" i="1"/>
  <c r="BM47" i="1"/>
  <c r="BM48" i="1"/>
  <c r="BM45" i="1"/>
  <c r="BL50" i="1"/>
  <c r="BL48" i="1"/>
  <c r="BL49" i="1"/>
  <c r="BL47" i="1"/>
  <c r="BL45" i="1"/>
  <c r="BD49" i="1"/>
  <c r="BD50" i="1"/>
  <c r="BD47" i="1"/>
  <c r="BD48" i="1"/>
  <c r="BD45" i="1"/>
  <c r="BB50" i="1"/>
  <c r="BB49" i="1"/>
  <c r="BB47" i="1"/>
  <c r="BB48" i="1"/>
  <c r="BB45" i="1"/>
  <c r="BA49" i="1"/>
  <c r="BA48" i="1"/>
  <c r="BA45" i="1"/>
  <c r="BA47" i="1"/>
  <c r="BA50" i="1"/>
  <c r="AZ50" i="1"/>
  <c r="AZ47" i="1"/>
  <c r="AZ49" i="1"/>
  <c r="AZ48" i="1"/>
  <c r="AZ45" i="1"/>
  <c r="AW49" i="1"/>
  <c r="AW47" i="1"/>
  <c r="AW50" i="1"/>
  <c r="AW48" i="1"/>
  <c r="AW45" i="1"/>
  <c r="AU47" i="1"/>
  <c r="AU48" i="1"/>
  <c r="AU50" i="1"/>
  <c r="AU45" i="1"/>
  <c r="AU49" i="1"/>
  <c r="P49" i="1"/>
  <c r="P48" i="1"/>
  <c r="P45" i="1"/>
  <c r="P50" i="1"/>
  <c r="P47" i="1"/>
  <c r="O49" i="1"/>
  <c r="O50" i="1"/>
  <c r="O47" i="1"/>
  <c r="O48" i="1"/>
  <c r="O45" i="1"/>
  <c r="N47" i="1"/>
  <c r="N45" i="1"/>
  <c r="N49" i="1"/>
  <c r="N50" i="1"/>
  <c r="N48" i="1"/>
  <c r="BC49" i="1"/>
  <c r="BC50" i="1"/>
  <c r="BC47" i="1"/>
  <c r="BC45" i="1"/>
  <c r="BC48" i="1"/>
  <c r="H50" i="1"/>
  <c r="H48" i="1"/>
  <c r="H47" i="1"/>
  <c r="H49" i="1"/>
  <c r="BK48" i="1"/>
  <c r="BK45" i="1"/>
  <c r="BK50" i="1"/>
  <c r="BK49" i="1"/>
  <c r="BK47" i="1"/>
  <c r="BE49" i="1"/>
  <c r="BE47" i="1"/>
  <c r="BE45" i="1"/>
  <c r="BE50" i="1"/>
  <c r="BE48" i="1"/>
  <c r="AX50" i="1"/>
  <c r="AX49" i="1"/>
  <c r="AX48" i="1"/>
  <c r="AX47" i="1"/>
  <c r="AX45" i="1"/>
  <c r="AV49" i="1"/>
  <c r="AV47" i="1"/>
  <c r="AV50" i="1"/>
  <c r="AV48" i="1"/>
  <c r="AV45" i="1"/>
  <c r="BO50" i="1"/>
  <c r="BO48" i="1"/>
  <c r="BO49" i="1"/>
  <c r="BO45" i="1"/>
  <c r="BO47" i="1"/>
  <c r="AY47" i="1"/>
  <c r="AY50" i="1"/>
  <c r="AY49" i="1"/>
  <c r="AY48" i="1"/>
  <c r="AY45" i="1"/>
  <c r="AY30" i="1"/>
  <c r="AY22" i="1"/>
  <c r="AY9" i="1"/>
  <c r="AY34" i="1"/>
  <c r="AY27" i="1"/>
  <c r="AY19" i="1"/>
  <c r="AY14" i="1"/>
  <c r="AY24" i="1"/>
  <c r="AY11" i="1"/>
  <c r="AY44" i="1"/>
  <c r="AY43" i="1"/>
  <c r="AY42" i="1"/>
  <c r="AY41" i="1"/>
  <c r="AY40" i="1"/>
  <c r="AY39" i="1"/>
  <c r="AY35" i="1"/>
  <c r="AY26" i="1"/>
  <c r="AY18" i="1"/>
  <c r="AY13" i="1"/>
  <c r="AY38" i="1"/>
  <c r="AY32" i="1"/>
  <c r="AY28" i="1"/>
  <c r="AY20" i="1"/>
  <c r="AY15" i="1"/>
  <c r="AY33" i="1"/>
  <c r="AY12" i="1"/>
  <c r="AY10" i="1"/>
  <c r="AY8" i="1"/>
  <c r="AY37" i="1"/>
  <c r="AY31" i="1"/>
  <c r="AY29" i="1"/>
  <c r="AY36" i="1"/>
  <c r="AY25" i="1"/>
  <c r="AY23" i="1"/>
  <c r="AY21" i="1"/>
  <c r="AY7" i="1"/>
  <c r="BF28" i="1"/>
  <c r="BF20" i="1"/>
  <c r="BF12" i="1"/>
  <c r="BF37" i="1"/>
  <c r="BF36" i="1"/>
  <c r="BF25" i="1"/>
  <c r="BF17" i="1"/>
  <c r="BF9" i="1"/>
  <c r="BF34" i="1"/>
  <c r="BF22" i="1"/>
  <c r="BF14" i="1"/>
  <c r="BF24" i="1"/>
  <c r="BF16" i="1"/>
  <c r="BF8" i="1"/>
  <c r="BF26" i="1"/>
  <c r="BF18" i="1"/>
  <c r="BF10" i="1"/>
  <c r="BF29" i="1"/>
  <c r="BF27" i="1"/>
  <c r="BF41" i="1"/>
  <c r="BF23" i="1"/>
  <c r="BF21" i="1"/>
  <c r="BF19" i="1"/>
  <c r="BF40" i="1"/>
  <c r="BF35" i="1"/>
  <c r="BF15" i="1"/>
  <c r="BF13" i="1"/>
  <c r="BF11" i="1"/>
  <c r="BF39" i="1"/>
  <c r="BF33" i="1"/>
  <c r="BF32" i="1"/>
  <c r="BF38" i="1"/>
  <c r="BF43" i="1"/>
  <c r="BF44" i="1"/>
  <c r="BF7" i="1"/>
  <c r="BF42" i="1"/>
  <c r="AX25" i="1"/>
  <c r="AX17" i="1"/>
  <c r="AX12" i="1"/>
  <c r="AX37" i="1"/>
  <c r="AX36" i="1"/>
  <c r="AX30" i="1"/>
  <c r="AX22" i="1"/>
  <c r="AX9" i="1"/>
  <c r="AX34" i="1"/>
  <c r="AX27" i="1"/>
  <c r="AX19" i="1"/>
  <c r="AX29" i="1"/>
  <c r="AX21" i="1"/>
  <c r="AX8" i="1"/>
  <c r="AX31" i="1"/>
  <c r="AX23" i="1"/>
  <c r="AX10" i="1"/>
  <c r="AX20" i="1"/>
  <c r="AX18" i="1"/>
  <c r="AX16" i="1"/>
  <c r="AX44" i="1"/>
  <c r="AX43" i="1"/>
  <c r="AX42" i="1"/>
  <c r="AX41" i="1"/>
  <c r="AX40" i="1"/>
  <c r="AX35" i="1"/>
  <c r="AX13" i="1"/>
  <c r="AX11" i="1"/>
  <c r="AX39" i="1"/>
  <c r="AX33" i="1"/>
  <c r="AX32" i="1"/>
  <c r="AX28" i="1"/>
  <c r="AX26" i="1"/>
  <c r="AX24" i="1"/>
  <c r="AX38" i="1"/>
  <c r="AX7" i="1"/>
  <c r="AW28" i="1"/>
  <c r="AW20" i="1"/>
  <c r="AW33" i="1"/>
  <c r="AW25" i="1"/>
  <c r="AW17" i="1"/>
  <c r="AW37" i="1"/>
  <c r="AW36" i="1"/>
  <c r="AW30" i="1"/>
  <c r="AW22" i="1"/>
  <c r="AW14" i="1"/>
  <c r="AW9" i="1"/>
  <c r="AW34" i="1"/>
  <c r="AW24" i="1"/>
  <c r="AW16" i="1"/>
  <c r="AW11" i="1"/>
  <c r="AW44" i="1"/>
  <c r="AW43" i="1"/>
  <c r="AW42" i="1"/>
  <c r="AW41" i="1"/>
  <c r="AW40" i="1"/>
  <c r="AW39" i="1"/>
  <c r="AW35" i="1"/>
  <c r="AW26" i="1"/>
  <c r="AW18" i="1"/>
  <c r="AW38" i="1"/>
  <c r="AW32" i="1"/>
  <c r="AW7" i="1"/>
  <c r="AW10" i="1"/>
  <c r="AW8" i="1"/>
  <c r="AW31" i="1"/>
  <c r="AW29" i="1"/>
  <c r="AW27" i="1"/>
  <c r="AW23" i="1"/>
  <c r="AW21" i="1"/>
  <c r="AW19" i="1"/>
  <c r="AW15" i="1"/>
  <c r="BD31" i="1"/>
  <c r="BD18" i="1"/>
  <c r="BD10" i="1"/>
  <c r="BD28" i="1"/>
  <c r="BD23" i="1"/>
  <c r="BD15" i="1"/>
  <c r="BD33" i="1"/>
  <c r="BD20" i="1"/>
  <c r="BD12" i="1"/>
  <c r="BD37" i="1"/>
  <c r="BD36" i="1"/>
  <c r="BD22" i="1"/>
  <c r="BD14" i="1"/>
  <c r="BD29" i="1"/>
  <c r="BD24" i="1"/>
  <c r="BD16" i="1"/>
  <c r="BD8" i="1"/>
  <c r="BD42" i="1"/>
  <c r="BD25" i="1"/>
  <c r="BD41" i="1"/>
  <c r="BD7" i="1"/>
  <c r="BD21" i="1"/>
  <c r="BD19" i="1"/>
  <c r="BD17" i="1"/>
  <c r="BD40" i="1"/>
  <c r="BD35" i="1"/>
  <c r="BD34" i="1"/>
  <c r="BD13" i="1"/>
  <c r="BD11" i="1"/>
  <c r="BD9" i="1"/>
  <c r="BD39" i="1"/>
  <c r="BD32" i="1"/>
  <c r="BD44" i="1"/>
  <c r="BD30" i="1"/>
  <c r="BD38" i="1"/>
  <c r="BD43" i="1"/>
  <c r="AV31" i="1"/>
  <c r="AV23" i="1"/>
  <c r="AV15" i="1"/>
  <c r="AV28" i="1"/>
  <c r="AV20" i="1"/>
  <c r="AV12" i="1"/>
  <c r="AV33" i="1"/>
  <c r="AV25" i="1"/>
  <c r="AV17" i="1"/>
  <c r="AV37" i="1"/>
  <c r="AV36" i="1"/>
  <c r="AV27" i="1"/>
  <c r="AV19" i="1"/>
  <c r="AV29" i="1"/>
  <c r="AV21" i="1"/>
  <c r="AV13" i="1"/>
  <c r="AV8" i="1"/>
  <c r="AV26" i="1"/>
  <c r="AV24" i="1"/>
  <c r="AV22" i="1"/>
  <c r="AV38" i="1"/>
  <c r="AV7" i="1"/>
  <c r="AV18" i="1"/>
  <c r="AV16" i="1"/>
  <c r="AV14" i="1"/>
  <c r="AV44" i="1"/>
  <c r="AV43" i="1"/>
  <c r="AV42" i="1"/>
  <c r="AV39" i="1"/>
  <c r="AV41" i="1"/>
  <c r="AV40" i="1"/>
  <c r="AV35" i="1"/>
  <c r="AV34" i="1"/>
  <c r="AV9" i="1"/>
  <c r="AV32" i="1"/>
  <c r="AV30" i="1"/>
  <c r="H22" i="1"/>
  <c r="H37" i="1"/>
  <c r="H44" i="1"/>
  <c r="H36" i="1"/>
  <c r="H43" i="1"/>
  <c r="H35" i="1"/>
  <c r="H41" i="1"/>
  <c r="H33" i="1"/>
  <c r="H39" i="1"/>
  <c r="H31" i="1"/>
  <c r="H21" i="1"/>
  <c r="H19" i="1"/>
  <c r="H16" i="1"/>
  <c r="H10" i="1"/>
  <c r="H15" i="1"/>
  <c r="H14" i="1"/>
  <c r="H24" i="1"/>
  <c r="H8" i="1"/>
  <c r="H26" i="1"/>
  <c r="H20" i="1"/>
  <c r="H42" i="1"/>
  <c r="H29" i="1"/>
  <c r="H40" i="1"/>
  <c r="H30" i="1"/>
  <c r="H25" i="1"/>
  <c r="H17" i="1"/>
  <c r="H13" i="1"/>
  <c r="H38" i="1"/>
  <c r="H27" i="1"/>
  <c r="H11" i="1"/>
  <c r="H9" i="1"/>
  <c r="H32" i="1"/>
  <c r="H34" i="1"/>
  <c r="H45" i="1"/>
  <c r="H18" i="1"/>
  <c r="H23" i="1"/>
  <c r="H12" i="1"/>
  <c r="H28" i="1"/>
  <c r="BC26" i="1"/>
  <c r="BC21" i="1"/>
  <c r="BC13" i="1"/>
  <c r="BC38" i="1"/>
  <c r="BC32" i="1"/>
  <c r="BC31" i="1"/>
  <c r="BC18" i="1"/>
  <c r="BC10" i="1"/>
  <c r="BC28" i="1"/>
  <c r="BC23" i="1"/>
  <c r="BC15" i="1"/>
  <c r="BC33" i="1"/>
  <c r="BC30" i="1"/>
  <c r="BC17" i="1"/>
  <c r="BC9" i="1"/>
  <c r="BC34" i="1"/>
  <c r="BC19" i="1"/>
  <c r="BC11" i="1"/>
  <c r="BC44" i="1"/>
  <c r="BC43" i="1"/>
  <c r="BC42" i="1"/>
  <c r="BC41" i="1"/>
  <c r="BC40" i="1"/>
  <c r="BC39" i="1"/>
  <c r="BC35" i="1"/>
  <c r="BC8" i="1"/>
  <c r="BC36" i="1"/>
  <c r="BC7" i="1"/>
  <c r="BC22" i="1"/>
  <c r="BC29" i="1"/>
  <c r="BC27" i="1"/>
  <c r="BC20" i="1"/>
  <c r="BC14" i="1"/>
  <c r="BC12" i="1"/>
  <c r="BC37" i="1"/>
  <c r="BC16" i="1"/>
  <c r="AU26" i="1"/>
  <c r="AU18" i="1"/>
  <c r="AU10" i="1"/>
  <c r="AU38" i="1"/>
  <c r="AU32" i="1"/>
  <c r="AU31" i="1"/>
  <c r="AU23" i="1"/>
  <c r="AU15" i="1"/>
  <c r="AU28" i="1"/>
  <c r="AU20" i="1"/>
  <c r="AU12" i="1"/>
  <c r="AU33" i="1"/>
  <c r="AU30" i="1"/>
  <c r="AU22" i="1"/>
  <c r="AU14" i="1"/>
  <c r="AU34" i="1"/>
  <c r="AU24" i="1"/>
  <c r="AU16" i="1"/>
  <c r="AU44" i="1"/>
  <c r="AU43" i="1"/>
  <c r="AU42" i="1"/>
  <c r="AU41" i="1"/>
  <c r="AU40" i="1"/>
  <c r="AU39" i="1"/>
  <c r="AU35" i="1"/>
  <c r="AU7" i="1"/>
  <c r="AU37" i="1"/>
  <c r="AU36" i="1"/>
  <c r="AU13" i="1"/>
  <c r="AU29" i="1"/>
  <c r="AU27" i="1"/>
  <c r="AU25" i="1"/>
  <c r="AU11" i="1"/>
  <c r="AU21" i="1"/>
  <c r="AU19" i="1"/>
  <c r="AU17" i="1"/>
  <c r="BO31" i="1"/>
  <c r="BO38" i="1"/>
  <c r="BO32" i="1"/>
  <c r="BO37" i="1"/>
  <c r="BO36" i="1"/>
  <c r="BO40" i="1"/>
  <c r="BO35" i="1"/>
  <c r="BO34" i="1"/>
  <c r="BO33" i="1"/>
  <c r="BO11" i="1"/>
  <c r="BO39" i="1"/>
  <c r="BO20" i="1"/>
  <c r="BO18" i="1"/>
  <c r="BO15" i="1"/>
  <c r="BO9" i="1"/>
  <c r="BO13" i="1"/>
  <c r="BO30" i="1"/>
  <c r="BO25" i="1"/>
  <c r="BO23" i="1"/>
  <c r="BO19" i="1"/>
  <c r="BO14" i="1"/>
  <c r="BO7" i="1"/>
  <c r="BO44" i="1"/>
  <c r="BO28" i="1"/>
  <c r="BO43" i="1"/>
  <c r="BO29" i="1"/>
  <c r="BO27" i="1"/>
  <c r="BO24" i="1"/>
  <c r="BO12" i="1"/>
  <c r="BO42" i="1"/>
  <c r="BO41" i="1"/>
  <c r="BO10" i="1"/>
  <c r="BO8" i="1"/>
  <c r="BO21" i="1"/>
  <c r="BO26" i="1"/>
  <c r="BO17" i="1"/>
  <c r="BO16" i="1"/>
  <c r="BO22" i="1"/>
  <c r="BB29" i="1"/>
  <c r="BB16" i="1"/>
  <c r="BB8" i="1"/>
  <c r="BB26" i="1"/>
  <c r="BB21" i="1"/>
  <c r="BB13" i="1"/>
  <c r="BB38" i="1"/>
  <c r="BB32" i="1"/>
  <c r="BB31" i="1"/>
  <c r="BB18" i="1"/>
  <c r="BB10" i="1"/>
  <c r="BB25" i="1"/>
  <c r="BB20" i="1"/>
  <c r="BB12" i="1"/>
  <c r="BB37" i="1"/>
  <c r="BB36" i="1"/>
  <c r="BB27" i="1"/>
  <c r="BB14" i="1"/>
  <c r="BB43" i="1"/>
  <c r="BB42" i="1"/>
  <c r="BB41" i="1"/>
  <c r="BB19" i="1"/>
  <c r="BB17" i="1"/>
  <c r="BB15" i="1"/>
  <c r="BB40" i="1"/>
  <c r="BB35" i="1"/>
  <c r="BB34" i="1"/>
  <c r="BB33" i="1"/>
  <c r="BB7" i="1"/>
  <c r="BB11" i="1"/>
  <c r="BB9" i="1"/>
  <c r="BB39" i="1"/>
  <c r="BB30" i="1"/>
  <c r="BB28" i="1"/>
  <c r="BB24" i="1"/>
  <c r="BB44" i="1"/>
  <c r="P28" i="1"/>
  <c r="P34" i="1"/>
  <c r="P38" i="1"/>
  <c r="P37" i="1"/>
  <c r="P35" i="1"/>
  <c r="P44" i="1"/>
  <c r="P43" i="1"/>
  <c r="P42" i="1"/>
  <c r="P41" i="1"/>
  <c r="P40" i="1"/>
  <c r="P36" i="1"/>
  <c r="P32" i="1"/>
  <c r="P33" i="1"/>
  <c r="P9" i="1"/>
  <c r="P22" i="1"/>
  <c r="P11" i="1"/>
  <c r="P27" i="1"/>
  <c r="P21" i="1"/>
  <c r="P19" i="1"/>
  <c r="P16" i="1"/>
  <c r="P12" i="1"/>
  <c r="P10" i="1"/>
  <c r="P14" i="1"/>
  <c r="P31" i="1"/>
  <c r="P26" i="1"/>
  <c r="P24" i="1"/>
  <c r="P20" i="1"/>
  <c r="P15" i="1"/>
  <c r="P8" i="1"/>
  <c r="P17" i="1"/>
  <c r="P30" i="1"/>
  <c r="P7" i="1"/>
  <c r="P25" i="1"/>
  <c r="P13" i="1"/>
  <c r="P23" i="1"/>
  <c r="P29" i="1"/>
  <c r="P18" i="1"/>
  <c r="O34" i="1"/>
  <c r="O38" i="1"/>
  <c r="O37" i="1"/>
  <c r="O40" i="1"/>
  <c r="O33" i="1"/>
  <c r="O32" i="1"/>
  <c r="O30" i="1"/>
  <c r="O25" i="1"/>
  <c r="O17" i="1"/>
  <c r="O13" i="1"/>
  <c r="O7" i="1"/>
  <c r="O9" i="1"/>
  <c r="O28" i="1"/>
  <c r="O23" i="1"/>
  <c r="O39" i="1"/>
  <c r="O22" i="1"/>
  <c r="O11" i="1"/>
  <c r="O27" i="1"/>
  <c r="O44" i="1"/>
  <c r="O21" i="1"/>
  <c r="O19" i="1"/>
  <c r="O16" i="1"/>
  <c r="O12" i="1"/>
  <c r="O10" i="1"/>
  <c r="O43" i="1"/>
  <c r="O14" i="1"/>
  <c r="O42" i="1"/>
  <c r="O20" i="1"/>
  <c r="O15" i="1"/>
  <c r="O41" i="1"/>
  <c r="O35" i="1"/>
  <c r="O8" i="1"/>
  <c r="O29" i="1"/>
  <c r="O26" i="1"/>
  <c r="O18" i="1"/>
  <c r="O24" i="1"/>
  <c r="O36" i="1"/>
  <c r="O31" i="1"/>
  <c r="BE23" i="1"/>
  <c r="BE15" i="1"/>
  <c r="BE33" i="1"/>
  <c r="BE20" i="1"/>
  <c r="BE12" i="1"/>
  <c r="BE37" i="1"/>
  <c r="BE36" i="1"/>
  <c r="BE30" i="1"/>
  <c r="BE25" i="1"/>
  <c r="BE17" i="1"/>
  <c r="BE9" i="1"/>
  <c r="BE34" i="1"/>
  <c r="BE27" i="1"/>
  <c r="BE19" i="1"/>
  <c r="BE11" i="1"/>
  <c r="BE44" i="1"/>
  <c r="BE43" i="1"/>
  <c r="BE42" i="1"/>
  <c r="BE41" i="1"/>
  <c r="BE40" i="1"/>
  <c r="BE39" i="1"/>
  <c r="BE35" i="1"/>
  <c r="BE21" i="1"/>
  <c r="BE13" i="1"/>
  <c r="BE38" i="1"/>
  <c r="BE32" i="1"/>
  <c r="BE31" i="1"/>
  <c r="BE7" i="1"/>
  <c r="BE16" i="1"/>
  <c r="BE26" i="1"/>
  <c r="BE24" i="1"/>
  <c r="BE22" i="1"/>
  <c r="BE14" i="1"/>
  <c r="BE10" i="1"/>
  <c r="BE18" i="1"/>
  <c r="BE8" i="1"/>
  <c r="BM44" i="1"/>
  <c r="BM43" i="1"/>
  <c r="BM42" i="1"/>
  <c r="BM41" i="1"/>
  <c r="BM40" i="1"/>
  <c r="BM39" i="1"/>
  <c r="BM35" i="1"/>
  <c r="BM38" i="1"/>
  <c r="BM32" i="1"/>
  <c r="BM33" i="1"/>
  <c r="BM34" i="1"/>
  <c r="BM31" i="1"/>
  <c r="BM26" i="1"/>
  <c r="BM10" i="1"/>
  <c r="BM8" i="1"/>
  <c r="BM11" i="1"/>
  <c r="BM15" i="1"/>
  <c r="BM9" i="1"/>
  <c r="BM20" i="1"/>
  <c r="BM18" i="1"/>
  <c r="BM30" i="1"/>
  <c r="BM17" i="1"/>
  <c r="BM13" i="1"/>
  <c r="BM25" i="1"/>
  <c r="BM23" i="1"/>
  <c r="BM19" i="1"/>
  <c r="BM14" i="1"/>
  <c r="BM7" i="1"/>
  <c r="BM37" i="1"/>
  <c r="BM28" i="1"/>
  <c r="BM22" i="1"/>
  <c r="BM16" i="1"/>
  <c r="BM36" i="1"/>
  <c r="BM24" i="1"/>
  <c r="BM12" i="1"/>
  <c r="BM27" i="1"/>
  <c r="BM21" i="1"/>
  <c r="BM29" i="1"/>
  <c r="BA24" i="1"/>
  <c r="BA19" i="1"/>
  <c r="BA11" i="1"/>
  <c r="BA44" i="1"/>
  <c r="BA43" i="1"/>
  <c r="BA42" i="1"/>
  <c r="BA41" i="1"/>
  <c r="BA40" i="1"/>
  <c r="BA39" i="1"/>
  <c r="BA35" i="1"/>
  <c r="BA29" i="1"/>
  <c r="BA16" i="1"/>
  <c r="BA8" i="1"/>
  <c r="BA26" i="1"/>
  <c r="BA13" i="1"/>
  <c r="BA38" i="1"/>
  <c r="BA32" i="1"/>
  <c r="BA28" i="1"/>
  <c r="BA15" i="1"/>
  <c r="BA33" i="1"/>
  <c r="BA30" i="1"/>
  <c r="BA22" i="1"/>
  <c r="BA17" i="1"/>
  <c r="BA9" i="1"/>
  <c r="BA34" i="1"/>
  <c r="BA14" i="1"/>
  <c r="BA12" i="1"/>
  <c r="BA10" i="1"/>
  <c r="BA37" i="1"/>
  <c r="BA31" i="1"/>
  <c r="BA36" i="1"/>
  <c r="BA27" i="1"/>
  <c r="BA25" i="1"/>
  <c r="BA23" i="1"/>
  <c r="BA7" i="1"/>
  <c r="BA18" i="1"/>
  <c r="BL44" i="1"/>
  <c r="BL43" i="1"/>
  <c r="BL42" i="1"/>
  <c r="BL41" i="1"/>
  <c r="BL40" i="1"/>
  <c r="BL39" i="1"/>
  <c r="BL35" i="1"/>
  <c r="BL37" i="1"/>
  <c r="BL36" i="1"/>
  <c r="BL10" i="1"/>
  <c r="BL34" i="1"/>
  <c r="BL33" i="1"/>
  <c r="BL32" i="1"/>
  <c r="BL31" i="1"/>
  <c r="BL26" i="1"/>
  <c r="BL8" i="1"/>
  <c r="BL11" i="1"/>
  <c r="BL38" i="1"/>
  <c r="BL20" i="1"/>
  <c r="BL18" i="1"/>
  <c r="BL15" i="1"/>
  <c r="BL9" i="1"/>
  <c r="BL30" i="1"/>
  <c r="BL17" i="1"/>
  <c r="BL13" i="1"/>
  <c r="BL25" i="1"/>
  <c r="BL23" i="1"/>
  <c r="BL19" i="1"/>
  <c r="BL14" i="1"/>
  <c r="BL7" i="1"/>
  <c r="BL29" i="1"/>
  <c r="BL12" i="1"/>
  <c r="BL28" i="1"/>
  <c r="BL21" i="1"/>
  <c r="BL24" i="1"/>
  <c r="BL27" i="1"/>
  <c r="BL16" i="1"/>
  <c r="BL22" i="1"/>
  <c r="AZ27" i="1"/>
  <c r="AZ14" i="1"/>
  <c r="AZ24" i="1"/>
  <c r="AZ11" i="1"/>
  <c r="AZ44" i="1"/>
  <c r="AZ43" i="1"/>
  <c r="AZ42" i="1"/>
  <c r="AZ41" i="1"/>
  <c r="AZ40" i="1"/>
  <c r="AZ39" i="1"/>
  <c r="AZ35" i="1"/>
  <c r="AZ29" i="1"/>
  <c r="AZ21" i="1"/>
  <c r="AZ16" i="1"/>
  <c r="AZ8" i="1"/>
  <c r="AZ31" i="1"/>
  <c r="AZ23" i="1"/>
  <c r="AZ10" i="1"/>
  <c r="AZ25" i="1"/>
  <c r="AZ12" i="1"/>
  <c r="AZ37" i="1"/>
  <c r="AZ36" i="1"/>
  <c r="AZ28" i="1"/>
  <c r="AZ17" i="1"/>
  <c r="AZ15" i="1"/>
  <c r="AZ13" i="1"/>
  <c r="AZ34" i="1"/>
  <c r="AZ33" i="1"/>
  <c r="AZ32" i="1"/>
  <c r="AZ30" i="1"/>
  <c r="AZ38" i="1"/>
  <c r="AZ9" i="1"/>
  <c r="AZ7" i="1"/>
  <c r="AZ26" i="1"/>
  <c r="AZ22" i="1"/>
  <c r="AZ20" i="1"/>
  <c r="N39" i="1"/>
  <c r="N33" i="1"/>
  <c r="N7" i="1"/>
  <c r="N34" i="1"/>
  <c r="N35" i="1"/>
  <c r="N44" i="1"/>
  <c r="N43" i="1"/>
  <c r="N42" i="1"/>
  <c r="N41" i="1"/>
  <c r="N40" i="1"/>
  <c r="N36" i="1"/>
  <c r="N32" i="1"/>
  <c r="N29" i="1"/>
  <c r="N18" i="1"/>
  <c r="N30" i="1"/>
  <c r="N25" i="1"/>
  <c r="N17" i="1"/>
  <c r="N13" i="1"/>
  <c r="N28" i="1"/>
  <c r="N23" i="1"/>
  <c r="N22" i="1"/>
  <c r="N11" i="1"/>
  <c r="N9" i="1"/>
  <c r="N38" i="1"/>
  <c r="N27" i="1"/>
  <c r="N37" i="1"/>
  <c r="N21" i="1"/>
  <c r="N19" i="1"/>
  <c r="N16" i="1"/>
  <c r="N12" i="1"/>
  <c r="N10" i="1"/>
  <c r="N31" i="1"/>
  <c r="N20" i="1"/>
  <c r="N15" i="1"/>
  <c r="N24" i="1"/>
  <c r="N26" i="1"/>
  <c r="N14" i="1"/>
  <c r="N8" i="1"/>
  <c r="BK34" i="1"/>
  <c r="BK44" i="1"/>
  <c r="BK43" i="1"/>
  <c r="BK42" i="1"/>
  <c r="BK41" i="1"/>
  <c r="BK40" i="1"/>
  <c r="BK39" i="1"/>
  <c r="BK35" i="1"/>
  <c r="BK38" i="1"/>
  <c r="BK32" i="1"/>
  <c r="BK33" i="1"/>
  <c r="BK29" i="1"/>
  <c r="BK27" i="1"/>
  <c r="BK24" i="1"/>
  <c r="BK21" i="1"/>
  <c r="BK12" i="1"/>
  <c r="BK10" i="1"/>
  <c r="BK8" i="1"/>
  <c r="BK31" i="1"/>
  <c r="BK26" i="1"/>
  <c r="BK11" i="1"/>
  <c r="BK20" i="1"/>
  <c r="BK18" i="1"/>
  <c r="BK15" i="1"/>
  <c r="BK9" i="1"/>
  <c r="BK37" i="1"/>
  <c r="BK30" i="1"/>
  <c r="BK17" i="1"/>
  <c r="BK13" i="1"/>
  <c r="BK23" i="1"/>
  <c r="BK7" i="1"/>
  <c r="BK16" i="1"/>
  <c r="BK19" i="1"/>
  <c r="BK14" i="1"/>
  <c r="BK36" i="1"/>
  <c r="BK28" i="1"/>
  <c r="BK25" i="1"/>
  <c r="BK22" i="1"/>
  <c r="AY97" i="1"/>
  <c r="BC97" i="1"/>
  <c r="AW97" i="1"/>
  <c r="AZ97" i="1"/>
  <c r="AV97" i="1"/>
  <c r="N97" i="1"/>
  <c r="BM97" i="1"/>
  <c r="BB97" i="1"/>
  <c r="AX97" i="1"/>
  <c r="AU97" i="1"/>
  <c r="O97" i="1"/>
  <c r="BL97" i="1"/>
  <c r="BK97" i="1"/>
  <c r="BA97" i="1"/>
  <c r="P97" i="1"/>
  <c r="J97" i="1"/>
  <c r="H97" i="1"/>
  <c r="BO97" i="1"/>
  <c r="BF97" i="1"/>
  <c r="BE97" i="1"/>
  <c r="BD9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Michael Young (21512438)</author>
    <author>Michael Young</author>
    <author>John</author>
  </authors>
  <commentList>
    <comment ref="B1" authorId="0" shapeId="0" xr:uid="{37D6CE8F-CE51-4B7D-8E5C-A1A0A18133AE}">
      <text>
        <r>
          <rPr>
            <b/>
            <sz val="9"/>
            <color indexed="81"/>
            <rFont val="Tahoma"/>
            <family val="2"/>
          </rPr>
          <t xml:space="preserve">Michael Young (21512438): 
</t>
        </r>
        <r>
          <rPr>
            <sz val="9"/>
            <color indexed="81"/>
            <rFont val="Tahoma"/>
            <family val="2"/>
          </rPr>
          <t xml:space="preserve">Can add cols that are just for personal use (eg not used by code) by adding the word Drop in the top row.
</t>
        </r>
      </text>
    </comment>
    <comment ref="C1" authorId="1" shapeId="0" xr:uid="{CCB77013-F05A-42FB-A15C-BBB0BA6C23F4}">
      <text>
        <r>
          <rPr>
            <b/>
            <sz val="9"/>
            <color indexed="81"/>
            <rFont val="Tahoma"/>
            <family val="2"/>
          </rPr>
          <t>Michael Young:</t>
        </r>
        <r>
          <rPr>
            <sz val="9"/>
            <color indexed="81"/>
            <rFont val="Tahoma"/>
            <family val="2"/>
          </rPr>
          <t xml:space="preserve">
to keep the conditional formatting rules tidy, you can only insert a blank row or column (can't copy and insert paste) then you can copy and paste the formulas from a given row or column it into your newly inserted row or column. </t>
        </r>
      </text>
    </comment>
    <comment ref="F1" authorId="0" shapeId="0" xr:uid="{10B3F34B-4772-43FF-8769-97F5228546B0}">
      <text>
        <r>
          <rPr>
            <b/>
            <sz val="9"/>
            <color indexed="81"/>
            <rFont val="Tahoma"/>
            <family val="2"/>
          </rPr>
          <t>Michael Young (21512438):</t>
        </r>
        <r>
          <rPr>
            <sz val="9"/>
            <color indexed="81"/>
            <rFont val="Tahoma"/>
            <family val="2"/>
          </rPr>
          <t xml:space="preserve">
Pandas doesn’t like it if you use % in the trial name description. The code will run fine you just wont be able to view the df.</t>
        </r>
      </text>
    </comment>
    <comment ref="A2" authorId="2" shapeId="0" xr:uid="{BCCD4931-9FC5-4352-A342-899CDCC99998}">
      <text>
        <r>
          <rPr>
            <b/>
            <sz val="9"/>
            <color indexed="81"/>
            <rFont val="Tahoma"/>
            <family val="2"/>
          </rPr>
          <t>John:</t>
        </r>
        <r>
          <rPr>
            <sz val="9"/>
            <color indexed="81"/>
            <rFont val="Tahoma"/>
            <family val="2"/>
          </rPr>
          <t xml:space="preserve">
Must be first because it is updated by a macro</t>
        </r>
      </text>
    </comment>
    <comment ref="F2" authorId="0" shapeId="0" xr:uid="{28A87732-DFBE-4E72-8AD9-CC58CDE1082B}">
      <text>
        <r>
          <rPr>
            <b/>
            <sz val="9"/>
            <color indexed="81"/>
            <rFont val="Tahoma"/>
            <family val="2"/>
          </rPr>
          <t>Michael Young (21512438):</t>
        </r>
        <r>
          <rPr>
            <sz val="9"/>
            <color indexed="81"/>
            <rFont val="Tahoma"/>
            <family val="2"/>
          </rPr>
          <t xml:space="preserve">
Must match the key assigned in Sensitivity.py</t>
        </r>
      </text>
    </comment>
    <comment ref="F3" authorId="1" shapeId="0" xr:uid="{3BDB7BEB-FC53-4975-ADDB-A81C02A033DC}">
      <text>
        <r>
          <rPr>
            <b/>
            <sz val="9"/>
            <color indexed="81"/>
            <rFont val="Tahoma"/>
            <family val="2"/>
          </rPr>
          <t>Michael Young:</t>
        </r>
        <r>
          <rPr>
            <sz val="9"/>
            <color indexed="81"/>
            <rFont val="Tahoma"/>
            <family val="2"/>
          </rPr>
          <t xml:space="preserve">
Optional
- Needed for pas</t>
        </r>
      </text>
    </comment>
    <comment ref="B4" authorId="2" shapeId="0" xr:uid="{CD85CAB6-9789-4C7A-ADAE-EF4BFD67B6CA}">
      <text>
        <r>
          <rPr>
            <b/>
            <sz val="9"/>
            <color indexed="81"/>
            <rFont val="Tahoma"/>
            <family val="2"/>
          </rPr>
          <t>John:</t>
        </r>
        <r>
          <rPr>
            <sz val="9"/>
            <color indexed="81"/>
            <rFont val="Tahoma"/>
            <family val="2"/>
          </rPr>
          <t xml:space="preserve">
Total number of trials defined</t>
        </r>
      </text>
    </comment>
    <comment ref="C4" authorId="2" shapeId="0" xr:uid="{356E8614-0E2F-4117-B344-BA1B78753371}">
      <text>
        <r>
          <rPr>
            <b/>
            <sz val="9"/>
            <color indexed="81"/>
            <rFont val="Tahoma"/>
            <family val="2"/>
          </rPr>
          <t>John:</t>
        </r>
        <r>
          <rPr>
            <sz val="9"/>
            <color indexed="81"/>
            <rFont val="Tahoma"/>
            <family val="2"/>
          </rPr>
          <t xml:space="preserve">
Number of the trials being run (TRUE)
This could get expanded functionality if trials are assigned to experiments. Use this column to specify the experiment number. The running of the trial could then be based on which Experiments are to be run (specified in Exp.py). The individual trials could still be controlled from here if 0 is override FALSE and 1 is override TRUE (or no experiments).</t>
        </r>
      </text>
    </comment>
    <comment ref="D4" authorId="2" shapeId="0" xr:uid="{3F8B7C71-9F70-474B-BC80-D6D9B8C12D5D}">
      <text>
        <r>
          <rPr>
            <b/>
            <sz val="9"/>
            <color indexed="81"/>
            <rFont val="Tahoma"/>
            <family val="2"/>
          </rPr>
          <t>John:</t>
        </r>
        <r>
          <rPr>
            <sz val="9"/>
            <color indexed="81"/>
            <rFont val="Tahoma"/>
            <family val="2"/>
          </rPr>
          <t xml:space="preserve">
Full output includes storing the .lp file, the Variable summary &amp; the RC &amp; Duals.
(% of the trials being run)</t>
        </r>
      </text>
    </comment>
    <comment ref="E4" authorId="2" shapeId="0" xr:uid="{08A47554-D3C3-4B37-B753-8416C6049C55}">
      <text>
        <r>
          <rPr>
            <b/>
            <sz val="9"/>
            <color indexed="81"/>
            <rFont val="Tahoma"/>
            <family val="2"/>
          </rPr>
          <t>John:</t>
        </r>
        <r>
          <rPr>
            <sz val="9"/>
            <color indexed="81"/>
            <rFont val="Tahoma"/>
            <family val="2"/>
          </rPr>
          <t xml:space="preserve">
Proportion of the trials to report
(% of all the trials)</t>
        </r>
      </text>
    </comment>
    <comment ref="F4" authorId="1" shapeId="0" xr:uid="{7875E08E-43A6-4F76-BAD2-431E3C040A9B}">
      <text>
        <r>
          <rPr>
            <b/>
            <sz val="9"/>
            <color indexed="81"/>
            <rFont val="Tahoma"/>
            <family val="2"/>
          </rPr>
          <t>Michael Young:</t>
        </r>
        <r>
          <rPr>
            <sz val="9"/>
            <color indexed="81"/>
            <rFont val="Tahoma"/>
            <family val="2"/>
          </rPr>
          <t xml:space="preserve">
Optional
- needed for arrays
- can handle complex slicing. Use comma between each axis slice. Eg 2:3,1:2</t>
        </r>
      </text>
    </comment>
    <comment ref="G4" authorId="2" shapeId="0" xr:uid="{4F36A228-3F1E-4704-9598-6A61A0F5D5E9}">
      <text>
        <r>
          <rPr>
            <b/>
            <sz val="9"/>
            <color indexed="81"/>
            <rFont val="Tahoma"/>
            <family val="2"/>
          </rPr>
          <t>John:</t>
        </r>
        <r>
          <rPr>
            <sz val="9"/>
            <color indexed="81"/>
            <rFont val="Tahoma"/>
            <family val="2"/>
          </rPr>
          <t xml:space="preserve">
This cell will be '-' or 'Dup' 
Note: Will return Dup if there is an empty cell in a trial above the current trial</t>
        </r>
      </text>
    </comment>
    <comment ref="S4" authorId="0" shapeId="0" xr:uid="{5E9937B7-593D-4C08-A5F4-680E01B068E4}">
      <text>
        <r>
          <rPr>
            <b/>
            <sz val="9"/>
            <color indexed="81"/>
            <rFont val="Tahoma"/>
            <family val="2"/>
          </rPr>
          <t>Michael Young (21512438):</t>
        </r>
        <r>
          <rPr>
            <sz val="9"/>
            <color indexed="81"/>
            <rFont val="Tahoma"/>
            <family val="2"/>
          </rPr>
          <t xml:space="preserve">
liveweight change
</t>
        </r>
      </text>
    </comment>
    <comment ref="T4" authorId="0" shapeId="0" xr:uid="{DFEED9F5-DAF3-439E-9282-67343199380A}">
      <text>
        <r>
          <rPr>
            <b/>
            <sz val="9"/>
            <color indexed="81"/>
            <rFont val="Tahoma"/>
            <family val="2"/>
          </rPr>
          <t>Michael Young (21512438):</t>
        </r>
        <r>
          <rPr>
            <sz val="9"/>
            <color indexed="81"/>
            <rFont val="Tahoma"/>
            <family val="2"/>
          </rPr>
          <t xml:space="preserve">
progeny survival</t>
        </r>
      </text>
    </comment>
    <comment ref="U4" authorId="0" shapeId="0" xr:uid="{5DB71789-2A0E-4D55-924F-B2B3E6AAC9FF}">
      <text>
        <r>
          <rPr>
            <b/>
            <sz val="9"/>
            <color indexed="81"/>
            <rFont val="Tahoma"/>
            <family val="2"/>
          </rPr>
          <t>Michael Young (21512438):</t>
        </r>
        <r>
          <rPr>
            <sz val="9"/>
            <color indexed="81"/>
            <rFont val="Tahoma"/>
            <family val="2"/>
          </rPr>
          <t xml:space="preserve">
birth weight</t>
        </r>
      </text>
    </comment>
    <comment ref="V4" authorId="0" shapeId="0" xr:uid="{A688DF82-6F38-4E55-A9CC-B23BA9F38B87}">
      <text>
        <r>
          <rPr>
            <b/>
            <sz val="9"/>
            <color indexed="81"/>
            <rFont val="Tahoma"/>
            <family val="2"/>
          </rPr>
          <t>Michael Young (21512438):</t>
        </r>
        <r>
          <rPr>
            <sz val="9"/>
            <color indexed="81"/>
            <rFont val="Tahoma"/>
            <family val="2"/>
          </rPr>
          <t xml:space="preserve">
liveweight change
</t>
        </r>
      </text>
    </comment>
    <comment ref="W4" authorId="0" shapeId="0" xr:uid="{2CE129D6-0396-4382-8FDF-E442EAF91709}">
      <text>
        <r>
          <rPr>
            <b/>
            <sz val="9"/>
            <color indexed="81"/>
            <rFont val="Tahoma"/>
            <family val="2"/>
          </rPr>
          <t>Michael Young (21512438):</t>
        </r>
        <r>
          <rPr>
            <sz val="9"/>
            <color indexed="81"/>
            <rFont val="Tahoma"/>
            <family val="2"/>
          </rPr>
          <t xml:space="preserve">
progeny survival</t>
        </r>
      </text>
    </comment>
    <comment ref="X4" authorId="0" shapeId="0" xr:uid="{9E0EA609-9502-454F-B389-2CE90420ED02}">
      <text>
        <r>
          <rPr>
            <b/>
            <sz val="9"/>
            <color indexed="81"/>
            <rFont val="Tahoma"/>
            <family val="2"/>
          </rPr>
          <t>Michael Young (21512438):</t>
        </r>
        <r>
          <rPr>
            <sz val="9"/>
            <color indexed="81"/>
            <rFont val="Tahoma"/>
            <family val="2"/>
          </rPr>
          <t xml:space="preserve">
birth weight</t>
        </r>
      </text>
    </comment>
    <comment ref="Y4" authorId="0" shapeId="0" xr:uid="{5E1F6867-DE89-4325-A0D6-6371F2CA6D61}">
      <text>
        <r>
          <rPr>
            <b/>
            <sz val="9"/>
            <color indexed="81"/>
            <rFont val="Tahoma"/>
            <family val="2"/>
          </rPr>
          <t>Michael Young (21512438):</t>
        </r>
        <r>
          <rPr>
            <sz val="9"/>
            <color indexed="81"/>
            <rFont val="Tahoma"/>
            <family val="2"/>
          </rPr>
          <t xml:space="preserve">
liveweight change
</t>
        </r>
      </text>
    </comment>
    <comment ref="Z4" authorId="0" shapeId="0" xr:uid="{5AED2239-480A-40F4-B377-23AC17261327}">
      <text>
        <r>
          <rPr>
            <b/>
            <sz val="9"/>
            <color indexed="81"/>
            <rFont val="Tahoma"/>
            <family val="2"/>
          </rPr>
          <t>Michael Young (21512438):</t>
        </r>
        <r>
          <rPr>
            <sz val="9"/>
            <color indexed="81"/>
            <rFont val="Tahoma"/>
            <family val="2"/>
          </rPr>
          <t xml:space="preserve">
progeny survival</t>
        </r>
      </text>
    </comment>
    <comment ref="AA4" authorId="0" shapeId="0" xr:uid="{577087E1-068B-4478-8D20-702DF1F08598}">
      <text>
        <r>
          <rPr>
            <b/>
            <sz val="9"/>
            <color indexed="81"/>
            <rFont val="Tahoma"/>
            <family val="2"/>
          </rPr>
          <t>Michael Young (21512438):</t>
        </r>
        <r>
          <rPr>
            <sz val="9"/>
            <color indexed="81"/>
            <rFont val="Tahoma"/>
            <family val="2"/>
          </rPr>
          <t xml:space="preserve">
birth weight</t>
        </r>
      </text>
    </comment>
    <comment ref="AB4" authorId="0" shapeId="0" xr:uid="{C96C639B-9387-4B8A-8C94-16B8B4592166}">
      <text>
        <r>
          <rPr>
            <b/>
            <sz val="9"/>
            <color indexed="81"/>
            <rFont val="Tahoma"/>
            <family val="2"/>
          </rPr>
          <t>Michael Young (21512438):</t>
        </r>
        <r>
          <rPr>
            <sz val="9"/>
            <color indexed="81"/>
            <rFont val="Tahoma"/>
            <family val="2"/>
          </rPr>
          <t xml:space="preserve">
liveweight change
</t>
        </r>
      </text>
    </comment>
    <comment ref="AC4" authorId="0" shapeId="0" xr:uid="{000F0FC5-C81D-4D0D-8F2E-435FA99D835B}">
      <text>
        <r>
          <rPr>
            <b/>
            <sz val="9"/>
            <color indexed="81"/>
            <rFont val="Tahoma"/>
            <family val="2"/>
          </rPr>
          <t>Michael Young (21512438):</t>
        </r>
        <r>
          <rPr>
            <sz val="9"/>
            <color indexed="81"/>
            <rFont val="Tahoma"/>
            <family val="2"/>
          </rPr>
          <t xml:space="preserve">
progeny survival</t>
        </r>
      </text>
    </comment>
    <comment ref="AD4" authorId="0" shapeId="0" xr:uid="{D68E2321-B490-4AB8-90C7-2F78558E7A65}">
      <text>
        <r>
          <rPr>
            <b/>
            <sz val="9"/>
            <color indexed="81"/>
            <rFont val="Tahoma"/>
            <family val="2"/>
          </rPr>
          <t>Michael Young (21512438):</t>
        </r>
        <r>
          <rPr>
            <sz val="9"/>
            <color indexed="81"/>
            <rFont val="Tahoma"/>
            <family val="2"/>
          </rPr>
          <t xml:space="preserve">
birth weight</t>
        </r>
      </text>
    </comment>
    <comment ref="AM4" authorId="0" shapeId="0" xr:uid="{B326D098-177C-461D-85E0-A915E55A4969}">
      <text>
        <r>
          <rPr>
            <b/>
            <sz val="9"/>
            <color indexed="81"/>
            <rFont val="Tahoma"/>
            <charset val="1"/>
          </rPr>
          <t>Michael Young (21512438):</t>
        </r>
        <r>
          <rPr>
            <sz val="9"/>
            <color indexed="81"/>
            <rFont val="Tahoma"/>
            <charset val="1"/>
          </rPr>
          <t xml:space="preserve">
95% conception 1 young</t>
        </r>
      </text>
    </comment>
    <comment ref="AN4" authorId="0" shapeId="0" xr:uid="{4F79B1BA-0287-46DF-95A1-6398C138451F}">
      <text>
        <r>
          <rPr>
            <b/>
            <sz val="9"/>
            <color indexed="81"/>
            <rFont val="Tahoma"/>
            <charset val="1"/>
          </rPr>
          <t>Michael Young (21512438):</t>
        </r>
        <r>
          <rPr>
            <sz val="9"/>
            <color indexed="81"/>
            <rFont val="Tahoma"/>
            <charset val="1"/>
          </rPr>
          <t xml:space="preserve">
95% conception 2 young</t>
        </r>
      </text>
    </comment>
    <comment ref="AO4" authorId="0" shapeId="0" xr:uid="{9648FC39-DD26-4FCB-9715-EA41A6CC1E54}">
      <text>
        <r>
          <rPr>
            <b/>
            <sz val="9"/>
            <color indexed="81"/>
            <rFont val="Tahoma"/>
            <family val="2"/>
          </rPr>
          <t>Michael Young:</t>
        </r>
        <r>
          <rPr>
            <sz val="9"/>
            <color indexed="81"/>
            <rFont val="Tahoma"/>
            <family val="2"/>
          </rPr>
          <t xml:space="preserve">
if n=3: medium nut
if n=2: high nut</t>
        </r>
      </text>
    </comment>
    <comment ref="AP4" authorId="0" shapeId="0" xr:uid="{800BE066-933B-4798-B666-2F7C85E751B1}">
      <text>
        <r>
          <rPr>
            <b/>
            <sz val="9"/>
            <color indexed="81"/>
            <rFont val="Tahoma"/>
            <family val="2"/>
          </rPr>
          <t>Michael Young:</t>
        </r>
        <r>
          <rPr>
            <sz val="9"/>
            <color indexed="81"/>
            <rFont val="Tahoma"/>
            <family val="2"/>
          </rPr>
          <t xml:space="preserve">
if n=3: high nut
if n=2: low nut</t>
        </r>
      </text>
    </comment>
    <comment ref="AQ4" authorId="0" shapeId="0" xr:uid="{379C25E9-FF87-4188-9EFA-48F297371AB8}">
      <text>
        <r>
          <rPr>
            <b/>
            <sz val="9"/>
            <color indexed="81"/>
            <rFont val="Tahoma"/>
            <family val="2"/>
          </rPr>
          <t>Michael Young:</t>
        </r>
        <r>
          <rPr>
            <sz val="9"/>
            <color indexed="81"/>
            <rFont val="Tahoma"/>
            <family val="2"/>
          </rPr>
          <t xml:space="preserve">
if n=3: low nut
if n=2: doesn't exist</t>
        </r>
      </text>
    </comment>
    <comment ref="BG4" authorId="0" shapeId="0" xr:uid="{13C81614-D294-404F-8AEB-2661A28CF526}">
      <text>
        <r>
          <rPr>
            <b/>
            <sz val="9"/>
            <color indexed="81"/>
            <rFont val="Tahoma"/>
            <charset val="1"/>
          </rPr>
          <t>Michael Young (21512438):</t>
        </r>
        <r>
          <rPr>
            <sz val="9"/>
            <color indexed="81"/>
            <rFont val="Tahoma"/>
            <charset val="1"/>
          </rPr>
          <t xml:space="preserve">
potential intake</t>
        </r>
      </text>
    </comment>
    <comment ref="F5" authorId="1" shapeId="0" xr:uid="{86423575-3B9D-46A2-9D4D-B5C8EEE47047}">
      <text>
        <r>
          <rPr>
            <b/>
            <sz val="9"/>
            <color indexed="81"/>
            <rFont val="Tahoma"/>
            <family val="2"/>
          </rPr>
          <t>Michael Young:</t>
        </r>
        <r>
          <rPr>
            <sz val="9"/>
            <color indexed="81"/>
            <rFont val="Tahoma"/>
            <family val="2"/>
          </rPr>
          <t xml:space="preserve">
This trial uses a formula to select the defalut values
'-' for SAV
1 for SAM
0 for SAA and SAP</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<sst xmlns="http://schemas.openxmlformats.org/spreadsheetml/2006/main" count="309" uniqueCount="178">
  <si>
    <t>sam</t>
  </si>
  <si>
    <t>germ_l</t>
  </si>
  <si>
    <t>Dict</t>
  </si>
  <si>
    <t>Key1</t>
  </si>
  <si>
    <t>Key2</t>
  </si>
  <si>
    <t>slice</t>
  </si>
  <si>
    <t>annual</t>
  </si>
  <si>
    <t>Default</t>
  </si>
  <si>
    <t>germ</t>
  </si>
  <si>
    <t>pgr</t>
  </si>
  <si>
    <t>pgr_l</t>
  </si>
  <si>
    <t>Germ low</t>
  </si>
  <si>
    <t>Germ high</t>
  </si>
  <si>
    <t>Lmu 0 Germ low</t>
  </si>
  <si>
    <t>Lmu 0 Germ high</t>
  </si>
  <si>
    <t>Lmu 1 Germ low</t>
  </si>
  <si>
    <t>Lmu 1 Germ high</t>
  </si>
  <si>
    <t>Lmu 2 Germ high</t>
  </si>
  <si>
    <t>Lmu 3 Germ low</t>
  </si>
  <si>
    <t>Lmu 3 Germ high</t>
  </si>
  <si>
    <t>Lmu 40 Germ low</t>
  </si>
  <si>
    <t>Lmu 4 Germ high</t>
  </si>
  <si>
    <t>Lmu 2 Germ low</t>
  </si>
  <si>
    <t>PGR low</t>
  </si>
  <si>
    <t>PGR high</t>
  </si>
  <si>
    <t>Lmu 0 PGR low</t>
  </si>
  <si>
    <t>Lmu 0 PGR high</t>
  </si>
  <si>
    <t>Lmu 1 PGR low</t>
  </si>
  <si>
    <t>Lmu 1 PGR high</t>
  </si>
  <si>
    <t>Lmu 2 PGR low</t>
  </si>
  <si>
    <t>Lmu 2 PGR high</t>
  </si>
  <si>
    <t>Lmu 3 PGR low</t>
  </si>
  <si>
    <t>Lmu 3 PGR high</t>
  </si>
  <si>
    <t>Lmu 40 PGR low</t>
  </si>
  <si>
    <t>Lmu 4 PGR high</t>
  </si>
  <si>
    <t>0:1</t>
  </si>
  <si>
    <t>1:2</t>
  </si>
  <si>
    <t>2:3</t>
  </si>
  <si>
    <t>3:4</t>
  </si>
  <si>
    <t>4:5</t>
  </si>
  <si>
    <t>saa</t>
  </si>
  <si>
    <t>sav</t>
  </si>
  <si>
    <t>sap</t>
  </si>
  <si>
    <t>Note on formatting</t>
  </si>
  <si>
    <t>eqn_compare</t>
  </si>
  <si>
    <t>TOL_inc</t>
  </si>
  <si>
    <t>g3_included</t>
  </si>
  <si>
    <t>woolp_mpg</t>
  </si>
  <si>
    <t>bnd_total_pas_area</t>
  </si>
  <si>
    <t>bnd_pasarea_inc</t>
  </si>
  <si>
    <t>Drop</t>
  </si>
  <si>
    <t>Pas area 10per</t>
  </si>
  <si>
    <t>Pas area 40per</t>
  </si>
  <si>
    <t>Pas area 60per</t>
  </si>
  <si>
    <t>Pas area 80per</t>
  </si>
  <si>
    <t>Both TOL inc</t>
  </si>
  <si>
    <t>scan_og1</t>
  </si>
  <si>
    <t>2:3,:</t>
  </si>
  <si>
    <t>fec_inc</t>
  </si>
  <si>
    <t>BBT inc</t>
  </si>
  <si>
    <t>TOL 1 only</t>
  </si>
  <si>
    <t>TOL 2 only</t>
  </si>
  <si>
    <t>eqn_used_g0_q1p7</t>
  </si>
  <si>
    <t>eqn_used_g3_q1p7</t>
  </si>
  <si>
    <t>eqn_used_g2_q1p7</t>
  </si>
  <si>
    <t>eqn_used_g1_q1p7</t>
  </si>
  <si>
    <t>steady_state</t>
  </si>
  <si>
    <t>season test</t>
  </si>
  <si>
    <t>Report FEC TOL1</t>
  </si>
  <si>
    <t>Description of this experiment</t>
  </si>
  <si>
    <t>lw_inc</t>
  </si>
  <si>
    <t>ffcfw_inc</t>
  </si>
  <si>
    <t>1:2,:</t>
  </si>
  <si>
    <t>10:11,:</t>
  </si>
  <si>
    <t>TOL2 FEC</t>
  </si>
  <si>
    <t>TOL2 FEC LTW</t>
  </si>
  <si>
    <t>Jul PJ-</t>
  </si>
  <si>
    <t>Jul New</t>
  </si>
  <si>
    <t>Last change</t>
  </si>
  <si>
    <t>This column must remain first</t>
  </si>
  <si>
    <t>BlankLast</t>
  </si>
  <si>
    <t>Jul Opt</t>
  </si>
  <si>
    <t>Standard</t>
  </si>
  <si>
    <t>evg_c2</t>
  </si>
  <si>
    <t>srw_c2</t>
  </si>
  <si>
    <t>cl0_c2</t>
  </si>
  <si>
    <t>ci_c2</t>
  </si>
  <si>
    <t>sfw_c2</t>
  </si>
  <si>
    <t>sfd_c2</t>
  </si>
  <si>
    <t>kg</t>
  </si>
  <si>
    <t>sar</t>
  </si>
  <si>
    <t>mortalityp</t>
  </si>
  <si>
    <t>8:9,:</t>
  </si>
  <si>
    <t>3:4,1:2,:</t>
  </si>
  <si>
    <t>3:4,2:3,:</t>
  </si>
  <si>
    <t>genotype</t>
  </si>
  <si>
    <t>nut_spread_n1</t>
  </si>
  <si>
    <t>-</t>
  </si>
  <si>
    <t>nut_-p5_p5</t>
  </si>
  <si>
    <t>nut_-p5_1</t>
  </si>
  <si>
    <t>nut_-p5_1p5</t>
  </si>
  <si>
    <t>nut_-p5_2</t>
  </si>
  <si>
    <t>nut_0_p5</t>
  </si>
  <si>
    <t>nut_0_1</t>
  </si>
  <si>
    <t>nut_0_1p5</t>
  </si>
  <si>
    <t>nut_0_2</t>
  </si>
  <si>
    <t>nut_+p5_p5</t>
  </si>
  <si>
    <t>nut_+p5_1</t>
  </si>
  <si>
    <t>nut_+p5_1p5</t>
  </si>
  <si>
    <t>nut_+p5_2</t>
  </si>
  <si>
    <t>nut_1_p5</t>
  </si>
  <si>
    <t>nut_1_1</t>
  </si>
  <si>
    <t>nut_1_1p5</t>
  </si>
  <si>
    <t>nut_1_2</t>
  </si>
  <si>
    <t>nut_spread_n3</t>
  </si>
  <si>
    <t>2 offs nutrition profiles only</t>
  </si>
  <si>
    <t>nut_1_2+p5</t>
  </si>
  <si>
    <t>Dam nutrition profiles</t>
  </si>
  <si>
    <t>Offspring nutrition profiles</t>
  </si>
  <si>
    <t>Report</t>
  </si>
  <si>
    <t>Run</t>
  </si>
  <si>
    <t>Description</t>
  </si>
  <si>
    <t>run_summary</t>
  </si>
  <si>
    <t>run_areasum</t>
  </si>
  <si>
    <t>run_daily_mei_dams</t>
  </si>
  <si>
    <t>run_pnl</t>
  </si>
  <si>
    <t>run_profitarea</t>
  </si>
  <si>
    <t>1rowsummaryforeachtrial</t>
  </si>
  <si>
    <t>areasummaryforeachlanduse</t>
  </si>
  <si>
    <t>tableofprofitandloss</t>
  </si>
  <si>
    <t>graphprofitbycroparea</t>
  </si>
  <si>
    <t>run_saleprice</t>
  </si>
  <si>
    <t>tableofgrosssaleprices</t>
  </si>
  <si>
    <t>run_cfw_dams</t>
  </si>
  <si>
    <t>tableofCFW</t>
  </si>
  <si>
    <t>run_lw_dams</t>
  </si>
  <si>
    <t>tableofliveweightatth</t>
  </si>
  <si>
    <t>run_ffcfw_dams</t>
  </si>
  <si>
    <t>tableoffleecefreeconc</t>
  </si>
  <si>
    <t>run_fec_dams</t>
  </si>
  <si>
    <t>Feedenergyconcentration</t>
  </si>
  <si>
    <t>run_ffcfw_prog</t>
  </si>
  <si>
    <t>ffcfwofprog</t>
  </si>
  <si>
    <t>run_fec_offs</t>
  </si>
  <si>
    <t>run_weanper</t>
  </si>
  <si>
    <t>tableofweaningpercent</t>
  </si>
  <si>
    <t>run_scanper</t>
  </si>
  <si>
    <t>tableofscanningpercent</t>
  </si>
  <si>
    <t>run_lamb_survival</t>
  </si>
  <si>
    <t>tableoflambsurvival</t>
  </si>
  <si>
    <t>tableofMEintake</t>
  </si>
  <si>
    <t>run_daily_pi_dams</t>
  </si>
  <si>
    <t>tableofpotentialintake</t>
  </si>
  <si>
    <t>run_numbers_dams</t>
  </si>
  <si>
    <t>tableofnumbersofDamsi</t>
  </si>
  <si>
    <t>run_numbers_prog</t>
  </si>
  <si>
    <t>tableofnumbersofprog</t>
  </si>
  <si>
    <t>run_numbers_offs</t>
  </si>
  <si>
    <t>tableofnumbersofOffspr</t>
  </si>
  <si>
    <t>run_dse</t>
  </si>
  <si>
    <t>tableofDSE</t>
  </si>
  <si>
    <t>run_grnfoo</t>
  </si>
  <si>
    <t>tableofgreenFOOatend</t>
  </si>
  <si>
    <t>run_dryfoo</t>
  </si>
  <si>
    <t>tableofdryFOOatendof</t>
  </si>
  <si>
    <t>run_napfoo</t>
  </si>
  <si>
    <t>tableofnapFOOatendof</t>
  </si>
  <si>
    <t>run_grncon</t>
  </si>
  <si>
    <t>tableofconsumptionofgr</t>
  </si>
  <si>
    <t>run_drycon</t>
  </si>
  <si>
    <t>tableofconsumptionofdr</t>
  </si>
  <si>
    <t>run_napcon</t>
  </si>
  <si>
    <t>tableofconsumptionofpa</t>
  </si>
  <si>
    <t>run_poccon</t>
  </si>
  <si>
    <t>run_supcon</t>
  </si>
  <si>
    <t>tableofconsumptionofsu</t>
  </si>
  <si>
    <t>run_stubcon</t>
  </si>
  <si>
    <t>tableofconsumptionofst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</si>
</sst>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mm\ h:mm"/>
  </numFmts>
  <fonts count="17">
    <font>
      <sz val="11"/>
      <color theme="1"/>
      <name val="Calibri"/>
      <family val="2"/>
      <scheme val="minor"/>
    </font>
    <font>
      <sz val="9"/>
      <color indexed="81"/>
      <name val="Tahoma"/>
      <family val="2"/>
    </font>
    <font>
      <b/>
      <sz val="9"/>
      <color indexed="81"/>
      <name val="Tahoma"/>
      <family val="2"/>
    </font>
    <font>
      <b/>
      <sz val="11"/>
      <color rgb="FFFA7D00"/>
      <name val="Calibri"/>
      <family val="2"/>
      <scheme val="minor"/>
    </font>
    <font>
      <sz val="8"/>
      <name val="Calibri"/>
      <family val="2"/>
      <scheme val="minor"/>
    </font>
    <font>
      <sz val="9"/>
      <color theme="1"/>
      <name val="Calibri"/>
      <family val="2"/>
      <scheme val="minor"/>
    </font>
    <font>
      <sz val="11"/>
      <color rgb="FF0000CC"/>
      <name val="Calibri"/>
      <family val="2"/>
      <scheme val="minor"/>
    </font>
    <font>
      <sz val="9"/>
      <color indexed="81"/>
      <name val="Tahoma"/>
      <charset val="1"/>
    </font>
    <font>
      <b/>
      <sz val="9"/>
      <color indexed="81"/>
      <name val="Tahoma"/>
      <charset val="1"/>
    </font>
    <font>
      <sz val="11"/>
      <color theme="1"/>
      <name val="Calibri"/>
      <family val="2"/>
      <scheme val="minor"/>
    </font>
    <font>
      <b/>
      <sz val="11"/>
      <color theme="1"/>
      <name val="Calibri"/>
      <family val="2"/>
      <scheme val="minor"/>
    </font>
    <font>
      <b/>
      <sz val="11"/>
      <color rgb="FFFF0000"/>
      <name val="Calibri"/>
      <family val="2"/>
      <scheme val="minor"/>
    </font>
    <font>
      <sz val="11"/>
      <color theme="0" tint="-0.34998626667073579"/>
      <name val="Calibri"/>
      <family val="2"/>
      <scheme val="minor"/>
    </font>
    <font>
      <sz val="11"/>
      <color theme="1" tint="0.499984740745262"/>
      <name val="Calibri"/>
      <family val="2"/>
      <scheme val="minor"/>
    </font>
    <font>
      <sz val="11"/>
      <color theme="1" tint="0.34998626667073579"/>
      <name val="Calibri"/>
      <family val="2"/>
      <scheme val="minor"/>
    </font>
    <font>
      <sz val="9.8000000000000007"/>
      <color rgb="FF080808"/>
      <name val="JetBrains Mono"/>
      <family val="3"/>
    </font>
    <font>
      <i/>
      <sz val="9.8000000000000007"/>
      <color rgb="FF8C8C8C"/>
      <name val="JetBrains Mono"/>
      <family val="3"/>
    </font>
  </fonts>
  <fills count="14">
    <fill>
      <patternFill patternType="none"/>
    </fill>
    <fill>
      <patternFill patternType="gray125"/>
    </fill>
    <fill>
      <patternFill patternType="solid">
        <fgColor theme="7" tint="0.59999389629810485"/>
        <bgColor indexed="64"/>
      </patternFill>
    </fill>
    <fill>
      <patternFill patternType="solid">
        <fgColor rgb="FFF2F2F2"/>
      </patternFill>
    </fill>
    <fill>
      <patternFill patternType="solid">
        <fgColor rgb="FF0000CC"/>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59996337778862885"/>
        <bgColor indexed="64"/>
      </patternFill>
    </fill>
    <fill>
      <patternFill patternType="solid">
        <fgColor theme="9" tint="0.3999450666829432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7" tint="0.59996337778862885"/>
        <bgColor indexed="64"/>
      </patternFill>
    </fill>
    <fill>
      <patternFill patternType="solid">
        <fgColor theme="0"/>
        <bgColor indexed="64"/>
      </patternFill>
    </fill>
    <fill>
      <patternFill patternType="solid">
        <fgColor rgb="FFFFFFFF"/>
        <bgColor indexed="64"/>
      </patternFill>
    </fill>
  </fills>
  <borders count="5">
    <border>
      <left/>
      <right/>
      <top/>
      <bottom/>
      <diagonal/>
    </border>
    <border>
      <left style="thin">
        <color rgb="FF7F7F7F"/>
      </left>
      <right style="thin">
        <color rgb="FF7F7F7F"/>
      </right>
      <top style="thin">
        <color rgb="FF7F7F7F"/>
      </top>
      <bottom style="thin">
        <color rgb="FF7F7F7F"/>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34998626667073579"/>
      </left>
      <right style="hair">
        <color theme="0" tint="-0.34998626667073579"/>
      </right>
      <top style="hair">
        <color theme="0" tint="-0.34998626667073579"/>
      </top>
      <bottom style="hair">
        <color theme="0" tint="-0.34998626667073579"/>
      </bottom>
      <diagonal/>
    </border>
    <border>
      <left/>
      <right/>
      <top style="hair">
        <color theme="0" tint="-0.24994659260841701"/>
      </top>
      <bottom style="hair">
        <color theme="0" tint="-0.24994659260841701"/>
      </bottom>
      <diagonal/>
    </border>
  </borders>
  <cellStyleXfs count="10">
    <xf numFmtId="0" fontId="0" fillId="0" borderId="0"/>
    <xf numFmtId="0" fontId="3" fillId="3" borderId="1" applyNumberFormat="0" applyAlignment="0" applyProtection="0"/>
    <xf numFmtId="0" fontId="6" fillId="5" borderId="2" applyNumberFormat="0" applyAlignment="0">
      <protection locked="0"/>
    </xf>
    <xf numFmtId="0" fontId="6" fillId="6" borderId="2" applyNumberFormat="0" applyFont="0" applyBorder="0" applyAlignment="0"/>
    <xf numFmtId="0" fontId="6" fillId="7" borderId="2" applyNumberFormat="0" applyFont="0" applyBorder="0" applyAlignment="0"/>
    <xf numFmtId="0" fontId="6" fillId="8" borderId="2" applyNumberFormat="0" applyFont="0" applyBorder="0" applyAlignment="0"/>
    <xf numFmtId="0" fontId="12" fillId="0" borderId="2" applyNumberFormat="0" applyAlignment="0"/>
    <xf numFmtId="0" fontId="9" fillId="9" borderId="3" applyNumberFormat="0" applyFont="0" applyAlignment="0"/>
    <xf numFmtId="0" fontId="13" fillId="10" borderId="2" applyNumberFormat="0" applyAlignment="0"/>
    <xf numFmtId="0" fontId="14" fillId="11" borderId="2" applyNumberFormat="0" applyAlignment="0"/>
  </cellStyleXfs>
  <cellXfs count="40">
    <xf numFmtId="0" fontId="0" fillId="0" borderId="0" xfId="0"/>
    <xf numFmtId="0" fontId="0" fillId="0" borderId="0" xfId="0" applyAlignment="1">
      <alignment textRotation="90"/>
    </xf>
    <xf numFmtId="49" fontId="0" fillId="0" borderId="0" xfId="0" applyNumberFormat="1"/>
    <xf numFmtId="0" fontId="0" fillId="2" borderId="0" xfId="0" applyFill="1"/>
    <xf numFmtId="0" fontId="0" fillId="2" borderId="0" xfId="0" applyFill="1" applyAlignment="1">
      <alignment horizontal="center" textRotation="90"/>
    </xf>
    <xf numFmtId="49" fontId="0" fillId="2" borderId="0" xfId="0" applyNumberFormat="1" applyFill="1" applyAlignment="1">
      <alignment horizontal="center" textRotation="90"/>
    </xf>
    <xf numFmtId="0" fontId="0" fillId="0" borderId="0" xfId="0" applyAlignment="1">
      <alignment horizontal="center" textRotation="90"/>
    </xf>
    <xf numFmtId="20" fontId="0" fillId="0" borderId="0" xfId="0" quotePrefix="1" applyNumberFormat="1" applyAlignment="1">
      <alignment horizontal="center" textRotation="90"/>
    </xf>
    <xf numFmtId="49" fontId="0" fillId="0" borderId="0" xfId="0" quotePrefix="1" applyNumberFormat="1" applyAlignment="1">
      <alignment horizontal="center" textRotation="90"/>
    </xf>
    <xf numFmtId="0" fontId="3" fillId="3" borderId="1" xfId="1"/>
    <xf numFmtId="0" fontId="0" fillId="0" borderId="0" xfId="0" applyAlignment="1">
      <alignment wrapText="1"/>
    </xf>
    <xf numFmtId="0" fontId="0" fillId="0" borderId="0" xfId="0" applyNumberFormat="1" applyAlignment="1">
      <alignment horizontal="center" wrapText="1"/>
    </xf>
    <xf numFmtId="49" fontId="0" fillId="0" borderId="0" xfId="0" applyNumberFormat="1" applyAlignment="1"/>
    <xf numFmtId="49" fontId="0" fillId="0" borderId="0" xfId="0" applyNumberFormat="1" applyAlignment="1">
      <alignment wrapText="1"/>
    </xf>
    <xf numFmtId="49" fontId="0" fillId="0" borderId="0" xfId="0" applyNumberFormat="1" applyAlignment="1">
      <alignment horizontal="center" wrapText="1"/>
    </xf>
    <xf numFmtId="0" fontId="0" fillId="4" borderId="0" xfId="0" applyFill="1"/>
    <xf numFmtId="49" fontId="0" fillId="4" borderId="0" xfId="0" applyNumberFormat="1" applyFill="1"/>
    <xf numFmtId="22" fontId="0" fillId="0" borderId="0" xfId="0" applyNumberFormat="1" applyAlignment="1">
      <alignment horizontal="center" wrapText="1"/>
    </xf>
    <xf numFmtId="164" fontId="5" fillId="0" borderId="0" xfId="0" applyNumberFormat="1" applyFont="1" applyAlignment="1">
      <alignment horizontal="center"/>
    </xf>
    <xf numFmtId="22" fontId="0" fillId="4" borderId="0" xfId="0" applyNumberFormat="1" applyFill="1"/>
    <xf numFmtId="22" fontId="0" fillId="0" borderId="0" xfId="0" applyNumberFormat="1" applyAlignment="1">
      <alignment horizontal="center" textRotation="90"/>
    </xf>
    <xf numFmtId="0" fontId="6" fillId="6" borderId="2" xfId="3"/>
    <xf numFmtId="0" fontId="6" fillId="7" borderId="2" xfId="4"/>
    <xf numFmtId="0" fontId="6" fillId="8" borderId="2" xfId="5"/>
    <xf numFmtId="0" fontId="0" fillId="4" borderId="3" xfId="7" applyFont="1" applyFill="1"/>
    <xf numFmtId="0" fontId="13" fillId="10" borderId="2" xfId="8"/>
    <xf numFmtId="0" fontId="10" fillId="0" borderId="0" xfId="0" applyFont="1" applyAlignment="1">
      <alignment horizontal="center"/>
    </xf>
    <xf numFmtId="0" fontId="10" fillId="4" borderId="3" xfId="7" applyFont="1" applyFill="1"/>
    <xf numFmtId="0" fontId="10" fillId="2" borderId="0" xfId="0" applyFont="1" applyFill="1" applyAlignment="1">
      <alignment horizontal="right"/>
    </xf>
    <xf numFmtId="22" fontId="11" fillId="0" borderId="0" xfId="0" applyNumberFormat="1" applyFont="1" applyAlignment="1">
      <alignment horizontal="center" textRotation="90"/>
    </xf>
    <xf numFmtId="0" fontId="0" fillId="9" borderId="3" xfId="7" applyFont="1" applyProtection="1">
      <protection locked="0"/>
    </xf>
    <xf numFmtId="0" fontId="6" fillId="5" borderId="2" xfId="2" applyProtection="1">
      <protection locked="0"/>
    </xf>
    <xf numFmtId="0" fontId="12" fillId="0" borderId="2" xfId="6"/>
    <xf numFmtId="0" fontId="14" fillId="11" borderId="2" xfId="9"/>
    <xf numFmtId="0" fontId="0" fillId="0" borderId="0" xfId="0" applyBorder="1"/>
    <xf numFmtId="0" fontId="0" fillId="12" borderId="4" xfId="0" applyFill="1" applyBorder="1" applyProtection="1">
      <protection locked="0"/>
    </xf>
    <xf numFmtId="0" fontId="15" fillId="0" borderId="0" xfId="0" applyFont="1" applyAlignment="1">
      <alignment vertical="center"/>
    </xf>
    <xf numFmtId="0" fontId="10" fillId="0" borderId="0" xfId="0" applyFont="1"/>
    <xf numFmtId="0" fontId="16" fillId="0" borderId="0" xfId="0" applyFont="1" applyAlignment="1">
      <alignment vertical="center"/>
    </xf>
    <xf numFmtId="0" fontId="16" fillId="13" borderId="0" xfId="0" applyFont="1" applyFill="1" applyAlignment="1">
      <alignment vertical="center"/>
    </xf>
  </cellXfs>
  <cellStyles count="10">
    <cellStyle name="Above" xfId="8" xr:uid="{72CEC041-4C58-4048-94A0-F2D8C1D87BE4}"/>
    <cellStyle name="Above2" xfId="9" xr:uid="{0F0E7D07-52C8-4C8B-BF71-5781CB577BF2}"/>
    <cellStyle name="Calc01" xfId="3" xr:uid="{59654C54-EF1B-49EB-A662-AE50B3C26DCC}"/>
    <cellStyle name="Calc02" xfId="4" xr:uid="{8ABB5764-F1D3-4F1B-8F51-7A906C51FFB3}"/>
    <cellStyle name="Calc03" xfId="5" xr:uid="{31DA6CCE-AC7A-488E-8BF2-B65A9598F609}"/>
    <cellStyle name="Calculation" xfId="1" builtinId="22"/>
    <cellStyle name="Default" xfId="7" xr:uid="{3B722F22-6F66-4DE8-A397-5DA5F343F529}"/>
    <cellStyle name="Input" xfId="2" builtinId="20" customBuiltin="1"/>
    <cellStyle name="Normal" xfId="0" builtinId="0"/>
    <cellStyle name="Std" xfId="6" xr:uid="{7F900438-BD5A-45A7-97C8-C912120AAA44}"/>
  </cellStyles>
  <dxfs count="7">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theme="8" tint="0.59996337778862885"/>
        </patternFill>
      </fill>
    </dxf>
    <dxf>
      <font>
        <color rgb="FF9C5700"/>
      </font>
      <fill>
        <patternFill>
          <bgColor rgb="FFFFEB9C"/>
        </patternFill>
      </fill>
    </dxf>
    <dxf>
      <fill>
        <patternFill>
          <bgColor rgb="FFFEBAC9"/>
        </patternFill>
      </fill>
    </dxf>
    <dxf>
      <font>
        <color rgb="FF9C0006"/>
      </font>
      <fill>
        <patternFill>
          <bgColor rgb="FFFFC7CE"/>
        </patternFill>
      </fill>
    </dxf>
  </dxfs>
  <tableStyles count="0" defaultTableStyle="TableStyleMedium2" defaultPivotStyle="PivotStyleLight16"/>
  <colors>
    <mruColors>
      <color rgb="FFF2F7FC"/>
      <color rgb="FFF5F9FD"/>
      <color rgb="FFEAF3FA"/>
      <color rgb="FF0000CC"/>
      <color rgb="FFF8F8F8"/>
      <color rgb="FFFEBA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9</xdr:col>
      <xdr:colOff>95250</xdr:colOff>
      <xdr:row>2</xdr:row>
      <xdr:rowOff>57151</xdr:rowOff>
    </xdr:from>
    <xdr:to>
      <xdr:col>15</xdr:col>
      <xdr:colOff>95250</xdr:colOff>
      <xdr:row>6</xdr:row>
      <xdr:rowOff>152401</xdr:rowOff>
    </xdr:to>
    <xdr:sp macro="" textlink="">
      <xdr:nvSpPr>
        <xdr:cNvPr id="2" name="TextBox 1">
          <a:extLst>
            <a:ext uri="{FF2B5EF4-FFF2-40B4-BE49-F238E27FC236}">
              <a16:creationId xmlns:a16="http://schemas.microsoft.com/office/drawing/2014/main" id="{2A9248C8-B1F2-4730-A63D-28B5580055F1}"/>
            </a:ext>
          </a:extLst>
        </xdr:cNvPr>
        <xdr:cNvSpPr txBox="1"/>
      </xdr:nvSpPr>
      <xdr:spPr>
        <a:xfrm>
          <a:off x="5581650" y="419101"/>
          <a:ext cx="3657600" cy="819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100"/>
            <a:t>Here you can specify which reports you want to run. </a:t>
          </a:r>
        </a:p>
        <a:p>
          <a:r>
            <a:rPr lang="en-AU" sz="1100"/>
            <a:t>Each report is run for each trial specified (in sheet1).</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15A7EB-445E-4E8E-983C-F21CAA7EBF41}">
  <sheetPr codeName="Sheet1"/>
  <dimension ref="A1:BP97"/>
  <sheetViews>
    <sheetView workbookViewId="0">
      <pane xSplit="7" ySplit="6" topLeftCell="AM49" activePane="bottomRight" state="frozen"/>
      <selection pane="topRight" activeCell="H1" sqref="H1"/>
      <selection pane="bottomLeft" activeCell="A7" sqref="A7"/>
      <selection pane="bottomRight" activeCell="E63" sqref="E63"/>
    </sheetView>
  </sheetViews>
  <sheetFormatPr defaultRowHeight="14.5"/>
  <cols>
    <col min="1" max="1" width="11" customWidth="1"/>
    <col min="3" max="3" width="10.54296875" customWidth="1"/>
    <col min="6" max="6" width="17.54296875" style="3" customWidth="1"/>
    <col min="7" max="7" width="6.1796875" customWidth="1"/>
    <col min="8" max="67" width="6.26953125" customWidth="1"/>
    <col min="68" max="68" width="2.81640625" customWidth="1"/>
  </cols>
  <sheetData>
    <row r="1" spans="1:68" s="1" customFormat="1" ht="41.25" customHeight="1">
      <c r="A1" s="20" t="s">
        <v>50</v>
      </c>
      <c r="B1" s="6" t="s">
        <v>50</v>
      </c>
      <c r="C1" s="10" t="s">
        <v>43</v>
      </c>
      <c r="F1" s="4" t="s">
        <v>2</v>
      </c>
      <c r="G1" s="20" t="s">
        <v>50</v>
      </c>
      <c r="H1" s="6" t="s">
        <v>41</v>
      </c>
      <c r="I1" s="6" t="s">
        <v>41</v>
      </c>
      <c r="J1" s="6" t="s">
        <v>41</v>
      </c>
      <c r="K1" s="6" t="s">
        <v>41</v>
      </c>
      <c r="L1" s="6" t="s">
        <v>41</v>
      </c>
      <c r="M1" s="6" t="s">
        <v>41</v>
      </c>
      <c r="N1" s="6" t="s">
        <v>41</v>
      </c>
      <c r="O1" s="6" t="s">
        <v>41</v>
      </c>
      <c r="P1" s="6" t="s">
        <v>41</v>
      </c>
      <c r="Q1" s="6" t="s">
        <v>41</v>
      </c>
      <c r="R1" s="6" t="s">
        <v>41</v>
      </c>
      <c r="S1" s="6" t="s">
        <v>41</v>
      </c>
      <c r="T1" s="6" t="s">
        <v>41</v>
      </c>
      <c r="U1" s="6" t="s">
        <v>41</v>
      </c>
      <c r="V1" s="6" t="s">
        <v>41</v>
      </c>
      <c r="W1" s="6" t="s">
        <v>41</v>
      </c>
      <c r="X1" s="6" t="s">
        <v>41</v>
      </c>
      <c r="Y1" s="6" t="s">
        <v>41</v>
      </c>
      <c r="Z1" s="6" t="s">
        <v>41</v>
      </c>
      <c r="AA1" s="6" t="s">
        <v>41</v>
      </c>
      <c r="AB1" s="6" t="s">
        <v>41</v>
      </c>
      <c r="AC1" s="6" t="s">
        <v>41</v>
      </c>
      <c r="AD1" s="6" t="s">
        <v>41</v>
      </c>
      <c r="AE1" s="6" t="s">
        <v>41</v>
      </c>
      <c r="AF1" s="6" t="s">
        <v>41</v>
      </c>
      <c r="AG1" s="6" t="s">
        <v>41</v>
      </c>
      <c r="AH1" s="6" t="s">
        <v>41</v>
      </c>
      <c r="AI1" s="6" t="s">
        <v>41</v>
      </c>
      <c r="AJ1" s="6" t="s">
        <v>41</v>
      </c>
      <c r="AK1" s="6" t="s">
        <v>41</v>
      </c>
      <c r="AL1" s="6" t="s">
        <v>41</v>
      </c>
      <c r="AM1" s="6" t="s">
        <v>41</v>
      </c>
      <c r="AN1" s="6" t="s">
        <v>41</v>
      </c>
      <c r="AO1" s="6" t="s">
        <v>41</v>
      </c>
      <c r="AP1" s="6" t="s">
        <v>41</v>
      </c>
      <c r="AQ1" s="6" t="s">
        <v>41</v>
      </c>
      <c r="AR1" s="6" t="s">
        <v>41</v>
      </c>
      <c r="AS1" s="6" t="s">
        <v>41</v>
      </c>
      <c r="AT1" s="6" t="s">
        <v>41</v>
      </c>
      <c r="AU1" s="6" t="s">
        <v>0</v>
      </c>
      <c r="AV1" s="6" t="s">
        <v>0</v>
      </c>
      <c r="AW1" s="6" t="s">
        <v>0</v>
      </c>
      <c r="AX1" s="6" t="s">
        <v>0</v>
      </c>
      <c r="AY1" s="6" t="s">
        <v>0</v>
      </c>
      <c r="AZ1" s="6" t="s">
        <v>0</v>
      </c>
      <c r="BA1" s="6" t="s">
        <v>0</v>
      </c>
      <c r="BB1" s="6" t="s">
        <v>0</v>
      </c>
      <c r="BC1" s="6" t="s">
        <v>0</v>
      </c>
      <c r="BD1" s="6" t="s">
        <v>0</v>
      </c>
      <c r="BE1" s="6" t="s">
        <v>0</v>
      </c>
      <c r="BF1" s="6" t="s">
        <v>0</v>
      </c>
      <c r="BG1" s="6" t="s">
        <v>0</v>
      </c>
      <c r="BH1" s="6" t="s">
        <v>0</v>
      </c>
      <c r="BI1" s="6" t="s">
        <v>0</v>
      </c>
      <c r="BJ1" s="6" t="s">
        <v>0</v>
      </c>
      <c r="BK1" s="6" t="s">
        <v>40</v>
      </c>
      <c r="BL1" s="6" t="s">
        <v>40</v>
      </c>
      <c r="BM1" s="6" t="s">
        <v>40</v>
      </c>
      <c r="BN1" s="6" t="s">
        <v>90</v>
      </c>
      <c r="BO1" s="1" t="s">
        <v>42</v>
      </c>
      <c r="BP1" s="20" t="s">
        <v>50</v>
      </c>
    </row>
    <row r="2" spans="1:68" s="2" customFormat="1" ht="72.75" customHeight="1">
      <c r="A2" s="14" t="s">
        <v>79</v>
      </c>
      <c r="F2" s="5" t="s">
        <v>3</v>
      </c>
      <c r="G2"/>
      <c r="H2" s="6" t="s">
        <v>66</v>
      </c>
      <c r="I2" s="6" t="s">
        <v>45</v>
      </c>
      <c r="J2" s="6" t="s">
        <v>45</v>
      </c>
      <c r="K2" s="6" t="s">
        <v>95</v>
      </c>
      <c r="L2" s="6" t="s">
        <v>95</v>
      </c>
      <c r="M2" s="6" t="s">
        <v>95</v>
      </c>
      <c r="N2" s="6" t="s">
        <v>46</v>
      </c>
      <c r="O2" s="6" t="s">
        <v>46</v>
      </c>
      <c r="P2" s="6" t="s">
        <v>46</v>
      </c>
      <c r="Q2" s="6" t="s">
        <v>56</v>
      </c>
      <c r="R2" s="6" t="s">
        <v>44</v>
      </c>
      <c r="S2" s="6" t="s">
        <v>62</v>
      </c>
      <c r="T2" s="6" t="s">
        <v>62</v>
      </c>
      <c r="U2" s="6" t="s">
        <v>62</v>
      </c>
      <c r="V2" s="6" t="s">
        <v>65</v>
      </c>
      <c r="W2" s="6" t="s">
        <v>65</v>
      </c>
      <c r="X2" s="6" t="s">
        <v>65</v>
      </c>
      <c r="Y2" s="6" t="s">
        <v>64</v>
      </c>
      <c r="Z2" s="6" t="s">
        <v>64</v>
      </c>
      <c r="AA2" s="6" t="s">
        <v>64</v>
      </c>
      <c r="AB2" s="6" t="s">
        <v>63</v>
      </c>
      <c r="AC2" s="6" t="s">
        <v>63</v>
      </c>
      <c r="AD2" s="6" t="s">
        <v>63</v>
      </c>
      <c r="AE2" s="6" t="s">
        <v>47</v>
      </c>
      <c r="AF2" s="6" t="s">
        <v>48</v>
      </c>
      <c r="AG2" s="6" t="s">
        <v>49</v>
      </c>
      <c r="AH2" s="6" t="s">
        <v>58</v>
      </c>
      <c r="AI2" s="6" t="s">
        <v>70</v>
      </c>
      <c r="AJ2" s="6" t="s">
        <v>71</v>
      </c>
      <c r="AK2" s="6" t="s">
        <v>83</v>
      </c>
      <c r="AL2" s="6" t="s">
        <v>84</v>
      </c>
      <c r="AM2" s="6" t="s">
        <v>85</v>
      </c>
      <c r="AN2" s="6" t="s">
        <v>85</v>
      </c>
      <c r="AO2" s="6" t="s">
        <v>96</v>
      </c>
      <c r="AP2" s="6" t="s">
        <v>96</v>
      </c>
      <c r="AQ2" s="6" t="s">
        <v>96</v>
      </c>
      <c r="AR2" s="6" t="s">
        <v>114</v>
      </c>
      <c r="AS2" s="6" t="s">
        <v>114</v>
      </c>
      <c r="AT2" s="6" t="s">
        <v>114</v>
      </c>
      <c r="AU2" s="6" t="s">
        <v>8</v>
      </c>
      <c r="AV2" s="6" t="s">
        <v>1</v>
      </c>
      <c r="AW2" s="6" t="s">
        <v>1</v>
      </c>
      <c r="AX2" s="6" t="s">
        <v>1</v>
      </c>
      <c r="AY2" s="6" t="s">
        <v>1</v>
      </c>
      <c r="AZ2" s="6" t="s">
        <v>1</v>
      </c>
      <c r="BA2" s="6" t="s">
        <v>9</v>
      </c>
      <c r="BB2" s="6" t="s">
        <v>10</v>
      </c>
      <c r="BC2" s="6" t="s">
        <v>10</v>
      </c>
      <c r="BD2" s="6" t="s">
        <v>10</v>
      </c>
      <c r="BE2" s="6" t="s">
        <v>10</v>
      </c>
      <c r="BF2" s="6" t="s">
        <v>10</v>
      </c>
      <c r="BG2" s="6" t="s">
        <v>86</v>
      </c>
      <c r="BH2" s="6" t="s">
        <v>87</v>
      </c>
      <c r="BI2" s="6" t="s">
        <v>88</v>
      </c>
      <c r="BJ2" s="6" t="s">
        <v>89</v>
      </c>
      <c r="BK2" s="6"/>
      <c r="BL2" s="6"/>
      <c r="BM2" s="6"/>
      <c r="BN2" s="6" t="s">
        <v>91</v>
      </c>
      <c r="BP2" s="16"/>
    </row>
    <row r="3" spans="1:68" s="2" customFormat="1" ht="42.65" customHeight="1">
      <c r="F3" s="5" t="s">
        <v>4</v>
      </c>
      <c r="G3"/>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t="s">
        <v>6</v>
      </c>
      <c r="AV3" s="6" t="s">
        <v>6</v>
      </c>
      <c r="AW3" s="6" t="s">
        <v>6</v>
      </c>
      <c r="AX3" s="6" t="s">
        <v>6</v>
      </c>
      <c r="AY3" s="6" t="s">
        <v>6</v>
      </c>
      <c r="AZ3" s="6" t="s">
        <v>6</v>
      </c>
      <c r="BA3" s="6" t="s">
        <v>6</v>
      </c>
      <c r="BB3" s="6" t="s">
        <v>6</v>
      </c>
      <c r="BC3" s="6" t="s">
        <v>6</v>
      </c>
      <c r="BD3" s="6" t="s">
        <v>6</v>
      </c>
      <c r="BE3" s="6" t="s">
        <v>6</v>
      </c>
      <c r="BF3" s="6" t="s">
        <v>6</v>
      </c>
      <c r="BG3" s="6"/>
      <c r="BH3" s="6"/>
      <c r="BI3" s="6"/>
      <c r="BJ3" s="6"/>
      <c r="BK3" s="6"/>
      <c r="BL3" s="6"/>
      <c r="BM3" s="6"/>
      <c r="BN3" s="6"/>
      <c r="BP3" s="16"/>
    </row>
    <row r="4" spans="1:68" s="2" customFormat="1" ht="42.65" customHeight="1">
      <c r="A4" s="13" t="s">
        <v>78</v>
      </c>
      <c r="B4" s="11" t="str">
        <f>"Trial Number
("&amp;COUNT(B$5:B$97)-1&amp;")"</f>
        <v>Trial Number
(89)</v>
      </c>
      <c r="C4" s="11" t="str">
        <f>"Run Trials
("&amp;COUNTIFS(C$5:C$97,TRUE)&amp;")"</f>
        <v>Run Trials
(3)</v>
      </c>
      <c r="D4" s="17" t="str">
        <f>"Full output
("&amp;TEXT(COUNTIFS($C$5:$C$97,TRUE,D$5:D$97,TRUE)/COUNTIFS($C$5:$C$97,TRUE),"0%)")</f>
        <v>Full output
(0%)</v>
      </c>
      <c r="E4" s="11" t="str">
        <f>"Report
("&amp;TEXT(COUNTIFS(E$5:E$97,TRUE)/COUNTA(E$5:E$97),"0%)")</f>
        <v>Report
(1%)</v>
      </c>
      <c r="F4" s="5" t="s">
        <v>5</v>
      </c>
      <c r="G4" s="29" t="str">
        <f>IF(COUNTIFS(G$5:G$97,"Dup")&gt;0,"Dup","")</f>
        <v/>
      </c>
      <c r="H4" s="8"/>
      <c r="I4" s="8" t="s">
        <v>35</v>
      </c>
      <c r="J4" s="8" t="s">
        <v>36</v>
      </c>
      <c r="K4" s="8" t="s">
        <v>35</v>
      </c>
      <c r="L4" s="8" t="s">
        <v>36</v>
      </c>
      <c r="M4" s="8" t="s">
        <v>37</v>
      </c>
      <c r="N4" s="8" t="s">
        <v>35</v>
      </c>
      <c r="O4" s="8" t="s">
        <v>36</v>
      </c>
      <c r="P4" s="8" t="s">
        <v>37</v>
      </c>
      <c r="Q4" s="8" t="s">
        <v>57</v>
      </c>
      <c r="R4" s="8"/>
      <c r="S4" s="8" t="s">
        <v>92</v>
      </c>
      <c r="T4" s="8" t="s">
        <v>72</v>
      </c>
      <c r="U4" s="8" t="s">
        <v>73</v>
      </c>
      <c r="V4" s="8" t="s">
        <v>92</v>
      </c>
      <c r="W4" s="8" t="s">
        <v>72</v>
      </c>
      <c r="X4" s="8" t="s">
        <v>73</v>
      </c>
      <c r="Y4" s="8" t="s">
        <v>92</v>
      </c>
      <c r="Z4" s="8" t="s">
        <v>72</v>
      </c>
      <c r="AA4" s="8" t="s">
        <v>73</v>
      </c>
      <c r="AB4" s="8" t="s">
        <v>92</v>
      </c>
      <c r="AC4" s="8" t="s">
        <v>72</v>
      </c>
      <c r="AD4" s="8" t="s">
        <v>73</v>
      </c>
      <c r="AE4" s="8"/>
      <c r="AF4" s="8"/>
      <c r="AG4" s="8"/>
      <c r="AH4" s="8"/>
      <c r="AI4" s="8"/>
      <c r="AJ4" s="8"/>
      <c r="AK4" s="8"/>
      <c r="AL4" s="8"/>
      <c r="AM4" s="8" t="s">
        <v>93</v>
      </c>
      <c r="AN4" s="8" t="s">
        <v>94</v>
      </c>
      <c r="AO4" s="8" t="s">
        <v>35</v>
      </c>
      <c r="AP4" s="8" t="s">
        <v>36</v>
      </c>
      <c r="AQ4" s="8" t="s">
        <v>37</v>
      </c>
      <c r="AR4" s="8" t="s">
        <v>35</v>
      </c>
      <c r="AS4" s="8" t="s">
        <v>36</v>
      </c>
      <c r="AT4" s="8" t="s">
        <v>37</v>
      </c>
      <c r="AU4" s="7"/>
      <c r="AV4" s="7" t="s">
        <v>35</v>
      </c>
      <c r="AW4" s="8" t="s">
        <v>36</v>
      </c>
      <c r="AX4" s="8" t="s">
        <v>37</v>
      </c>
      <c r="AY4" s="8" t="s">
        <v>38</v>
      </c>
      <c r="AZ4" s="8" t="s">
        <v>39</v>
      </c>
      <c r="BA4" s="7"/>
      <c r="BB4" s="7" t="s">
        <v>35</v>
      </c>
      <c r="BC4" s="8" t="s">
        <v>36</v>
      </c>
      <c r="BD4" s="8" t="s">
        <v>37</v>
      </c>
      <c r="BE4" s="8" t="s">
        <v>38</v>
      </c>
      <c r="BF4" s="8" t="s">
        <v>39</v>
      </c>
      <c r="BG4" s="8" t="s">
        <v>72</v>
      </c>
      <c r="BH4" s="8"/>
      <c r="BI4" s="8"/>
      <c r="BJ4" s="8"/>
      <c r="BK4" s="8"/>
      <c r="BL4" s="8"/>
      <c r="BM4" s="8"/>
      <c r="BN4" s="8"/>
      <c r="BO4" s="12"/>
      <c r="BP4" s="16"/>
    </row>
    <row r="5" spans="1:68">
      <c r="A5" s="18"/>
      <c r="B5">
        <f>ROW(B5)-5</f>
        <v>0</v>
      </c>
      <c r="C5" t="b">
        <v>0</v>
      </c>
      <c r="D5" t="b">
        <v>0</v>
      </c>
      <c r="E5" t="b">
        <v>0</v>
      </c>
      <c r="F5" s="3" t="s">
        <v>7</v>
      </c>
      <c r="H5" s="9" t="str" cm="1">
        <f t="array" ref="H5">_xlfn.IFS(OR(H1="sam",H1="sai"),1,H1="sav","-",OR(H1="sap",H1="saa"),0,H1="sar",0)</f>
        <v>-</v>
      </c>
      <c r="I5" s="9" t="str" cm="1">
        <f t="array" ref="I5">_xlfn.IFS(OR(I1="sam",I1="sai"),1,I1="sav","-",OR(I1="sap",I1="saa"),0,I1="sar",0)</f>
        <v>-</v>
      </c>
      <c r="J5" s="9" t="str" cm="1">
        <f t="array" ref="J5">_xlfn.IFS(OR(J1="sam",J1="sai"),1,J1="sav","-",OR(J1="sap",J1="saa"),0,J1="sar",0)</f>
        <v>-</v>
      </c>
      <c r="K5" s="9" t="str" cm="1">
        <f t="array" ref="K5">_xlfn.IFS(OR(K1="sam",K1="sai"),1,K1="sav","-",OR(K1="sap",K1="saa"),0,K1="sar",0)</f>
        <v>-</v>
      </c>
      <c r="L5" s="9" t="str" cm="1">
        <f t="array" ref="L5">_xlfn.IFS(OR(L1="sam",L1="sai"),1,L1="sav","-",OR(L1="sap",L1="saa"),0,L1="sar",0)</f>
        <v>-</v>
      </c>
      <c r="M5" s="9" t="str" cm="1">
        <f t="array" ref="M5">_xlfn.IFS(OR(M1="sam",M1="sai"),1,M1="sav","-",OR(M1="sap",M1="saa"),0,M1="sar",0)</f>
        <v>-</v>
      </c>
      <c r="N5" s="9" t="str" cm="1">
        <f t="array" ref="N5">_xlfn.IFS(OR(N1="sam",N1="sai"),1,N1="sav","-",OR(N1="sap",N1="saa"),0,N1="sar",0)</f>
        <v>-</v>
      </c>
      <c r="O5" s="9" t="str" cm="1">
        <f t="array" ref="O5">_xlfn.IFS(OR(O1="sam",O1="sai"),1,O1="sav","-",OR(O1="sap",O1="saa"),0,O1="sar",0)</f>
        <v>-</v>
      </c>
      <c r="P5" s="9" t="str" cm="1">
        <f t="array" ref="P5">_xlfn.IFS(OR(P1="sam",P1="sai"),1,P1="sav","-",OR(P1="sap",P1="saa"),0,P1="sar",0)</f>
        <v>-</v>
      </c>
      <c r="Q5" s="9" t="str" cm="1">
        <f t="array" ref="Q5">_xlfn.IFS(OR(Q1="sam",Q1="sai"),1,Q1="sav","-",OR(Q1="sap",Q1="saa"),0,Q1="sar",0)</f>
        <v>-</v>
      </c>
      <c r="R5" s="9" t="str" cm="1">
        <f t="array" ref="R5">_xlfn.IFS(OR(R1="sam",R1="sai"),1,R1="sav","-",OR(R1="sap",R1="saa"),0,R1="sar",0)</f>
        <v>-</v>
      </c>
      <c r="S5" s="9" t="str" cm="1">
        <f t="array" ref="S5">_xlfn.IFS(OR(S1="sam",S1="sai"),1,S1="sav","-",OR(S1="sap",S1="saa"),0,S1="sar",0)</f>
        <v>-</v>
      </c>
      <c r="T5" s="9" t="str" cm="1">
        <f t="array" ref="T5">_xlfn.IFS(OR(T1="sam",T1="sai"),1,T1="sav","-",OR(T1="sap",T1="saa"),0,T1="sar",0)</f>
        <v>-</v>
      </c>
      <c r="U5" s="9" t="str" cm="1">
        <f t="array" ref="U5">_xlfn.IFS(OR(U1="sam",U1="sai"),1,U1="sav","-",OR(U1="sap",U1="saa"),0,U1="sar",0)</f>
        <v>-</v>
      </c>
      <c r="V5" s="9" t="str" cm="1">
        <f t="array" ref="V5">_xlfn.IFS(OR(V1="sam",V1="sai"),1,V1="sav","-",OR(V1="sap",V1="saa"),0,V1="sar",0)</f>
        <v>-</v>
      </c>
      <c r="W5" s="9" t="str" cm="1">
        <f t="array" ref="W5">_xlfn.IFS(OR(W1="sam",W1="sai"),1,W1="sav","-",OR(W1="sap",W1="saa"),0,W1="sar",0)</f>
        <v>-</v>
      </c>
      <c r="X5" s="9" t="str" cm="1">
        <f t="array" ref="X5">_xlfn.IFS(OR(X1="sam",X1="sai"),1,X1="sav","-",OR(X1="sap",X1="saa"),0,X1="sar",0)</f>
        <v>-</v>
      </c>
      <c r="Y5" s="9" t="str" cm="1">
        <f t="array" ref="Y5">_xlfn.IFS(OR(Y1="sam",Y1="sai"),1,Y1="sav","-",OR(Y1="sap",Y1="saa"),0,Y1="sar",0)</f>
        <v>-</v>
      </c>
      <c r="Z5" s="9" t="str" cm="1">
        <f t="array" ref="Z5">_xlfn.IFS(OR(Z1="sam",Z1="sai"),1,Z1="sav","-",OR(Z1="sap",Z1="saa"),0,Z1="sar",0)</f>
        <v>-</v>
      </c>
      <c r="AA5" s="9" t="str" cm="1">
        <f t="array" ref="AA5">_xlfn.IFS(OR(AA1="sam",AA1="sai"),1,AA1="sav","-",OR(AA1="sap",AA1="saa"),0,AA1="sar",0)</f>
        <v>-</v>
      </c>
      <c r="AB5" s="9" t="str" cm="1">
        <f t="array" ref="AB5">_xlfn.IFS(OR(AB1="sam",AB1="sai"),1,AB1="sav","-",OR(AB1="sap",AB1="saa"),0,AB1="sar",0)</f>
        <v>-</v>
      </c>
      <c r="AC5" s="9" t="str" cm="1">
        <f t="array" ref="AC5">_xlfn.IFS(OR(AC1="sam",AC1="sai"),1,AC1="sav","-",OR(AC1="sap",AC1="saa"),0,AC1="sar",0)</f>
        <v>-</v>
      </c>
      <c r="AD5" s="9" t="str" cm="1">
        <f t="array" ref="AD5">_xlfn.IFS(OR(AD1="sam",AD1="sai"),1,AD1="sav","-",OR(AD1="sap",AD1="saa"),0,AD1="sar",0)</f>
        <v>-</v>
      </c>
      <c r="AE5" s="9" t="str" cm="1">
        <f t="array" ref="AE5">_xlfn.IFS(OR(AE1="sam",AE1="sai"),1,AE1="sav","-",OR(AE1="sap",AE1="saa"),0,AE1="sar",0)</f>
        <v>-</v>
      </c>
      <c r="AF5" s="9" t="str" cm="1">
        <f t="array" ref="AF5">_xlfn.IFS(OR(AF1="sam",AF1="sai"),1,AF1="sav","-",OR(AF1="sap",AF1="saa"),0,AF1="sar",0)</f>
        <v>-</v>
      </c>
      <c r="AG5" s="9" t="str" cm="1">
        <f t="array" ref="AG5">_xlfn.IFS(OR(AG1="sam",AG1="sai"),1,AG1="sav","-",OR(AG1="sap",AG1="saa"),0,AG1="sar",0)</f>
        <v>-</v>
      </c>
      <c r="AH5" s="9" t="str" cm="1">
        <f t="array" ref="AH5">_xlfn.IFS(OR(AH1="sam",AH1="sai"),1,AH1="sav","-",OR(AH1="sap",AH1="saa"),0,AH1="sar",0)</f>
        <v>-</v>
      </c>
      <c r="AI5" s="9" t="str" cm="1">
        <f t="array" ref="AI5">_xlfn.IFS(OR(AI1="sam",AI1="sai"),1,AI1="sav","-",OR(AI1="sap",AI1="saa"),0,AI1="sar",0)</f>
        <v>-</v>
      </c>
      <c r="AJ5" s="9" t="str" cm="1">
        <f t="array" ref="AJ5">_xlfn.IFS(OR(AJ1="sam",AJ1="sai"),1,AJ1="sav","-",OR(AJ1="sap",AJ1="saa"),0,AJ1="sar",0)</f>
        <v>-</v>
      </c>
      <c r="AK5" s="9" t="str" cm="1">
        <f t="array" ref="AK5">_xlfn.IFS(OR(AK1="sam",AK1="sai"),1,AK1="sav","-",OR(AK1="sap",AK1="saa"),0,AK1="sar",0)</f>
        <v>-</v>
      </c>
      <c r="AL5" s="9" t="str" cm="1">
        <f t="array" ref="AL5">_xlfn.IFS(OR(AL1="sam",AL1="sai"),1,AL1="sav","-",OR(AL1="sap",AL1="saa"),0,AL1="sar",0)</f>
        <v>-</v>
      </c>
      <c r="AM5" s="9" t="str" cm="1">
        <f t="array" ref="AM5">_xlfn.IFS(OR(AM1="sam",AM1="sai"),1,AM1="sav","-",OR(AM1="sap",AM1="saa"),0,AM1="sar",0)</f>
        <v>-</v>
      </c>
      <c r="AN5" s="9" t="str" cm="1">
        <f t="array" ref="AN5">_xlfn.IFS(OR(AN1="sam",AN1="sai"),1,AN1="sav","-",OR(AN1="sap",AN1="saa"),0,AN1="sar",0)</f>
        <v>-</v>
      </c>
      <c r="AO5" s="9" t="str" cm="1">
        <f t="array" ref="AO5">_xlfn.IFS(OR(AO1="sam",AO1="sai"),1,AO1="sav","-",OR(AO1="sap",AO1="saa"),0,AO1="sar",0)</f>
        <v>-</v>
      </c>
      <c r="AP5" s="9" t="str" cm="1">
        <f t="array" ref="AP5">_xlfn.IFS(OR(AP1="sam",AP1="sai"),1,AP1="sav","-",OR(AP1="sap",AP1="saa"),0,AP1="sar",0)</f>
        <v>-</v>
      </c>
      <c r="AQ5" s="9" t="str" cm="1">
        <f t="array" ref="AQ5">_xlfn.IFS(OR(AQ1="sam",AQ1="sai"),1,AQ1="sav","-",OR(AQ1="sap",AQ1="saa"),0,AQ1="sar",0)</f>
        <v>-</v>
      </c>
      <c r="AR5" s="9" t="s">
        <v>97</v>
      </c>
      <c r="AS5" s="9" t="s">
        <v>97</v>
      </c>
      <c r="AT5" s="9" t="s">
        <v>97</v>
      </c>
      <c r="AU5" s="9" cm="1">
        <f t="array" ref="AU5">_xlfn.IFS(OR(AU1="sam",AU1="sai"),1,AU1="sav","-",OR(AU1="sap",AU1="saa"),0,AU1="sar",0)</f>
        <v>1</v>
      </c>
      <c r="AV5" s="9" cm="1">
        <f t="array" ref="AV5">_xlfn.IFS(OR(AV1="sam",AV1="sai"),1,AV1="sav","-",OR(AV1="sap",AV1="saa"),0,AV1="sar",0)</f>
        <v>1</v>
      </c>
      <c r="AW5" s="9" cm="1">
        <f t="array" ref="AW5">_xlfn.IFS(OR(AW1="sam",AW1="sai"),1,AW1="sav","-",OR(AW1="sap",AW1="saa"),0,AW1="sar",0)</f>
        <v>1</v>
      </c>
      <c r="AX5" s="9" cm="1">
        <f t="array" ref="AX5">_xlfn.IFS(OR(AX1="sam",AX1="sai"),1,AX1="sav","-",OR(AX1="sap",AX1="saa"),0,AX1="sar",0)</f>
        <v>1</v>
      </c>
      <c r="AY5" s="9" cm="1">
        <f t="array" ref="AY5">_xlfn.IFS(OR(AY1="sam",AY1="sai"),1,AY1="sav","-",OR(AY1="sap",AY1="saa"),0,AY1="sar",0)</f>
        <v>1</v>
      </c>
      <c r="AZ5" s="9" cm="1">
        <f t="array" ref="AZ5">_xlfn.IFS(OR(AZ1="sam",AZ1="sai"),1,AZ1="sav","-",OR(AZ1="sap",AZ1="saa"),0,AZ1="sar",0)</f>
        <v>1</v>
      </c>
      <c r="BA5" s="9" cm="1">
        <f t="array" ref="BA5">_xlfn.IFS(OR(BA1="sam",BA1="sai"),1,BA1="sav","-",OR(BA1="sap",BA1="saa"),0,BA1="sar",0)</f>
        <v>1</v>
      </c>
      <c r="BB5" s="9" cm="1">
        <f t="array" ref="BB5">_xlfn.IFS(OR(BB1="sam",BB1="sai"),1,BB1="sav","-",OR(BB1="sap",BB1="saa"),0,BB1="sar",0)</f>
        <v>1</v>
      </c>
      <c r="BC5" s="9" cm="1">
        <f t="array" ref="BC5">_xlfn.IFS(OR(BC1="sam",BC1="sai"),1,BC1="sav","-",OR(BC1="sap",BC1="saa"),0,BC1="sar",0)</f>
        <v>1</v>
      </c>
      <c r="BD5" s="9" cm="1">
        <f t="array" ref="BD5">_xlfn.IFS(OR(BD1="sam",BD1="sai"),1,BD1="sav","-",OR(BD1="sap",BD1="saa"),0,BD1="sar",0)</f>
        <v>1</v>
      </c>
      <c r="BE5" s="9" cm="1">
        <f t="array" ref="BE5">_xlfn.IFS(OR(BE1="sam",BE1="sai"),1,BE1="sav","-",OR(BE1="sap",BE1="saa"),0,BE1="sar",0)</f>
        <v>1</v>
      </c>
      <c r="BF5" s="9" cm="1">
        <f t="array" ref="BF5">_xlfn.IFS(OR(BF1="sam",BF1="sai"),1,BF1="sav","-",OR(BF1="sap",BF1="saa"),0,BF1="sar",0)</f>
        <v>1</v>
      </c>
      <c r="BG5" s="9" cm="1">
        <f t="array" ref="BG5">_xlfn.IFS(OR(BG1="sam",BG1="sai"),1,BG1="sav","-",OR(BG1="sap",BG1="saa"),0,BG1="sar",0)</f>
        <v>1</v>
      </c>
      <c r="BH5" s="9" cm="1">
        <f t="array" ref="BH5">_xlfn.IFS(OR(BH1="sam",BH1="sai"),1,BH1="sav","-",OR(BH1="sap",BH1="saa"),0,BH1="sar",0)</f>
        <v>1</v>
      </c>
      <c r="BI5" s="9" cm="1">
        <f t="array" ref="BI5">_xlfn.IFS(OR(BI1="sam",BI1="sai"),1,BI1="sav","-",OR(BI1="sap",BI1="saa"),0,BI1="sar",0)</f>
        <v>1</v>
      </c>
      <c r="BJ5" s="9" cm="1">
        <f t="array" ref="BJ5">_xlfn.IFS(OR(BJ1="sam",BJ1="sai"),1,BJ1="sav","-",OR(BJ1="sap",BJ1="saa"),0,BJ1="sar",0)</f>
        <v>1</v>
      </c>
      <c r="BK5" s="9" cm="1">
        <f t="array" ref="BK5">_xlfn.IFS(OR(BK1="sam",BK1="sai"),1,BK1="sav","-",OR(BK1="sap",BK1="saa"),0,BK1="sar",0)</f>
        <v>0</v>
      </c>
      <c r="BL5" s="9" cm="1">
        <f t="array" ref="BL5">_xlfn.IFS(OR(BL1="sam",BL1="sai"),1,BL1="sav","-",OR(BL1="sap",BL1="saa"),0,BL1="sar",0)</f>
        <v>0</v>
      </c>
      <c r="BM5" s="9" cm="1">
        <f t="array" ref="BM5">_xlfn.IFS(OR(BM1="sam",BM1="sai"),1,BM1="sav","-",OR(BM1="sap",BM1="saa"),0,BM1="sar",0)</f>
        <v>0</v>
      </c>
      <c r="BN5" s="9" cm="1">
        <f t="array" ref="BN5">_xlfn.IFS(OR(BN1="sam",BN1="sai"),1,BN1="sav","-",OR(BN1="sap",BN1="saa"),0,BN1="sar",0)</f>
        <v>0</v>
      </c>
      <c r="BO5" s="9" cm="1">
        <f t="array" ref="BO5">_xlfn.IFS(OR(BO1="sam",BO1="sai"),1,BO1="sav","-",OR(BO1="sap",BO1="saa"),0,BO1="sar",0)</f>
        <v>0</v>
      </c>
      <c r="BP5" s="15">
        <v>0</v>
      </c>
    </row>
    <row r="6" spans="1:68">
      <c r="A6" s="18"/>
      <c r="B6">
        <f>ROW(B6)-5</f>
        <v>1</v>
      </c>
      <c r="C6" t="b">
        <v>0</v>
      </c>
      <c r="D6" t="b">
        <v>0</v>
      </c>
      <c r="E6" t="b">
        <v>0</v>
      </c>
      <c r="F6" s="3" t="s">
        <v>82</v>
      </c>
      <c r="G6" s="26" t="str">
        <f>IF(MATCH(F6,F$5:F6,0)=(COUNTA(F$5:F6)),"-","Dup")</f>
        <v>-</v>
      </c>
      <c r="H6" s="30" t="str">
        <f>H$5</f>
        <v>-</v>
      </c>
      <c r="I6" s="31" t="b">
        <v>0</v>
      </c>
      <c r="J6" s="31" t="b">
        <v>1</v>
      </c>
      <c r="K6" s="30" t="str">
        <f t="shared" ref="K6:M6" si="0">K$5</f>
        <v>-</v>
      </c>
      <c r="L6" s="30" t="str">
        <f t="shared" si="0"/>
        <v>-</v>
      </c>
      <c r="M6" s="30" t="str">
        <f t="shared" si="0"/>
        <v>-</v>
      </c>
      <c r="N6" s="30" t="str">
        <f t="shared" ref="N6:BO6" si="1">N$5</f>
        <v>-</v>
      </c>
      <c r="O6" s="30" t="str">
        <f t="shared" si="1"/>
        <v>-</v>
      </c>
      <c r="P6" s="30" t="str">
        <f t="shared" si="1"/>
        <v>-</v>
      </c>
      <c r="Q6" s="30" t="str">
        <f t="shared" si="1"/>
        <v>-</v>
      </c>
      <c r="R6" s="30" t="str">
        <f t="shared" si="1"/>
        <v>-</v>
      </c>
      <c r="S6" s="30" t="str">
        <f t="shared" si="1"/>
        <v>-</v>
      </c>
      <c r="T6" s="30" t="str">
        <f t="shared" si="1"/>
        <v>-</v>
      </c>
      <c r="U6" s="30" t="str">
        <f t="shared" si="1"/>
        <v>-</v>
      </c>
      <c r="V6" s="30" t="str">
        <f t="shared" si="1"/>
        <v>-</v>
      </c>
      <c r="W6" s="30" t="str">
        <f t="shared" si="1"/>
        <v>-</v>
      </c>
      <c r="X6" s="30" t="str">
        <f t="shared" si="1"/>
        <v>-</v>
      </c>
      <c r="Y6" s="30" t="str">
        <f t="shared" si="1"/>
        <v>-</v>
      </c>
      <c r="Z6" s="30" t="str">
        <f t="shared" si="1"/>
        <v>-</v>
      </c>
      <c r="AA6" s="30" t="str">
        <f t="shared" si="1"/>
        <v>-</v>
      </c>
      <c r="AB6" s="30" t="str">
        <f t="shared" si="1"/>
        <v>-</v>
      </c>
      <c r="AC6" s="30" t="str">
        <f t="shared" si="1"/>
        <v>-</v>
      </c>
      <c r="AD6" s="30" t="str">
        <f t="shared" si="1"/>
        <v>-</v>
      </c>
      <c r="AE6" s="30" t="str">
        <f t="shared" si="1"/>
        <v>-</v>
      </c>
      <c r="AF6" s="30" t="str">
        <f t="shared" si="1"/>
        <v>-</v>
      </c>
      <c r="AG6" s="30" t="str">
        <f t="shared" si="1"/>
        <v>-</v>
      </c>
      <c r="AH6" s="30" t="str">
        <f t="shared" si="1"/>
        <v>-</v>
      </c>
      <c r="AI6" s="30" t="str">
        <f t="shared" si="1"/>
        <v>-</v>
      </c>
      <c r="AJ6" s="30" t="str">
        <f t="shared" si="1"/>
        <v>-</v>
      </c>
      <c r="AK6" s="30" t="str">
        <f t="shared" si="1"/>
        <v>-</v>
      </c>
      <c r="AL6" s="30" t="str">
        <f t="shared" si="1"/>
        <v>-</v>
      </c>
      <c r="AM6" s="30" t="str">
        <f t="shared" si="1"/>
        <v>-</v>
      </c>
      <c r="AN6" s="30" t="str">
        <f t="shared" si="1"/>
        <v>-</v>
      </c>
      <c r="AO6" s="30" t="str">
        <f t="shared" si="1"/>
        <v>-</v>
      </c>
      <c r="AP6" s="30" t="str">
        <f t="shared" si="1"/>
        <v>-</v>
      </c>
      <c r="AQ6" s="30" t="str">
        <f t="shared" si="1"/>
        <v>-</v>
      </c>
      <c r="AR6" s="30" t="str">
        <f t="shared" si="1"/>
        <v>-</v>
      </c>
      <c r="AS6" s="30" t="str">
        <f t="shared" si="1"/>
        <v>-</v>
      </c>
      <c r="AT6" s="30" t="str">
        <f t="shared" si="1"/>
        <v>-</v>
      </c>
      <c r="AU6" s="30">
        <f t="shared" si="1"/>
        <v>1</v>
      </c>
      <c r="AV6" s="30">
        <f t="shared" si="1"/>
        <v>1</v>
      </c>
      <c r="AW6" s="30">
        <f t="shared" si="1"/>
        <v>1</v>
      </c>
      <c r="AX6" s="30">
        <f t="shared" si="1"/>
        <v>1</v>
      </c>
      <c r="AY6" s="30">
        <f t="shared" si="1"/>
        <v>1</v>
      </c>
      <c r="AZ6" s="30">
        <f t="shared" si="1"/>
        <v>1</v>
      </c>
      <c r="BA6" s="30">
        <f t="shared" si="1"/>
        <v>1</v>
      </c>
      <c r="BB6" s="30">
        <f t="shared" si="1"/>
        <v>1</v>
      </c>
      <c r="BC6" s="30">
        <f t="shared" si="1"/>
        <v>1</v>
      </c>
      <c r="BD6" s="30">
        <f t="shared" si="1"/>
        <v>1</v>
      </c>
      <c r="BE6" s="30">
        <f t="shared" si="1"/>
        <v>1</v>
      </c>
      <c r="BF6" s="30">
        <f t="shared" si="1"/>
        <v>1</v>
      </c>
      <c r="BG6" s="30">
        <f t="shared" si="1"/>
        <v>1</v>
      </c>
      <c r="BH6" s="30">
        <f t="shared" si="1"/>
        <v>1</v>
      </c>
      <c r="BI6" s="30">
        <f t="shared" si="1"/>
        <v>1</v>
      </c>
      <c r="BJ6" s="30">
        <f t="shared" si="1"/>
        <v>1</v>
      </c>
      <c r="BK6" s="30">
        <f t="shared" si="1"/>
        <v>0</v>
      </c>
      <c r="BL6" s="30">
        <f t="shared" si="1"/>
        <v>0</v>
      </c>
      <c r="BM6" s="30">
        <f t="shared" si="1"/>
        <v>0</v>
      </c>
      <c r="BN6" s="30">
        <f t="shared" si="1"/>
        <v>0</v>
      </c>
      <c r="BO6" s="30">
        <f t="shared" si="1"/>
        <v>0</v>
      </c>
      <c r="BP6" s="15">
        <v>0</v>
      </c>
    </row>
    <row r="7" spans="1:68">
      <c r="A7" s="18"/>
      <c r="B7">
        <f>ROW(B7)-5</f>
        <v>2</v>
      </c>
      <c r="C7" t="b">
        <v>0</v>
      </c>
      <c r="D7" t="b">
        <v>0</v>
      </c>
      <c r="E7" t="b">
        <v>0</v>
      </c>
      <c r="F7" s="3" t="s">
        <v>67</v>
      </c>
      <c r="G7" s="26" t="str">
        <f>IF(MATCH(F7,F$5:F7,0)=(COUNTA(F$5:F7)),"-","Dup")</f>
        <v>-</v>
      </c>
      <c r="H7" s="32" t="str">
        <f>H$6</f>
        <v>-</v>
      </c>
      <c r="I7" s="32" t="b">
        <f t="shared" ref="I7:BO22" si="2">I$6</f>
        <v>0</v>
      </c>
      <c r="J7" s="32" t="b">
        <f t="shared" si="2"/>
        <v>1</v>
      </c>
      <c r="K7" s="32" t="str">
        <f t="shared" si="2"/>
        <v>-</v>
      </c>
      <c r="L7" s="32" t="str">
        <f t="shared" si="2"/>
        <v>-</v>
      </c>
      <c r="M7" s="32" t="str">
        <f t="shared" si="2"/>
        <v>-</v>
      </c>
      <c r="N7" s="32" t="str">
        <f t="shared" si="2"/>
        <v>-</v>
      </c>
      <c r="O7" s="32" t="str">
        <f t="shared" si="2"/>
        <v>-</v>
      </c>
      <c r="P7" s="32" t="str">
        <f t="shared" si="2"/>
        <v>-</v>
      </c>
      <c r="Q7" s="32" t="str">
        <f t="shared" si="2"/>
        <v>-</v>
      </c>
      <c r="R7" s="32" t="str">
        <f t="shared" si="2"/>
        <v>-</v>
      </c>
      <c r="S7" s="32" t="str">
        <f t="shared" si="2"/>
        <v>-</v>
      </c>
      <c r="T7" s="32" t="str">
        <f t="shared" si="2"/>
        <v>-</v>
      </c>
      <c r="U7" s="32" t="str">
        <f t="shared" si="2"/>
        <v>-</v>
      </c>
      <c r="V7" s="32" t="str">
        <f t="shared" si="2"/>
        <v>-</v>
      </c>
      <c r="W7" s="32" t="str">
        <f t="shared" si="2"/>
        <v>-</v>
      </c>
      <c r="X7" s="32" t="str">
        <f t="shared" si="2"/>
        <v>-</v>
      </c>
      <c r="Y7" s="32" t="str">
        <f t="shared" si="2"/>
        <v>-</v>
      </c>
      <c r="Z7" s="32" t="str">
        <f t="shared" si="2"/>
        <v>-</v>
      </c>
      <c r="AA7" s="32" t="str">
        <f t="shared" si="2"/>
        <v>-</v>
      </c>
      <c r="AB7" s="32" t="str">
        <f t="shared" si="2"/>
        <v>-</v>
      </c>
      <c r="AC7" s="32" t="str">
        <f t="shared" si="2"/>
        <v>-</v>
      </c>
      <c r="AD7" s="32" t="str">
        <f t="shared" si="2"/>
        <v>-</v>
      </c>
      <c r="AE7" s="32" t="str">
        <f t="shared" si="2"/>
        <v>-</v>
      </c>
      <c r="AF7" s="32" t="str">
        <f t="shared" si="2"/>
        <v>-</v>
      </c>
      <c r="AG7" s="32" t="str">
        <f t="shared" si="2"/>
        <v>-</v>
      </c>
      <c r="AH7" s="32" t="str">
        <f t="shared" si="2"/>
        <v>-</v>
      </c>
      <c r="AI7" s="32" t="str">
        <f t="shared" si="2"/>
        <v>-</v>
      </c>
      <c r="AJ7" s="32" t="str">
        <f t="shared" si="2"/>
        <v>-</v>
      </c>
      <c r="AK7" s="32" t="str">
        <f t="shared" si="2"/>
        <v>-</v>
      </c>
      <c r="AL7" s="32" t="str">
        <f t="shared" si="2"/>
        <v>-</v>
      </c>
      <c r="AM7" s="32" t="str">
        <f t="shared" si="2"/>
        <v>-</v>
      </c>
      <c r="AN7" s="32" t="str">
        <f t="shared" si="2"/>
        <v>-</v>
      </c>
      <c r="AO7" s="32" t="str">
        <f t="shared" si="2"/>
        <v>-</v>
      </c>
      <c r="AP7" s="32" t="str">
        <f t="shared" si="2"/>
        <v>-</v>
      </c>
      <c r="AQ7" s="32" t="str">
        <f t="shared" si="2"/>
        <v>-</v>
      </c>
      <c r="AR7" s="32" t="str">
        <f t="shared" si="2"/>
        <v>-</v>
      </c>
      <c r="AS7" s="32" t="str">
        <f t="shared" si="2"/>
        <v>-</v>
      </c>
      <c r="AT7" s="32" t="str">
        <f t="shared" si="2"/>
        <v>-</v>
      </c>
      <c r="AU7" s="32">
        <f t="shared" si="2"/>
        <v>1</v>
      </c>
      <c r="AV7" s="32">
        <f t="shared" si="2"/>
        <v>1</v>
      </c>
      <c r="AW7" s="32">
        <f t="shared" si="2"/>
        <v>1</v>
      </c>
      <c r="AX7" s="32">
        <f t="shared" si="2"/>
        <v>1</v>
      </c>
      <c r="AY7" s="32">
        <f t="shared" si="2"/>
        <v>1</v>
      </c>
      <c r="AZ7" s="32">
        <f t="shared" si="2"/>
        <v>1</v>
      </c>
      <c r="BA7" s="32">
        <f t="shared" si="2"/>
        <v>1</v>
      </c>
      <c r="BB7" s="32">
        <f t="shared" si="2"/>
        <v>1</v>
      </c>
      <c r="BC7" s="32">
        <f t="shared" si="2"/>
        <v>1</v>
      </c>
      <c r="BD7" s="32">
        <f t="shared" si="2"/>
        <v>1</v>
      </c>
      <c r="BE7" s="32">
        <f t="shared" si="2"/>
        <v>1</v>
      </c>
      <c r="BF7" s="32">
        <f t="shared" si="2"/>
        <v>1</v>
      </c>
      <c r="BG7" s="32">
        <f t="shared" si="2"/>
        <v>1</v>
      </c>
      <c r="BH7" s="32">
        <f t="shared" si="2"/>
        <v>1</v>
      </c>
      <c r="BI7" s="32">
        <f t="shared" si="2"/>
        <v>1</v>
      </c>
      <c r="BJ7" s="32">
        <f t="shared" si="2"/>
        <v>1</v>
      </c>
      <c r="BK7" s="32">
        <f t="shared" si="2"/>
        <v>0</v>
      </c>
      <c r="BL7" s="32">
        <f t="shared" si="2"/>
        <v>0</v>
      </c>
      <c r="BM7" s="32">
        <f t="shared" si="2"/>
        <v>0</v>
      </c>
      <c r="BN7" s="32">
        <f t="shared" si="2"/>
        <v>0</v>
      </c>
      <c r="BO7" s="32">
        <f t="shared" si="2"/>
        <v>0</v>
      </c>
      <c r="BP7" s="15">
        <v>0</v>
      </c>
    </row>
    <row r="8" spans="1:68">
      <c r="A8" s="18"/>
      <c r="B8">
        <f t="shared" ref="B8:B97" si="3">ROW(B8)-5</f>
        <v>3</v>
      </c>
      <c r="C8" t="b">
        <v>0</v>
      </c>
      <c r="D8" t="b">
        <v>0</v>
      </c>
      <c r="E8" t="b">
        <v>0</v>
      </c>
      <c r="F8" s="3" t="s">
        <v>11</v>
      </c>
      <c r="G8" s="26" t="str">
        <f>IF(MATCH(F8,F$5:F8,0)=(COUNTA(F$5:F8)),"-","Dup")</f>
        <v>-</v>
      </c>
      <c r="H8" s="32" t="str">
        <f t="shared" ref="H8:U17" si="4">H$6</f>
        <v>-</v>
      </c>
      <c r="I8" s="32" t="b">
        <f t="shared" si="4"/>
        <v>0</v>
      </c>
      <c r="J8" s="32" t="b">
        <f t="shared" si="4"/>
        <v>1</v>
      </c>
      <c r="K8" s="32" t="str">
        <f t="shared" si="4"/>
        <v>-</v>
      </c>
      <c r="L8" s="32" t="str">
        <f t="shared" si="4"/>
        <v>-</v>
      </c>
      <c r="M8" s="32" t="str">
        <f t="shared" si="4"/>
        <v>-</v>
      </c>
      <c r="N8" s="32" t="str">
        <f t="shared" si="4"/>
        <v>-</v>
      </c>
      <c r="O8" s="32" t="str">
        <f t="shared" si="4"/>
        <v>-</v>
      </c>
      <c r="P8" s="32" t="str">
        <f t="shared" si="4"/>
        <v>-</v>
      </c>
      <c r="Q8" s="32" t="str">
        <f t="shared" si="4"/>
        <v>-</v>
      </c>
      <c r="R8" s="32" t="str">
        <f t="shared" si="4"/>
        <v>-</v>
      </c>
      <c r="S8" s="32" t="str">
        <f t="shared" si="4"/>
        <v>-</v>
      </c>
      <c r="T8" s="32" t="str">
        <f t="shared" si="4"/>
        <v>-</v>
      </c>
      <c r="U8" s="32" t="str">
        <f t="shared" si="4"/>
        <v>-</v>
      </c>
      <c r="V8" s="32" t="str">
        <f t="shared" ref="V8:AO17" si="5">V$6</f>
        <v>-</v>
      </c>
      <c r="W8" s="32" t="str">
        <f t="shared" si="5"/>
        <v>-</v>
      </c>
      <c r="X8" s="32" t="str">
        <f t="shared" si="5"/>
        <v>-</v>
      </c>
      <c r="Y8" s="32" t="str">
        <f t="shared" si="5"/>
        <v>-</v>
      </c>
      <c r="Z8" s="32" t="str">
        <f t="shared" si="5"/>
        <v>-</v>
      </c>
      <c r="AA8" s="32" t="str">
        <f t="shared" si="5"/>
        <v>-</v>
      </c>
      <c r="AB8" s="32" t="str">
        <f t="shared" si="5"/>
        <v>-</v>
      </c>
      <c r="AC8" s="32" t="str">
        <f t="shared" si="5"/>
        <v>-</v>
      </c>
      <c r="AD8" s="32" t="str">
        <f t="shared" si="5"/>
        <v>-</v>
      </c>
      <c r="AE8" s="32" t="str">
        <f t="shared" si="5"/>
        <v>-</v>
      </c>
      <c r="AF8" s="32" t="str">
        <f t="shared" si="5"/>
        <v>-</v>
      </c>
      <c r="AG8" s="32" t="str">
        <f t="shared" si="5"/>
        <v>-</v>
      </c>
      <c r="AH8" s="32" t="str">
        <f t="shared" si="5"/>
        <v>-</v>
      </c>
      <c r="AI8" s="32" t="str">
        <f t="shared" si="5"/>
        <v>-</v>
      </c>
      <c r="AJ8" s="32" t="str">
        <f t="shared" si="5"/>
        <v>-</v>
      </c>
      <c r="AK8" s="32" t="str">
        <f t="shared" si="5"/>
        <v>-</v>
      </c>
      <c r="AL8" s="32" t="str">
        <f t="shared" si="5"/>
        <v>-</v>
      </c>
      <c r="AM8" s="32" t="str">
        <f t="shared" si="5"/>
        <v>-</v>
      </c>
      <c r="AN8" s="32" t="str">
        <f t="shared" si="5"/>
        <v>-</v>
      </c>
      <c r="AO8" s="32" t="str">
        <f t="shared" si="5"/>
        <v>-</v>
      </c>
      <c r="AP8" s="32" t="str">
        <f t="shared" si="2"/>
        <v>-</v>
      </c>
      <c r="AQ8" s="32" t="str">
        <f t="shared" si="2"/>
        <v>-</v>
      </c>
      <c r="AR8" s="32" t="str">
        <f t="shared" si="2"/>
        <v>-</v>
      </c>
      <c r="AS8" s="32" t="str">
        <f t="shared" si="2"/>
        <v>-</v>
      </c>
      <c r="AT8" s="32" t="str">
        <f t="shared" si="2"/>
        <v>-</v>
      </c>
      <c r="AU8" s="31">
        <v>0.9</v>
      </c>
      <c r="AV8" s="32">
        <f t="shared" ref="AV8:BO9" si="6">AV$6</f>
        <v>1</v>
      </c>
      <c r="AW8" s="32">
        <f t="shared" si="6"/>
        <v>1</v>
      </c>
      <c r="AX8" s="32">
        <f t="shared" si="6"/>
        <v>1</v>
      </c>
      <c r="AY8" s="32">
        <f t="shared" si="6"/>
        <v>1</v>
      </c>
      <c r="AZ8" s="32">
        <f t="shared" si="6"/>
        <v>1</v>
      </c>
      <c r="BA8" s="32">
        <f t="shared" si="6"/>
        <v>1</v>
      </c>
      <c r="BB8" s="32">
        <f t="shared" si="6"/>
        <v>1</v>
      </c>
      <c r="BC8" s="32">
        <f t="shared" si="6"/>
        <v>1</v>
      </c>
      <c r="BD8" s="32">
        <f t="shared" si="6"/>
        <v>1</v>
      </c>
      <c r="BE8" s="32">
        <f t="shared" si="6"/>
        <v>1</v>
      </c>
      <c r="BF8" s="32">
        <f t="shared" si="6"/>
        <v>1</v>
      </c>
      <c r="BG8" s="32">
        <f t="shared" si="6"/>
        <v>1</v>
      </c>
      <c r="BH8" s="32">
        <f t="shared" si="6"/>
        <v>1</v>
      </c>
      <c r="BI8" s="32">
        <f t="shared" si="6"/>
        <v>1</v>
      </c>
      <c r="BJ8" s="32">
        <f t="shared" si="6"/>
        <v>1</v>
      </c>
      <c r="BK8" s="32">
        <f t="shared" si="6"/>
        <v>0</v>
      </c>
      <c r="BL8" s="32">
        <f t="shared" si="6"/>
        <v>0</v>
      </c>
      <c r="BM8" s="32">
        <f t="shared" si="6"/>
        <v>0</v>
      </c>
      <c r="BN8" s="32">
        <f t="shared" si="6"/>
        <v>0</v>
      </c>
      <c r="BO8" s="32">
        <f t="shared" si="6"/>
        <v>0</v>
      </c>
      <c r="BP8" s="15">
        <v>0</v>
      </c>
    </row>
    <row r="9" spans="1:68">
      <c r="A9" s="18"/>
      <c r="B9">
        <f t="shared" si="3"/>
        <v>4</v>
      </c>
      <c r="C9" t="b">
        <v>0</v>
      </c>
      <c r="D9" t="b">
        <v>0</v>
      </c>
      <c r="E9" t="b">
        <v>0</v>
      </c>
      <c r="F9" s="3" t="s">
        <v>12</v>
      </c>
      <c r="G9" s="26" t="str">
        <f>IF(MATCH(F9,F$5:F9,0)=(COUNTA(F$5:F9)),"-","Dup")</f>
        <v>-</v>
      </c>
      <c r="H9" s="32" t="str">
        <f t="shared" si="4"/>
        <v>-</v>
      </c>
      <c r="I9" s="32" t="b">
        <f t="shared" si="4"/>
        <v>0</v>
      </c>
      <c r="J9" s="32" t="b">
        <f t="shared" si="4"/>
        <v>1</v>
      </c>
      <c r="K9" s="32" t="str">
        <f t="shared" si="4"/>
        <v>-</v>
      </c>
      <c r="L9" s="32" t="str">
        <f t="shared" si="4"/>
        <v>-</v>
      </c>
      <c r="M9" s="32" t="str">
        <f t="shared" si="4"/>
        <v>-</v>
      </c>
      <c r="N9" s="32" t="str">
        <f t="shared" si="4"/>
        <v>-</v>
      </c>
      <c r="O9" s="32" t="str">
        <f t="shared" si="4"/>
        <v>-</v>
      </c>
      <c r="P9" s="32" t="str">
        <f t="shared" si="4"/>
        <v>-</v>
      </c>
      <c r="Q9" s="32" t="str">
        <f t="shared" si="4"/>
        <v>-</v>
      </c>
      <c r="R9" s="32" t="str">
        <f t="shared" si="4"/>
        <v>-</v>
      </c>
      <c r="S9" s="32" t="str">
        <f t="shared" si="4"/>
        <v>-</v>
      </c>
      <c r="T9" s="32" t="str">
        <f t="shared" si="4"/>
        <v>-</v>
      </c>
      <c r="U9" s="32" t="str">
        <f t="shared" si="4"/>
        <v>-</v>
      </c>
      <c r="V9" s="32" t="str">
        <f t="shared" si="5"/>
        <v>-</v>
      </c>
      <c r="W9" s="32" t="str">
        <f t="shared" si="5"/>
        <v>-</v>
      </c>
      <c r="X9" s="32" t="str">
        <f t="shared" si="5"/>
        <v>-</v>
      </c>
      <c r="Y9" s="32" t="str">
        <f t="shared" si="5"/>
        <v>-</v>
      </c>
      <c r="Z9" s="32" t="str">
        <f t="shared" si="5"/>
        <v>-</v>
      </c>
      <c r="AA9" s="32" t="str">
        <f t="shared" si="5"/>
        <v>-</v>
      </c>
      <c r="AB9" s="32" t="str">
        <f t="shared" si="5"/>
        <v>-</v>
      </c>
      <c r="AC9" s="32" t="str">
        <f t="shared" si="5"/>
        <v>-</v>
      </c>
      <c r="AD9" s="32" t="str">
        <f t="shared" si="5"/>
        <v>-</v>
      </c>
      <c r="AE9" s="32" t="str">
        <f t="shared" si="5"/>
        <v>-</v>
      </c>
      <c r="AF9" s="32" t="str">
        <f t="shared" si="5"/>
        <v>-</v>
      </c>
      <c r="AG9" s="32" t="str">
        <f t="shared" si="5"/>
        <v>-</v>
      </c>
      <c r="AH9" s="32" t="str">
        <f t="shared" si="5"/>
        <v>-</v>
      </c>
      <c r="AI9" s="32" t="str">
        <f t="shared" si="5"/>
        <v>-</v>
      </c>
      <c r="AJ9" s="32" t="str">
        <f t="shared" si="5"/>
        <v>-</v>
      </c>
      <c r="AK9" s="32" t="str">
        <f t="shared" si="5"/>
        <v>-</v>
      </c>
      <c r="AL9" s="32" t="str">
        <f t="shared" si="5"/>
        <v>-</v>
      </c>
      <c r="AM9" s="32" t="str">
        <f t="shared" si="5"/>
        <v>-</v>
      </c>
      <c r="AN9" s="32" t="str">
        <f t="shared" si="5"/>
        <v>-</v>
      </c>
      <c r="AO9" s="32" t="str">
        <f t="shared" si="2"/>
        <v>-</v>
      </c>
      <c r="AP9" s="32" t="str">
        <f t="shared" si="2"/>
        <v>-</v>
      </c>
      <c r="AQ9" s="32" t="str">
        <f t="shared" si="2"/>
        <v>-</v>
      </c>
      <c r="AR9" s="32" t="str">
        <f t="shared" si="2"/>
        <v>-</v>
      </c>
      <c r="AS9" s="32" t="str">
        <f t="shared" si="2"/>
        <v>-</v>
      </c>
      <c r="AT9" s="32" t="str">
        <f t="shared" si="2"/>
        <v>-</v>
      </c>
      <c r="AU9" s="31">
        <v>1.1000000000000001</v>
      </c>
      <c r="AV9" s="32">
        <f t="shared" si="6"/>
        <v>1</v>
      </c>
      <c r="AW9" s="32">
        <f t="shared" si="6"/>
        <v>1</v>
      </c>
      <c r="AX9" s="32">
        <f t="shared" si="6"/>
        <v>1</v>
      </c>
      <c r="AY9" s="32">
        <f t="shared" si="6"/>
        <v>1</v>
      </c>
      <c r="AZ9" s="32">
        <f t="shared" si="6"/>
        <v>1</v>
      </c>
      <c r="BA9" s="32">
        <f t="shared" si="6"/>
        <v>1</v>
      </c>
      <c r="BB9" s="32">
        <f t="shared" si="6"/>
        <v>1</v>
      </c>
      <c r="BC9" s="32">
        <f t="shared" si="6"/>
        <v>1</v>
      </c>
      <c r="BD9" s="32">
        <f t="shared" si="6"/>
        <v>1</v>
      </c>
      <c r="BE9" s="32">
        <f t="shared" si="6"/>
        <v>1</v>
      </c>
      <c r="BF9" s="32">
        <f t="shared" si="6"/>
        <v>1</v>
      </c>
      <c r="BG9" s="32">
        <f t="shared" si="6"/>
        <v>1</v>
      </c>
      <c r="BH9" s="32">
        <f t="shared" si="6"/>
        <v>1</v>
      </c>
      <c r="BI9" s="32">
        <f t="shared" si="6"/>
        <v>1</v>
      </c>
      <c r="BJ9" s="32">
        <f t="shared" si="6"/>
        <v>1</v>
      </c>
      <c r="BK9" s="32">
        <f t="shared" si="6"/>
        <v>0</v>
      </c>
      <c r="BL9" s="32">
        <f t="shared" si="6"/>
        <v>0</v>
      </c>
      <c r="BM9" s="32">
        <f t="shared" si="6"/>
        <v>0</v>
      </c>
      <c r="BN9" s="32">
        <f t="shared" si="6"/>
        <v>0</v>
      </c>
      <c r="BO9" s="32">
        <f t="shared" si="6"/>
        <v>0</v>
      </c>
      <c r="BP9" s="15">
        <v>0</v>
      </c>
    </row>
    <row r="10" spans="1:68">
      <c r="A10" s="18"/>
      <c r="B10">
        <f t="shared" si="3"/>
        <v>5</v>
      </c>
      <c r="C10" t="b">
        <v>0</v>
      </c>
      <c r="D10" t="b">
        <v>0</v>
      </c>
      <c r="E10" t="b">
        <v>0</v>
      </c>
      <c r="F10" s="3" t="s">
        <v>13</v>
      </c>
      <c r="G10" s="26" t="str">
        <f>IF(MATCH(F10,F$5:F10,0)=(COUNTA(F$5:F10)),"-","Dup")</f>
        <v>-</v>
      </c>
      <c r="H10" s="32" t="str">
        <f t="shared" si="4"/>
        <v>-</v>
      </c>
      <c r="I10" s="32" t="b">
        <f t="shared" si="4"/>
        <v>0</v>
      </c>
      <c r="J10" s="32" t="b">
        <f t="shared" si="4"/>
        <v>1</v>
      </c>
      <c r="K10" s="32" t="str">
        <f t="shared" si="4"/>
        <v>-</v>
      </c>
      <c r="L10" s="32" t="str">
        <f t="shared" si="4"/>
        <v>-</v>
      </c>
      <c r="M10" s="32" t="str">
        <f t="shared" si="4"/>
        <v>-</v>
      </c>
      <c r="N10" s="32" t="str">
        <f t="shared" si="4"/>
        <v>-</v>
      </c>
      <c r="O10" s="32" t="str">
        <f t="shared" si="4"/>
        <v>-</v>
      </c>
      <c r="P10" s="32" t="str">
        <f t="shared" si="4"/>
        <v>-</v>
      </c>
      <c r="Q10" s="32" t="str">
        <f t="shared" si="4"/>
        <v>-</v>
      </c>
      <c r="R10" s="32" t="str">
        <f t="shared" si="4"/>
        <v>-</v>
      </c>
      <c r="S10" s="32" t="str">
        <f t="shared" si="4"/>
        <v>-</v>
      </c>
      <c r="T10" s="32" t="str">
        <f t="shared" si="4"/>
        <v>-</v>
      </c>
      <c r="U10" s="32" t="str">
        <f t="shared" si="4"/>
        <v>-</v>
      </c>
      <c r="V10" s="32" t="str">
        <f t="shared" si="5"/>
        <v>-</v>
      </c>
      <c r="W10" s="32" t="str">
        <f t="shared" si="5"/>
        <v>-</v>
      </c>
      <c r="X10" s="32" t="str">
        <f t="shared" si="5"/>
        <v>-</v>
      </c>
      <c r="Y10" s="32" t="str">
        <f t="shared" si="5"/>
        <v>-</v>
      </c>
      <c r="Z10" s="32" t="str">
        <f t="shared" si="5"/>
        <v>-</v>
      </c>
      <c r="AA10" s="32" t="str">
        <f t="shared" si="5"/>
        <v>-</v>
      </c>
      <c r="AB10" s="32" t="str">
        <f t="shared" si="5"/>
        <v>-</v>
      </c>
      <c r="AC10" s="32" t="str">
        <f t="shared" si="5"/>
        <v>-</v>
      </c>
      <c r="AD10" s="32" t="str">
        <f t="shared" si="5"/>
        <v>-</v>
      </c>
      <c r="AE10" s="32" t="str">
        <f t="shared" si="5"/>
        <v>-</v>
      </c>
      <c r="AF10" s="32" t="str">
        <f t="shared" si="5"/>
        <v>-</v>
      </c>
      <c r="AG10" s="32" t="str">
        <f t="shared" si="5"/>
        <v>-</v>
      </c>
      <c r="AH10" s="32" t="str">
        <f t="shared" si="5"/>
        <v>-</v>
      </c>
      <c r="AI10" s="32" t="str">
        <f t="shared" si="5"/>
        <v>-</v>
      </c>
      <c r="AJ10" s="32" t="str">
        <f t="shared" si="5"/>
        <v>-</v>
      </c>
      <c r="AK10" s="32" t="str">
        <f t="shared" si="5"/>
        <v>-</v>
      </c>
      <c r="AL10" s="32" t="str">
        <f t="shared" si="5"/>
        <v>-</v>
      </c>
      <c r="AM10" s="32" t="str">
        <f t="shared" si="5"/>
        <v>-</v>
      </c>
      <c r="AN10" s="32" t="str">
        <f t="shared" si="5"/>
        <v>-</v>
      </c>
      <c r="AO10" s="32" t="str">
        <f t="shared" si="2"/>
        <v>-</v>
      </c>
      <c r="AP10" s="32" t="str">
        <f t="shared" si="2"/>
        <v>-</v>
      </c>
      <c r="AQ10" s="32" t="str">
        <f t="shared" si="2"/>
        <v>-</v>
      </c>
      <c r="AR10" s="32" t="str">
        <f t="shared" si="2"/>
        <v>-</v>
      </c>
      <c r="AS10" s="32" t="str">
        <f t="shared" si="2"/>
        <v>-</v>
      </c>
      <c r="AT10" s="32" t="str">
        <f t="shared" si="2"/>
        <v>-</v>
      </c>
      <c r="AU10" s="32">
        <f t="shared" ref="AU10:AU44" si="7">AU$6</f>
        <v>1</v>
      </c>
      <c r="AV10" s="31">
        <v>0.9</v>
      </c>
      <c r="AW10" s="32">
        <f t="shared" ref="AW10:BO11" si="8">AW$6</f>
        <v>1</v>
      </c>
      <c r="AX10" s="32">
        <f t="shared" si="8"/>
        <v>1</v>
      </c>
      <c r="AY10" s="32">
        <f t="shared" si="8"/>
        <v>1</v>
      </c>
      <c r="AZ10" s="32">
        <f t="shared" si="8"/>
        <v>1</v>
      </c>
      <c r="BA10" s="32">
        <f t="shared" si="8"/>
        <v>1</v>
      </c>
      <c r="BB10" s="32">
        <f t="shared" si="8"/>
        <v>1</v>
      </c>
      <c r="BC10" s="32">
        <f t="shared" si="8"/>
        <v>1</v>
      </c>
      <c r="BD10" s="32">
        <f t="shared" si="8"/>
        <v>1</v>
      </c>
      <c r="BE10" s="32">
        <f t="shared" si="8"/>
        <v>1</v>
      </c>
      <c r="BF10" s="32">
        <f t="shared" si="8"/>
        <v>1</v>
      </c>
      <c r="BG10" s="32">
        <f t="shared" si="8"/>
        <v>1</v>
      </c>
      <c r="BH10" s="32">
        <f t="shared" si="8"/>
        <v>1</v>
      </c>
      <c r="BI10" s="32">
        <f t="shared" si="8"/>
        <v>1</v>
      </c>
      <c r="BJ10" s="32">
        <f t="shared" si="8"/>
        <v>1</v>
      </c>
      <c r="BK10" s="32">
        <f t="shared" si="8"/>
        <v>0</v>
      </c>
      <c r="BL10" s="32">
        <f t="shared" si="8"/>
        <v>0</v>
      </c>
      <c r="BM10" s="32">
        <f t="shared" si="8"/>
        <v>0</v>
      </c>
      <c r="BN10" s="32">
        <f t="shared" si="8"/>
        <v>0</v>
      </c>
      <c r="BO10" s="32">
        <f t="shared" si="8"/>
        <v>0</v>
      </c>
      <c r="BP10" s="15">
        <v>0</v>
      </c>
    </row>
    <row r="11" spans="1:68">
      <c r="A11" s="18"/>
      <c r="B11">
        <f t="shared" si="3"/>
        <v>6</v>
      </c>
      <c r="C11" t="b">
        <v>0</v>
      </c>
      <c r="D11" t="b">
        <v>0</v>
      </c>
      <c r="E11" t="b">
        <v>0</v>
      </c>
      <c r="F11" s="3" t="s">
        <v>14</v>
      </c>
      <c r="G11" s="26" t="str">
        <f>IF(MATCH(F11,F$5:F11,0)=(COUNTA(F$5:F11)),"-","Dup")</f>
        <v>-</v>
      </c>
      <c r="H11" s="32" t="str">
        <f t="shared" si="4"/>
        <v>-</v>
      </c>
      <c r="I11" s="32" t="b">
        <f t="shared" si="4"/>
        <v>0</v>
      </c>
      <c r="J11" s="32" t="b">
        <f t="shared" si="4"/>
        <v>1</v>
      </c>
      <c r="K11" s="32" t="str">
        <f t="shared" si="4"/>
        <v>-</v>
      </c>
      <c r="L11" s="32" t="str">
        <f t="shared" si="4"/>
        <v>-</v>
      </c>
      <c r="M11" s="32" t="str">
        <f t="shared" si="4"/>
        <v>-</v>
      </c>
      <c r="N11" s="32" t="str">
        <f t="shared" si="4"/>
        <v>-</v>
      </c>
      <c r="O11" s="32" t="str">
        <f t="shared" si="4"/>
        <v>-</v>
      </c>
      <c r="P11" s="32" t="str">
        <f t="shared" si="4"/>
        <v>-</v>
      </c>
      <c r="Q11" s="32" t="str">
        <f t="shared" si="4"/>
        <v>-</v>
      </c>
      <c r="R11" s="32" t="str">
        <f t="shared" si="4"/>
        <v>-</v>
      </c>
      <c r="S11" s="32" t="str">
        <f t="shared" si="4"/>
        <v>-</v>
      </c>
      <c r="T11" s="32" t="str">
        <f t="shared" si="4"/>
        <v>-</v>
      </c>
      <c r="U11" s="32" t="str">
        <f t="shared" si="4"/>
        <v>-</v>
      </c>
      <c r="V11" s="32" t="str">
        <f t="shared" si="5"/>
        <v>-</v>
      </c>
      <c r="W11" s="32" t="str">
        <f t="shared" si="5"/>
        <v>-</v>
      </c>
      <c r="X11" s="32" t="str">
        <f t="shared" si="5"/>
        <v>-</v>
      </c>
      <c r="Y11" s="32" t="str">
        <f t="shared" si="5"/>
        <v>-</v>
      </c>
      <c r="Z11" s="32" t="str">
        <f t="shared" si="5"/>
        <v>-</v>
      </c>
      <c r="AA11" s="32" t="str">
        <f t="shared" si="5"/>
        <v>-</v>
      </c>
      <c r="AB11" s="32" t="str">
        <f t="shared" si="5"/>
        <v>-</v>
      </c>
      <c r="AC11" s="32" t="str">
        <f t="shared" si="5"/>
        <v>-</v>
      </c>
      <c r="AD11" s="32" t="str">
        <f t="shared" si="5"/>
        <v>-</v>
      </c>
      <c r="AE11" s="32" t="str">
        <f t="shared" si="5"/>
        <v>-</v>
      </c>
      <c r="AF11" s="32" t="str">
        <f t="shared" si="5"/>
        <v>-</v>
      </c>
      <c r="AG11" s="32" t="str">
        <f t="shared" si="5"/>
        <v>-</v>
      </c>
      <c r="AH11" s="32" t="str">
        <f t="shared" si="5"/>
        <v>-</v>
      </c>
      <c r="AI11" s="32" t="str">
        <f t="shared" si="5"/>
        <v>-</v>
      </c>
      <c r="AJ11" s="32" t="str">
        <f t="shared" si="5"/>
        <v>-</v>
      </c>
      <c r="AK11" s="32" t="str">
        <f t="shared" si="5"/>
        <v>-</v>
      </c>
      <c r="AL11" s="32" t="str">
        <f t="shared" si="5"/>
        <v>-</v>
      </c>
      <c r="AM11" s="32" t="str">
        <f t="shared" si="5"/>
        <v>-</v>
      </c>
      <c r="AN11" s="32" t="str">
        <f t="shared" si="5"/>
        <v>-</v>
      </c>
      <c r="AO11" s="32" t="str">
        <f t="shared" si="2"/>
        <v>-</v>
      </c>
      <c r="AP11" s="32" t="str">
        <f t="shared" si="2"/>
        <v>-</v>
      </c>
      <c r="AQ11" s="32" t="str">
        <f t="shared" si="2"/>
        <v>-</v>
      </c>
      <c r="AR11" s="32" t="str">
        <f t="shared" si="2"/>
        <v>-</v>
      </c>
      <c r="AS11" s="32" t="str">
        <f t="shared" si="2"/>
        <v>-</v>
      </c>
      <c r="AT11" s="32" t="str">
        <f t="shared" si="2"/>
        <v>-</v>
      </c>
      <c r="AU11" s="32">
        <f t="shared" si="7"/>
        <v>1</v>
      </c>
      <c r="AV11" s="31">
        <v>1.1000000000000001</v>
      </c>
      <c r="AW11" s="32">
        <f t="shared" si="8"/>
        <v>1</v>
      </c>
      <c r="AX11" s="32">
        <f t="shared" si="8"/>
        <v>1</v>
      </c>
      <c r="AY11" s="32">
        <f t="shared" si="8"/>
        <v>1</v>
      </c>
      <c r="AZ11" s="32">
        <f t="shared" si="8"/>
        <v>1</v>
      </c>
      <c r="BA11" s="32">
        <f t="shared" si="8"/>
        <v>1</v>
      </c>
      <c r="BB11" s="32">
        <f t="shared" si="8"/>
        <v>1</v>
      </c>
      <c r="BC11" s="32">
        <f t="shared" si="8"/>
        <v>1</v>
      </c>
      <c r="BD11" s="32">
        <f t="shared" si="8"/>
        <v>1</v>
      </c>
      <c r="BE11" s="32">
        <f t="shared" si="8"/>
        <v>1</v>
      </c>
      <c r="BF11" s="32">
        <f t="shared" si="8"/>
        <v>1</v>
      </c>
      <c r="BG11" s="32">
        <f t="shared" si="8"/>
        <v>1</v>
      </c>
      <c r="BH11" s="32">
        <f t="shared" si="8"/>
        <v>1</v>
      </c>
      <c r="BI11" s="32">
        <f t="shared" si="8"/>
        <v>1</v>
      </c>
      <c r="BJ11" s="32">
        <f t="shared" si="8"/>
        <v>1</v>
      </c>
      <c r="BK11" s="32">
        <f t="shared" si="8"/>
        <v>0</v>
      </c>
      <c r="BL11" s="32">
        <f t="shared" si="8"/>
        <v>0</v>
      </c>
      <c r="BM11" s="32">
        <f t="shared" si="8"/>
        <v>0</v>
      </c>
      <c r="BN11" s="32">
        <f t="shared" si="8"/>
        <v>0</v>
      </c>
      <c r="BO11" s="32">
        <f t="shared" si="8"/>
        <v>0</v>
      </c>
      <c r="BP11" s="15">
        <v>0</v>
      </c>
    </row>
    <row r="12" spans="1:68">
      <c r="A12" s="18"/>
      <c r="B12">
        <f t="shared" si="3"/>
        <v>7</v>
      </c>
      <c r="C12" t="b">
        <v>0</v>
      </c>
      <c r="D12" t="b">
        <v>0</v>
      </c>
      <c r="E12" t="b">
        <v>0</v>
      </c>
      <c r="F12" s="3" t="s">
        <v>15</v>
      </c>
      <c r="G12" s="26" t="str">
        <f>IF(MATCH(F12,F$5:F12,0)=(COUNTA(F$5:F12)),"-","Dup")</f>
        <v>-</v>
      </c>
      <c r="H12" s="32" t="str">
        <f t="shared" si="4"/>
        <v>-</v>
      </c>
      <c r="I12" s="32" t="b">
        <f t="shared" si="4"/>
        <v>0</v>
      </c>
      <c r="J12" s="32" t="b">
        <f t="shared" si="4"/>
        <v>1</v>
      </c>
      <c r="K12" s="32" t="str">
        <f t="shared" si="4"/>
        <v>-</v>
      </c>
      <c r="L12" s="32" t="str">
        <f t="shared" si="4"/>
        <v>-</v>
      </c>
      <c r="M12" s="32" t="str">
        <f t="shared" si="4"/>
        <v>-</v>
      </c>
      <c r="N12" s="32" t="str">
        <f t="shared" si="4"/>
        <v>-</v>
      </c>
      <c r="O12" s="32" t="str">
        <f t="shared" si="4"/>
        <v>-</v>
      </c>
      <c r="P12" s="32" t="str">
        <f t="shared" si="4"/>
        <v>-</v>
      </c>
      <c r="Q12" s="32" t="str">
        <f t="shared" si="4"/>
        <v>-</v>
      </c>
      <c r="R12" s="32" t="str">
        <f t="shared" si="4"/>
        <v>-</v>
      </c>
      <c r="S12" s="32" t="str">
        <f t="shared" si="4"/>
        <v>-</v>
      </c>
      <c r="T12" s="32" t="str">
        <f t="shared" si="4"/>
        <v>-</v>
      </c>
      <c r="U12" s="32" t="str">
        <f t="shared" si="4"/>
        <v>-</v>
      </c>
      <c r="V12" s="32" t="str">
        <f t="shared" si="5"/>
        <v>-</v>
      </c>
      <c r="W12" s="32" t="str">
        <f t="shared" si="5"/>
        <v>-</v>
      </c>
      <c r="X12" s="32" t="str">
        <f t="shared" si="5"/>
        <v>-</v>
      </c>
      <c r="Y12" s="32" t="str">
        <f t="shared" si="5"/>
        <v>-</v>
      </c>
      <c r="Z12" s="32" t="str">
        <f t="shared" si="5"/>
        <v>-</v>
      </c>
      <c r="AA12" s="32" t="str">
        <f t="shared" si="5"/>
        <v>-</v>
      </c>
      <c r="AB12" s="32" t="str">
        <f t="shared" si="5"/>
        <v>-</v>
      </c>
      <c r="AC12" s="32" t="str">
        <f t="shared" si="5"/>
        <v>-</v>
      </c>
      <c r="AD12" s="32" t="str">
        <f t="shared" si="5"/>
        <v>-</v>
      </c>
      <c r="AE12" s="32" t="str">
        <f t="shared" si="5"/>
        <v>-</v>
      </c>
      <c r="AF12" s="32" t="str">
        <f t="shared" si="5"/>
        <v>-</v>
      </c>
      <c r="AG12" s="32" t="str">
        <f t="shared" si="5"/>
        <v>-</v>
      </c>
      <c r="AH12" s="32" t="str">
        <f t="shared" si="5"/>
        <v>-</v>
      </c>
      <c r="AI12" s="32" t="str">
        <f t="shared" si="5"/>
        <v>-</v>
      </c>
      <c r="AJ12" s="32" t="str">
        <f t="shared" si="5"/>
        <v>-</v>
      </c>
      <c r="AK12" s="32" t="str">
        <f t="shared" si="5"/>
        <v>-</v>
      </c>
      <c r="AL12" s="32" t="str">
        <f t="shared" si="5"/>
        <v>-</v>
      </c>
      <c r="AM12" s="32" t="str">
        <f t="shared" si="5"/>
        <v>-</v>
      </c>
      <c r="AN12" s="32" t="str">
        <f t="shared" si="5"/>
        <v>-</v>
      </c>
      <c r="AO12" s="32" t="str">
        <f t="shared" si="2"/>
        <v>-</v>
      </c>
      <c r="AP12" s="32" t="str">
        <f t="shared" si="2"/>
        <v>-</v>
      </c>
      <c r="AQ12" s="32" t="str">
        <f t="shared" si="2"/>
        <v>-</v>
      </c>
      <c r="AR12" s="32" t="str">
        <f t="shared" si="2"/>
        <v>-</v>
      </c>
      <c r="AS12" s="32" t="str">
        <f t="shared" si="2"/>
        <v>-</v>
      </c>
      <c r="AT12" s="32" t="str">
        <f t="shared" si="2"/>
        <v>-</v>
      </c>
      <c r="AU12" s="32">
        <f t="shared" si="7"/>
        <v>1</v>
      </c>
      <c r="AV12" s="32">
        <f t="shared" ref="AV12:AV44" si="9">AV$6</f>
        <v>1</v>
      </c>
      <c r="AW12" s="31">
        <v>0.9</v>
      </c>
      <c r="AX12" s="32">
        <f t="shared" ref="AX12:BO13" si="10">AX$6</f>
        <v>1</v>
      </c>
      <c r="AY12" s="32">
        <f t="shared" si="10"/>
        <v>1</v>
      </c>
      <c r="AZ12" s="32">
        <f t="shared" si="10"/>
        <v>1</v>
      </c>
      <c r="BA12" s="32">
        <f t="shared" si="10"/>
        <v>1</v>
      </c>
      <c r="BB12" s="32">
        <f t="shared" si="10"/>
        <v>1</v>
      </c>
      <c r="BC12" s="32">
        <f t="shared" si="10"/>
        <v>1</v>
      </c>
      <c r="BD12" s="32">
        <f t="shared" si="10"/>
        <v>1</v>
      </c>
      <c r="BE12" s="32">
        <f t="shared" si="10"/>
        <v>1</v>
      </c>
      <c r="BF12" s="32">
        <f t="shared" si="10"/>
        <v>1</v>
      </c>
      <c r="BG12" s="32">
        <f t="shared" si="10"/>
        <v>1</v>
      </c>
      <c r="BH12" s="32">
        <f t="shared" si="10"/>
        <v>1</v>
      </c>
      <c r="BI12" s="32">
        <f t="shared" si="10"/>
        <v>1</v>
      </c>
      <c r="BJ12" s="32">
        <f t="shared" si="10"/>
        <v>1</v>
      </c>
      <c r="BK12" s="32">
        <f t="shared" si="10"/>
        <v>0</v>
      </c>
      <c r="BL12" s="32">
        <f t="shared" si="10"/>
        <v>0</v>
      </c>
      <c r="BM12" s="32">
        <f t="shared" si="10"/>
        <v>0</v>
      </c>
      <c r="BN12" s="32">
        <f t="shared" si="10"/>
        <v>0</v>
      </c>
      <c r="BO12" s="32">
        <f t="shared" si="10"/>
        <v>0</v>
      </c>
      <c r="BP12" s="15">
        <v>0</v>
      </c>
    </row>
    <row r="13" spans="1:68">
      <c r="A13" s="18"/>
      <c r="B13">
        <f t="shared" si="3"/>
        <v>8</v>
      </c>
      <c r="C13" t="b">
        <v>0</v>
      </c>
      <c r="D13" t="b">
        <v>0</v>
      </c>
      <c r="E13" t="b">
        <v>0</v>
      </c>
      <c r="F13" s="3" t="s">
        <v>16</v>
      </c>
      <c r="G13" s="26" t="str">
        <f>IF(MATCH(F13,F$5:F13,0)=(COUNTA(F$5:F13)),"-","Dup")</f>
        <v>-</v>
      </c>
      <c r="H13" s="32" t="str">
        <f t="shared" si="4"/>
        <v>-</v>
      </c>
      <c r="I13" s="32" t="b">
        <f t="shared" si="4"/>
        <v>0</v>
      </c>
      <c r="J13" s="32" t="b">
        <f t="shared" si="4"/>
        <v>1</v>
      </c>
      <c r="K13" s="32" t="str">
        <f t="shared" si="4"/>
        <v>-</v>
      </c>
      <c r="L13" s="32" t="str">
        <f t="shared" si="4"/>
        <v>-</v>
      </c>
      <c r="M13" s="32" t="str">
        <f t="shared" si="4"/>
        <v>-</v>
      </c>
      <c r="N13" s="32" t="str">
        <f t="shared" si="4"/>
        <v>-</v>
      </c>
      <c r="O13" s="32" t="str">
        <f t="shared" si="4"/>
        <v>-</v>
      </c>
      <c r="P13" s="32" t="str">
        <f t="shared" si="4"/>
        <v>-</v>
      </c>
      <c r="Q13" s="32" t="str">
        <f t="shared" si="4"/>
        <v>-</v>
      </c>
      <c r="R13" s="32" t="str">
        <f t="shared" si="4"/>
        <v>-</v>
      </c>
      <c r="S13" s="32" t="str">
        <f t="shared" si="4"/>
        <v>-</v>
      </c>
      <c r="T13" s="32" t="str">
        <f t="shared" si="4"/>
        <v>-</v>
      </c>
      <c r="U13" s="32" t="str">
        <f t="shared" si="4"/>
        <v>-</v>
      </c>
      <c r="V13" s="32" t="str">
        <f t="shared" si="5"/>
        <v>-</v>
      </c>
      <c r="W13" s="32" t="str">
        <f t="shared" si="5"/>
        <v>-</v>
      </c>
      <c r="X13" s="32" t="str">
        <f t="shared" si="5"/>
        <v>-</v>
      </c>
      <c r="Y13" s="32" t="str">
        <f t="shared" si="5"/>
        <v>-</v>
      </c>
      <c r="Z13" s="32" t="str">
        <f t="shared" si="5"/>
        <v>-</v>
      </c>
      <c r="AA13" s="32" t="str">
        <f t="shared" si="5"/>
        <v>-</v>
      </c>
      <c r="AB13" s="32" t="str">
        <f t="shared" si="5"/>
        <v>-</v>
      </c>
      <c r="AC13" s="32" t="str">
        <f t="shared" si="5"/>
        <v>-</v>
      </c>
      <c r="AD13" s="32" t="str">
        <f t="shared" si="5"/>
        <v>-</v>
      </c>
      <c r="AE13" s="32" t="str">
        <f t="shared" si="5"/>
        <v>-</v>
      </c>
      <c r="AF13" s="32" t="str">
        <f t="shared" si="5"/>
        <v>-</v>
      </c>
      <c r="AG13" s="32" t="str">
        <f t="shared" si="5"/>
        <v>-</v>
      </c>
      <c r="AH13" s="32" t="str">
        <f t="shared" si="5"/>
        <v>-</v>
      </c>
      <c r="AI13" s="32" t="str">
        <f t="shared" si="5"/>
        <v>-</v>
      </c>
      <c r="AJ13" s="32" t="str">
        <f t="shared" si="5"/>
        <v>-</v>
      </c>
      <c r="AK13" s="32" t="str">
        <f t="shared" si="5"/>
        <v>-</v>
      </c>
      <c r="AL13" s="32" t="str">
        <f t="shared" si="5"/>
        <v>-</v>
      </c>
      <c r="AM13" s="32" t="str">
        <f t="shared" si="5"/>
        <v>-</v>
      </c>
      <c r="AN13" s="32" t="str">
        <f t="shared" si="5"/>
        <v>-</v>
      </c>
      <c r="AO13" s="32" t="str">
        <f t="shared" si="2"/>
        <v>-</v>
      </c>
      <c r="AP13" s="32" t="str">
        <f t="shared" si="2"/>
        <v>-</v>
      </c>
      <c r="AQ13" s="32" t="str">
        <f t="shared" si="2"/>
        <v>-</v>
      </c>
      <c r="AR13" s="32" t="str">
        <f t="shared" si="2"/>
        <v>-</v>
      </c>
      <c r="AS13" s="32" t="str">
        <f t="shared" si="2"/>
        <v>-</v>
      </c>
      <c r="AT13" s="32" t="str">
        <f t="shared" si="2"/>
        <v>-</v>
      </c>
      <c r="AU13" s="32">
        <f t="shared" si="7"/>
        <v>1</v>
      </c>
      <c r="AV13" s="32">
        <f t="shared" si="9"/>
        <v>1</v>
      </c>
      <c r="AW13" s="31">
        <v>1.1000000000000001</v>
      </c>
      <c r="AX13" s="32">
        <f t="shared" si="10"/>
        <v>1</v>
      </c>
      <c r="AY13" s="32">
        <f t="shared" si="10"/>
        <v>1</v>
      </c>
      <c r="AZ13" s="32">
        <f t="shared" si="10"/>
        <v>1</v>
      </c>
      <c r="BA13" s="32">
        <f t="shared" si="10"/>
        <v>1</v>
      </c>
      <c r="BB13" s="32">
        <f t="shared" si="10"/>
        <v>1</v>
      </c>
      <c r="BC13" s="32">
        <f t="shared" si="10"/>
        <v>1</v>
      </c>
      <c r="BD13" s="32">
        <f t="shared" si="10"/>
        <v>1</v>
      </c>
      <c r="BE13" s="32">
        <f t="shared" si="10"/>
        <v>1</v>
      </c>
      <c r="BF13" s="32">
        <f t="shared" si="10"/>
        <v>1</v>
      </c>
      <c r="BG13" s="32">
        <f t="shared" si="10"/>
        <v>1</v>
      </c>
      <c r="BH13" s="32">
        <f t="shared" si="10"/>
        <v>1</v>
      </c>
      <c r="BI13" s="32">
        <f t="shared" si="10"/>
        <v>1</v>
      </c>
      <c r="BJ13" s="32">
        <f t="shared" si="10"/>
        <v>1</v>
      </c>
      <c r="BK13" s="32">
        <f t="shared" si="10"/>
        <v>0</v>
      </c>
      <c r="BL13" s="32">
        <f t="shared" si="10"/>
        <v>0</v>
      </c>
      <c r="BM13" s="32">
        <f t="shared" si="10"/>
        <v>0</v>
      </c>
      <c r="BN13" s="32">
        <f t="shared" si="10"/>
        <v>0</v>
      </c>
      <c r="BO13" s="32">
        <f t="shared" si="10"/>
        <v>0</v>
      </c>
      <c r="BP13" s="15">
        <v>0</v>
      </c>
    </row>
    <row r="14" spans="1:68">
      <c r="A14" s="18"/>
      <c r="B14">
        <f t="shared" si="3"/>
        <v>9</v>
      </c>
      <c r="C14" t="b">
        <v>0</v>
      </c>
      <c r="D14" t="b">
        <v>0</v>
      </c>
      <c r="E14" t="b">
        <v>0</v>
      </c>
      <c r="F14" s="3" t="s">
        <v>22</v>
      </c>
      <c r="G14" s="26" t="str">
        <f>IF(MATCH(F14,F$5:F14,0)=(COUNTA(F$5:F14)),"-","Dup")</f>
        <v>-</v>
      </c>
      <c r="H14" s="32" t="str">
        <f t="shared" si="4"/>
        <v>-</v>
      </c>
      <c r="I14" s="32" t="b">
        <f t="shared" si="4"/>
        <v>0</v>
      </c>
      <c r="J14" s="32" t="b">
        <f t="shared" si="4"/>
        <v>1</v>
      </c>
      <c r="K14" s="32" t="str">
        <f t="shared" si="4"/>
        <v>-</v>
      </c>
      <c r="L14" s="32" t="str">
        <f t="shared" si="4"/>
        <v>-</v>
      </c>
      <c r="M14" s="32" t="str">
        <f t="shared" si="4"/>
        <v>-</v>
      </c>
      <c r="N14" s="32" t="str">
        <f t="shared" si="4"/>
        <v>-</v>
      </c>
      <c r="O14" s="32" t="str">
        <f t="shared" si="4"/>
        <v>-</v>
      </c>
      <c r="P14" s="32" t="str">
        <f t="shared" si="4"/>
        <v>-</v>
      </c>
      <c r="Q14" s="32" t="str">
        <f t="shared" si="4"/>
        <v>-</v>
      </c>
      <c r="R14" s="32" t="str">
        <f t="shared" si="4"/>
        <v>-</v>
      </c>
      <c r="S14" s="32" t="str">
        <f t="shared" si="4"/>
        <v>-</v>
      </c>
      <c r="T14" s="32" t="str">
        <f t="shared" si="4"/>
        <v>-</v>
      </c>
      <c r="U14" s="32" t="str">
        <f t="shared" si="4"/>
        <v>-</v>
      </c>
      <c r="V14" s="32" t="str">
        <f t="shared" si="5"/>
        <v>-</v>
      </c>
      <c r="W14" s="32" t="str">
        <f t="shared" si="5"/>
        <v>-</v>
      </c>
      <c r="X14" s="32" t="str">
        <f t="shared" si="5"/>
        <v>-</v>
      </c>
      <c r="Y14" s="32" t="str">
        <f t="shared" si="5"/>
        <v>-</v>
      </c>
      <c r="Z14" s="32" t="str">
        <f t="shared" si="5"/>
        <v>-</v>
      </c>
      <c r="AA14" s="32" t="str">
        <f t="shared" si="5"/>
        <v>-</v>
      </c>
      <c r="AB14" s="32" t="str">
        <f t="shared" si="5"/>
        <v>-</v>
      </c>
      <c r="AC14" s="32" t="str">
        <f t="shared" si="5"/>
        <v>-</v>
      </c>
      <c r="AD14" s="32" t="str">
        <f t="shared" si="5"/>
        <v>-</v>
      </c>
      <c r="AE14" s="32" t="str">
        <f t="shared" si="5"/>
        <v>-</v>
      </c>
      <c r="AF14" s="32" t="str">
        <f t="shared" si="5"/>
        <v>-</v>
      </c>
      <c r="AG14" s="32" t="str">
        <f t="shared" si="5"/>
        <v>-</v>
      </c>
      <c r="AH14" s="32" t="str">
        <f t="shared" si="5"/>
        <v>-</v>
      </c>
      <c r="AI14" s="32" t="str">
        <f t="shared" si="5"/>
        <v>-</v>
      </c>
      <c r="AJ14" s="32" t="str">
        <f t="shared" si="5"/>
        <v>-</v>
      </c>
      <c r="AK14" s="32" t="str">
        <f t="shared" si="5"/>
        <v>-</v>
      </c>
      <c r="AL14" s="32" t="str">
        <f t="shared" si="5"/>
        <v>-</v>
      </c>
      <c r="AM14" s="32" t="str">
        <f t="shared" si="5"/>
        <v>-</v>
      </c>
      <c r="AN14" s="32" t="str">
        <f t="shared" si="5"/>
        <v>-</v>
      </c>
      <c r="AO14" s="32" t="str">
        <f t="shared" si="2"/>
        <v>-</v>
      </c>
      <c r="AP14" s="32" t="str">
        <f t="shared" si="2"/>
        <v>-</v>
      </c>
      <c r="AQ14" s="32" t="str">
        <f t="shared" si="2"/>
        <v>-</v>
      </c>
      <c r="AR14" s="32" t="str">
        <f t="shared" si="2"/>
        <v>-</v>
      </c>
      <c r="AS14" s="32" t="str">
        <f t="shared" si="2"/>
        <v>-</v>
      </c>
      <c r="AT14" s="32" t="str">
        <f t="shared" si="2"/>
        <v>-</v>
      </c>
      <c r="AU14" s="32">
        <f t="shared" si="7"/>
        <v>1</v>
      </c>
      <c r="AV14" s="32">
        <f t="shared" si="9"/>
        <v>1</v>
      </c>
      <c r="AW14" s="32">
        <f t="shared" ref="AW14:AW44" si="11">AW$6</f>
        <v>1</v>
      </c>
      <c r="AX14" s="31">
        <v>0.9</v>
      </c>
      <c r="AY14" s="32">
        <f t="shared" ref="AY14:BO15" si="12">AY$6</f>
        <v>1</v>
      </c>
      <c r="AZ14" s="32">
        <f t="shared" si="12"/>
        <v>1</v>
      </c>
      <c r="BA14" s="32">
        <f t="shared" si="12"/>
        <v>1</v>
      </c>
      <c r="BB14" s="32">
        <f t="shared" si="12"/>
        <v>1</v>
      </c>
      <c r="BC14" s="32">
        <f t="shared" si="12"/>
        <v>1</v>
      </c>
      <c r="BD14" s="32">
        <f t="shared" si="12"/>
        <v>1</v>
      </c>
      <c r="BE14" s="32">
        <f t="shared" si="12"/>
        <v>1</v>
      </c>
      <c r="BF14" s="32">
        <f t="shared" si="12"/>
        <v>1</v>
      </c>
      <c r="BG14" s="32">
        <f t="shared" si="12"/>
        <v>1</v>
      </c>
      <c r="BH14" s="32">
        <f t="shared" si="12"/>
        <v>1</v>
      </c>
      <c r="BI14" s="32">
        <f t="shared" si="12"/>
        <v>1</v>
      </c>
      <c r="BJ14" s="32">
        <f t="shared" si="12"/>
        <v>1</v>
      </c>
      <c r="BK14" s="32">
        <f t="shared" si="12"/>
        <v>0</v>
      </c>
      <c r="BL14" s="32">
        <f t="shared" si="12"/>
        <v>0</v>
      </c>
      <c r="BM14" s="32">
        <f t="shared" si="12"/>
        <v>0</v>
      </c>
      <c r="BN14" s="32">
        <f t="shared" si="12"/>
        <v>0</v>
      </c>
      <c r="BO14" s="32">
        <f t="shared" si="12"/>
        <v>0</v>
      </c>
      <c r="BP14" s="15">
        <v>0</v>
      </c>
    </row>
    <row r="15" spans="1:68">
      <c r="A15" s="18"/>
      <c r="B15">
        <f t="shared" si="3"/>
        <v>10</v>
      </c>
      <c r="C15" t="b">
        <v>0</v>
      </c>
      <c r="D15" t="b">
        <v>0</v>
      </c>
      <c r="E15" t="b">
        <v>0</v>
      </c>
      <c r="F15" s="3" t="s">
        <v>17</v>
      </c>
      <c r="G15" s="26" t="str">
        <f>IF(MATCH(F15,F$5:F15,0)=(COUNTA(F$5:F15)),"-","Dup")</f>
        <v>-</v>
      </c>
      <c r="H15" s="32" t="str">
        <f t="shared" si="4"/>
        <v>-</v>
      </c>
      <c r="I15" s="32" t="b">
        <f t="shared" si="4"/>
        <v>0</v>
      </c>
      <c r="J15" s="32" t="b">
        <f t="shared" si="4"/>
        <v>1</v>
      </c>
      <c r="K15" s="32" t="str">
        <f t="shared" si="4"/>
        <v>-</v>
      </c>
      <c r="L15" s="32" t="str">
        <f t="shared" si="4"/>
        <v>-</v>
      </c>
      <c r="M15" s="32" t="str">
        <f t="shared" si="4"/>
        <v>-</v>
      </c>
      <c r="N15" s="32" t="str">
        <f t="shared" si="4"/>
        <v>-</v>
      </c>
      <c r="O15" s="32" t="str">
        <f t="shared" si="4"/>
        <v>-</v>
      </c>
      <c r="P15" s="32" t="str">
        <f t="shared" si="4"/>
        <v>-</v>
      </c>
      <c r="Q15" s="32" t="str">
        <f t="shared" si="4"/>
        <v>-</v>
      </c>
      <c r="R15" s="32" t="str">
        <f t="shared" si="4"/>
        <v>-</v>
      </c>
      <c r="S15" s="32" t="str">
        <f t="shared" si="4"/>
        <v>-</v>
      </c>
      <c r="T15" s="32" t="str">
        <f t="shared" si="4"/>
        <v>-</v>
      </c>
      <c r="U15" s="32" t="str">
        <f t="shared" si="4"/>
        <v>-</v>
      </c>
      <c r="V15" s="32" t="str">
        <f t="shared" si="5"/>
        <v>-</v>
      </c>
      <c r="W15" s="32" t="str">
        <f t="shared" si="5"/>
        <v>-</v>
      </c>
      <c r="X15" s="32" t="str">
        <f t="shared" si="5"/>
        <v>-</v>
      </c>
      <c r="Y15" s="32" t="str">
        <f t="shared" si="5"/>
        <v>-</v>
      </c>
      <c r="Z15" s="32" t="str">
        <f t="shared" si="5"/>
        <v>-</v>
      </c>
      <c r="AA15" s="32" t="str">
        <f t="shared" si="5"/>
        <v>-</v>
      </c>
      <c r="AB15" s="32" t="str">
        <f t="shared" si="5"/>
        <v>-</v>
      </c>
      <c r="AC15" s="32" t="str">
        <f t="shared" si="5"/>
        <v>-</v>
      </c>
      <c r="AD15" s="32" t="str">
        <f t="shared" si="5"/>
        <v>-</v>
      </c>
      <c r="AE15" s="32" t="str">
        <f t="shared" si="5"/>
        <v>-</v>
      </c>
      <c r="AF15" s="32" t="str">
        <f t="shared" si="5"/>
        <v>-</v>
      </c>
      <c r="AG15" s="32" t="str">
        <f t="shared" si="5"/>
        <v>-</v>
      </c>
      <c r="AH15" s="32" t="str">
        <f t="shared" si="5"/>
        <v>-</v>
      </c>
      <c r="AI15" s="32" t="str">
        <f t="shared" si="5"/>
        <v>-</v>
      </c>
      <c r="AJ15" s="32" t="str">
        <f t="shared" si="5"/>
        <v>-</v>
      </c>
      <c r="AK15" s="32" t="str">
        <f t="shared" si="5"/>
        <v>-</v>
      </c>
      <c r="AL15" s="32" t="str">
        <f t="shared" si="5"/>
        <v>-</v>
      </c>
      <c r="AM15" s="32" t="str">
        <f t="shared" si="5"/>
        <v>-</v>
      </c>
      <c r="AN15" s="32" t="str">
        <f t="shared" si="5"/>
        <v>-</v>
      </c>
      <c r="AO15" s="32" t="str">
        <f t="shared" si="2"/>
        <v>-</v>
      </c>
      <c r="AP15" s="32" t="str">
        <f t="shared" si="2"/>
        <v>-</v>
      </c>
      <c r="AQ15" s="32" t="str">
        <f t="shared" si="2"/>
        <v>-</v>
      </c>
      <c r="AR15" s="32" t="str">
        <f t="shared" si="2"/>
        <v>-</v>
      </c>
      <c r="AS15" s="32" t="str">
        <f t="shared" si="2"/>
        <v>-</v>
      </c>
      <c r="AT15" s="32" t="str">
        <f t="shared" si="2"/>
        <v>-</v>
      </c>
      <c r="AU15" s="32">
        <f t="shared" si="7"/>
        <v>1</v>
      </c>
      <c r="AV15" s="32">
        <f t="shared" si="9"/>
        <v>1</v>
      </c>
      <c r="AW15" s="32">
        <f t="shared" si="11"/>
        <v>1</v>
      </c>
      <c r="AX15" s="31">
        <v>1.1000000000000001</v>
      </c>
      <c r="AY15" s="32">
        <f t="shared" si="12"/>
        <v>1</v>
      </c>
      <c r="AZ15" s="32">
        <f t="shared" si="12"/>
        <v>1</v>
      </c>
      <c r="BA15" s="32">
        <f t="shared" si="12"/>
        <v>1</v>
      </c>
      <c r="BB15" s="32">
        <f t="shared" si="12"/>
        <v>1</v>
      </c>
      <c r="BC15" s="32">
        <f t="shared" si="12"/>
        <v>1</v>
      </c>
      <c r="BD15" s="32">
        <f t="shared" si="12"/>
        <v>1</v>
      </c>
      <c r="BE15" s="32">
        <f t="shared" si="12"/>
        <v>1</v>
      </c>
      <c r="BF15" s="32">
        <f t="shared" si="12"/>
        <v>1</v>
      </c>
      <c r="BG15" s="32">
        <f t="shared" si="12"/>
        <v>1</v>
      </c>
      <c r="BH15" s="32">
        <f t="shared" si="12"/>
        <v>1</v>
      </c>
      <c r="BI15" s="32">
        <f t="shared" si="12"/>
        <v>1</v>
      </c>
      <c r="BJ15" s="32">
        <f t="shared" si="12"/>
        <v>1</v>
      </c>
      <c r="BK15" s="32">
        <f t="shared" si="12"/>
        <v>0</v>
      </c>
      <c r="BL15" s="32">
        <f t="shared" si="12"/>
        <v>0</v>
      </c>
      <c r="BM15" s="32">
        <f t="shared" si="12"/>
        <v>0</v>
      </c>
      <c r="BN15" s="32">
        <f t="shared" si="12"/>
        <v>0</v>
      </c>
      <c r="BO15" s="32">
        <f t="shared" si="12"/>
        <v>0</v>
      </c>
      <c r="BP15" s="15">
        <v>0</v>
      </c>
    </row>
    <row r="16" spans="1:68">
      <c r="A16" s="18"/>
      <c r="B16">
        <f t="shared" si="3"/>
        <v>11</v>
      </c>
      <c r="C16" t="b">
        <v>0</v>
      </c>
      <c r="D16" t="b">
        <v>0</v>
      </c>
      <c r="E16" t="b">
        <v>0</v>
      </c>
      <c r="F16" s="3" t="s">
        <v>18</v>
      </c>
      <c r="G16" s="26" t="str">
        <f>IF(MATCH(F16,F$5:F16,0)=(COUNTA(F$5:F16)),"-","Dup")</f>
        <v>-</v>
      </c>
      <c r="H16" s="32" t="str">
        <f t="shared" si="4"/>
        <v>-</v>
      </c>
      <c r="I16" s="32" t="b">
        <f t="shared" si="4"/>
        <v>0</v>
      </c>
      <c r="J16" s="32" t="b">
        <f t="shared" si="4"/>
        <v>1</v>
      </c>
      <c r="K16" s="32" t="str">
        <f t="shared" si="4"/>
        <v>-</v>
      </c>
      <c r="L16" s="32" t="str">
        <f t="shared" si="4"/>
        <v>-</v>
      </c>
      <c r="M16" s="32" t="str">
        <f t="shared" si="4"/>
        <v>-</v>
      </c>
      <c r="N16" s="32" t="str">
        <f t="shared" si="4"/>
        <v>-</v>
      </c>
      <c r="O16" s="32" t="str">
        <f t="shared" si="4"/>
        <v>-</v>
      </c>
      <c r="P16" s="32" t="str">
        <f t="shared" si="4"/>
        <v>-</v>
      </c>
      <c r="Q16" s="32" t="str">
        <f t="shared" si="4"/>
        <v>-</v>
      </c>
      <c r="R16" s="32" t="str">
        <f t="shared" si="4"/>
        <v>-</v>
      </c>
      <c r="S16" s="32" t="str">
        <f t="shared" si="4"/>
        <v>-</v>
      </c>
      <c r="T16" s="32" t="str">
        <f t="shared" si="4"/>
        <v>-</v>
      </c>
      <c r="U16" s="32" t="str">
        <f t="shared" si="4"/>
        <v>-</v>
      </c>
      <c r="V16" s="32" t="str">
        <f t="shared" si="5"/>
        <v>-</v>
      </c>
      <c r="W16" s="32" t="str">
        <f t="shared" si="5"/>
        <v>-</v>
      </c>
      <c r="X16" s="32" t="str">
        <f t="shared" si="5"/>
        <v>-</v>
      </c>
      <c r="Y16" s="32" t="str">
        <f t="shared" si="5"/>
        <v>-</v>
      </c>
      <c r="Z16" s="32" t="str">
        <f t="shared" si="5"/>
        <v>-</v>
      </c>
      <c r="AA16" s="32" t="str">
        <f t="shared" si="5"/>
        <v>-</v>
      </c>
      <c r="AB16" s="32" t="str">
        <f t="shared" si="5"/>
        <v>-</v>
      </c>
      <c r="AC16" s="32" t="str">
        <f t="shared" si="5"/>
        <v>-</v>
      </c>
      <c r="AD16" s="32" t="str">
        <f t="shared" si="5"/>
        <v>-</v>
      </c>
      <c r="AE16" s="32" t="str">
        <f t="shared" si="5"/>
        <v>-</v>
      </c>
      <c r="AF16" s="32" t="str">
        <f t="shared" si="5"/>
        <v>-</v>
      </c>
      <c r="AG16" s="32" t="str">
        <f t="shared" si="5"/>
        <v>-</v>
      </c>
      <c r="AH16" s="32" t="str">
        <f t="shared" si="5"/>
        <v>-</v>
      </c>
      <c r="AI16" s="32" t="str">
        <f t="shared" si="5"/>
        <v>-</v>
      </c>
      <c r="AJ16" s="32" t="str">
        <f t="shared" si="5"/>
        <v>-</v>
      </c>
      <c r="AK16" s="32" t="str">
        <f t="shared" si="5"/>
        <v>-</v>
      </c>
      <c r="AL16" s="32" t="str">
        <f t="shared" si="5"/>
        <v>-</v>
      </c>
      <c r="AM16" s="32" t="str">
        <f t="shared" si="5"/>
        <v>-</v>
      </c>
      <c r="AN16" s="32" t="str">
        <f t="shared" si="5"/>
        <v>-</v>
      </c>
      <c r="AO16" s="32" t="str">
        <f t="shared" si="2"/>
        <v>-</v>
      </c>
      <c r="AP16" s="32" t="str">
        <f t="shared" si="2"/>
        <v>-</v>
      </c>
      <c r="AQ16" s="32" t="str">
        <f t="shared" si="2"/>
        <v>-</v>
      </c>
      <c r="AR16" s="32" t="str">
        <f t="shared" si="2"/>
        <v>-</v>
      </c>
      <c r="AS16" s="32" t="str">
        <f t="shared" si="2"/>
        <v>-</v>
      </c>
      <c r="AT16" s="32" t="str">
        <f t="shared" si="2"/>
        <v>-</v>
      </c>
      <c r="AU16" s="32">
        <f t="shared" si="7"/>
        <v>1</v>
      </c>
      <c r="AV16" s="32">
        <f t="shared" si="9"/>
        <v>1</v>
      </c>
      <c r="AW16" s="32">
        <f t="shared" si="11"/>
        <v>1</v>
      </c>
      <c r="AX16" s="32">
        <f t="shared" ref="AX16:AX44" si="13">AX$6</f>
        <v>1</v>
      </c>
      <c r="AY16" s="31">
        <v>0.9</v>
      </c>
      <c r="AZ16" s="32">
        <f t="shared" ref="AZ16:BO17" si="14">AZ$6</f>
        <v>1</v>
      </c>
      <c r="BA16" s="32">
        <f t="shared" si="14"/>
        <v>1</v>
      </c>
      <c r="BB16" s="32">
        <f t="shared" si="14"/>
        <v>1</v>
      </c>
      <c r="BC16" s="32">
        <f t="shared" si="14"/>
        <v>1</v>
      </c>
      <c r="BD16" s="32">
        <f t="shared" si="14"/>
        <v>1</v>
      </c>
      <c r="BE16" s="32">
        <f t="shared" si="14"/>
        <v>1</v>
      </c>
      <c r="BF16" s="32">
        <f t="shared" si="14"/>
        <v>1</v>
      </c>
      <c r="BG16" s="32">
        <f t="shared" si="14"/>
        <v>1</v>
      </c>
      <c r="BH16" s="32">
        <f t="shared" si="14"/>
        <v>1</v>
      </c>
      <c r="BI16" s="32">
        <f t="shared" si="14"/>
        <v>1</v>
      </c>
      <c r="BJ16" s="32">
        <f t="shared" si="14"/>
        <v>1</v>
      </c>
      <c r="BK16" s="32">
        <f t="shared" si="14"/>
        <v>0</v>
      </c>
      <c r="BL16" s="32">
        <f t="shared" si="14"/>
        <v>0</v>
      </c>
      <c r="BM16" s="32">
        <f t="shared" si="14"/>
        <v>0</v>
      </c>
      <c r="BN16" s="32">
        <f t="shared" si="14"/>
        <v>0</v>
      </c>
      <c r="BO16" s="32">
        <f t="shared" si="14"/>
        <v>0</v>
      </c>
      <c r="BP16" s="15">
        <v>0</v>
      </c>
    </row>
    <row r="17" spans="1:68">
      <c r="A17" s="18"/>
      <c r="B17">
        <f t="shared" si="3"/>
        <v>12</v>
      </c>
      <c r="C17" t="b">
        <v>0</v>
      </c>
      <c r="D17" t="b">
        <v>0</v>
      </c>
      <c r="E17" t="b">
        <v>0</v>
      </c>
      <c r="F17" s="3" t="s">
        <v>19</v>
      </c>
      <c r="G17" s="26" t="str">
        <f>IF(MATCH(F17,F$5:F17,0)=(COUNTA(F$5:F17)),"-","Dup")</f>
        <v>-</v>
      </c>
      <c r="H17" s="32" t="str">
        <f t="shared" si="4"/>
        <v>-</v>
      </c>
      <c r="I17" s="32" t="b">
        <f t="shared" si="4"/>
        <v>0</v>
      </c>
      <c r="J17" s="32" t="b">
        <f t="shared" si="4"/>
        <v>1</v>
      </c>
      <c r="K17" s="32" t="str">
        <f t="shared" si="4"/>
        <v>-</v>
      </c>
      <c r="L17" s="32" t="str">
        <f t="shared" si="4"/>
        <v>-</v>
      </c>
      <c r="M17" s="32" t="str">
        <f t="shared" si="4"/>
        <v>-</v>
      </c>
      <c r="N17" s="32" t="str">
        <f t="shared" si="4"/>
        <v>-</v>
      </c>
      <c r="O17" s="32" t="str">
        <f t="shared" si="4"/>
        <v>-</v>
      </c>
      <c r="P17" s="32" t="str">
        <f t="shared" si="4"/>
        <v>-</v>
      </c>
      <c r="Q17" s="32" t="str">
        <f t="shared" si="4"/>
        <v>-</v>
      </c>
      <c r="R17" s="32" t="str">
        <f t="shared" si="4"/>
        <v>-</v>
      </c>
      <c r="S17" s="32" t="str">
        <f t="shared" si="4"/>
        <v>-</v>
      </c>
      <c r="T17" s="32" t="str">
        <f t="shared" si="4"/>
        <v>-</v>
      </c>
      <c r="U17" s="32" t="str">
        <f t="shared" si="4"/>
        <v>-</v>
      </c>
      <c r="V17" s="32" t="str">
        <f t="shared" si="5"/>
        <v>-</v>
      </c>
      <c r="W17" s="32" t="str">
        <f t="shared" si="5"/>
        <v>-</v>
      </c>
      <c r="X17" s="32" t="str">
        <f t="shared" si="5"/>
        <v>-</v>
      </c>
      <c r="Y17" s="32" t="str">
        <f t="shared" si="5"/>
        <v>-</v>
      </c>
      <c r="Z17" s="32" t="str">
        <f t="shared" si="5"/>
        <v>-</v>
      </c>
      <c r="AA17" s="32" t="str">
        <f t="shared" si="5"/>
        <v>-</v>
      </c>
      <c r="AB17" s="32" t="str">
        <f t="shared" si="5"/>
        <v>-</v>
      </c>
      <c r="AC17" s="32" t="str">
        <f t="shared" si="5"/>
        <v>-</v>
      </c>
      <c r="AD17" s="32" t="str">
        <f t="shared" si="5"/>
        <v>-</v>
      </c>
      <c r="AE17" s="32" t="str">
        <f t="shared" si="5"/>
        <v>-</v>
      </c>
      <c r="AF17" s="32" t="str">
        <f t="shared" si="5"/>
        <v>-</v>
      </c>
      <c r="AG17" s="32" t="str">
        <f t="shared" si="5"/>
        <v>-</v>
      </c>
      <c r="AH17" s="32" t="str">
        <f t="shared" si="5"/>
        <v>-</v>
      </c>
      <c r="AI17" s="32" t="str">
        <f t="shared" si="5"/>
        <v>-</v>
      </c>
      <c r="AJ17" s="32" t="str">
        <f t="shared" si="5"/>
        <v>-</v>
      </c>
      <c r="AK17" s="32" t="str">
        <f t="shared" si="5"/>
        <v>-</v>
      </c>
      <c r="AL17" s="32" t="str">
        <f t="shared" si="5"/>
        <v>-</v>
      </c>
      <c r="AM17" s="32" t="str">
        <f t="shared" si="5"/>
        <v>-</v>
      </c>
      <c r="AN17" s="32" t="str">
        <f t="shared" si="5"/>
        <v>-</v>
      </c>
      <c r="AO17" s="32" t="str">
        <f t="shared" si="2"/>
        <v>-</v>
      </c>
      <c r="AP17" s="32" t="str">
        <f t="shared" si="2"/>
        <v>-</v>
      </c>
      <c r="AQ17" s="32" t="str">
        <f t="shared" si="2"/>
        <v>-</v>
      </c>
      <c r="AR17" s="32" t="str">
        <f t="shared" si="2"/>
        <v>-</v>
      </c>
      <c r="AS17" s="32" t="str">
        <f t="shared" si="2"/>
        <v>-</v>
      </c>
      <c r="AT17" s="32" t="str">
        <f t="shared" si="2"/>
        <v>-</v>
      </c>
      <c r="AU17" s="32">
        <f t="shared" si="7"/>
        <v>1</v>
      </c>
      <c r="AV17" s="32">
        <f t="shared" si="9"/>
        <v>1</v>
      </c>
      <c r="AW17" s="32">
        <f t="shared" si="11"/>
        <v>1</v>
      </c>
      <c r="AX17" s="32">
        <f t="shared" si="13"/>
        <v>1</v>
      </c>
      <c r="AY17" s="31">
        <v>1.1000000000000001</v>
      </c>
      <c r="AZ17" s="32">
        <f t="shared" si="14"/>
        <v>1</v>
      </c>
      <c r="BA17" s="32">
        <f t="shared" si="14"/>
        <v>1</v>
      </c>
      <c r="BB17" s="32">
        <f t="shared" si="14"/>
        <v>1</v>
      </c>
      <c r="BC17" s="32">
        <f t="shared" si="14"/>
        <v>1</v>
      </c>
      <c r="BD17" s="32">
        <f t="shared" si="14"/>
        <v>1</v>
      </c>
      <c r="BE17" s="32">
        <f t="shared" si="14"/>
        <v>1</v>
      </c>
      <c r="BF17" s="32">
        <f t="shared" si="14"/>
        <v>1</v>
      </c>
      <c r="BG17" s="32">
        <f t="shared" si="14"/>
        <v>1</v>
      </c>
      <c r="BH17" s="32">
        <f t="shared" si="14"/>
        <v>1</v>
      </c>
      <c r="BI17" s="32">
        <f t="shared" si="14"/>
        <v>1</v>
      </c>
      <c r="BJ17" s="32">
        <f t="shared" si="14"/>
        <v>1</v>
      </c>
      <c r="BK17" s="32">
        <f t="shared" si="14"/>
        <v>0</v>
      </c>
      <c r="BL17" s="32">
        <f t="shared" si="14"/>
        <v>0</v>
      </c>
      <c r="BM17" s="32">
        <f t="shared" si="14"/>
        <v>0</v>
      </c>
      <c r="BN17" s="32">
        <f t="shared" si="14"/>
        <v>0</v>
      </c>
      <c r="BO17" s="32">
        <f t="shared" si="14"/>
        <v>0</v>
      </c>
      <c r="BP17" s="15">
        <v>0</v>
      </c>
    </row>
    <row r="18" spans="1:68">
      <c r="A18" s="18"/>
      <c r="B18">
        <f t="shared" si="3"/>
        <v>13</v>
      </c>
      <c r="C18" t="b">
        <v>0</v>
      </c>
      <c r="D18" t="b">
        <v>0</v>
      </c>
      <c r="E18" t="b">
        <v>0</v>
      </c>
      <c r="F18" s="3" t="s">
        <v>20</v>
      </c>
      <c r="G18" s="26" t="str">
        <f>IF(MATCH(F18,F$5:F18,0)=(COUNTA(F$5:F18)),"-","Dup")</f>
        <v>-</v>
      </c>
      <c r="H18" s="32" t="str">
        <f t="shared" ref="H18:U30" si="15">H$6</f>
        <v>-</v>
      </c>
      <c r="I18" s="32" t="b">
        <f t="shared" si="15"/>
        <v>0</v>
      </c>
      <c r="J18" s="32" t="b">
        <f t="shared" si="15"/>
        <v>1</v>
      </c>
      <c r="K18" s="32" t="str">
        <f t="shared" si="15"/>
        <v>-</v>
      </c>
      <c r="L18" s="32" t="str">
        <f t="shared" si="15"/>
        <v>-</v>
      </c>
      <c r="M18" s="32" t="str">
        <f t="shared" si="15"/>
        <v>-</v>
      </c>
      <c r="N18" s="32" t="str">
        <f t="shared" si="15"/>
        <v>-</v>
      </c>
      <c r="O18" s="32" t="str">
        <f t="shared" si="15"/>
        <v>-</v>
      </c>
      <c r="P18" s="32" t="str">
        <f t="shared" si="15"/>
        <v>-</v>
      </c>
      <c r="Q18" s="32" t="str">
        <f t="shared" si="15"/>
        <v>-</v>
      </c>
      <c r="R18" s="32" t="str">
        <f t="shared" si="15"/>
        <v>-</v>
      </c>
      <c r="S18" s="32" t="str">
        <f t="shared" si="15"/>
        <v>-</v>
      </c>
      <c r="T18" s="32" t="str">
        <f t="shared" si="15"/>
        <v>-</v>
      </c>
      <c r="U18" s="32" t="str">
        <f t="shared" si="15"/>
        <v>-</v>
      </c>
      <c r="V18" s="32" t="str">
        <f t="shared" ref="V18:AO30" si="16">V$6</f>
        <v>-</v>
      </c>
      <c r="W18" s="32" t="str">
        <f t="shared" si="16"/>
        <v>-</v>
      </c>
      <c r="X18" s="32" t="str">
        <f t="shared" si="16"/>
        <v>-</v>
      </c>
      <c r="Y18" s="32" t="str">
        <f t="shared" si="16"/>
        <v>-</v>
      </c>
      <c r="Z18" s="32" t="str">
        <f t="shared" si="16"/>
        <v>-</v>
      </c>
      <c r="AA18" s="32" t="str">
        <f t="shared" si="16"/>
        <v>-</v>
      </c>
      <c r="AB18" s="32" t="str">
        <f t="shared" si="16"/>
        <v>-</v>
      </c>
      <c r="AC18" s="32" t="str">
        <f t="shared" si="16"/>
        <v>-</v>
      </c>
      <c r="AD18" s="32" t="str">
        <f t="shared" si="16"/>
        <v>-</v>
      </c>
      <c r="AE18" s="32" t="str">
        <f t="shared" si="16"/>
        <v>-</v>
      </c>
      <c r="AF18" s="32" t="str">
        <f t="shared" si="16"/>
        <v>-</v>
      </c>
      <c r="AG18" s="32" t="str">
        <f t="shared" si="16"/>
        <v>-</v>
      </c>
      <c r="AH18" s="32" t="str">
        <f t="shared" si="16"/>
        <v>-</v>
      </c>
      <c r="AI18" s="32" t="str">
        <f t="shared" si="16"/>
        <v>-</v>
      </c>
      <c r="AJ18" s="32" t="str">
        <f t="shared" si="16"/>
        <v>-</v>
      </c>
      <c r="AK18" s="32" t="str">
        <f t="shared" si="16"/>
        <v>-</v>
      </c>
      <c r="AL18" s="32" t="str">
        <f t="shared" si="16"/>
        <v>-</v>
      </c>
      <c r="AM18" s="32" t="str">
        <f t="shared" si="16"/>
        <v>-</v>
      </c>
      <c r="AN18" s="32" t="str">
        <f t="shared" si="16"/>
        <v>-</v>
      </c>
      <c r="AO18" s="32" t="str">
        <f t="shared" si="16"/>
        <v>-</v>
      </c>
      <c r="AP18" s="32" t="str">
        <f t="shared" si="2"/>
        <v>-</v>
      </c>
      <c r="AQ18" s="32" t="str">
        <f t="shared" si="2"/>
        <v>-</v>
      </c>
      <c r="AR18" s="32" t="str">
        <f t="shared" si="2"/>
        <v>-</v>
      </c>
      <c r="AS18" s="32" t="str">
        <f t="shared" si="2"/>
        <v>-</v>
      </c>
      <c r="AT18" s="32" t="str">
        <f t="shared" si="2"/>
        <v>-</v>
      </c>
      <c r="AU18" s="32">
        <f t="shared" si="7"/>
        <v>1</v>
      </c>
      <c r="AV18" s="32">
        <f t="shared" si="9"/>
        <v>1</v>
      </c>
      <c r="AW18" s="32">
        <f t="shared" si="11"/>
        <v>1</v>
      </c>
      <c r="AX18" s="32">
        <f t="shared" si="13"/>
        <v>1</v>
      </c>
      <c r="AY18" s="32">
        <f t="shared" ref="AY18:AY44" si="17">AY$6</f>
        <v>1</v>
      </c>
      <c r="AZ18" s="31">
        <v>0.9</v>
      </c>
      <c r="BA18" s="32">
        <f t="shared" ref="BA18:BO19" si="18">BA$6</f>
        <v>1</v>
      </c>
      <c r="BB18" s="32">
        <f t="shared" si="18"/>
        <v>1</v>
      </c>
      <c r="BC18" s="32">
        <f t="shared" si="18"/>
        <v>1</v>
      </c>
      <c r="BD18" s="32">
        <f t="shared" si="18"/>
        <v>1</v>
      </c>
      <c r="BE18" s="32">
        <f t="shared" si="18"/>
        <v>1</v>
      </c>
      <c r="BF18" s="32">
        <f t="shared" si="18"/>
        <v>1</v>
      </c>
      <c r="BG18" s="32">
        <f t="shared" si="18"/>
        <v>1</v>
      </c>
      <c r="BH18" s="32">
        <f t="shared" si="18"/>
        <v>1</v>
      </c>
      <c r="BI18" s="32">
        <f t="shared" si="18"/>
        <v>1</v>
      </c>
      <c r="BJ18" s="32">
        <f t="shared" si="18"/>
        <v>1</v>
      </c>
      <c r="BK18" s="32">
        <f t="shared" si="18"/>
        <v>0</v>
      </c>
      <c r="BL18" s="32">
        <f t="shared" si="18"/>
        <v>0</v>
      </c>
      <c r="BM18" s="32">
        <f t="shared" si="18"/>
        <v>0</v>
      </c>
      <c r="BN18" s="32">
        <f t="shared" si="18"/>
        <v>0</v>
      </c>
      <c r="BO18" s="32">
        <f t="shared" si="18"/>
        <v>0</v>
      </c>
      <c r="BP18" s="15">
        <v>0</v>
      </c>
    </row>
    <row r="19" spans="1:68">
      <c r="A19" s="18"/>
      <c r="B19">
        <f t="shared" si="3"/>
        <v>14</v>
      </c>
      <c r="C19" t="b">
        <v>0</v>
      </c>
      <c r="D19" t="b">
        <v>0</v>
      </c>
      <c r="E19" t="b">
        <v>0</v>
      </c>
      <c r="F19" s="3" t="s">
        <v>21</v>
      </c>
      <c r="G19" s="26" t="str">
        <f>IF(MATCH(F19,F$5:F19,0)=(COUNTA(F$5:F19)),"-","Dup")</f>
        <v>-</v>
      </c>
      <c r="H19" s="32" t="str">
        <f t="shared" si="15"/>
        <v>-</v>
      </c>
      <c r="I19" s="32" t="b">
        <f t="shared" si="15"/>
        <v>0</v>
      </c>
      <c r="J19" s="32" t="b">
        <f t="shared" si="15"/>
        <v>1</v>
      </c>
      <c r="K19" s="32" t="str">
        <f t="shared" si="15"/>
        <v>-</v>
      </c>
      <c r="L19" s="32" t="str">
        <f t="shared" si="15"/>
        <v>-</v>
      </c>
      <c r="M19" s="32" t="str">
        <f t="shared" si="15"/>
        <v>-</v>
      </c>
      <c r="N19" s="32" t="str">
        <f t="shared" si="15"/>
        <v>-</v>
      </c>
      <c r="O19" s="32" t="str">
        <f t="shared" si="15"/>
        <v>-</v>
      </c>
      <c r="P19" s="32" t="str">
        <f t="shared" si="15"/>
        <v>-</v>
      </c>
      <c r="Q19" s="32" t="str">
        <f t="shared" si="15"/>
        <v>-</v>
      </c>
      <c r="R19" s="32" t="str">
        <f t="shared" si="15"/>
        <v>-</v>
      </c>
      <c r="S19" s="32" t="str">
        <f t="shared" si="15"/>
        <v>-</v>
      </c>
      <c r="T19" s="32" t="str">
        <f t="shared" si="15"/>
        <v>-</v>
      </c>
      <c r="U19" s="32" t="str">
        <f t="shared" si="15"/>
        <v>-</v>
      </c>
      <c r="V19" s="32" t="str">
        <f t="shared" si="16"/>
        <v>-</v>
      </c>
      <c r="W19" s="32" t="str">
        <f t="shared" si="16"/>
        <v>-</v>
      </c>
      <c r="X19" s="32" t="str">
        <f t="shared" si="16"/>
        <v>-</v>
      </c>
      <c r="Y19" s="32" t="str">
        <f t="shared" si="16"/>
        <v>-</v>
      </c>
      <c r="Z19" s="32" t="str">
        <f t="shared" si="16"/>
        <v>-</v>
      </c>
      <c r="AA19" s="32" t="str">
        <f t="shared" si="16"/>
        <v>-</v>
      </c>
      <c r="AB19" s="32" t="str">
        <f t="shared" si="16"/>
        <v>-</v>
      </c>
      <c r="AC19" s="32" t="str">
        <f t="shared" si="16"/>
        <v>-</v>
      </c>
      <c r="AD19" s="32" t="str">
        <f t="shared" si="16"/>
        <v>-</v>
      </c>
      <c r="AE19" s="32" t="str">
        <f t="shared" si="16"/>
        <v>-</v>
      </c>
      <c r="AF19" s="32" t="str">
        <f t="shared" si="16"/>
        <v>-</v>
      </c>
      <c r="AG19" s="32" t="str">
        <f t="shared" si="16"/>
        <v>-</v>
      </c>
      <c r="AH19" s="32" t="str">
        <f t="shared" si="16"/>
        <v>-</v>
      </c>
      <c r="AI19" s="32" t="str">
        <f t="shared" si="16"/>
        <v>-</v>
      </c>
      <c r="AJ19" s="32" t="str">
        <f t="shared" si="16"/>
        <v>-</v>
      </c>
      <c r="AK19" s="32" t="str">
        <f t="shared" si="16"/>
        <v>-</v>
      </c>
      <c r="AL19" s="32" t="str">
        <f t="shared" si="16"/>
        <v>-</v>
      </c>
      <c r="AM19" s="32" t="str">
        <f t="shared" si="16"/>
        <v>-</v>
      </c>
      <c r="AN19" s="32" t="str">
        <f t="shared" si="16"/>
        <v>-</v>
      </c>
      <c r="AO19" s="32" t="str">
        <f t="shared" si="2"/>
        <v>-</v>
      </c>
      <c r="AP19" s="32" t="str">
        <f t="shared" si="2"/>
        <v>-</v>
      </c>
      <c r="AQ19" s="32" t="str">
        <f t="shared" si="2"/>
        <v>-</v>
      </c>
      <c r="AR19" s="32" t="str">
        <f t="shared" si="2"/>
        <v>-</v>
      </c>
      <c r="AS19" s="32" t="str">
        <f t="shared" si="2"/>
        <v>-</v>
      </c>
      <c r="AT19" s="32" t="str">
        <f t="shared" si="2"/>
        <v>-</v>
      </c>
      <c r="AU19" s="32">
        <f t="shared" si="7"/>
        <v>1</v>
      </c>
      <c r="AV19" s="32">
        <f t="shared" si="9"/>
        <v>1</v>
      </c>
      <c r="AW19" s="32">
        <f t="shared" si="11"/>
        <v>1</v>
      </c>
      <c r="AX19" s="32">
        <f t="shared" si="13"/>
        <v>1</v>
      </c>
      <c r="AY19" s="32">
        <f t="shared" si="17"/>
        <v>1</v>
      </c>
      <c r="AZ19" s="31">
        <v>1.1000000000000001</v>
      </c>
      <c r="BA19" s="32">
        <f t="shared" si="18"/>
        <v>1</v>
      </c>
      <c r="BB19" s="32">
        <f t="shared" si="18"/>
        <v>1</v>
      </c>
      <c r="BC19" s="32">
        <f t="shared" si="18"/>
        <v>1</v>
      </c>
      <c r="BD19" s="32">
        <f t="shared" si="18"/>
        <v>1</v>
      </c>
      <c r="BE19" s="32">
        <f t="shared" si="18"/>
        <v>1</v>
      </c>
      <c r="BF19" s="32">
        <f t="shared" si="18"/>
        <v>1</v>
      </c>
      <c r="BG19" s="32">
        <f t="shared" si="18"/>
        <v>1</v>
      </c>
      <c r="BH19" s="32">
        <f t="shared" si="18"/>
        <v>1</v>
      </c>
      <c r="BI19" s="32">
        <f t="shared" si="18"/>
        <v>1</v>
      </c>
      <c r="BJ19" s="32">
        <f t="shared" si="18"/>
        <v>1</v>
      </c>
      <c r="BK19" s="32">
        <f t="shared" si="18"/>
        <v>0</v>
      </c>
      <c r="BL19" s="32">
        <f t="shared" si="18"/>
        <v>0</v>
      </c>
      <c r="BM19" s="32">
        <f t="shared" si="18"/>
        <v>0</v>
      </c>
      <c r="BN19" s="32">
        <f t="shared" si="18"/>
        <v>0</v>
      </c>
      <c r="BO19" s="32">
        <f t="shared" si="18"/>
        <v>0</v>
      </c>
      <c r="BP19" s="15">
        <v>0</v>
      </c>
    </row>
    <row r="20" spans="1:68">
      <c r="A20" s="18"/>
      <c r="B20">
        <f t="shared" si="3"/>
        <v>15</v>
      </c>
      <c r="C20" t="b">
        <v>0</v>
      </c>
      <c r="D20" t="b">
        <v>0</v>
      </c>
      <c r="E20" t="b">
        <v>0</v>
      </c>
      <c r="F20" s="3" t="s">
        <v>23</v>
      </c>
      <c r="G20" s="26" t="str">
        <f>IF(MATCH(F20,F$5:F20,0)=(COUNTA(F$5:F20)),"-","Dup")</f>
        <v>-</v>
      </c>
      <c r="H20" s="32" t="str">
        <f t="shared" si="15"/>
        <v>-</v>
      </c>
      <c r="I20" s="32" t="b">
        <f t="shared" si="15"/>
        <v>0</v>
      </c>
      <c r="J20" s="32" t="b">
        <f t="shared" si="15"/>
        <v>1</v>
      </c>
      <c r="K20" s="32" t="str">
        <f t="shared" si="15"/>
        <v>-</v>
      </c>
      <c r="L20" s="32" t="str">
        <f t="shared" si="15"/>
        <v>-</v>
      </c>
      <c r="M20" s="32" t="str">
        <f t="shared" si="15"/>
        <v>-</v>
      </c>
      <c r="N20" s="32" t="str">
        <f t="shared" si="15"/>
        <v>-</v>
      </c>
      <c r="O20" s="32" t="str">
        <f t="shared" si="15"/>
        <v>-</v>
      </c>
      <c r="P20" s="32" t="str">
        <f t="shared" si="15"/>
        <v>-</v>
      </c>
      <c r="Q20" s="32" t="str">
        <f t="shared" si="15"/>
        <v>-</v>
      </c>
      <c r="R20" s="32" t="str">
        <f t="shared" si="15"/>
        <v>-</v>
      </c>
      <c r="S20" s="32" t="str">
        <f t="shared" si="15"/>
        <v>-</v>
      </c>
      <c r="T20" s="32" t="str">
        <f t="shared" si="15"/>
        <v>-</v>
      </c>
      <c r="U20" s="32" t="str">
        <f t="shared" si="15"/>
        <v>-</v>
      </c>
      <c r="V20" s="32" t="str">
        <f t="shared" si="16"/>
        <v>-</v>
      </c>
      <c r="W20" s="32" t="str">
        <f t="shared" si="16"/>
        <v>-</v>
      </c>
      <c r="X20" s="32" t="str">
        <f t="shared" si="16"/>
        <v>-</v>
      </c>
      <c r="Y20" s="32" t="str">
        <f t="shared" si="16"/>
        <v>-</v>
      </c>
      <c r="Z20" s="32" t="str">
        <f t="shared" si="16"/>
        <v>-</v>
      </c>
      <c r="AA20" s="32" t="str">
        <f t="shared" si="16"/>
        <v>-</v>
      </c>
      <c r="AB20" s="32" t="str">
        <f t="shared" si="16"/>
        <v>-</v>
      </c>
      <c r="AC20" s="32" t="str">
        <f t="shared" si="16"/>
        <v>-</v>
      </c>
      <c r="AD20" s="32" t="str">
        <f t="shared" si="16"/>
        <v>-</v>
      </c>
      <c r="AE20" s="32" t="str">
        <f t="shared" si="16"/>
        <v>-</v>
      </c>
      <c r="AF20" s="32" t="str">
        <f t="shared" si="16"/>
        <v>-</v>
      </c>
      <c r="AG20" s="32" t="str">
        <f t="shared" si="16"/>
        <v>-</v>
      </c>
      <c r="AH20" s="32" t="str">
        <f t="shared" si="16"/>
        <v>-</v>
      </c>
      <c r="AI20" s="32" t="str">
        <f t="shared" si="16"/>
        <v>-</v>
      </c>
      <c r="AJ20" s="32" t="str">
        <f t="shared" si="16"/>
        <v>-</v>
      </c>
      <c r="AK20" s="32" t="str">
        <f t="shared" si="16"/>
        <v>-</v>
      </c>
      <c r="AL20" s="32" t="str">
        <f t="shared" si="16"/>
        <v>-</v>
      </c>
      <c r="AM20" s="32" t="str">
        <f t="shared" si="16"/>
        <v>-</v>
      </c>
      <c r="AN20" s="32" t="str">
        <f t="shared" si="16"/>
        <v>-</v>
      </c>
      <c r="AO20" s="32" t="str">
        <f t="shared" si="2"/>
        <v>-</v>
      </c>
      <c r="AP20" s="32" t="str">
        <f t="shared" si="2"/>
        <v>-</v>
      </c>
      <c r="AQ20" s="32" t="str">
        <f t="shared" si="2"/>
        <v>-</v>
      </c>
      <c r="AR20" s="32" t="str">
        <f t="shared" si="2"/>
        <v>-</v>
      </c>
      <c r="AS20" s="32" t="str">
        <f t="shared" si="2"/>
        <v>-</v>
      </c>
      <c r="AT20" s="32" t="str">
        <f t="shared" si="2"/>
        <v>-</v>
      </c>
      <c r="AU20" s="32">
        <f t="shared" si="7"/>
        <v>1</v>
      </c>
      <c r="AV20" s="32">
        <f t="shared" si="9"/>
        <v>1</v>
      </c>
      <c r="AW20" s="32">
        <f t="shared" si="11"/>
        <v>1</v>
      </c>
      <c r="AX20" s="32">
        <f t="shared" si="13"/>
        <v>1</v>
      </c>
      <c r="AY20" s="32">
        <f t="shared" si="17"/>
        <v>1</v>
      </c>
      <c r="AZ20" s="32">
        <f t="shared" ref="AZ20:AZ44" si="19">AZ$6</f>
        <v>1</v>
      </c>
      <c r="BA20" s="31">
        <v>0.9</v>
      </c>
      <c r="BB20" s="32">
        <f t="shared" ref="BB20:BO21" si="20">BB$6</f>
        <v>1</v>
      </c>
      <c r="BC20" s="32">
        <f t="shared" si="20"/>
        <v>1</v>
      </c>
      <c r="BD20" s="32">
        <f t="shared" si="20"/>
        <v>1</v>
      </c>
      <c r="BE20" s="32">
        <f t="shared" si="20"/>
        <v>1</v>
      </c>
      <c r="BF20" s="32">
        <f t="shared" si="20"/>
        <v>1</v>
      </c>
      <c r="BG20" s="32">
        <f t="shared" si="20"/>
        <v>1</v>
      </c>
      <c r="BH20" s="32">
        <f t="shared" si="20"/>
        <v>1</v>
      </c>
      <c r="BI20" s="32">
        <f t="shared" si="20"/>
        <v>1</v>
      </c>
      <c r="BJ20" s="32">
        <f t="shared" si="20"/>
        <v>1</v>
      </c>
      <c r="BK20" s="32">
        <f t="shared" si="20"/>
        <v>0</v>
      </c>
      <c r="BL20" s="32">
        <f t="shared" si="20"/>
        <v>0</v>
      </c>
      <c r="BM20" s="32">
        <f t="shared" si="20"/>
        <v>0</v>
      </c>
      <c r="BN20" s="32">
        <f t="shared" si="20"/>
        <v>0</v>
      </c>
      <c r="BO20" s="32">
        <f t="shared" si="20"/>
        <v>0</v>
      </c>
      <c r="BP20" s="15">
        <v>0</v>
      </c>
    </row>
    <row r="21" spans="1:68">
      <c r="A21" s="18"/>
      <c r="B21">
        <f t="shared" si="3"/>
        <v>16</v>
      </c>
      <c r="C21" t="b">
        <v>0</v>
      </c>
      <c r="D21" t="b">
        <v>0</v>
      </c>
      <c r="E21" t="b">
        <v>0</v>
      </c>
      <c r="F21" s="3" t="s">
        <v>24</v>
      </c>
      <c r="G21" s="26" t="str">
        <f>IF(MATCH(F21,F$5:F21,0)=(COUNTA(F$5:F21)),"-","Dup")</f>
        <v>-</v>
      </c>
      <c r="H21" s="32" t="str">
        <f t="shared" si="15"/>
        <v>-</v>
      </c>
      <c r="I21" s="32" t="b">
        <f t="shared" si="15"/>
        <v>0</v>
      </c>
      <c r="J21" s="32" t="b">
        <f t="shared" si="15"/>
        <v>1</v>
      </c>
      <c r="K21" s="32" t="str">
        <f t="shared" si="15"/>
        <v>-</v>
      </c>
      <c r="L21" s="32" t="str">
        <f t="shared" si="15"/>
        <v>-</v>
      </c>
      <c r="M21" s="32" t="str">
        <f t="shared" si="15"/>
        <v>-</v>
      </c>
      <c r="N21" s="32" t="str">
        <f t="shared" si="15"/>
        <v>-</v>
      </c>
      <c r="O21" s="32" t="str">
        <f t="shared" si="15"/>
        <v>-</v>
      </c>
      <c r="P21" s="32" t="str">
        <f t="shared" si="15"/>
        <v>-</v>
      </c>
      <c r="Q21" s="32" t="str">
        <f t="shared" si="15"/>
        <v>-</v>
      </c>
      <c r="R21" s="32" t="str">
        <f t="shared" si="15"/>
        <v>-</v>
      </c>
      <c r="S21" s="32" t="str">
        <f t="shared" si="15"/>
        <v>-</v>
      </c>
      <c r="T21" s="32" t="str">
        <f t="shared" si="15"/>
        <v>-</v>
      </c>
      <c r="U21" s="32" t="str">
        <f t="shared" si="15"/>
        <v>-</v>
      </c>
      <c r="V21" s="32" t="str">
        <f t="shared" si="16"/>
        <v>-</v>
      </c>
      <c r="W21" s="32" t="str">
        <f t="shared" si="16"/>
        <v>-</v>
      </c>
      <c r="X21" s="32" t="str">
        <f t="shared" si="16"/>
        <v>-</v>
      </c>
      <c r="Y21" s="32" t="str">
        <f t="shared" si="16"/>
        <v>-</v>
      </c>
      <c r="Z21" s="32" t="str">
        <f t="shared" si="16"/>
        <v>-</v>
      </c>
      <c r="AA21" s="32" t="str">
        <f t="shared" si="16"/>
        <v>-</v>
      </c>
      <c r="AB21" s="32" t="str">
        <f t="shared" si="16"/>
        <v>-</v>
      </c>
      <c r="AC21" s="32" t="str">
        <f t="shared" si="16"/>
        <v>-</v>
      </c>
      <c r="AD21" s="32" t="str">
        <f t="shared" si="16"/>
        <v>-</v>
      </c>
      <c r="AE21" s="32" t="str">
        <f t="shared" si="16"/>
        <v>-</v>
      </c>
      <c r="AF21" s="32" t="str">
        <f t="shared" si="16"/>
        <v>-</v>
      </c>
      <c r="AG21" s="32" t="str">
        <f t="shared" si="16"/>
        <v>-</v>
      </c>
      <c r="AH21" s="32" t="str">
        <f t="shared" si="16"/>
        <v>-</v>
      </c>
      <c r="AI21" s="32" t="str">
        <f t="shared" si="16"/>
        <v>-</v>
      </c>
      <c r="AJ21" s="32" t="str">
        <f t="shared" si="16"/>
        <v>-</v>
      </c>
      <c r="AK21" s="32" t="str">
        <f t="shared" si="16"/>
        <v>-</v>
      </c>
      <c r="AL21" s="32" t="str">
        <f t="shared" si="16"/>
        <v>-</v>
      </c>
      <c r="AM21" s="32" t="str">
        <f t="shared" si="16"/>
        <v>-</v>
      </c>
      <c r="AN21" s="32" t="str">
        <f t="shared" si="16"/>
        <v>-</v>
      </c>
      <c r="AO21" s="32" t="str">
        <f t="shared" si="2"/>
        <v>-</v>
      </c>
      <c r="AP21" s="32" t="str">
        <f t="shared" si="2"/>
        <v>-</v>
      </c>
      <c r="AQ21" s="32" t="str">
        <f t="shared" si="2"/>
        <v>-</v>
      </c>
      <c r="AR21" s="32" t="str">
        <f t="shared" si="2"/>
        <v>-</v>
      </c>
      <c r="AS21" s="32" t="str">
        <f t="shared" si="2"/>
        <v>-</v>
      </c>
      <c r="AT21" s="32" t="str">
        <f t="shared" si="2"/>
        <v>-</v>
      </c>
      <c r="AU21" s="32">
        <f t="shared" si="7"/>
        <v>1</v>
      </c>
      <c r="AV21" s="32">
        <f t="shared" si="9"/>
        <v>1</v>
      </c>
      <c r="AW21" s="32">
        <f t="shared" si="11"/>
        <v>1</v>
      </c>
      <c r="AX21" s="32">
        <f t="shared" si="13"/>
        <v>1</v>
      </c>
      <c r="AY21" s="32">
        <f t="shared" si="17"/>
        <v>1</v>
      </c>
      <c r="AZ21" s="32">
        <f t="shared" si="19"/>
        <v>1</v>
      </c>
      <c r="BA21" s="31">
        <v>1.1000000000000001</v>
      </c>
      <c r="BB21" s="32">
        <f t="shared" si="20"/>
        <v>1</v>
      </c>
      <c r="BC21" s="32">
        <f t="shared" si="20"/>
        <v>1</v>
      </c>
      <c r="BD21" s="32">
        <f t="shared" si="20"/>
        <v>1</v>
      </c>
      <c r="BE21" s="32">
        <f t="shared" si="20"/>
        <v>1</v>
      </c>
      <c r="BF21" s="32">
        <f t="shared" si="20"/>
        <v>1</v>
      </c>
      <c r="BG21" s="32">
        <f t="shared" si="20"/>
        <v>1</v>
      </c>
      <c r="BH21" s="32">
        <f t="shared" si="20"/>
        <v>1</v>
      </c>
      <c r="BI21" s="32">
        <f t="shared" si="20"/>
        <v>1</v>
      </c>
      <c r="BJ21" s="32">
        <f t="shared" si="20"/>
        <v>1</v>
      </c>
      <c r="BK21" s="32">
        <f t="shared" si="20"/>
        <v>0</v>
      </c>
      <c r="BL21" s="32">
        <f t="shared" si="20"/>
        <v>0</v>
      </c>
      <c r="BM21" s="32">
        <f t="shared" si="20"/>
        <v>0</v>
      </c>
      <c r="BN21" s="32">
        <f t="shared" si="20"/>
        <v>0</v>
      </c>
      <c r="BO21" s="32">
        <f t="shared" si="20"/>
        <v>0</v>
      </c>
      <c r="BP21" s="15">
        <v>0</v>
      </c>
    </row>
    <row r="22" spans="1:68">
      <c r="A22" s="18"/>
      <c r="B22">
        <f t="shared" si="3"/>
        <v>17</v>
      </c>
      <c r="C22" t="b">
        <v>0</v>
      </c>
      <c r="D22" t="b">
        <v>0</v>
      </c>
      <c r="E22" t="b">
        <v>0</v>
      </c>
      <c r="F22" s="3" t="s">
        <v>25</v>
      </c>
      <c r="G22" s="26" t="str">
        <f>IF(MATCH(F22,F$5:F22,0)=(COUNTA(F$5:F22)),"-","Dup")</f>
        <v>-</v>
      </c>
      <c r="H22" s="32" t="str">
        <f t="shared" si="15"/>
        <v>-</v>
      </c>
      <c r="I22" s="32" t="b">
        <f t="shared" si="15"/>
        <v>0</v>
      </c>
      <c r="J22" s="32" t="b">
        <f t="shared" si="15"/>
        <v>1</v>
      </c>
      <c r="K22" s="32" t="str">
        <f t="shared" si="15"/>
        <v>-</v>
      </c>
      <c r="L22" s="32" t="str">
        <f t="shared" si="15"/>
        <v>-</v>
      </c>
      <c r="M22" s="32" t="str">
        <f t="shared" si="15"/>
        <v>-</v>
      </c>
      <c r="N22" s="32" t="str">
        <f t="shared" si="15"/>
        <v>-</v>
      </c>
      <c r="O22" s="32" t="str">
        <f t="shared" si="15"/>
        <v>-</v>
      </c>
      <c r="P22" s="32" t="str">
        <f t="shared" si="15"/>
        <v>-</v>
      </c>
      <c r="Q22" s="32" t="str">
        <f t="shared" si="15"/>
        <v>-</v>
      </c>
      <c r="R22" s="32" t="str">
        <f t="shared" si="15"/>
        <v>-</v>
      </c>
      <c r="S22" s="32" t="str">
        <f t="shared" si="15"/>
        <v>-</v>
      </c>
      <c r="T22" s="32" t="str">
        <f t="shared" si="15"/>
        <v>-</v>
      </c>
      <c r="U22" s="32" t="str">
        <f t="shared" si="15"/>
        <v>-</v>
      </c>
      <c r="V22" s="32" t="str">
        <f t="shared" si="16"/>
        <v>-</v>
      </c>
      <c r="W22" s="32" t="str">
        <f t="shared" si="16"/>
        <v>-</v>
      </c>
      <c r="X22" s="32" t="str">
        <f t="shared" si="16"/>
        <v>-</v>
      </c>
      <c r="Y22" s="32" t="str">
        <f t="shared" si="16"/>
        <v>-</v>
      </c>
      <c r="Z22" s="32" t="str">
        <f t="shared" si="16"/>
        <v>-</v>
      </c>
      <c r="AA22" s="32" t="str">
        <f t="shared" si="16"/>
        <v>-</v>
      </c>
      <c r="AB22" s="32" t="str">
        <f t="shared" si="16"/>
        <v>-</v>
      </c>
      <c r="AC22" s="32" t="str">
        <f t="shared" si="16"/>
        <v>-</v>
      </c>
      <c r="AD22" s="32" t="str">
        <f t="shared" si="16"/>
        <v>-</v>
      </c>
      <c r="AE22" s="32" t="str">
        <f t="shared" si="16"/>
        <v>-</v>
      </c>
      <c r="AF22" s="32" t="str">
        <f t="shared" si="16"/>
        <v>-</v>
      </c>
      <c r="AG22" s="32" t="str">
        <f t="shared" si="16"/>
        <v>-</v>
      </c>
      <c r="AH22" s="32" t="str">
        <f t="shared" si="16"/>
        <v>-</v>
      </c>
      <c r="AI22" s="32" t="str">
        <f t="shared" si="16"/>
        <v>-</v>
      </c>
      <c r="AJ22" s="32" t="str">
        <f t="shared" si="16"/>
        <v>-</v>
      </c>
      <c r="AK22" s="32" t="str">
        <f t="shared" si="16"/>
        <v>-</v>
      </c>
      <c r="AL22" s="32" t="str">
        <f t="shared" si="16"/>
        <v>-</v>
      </c>
      <c r="AM22" s="32" t="str">
        <f t="shared" si="16"/>
        <v>-</v>
      </c>
      <c r="AN22" s="32" t="str">
        <f t="shared" si="16"/>
        <v>-</v>
      </c>
      <c r="AO22" s="32" t="str">
        <f t="shared" si="2"/>
        <v>-</v>
      </c>
      <c r="AP22" s="32" t="str">
        <f t="shared" si="2"/>
        <v>-</v>
      </c>
      <c r="AQ22" s="32" t="str">
        <f t="shared" si="2"/>
        <v>-</v>
      </c>
      <c r="AR22" s="32" t="str">
        <f t="shared" si="2"/>
        <v>-</v>
      </c>
      <c r="AS22" s="32" t="str">
        <f t="shared" si="2"/>
        <v>-</v>
      </c>
      <c r="AT22" s="32" t="str">
        <f t="shared" si="2"/>
        <v>-</v>
      </c>
      <c r="AU22" s="32">
        <f t="shared" si="7"/>
        <v>1</v>
      </c>
      <c r="AV22" s="32">
        <f t="shared" si="9"/>
        <v>1</v>
      </c>
      <c r="AW22" s="32">
        <f t="shared" si="11"/>
        <v>1</v>
      </c>
      <c r="AX22" s="32">
        <f t="shared" si="13"/>
        <v>1</v>
      </c>
      <c r="AY22" s="32">
        <f t="shared" si="17"/>
        <v>1</v>
      </c>
      <c r="AZ22" s="32">
        <f t="shared" si="19"/>
        <v>1</v>
      </c>
      <c r="BA22" s="32">
        <f t="shared" ref="BA22:BA44" si="21">BA$6</f>
        <v>1</v>
      </c>
      <c r="BB22" s="31">
        <v>0.9</v>
      </c>
      <c r="BC22" s="32">
        <f t="shared" ref="BC22:BO23" si="22">BC$6</f>
        <v>1</v>
      </c>
      <c r="BD22" s="32">
        <f t="shared" si="22"/>
        <v>1</v>
      </c>
      <c r="BE22" s="32">
        <f t="shared" si="22"/>
        <v>1</v>
      </c>
      <c r="BF22" s="32">
        <f t="shared" si="22"/>
        <v>1</v>
      </c>
      <c r="BG22" s="32">
        <f t="shared" si="22"/>
        <v>1</v>
      </c>
      <c r="BH22" s="32">
        <f t="shared" si="22"/>
        <v>1</v>
      </c>
      <c r="BI22" s="32">
        <f t="shared" si="22"/>
        <v>1</v>
      </c>
      <c r="BJ22" s="32">
        <f t="shared" si="22"/>
        <v>1</v>
      </c>
      <c r="BK22" s="32">
        <f t="shared" si="22"/>
        <v>0</v>
      </c>
      <c r="BL22" s="32">
        <f t="shared" si="22"/>
        <v>0</v>
      </c>
      <c r="BM22" s="32">
        <f t="shared" si="22"/>
        <v>0</v>
      </c>
      <c r="BN22" s="32">
        <f t="shared" si="22"/>
        <v>0</v>
      </c>
      <c r="BO22" s="32">
        <f t="shared" si="22"/>
        <v>0</v>
      </c>
      <c r="BP22" s="15">
        <v>0</v>
      </c>
    </row>
    <row r="23" spans="1:68">
      <c r="A23" s="18"/>
      <c r="B23">
        <f t="shared" si="3"/>
        <v>18</v>
      </c>
      <c r="C23" t="b">
        <v>0</v>
      </c>
      <c r="D23" t="b">
        <v>0</v>
      </c>
      <c r="E23" t="b">
        <v>0</v>
      </c>
      <c r="F23" s="3" t="s">
        <v>26</v>
      </c>
      <c r="G23" s="26" t="str">
        <f>IF(MATCH(F23,F$5:F23,0)=(COUNTA(F$5:F23)),"-","Dup")</f>
        <v>-</v>
      </c>
      <c r="H23" s="32" t="str">
        <f t="shared" si="15"/>
        <v>-</v>
      </c>
      <c r="I23" s="32" t="b">
        <f t="shared" si="15"/>
        <v>0</v>
      </c>
      <c r="J23" s="32" t="b">
        <f t="shared" si="15"/>
        <v>1</v>
      </c>
      <c r="K23" s="32" t="str">
        <f t="shared" si="15"/>
        <v>-</v>
      </c>
      <c r="L23" s="32" t="str">
        <f t="shared" si="15"/>
        <v>-</v>
      </c>
      <c r="M23" s="32" t="str">
        <f t="shared" si="15"/>
        <v>-</v>
      </c>
      <c r="N23" s="32" t="str">
        <f t="shared" si="15"/>
        <v>-</v>
      </c>
      <c r="O23" s="32" t="str">
        <f t="shared" si="15"/>
        <v>-</v>
      </c>
      <c r="P23" s="32" t="str">
        <f t="shared" si="15"/>
        <v>-</v>
      </c>
      <c r="Q23" s="32" t="str">
        <f t="shared" si="15"/>
        <v>-</v>
      </c>
      <c r="R23" s="32" t="str">
        <f t="shared" si="15"/>
        <v>-</v>
      </c>
      <c r="S23" s="32" t="str">
        <f t="shared" si="15"/>
        <v>-</v>
      </c>
      <c r="T23" s="32" t="str">
        <f t="shared" si="15"/>
        <v>-</v>
      </c>
      <c r="U23" s="32" t="str">
        <f t="shared" si="15"/>
        <v>-</v>
      </c>
      <c r="V23" s="32" t="str">
        <f t="shared" si="16"/>
        <v>-</v>
      </c>
      <c r="W23" s="32" t="str">
        <f t="shared" si="16"/>
        <v>-</v>
      </c>
      <c r="X23" s="32" t="str">
        <f t="shared" si="16"/>
        <v>-</v>
      </c>
      <c r="Y23" s="32" t="str">
        <f t="shared" si="16"/>
        <v>-</v>
      </c>
      <c r="Z23" s="32" t="str">
        <f t="shared" si="16"/>
        <v>-</v>
      </c>
      <c r="AA23" s="32" t="str">
        <f t="shared" si="16"/>
        <v>-</v>
      </c>
      <c r="AB23" s="32" t="str">
        <f t="shared" si="16"/>
        <v>-</v>
      </c>
      <c r="AC23" s="32" t="str">
        <f t="shared" si="16"/>
        <v>-</v>
      </c>
      <c r="AD23" s="32" t="str">
        <f t="shared" si="16"/>
        <v>-</v>
      </c>
      <c r="AE23" s="32" t="str">
        <f t="shared" si="16"/>
        <v>-</v>
      </c>
      <c r="AF23" s="32" t="str">
        <f t="shared" si="16"/>
        <v>-</v>
      </c>
      <c r="AG23" s="32" t="str">
        <f t="shared" si="16"/>
        <v>-</v>
      </c>
      <c r="AH23" s="32" t="str">
        <f t="shared" si="16"/>
        <v>-</v>
      </c>
      <c r="AI23" s="32" t="str">
        <f t="shared" si="16"/>
        <v>-</v>
      </c>
      <c r="AJ23" s="32" t="str">
        <f t="shared" si="16"/>
        <v>-</v>
      </c>
      <c r="AK23" s="32" t="str">
        <f t="shared" si="16"/>
        <v>-</v>
      </c>
      <c r="AL23" s="32" t="str">
        <f t="shared" si="16"/>
        <v>-</v>
      </c>
      <c r="AM23" s="32" t="str">
        <f t="shared" si="16"/>
        <v>-</v>
      </c>
      <c r="AN23" s="32" t="str">
        <f t="shared" si="16"/>
        <v>-</v>
      </c>
      <c r="AO23" s="32" t="str">
        <f t="shared" ref="AO23:AT30" si="23">AO$6</f>
        <v>-</v>
      </c>
      <c r="AP23" s="32" t="str">
        <f t="shared" si="23"/>
        <v>-</v>
      </c>
      <c r="AQ23" s="32" t="str">
        <f t="shared" si="23"/>
        <v>-</v>
      </c>
      <c r="AR23" s="32" t="str">
        <f t="shared" si="23"/>
        <v>-</v>
      </c>
      <c r="AS23" s="32" t="str">
        <f t="shared" si="23"/>
        <v>-</v>
      </c>
      <c r="AT23" s="32" t="str">
        <f t="shared" si="23"/>
        <v>-</v>
      </c>
      <c r="AU23" s="32">
        <f t="shared" si="7"/>
        <v>1</v>
      </c>
      <c r="AV23" s="32">
        <f t="shared" si="9"/>
        <v>1</v>
      </c>
      <c r="AW23" s="32">
        <f t="shared" si="11"/>
        <v>1</v>
      </c>
      <c r="AX23" s="32">
        <f t="shared" si="13"/>
        <v>1</v>
      </c>
      <c r="AY23" s="32">
        <f t="shared" si="17"/>
        <v>1</v>
      </c>
      <c r="AZ23" s="32">
        <f t="shared" si="19"/>
        <v>1</v>
      </c>
      <c r="BA23" s="32">
        <f t="shared" si="21"/>
        <v>1</v>
      </c>
      <c r="BB23" s="31">
        <v>1.1000000000000001</v>
      </c>
      <c r="BC23" s="32">
        <f t="shared" si="22"/>
        <v>1</v>
      </c>
      <c r="BD23" s="32">
        <f t="shared" si="22"/>
        <v>1</v>
      </c>
      <c r="BE23" s="32">
        <f t="shared" si="22"/>
        <v>1</v>
      </c>
      <c r="BF23" s="32">
        <f t="shared" si="22"/>
        <v>1</v>
      </c>
      <c r="BG23" s="32">
        <f t="shared" si="22"/>
        <v>1</v>
      </c>
      <c r="BH23" s="32">
        <f t="shared" si="22"/>
        <v>1</v>
      </c>
      <c r="BI23" s="32">
        <f t="shared" si="22"/>
        <v>1</v>
      </c>
      <c r="BJ23" s="32">
        <f t="shared" si="22"/>
        <v>1</v>
      </c>
      <c r="BK23" s="32">
        <f t="shared" si="22"/>
        <v>0</v>
      </c>
      <c r="BL23" s="32">
        <f t="shared" si="22"/>
        <v>0</v>
      </c>
      <c r="BM23" s="32">
        <f t="shared" si="22"/>
        <v>0</v>
      </c>
      <c r="BN23" s="32">
        <f t="shared" si="22"/>
        <v>0</v>
      </c>
      <c r="BO23" s="32">
        <f t="shared" si="22"/>
        <v>0</v>
      </c>
      <c r="BP23" s="15">
        <v>0</v>
      </c>
    </row>
    <row r="24" spans="1:68">
      <c r="A24" s="18"/>
      <c r="B24">
        <f t="shared" si="3"/>
        <v>19</v>
      </c>
      <c r="C24" t="b">
        <v>0</v>
      </c>
      <c r="D24" t="b">
        <v>0</v>
      </c>
      <c r="E24" t="b">
        <v>0</v>
      </c>
      <c r="F24" s="3" t="s">
        <v>27</v>
      </c>
      <c r="G24" s="26" t="str">
        <f>IF(MATCH(F24,F$5:F24,0)=(COUNTA(F$5:F24)),"-","Dup")</f>
        <v>-</v>
      </c>
      <c r="H24" s="32" t="str">
        <f t="shared" si="15"/>
        <v>-</v>
      </c>
      <c r="I24" s="32" t="b">
        <f t="shared" si="15"/>
        <v>0</v>
      </c>
      <c r="J24" s="32" t="b">
        <f t="shared" si="15"/>
        <v>1</v>
      </c>
      <c r="K24" s="32" t="str">
        <f t="shared" si="15"/>
        <v>-</v>
      </c>
      <c r="L24" s="32" t="str">
        <f t="shared" si="15"/>
        <v>-</v>
      </c>
      <c r="M24" s="32" t="str">
        <f t="shared" si="15"/>
        <v>-</v>
      </c>
      <c r="N24" s="32" t="str">
        <f t="shared" si="15"/>
        <v>-</v>
      </c>
      <c r="O24" s="32" t="str">
        <f t="shared" si="15"/>
        <v>-</v>
      </c>
      <c r="P24" s="32" t="str">
        <f t="shared" si="15"/>
        <v>-</v>
      </c>
      <c r="Q24" s="32" t="str">
        <f t="shared" si="15"/>
        <v>-</v>
      </c>
      <c r="R24" s="32" t="str">
        <f t="shared" si="15"/>
        <v>-</v>
      </c>
      <c r="S24" s="32" t="str">
        <f t="shared" si="15"/>
        <v>-</v>
      </c>
      <c r="T24" s="32" t="str">
        <f t="shared" si="15"/>
        <v>-</v>
      </c>
      <c r="U24" s="32" t="str">
        <f t="shared" si="15"/>
        <v>-</v>
      </c>
      <c r="V24" s="32" t="str">
        <f t="shared" si="16"/>
        <v>-</v>
      </c>
      <c r="W24" s="32" t="str">
        <f t="shared" si="16"/>
        <v>-</v>
      </c>
      <c r="X24" s="32" t="str">
        <f t="shared" si="16"/>
        <v>-</v>
      </c>
      <c r="Y24" s="32" t="str">
        <f t="shared" si="16"/>
        <v>-</v>
      </c>
      <c r="Z24" s="32" t="str">
        <f t="shared" si="16"/>
        <v>-</v>
      </c>
      <c r="AA24" s="32" t="str">
        <f t="shared" si="16"/>
        <v>-</v>
      </c>
      <c r="AB24" s="32" t="str">
        <f t="shared" si="16"/>
        <v>-</v>
      </c>
      <c r="AC24" s="32" t="str">
        <f t="shared" si="16"/>
        <v>-</v>
      </c>
      <c r="AD24" s="32" t="str">
        <f t="shared" si="16"/>
        <v>-</v>
      </c>
      <c r="AE24" s="32" t="str">
        <f t="shared" si="16"/>
        <v>-</v>
      </c>
      <c r="AF24" s="32" t="str">
        <f t="shared" si="16"/>
        <v>-</v>
      </c>
      <c r="AG24" s="32" t="str">
        <f t="shared" si="16"/>
        <v>-</v>
      </c>
      <c r="AH24" s="32" t="str">
        <f t="shared" si="16"/>
        <v>-</v>
      </c>
      <c r="AI24" s="32" t="str">
        <f t="shared" si="16"/>
        <v>-</v>
      </c>
      <c r="AJ24" s="32" t="str">
        <f t="shared" si="16"/>
        <v>-</v>
      </c>
      <c r="AK24" s="32" t="str">
        <f t="shared" si="16"/>
        <v>-</v>
      </c>
      <c r="AL24" s="32" t="str">
        <f t="shared" si="16"/>
        <v>-</v>
      </c>
      <c r="AM24" s="32" t="str">
        <f t="shared" si="16"/>
        <v>-</v>
      </c>
      <c r="AN24" s="32" t="str">
        <f t="shared" si="16"/>
        <v>-</v>
      </c>
      <c r="AO24" s="32" t="str">
        <f t="shared" si="23"/>
        <v>-</v>
      </c>
      <c r="AP24" s="32" t="str">
        <f t="shared" si="23"/>
        <v>-</v>
      </c>
      <c r="AQ24" s="32" t="str">
        <f t="shared" si="23"/>
        <v>-</v>
      </c>
      <c r="AR24" s="32" t="str">
        <f t="shared" si="23"/>
        <v>-</v>
      </c>
      <c r="AS24" s="32" t="str">
        <f t="shared" si="23"/>
        <v>-</v>
      </c>
      <c r="AT24" s="32" t="str">
        <f t="shared" si="23"/>
        <v>-</v>
      </c>
      <c r="AU24" s="32">
        <f t="shared" si="7"/>
        <v>1</v>
      </c>
      <c r="AV24" s="32">
        <f t="shared" si="9"/>
        <v>1</v>
      </c>
      <c r="AW24" s="32">
        <f t="shared" si="11"/>
        <v>1</v>
      </c>
      <c r="AX24" s="32">
        <f t="shared" si="13"/>
        <v>1</v>
      </c>
      <c r="AY24" s="32">
        <f t="shared" si="17"/>
        <v>1</v>
      </c>
      <c r="AZ24" s="32">
        <f t="shared" si="19"/>
        <v>1</v>
      </c>
      <c r="BA24" s="32">
        <f t="shared" si="21"/>
        <v>1</v>
      </c>
      <c r="BB24" s="32">
        <f t="shared" ref="BB24:BB44" si="24">BB$6</f>
        <v>1</v>
      </c>
      <c r="BC24" s="31">
        <v>0.9</v>
      </c>
      <c r="BD24" s="32">
        <f t="shared" ref="BD24:BO25" si="25">BD$6</f>
        <v>1</v>
      </c>
      <c r="BE24" s="32">
        <f t="shared" si="25"/>
        <v>1</v>
      </c>
      <c r="BF24" s="32">
        <f t="shared" si="25"/>
        <v>1</v>
      </c>
      <c r="BG24" s="32">
        <f t="shared" si="25"/>
        <v>1</v>
      </c>
      <c r="BH24" s="32">
        <f t="shared" si="25"/>
        <v>1</v>
      </c>
      <c r="BI24" s="32">
        <f t="shared" si="25"/>
        <v>1</v>
      </c>
      <c r="BJ24" s="32">
        <f t="shared" si="25"/>
        <v>1</v>
      </c>
      <c r="BK24" s="32">
        <f t="shared" si="25"/>
        <v>0</v>
      </c>
      <c r="BL24" s="32">
        <f t="shared" si="25"/>
        <v>0</v>
      </c>
      <c r="BM24" s="32">
        <f t="shared" si="25"/>
        <v>0</v>
      </c>
      <c r="BN24" s="32">
        <f t="shared" si="25"/>
        <v>0</v>
      </c>
      <c r="BO24" s="32">
        <f t="shared" si="25"/>
        <v>0</v>
      </c>
      <c r="BP24" s="15">
        <v>0</v>
      </c>
    </row>
    <row r="25" spans="1:68">
      <c r="A25" s="18"/>
      <c r="B25">
        <f t="shared" si="3"/>
        <v>20</v>
      </c>
      <c r="C25" t="b">
        <v>0</v>
      </c>
      <c r="D25" t="b">
        <v>0</v>
      </c>
      <c r="E25" t="b">
        <v>0</v>
      </c>
      <c r="F25" s="3" t="s">
        <v>28</v>
      </c>
      <c r="G25" s="26" t="str">
        <f>IF(MATCH(F25,F$5:F25,0)=(COUNTA(F$5:F25)),"-","Dup")</f>
        <v>-</v>
      </c>
      <c r="H25" s="32" t="str">
        <f t="shared" si="15"/>
        <v>-</v>
      </c>
      <c r="I25" s="32" t="b">
        <f t="shared" si="15"/>
        <v>0</v>
      </c>
      <c r="J25" s="32" t="b">
        <f t="shared" si="15"/>
        <v>1</v>
      </c>
      <c r="K25" s="32" t="str">
        <f t="shared" si="15"/>
        <v>-</v>
      </c>
      <c r="L25" s="32" t="str">
        <f t="shared" si="15"/>
        <v>-</v>
      </c>
      <c r="M25" s="32" t="str">
        <f t="shared" si="15"/>
        <v>-</v>
      </c>
      <c r="N25" s="32" t="str">
        <f t="shared" si="15"/>
        <v>-</v>
      </c>
      <c r="O25" s="32" t="str">
        <f t="shared" si="15"/>
        <v>-</v>
      </c>
      <c r="P25" s="32" t="str">
        <f t="shared" si="15"/>
        <v>-</v>
      </c>
      <c r="Q25" s="32" t="str">
        <f t="shared" si="15"/>
        <v>-</v>
      </c>
      <c r="R25" s="32" t="str">
        <f t="shared" si="15"/>
        <v>-</v>
      </c>
      <c r="S25" s="32" t="str">
        <f t="shared" si="15"/>
        <v>-</v>
      </c>
      <c r="T25" s="32" t="str">
        <f t="shared" si="15"/>
        <v>-</v>
      </c>
      <c r="U25" s="32" t="str">
        <f t="shared" si="15"/>
        <v>-</v>
      </c>
      <c r="V25" s="32" t="str">
        <f t="shared" si="16"/>
        <v>-</v>
      </c>
      <c r="W25" s="32" t="str">
        <f t="shared" si="16"/>
        <v>-</v>
      </c>
      <c r="X25" s="32" t="str">
        <f t="shared" si="16"/>
        <v>-</v>
      </c>
      <c r="Y25" s="32" t="str">
        <f t="shared" si="16"/>
        <v>-</v>
      </c>
      <c r="Z25" s="32" t="str">
        <f t="shared" si="16"/>
        <v>-</v>
      </c>
      <c r="AA25" s="32" t="str">
        <f t="shared" si="16"/>
        <v>-</v>
      </c>
      <c r="AB25" s="32" t="str">
        <f t="shared" si="16"/>
        <v>-</v>
      </c>
      <c r="AC25" s="32" t="str">
        <f t="shared" si="16"/>
        <v>-</v>
      </c>
      <c r="AD25" s="32" t="str">
        <f t="shared" si="16"/>
        <v>-</v>
      </c>
      <c r="AE25" s="32" t="str">
        <f t="shared" si="16"/>
        <v>-</v>
      </c>
      <c r="AF25" s="32" t="str">
        <f t="shared" si="16"/>
        <v>-</v>
      </c>
      <c r="AG25" s="32" t="str">
        <f t="shared" si="16"/>
        <v>-</v>
      </c>
      <c r="AH25" s="32" t="str">
        <f t="shared" si="16"/>
        <v>-</v>
      </c>
      <c r="AI25" s="32" t="str">
        <f t="shared" si="16"/>
        <v>-</v>
      </c>
      <c r="AJ25" s="32" t="str">
        <f t="shared" si="16"/>
        <v>-</v>
      </c>
      <c r="AK25" s="32" t="str">
        <f t="shared" si="16"/>
        <v>-</v>
      </c>
      <c r="AL25" s="32" t="str">
        <f t="shared" si="16"/>
        <v>-</v>
      </c>
      <c r="AM25" s="32" t="str">
        <f t="shared" si="16"/>
        <v>-</v>
      </c>
      <c r="AN25" s="32" t="str">
        <f t="shared" si="16"/>
        <v>-</v>
      </c>
      <c r="AO25" s="32" t="str">
        <f t="shared" si="23"/>
        <v>-</v>
      </c>
      <c r="AP25" s="32" t="str">
        <f t="shared" si="23"/>
        <v>-</v>
      </c>
      <c r="AQ25" s="32" t="str">
        <f t="shared" si="23"/>
        <v>-</v>
      </c>
      <c r="AR25" s="32" t="str">
        <f t="shared" si="23"/>
        <v>-</v>
      </c>
      <c r="AS25" s="32" t="str">
        <f t="shared" si="23"/>
        <v>-</v>
      </c>
      <c r="AT25" s="32" t="str">
        <f t="shared" si="23"/>
        <v>-</v>
      </c>
      <c r="AU25" s="32">
        <f t="shared" si="7"/>
        <v>1</v>
      </c>
      <c r="AV25" s="32">
        <f t="shared" si="9"/>
        <v>1</v>
      </c>
      <c r="AW25" s="32">
        <f t="shared" si="11"/>
        <v>1</v>
      </c>
      <c r="AX25" s="32">
        <f t="shared" si="13"/>
        <v>1</v>
      </c>
      <c r="AY25" s="32">
        <f t="shared" si="17"/>
        <v>1</v>
      </c>
      <c r="AZ25" s="32">
        <f t="shared" si="19"/>
        <v>1</v>
      </c>
      <c r="BA25" s="32">
        <f t="shared" si="21"/>
        <v>1</v>
      </c>
      <c r="BB25" s="32">
        <f t="shared" si="24"/>
        <v>1</v>
      </c>
      <c r="BC25" s="31">
        <v>1.1000000000000001</v>
      </c>
      <c r="BD25" s="32">
        <f t="shared" si="25"/>
        <v>1</v>
      </c>
      <c r="BE25" s="32">
        <f t="shared" si="25"/>
        <v>1</v>
      </c>
      <c r="BF25" s="32">
        <f t="shared" si="25"/>
        <v>1</v>
      </c>
      <c r="BG25" s="32">
        <f t="shared" si="25"/>
        <v>1</v>
      </c>
      <c r="BH25" s="32">
        <f t="shared" si="25"/>
        <v>1</v>
      </c>
      <c r="BI25" s="32">
        <f t="shared" si="25"/>
        <v>1</v>
      </c>
      <c r="BJ25" s="32">
        <f t="shared" si="25"/>
        <v>1</v>
      </c>
      <c r="BK25" s="32">
        <f t="shared" si="25"/>
        <v>0</v>
      </c>
      <c r="BL25" s="32">
        <f t="shared" si="25"/>
        <v>0</v>
      </c>
      <c r="BM25" s="32">
        <f t="shared" si="25"/>
        <v>0</v>
      </c>
      <c r="BN25" s="32">
        <f t="shared" si="25"/>
        <v>0</v>
      </c>
      <c r="BO25" s="32">
        <f t="shared" si="25"/>
        <v>0</v>
      </c>
      <c r="BP25" s="15">
        <v>0</v>
      </c>
    </row>
    <row r="26" spans="1:68">
      <c r="A26" s="18"/>
      <c r="B26">
        <f t="shared" si="3"/>
        <v>21</v>
      </c>
      <c r="C26" t="b">
        <v>0</v>
      </c>
      <c r="D26" t="b">
        <v>0</v>
      </c>
      <c r="E26" t="b">
        <v>0</v>
      </c>
      <c r="F26" s="3" t="s">
        <v>29</v>
      </c>
      <c r="G26" s="26" t="str">
        <f>IF(MATCH(F26,F$5:F26,0)=(COUNTA(F$5:F26)),"-","Dup")</f>
        <v>-</v>
      </c>
      <c r="H26" s="32" t="str">
        <f t="shared" si="15"/>
        <v>-</v>
      </c>
      <c r="I26" s="32" t="b">
        <f t="shared" si="15"/>
        <v>0</v>
      </c>
      <c r="J26" s="32" t="b">
        <f t="shared" si="15"/>
        <v>1</v>
      </c>
      <c r="K26" s="32" t="str">
        <f t="shared" si="15"/>
        <v>-</v>
      </c>
      <c r="L26" s="32" t="str">
        <f t="shared" si="15"/>
        <v>-</v>
      </c>
      <c r="M26" s="32" t="str">
        <f t="shared" si="15"/>
        <v>-</v>
      </c>
      <c r="N26" s="32" t="str">
        <f t="shared" si="15"/>
        <v>-</v>
      </c>
      <c r="O26" s="32" t="str">
        <f t="shared" si="15"/>
        <v>-</v>
      </c>
      <c r="P26" s="32" t="str">
        <f t="shared" si="15"/>
        <v>-</v>
      </c>
      <c r="Q26" s="32" t="str">
        <f t="shared" si="15"/>
        <v>-</v>
      </c>
      <c r="R26" s="32" t="str">
        <f t="shared" si="15"/>
        <v>-</v>
      </c>
      <c r="S26" s="32" t="str">
        <f t="shared" si="15"/>
        <v>-</v>
      </c>
      <c r="T26" s="32" t="str">
        <f t="shared" si="15"/>
        <v>-</v>
      </c>
      <c r="U26" s="32" t="str">
        <f t="shared" si="15"/>
        <v>-</v>
      </c>
      <c r="V26" s="32" t="str">
        <f t="shared" si="16"/>
        <v>-</v>
      </c>
      <c r="W26" s="32" t="str">
        <f t="shared" si="16"/>
        <v>-</v>
      </c>
      <c r="X26" s="32" t="str">
        <f t="shared" si="16"/>
        <v>-</v>
      </c>
      <c r="Y26" s="32" t="str">
        <f t="shared" si="16"/>
        <v>-</v>
      </c>
      <c r="Z26" s="32" t="str">
        <f t="shared" si="16"/>
        <v>-</v>
      </c>
      <c r="AA26" s="32" t="str">
        <f t="shared" si="16"/>
        <v>-</v>
      </c>
      <c r="AB26" s="32" t="str">
        <f t="shared" si="16"/>
        <v>-</v>
      </c>
      <c r="AC26" s="32" t="str">
        <f t="shared" si="16"/>
        <v>-</v>
      </c>
      <c r="AD26" s="32" t="str">
        <f t="shared" si="16"/>
        <v>-</v>
      </c>
      <c r="AE26" s="32" t="str">
        <f t="shared" si="16"/>
        <v>-</v>
      </c>
      <c r="AF26" s="32" t="str">
        <f t="shared" si="16"/>
        <v>-</v>
      </c>
      <c r="AG26" s="32" t="str">
        <f t="shared" si="16"/>
        <v>-</v>
      </c>
      <c r="AH26" s="32" t="str">
        <f t="shared" si="16"/>
        <v>-</v>
      </c>
      <c r="AI26" s="32" t="str">
        <f t="shared" si="16"/>
        <v>-</v>
      </c>
      <c r="AJ26" s="32" t="str">
        <f t="shared" si="16"/>
        <v>-</v>
      </c>
      <c r="AK26" s="32" t="str">
        <f t="shared" si="16"/>
        <v>-</v>
      </c>
      <c r="AL26" s="32" t="str">
        <f t="shared" si="16"/>
        <v>-</v>
      </c>
      <c r="AM26" s="32" t="str">
        <f t="shared" si="16"/>
        <v>-</v>
      </c>
      <c r="AN26" s="32" t="str">
        <f t="shared" si="16"/>
        <v>-</v>
      </c>
      <c r="AO26" s="32" t="str">
        <f t="shared" si="23"/>
        <v>-</v>
      </c>
      <c r="AP26" s="32" t="str">
        <f t="shared" si="23"/>
        <v>-</v>
      </c>
      <c r="AQ26" s="32" t="str">
        <f t="shared" si="23"/>
        <v>-</v>
      </c>
      <c r="AR26" s="32" t="str">
        <f t="shared" si="23"/>
        <v>-</v>
      </c>
      <c r="AS26" s="32" t="str">
        <f t="shared" si="23"/>
        <v>-</v>
      </c>
      <c r="AT26" s="32" t="str">
        <f t="shared" si="23"/>
        <v>-</v>
      </c>
      <c r="AU26" s="32">
        <f t="shared" si="7"/>
        <v>1</v>
      </c>
      <c r="AV26" s="32">
        <f t="shared" si="9"/>
        <v>1</v>
      </c>
      <c r="AW26" s="32">
        <f t="shared" si="11"/>
        <v>1</v>
      </c>
      <c r="AX26" s="32">
        <f t="shared" si="13"/>
        <v>1</v>
      </c>
      <c r="AY26" s="32">
        <f t="shared" si="17"/>
        <v>1</v>
      </c>
      <c r="AZ26" s="32">
        <f t="shared" si="19"/>
        <v>1</v>
      </c>
      <c r="BA26" s="32">
        <f t="shared" si="21"/>
        <v>1</v>
      </c>
      <c r="BB26" s="32">
        <f t="shared" si="24"/>
        <v>1</v>
      </c>
      <c r="BC26" s="32">
        <f t="shared" ref="BC26:BC44" si="26">BC$6</f>
        <v>1</v>
      </c>
      <c r="BD26" s="31">
        <v>0.9</v>
      </c>
      <c r="BE26" s="32">
        <f t="shared" ref="BE26:BO31" si="27">BE$6</f>
        <v>1</v>
      </c>
      <c r="BF26" s="32">
        <f t="shared" si="27"/>
        <v>1</v>
      </c>
      <c r="BG26" s="32">
        <f t="shared" si="27"/>
        <v>1</v>
      </c>
      <c r="BH26" s="32">
        <f t="shared" si="27"/>
        <v>1</v>
      </c>
      <c r="BI26" s="32">
        <f t="shared" si="27"/>
        <v>1</v>
      </c>
      <c r="BJ26" s="32">
        <f t="shared" si="27"/>
        <v>1</v>
      </c>
      <c r="BK26" s="32">
        <f t="shared" si="27"/>
        <v>0</v>
      </c>
      <c r="BL26" s="32">
        <f t="shared" si="27"/>
        <v>0</v>
      </c>
      <c r="BM26" s="32">
        <f t="shared" si="27"/>
        <v>0</v>
      </c>
      <c r="BN26" s="32">
        <f t="shared" si="27"/>
        <v>0</v>
      </c>
      <c r="BO26" s="32">
        <f t="shared" si="27"/>
        <v>0</v>
      </c>
      <c r="BP26" s="15">
        <v>0</v>
      </c>
    </row>
    <row r="27" spans="1:68">
      <c r="A27" s="18"/>
      <c r="B27">
        <f t="shared" si="3"/>
        <v>22</v>
      </c>
      <c r="C27" t="b">
        <v>0</v>
      </c>
      <c r="D27" t="b">
        <v>0</v>
      </c>
      <c r="E27" t="b">
        <v>0</v>
      </c>
      <c r="F27" s="3" t="s">
        <v>30</v>
      </c>
      <c r="G27" s="26" t="str">
        <f>IF(MATCH(F27,F$5:F27,0)=(COUNTA(F$5:F27)),"-","Dup")</f>
        <v>-</v>
      </c>
      <c r="H27" s="32" t="str">
        <f t="shared" si="15"/>
        <v>-</v>
      </c>
      <c r="I27" s="32" t="b">
        <f t="shared" si="15"/>
        <v>0</v>
      </c>
      <c r="J27" s="32" t="b">
        <f t="shared" si="15"/>
        <v>1</v>
      </c>
      <c r="K27" s="32" t="str">
        <f t="shared" si="15"/>
        <v>-</v>
      </c>
      <c r="L27" s="32" t="str">
        <f t="shared" si="15"/>
        <v>-</v>
      </c>
      <c r="M27" s="32" t="str">
        <f t="shared" si="15"/>
        <v>-</v>
      </c>
      <c r="N27" s="32" t="str">
        <f t="shared" si="15"/>
        <v>-</v>
      </c>
      <c r="O27" s="32" t="str">
        <f t="shared" si="15"/>
        <v>-</v>
      </c>
      <c r="P27" s="32" t="str">
        <f t="shared" si="15"/>
        <v>-</v>
      </c>
      <c r="Q27" s="32" t="str">
        <f t="shared" si="15"/>
        <v>-</v>
      </c>
      <c r="R27" s="32" t="str">
        <f t="shared" si="15"/>
        <v>-</v>
      </c>
      <c r="S27" s="32" t="str">
        <f t="shared" si="15"/>
        <v>-</v>
      </c>
      <c r="T27" s="32" t="str">
        <f t="shared" si="15"/>
        <v>-</v>
      </c>
      <c r="U27" s="32" t="str">
        <f t="shared" si="15"/>
        <v>-</v>
      </c>
      <c r="V27" s="32" t="str">
        <f t="shared" si="16"/>
        <v>-</v>
      </c>
      <c r="W27" s="32" t="str">
        <f t="shared" si="16"/>
        <v>-</v>
      </c>
      <c r="X27" s="32" t="str">
        <f t="shared" si="16"/>
        <v>-</v>
      </c>
      <c r="Y27" s="32" t="str">
        <f t="shared" si="16"/>
        <v>-</v>
      </c>
      <c r="Z27" s="32" t="str">
        <f t="shared" si="16"/>
        <v>-</v>
      </c>
      <c r="AA27" s="32" t="str">
        <f t="shared" si="16"/>
        <v>-</v>
      </c>
      <c r="AB27" s="32" t="str">
        <f t="shared" si="16"/>
        <v>-</v>
      </c>
      <c r="AC27" s="32" t="str">
        <f t="shared" si="16"/>
        <v>-</v>
      </c>
      <c r="AD27" s="32" t="str">
        <f t="shared" si="16"/>
        <v>-</v>
      </c>
      <c r="AE27" s="32" t="str">
        <f t="shared" si="16"/>
        <v>-</v>
      </c>
      <c r="AF27" s="32" t="str">
        <f t="shared" si="16"/>
        <v>-</v>
      </c>
      <c r="AG27" s="32" t="str">
        <f t="shared" si="16"/>
        <v>-</v>
      </c>
      <c r="AH27" s="32" t="str">
        <f t="shared" si="16"/>
        <v>-</v>
      </c>
      <c r="AI27" s="32" t="str">
        <f t="shared" si="16"/>
        <v>-</v>
      </c>
      <c r="AJ27" s="32" t="str">
        <f t="shared" si="16"/>
        <v>-</v>
      </c>
      <c r="AK27" s="32" t="str">
        <f t="shared" si="16"/>
        <v>-</v>
      </c>
      <c r="AL27" s="32" t="str">
        <f t="shared" si="16"/>
        <v>-</v>
      </c>
      <c r="AM27" s="32" t="str">
        <f t="shared" si="16"/>
        <v>-</v>
      </c>
      <c r="AN27" s="32" t="str">
        <f t="shared" si="16"/>
        <v>-</v>
      </c>
      <c r="AO27" s="32" t="str">
        <f t="shared" si="23"/>
        <v>-</v>
      </c>
      <c r="AP27" s="32" t="str">
        <f t="shared" si="23"/>
        <v>-</v>
      </c>
      <c r="AQ27" s="32" t="str">
        <f t="shared" si="23"/>
        <v>-</v>
      </c>
      <c r="AR27" s="32" t="str">
        <f t="shared" si="23"/>
        <v>-</v>
      </c>
      <c r="AS27" s="32" t="str">
        <f t="shared" si="23"/>
        <v>-</v>
      </c>
      <c r="AT27" s="32" t="str">
        <f t="shared" si="23"/>
        <v>-</v>
      </c>
      <c r="AU27" s="32">
        <f t="shared" si="7"/>
        <v>1</v>
      </c>
      <c r="AV27" s="32">
        <f t="shared" si="9"/>
        <v>1</v>
      </c>
      <c r="AW27" s="32">
        <f t="shared" si="11"/>
        <v>1</v>
      </c>
      <c r="AX27" s="32">
        <f t="shared" si="13"/>
        <v>1</v>
      </c>
      <c r="AY27" s="32">
        <f t="shared" si="17"/>
        <v>1</v>
      </c>
      <c r="AZ27" s="32">
        <f t="shared" si="19"/>
        <v>1</v>
      </c>
      <c r="BA27" s="32">
        <f t="shared" si="21"/>
        <v>1</v>
      </c>
      <c r="BB27" s="32">
        <f t="shared" si="24"/>
        <v>1</v>
      </c>
      <c r="BC27" s="32">
        <f t="shared" si="26"/>
        <v>1</v>
      </c>
      <c r="BD27" s="31">
        <v>1.1000000000000001</v>
      </c>
      <c r="BE27" s="32">
        <f t="shared" si="27"/>
        <v>1</v>
      </c>
      <c r="BF27" s="32">
        <f t="shared" si="27"/>
        <v>1</v>
      </c>
      <c r="BG27" s="32">
        <f t="shared" si="27"/>
        <v>1</v>
      </c>
      <c r="BH27" s="32">
        <f t="shared" si="27"/>
        <v>1</v>
      </c>
      <c r="BI27" s="32">
        <f t="shared" si="27"/>
        <v>1</v>
      </c>
      <c r="BJ27" s="32">
        <f t="shared" si="27"/>
        <v>1</v>
      </c>
      <c r="BK27" s="32">
        <f t="shared" si="27"/>
        <v>0</v>
      </c>
      <c r="BL27" s="32">
        <f t="shared" si="27"/>
        <v>0</v>
      </c>
      <c r="BM27" s="32">
        <f t="shared" si="27"/>
        <v>0</v>
      </c>
      <c r="BN27" s="32">
        <f t="shared" si="27"/>
        <v>0</v>
      </c>
      <c r="BO27" s="32">
        <f t="shared" si="27"/>
        <v>0</v>
      </c>
      <c r="BP27" s="15">
        <v>0</v>
      </c>
    </row>
    <row r="28" spans="1:68">
      <c r="A28" s="18"/>
      <c r="B28">
        <f t="shared" si="3"/>
        <v>23</v>
      </c>
      <c r="C28" t="b">
        <v>0</v>
      </c>
      <c r="D28" t="b">
        <v>0</v>
      </c>
      <c r="E28" t="b">
        <v>0</v>
      </c>
      <c r="F28" s="3" t="s">
        <v>31</v>
      </c>
      <c r="G28" s="26" t="str">
        <f>IF(MATCH(F28,F$5:F28,0)=(COUNTA(F$5:F28)),"-","Dup")</f>
        <v>-</v>
      </c>
      <c r="H28" s="32" t="str">
        <f t="shared" si="15"/>
        <v>-</v>
      </c>
      <c r="I28" s="32" t="b">
        <f t="shared" si="15"/>
        <v>0</v>
      </c>
      <c r="J28" s="32" t="b">
        <f t="shared" si="15"/>
        <v>1</v>
      </c>
      <c r="K28" s="32" t="str">
        <f t="shared" si="15"/>
        <v>-</v>
      </c>
      <c r="L28" s="32" t="str">
        <f t="shared" si="15"/>
        <v>-</v>
      </c>
      <c r="M28" s="32" t="str">
        <f t="shared" si="15"/>
        <v>-</v>
      </c>
      <c r="N28" s="32" t="str">
        <f t="shared" si="15"/>
        <v>-</v>
      </c>
      <c r="O28" s="32" t="str">
        <f t="shared" si="15"/>
        <v>-</v>
      </c>
      <c r="P28" s="32" t="str">
        <f t="shared" si="15"/>
        <v>-</v>
      </c>
      <c r="Q28" s="32" t="str">
        <f t="shared" si="15"/>
        <v>-</v>
      </c>
      <c r="R28" s="32" t="str">
        <f t="shared" si="15"/>
        <v>-</v>
      </c>
      <c r="S28" s="32" t="str">
        <f t="shared" si="15"/>
        <v>-</v>
      </c>
      <c r="T28" s="32" t="str">
        <f t="shared" si="15"/>
        <v>-</v>
      </c>
      <c r="U28" s="32" t="str">
        <f t="shared" si="15"/>
        <v>-</v>
      </c>
      <c r="V28" s="32" t="str">
        <f t="shared" si="16"/>
        <v>-</v>
      </c>
      <c r="W28" s="32" t="str">
        <f t="shared" si="16"/>
        <v>-</v>
      </c>
      <c r="X28" s="32" t="str">
        <f t="shared" si="16"/>
        <v>-</v>
      </c>
      <c r="Y28" s="32" t="str">
        <f t="shared" si="16"/>
        <v>-</v>
      </c>
      <c r="Z28" s="32" t="str">
        <f t="shared" si="16"/>
        <v>-</v>
      </c>
      <c r="AA28" s="32" t="str">
        <f t="shared" si="16"/>
        <v>-</v>
      </c>
      <c r="AB28" s="32" t="str">
        <f t="shared" si="16"/>
        <v>-</v>
      </c>
      <c r="AC28" s="32" t="str">
        <f t="shared" si="16"/>
        <v>-</v>
      </c>
      <c r="AD28" s="32" t="str">
        <f t="shared" si="16"/>
        <v>-</v>
      </c>
      <c r="AE28" s="32" t="str">
        <f t="shared" si="16"/>
        <v>-</v>
      </c>
      <c r="AF28" s="32" t="str">
        <f t="shared" si="16"/>
        <v>-</v>
      </c>
      <c r="AG28" s="32" t="str">
        <f t="shared" si="16"/>
        <v>-</v>
      </c>
      <c r="AH28" s="32" t="str">
        <f t="shared" si="16"/>
        <v>-</v>
      </c>
      <c r="AI28" s="32" t="str">
        <f t="shared" si="16"/>
        <v>-</v>
      </c>
      <c r="AJ28" s="32" t="str">
        <f t="shared" si="16"/>
        <v>-</v>
      </c>
      <c r="AK28" s="32" t="str">
        <f t="shared" si="16"/>
        <v>-</v>
      </c>
      <c r="AL28" s="32" t="str">
        <f t="shared" si="16"/>
        <v>-</v>
      </c>
      <c r="AM28" s="32" t="str">
        <f t="shared" si="16"/>
        <v>-</v>
      </c>
      <c r="AN28" s="32" t="str">
        <f t="shared" si="16"/>
        <v>-</v>
      </c>
      <c r="AO28" s="32" t="str">
        <f t="shared" si="23"/>
        <v>-</v>
      </c>
      <c r="AP28" s="32" t="str">
        <f t="shared" si="23"/>
        <v>-</v>
      </c>
      <c r="AQ28" s="32" t="str">
        <f t="shared" si="23"/>
        <v>-</v>
      </c>
      <c r="AR28" s="32" t="str">
        <f t="shared" si="23"/>
        <v>-</v>
      </c>
      <c r="AS28" s="32" t="str">
        <f t="shared" si="23"/>
        <v>-</v>
      </c>
      <c r="AT28" s="32" t="str">
        <f t="shared" si="23"/>
        <v>-</v>
      </c>
      <c r="AU28" s="32">
        <f t="shared" si="7"/>
        <v>1</v>
      </c>
      <c r="AV28" s="32">
        <f t="shared" si="9"/>
        <v>1</v>
      </c>
      <c r="AW28" s="32">
        <f t="shared" si="11"/>
        <v>1</v>
      </c>
      <c r="AX28" s="32">
        <f t="shared" si="13"/>
        <v>1</v>
      </c>
      <c r="AY28" s="32">
        <f t="shared" si="17"/>
        <v>1</v>
      </c>
      <c r="AZ28" s="32">
        <f t="shared" si="19"/>
        <v>1</v>
      </c>
      <c r="BA28" s="32">
        <f t="shared" si="21"/>
        <v>1</v>
      </c>
      <c r="BB28" s="32">
        <f t="shared" si="24"/>
        <v>1</v>
      </c>
      <c r="BC28" s="32">
        <f t="shared" si="26"/>
        <v>1</v>
      </c>
      <c r="BD28" s="32">
        <f t="shared" ref="BD28:BD44" si="28">BD$6</f>
        <v>1</v>
      </c>
      <c r="BE28" s="31">
        <v>0.9</v>
      </c>
      <c r="BF28" s="32">
        <f t="shared" ref="BF28:BO29" si="29">BF$6</f>
        <v>1</v>
      </c>
      <c r="BG28" s="32">
        <f t="shared" si="27"/>
        <v>1</v>
      </c>
      <c r="BH28" s="32">
        <f t="shared" si="27"/>
        <v>1</v>
      </c>
      <c r="BI28" s="32">
        <f t="shared" si="27"/>
        <v>1</v>
      </c>
      <c r="BJ28" s="32">
        <f t="shared" si="27"/>
        <v>1</v>
      </c>
      <c r="BK28" s="32">
        <f t="shared" si="29"/>
        <v>0</v>
      </c>
      <c r="BL28" s="32">
        <f t="shared" si="29"/>
        <v>0</v>
      </c>
      <c r="BM28" s="32">
        <f t="shared" si="29"/>
        <v>0</v>
      </c>
      <c r="BN28" s="32">
        <f t="shared" si="29"/>
        <v>0</v>
      </c>
      <c r="BO28" s="32">
        <f t="shared" si="29"/>
        <v>0</v>
      </c>
      <c r="BP28" s="15">
        <v>0</v>
      </c>
    </row>
    <row r="29" spans="1:68">
      <c r="A29" s="18"/>
      <c r="B29">
        <f t="shared" si="3"/>
        <v>24</v>
      </c>
      <c r="C29" t="b">
        <v>0</v>
      </c>
      <c r="D29" t="b">
        <v>0</v>
      </c>
      <c r="E29" t="b">
        <v>0</v>
      </c>
      <c r="F29" s="3" t="s">
        <v>32</v>
      </c>
      <c r="G29" s="26" t="str">
        <f>IF(MATCH(F29,F$5:F29,0)=(COUNTA(F$5:F29)),"-","Dup")</f>
        <v>-</v>
      </c>
      <c r="H29" s="32" t="str">
        <f t="shared" si="15"/>
        <v>-</v>
      </c>
      <c r="I29" s="32" t="b">
        <f t="shared" si="15"/>
        <v>0</v>
      </c>
      <c r="J29" s="32" t="b">
        <f t="shared" si="15"/>
        <v>1</v>
      </c>
      <c r="K29" s="32" t="str">
        <f t="shared" si="15"/>
        <v>-</v>
      </c>
      <c r="L29" s="32" t="str">
        <f t="shared" si="15"/>
        <v>-</v>
      </c>
      <c r="M29" s="32" t="str">
        <f t="shared" si="15"/>
        <v>-</v>
      </c>
      <c r="N29" s="32" t="str">
        <f t="shared" si="15"/>
        <v>-</v>
      </c>
      <c r="O29" s="32" t="str">
        <f t="shared" si="15"/>
        <v>-</v>
      </c>
      <c r="P29" s="32" t="str">
        <f t="shared" si="15"/>
        <v>-</v>
      </c>
      <c r="Q29" s="32" t="str">
        <f t="shared" si="15"/>
        <v>-</v>
      </c>
      <c r="R29" s="32" t="str">
        <f t="shared" si="15"/>
        <v>-</v>
      </c>
      <c r="S29" s="32" t="str">
        <f t="shared" si="15"/>
        <v>-</v>
      </c>
      <c r="T29" s="32" t="str">
        <f t="shared" si="15"/>
        <v>-</v>
      </c>
      <c r="U29" s="32" t="str">
        <f t="shared" si="15"/>
        <v>-</v>
      </c>
      <c r="V29" s="32" t="str">
        <f t="shared" si="16"/>
        <v>-</v>
      </c>
      <c r="W29" s="32" t="str">
        <f t="shared" si="16"/>
        <v>-</v>
      </c>
      <c r="X29" s="32" t="str">
        <f t="shared" si="16"/>
        <v>-</v>
      </c>
      <c r="Y29" s="32" t="str">
        <f t="shared" si="16"/>
        <v>-</v>
      </c>
      <c r="Z29" s="32" t="str">
        <f t="shared" si="16"/>
        <v>-</v>
      </c>
      <c r="AA29" s="32" t="str">
        <f t="shared" si="16"/>
        <v>-</v>
      </c>
      <c r="AB29" s="32" t="str">
        <f t="shared" si="16"/>
        <v>-</v>
      </c>
      <c r="AC29" s="32" t="str">
        <f t="shared" si="16"/>
        <v>-</v>
      </c>
      <c r="AD29" s="32" t="str">
        <f t="shared" si="16"/>
        <v>-</v>
      </c>
      <c r="AE29" s="32" t="str">
        <f t="shared" si="16"/>
        <v>-</v>
      </c>
      <c r="AF29" s="32" t="str">
        <f t="shared" si="16"/>
        <v>-</v>
      </c>
      <c r="AG29" s="32" t="str">
        <f t="shared" si="16"/>
        <v>-</v>
      </c>
      <c r="AH29" s="32" t="str">
        <f t="shared" si="16"/>
        <v>-</v>
      </c>
      <c r="AI29" s="32" t="str">
        <f t="shared" si="16"/>
        <v>-</v>
      </c>
      <c r="AJ29" s="32" t="str">
        <f t="shared" si="16"/>
        <v>-</v>
      </c>
      <c r="AK29" s="32" t="str">
        <f t="shared" si="16"/>
        <v>-</v>
      </c>
      <c r="AL29" s="32" t="str">
        <f t="shared" si="16"/>
        <v>-</v>
      </c>
      <c r="AM29" s="32" t="str">
        <f t="shared" si="16"/>
        <v>-</v>
      </c>
      <c r="AN29" s="32" t="str">
        <f t="shared" si="16"/>
        <v>-</v>
      </c>
      <c r="AO29" s="32" t="str">
        <f t="shared" si="23"/>
        <v>-</v>
      </c>
      <c r="AP29" s="32" t="str">
        <f t="shared" si="23"/>
        <v>-</v>
      </c>
      <c r="AQ29" s="32" t="str">
        <f t="shared" si="23"/>
        <v>-</v>
      </c>
      <c r="AR29" s="32" t="str">
        <f t="shared" si="23"/>
        <v>-</v>
      </c>
      <c r="AS29" s="32" t="str">
        <f t="shared" si="23"/>
        <v>-</v>
      </c>
      <c r="AT29" s="32" t="str">
        <f t="shared" si="23"/>
        <v>-</v>
      </c>
      <c r="AU29" s="32">
        <f t="shared" si="7"/>
        <v>1</v>
      </c>
      <c r="AV29" s="32">
        <f t="shared" si="9"/>
        <v>1</v>
      </c>
      <c r="AW29" s="32">
        <f t="shared" si="11"/>
        <v>1</v>
      </c>
      <c r="AX29" s="32">
        <f t="shared" si="13"/>
        <v>1</v>
      </c>
      <c r="AY29" s="32">
        <f t="shared" si="17"/>
        <v>1</v>
      </c>
      <c r="AZ29" s="32">
        <f t="shared" si="19"/>
        <v>1</v>
      </c>
      <c r="BA29" s="32">
        <f t="shared" si="21"/>
        <v>1</v>
      </c>
      <c r="BB29" s="32">
        <f t="shared" si="24"/>
        <v>1</v>
      </c>
      <c r="BC29" s="32">
        <f t="shared" si="26"/>
        <v>1</v>
      </c>
      <c r="BD29" s="32">
        <f t="shared" si="28"/>
        <v>1</v>
      </c>
      <c r="BE29" s="31">
        <v>1.1000000000000001</v>
      </c>
      <c r="BF29" s="32">
        <f t="shared" si="29"/>
        <v>1</v>
      </c>
      <c r="BG29" s="32">
        <f t="shared" si="27"/>
        <v>1</v>
      </c>
      <c r="BH29" s="32">
        <f t="shared" si="27"/>
        <v>1</v>
      </c>
      <c r="BI29" s="32">
        <f t="shared" si="27"/>
        <v>1</v>
      </c>
      <c r="BJ29" s="32">
        <f t="shared" si="27"/>
        <v>1</v>
      </c>
      <c r="BK29" s="32">
        <f t="shared" si="29"/>
        <v>0</v>
      </c>
      <c r="BL29" s="32">
        <f t="shared" si="29"/>
        <v>0</v>
      </c>
      <c r="BM29" s="32">
        <f t="shared" si="29"/>
        <v>0</v>
      </c>
      <c r="BN29" s="32">
        <f t="shared" si="29"/>
        <v>0</v>
      </c>
      <c r="BO29" s="32">
        <f t="shared" si="29"/>
        <v>0</v>
      </c>
      <c r="BP29" s="15">
        <v>0</v>
      </c>
    </row>
    <row r="30" spans="1:68">
      <c r="A30" s="18"/>
      <c r="B30">
        <f t="shared" si="3"/>
        <v>25</v>
      </c>
      <c r="C30" t="b">
        <v>0</v>
      </c>
      <c r="D30" t="b">
        <v>0</v>
      </c>
      <c r="E30" t="b">
        <v>0</v>
      </c>
      <c r="F30" s="3" t="s">
        <v>33</v>
      </c>
      <c r="G30" s="26" t="str">
        <f>IF(MATCH(F30,F$5:F30,0)=(COUNTA(F$5:F30)),"-","Dup")</f>
        <v>-</v>
      </c>
      <c r="H30" s="32" t="str">
        <f t="shared" si="15"/>
        <v>-</v>
      </c>
      <c r="I30" s="32" t="b">
        <f t="shared" si="15"/>
        <v>0</v>
      </c>
      <c r="J30" s="32" t="b">
        <f t="shared" si="15"/>
        <v>1</v>
      </c>
      <c r="K30" s="32" t="str">
        <f t="shared" si="15"/>
        <v>-</v>
      </c>
      <c r="L30" s="32" t="str">
        <f t="shared" si="15"/>
        <v>-</v>
      </c>
      <c r="M30" s="32" t="str">
        <f t="shared" si="15"/>
        <v>-</v>
      </c>
      <c r="N30" s="32" t="str">
        <f t="shared" si="15"/>
        <v>-</v>
      </c>
      <c r="O30" s="32" t="str">
        <f t="shared" si="15"/>
        <v>-</v>
      </c>
      <c r="P30" s="32" t="str">
        <f t="shared" si="15"/>
        <v>-</v>
      </c>
      <c r="Q30" s="32" t="str">
        <f t="shared" si="15"/>
        <v>-</v>
      </c>
      <c r="R30" s="32" t="str">
        <f t="shared" si="15"/>
        <v>-</v>
      </c>
      <c r="S30" s="32" t="str">
        <f t="shared" si="15"/>
        <v>-</v>
      </c>
      <c r="T30" s="32" t="str">
        <f t="shared" si="15"/>
        <v>-</v>
      </c>
      <c r="U30" s="32" t="str">
        <f t="shared" si="15"/>
        <v>-</v>
      </c>
      <c r="V30" s="32" t="str">
        <f t="shared" si="16"/>
        <v>-</v>
      </c>
      <c r="W30" s="32" t="str">
        <f t="shared" si="16"/>
        <v>-</v>
      </c>
      <c r="X30" s="32" t="str">
        <f t="shared" si="16"/>
        <v>-</v>
      </c>
      <c r="Y30" s="32" t="str">
        <f t="shared" si="16"/>
        <v>-</v>
      </c>
      <c r="Z30" s="32" t="str">
        <f t="shared" si="16"/>
        <v>-</v>
      </c>
      <c r="AA30" s="32" t="str">
        <f t="shared" si="16"/>
        <v>-</v>
      </c>
      <c r="AB30" s="32" t="str">
        <f t="shared" si="16"/>
        <v>-</v>
      </c>
      <c r="AC30" s="32" t="str">
        <f t="shared" si="16"/>
        <v>-</v>
      </c>
      <c r="AD30" s="32" t="str">
        <f t="shared" si="16"/>
        <v>-</v>
      </c>
      <c r="AE30" s="32" t="str">
        <f t="shared" si="16"/>
        <v>-</v>
      </c>
      <c r="AF30" s="32" t="str">
        <f t="shared" si="16"/>
        <v>-</v>
      </c>
      <c r="AG30" s="32" t="str">
        <f t="shared" si="16"/>
        <v>-</v>
      </c>
      <c r="AH30" s="32" t="str">
        <f t="shared" si="16"/>
        <v>-</v>
      </c>
      <c r="AI30" s="32" t="str">
        <f t="shared" si="16"/>
        <v>-</v>
      </c>
      <c r="AJ30" s="32" t="str">
        <f t="shared" si="16"/>
        <v>-</v>
      </c>
      <c r="AK30" s="32" t="str">
        <f t="shared" si="16"/>
        <v>-</v>
      </c>
      <c r="AL30" s="32" t="str">
        <f t="shared" si="16"/>
        <v>-</v>
      </c>
      <c r="AM30" s="32" t="str">
        <f t="shared" si="16"/>
        <v>-</v>
      </c>
      <c r="AN30" s="32" t="str">
        <f t="shared" si="16"/>
        <v>-</v>
      </c>
      <c r="AO30" s="32" t="str">
        <f t="shared" si="23"/>
        <v>-</v>
      </c>
      <c r="AP30" s="32" t="str">
        <f t="shared" si="23"/>
        <v>-</v>
      </c>
      <c r="AQ30" s="32" t="str">
        <f t="shared" si="23"/>
        <v>-</v>
      </c>
      <c r="AR30" s="32" t="str">
        <f t="shared" si="23"/>
        <v>-</v>
      </c>
      <c r="AS30" s="32" t="str">
        <f t="shared" si="23"/>
        <v>-</v>
      </c>
      <c r="AT30" s="32" t="str">
        <f t="shared" si="23"/>
        <v>-</v>
      </c>
      <c r="AU30" s="32">
        <f t="shared" si="7"/>
        <v>1</v>
      </c>
      <c r="AV30" s="32">
        <f t="shared" si="9"/>
        <v>1</v>
      </c>
      <c r="AW30" s="32">
        <f t="shared" si="11"/>
        <v>1</v>
      </c>
      <c r="AX30" s="32">
        <f t="shared" si="13"/>
        <v>1</v>
      </c>
      <c r="AY30" s="32">
        <f t="shared" si="17"/>
        <v>1</v>
      </c>
      <c r="AZ30" s="32">
        <f t="shared" si="19"/>
        <v>1</v>
      </c>
      <c r="BA30" s="32">
        <f t="shared" si="21"/>
        <v>1</v>
      </c>
      <c r="BB30" s="32">
        <f t="shared" si="24"/>
        <v>1</v>
      </c>
      <c r="BC30" s="32">
        <f t="shared" si="26"/>
        <v>1</v>
      </c>
      <c r="BD30" s="32">
        <f t="shared" si="28"/>
        <v>1</v>
      </c>
      <c r="BE30" s="32">
        <f t="shared" ref="BE30:BE44" si="30">BE$6</f>
        <v>1</v>
      </c>
      <c r="BF30" s="31">
        <v>0.9</v>
      </c>
      <c r="BG30" s="32">
        <f t="shared" si="27"/>
        <v>1</v>
      </c>
      <c r="BH30" s="32">
        <f t="shared" si="27"/>
        <v>1</v>
      </c>
      <c r="BI30" s="32">
        <f t="shared" si="27"/>
        <v>1</v>
      </c>
      <c r="BJ30" s="32">
        <f t="shared" si="27"/>
        <v>1</v>
      </c>
      <c r="BK30" s="32">
        <f t="shared" ref="BK30:BO44" si="31">BK$6</f>
        <v>0</v>
      </c>
      <c r="BL30" s="32">
        <f t="shared" si="31"/>
        <v>0</v>
      </c>
      <c r="BM30" s="32">
        <f t="shared" si="31"/>
        <v>0</v>
      </c>
      <c r="BN30" s="32">
        <f t="shared" si="31"/>
        <v>0</v>
      </c>
      <c r="BO30" s="32">
        <f t="shared" si="31"/>
        <v>0</v>
      </c>
      <c r="BP30" s="15">
        <v>0</v>
      </c>
    </row>
    <row r="31" spans="1:68">
      <c r="A31" s="18"/>
      <c r="B31">
        <f t="shared" si="3"/>
        <v>26</v>
      </c>
      <c r="C31" t="b">
        <v>0</v>
      </c>
      <c r="D31" t="b">
        <v>0</v>
      </c>
      <c r="E31" t="b">
        <v>0</v>
      </c>
      <c r="F31" s="3" t="s">
        <v>34</v>
      </c>
      <c r="G31" s="26" t="str">
        <f>IF(MATCH(F31,F$5:F31,0)=(COUNTA(F$5:F31)),"-","Dup")</f>
        <v>-</v>
      </c>
      <c r="H31" s="32" t="str">
        <f t="shared" ref="H31:J47" si="32">H$6</f>
        <v>-</v>
      </c>
      <c r="I31" s="32" t="b">
        <f t="shared" ref="I31:AT31" si="33">I$6</f>
        <v>0</v>
      </c>
      <c r="J31" s="32" t="b">
        <f t="shared" si="33"/>
        <v>1</v>
      </c>
      <c r="K31" s="32" t="str">
        <f t="shared" si="33"/>
        <v>-</v>
      </c>
      <c r="L31" s="32" t="str">
        <f t="shared" si="33"/>
        <v>-</v>
      </c>
      <c r="M31" s="32" t="str">
        <f t="shared" si="33"/>
        <v>-</v>
      </c>
      <c r="N31" s="32" t="str">
        <f t="shared" si="33"/>
        <v>-</v>
      </c>
      <c r="O31" s="32" t="str">
        <f t="shared" si="33"/>
        <v>-</v>
      </c>
      <c r="P31" s="32" t="str">
        <f t="shared" si="33"/>
        <v>-</v>
      </c>
      <c r="Q31" s="32" t="str">
        <f t="shared" si="33"/>
        <v>-</v>
      </c>
      <c r="R31" s="32" t="str">
        <f t="shared" si="33"/>
        <v>-</v>
      </c>
      <c r="S31" s="32" t="str">
        <f t="shared" si="33"/>
        <v>-</v>
      </c>
      <c r="T31" s="32" t="str">
        <f t="shared" si="33"/>
        <v>-</v>
      </c>
      <c r="U31" s="32" t="str">
        <f t="shared" si="33"/>
        <v>-</v>
      </c>
      <c r="V31" s="32" t="str">
        <f t="shared" si="33"/>
        <v>-</v>
      </c>
      <c r="W31" s="32" t="str">
        <f t="shared" si="33"/>
        <v>-</v>
      </c>
      <c r="X31" s="32" t="str">
        <f t="shared" si="33"/>
        <v>-</v>
      </c>
      <c r="Y31" s="32" t="str">
        <f t="shared" si="33"/>
        <v>-</v>
      </c>
      <c r="Z31" s="32" t="str">
        <f t="shared" si="33"/>
        <v>-</v>
      </c>
      <c r="AA31" s="32" t="str">
        <f t="shared" si="33"/>
        <v>-</v>
      </c>
      <c r="AB31" s="32" t="str">
        <f t="shared" si="33"/>
        <v>-</v>
      </c>
      <c r="AC31" s="32" t="str">
        <f t="shared" si="33"/>
        <v>-</v>
      </c>
      <c r="AD31" s="32" t="str">
        <f t="shared" si="33"/>
        <v>-</v>
      </c>
      <c r="AE31" s="32" t="str">
        <f t="shared" si="33"/>
        <v>-</v>
      </c>
      <c r="AF31" s="32" t="str">
        <f t="shared" si="33"/>
        <v>-</v>
      </c>
      <c r="AG31" s="32" t="str">
        <f t="shared" si="33"/>
        <v>-</v>
      </c>
      <c r="AH31" s="32" t="str">
        <f t="shared" si="33"/>
        <v>-</v>
      </c>
      <c r="AI31" s="32" t="str">
        <f t="shared" si="33"/>
        <v>-</v>
      </c>
      <c r="AJ31" s="32" t="str">
        <f t="shared" si="33"/>
        <v>-</v>
      </c>
      <c r="AK31" s="32" t="str">
        <f t="shared" si="33"/>
        <v>-</v>
      </c>
      <c r="AL31" s="32" t="str">
        <f t="shared" si="33"/>
        <v>-</v>
      </c>
      <c r="AM31" s="32" t="str">
        <f t="shared" si="33"/>
        <v>-</v>
      </c>
      <c r="AN31" s="32" t="str">
        <f t="shared" si="33"/>
        <v>-</v>
      </c>
      <c r="AO31" s="32" t="str">
        <f t="shared" si="33"/>
        <v>-</v>
      </c>
      <c r="AP31" s="32" t="str">
        <f t="shared" si="33"/>
        <v>-</v>
      </c>
      <c r="AQ31" s="32" t="str">
        <f t="shared" si="33"/>
        <v>-</v>
      </c>
      <c r="AR31" s="32" t="str">
        <f t="shared" si="33"/>
        <v>-</v>
      </c>
      <c r="AS31" s="32" t="str">
        <f t="shared" si="33"/>
        <v>-</v>
      </c>
      <c r="AT31" s="32" t="str">
        <f t="shared" si="33"/>
        <v>-</v>
      </c>
      <c r="AU31" s="32">
        <f t="shared" si="7"/>
        <v>1</v>
      </c>
      <c r="AV31" s="32">
        <f t="shared" si="9"/>
        <v>1</v>
      </c>
      <c r="AW31" s="32">
        <f t="shared" si="11"/>
        <v>1</v>
      </c>
      <c r="AX31" s="32">
        <f t="shared" si="13"/>
        <v>1</v>
      </c>
      <c r="AY31" s="32">
        <f t="shared" si="17"/>
        <v>1</v>
      </c>
      <c r="AZ31" s="32">
        <f t="shared" si="19"/>
        <v>1</v>
      </c>
      <c r="BA31" s="32">
        <f t="shared" si="21"/>
        <v>1</v>
      </c>
      <c r="BB31" s="32">
        <f t="shared" si="24"/>
        <v>1</v>
      </c>
      <c r="BC31" s="32">
        <f t="shared" si="26"/>
        <v>1</v>
      </c>
      <c r="BD31" s="32">
        <f t="shared" si="28"/>
        <v>1</v>
      </c>
      <c r="BE31" s="32">
        <f t="shared" si="30"/>
        <v>1</v>
      </c>
      <c r="BF31" s="31">
        <v>1.1000000000000001</v>
      </c>
      <c r="BG31" s="32">
        <f t="shared" si="27"/>
        <v>1</v>
      </c>
      <c r="BH31" s="32">
        <f t="shared" si="27"/>
        <v>1</v>
      </c>
      <c r="BI31" s="32">
        <f t="shared" si="27"/>
        <v>1</v>
      </c>
      <c r="BJ31" s="32">
        <f t="shared" si="27"/>
        <v>1</v>
      </c>
      <c r="BK31" s="32">
        <f t="shared" si="31"/>
        <v>0</v>
      </c>
      <c r="BL31" s="32">
        <f t="shared" si="31"/>
        <v>0</v>
      </c>
      <c r="BM31" s="32">
        <f t="shared" si="31"/>
        <v>0</v>
      </c>
      <c r="BN31" s="32">
        <f t="shared" si="31"/>
        <v>0</v>
      </c>
      <c r="BO31" s="32">
        <f t="shared" si="31"/>
        <v>0</v>
      </c>
      <c r="BP31" s="15">
        <v>0</v>
      </c>
    </row>
    <row r="32" spans="1:68">
      <c r="A32" s="18"/>
      <c r="B32">
        <f t="shared" si="3"/>
        <v>27</v>
      </c>
      <c r="C32" t="b">
        <v>0</v>
      </c>
      <c r="D32" t="b">
        <v>0</v>
      </c>
      <c r="E32" t="b">
        <v>0</v>
      </c>
      <c r="F32" s="3" t="s">
        <v>51</v>
      </c>
      <c r="G32" s="26" t="str">
        <f>IF(MATCH(F32,F$5:F32,0)=(COUNTA(F$5:F32)),"-","Dup")</f>
        <v>-</v>
      </c>
      <c r="H32" s="32" t="str">
        <f t="shared" si="32"/>
        <v>-</v>
      </c>
      <c r="I32" s="32" t="b">
        <f t="shared" ref="I32:AE43" si="34">I$6</f>
        <v>0</v>
      </c>
      <c r="J32" s="32" t="b">
        <f t="shared" si="34"/>
        <v>1</v>
      </c>
      <c r="K32" s="32" t="str">
        <f t="shared" si="34"/>
        <v>-</v>
      </c>
      <c r="L32" s="32" t="str">
        <f t="shared" si="34"/>
        <v>-</v>
      </c>
      <c r="M32" s="32" t="str">
        <f t="shared" si="34"/>
        <v>-</v>
      </c>
      <c r="N32" s="32" t="str">
        <f t="shared" si="34"/>
        <v>-</v>
      </c>
      <c r="O32" s="32" t="str">
        <f t="shared" si="34"/>
        <v>-</v>
      </c>
      <c r="P32" s="32" t="str">
        <f t="shared" si="34"/>
        <v>-</v>
      </c>
      <c r="Q32" s="32" t="str">
        <f t="shared" si="34"/>
        <v>-</v>
      </c>
      <c r="R32" s="32" t="str">
        <f t="shared" si="34"/>
        <v>-</v>
      </c>
      <c r="S32" s="32" t="str">
        <f t="shared" si="34"/>
        <v>-</v>
      </c>
      <c r="T32" s="32" t="str">
        <f t="shared" si="34"/>
        <v>-</v>
      </c>
      <c r="U32" s="32" t="str">
        <f t="shared" si="34"/>
        <v>-</v>
      </c>
      <c r="V32" s="32" t="str">
        <f t="shared" si="34"/>
        <v>-</v>
      </c>
      <c r="W32" s="32" t="str">
        <f t="shared" si="34"/>
        <v>-</v>
      </c>
      <c r="X32" s="32" t="str">
        <f t="shared" si="34"/>
        <v>-</v>
      </c>
      <c r="Y32" s="32" t="str">
        <f t="shared" si="34"/>
        <v>-</v>
      </c>
      <c r="Z32" s="32" t="str">
        <f t="shared" si="34"/>
        <v>-</v>
      </c>
      <c r="AA32" s="32" t="str">
        <f t="shared" si="34"/>
        <v>-</v>
      </c>
      <c r="AB32" s="32" t="str">
        <f t="shared" si="34"/>
        <v>-</v>
      </c>
      <c r="AC32" s="32" t="str">
        <f t="shared" si="34"/>
        <v>-</v>
      </c>
      <c r="AD32" s="32" t="str">
        <f t="shared" si="34"/>
        <v>-</v>
      </c>
      <c r="AE32" s="32" t="str">
        <f t="shared" si="34"/>
        <v>-</v>
      </c>
      <c r="AF32" s="31">
        <v>200</v>
      </c>
      <c r="AG32" s="31" t="b">
        <v>1</v>
      </c>
      <c r="AH32" s="32" t="str">
        <f t="shared" ref="AH32:AT44" si="35">AH$6</f>
        <v>-</v>
      </c>
      <c r="AI32" s="32" t="str">
        <f t="shared" si="35"/>
        <v>-</v>
      </c>
      <c r="AJ32" s="32" t="str">
        <f t="shared" si="35"/>
        <v>-</v>
      </c>
      <c r="AK32" s="32" t="str">
        <f t="shared" si="35"/>
        <v>-</v>
      </c>
      <c r="AL32" s="32" t="str">
        <f t="shared" si="35"/>
        <v>-</v>
      </c>
      <c r="AM32" s="32" t="str">
        <f t="shared" si="35"/>
        <v>-</v>
      </c>
      <c r="AN32" s="32" t="str">
        <f t="shared" si="35"/>
        <v>-</v>
      </c>
      <c r="AO32" s="32" t="str">
        <f t="shared" si="35"/>
        <v>-</v>
      </c>
      <c r="AP32" s="32" t="str">
        <f t="shared" si="35"/>
        <v>-</v>
      </c>
      <c r="AQ32" s="32" t="str">
        <f t="shared" si="35"/>
        <v>-</v>
      </c>
      <c r="AR32" s="32" t="str">
        <f t="shared" si="35"/>
        <v>-</v>
      </c>
      <c r="AS32" s="32" t="str">
        <f t="shared" si="35"/>
        <v>-</v>
      </c>
      <c r="AT32" s="32" t="str">
        <f t="shared" si="35"/>
        <v>-</v>
      </c>
      <c r="AU32" s="32">
        <f t="shared" si="7"/>
        <v>1</v>
      </c>
      <c r="AV32" s="32">
        <f t="shared" si="9"/>
        <v>1</v>
      </c>
      <c r="AW32" s="32">
        <f t="shared" si="11"/>
        <v>1</v>
      </c>
      <c r="AX32" s="32">
        <f t="shared" si="13"/>
        <v>1</v>
      </c>
      <c r="AY32" s="32">
        <f t="shared" si="17"/>
        <v>1</v>
      </c>
      <c r="AZ32" s="32">
        <f t="shared" si="19"/>
        <v>1</v>
      </c>
      <c r="BA32" s="32">
        <f t="shared" si="21"/>
        <v>1</v>
      </c>
      <c r="BB32" s="32">
        <f t="shared" si="24"/>
        <v>1</v>
      </c>
      <c r="BC32" s="32">
        <f t="shared" si="26"/>
        <v>1</v>
      </c>
      <c r="BD32" s="32">
        <f t="shared" si="28"/>
        <v>1</v>
      </c>
      <c r="BE32" s="32">
        <f t="shared" si="30"/>
        <v>1</v>
      </c>
      <c r="BF32" s="32">
        <f t="shared" ref="BF32:BJ44" si="36">BF$6</f>
        <v>1</v>
      </c>
      <c r="BG32" s="32">
        <f t="shared" si="36"/>
        <v>1</v>
      </c>
      <c r="BH32" s="32">
        <f t="shared" si="36"/>
        <v>1</v>
      </c>
      <c r="BI32" s="32">
        <f t="shared" si="36"/>
        <v>1</v>
      </c>
      <c r="BJ32" s="32">
        <f t="shared" si="36"/>
        <v>1</v>
      </c>
      <c r="BK32" s="32">
        <f t="shared" si="31"/>
        <v>0</v>
      </c>
      <c r="BL32" s="32">
        <f t="shared" si="31"/>
        <v>0</v>
      </c>
      <c r="BM32" s="32">
        <f t="shared" si="31"/>
        <v>0</v>
      </c>
      <c r="BN32" s="32">
        <f t="shared" si="31"/>
        <v>0</v>
      </c>
      <c r="BO32" s="32">
        <f t="shared" si="31"/>
        <v>0</v>
      </c>
      <c r="BP32" s="15">
        <v>0</v>
      </c>
    </row>
    <row r="33" spans="1:68">
      <c r="A33" s="18"/>
      <c r="B33">
        <f t="shared" si="3"/>
        <v>28</v>
      </c>
      <c r="C33" t="b">
        <v>0</v>
      </c>
      <c r="D33" t="b">
        <v>0</v>
      </c>
      <c r="E33" t="b">
        <v>0</v>
      </c>
      <c r="F33" s="3" t="s">
        <v>52</v>
      </c>
      <c r="G33" s="26" t="str">
        <f>IF(MATCH(F33,F$5:F33,0)=(COUNTA(F$5:F33)),"-","Dup")</f>
        <v>-</v>
      </c>
      <c r="H33" s="32" t="str">
        <f t="shared" si="32"/>
        <v>-</v>
      </c>
      <c r="I33" s="32" t="b">
        <f t="shared" si="34"/>
        <v>0</v>
      </c>
      <c r="J33" s="32" t="b">
        <f t="shared" si="34"/>
        <v>1</v>
      </c>
      <c r="K33" s="32" t="str">
        <f t="shared" si="34"/>
        <v>-</v>
      </c>
      <c r="L33" s="32" t="str">
        <f t="shared" si="34"/>
        <v>-</v>
      </c>
      <c r="M33" s="32" t="str">
        <f t="shared" si="34"/>
        <v>-</v>
      </c>
      <c r="N33" s="32" t="str">
        <f t="shared" si="34"/>
        <v>-</v>
      </c>
      <c r="O33" s="32" t="str">
        <f t="shared" si="34"/>
        <v>-</v>
      </c>
      <c r="P33" s="32" t="str">
        <f t="shared" si="34"/>
        <v>-</v>
      </c>
      <c r="Q33" s="32" t="str">
        <f t="shared" si="34"/>
        <v>-</v>
      </c>
      <c r="R33" s="32" t="str">
        <f t="shared" si="34"/>
        <v>-</v>
      </c>
      <c r="S33" s="32" t="str">
        <f t="shared" si="34"/>
        <v>-</v>
      </c>
      <c r="T33" s="32" t="str">
        <f t="shared" si="34"/>
        <v>-</v>
      </c>
      <c r="U33" s="32" t="str">
        <f t="shared" si="34"/>
        <v>-</v>
      </c>
      <c r="V33" s="32" t="str">
        <f t="shared" si="34"/>
        <v>-</v>
      </c>
      <c r="W33" s="32" t="str">
        <f t="shared" si="34"/>
        <v>-</v>
      </c>
      <c r="X33" s="32" t="str">
        <f t="shared" si="34"/>
        <v>-</v>
      </c>
      <c r="Y33" s="32" t="str">
        <f t="shared" si="34"/>
        <v>-</v>
      </c>
      <c r="Z33" s="32" t="str">
        <f t="shared" si="34"/>
        <v>-</v>
      </c>
      <c r="AA33" s="32" t="str">
        <f t="shared" si="34"/>
        <v>-</v>
      </c>
      <c r="AB33" s="32" t="str">
        <f t="shared" si="34"/>
        <v>-</v>
      </c>
      <c r="AC33" s="32" t="str">
        <f t="shared" si="34"/>
        <v>-</v>
      </c>
      <c r="AD33" s="32" t="str">
        <f t="shared" si="34"/>
        <v>-</v>
      </c>
      <c r="AE33" s="32" t="str">
        <f t="shared" si="34"/>
        <v>-</v>
      </c>
      <c r="AF33" s="31">
        <v>800</v>
      </c>
      <c r="AG33" s="31" t="b">
        <v>1</v>
      </c>
      <c r="AH33" s="32" t="str">
        <f t="shared" si="35"/>
        <v>-</v>
      </c>
      <c r="AI33" s="32" t="str">
        <f t="shared" si="35"/>
        <v>-</v>
      </c>
      <c r="AJ33" s="32" t="str">
        <f t="shared" si="35"/>
        <v>-</v>
      </c>
      <c r="AK33" s="32" t="str">
        <f t="shared" si="35"/>
        <v>-</v>
      </c>
      <c r="AL33" s="32" t="str">
        <f t="shared" si="35"/>
        <v>-</v>
      </c>
      <c r="AM33" s="32" t="str">
        <f t="shared" si="35"/>
        <v>-</v>
      </c>
      <c r="AN33" s="32" t="str">
        <f t="shared" si="35"/>
        <v>-</v>
      </c>
      <c r="AO33" s="32" t="str">
        <f t="shared" si="35"/>
        <v>-</v>
      </c>
      <c r="AP33" s="32" t="str">
        <f t="shared" si="35"/>
        <v>-</v>
      </c>
      <c r="AQ33" s="32" t="str">
        <f t="shared" si="35"/>
        <v>-</v>
      </c>
      <c r="AR33" s="32" t="str">
        <f t="shared" si="35"/>
        <v>-</v>
      </c>
      <c r="AS33" s="32" t="str">
        <f t="shared" si="35"/>
        <v>-</v>
      </c>
      <c r="AT33" s="32" t="str">
        <f t="shared" si="35"/>
        <v>-</v>
      </c>
      <c r="AU33" s="32">
        <f t="shared" si="7"/>
        <v>1</v>
      </c>
      <c r="AV33" s="32">
        <f t="shared" si="9"/>
        <v>1</v>
      </c>
      <c r="AW33" s="32">
        <f t="shared" si="11"/>
        <v>1</v>
      </c>
      <c r="AX33" s="32">
        <f t="shared" si="13"/>
        <v>1</v>
      </c>
      <c r="AY33" s="32">
        <f t="shared" si="17"/>
        <v>1</v>
      </c>
      <c r="AZ33" s="32">
        <f t="shared" si="19"/>
        <v>1</v>
      </c>
      <c r="BA33" s="32">
        <f t="shared" si="21"/>
        <v>1</v>
      </c>
      <c r="BB33" s="32">
        <f t="shared" si="24"/>
        <v>1</v>
      </c>
      <c r="BC33" s="32">
        <f t="shared" si="26"/>
        <v>1</v>
      </c>
      <c r="BD33" s="32">
        <f t="shared" si="28"/>
        <v>1</v>
      </c>
      <c r="BE33" s="32">
        <f t="shared" si="30"/>
        <v>1</v>
      </c>
      <c r="BF33" s="32">
        <f t="shared" si="36"/>
        <v>1</v>
      </c>
      <c r="BG33" s="32">
        <f t="shared" si="36"/>
        <v>1</v>
      </c>
      <c r="BH33" s="32">
        <f t="shared" si="36"/>
        <v>1</v>
      </c>
      <c r="BI33" s="32">
        <f t="shared" si="36"/>
        <v>1</v>
      </c>
      <c r="BJ33" s="32">
        <f t="shared" si="36"/>
        <v>1</v>
      </c>
      <c r="BK33" s="32">
        <f t="shared" si="31"/>
        <v>0</v>
      </c>
      <c r="BL33" s="32">
        <f t="shared" si="31"/>
        <v>0</v>
      </c>
      <c r="BM33" s="32">
        <f t="shared" si="31"/>
        <v>0</v>
      </c>
      <c r="BN33" s="32">
        <f t="shared" si="31"/>
        <v>0</v>
      </c>
      <c r="BO33" s="32">
        <f t="shared" si="31"/>
        <v>0</v>
      </c>
      <c r="BP33" s="15">
        <v>0</v>
      </c>
    </row>
    <row r="34" spans="1:68">
      <c r="A34" s="18"/>
      <c r="B34">
        <f t="shared" si="3"/>
        <v>29</v>
      </c>
      <c r="C34" t="b">
        <v>0</v>
      </c>
      <c r="D34" t="b">
        <v>0</v>
      </c>
      <c r="E34" t="b">
        <v>0</v>
      </c>
      <c r="F34" s="3" t="s">
        <v>53</v>
      </c>
      <c r="G34" s="26" t="str">
        <f>IF(MATCH(F34,F$5:F34,0)=(COUNTA(F$5:F34)),"-","Dup")</f>
        <v>-</v>
      </c>
      <c r="H34" s="32" t="str">
        <f t="shared" si="32"/>
        <v>-</v>
      </c>
      <c r="I34" s="32" t="b">
        <f t="shared" si="34"/>
        <v>0</v>
      </c>
      <c r="J34" s="32" t="b">
        <f t="shared" si="34"/>
        <v>1</v>
      </c>
      <c r="K34" s="32" t="str">
        <f t="shared" si="34"/>
        <v>-</v>
      </c>
      <c r="L34" s="32" t="str">
        <f t="shared" si="34"/>
        <v>-</v>
      </c>
      <c r="M34" s="32" t="str">
        <f t="shared" si="34"/>
        <v>-</v>
      </c>
      <c r="N34" s="32" t="str">
        <f t="shared" si="34"/>
        <v>-</v>
      </c>
      <c r="O34" s="32" t="str">
        <f t="shared" si="34"/>
        <v>-</v>
      </c>
      <c r="P34" s="32" t="str">
        <f t="shared" si="34"/>
        <v>-</v>
      </c>
      <c r="Q34" s="32" t="str">
        <f t="shared" si="34"/>
        <v>-</v>
      </c>
      <c r="R34" s="32" t="str">
        <f t="shared" si="34"/>
        <v>-</v>
      </c>
      <c r="S34" s="32" t="str">
        <f t="shared" si="34"/>
        <v>-</v>
      </c>
      <c r="T34" s="32" t="str">
        <f t="shared" si="34"/>
        <v>-</v>
      </c>
      <c r="U34" s="32" t="str">
        <f t="shared" si="34"/>
        <v>-</v>
      </c>
      <c r="V34" s="32" t="str">
        <f t="shared" si="34"/>
        <v>-</v>
      </c>
      <c r="W34" s="32" t="str">
        <f t="shared" si="34"/>
        <v>-</v>
      </c>
      <c r="X34" s="32" t="str">
        <f t="shared" si="34"/>
        <v>-</v>
      </c>
      <c r="Y34" s="32" t="str">
        <f t="shared" si="34"/>
        <v>-</v>
      </c>
      <c r="Z34" s="32" t="str">
        <f t="shared" si="34"/>
        <v>-</v>
      </c>
      <c r="AA34" s="32" t="str">
        <f t="shared" si="34"/>
        <v>-</v>
      </c>
      <c r="AB34" s="32" t="str">
        <f t="shared" si="34"/>
        <v>-</v>
      </c>
      <c r="AC34" s="32" t="str">
        <f t="shared" si="34"/>
        <v>-</v>
      </c>
      <c r="AD34" s="32" t="str">
        <f t="shared" si="34"/>
        <v>-</v>
      </c>
      <c r="AE34" s="32" t="str">
        <f t="shared" si="34"/>
        <v>-</v>
      </c>
      <c r="AF34" s="31">
        <v>1200</v>
      </c>
      <c r="AG34" s="31" t="b">
        <v>1</v>
      </c>
      <c r="AH34" s="32" t="str">
        <f t="shared" si="35"/>
        <v>-</v>
      </c>
      <c r="AI34" s="32" t="str">
        <f t="shared" si="35"/>
        <v>-</v>
      </c>
      <c r="AJ34" s="32" t="str">
        <f t="shared" si="35"/>
        <v>-</v>
      </c>
      <c r="AK34" s="32" t="str">
        <f t="shared" si="35"/>
        <v>-</v>
      </c>
      <c r="AL34" s="32" t="str">
        <f t="shared" si="35"/>
        <v>-</v>
      </c>
      <c r="AM34" s="32" t="str">
        <f t="shared" si="35"/>
        <v>-</v>
      </c>
      <c r="AN34" s="32" t="str">
        <f t="shared" si="35"/>
        <v>-</v>
      </c>
      <c r="AO34" s="32" t="str">
        <f t="shared" si="35"/>
        <v>-</v>
      </c>
      <c r="AP34" s="32" t="str">
        <f t="shared" si="35"/>
        <v>-</v>
      </c>
      <c r="AQ34" s="32" t="str">
        <f t="shared" si="35"/>
        <v>-</v>
      </c>
      <c r="AR34" s="32" t="str">
        <f t="shared" si="35"/>
        <v>-</v>
      </c>
      <c r="AS34" s="32" t="str">
        <f t="shared" si="35"/>
        <v>-</v>
      </c>
      <c r="AT34" s="32" t="str">
        <f t="shared" si="35"/>
        <v>-</v>
      </c>
      <c r="AU34" s="32">
        <f t="shared" si="7"/>
        <v>1</v>
      </c>
      <c r="AV34" s="32">
        <f t="shared" si="9"/>
        <v>1</v>
      </c>
      <c r="AW34" s="32">
        <f t="shared" si="11"/>
        <v>1</v>
      </c>
      <c r="AX34" s="32">
        <f t="shared" si="13"/>
        <v>1</v>
      </c>
      <c r="AY34" s="32">
        <f t="shared" si="17"/>
        <v>1</v>
      </c>
      <c r="AZ34" s="32">
        <f t="shared" si="19"/>
        <v>1</v>
      </c>
      <c r="BA34" s="32">
        <f t="shared" si="21"/>
        <v>1</v>
      </c>
      <c r="BB34" s="32">
        <f t="shared" si="24"/>
        <v>1</v>
      </c>
      <c r="BC34" s="32">
        <f t="shared" si="26"/>
        <v>1</v>
      </c>
      <c r="BD34" s="32">
        <f t="shared" si="28"/>
        <v>1</v>
      </c>
      <c r="BE34" s="32">
        <f t="shared" si="30"/>
        <v>1</v>
      </c>
      <c r="BF34" s="32">
        <f t="shared" si="36"/>
        <v>1</v>
      </c>
      <c r="BG34" s="32">
        <f t="shared" si="36"/>
        <v>1</v>
      </c>
      <c r="BH34" s="32">
        <f t="shared" si="36"/>
        <v>1</v>
      </c>
      <c r="BI34" s="32">
        <f t="shared" si="36"/>
        <v>1</v>
      </c>
      <c r="BJ34" s="32">
        <f t="shared" si="36"/>
        <v>1</v>
      </c>
      <c r="BK34" s="32">
        <f t="shared" si="31"/>
        <v>0</v>
      </c>
      <c r="BL34" s="32">
        <f t="shared" si="31"/>
        <v>0</v>
      </c>
      <c r="BM34" s="32">
        <f t="shared" si="31"/>
        <v>0</v>
      </c>
      <c r="BN34" s="32">
        <f t="shared" si="31"/>
        <v>0</v>
      </c>
      <c r="BO34" s="32">
        <f t="shared" si="31"/>
        <v>0</v>
      </c>
      <c r="BP34" s="15">
        <v>0</v>
      </c>
    </row>
    <row r="35" spans="1:68">
      <c r="A35" s="18"/>
      <c r="B35">
        <f t="shared" si="3"/>
        <v>30</v>
      </c>
      <c r="C35" t="b">
        <v>0</v>
      </c>
      <c r="D35" t="b">
        <v>0</v>
      </c>
      <c r="E35" t="b">
        <v>0</v>
      </c>
      <c r="F35" s="3" t="s">
        <v>54</v>
      </c>
      <c r="G35" s="26" t="str">
        <f>IF(MATCH(F35,F$5:F35,0)=(COUNTA(F$5:F35)),"-","Dup")</f>
        <v>-</v>
      </c>
      <c r="H35" s="32" t="str">
        <f t="shared" si="32"/>
        <v>-</v>
      </c>
      <c r="I35" s="32" t="b">
        <f t="shared" si="34"/>
        <v>0</v>
      </c>
      <c r="J35" s="32" t="b">
        <f t="shared" si="34"/>
        <v>1</v>
      </c>
      <c r="K35" s="32" t="str">
        <f t="shared" si="34"/>
        <v>-</v>
      </c>
      <c r="L35" s="32" t="str">
        <f t="shared" si="34"/>
        <v>-</v>
      </c>
      <c r="M35" s="32" t="str">
        <f t="shared" si="34"/>
        <v>-</v>
      </c>
      <c r="N35" s="32" t="str">
        <f t="shared" si="34"/>
        <v>-</v>
      </c>
      <c r="O35" s="32" t="str">
        <f t="shared" si="34"/>
        <v>-</v>
      </c>
      <c r="P35" s="32" t="str">
        <f t="shared" si="34"/>
        <v>-</v>
      </c>
      <c r="Q35" s="32" t="str">
        <f t="shared" si="34"/>
        <v>-</v>
      </c>
      <c r="R35" s="32" t="str">
        <f t="shared" si="34"/>
        <v>-</v>
      </c>
      <c r="S35" s="32" t="str">
        <f t="shared" si="34"/>
        <v>-</v>
      </c>
      <c r="T35" s="32" t="str">
        <f t="shared" si="34"/>
        <v>-</v>
      </c>
      <c r="U35" s="32" t="str">
        <f t="shared" si="34"/>
        <v>-</v>
      </c>
      <c r="V35" s="32" t="str">
        <f t="shared" si="34"/>
        <v>-</v>
      </c>
      <c r="W35" s="32" t="str">
        <f t="shared" si="34"/>
        <v>-</v>
      </c>
      <c r="X35" s="32" t="str">
        <f t="shared" si="34"/>
        <v>-</v>
      </c>
      <c r="Y35" s="32" t="str">
        <f t="shared" si="34"/>
        <v>-</v>
      </c>
      <c r="Z35" s="32" t="str">
        <f t="shared" si="34"/>
        <v>-</v>
      </c>
      <c r="AA35" s="32" t="str">
        <f t="shared" si="34"/>
        <v>-</v>
      </c>
      <c r="AB35" s="32" t="str">
        <f t="shared" si="34"/>
        <v>-</v>
      </c>
      <c r="AC35" s="32" t="str">
        <f t="shared" si="34"/>
        <v>-</v>
      </c>
      <c r="AD35" s="32" t="str">
        <f t="shared" si="34"/>
        <v>-</v>
      </c>
      <c r="AE35" s="32" t="str">
        <f t="shared" si="34"/>
        <v>-</v>
      </c>
      <c r="AF35" s="31">
        <v>1600</v>
      </c>
      <c r="AG35" s="31" t="b">
        <v>1</v>
      </c>
      <c r="AH35" s="32" t="str">
        <f t="shared" si="35"/>
        <v>-</v>
      </c>
      <c r="AI35" s="32" t="str">
        <f t="shared" si="35"/>
        <v>-</v>
      </c>
      <c r="AJ35" s="32" t="str">
        <f t="shared" si="35"/>
        <v>-</v>
      </c>
      <c r="AK35" s="32" t="str">
        <f t="shared" si="35"/>
        <v>-</v>
      </c>
      <c r="AL35" s="32" t="str">
        <f t="shared" si="35"/>
        <v>-</v>
      </c>
      <c r="AM35" s="32" t="str">
        <f t="shared" si="35"/>
        <v>-</v>
      </c>
      <c r="AN35" s="32" t="str">
        <f t="shared" si="35"/>
        <v>-</v>
      </c>
      <c r="AO35" s="32" t="str">
        <f t="shared" si="35"/>
        <v>-</v>
      </c>
      <c r="AP35" s="32" t="str">
        <f t="shared" si="35"/>
        <v>-</v>
      </c>
      <c r="AQ35" s="32" t="str">
        <f t="shared" si="35"/>
        <v>-</v>
      </c>
      <c r="AR35" s="32" t="str">
        <f t="shared" si="35"/>
        <v>-</v>
      </c>
      <c r="AS35" s="32" t="str">
        <f t="shared" si="35"/>
        <v>-</v>
      </c>
      <c r="AT35" s="32" t="str">
        <f t="shared" si="35"/>
        <v>-</v>
      </c>
      <c r="AU35" s="32">
        <f t="shared" si="7"/>
        <v>1</v>
      </c>
      <c r="AV35" s="32">
        <f t="shared" si="9"/>
        <v>1</v>
      </c>
      <c r="AW35" s="32">
        <f t="shared" si="11"/>
        <v>1</v>
      </c>
      <c r="AX35" s="32">
        <f t="shared" si="13"/>
        <v>1</v>
      </c>
      <c r="AY35" s="32">
        <f t="shared" si="17"/>
        <v>1</v>
      </c>
      <c r="AZ35" s="32">
        <f t="shared" si="19"/>
        <v>1</v>
      </c>
      <c r="BA35" s="32">
        <f t="shared" si="21"/>
        <v>1</v>
      </c>
      <c r="BB35" s="32">
        <f t="shared" si="24"/>
        <v>1</v>
      </c>
      <c r="BC35" s="32">
        <f t="shared" si="26"/>
        <v>1</v>
      </c>
      <c r="BD35" s="32">
        <f t="shared" si="28"/>
        <v>1</v>
      </c>
      <c r="BE35" s="32">
        <f t="shared" si="30"/>
        <v>1</v>
      </c>
      <c r="BF35" s="32">
        <f t="shared" si="36"/>
        <v>1</v>
      </c>
      <c r="BG35" s="32">
        <f t="shared" si="36"/>
        <v>1</v>
      </c>
      <c r="BH35" s="32">
        <f t="shared" si="36"/>
        <v>1</v>
      </c>
      <c r="BI35" s="32">
        <f t="shared" si="36"/>
        <v>1</v>
      </c>
      <c r="BJ35" s="32">
        <f t="shared" si="36"/>
        <v>1</v>
      </c>
      <c r="BK35" s="32">
        <f t="shared" si="31"/>
        <v>0</v>
      </c>
      <c r="BL35" s="32">
        <f t="shared" si="31"/>
        <v>0</v>
      </c>
      <c r="BM35" s="32">
        <f t="shared" si="31"/>
        <v>0</v>
      </c>
      <c r="BN35" s="32">
        <f t="shared" si="31"/>
        <v>0</v>
      </c>
      <c r="BO35" s="32">
        <f t="shared" si="31"/>
        <v>0</v>
      </c>
      <c r="BP35" s="15">
        <v>0</v>
      </c>
    </row>
    <row r="36" spans="1:68">
      <c r="A36" s="18"/>
      <c r="B36">
        <f t="shared" si="3"/>
        <v>31</v>
      </c>
      <c r="C36" t="b">
        <v>0</v>
      </c>
      <c r="D36" t="b">
        <v>1</v>
      </c>
      <c r="E36" t="b">
        <v>0</v>
      </c>
      <c r="F36" s="3" t="s">
        <v>55</v>
      </c>
      <c r="G36" s="26" t="str">
        <f>IF(MATCH(F36,F$5:F36,0)=(COUNTA(F$5:F36)),"-","Dup")</f>
        <v>-</v>
      </c>
      <c r="H36" s="32" t="str">
        <f t="shared" si="32"/>
        <v>-</v>
      </c>
      <c r="I36" s="31" t="b">
        <v>1</v>
      </c>
      <c r="J36" s="31" t="b">
        <v>1</v>
      </c>
      <c r="K36" s="32" t="str">
        <f t="shared" si="34"/>
        <v>-</v>
      </c>
      <c r="L36" s="32" t="str">
        <f t="shared" si="34"/>
        <v>-</v>
      </c>
      <c r="M36" s="32" t="str">
        <f t="shared" si="34"/>
        <v>-</v>
      </c>
      <c r="N36" s="32" t="str">
        <f t="shared" ref="N36:AG38" si="37">N$6</f>
        <v>-</v>
      </c>
      <c r="O36" s="32" t="str">
        <f t="shared" si="37"/>
        <v>-</v>
      </c>
      <c r="P36" s="32" t="str">
        <f t="shared" si="37"/>
        <v>-</v>
      </c>
      <c r="Q36" s="32" t="str">
        <f t="shared" si="37"/>
        <v>-</v>
      </c>
      <c r="R36" s="32" t="str">
        <f t="shared" si="37"/>
        <v>-</v>
      </c>
      <c r="S36" s="32" t="str">
        <f t="shared" si="37"/>
        <v>-</v>
      </c>
      <c r="T36" s="32" t="str">
        <f t="shared" si="37"/>
        <v>-</v>
      </c>
      <c r="U36" s="32" t="str">
        <f t="shared" si="37"/>
        <v>-</v>
      </c>
      <c r="V36" s="32" t="str">
        <f t="shared" si="37"/>
        <v>-</v>
      </c>
      <c r="W36" s="32" t="str">
        <f t="shared" si="37"/>
        <v>-</v>
      </c>
      <c r="X36" s="32" t="str">
        <f t="shared" si="37"/>
        <v>-</v>
      </c>
      <c r="Y36" s="32" t="str">
        <f t="shared" si="37"/>
        <v>-</v>
      </c>
      <c r="Z36" s="32" t="str">
        <f t="shared" si="37"/>
        <v>-</v>
      </c>
      <c r="AA36" s="32" t="str">
        <f t="shared" si="37"/>
        <v>-</v>
      </c>
      <c r="AB36" s="32" t="str">
        <f t="shared" si="37"/>
        <v>-</v>
      </c>
      <c r="AC36" s="32" t="str">
        <f t="shared" si="37"/>
        <v>-</v>
      </c>
      <c r="AD36" s="32" t="str">
        <f t="shared" si="37"/>
        <v>-</v>
      </c>
      <c r="AE36" s="32" t="str">
        <f t="shared" si="37"/>
        <v>-</v>
      </c>
      <c r="AF36" s="32" t="str">
        <f t="shared" si="37"/>
        <v>-</v>
      </c>
      <c r="AG36" s="32" t="str">
        <f t="shared" si="37"/>
        <v>-</v>
      </c>
      <c r="AH36" s="32" t="str">
        <f t="shared" si="35"/>
        <v>-</v>
      </c>
      <c r="AI36" s="32" t="str">
        <f t="shared" si="35"/>
        <v>-</v>
      </c>
      <c r="AJ36" s="32" t="str">
        <f t="shared" si="35"/>
        <v>-</v>
      </c>
      <c r="AK36" s="32" t="str">
        <f t="shared" si="35"/>
        <v>-</v>
      </c>
      <c r="AL36" s="32" t="str">
        <f t="shared" si="35"/>
        <v>-</v>
      </c>
      <c r="AM36" s="32" t="str">
        <f t="shared" si="35"/>
        <v>-</v>
      </c>
      <c r="AN36" s="32" t="str">
        <f t="shared" si="35"/>
        <v>-</v>
      </c>
      <c r="AO36" s="32" t="str">
        <f t="shared" si="35"/>
        <v>-</v>
      </c>
      <c r="AP36" s="32" t="str">
        <f t="shared" si="35"/>
        <v>-</v>
      </c>
      <c r="AQ36" s="32" t="str">
        <f t="shared" si="35"/>
        <v>-</v>
      </c>
      <c r="AR36" s="32" t="str">
        <f t="shared" si="35"/>
        <v>-</v>
      </c>
      <c r="AS36" s="32" t="str">
        <f t="shared" si="35"/>
        <v>-</v>
      </c>
      <c r="AT36" s="32" t="str">
        <f t="shared" si="35"/>
        <v>-</v>
      </c>
      <c r="AU36" s="32">
        <f t="shared" si="7"/>
        <v>1</v>
      </c>
      <c r="AV36" s="32">
        <f t="shared" si="9"/>
        <v>1</v>
      </c>
      <c r="AW36" s="32">
        <f t="shared" si="11"/>
        <v>1</v>
      </c>
      <c r="AX36" s="32">
        <f t="shared" si="13"/>
        <v>1</v>
      </c>
      <c r="AY36" s="32">
        <f t="shared" si="17"/>
        <v>1</v>
      </c>
      <c r="AZ36" s="32">
        <f t="shared" si="19"/>
        <v>1</v>
      </c>
      <c r="BA36" s="32">
        <f t="shared" si="21"/>
        <v>1</v>
      </c>
      <c r="BB36" s="32">
        <f t="shared" si="24"/>
        <v>1</v>
      </c>
      <c r="BC36" s="32">
        <f t="shared" si="26"/>
        <v>1</v>
      </c>
      <c r="BD36" s="32">
        <f t="shared" si="28"/>
        <v>1</v>
      </c>
      <c r="BE36" s="32">
        <f t="shared" si="30"/>
        <v>1</v>
      </c>
      <c r="BF36" s="32">
        <f t="shared" si="36"/>
        <v>1</v>
      </c>
      <c r="BG36" s="32">
        <f t="shared" si="36"/>
        <v>1</v>
      </c>
      <c r="BH36" s="32">
        <f t="shared" si="36"/>
        <v>1</v>
      </c>
      <c r="BI36" s="32">
        <f t="shared" si="36"/>
        <v>1</v>
      </c>
      <c r="BJ36" s="32">
        <f t="shared" si="36"/>
        <v>1</v>
      </c>
      <c r="BK36" s="32">
        <f t="shared" si="31"/>
        <v>0</v>
      </c>
      <c r="BL36" s="32">
        <f t="shared" si="31"/>
        <v>0</v>
      </c>
      <c r="BM36" s="32">
        <f t="shared" si="31"/>
        <v>0</v>
      </c>
      <c r="BN36" s="32">
        <f t="shared" si="31"/>
        <v>0</v>
      </c>
      <c r="BO36" s="32">
        <f t="shared" si="31"/>
        <v>0</v>
      </c>
      <c r="BP36" s="15">
        <v>0</v>
      </c>
    </row>
    <row r="37" spans="1:68">
      <c r="A37" s="18"/>
      <c r="B37">
        <f t="shared" si="3"/>
        <v>32</v>
      </c>
      <c r="C37" t="b">
        <v>0</v>
      </c>
      <c r="D37" t="b">
        <v>1</v>
      </c>
      <c r="E37" t="b">
        <v>0</v>
      </c>
      <c r="F37" s="3" t="s">
        <v>60</v>
      </c>
      <c r="G37" s="26" t="str">
        <f>IF(MATCH(F37,F$5:F37,0)=(COUNTA(F$5:F37)),"-","Dup")</f>
        <v>-</v>
      </c>
      <c r="H37" s="32" t="str">
        <f t="shared" si="32"/>
        <v>-</v>
      </c>
      <c r="I37" s="31" t="b">
        <v>1</v>
      </c>
      <c r="J37" s="31" t="b">
        <v>0</v>
      </c>
      <c r="K37" s="32" t="str">
        <f t="shared" si="34"/>
        <v>-</v>
      </c>
      <c r="L37" s="32" t="str">
        <f t="shared" si="34"/>
        <v>-</v>
      </c>
      <c r="M37" s="32" t="str">
        <f t="shared" si="34"/>
        <v>-</v>
      </c>
      <c r="N37" s="32" t="str">
        <f t="shared" si="37"/>
        <v>-</v>
      </c>
      <c r="O37" s="32" t="str">
        <f t="shared" si="37"/>
        <v>-</v>
      </c>
      <c r="P37" s="32" t="str">
        <f t="shared" si="37"/>
        <v>-</v>
      </c>
      <c r="Q37" s="32" t="str">
        <f t="shared" si="37"/>
        <v>-</v>
      </c>
      <c r="R37" s="32" t="str">
        <f t="shared" si="37"/>
        <v>-</v>
      </c>
      <c r="S37" s="32" t="str">
        <f t="shared" si="37"/>
        <v>-</v>
      </c>
      <c r="T37" s="32" t="str">
        <f t="shared" si="37"/>
        <v>-</v>
      </c>
      <c r="U37" s="32" t="str">
        <f t="shared" si="37"/>
        <v>-</v>
      </c>
      <c r="V37" s="32" t="str">
        <f t="shared" si="37"/>
        <v>-</v>
      </c>
      <c r="W37" s="32" t="str">
        <f t="shared" si="37"/>
        <v>-</v>
      </c>
      <c r="X37" s="32" t="str">
        <f t="shared" si="37"/>
        <v>-</v>
      </c>
      <c r="Y37" s="32" t="str">
        <f t="shared" si="37"/>
        <v>-</v>
      </c>
      <c r="Z37" s="32" t="str">
        <f t="shared" si="37"/>
        <v>-</v>
      </c>
      <c r="AA37" s="32" t="str">
        <f t="shared" si="37"/>
        <v>-</v>
      </c>
      <c r="AB37" s="32" t="str">
        <f t="shared" si="37"/>
        <v>-</v>
      </c>
      <c r="AC37" s="32" t="str">
        <f t="shared" si="37"/>
        <v>-</v>
      </c>
      <c r="AD37" s="32" t="str">
        <f t="shared" si="37"/>
        <v>-</v>
      </c>
      <c r="AE37" s="32" t="str">
        <f t="shared" si="37"/>
        <v>-</v>
      </c>
      <c r="AF37" s="32" t="str">
        <f t="shared" si="37"/>
        <v>-</v>
      </c>
      <c r="AG37" s="32" t="str">
        <f t="shared" si="37"/>
        <v>-</v>
      </c>
      <c r="AH37" s="31" t="b">
        <v>1</v>
      </c>
      <c r="AI37" s="31" t="b">
        <v>0</v>
      </c>
      <c r="AJ37" s="31" t="b">
        <v>1</v>
      </c>
      <c r="AK37" s="32" t="str">
        <f t="shared" si="35"/>
        <v>-</v>
      </c>
      <c r="AL37" s="32" t="str">
        <f t="shared" si="35"/>
        <v>-</v>
      </c>
      <c r="AM37" s="32" t="str">
        <f t="shared" si="35"/>
        <v>-</v>
      </c>
      <c r="AN37" s="32" t="str">
        <f t="shared" si="35"/>
        <v>-</v>
      </c>
      <c r="AO37" s="32" t="str">
        <f t="shared" si="35"/>
        <v>-</v>
      </c>
      <c r="AP37" s="32" t="str">
        <f t="shared" si="35"/>
        <v>-</v>
      </c>
      <c r="AQ37" s="32" t="str">
        <f t="shared" si="35"/>
        <v>-</v>
      </c>
      <c r="AR37" s="32" t="str">
        <f t="shared" si="35"/>
        <v>-</v>
      </c>
      <c r="AS37" s="32" t="str">
        <f t="shared" si="35"/>
        <v>-</v>
      </c>
      <c r="AT37" s="32" t="str">
        <f t="shared" si="35"/>
        <v>-</v>
      </c>
      <c r="AU37" s="32">
        <f t="shared" si="7"/>
        <v>1</v>
      </c>
      <c r="AV37" s="32">
        <f t="shared" si="9"/>
        <v>1</v>
      </c>
      <c r="AW37" s="32">
        <f t="shared" si="11"/>
        <v>1</v>
      </c>
      <c r="AX37" s="32">
        <f t="shared" si="13"/>
        <v>1</v>
      </c>
      <c r="AY37" s="32">
        <f t="shared" si="17"/>
        <v>1</v>
      </c>
      <c r="AZ37" s="32">
        <f t="shared" si="19"/>
        <v>1</v>
      </c>
      <c r="BA37" s="32">
        <f t="shared" si="21"/>
        <v>1</v>
      </c>
      <c r="BB37" s="32">
        <f t="shared" si="24"/>
        <v>1</v>
      </c>
      <c r="BC37" s="32">
        <f t="shared" si="26"/>
        <v>1</v>
      </c>
      <c r="BD37" s="32">
        <f t="shared" si="28"/>
        <v>1</v>
      </c>
      <c r="BE37" s="32">
        <f t="shared" si="30"/>
        <v>1</v>
      </c>
      <c r="BF37" s="32">
        <f t="shared" si="36"/>
        <v>1</v>
      </c>
      <c r="BG37" s="32">
        <f t="shared" si="36"/>
        <v>1</v>
      </c>
      <c r="BH37" s="32">
        <f t="shared" si="36"/>
        <v>1</v>
      </c>
      <c r="BI37" s="32">
        <f t="shared" si="36"/>
        <v>1</v>
      </c>
      <c r="BJ37" s="32">
        <f t="shared" si="36"/>
        <v>1</v>
      </c>
      <c r="BK37" s="32">
        <f t="shared" si="31"/>
        <v>0</v>
      </c>
      <c r="BL37" s="32">
        <f t="shared" si="31"/>
        <v>0</v>
      </c>
      <c r="BM37" s="32">
        <f t="shared" si="31"/>
        <v>0</v>
      </c>
      <c r="BN37" s="32">
        <f t="shared" si="31"/>
        <v>0</v>
      </c>
      <c r="BO37" s="32">
        <f t="shared" si="31"/>
        <v>0</v>
      </c>
      <c r="BP37" s="15">
        <v>0</v>
      </c>
    </row>
    <row r="38" spans="1:68">
      <c r="A38" s="18"/>
      <c r="B38">
        <f t="shared" si="3"/>
        <v>33</v>
      </c>
      <c r="C38" t="b">
        <v>0</v>
      </c>
      <c r="D38" t="b">
        <v>1</v>
      </c>
      <c r="E38" t="b">
        <v>0</v>
      </c>
      <c r="F38" s="3" t="s">
        <v>61</v>
      </c>
      <c r="G38" s="26" t="str">
        <f>IF(MATCH(F38,F$5:F38,0)=(COUNTA(F$5:F38)),"-","Dup")</f>
        <v>-</v>
      </c>
      <c r="H38" s="32" t="str">
        <f t="shared" si="32"/>
        <v>-</v>
      </c>
      <c r="I38" s="31" t="b">
        <v>0</v>
      </c>
      <c r="J38" s="31" t="b">
        <v>1</v>
      </c>
      <c r="K38" s="32" t="str">
        <f t="shared" si="34"/>
        <v>-</v>
      </c>
      <c r="L38" s="32" t="str">
        <f t="shared" si="34"/>
        <v>-</v>
      </c>
      <c r="M38" s="32" t="str">
        <f t="shared" si="34"/>
        <v>-</v>
      </c>
      <c r="N38" s="32" t="str">
        <f t="shared" si="37"/>
        <v>-</v>
      </c>
      <c r="O38" s="32" t="str">
        <f t="shared" si="37"/>
        <v>-</v>
      </c>
      <c r="P38" s="32" t="str">
        <f t="shared" si="37"/>
        <v>-</v>
      </c>
      <c r="Q38" s="32" t="str">
        <f t="shared" si="37"/>
        <v>-</v>
      </c>
      <c r="R38" s="32" t="str">
        <f t="shared" si="37"/>
        <v>-</v>
      </c>
      <c r="S38" s="32" t="str">
        <f t="shared" si="37"/>
        <v>-</v>
      </c>
      <c r="T38" s="32" t="str">
        <f t="shared" si="37"/>
        <v>-</v>
      </c>
      <c r="U38" s="32" t="str">
        <f t="shared" si="37"/>
        <v>-</v>
      </c>
      <c r="V38" s="32" t="str">
        <f t="shared" si="37"/>
        <v>-</v>
      </c>
      <c r="W38" s="32" t="str">
        <f t="shared" si="37"/>
        <v>-</v>
      </c>
      <c r="X38" s="32" t="str">
        <f t="shared" si="37"/>
        <v>-</v>
      </c>
      <c r="Y38" s="32" t="str">
        <f t="shared" si="37"/>
        <v>-</v>
      </c>
      <c r="Z38" s="32" t="str">
        <f t="shared" si="37"/>
        <v>-</v>
      </c>
      <c r="AA38" s="32" t="str">
        <f t="shared" si="37"/>
        <v>-</v>
      </c>
      <c r="AB38" s="32" t="str">
        <f t="shared" si="37"/>
        <v>-</v>
      </c>
      <c r="AC38" s="32" t="str">
        <f t="shared" si="37"/>
        <v>-</v>
      </c>
      <c r="AD38" s="32" t="str">
        <f t="shared" si="37"/>
        <v>-</v>
      </c>
      <c r="AE38" s="32" t="str">
        <f t="shared" si="37"/>
        <v>-</v>
      </c>
      <c r="AF38" s="32" t="str">
        <f t="shared" si="37"/>
        <v>-</v>
      </c>
      <c r="AG38" s="32" t="str">
        <f t="shared" si="37"/>
        <v>-</v>
      </c>
      <c r="AH38" s="32" t="str">
        <f t="shared" ref="AH38:AJ39" si="38">AH$6</f>
        <v>-</v>
      </c>
      <c r="AI38" s="32" t="str">
        <f t="shared" si="38"/>
        <v>-</v>
      </c>
      <c r="AJ38" s="32" t="str">
        <f t="shared" si="38"/>
        <v>-</v>
      </c>
      <c r="AK38" s="32" t="str">
        <f t="shared" si="35"/>
        <v>-</v>
      </c>
      <c r="AL38" s="32" t="str">
        <f t="shared" si="35"/>
        <v>-</v>
      </c>
      <c r="AM38" s="32" t="str">
        <f t="shared" si="35"/>
        <v>-</v>
      </c>
      <c r="AN38" s="32" t="str">
        <f t="shared" si="35"/>
        <v>-</v>
      </c>
      <c r="AO38" s="32" t="str">
        <f t="shared" si="35"/>
        <v>-</v>
      </c>
      <c r="AP38" s="32" t="str">
        <f t="shared" si="35"/>
        <v>-</v>
      </c>
      <c r="AQ38" s="32" t="str">
        <f t="shared" si="35"/>
        <v>-</v>
      </c>
      <c r="AR38" s="32" t="str">
        <f t="shared" si="35"/>
        <v>-</v>
      </c>
      <c r="AS38" s="32" t="str">
        <f t="shared" si="35"/>
        <v>-</v>
      </c>
      <c r="AT38" s="32" t="str">
        <f t="shared" si="35"/>
        <v>-</v>
      </c>
      <c r="AU38" s="32">
        <f t="shared" si="7"/>
        <v>1</v>
      </c>
      <c r="AV38" s="32">
        <f t="shared" si="9"/>
        <v>1</v>
      </c>
      <c r="AW38" s="32">
        <f t="shared" si="11"/>
        <v>1</v>
      </c>
      <c r="AX38" s="32">
        <f t="shared" si="13"/>
        <v>1</v>
      </c>
      <c r="AY38" s="32">
        <f t="shared" si="17"/>
        <v>1</v>
      </c>
      <c r="AZ38" s="32">
        <f t="shared" si="19"/>
        <v>1</v>
      </c>
      <c r="BA38" s="32">
        <f t="shared" si="21"/>
        <v>1</v>
      </c>
      <c r="BB38" s="32">
        <f t="shared" si="24"/>
        <v>1</v>
      </c>
      <c r="BC38" s="32">
        <f t="shared" si="26"/>
        <v>1</v>
      </c>
      <c r="BD38" s="32">
        <f t="shared" si="28"/>
        <v>1</v>
      </c>
      <c r="BE38" s="32">
        <f t="shared" si="30"/>
        <v>1</v>
      </c>
      <c r="BF38" s="32">
        <f t="shared" si="36"/>
        <v>1</v>
      </c>
      <c r="BG38" s="32">
        <f t="shared" si="36"/>
        <v>1</v>
      </c>
      <c r="BH38" s="32">
        <f t="shared" si="36"/>
        <v>1</v>
      </c>
      <c r="BI38" s="32">
        <f t="shared" si="36"/>
        <v>1</v>
      </c>
      <c r="BJ38" s="32">
        <f t="shared" si="36"/>
        <v>1</v>
      </c>
      <c r="BK38" s="32">
        <f t="shared" si="31"/>
        <v>0</v>
      </c>
      <c r="BL38" s="32">
        <f t="shared" si="31"/>
        <v>0</v>
      </c>
      <c r="BM38" s="32">
        <f t="shared" si="31"/>
        <v>0</v>
      </c>
      <c r="BN38" s="32">
        <f t="shared" si="31"/>
        <v>0</v>
      </c>
      <c r="BO38" s="32">
        <f t="shared" si="31"/>
        <v>0</v>
      </c>
      <c r="BP38" s="15">
        <v>0</v>
      </c>
    </row>
    <row r="39" spans="1:68">
      <c r="A39" s="18"/>
      <c r="B39">
        <f t="shared" si="3"/>
        <v>34</v>
      </c>
      <c r="C39" t="b">
        <v>0</v>
      </c>
      <c r="D39" t="b">
        <v>0</v>
      </c>
      <c r="E39" t="b">
        <v>0</v>
      </c>
      <c r="F39" s="3" t="s">
        <v>59</v>
      </c>
      <c r="G39" s="26" t="str">
        <f>IF(MATCH(F39,F$5:F39,0)=(COUNTA(F$5:F39)),"-","Dup")</f>
        <v>-</v>
      </c>
      <c r="H39" s="32" t="str">
        <f t="shared" si="32"/>
        <v>-</v>
      </c>
      <c r="I39" s="32" t="b">
        <f>I$6</f>
        <v>0</v>
      </c>
      <c r="J39" s="32" t="b">
        <f>J$6</f>
        <v>1</v>
      </c>
      <c r="K39" s="32" t="str">
        <f t="shared" si="34"/>
        <v>-</v>
      </c>
      <c r="L39" s="32" t="str">
        <f t="shared" si="34"/>
        <v>-</v>
      </c>
      <c r="M39" s="32" t="str">
        <f t="shared" si="34"/>
        <v>-</v>
      </c>
      <c r="N39" s="32" t="str">
        <f>N$6</f>
        <v>-</v>
      </c>
      <c r="O39" s="32" t="str">
        <f>O$6</f>
        <v>-</v>
      </c>
      <c r="P39" s="31" t="b">
        <v>1</v>
      </c>
      <c r="Q39" s="32" t="str">
        <f t="shared" ref="Q39:AG44" si="39">Q$6</f>
        <v>-</v>
      </c>
      <c r="R39" s="32" t="str">
        <f t="shared" si="39"/>
        <v>-</v>
      </c>
      <c r="S39" s="32" t="str">
        <f t="shared" si="39"/>
        <v>-</v>
      </c>
      <c r="T39" s="32" t="str">
        <f t="shared" si="39"/>
        <v>-</v>
      </c>
      <c r="U39" s="32" t="str">
        <f t="shared" si="39"/>
        <v>-</v>
      </c>
      <c r="V39" s="32" t="str">
        <f t="shared" si="39"/>
        <v>-</v>
      </c>
      <c r="W39" s="32" t="str">
        <f t="shared" si="39"/>
        <v>-</v>
      </c>
      <c r="X39" s="32" t="str">
        <f t="shared" si="39"/>
        <v>-</v>
      </c>
      <c r="Y39" s="32" t="str">
        <f t="shared" si="39"/>
        <v>-</v>
      </c>
      <c r="Z39" s="32" t="str">
        <f t="shared" si="39"/>
        <v>-</v>
      </c>
      <c r="AA39" s="32" t="str">
        <f t="shared" si="39"/>
        <v>-</v>
      </c>
      <c r="AB39" s="32" t="str">
        <f t="shared" si="39"/>
        <v>-</v>
      </c>
      <c r="AC39" s="32" t="str">
        <f t="shared" si="39"/>
        <v>-</v>
      </c>
      <c r="AD39" s="32" t="str">
        <f t="shared" si="39"/>
        <v>-</v>
      </c>
      <c r="AE39" s="32" t="str">
        <f t="shared" si="39"/>
        <v>-</v>
      </c>
      <c r="AF39" s="32" t="str">
        <f t="shared" si="39"/>
        <v>-</v>
      </c>
      <c r="AG39" s="32" t="str">
        <f t="shared" si="39"/>
        <v>-</v>
      </c>
      <c r="AH39" s="32" t="str">
        <f t="shared" si="38"/>
        <v>-</v>
      </c>
      <c r="AI39" s="32" t="str">
        <f t="shared" si="38"/>
        <v>-</v>
      </c>
      <c r="AJ39" s="32" t="str">
        <f t="shared" si="38"/>
        <v>-</v>
      </c>
      <c r="AK39" s="32" t="str">
        <f t="shared" si="35"/>
        <v>-</v>
      </c>
      <c r="AL39" s="32" t="str">
        <f t="shared" si="35"/>
        <v>-</v>
      </c>
      <c r="AM39" s="32" t="str">
        <f t="shared" si="35"/>
        <v>-</v>
      </c>
      <c r="AN39" s="32" t="str">
        <f t="shared" si="35"/>
        <v>-</v>
      </c>
      <c r="AO39" s="32" t="str">
        <f t="shared" si="35"/>
        <v>-</v>
      </c>
      <c r="AP39" s="32" t="str">
        <f t="shared" si="35"/>
        <v>-</v>
      </c>
      <c r="AQ39" s="32" t="str">
        <f t="shared" si="35"/>
        <v>-</v>
      </c>
      <c r="AR39" s="32" t="str">
        <f t="shared" si="35"/>
        <v>-</v>
      </c>
      <c r="AS39" s="32" t="str">
        <f t="shared" si="35"/>
        <v>-</v>
      </c>
      <c r="AT39" s="32" t="str">
        <f t="shared" si="35"/>
        <v>-</v>
      </c>
      <c r="AU39" s="32">
        <f t="shared" si="7"/>
        <v>1</v>
      </c>
      <c r="AV39" s="32">
        <f t="shared" si="9"/>
        <v>1</v>
      </c>
      <c r="AW39" s="32">
        <f t="shared" si="11"/>
        <v>1</v>
      </c>
      <c r="AX39" s="32">
        <f t="shared" si="13"/>
        <v>1</v>
      </c>
      <c r="AY39" s="32">
        <f t="shared" si="17"/>
        <v>1</v>
      </c>
      <c r="AZ39" s="32">
        <f t="shared" si="19"/>
        <v>1</v>
      </c>
      <c r="BA39" s="32">
        <f t="shared" si="21"/>
        <v>1</v>
      </c>
      <c r="BB39" s="32">
        <f t="shared" si="24"/>
        <v>1</v>
      </c>
      <c r="BC39" s="32">
        <f t="shared" si="26"/>
        <v>1</v>
      </c>
      <c r="BD39" s="32">
        <f t="shared" si="28"/>
        <v>1</v>
      </c>
      <c r="BE39" s="32">
        <f t="shared" si="30"/>
        <v>1</v>
      </c>
      <c r="BF39" s="32">
        <f t="shared" si="36"/>
        <v>1</v>
      </c>
      <c r="BG39" s="32">
        <f t="shared" si="36"/>
        <v>1</v>
      </c>
      <c r="BH39" s="32">
        <f t="shared" si="36"/>
        <v>1</v>
      </c>
      <c r="BI39" s="32">
        <f t="shared" si="36"/>
        <v>1</v>
      </c>
      <c r="BJ39" s="32">
        <f t="shared" si="36"/>
        <v>1</v>
      </c>
      <c r="BK39" s="32">
        <f t="shared" si="31"/>
        <v>0</v>
      </c>
      <c r="BL39" s="32">
        <f t="shared" si="31"/>
        <v>0</v>
      </c>
      <c r="BM39" s="32">
        <f t="shared" si="31"/>
        <v>0</v>
      </c>
      <c r="BN39" s="32">
        <f t="shared" si="31"/>
        <v>0</v>
      </c>
      <c r="BO39" s="32">
        <f t="shared" si="31"/>
        <v>0</v>
      </c>
      <c r="BP39" s="15">
        <v>0</v>
      </c>
    </row>
    <row r="40" spans="1:68">
      <c r="A40" s="18"/>
      <c r="B40">
        <f t="shared" si="3"/>
        <v>35</v>
      </c>
      <c r="C40" t="b">
        <v>0</v>
      </c>
      <c r="D40" t="b">
        <v>1</v>
      </c>
      <c r="E40" t="b">
        <v>0</v>
      </c>
      <c r="F40" s="3" t="s">
        <v>68</v>
      </c>
      <c r="G40" s="26" t="str">
        <f>IF(MATCH(F40,F$5:F40,0)=(COUNTA(F$5:F40)),"-","Dup")</f>
        <v>-</v>
      </c>
      <c r="H40" s="32" t="str">
        <f t="shared" si="32"/>
        <v>-</v>
      </c>
      <c r="I40" s="31" t="b">
        <v>1</v>
      </c>
      <c r="J40" s="31" t="b">
        <v>0</v>
      </c>
      <c r="K40" s="32" t="str">
        <f t="shared" si="34"/>
        <v>-</v>
      </c>
      <c r="L40" s="32" t="str">
        <f t="shared" si="34"/>
        <v>-</v>
      </c>
      <c r="M40" s="32" t="str">
        <f t="shared" si="34"/>
        <v>-</v>
      </c>
      <c r="N40" s="32" t="str">
        <f t="shared" ref="N40:P44" si="40">N$6</f>
        <v>-</v>
      </c>
      <c r="O40" s="32" t="str">
        <f t="shared" si="40"/>
        <v>-</v>
      </c>
      <c r="P40" s="32" t="str">
        <f t="shared" si="40"/>
        <v>-</v>
      </c>
      <c r="Q40" s="32" t="str">
        <f t="shared" si="39"/>
        <v>-</v>
      </c>
      <c r="R40" s="32" t="str">
        <f t="shared" si="39"/>
        <v>-</v>
      </c>
      <c r="S40" s="32" t="str">
        <f t="shared" si="39"/>
        <v>-</v>
      </c>
      <c r="T40" s="32" t="str">
        <f t="shared" si="39"/>
        <v>-</v>
      </c>
      <c r="U40" s="32" t="str">
        <f t="shared" si="39"/>
        <v>-</v>
      </c>
      <c r="V40" s="32" t="str">
        <f t="shared" si="39"/>
        <v>-</v>
      </c>
      <c r="W40" s="32" t="str">
        <f t="shared" si="39"/>
        <v>-</v>
      </c>
      <c r="X40" s="32" t="str">
        <f t="shared" si="39"/>
        <v>-</v>
      </c>
      <c r="Y40" s="32" t="str">
        <f t="shared" si="39"/>
        <v>-</v>
      </c>
      <c r="Z40" s="32" t="str">
        <f t="shared" si="39"/>
        <v>-</v>
      </c>
      <c r="AA40" s="32" t="str">
        <f t="shared" si="39"/>
        <v>-</v>
      </c>
      <c r="AB40" s="32" t="str">
        <f t="shared" si="39"/>
        <v>-</v>
      </c>
      <c r="AC40" s="32" t="str">
        <f t="shared" si="39"/>
        <v>-</v>
      </c>
      <c r="AD40" s="32" t="str">
        <f t="shared" si="39"/>
        <v>-</v>
      </c>
      <c r="AE40" s="32" t="str">
        <f t="shared" si="39"/>
        <v>-</v>
      </c>
      <c r="AF40" s="32" t="str">
        <f t="shared" si="39"/>
        <v>-</v>
      </c>
      <c r="AG40" s="32" t="str">
        <f t="shared" si="39"/>
        <v>-</v>
      </c>
      <c r="AH40" s="31" t="b">
        <v>1</v>
      </c>
      <c r="AI40" s="31" t="b">
        <v>0</v>
      </c>
      <c r="AJ40" s="31" t="b">
        <v>1</v>
      </c>
      <c r="AK40" s="32" t="str">
        <f t="shared" si="35"/>
        <v>-</v>
      </c>
      <c r="AL40" s="32" t="str">
        <f t="shared" si="35"/>
        <v>-</v>
      </c>
      <c r="AM40" s="32" t="str">
        <f t="shared" si="35"/>
        <v>-</v>
      </c>
      <c r="AN40" s="32" t="str">
        <f t="shared" si="35"/>
        <v>-</v>
      </c>
      <c r="AO40" s="32" t="str">
        <f t="shared" si="35"/>
        <v>-</v>
      </c>
      <c r="AP40" s="32" t="str">
        <f t="shared" si="35"/>
        <v>-</v>
      </c>
      <c r="AQ40" s="32" t="str">
        <f t="shared" si="35"/>
        <v>-</v>
      </c>
      <c r="AR40" s="32" t="str">
        <f t="shared" si="35"/>
        <v>-</v>
      </c>
      <c r="AS40" s="32" t="str">
        <f t="shared" si="35"/>
        <v>-</v>
      </c>
      <c r="AT40" s="32" t="str">
        <f t="shared" si="35"/>
        <v>-</v>
      </c>
      <c r="AU40" s="32">
        <f t="shared" si="7"/>
        <v>1</v>
      </c>
      <c r="AV40" s="32">
        <f t="shared" si="9"/>
        <v>1</v>
      </c>
      <c r="AW40" s="32">
        <f t="shared" si="11"/>
        <v>1</v>
      </c>
      <c r="AX40" s="32">
        <f t="shared" si="13"/>
        <v>1</v>
      </c>
      <c r="AY40" s="32">
        <f t="shared" si="17"/>
        <v>1</v>
      </c>
      <c r="AZ40" s="32">
        <f t="shared" si="19"/>
        <v>1</v>
      </c>
      <c r="BA40" s="32">
        <f t="shared" si="21"/>
        <v>1</v>
      </c>
      <c r="BB40" s="32">
        <f t="shared" si="24"/>
        <v>1</v>
      </c>
      <c r="BC40" s="32">
        <f t="shared" si="26"/>
        <v>1</v>
      </c>
      <c r="BD40" s="32">
        <f t="shared" si="28"/>
        <v>1</v>
      </c>
      <c r="BE40" s="32">
        <f t="shared" si="30"/>
        <v>1</v>
      </c>
      <c r="BF40" s="32">
        <f t="shared" si="36"/>
        <v>1</v>
      </c>
      <c r="BG40" s="32">
        <f t="shared" si="36"/>
        <v>1</v>
      </c>
      <c r="BH40" s="32">
        <f t="shared" si="36"/>
        <v>1</v>
      </c>
      <c r="BI40" s="32">
        <f t="shared" si="36"/>
        <v>1</v>
      </c>
      <c r="BJ40" s="32">
        <f t="shared" si="36"/>
        <v>1</v>
      </c>
      <c r="BK40" s="32">
        <f t="shared" si="31"/>
        <v>0</v>
      </c>
      <c r="BL40" s="32">
        <f t="shared" si="31"/>
        <v>0</v>
      </c>
      <c r="BM40" s="32">
        <f t="shared" si="31"/>
        <v>0</v>
      </c>
      <c r="BN40" s="32">
        <f t="shared" si="31"/>
        <v>0</v>
      </c>
      <c r="BO40" s="32">
        <f t="shared" si="31"/>
        <v>0</v>
      </c>
      <c r="BP40" s="15">
        <v>0</v>
      </c>
    </row>
    <row r="41" spans="1:68">
      <c r="A41" s="18"/>
      <c r="B41">
        <f t="shared" si="3"/>
        <v>36</v>
      </c>
      <c r="C41" t="b">
        <v>0</v>
      </c>
      <c r="D41" t="b">
        <v>1</v>
      </c>
      <c r="E41" t="b">
        <v>0</v>
      </c>
      <c r="F41" s="3" t="s">
        <v>74</v>
      </c>
      <c r="G41" s="26" t="str">
        <f>IF(MATCH(F41,F$5:F41,0)=(COUNTA(F$5:F41)),"-","Dup")</f>
        <v>-</v>
      </c>
      <c r="H41" s="32" t="str">
        <f t="shared" si="32"/>
        <v>-</v>
      </c>
      <c r="I41" s="32" t="b">
        <f t="shared" si="32"/>
        <v>0</v>
      </c>
      <c r="J41" s="32" t="b">
        <f t="shared" si="32"/>
        <v>1</v>
      </c>
      <c r="K41" s="32" t="str">
        <f t="shared" si="34"/>
        <v>-</v>
      </c>
      <c r="L41" s="32" t="str">
        <f t="shared" si="34"/>
        <v>-</v>
      </c>
      <c r="M41" s="32" t="str">
        <f t="shared" si="34"/>
        <v>-</v>
      </c>
      <c r="N41" s="32" t="str">
        <f t="shared" si="40"/>
        <v>-</v>
      </c>
      <c r="O41" s="32" t="str">
        <f t="shared" si="40"/>
        <v>-</v>
      </c>
      <c r="P41" s="32" t="str">
        <f t="shared" si="40"/>
        <v>-</v>
      </c>
      <c r="Q41" s="32" t="str">
        <f t="shared" si="39"/>
        <v>-</v>
      </c>
      <c r="R41" s="32" t="str">
        <f t="shared" si="39"/>
        <v>-</v>
      </c>
      <c r="S41" s="32" t="str">
        <f t="shared" si="39"/>
        <v>-</v>
      </c>
      <c r="T41" s="32" t="str">
        <f t="shared" si="39"/>
        <v>-</v>
      </c>
      <c r="U41" s="32" t="str">
        <f t="shared" si="39"/>
        <v>-</v>
      </c>
      <c r="V41" s="32" t="str">
        <f t="shared" si="39"/>
        <v>-</v>
      </c>
      <c r="W41" s="32" t="str">
        <f t="shared" si="39"/>
        <v>-</v>
      </c>
      <c r="X41" s="32" t="str">
        <f t="shared" si="39"/>
        <v>-</v>
      </c>
      <c r="Y41" s="32" t="str">
        <f t="shared" si="39"/>
        <v>-</v>
      </c>
      <c r="Z41" s="32" t="str">
        <f t="shared" si="39"/>
        <v>-</v>
      </c>
      <c r="AA41" s="32" t="str">
        <f t="shared" si="39"/>
        <v>-</v>
      </c>
      <c r="AB41" s="32" t="str">
        <f t="shared" si="39"/>
        <v>-</v>
      </c>
      <c r="AC41" s="32" t="str">
        <f t="shared" si="39"/>
        <v>-</v>
      </c>
      <c r="AD41" s="32" t="str">
        <f t="shared" si="39"/>
        <v>-</v>
      </c>
      <c r="AE41" s="32" t="str">
        <f t="shared" si="39"/>
        <v>-</v>
      </c>
      <c r="AF41" s="32" t="str">
        <f t="shared" si="39"/>
        <v>-</v>
      </c>
      <c r="AG41" s="32" t="str">
        <f t="shared" si="39"/>
        <v>-</v>
      </c>
      <c r="AH41" s="31" t="b">
        <v>1</v>
      </c>
      <c r="AI41" s="31" t="b">
        <v>0</v>
      </c>
      <c r="AJ41" s="31" t="b">
        <v>1</v>
      </c>
      <c r="AK41" s="32" t="str">
        <f t="shared" si="35"/>
        <v>-</v>
      </c>
      <c r="AL41" s="32" t="str">
        <f t="shared" si="35"/>
        <v>-</v>
      </c>
      <c r="AM41" s="32" t="str">
        <f t="shared" si="35"/>
        <v>-</v>
      </c>
      <c r="AN41" s="32" t="str">
        <f t="shared" si="35"/>
        <v>-</v>
      </c>
      <c r="AO41" s="32" t="str">
        <f t="shared" si="35"/>
        <v>-</v>
      </c>
      <c r="AP41" s="32" t="str">
        <f t="shared" si="35"/>
        <v>-</v>
      </c>
      <c r="AQ41" s="32" t="str">
        <f t="shared" si="35"/>
        <v>-</v>
      </c>
      <c r="AR41" s="32" t="str">
        <f t="shared" si="35"/>
        <v>-</v>
      </c>
      <c r="AS41" s="32" t="str">
        <f t="shared" si="35"/>
        <v>-</v>
      </c>
      <c r="AT41" s="32" t="str">
        <f t="shared" si="35"/>
        <v>-</v>
      </c>
      <c r="AU41" s="32">
        <f t="shared" si="7"/>
        <v>1</v>
      </c>
      <c r="AV41" s="32">
        <f t="shared" si="9"/>
        <v>1</v>
      </c>
      <c r="AW41" s="32">
        <f t="shared" si="11"/>
        <v>1</v>
      </c>
      <c r="AX41" s="32">
        <f t="shared" si="13"/>
        <v>1</v>
      </c>
      <c r="AY41" s="32">
        <f t="shared" si="17"/>
        <v>1</v>
      </c>
      <c r="AZ41" s="32">
        <f t="shared" si="19"/>
        <v>1</v>
      </c>
      <c r="BA41" s="32">
        <f t="shared" si="21"/>
        <v>1</v>
      </c>
      <c r="BB41" s="32">
        <f t="shared" si="24"/>
        <v>1</v>
      </c>
      <c r="BC41" s="32">
        <f t="shared" si="26"/>
        <v>1</v>
      </c>
      <c r="BD41" s="32">
        <f t="shared" si="28"/>
        <v>1</v>
      </c>
      <c r="BE41" s="32">
        <f t="shared" si="30"/>
        <v>1</v>
      </c>
      <c r="BF41" s="32">
        <f t="shared" si="36"/>
        <v>1</v>
      </c>
      <c r="BG41" s="32">
        <f t="shared" si="36"/>
        <v>1</v>
      </c>
      <c r="BH41" s="32">
        <f t="shared" si="36"/>
        <v>1</v>
      </c>
      <c r="BI41" s="32">
        <f t="shared" si="36"/>
        <v>1</v>
      </c>
      <c r="BJ41" s="32">
        <f t="shared" si="36"/>
        <v>1</v>
      </c>
      <c r="BK41" s="32">
        <f t="shared" si="31"/>
        <v>0</v>
      </c>
      <c r="BL41" s="32">
        <f t="shared" si="31"/>
        <v>0</v>
      </c>
      <c r="BM41" s="32">
        <f t="shared" si="31"/>
        <v>0</v>
      </c>
      <c r="BN41" s="32">
        <f t="shared" si="31"/>
        <v>0</v>
      </c>
      <c r="BO41" s="32">
        <f t="shared" si="31"/>
        <v>0</v>
      </c>
      <c r="BP41" s="15">
        <v>0</v>
      </c>
    </row>
    <row r="42" spans="1:68">
      <c r="A42" s="18"/>
      <c r="B42">
        <f t="shared" si="3"/>
        <v>37</v>
      </c>
      <c r="C42" t="b">
        <v>0</v>
      </c>
      <c r="D42" t="b">
        <v>1</v>
      </c>
      <c r="E42" t="b">
        <v>0</v>
      </c>
      <c r="F42" s="3" t="s">
        <v>75</v>
      </c>
      <c r="G42" s="26" t="str">
        <f>IF(MATCH(F42,F$5:F42,0)=(COUNTA(F$5:F42)),"-","Dup")</f>
        <v>-</v>
      </c>
      <c r="H42" s="32" t="str">
        <f t="shared" si="32"/>
        <v>-</v>
      </c>
      <c r="I42" s="32" t="b">
        <f t="shared" si="32"/>
        <v>0</v>
      </c>
      <c r="J42" s="32" t="b">
        <f t="shared" si="32"/>
        <v>1</v>
      </c>
      <c r="K42" s="32" t="str">
        <f t="shared" si="34"/>
        <v>-</v>
      </c>
      <c r="L42" s="32" t="str">
        <f t="shared" si="34"/>
        <v>-</v>
      </c>
      <c r="M42" s="32" t="str">
        <f t="shared" si="34"/>
        <v>-</v>
      </c>
      <c r="N42" s="32" t="str">
        <f t="shared" si="40"/>
        <v>-</v>
      </c>
      <c r="O42" s="32" t="str">
        <f t="shared" si="40"/>
        <v>-</v>
      </c>
      <c r="P42" s="32" t="str">
        <f t="shared" si="40"/>
        <v>-</v>
      </c>
      <c r="Q42" s="32" t="str">
        <f t="shared" ref="Q42:R44" si="41">Q$6</f>
        <v>-</v>
      </c>
      <c r="R42" s="32" t="str">
        <f t="shared" si="41"/>
        <v>-</v>
      </c>
      <c r="S42" s="32" t="str">
        <f t="shared" si="39"/>
        <v>-</v>
      </c>
      <c r="T42" s="31">
        <v>1</v>
      </c>
      <c r="U42" s="31">
        <v>1</v>
      </c>
      <c r="V42" s="32" t="str">
        <f t="shared" si="39"/>
        <v>-</v>
      </c>
      <c r="W42" s="31">
        <v>1</v>
      </c>
      <c r="X42" s="31">
        <v>1</v>
      </c>
      <c r="Y42" s="32" t="str">
        <f t="shared" si="39"/>
        <v>-</v>
      </c>
      <c r="Z42" s="31">
        <v>1</v>
      </c>
      <c r="AA42" s="31">
        <v>1</v>
      </c>
      <c r="AB42" s="32" t="str">
        <f t="shared" si="39"/>
        <v>-</v>
      </c>
      <c r="AC42" s="31">
        <v>1</v>
      </c>
      <c r="AD42" s="31">
        <v>1</v>
      </c>
      <c r="AE42" s="32" t="str">
        <f t="shared" ref="AE42:AG44" si="42">AE$6</f>
        <v>-</v>
      </c>
      <c r="AF42" s="32" t="str">
        <f t="shared" si="42"/>
        <v>-</v>
      </c>
      <c r="AG42" s="32" t="str">
        <f t="shared" si="42"/>
        <v>-</v>
      </c>
      <c r="AH42" s="31" t="b">
        <v>1</v>
      </c>
      <c r="AI42" s="31" t="b">
        <v>0</v>
      </c>
      <c r="AJ42" s="31" t="b">
        <v>1</v>
      </c>
      <c r="AK42" s="32" t="str">
        <f t="shared" si="35"/>
        <v>-</v>
      </c>
      <c r="AL42" s="32" t="str">
        <f t="shared" si="35"/>
        <v>-</v>
      </c>
      <c r="AM42" s="32" t="str">
        <f t="shared" si="35"/>
        <v>-</v>
      </c>
      <c r="AN42" s="32" t="str">
        <f t="shared" si="35"/>
        <v>-</v>
      </c>
      <c r="AO42" s="32" t="str">
        <f t="shared" si="35"/>
        <v>-</v>
      </c>
      <c r="AP42" s="32" t="str">
        <f t="shared" si="35"/>
        <v>-</v>
      </c>
      <c r="AQ42" s="32" t="str">
        <f t="shared" si="35"/>
        <v>-</v>
      </c>
      <c r="AR42" s="32" t="str">
        <f t="shared" si="35"/>
        <v>-</v>
      </c>
      <c r="AS42" s="32" t="str">
        <f t="shared" si="35"/>
        <v>-</v>
      </c>
      <c r="AT42" s="32" t="str">
        <f t="shared" si="35"/>
        <v>-</v>
      </c>
      <c r="AU42" s="32">
        <f t="shared" si="7"/>
        <v>1</v>
      </c>
      <c r="AV42" s="32">
        <f t="shared" si="9"/>
        <v>1</v>
      </c>
      <c r="AW42" s="32">
        <f t="shared" si="11"/>
        <v>1</v>
      </c>
      <c r="AX42" s="32">
        <f t="shared" si="13"/>
        <v>1</v>
      </c>
      <c r="AY42" s="32">
        <f t="shared" si="17"/>
        <v>1</v>
      </c>
      <c r="AZ42" s="32">
        <f t="shared" si="19"/>
        <v>1</v>
      </c>
      <c r="BA42" s="32">
        <f t="shared" si="21"/>
        <v>1</v>
      </c>
      <c r="BB42" s="32">
        <f t="shared" si="24"/>
        <v>1</v>
      </c>
      <c r="BC42" s="32">
        <f t="shared" si="26"/>
        <v>1</v>
      </c>
      <c r="BD42" s="32">
        <f t="shared" si="28"/>
        <v>1</v>
      </c>
      <c r="BE42" s="32">
        <f t="shared" si="30"/>
        <v>1</v>
      </c>
      <c r="BF42" s="32">
        <f t="shared" si="36"/>
        <v>1</v>
      </c>
      <c r="BG42" s="32">
        <f t="shared" si="36"/>
        <v>1</v>
      </c>
      <c r="BH42" s="32">
        <f t="shared" si="36"/>
        <v>1</v>
      </c>
      <c r="BI42" s="32">
        <f t="shared" si="36"/>
        <v>1</v>
      </c>
      <c r="BJ42" s="32">
        <f t="shared" si="36"/>
        <v>1</v>
      </c>
      <c r="BK42" s="32">
        <f t="shared" si="31"/>
        <v>0</v>
      </c>
      <c r="BL42" s="32">
        <f t="shared" si="31"/>
        <v>0</v>
      </c>
      <c r="BM42" s="32">
        <f t="shared" si="31"/>
        <v>0</v>
      </c>
      <c r="BN42" s="32">
        <f t="shared" si="31"/>
        <v>0</v>
      </c>
      <c r="BO42" s="32">
        <f t="shared" si="31"/>
        <v>0</v>
      </c>
      <c r="BP42" s="15">
        <v>0</v>
      </c>
    </row>
    <row r="43" spans="1:68">
      <c r="A43" s="18"/>
      <c r="B43">
        <f t="shared" si="3"/>
        <v>38</v>
      </c>
      <c r="C43" t="b">
        <v>0</v>
      </c>
      <c r="D43" t="b">
        <v>1</v>
      </c>
      <c r="E43" t="b">
        <v>0</v>
      </c>
      <c r="F43" s="3" t="s">
        <v>77</v>
      </c>
      <c r="G43" s="26" t="str">
        <f>IF(MATCH(F43,F$5:F43,0)=(COUNTA(F$5:F43)),"-","Dup")</f>
        <v>-</v>
      </c>
      <c r="H43" s="32" t="str">
        <f t="shared" si="32"/>
        <v>-</v>
      </c>
      <c r="I43" s="32" t="b">
        <f t="shared" si="32"/>
        <v>0</v>
      </c>
      <c r="J43" s="32" t="b">
        <f t="shared" si="32"/>
        <v>1</v>
      </c>
      <c r="K43" s="32" t="str">
        <f t="shared" si="34"/>
        <v>-</v>
      </c>
      <c r="L43" s="32" t="str">
        <f t="shared" si="34"/>
        <v>-</v>
      </c>
      <c r="M43" s="32" t="str">
        <f t="shared" si="34"/>
        <v>-</v>
      </c>
      <c r="N43" s="32" t="str">
        <f t="shared" si="40"/>
        <v>-</v>
      </c>
      <c r="O43" s="32" t="str">
        <f t="shared" si="40"/>
        <v>-</v>
      </c>
      <c r="P43" s="32" t="str">
        <f t="shared" si="40"/>
        <v>-</v>
      </c>
      <c r="Q43" s="32" t="str">
        <f t="shared" si="41"/>
        <v>-</v>
      </c>
      <c r="R43" s="32" t="str">
        <f t="shared" si="41"/>
        <v>-</v>
      </c>
      <c r="S43" s="32" t="str">
        <f t="shared" si="39"/>
        <v>-</v>
      </c>
      <c r="T43" s="31">
        <v>1</v>
      </c>
      <c r="U43" s="31">
        <v>1</v>
      </c>
      <c r="V43" s="32" t="str">
        <f t="shared" si="39"/>
        <v>-</v>
      </c>
      <c r="W43" s="31">
        <v>1</v>
      </c>
      <c r="X43" s="31">
        <v>1</v>
      </c>
      <c r="Y43" s="32" t="str">
        <f t="shared" si="39"/>
        <v>-</v>
      </c>
      <c r="Z43" s="31">
        <v>1</v>
      </c>
      <c r="AA43" s="31">
        <v>1</v>
      </c>
      <c r="AB43" s="32" t="str">
        <f t="shared" si="39"/>
        <v>-</v>
      </c>
      <c r="AC43" s="31">
        <v>1</v>
      </c>
      <c r="AD43" s="31">
        <v>1</v>
      </c>
      <c r="AE43" s="32" t="str">
        <f t="shared" si="42"/>
        <v>-</v>
      </c>
      <c r="AF43" s="32" t="str">
        <f t="shared" si="42"/>
        <v>-</v>
      </c>
      <c r="AG43" s="32" t="str">
        <f t="shared" si="42"/>
        <v>-</v>
      </c>
      <c r="AH43" s="31" t="b">
        <v>1</v>
      </c>
      <c r="AI43" s="31" t="b">
        <v>0</v>
      </c>
      <c r="AJ43" s="31" t="b">
        <v>1</v>
      </c>
      <c r="AK43" s="32" t="str">
        <f t="shared" si="35"/>
        <v>-</v>
      </c>
      <c r="AL43" s="32" t="str">
        <f t="shared" si="35"/>
        <v>-</v>
      </c>
      <c r="AM43" s="32" t="str">
        <f t="shared" si="35"/>
        <v>-</v>
      </c>
      <c r="AN43" s="32" t="str">
        <f t="shared" si="35"/>
        <v>-</v>
      </c>
      <c r="AO43" s="32" t="str">
        <f t="shared" si="35"/>
        <v>-</v>
      </c>
      <c r="AP43" s="32" t="str">
        <f t="shared" si="35"/>
        <v>-</v>
      </c>
      <c r="AQ43" s="32" t="str">
        <f t="shared" si="35"/>
        <v>-</v>
      </c>
      <c r="AR43" s="32" t="str">
        <f t="shared" si="35"/>
        <v>-</v>
      </c>
      <c r="AS43" s="32" t="str">
        <f t="shared" si="35"/>
        <v>-</v>
      </c>
      <c r="AT43" s="32" t="str">
        <f t="shared" si="35"/>
        <v>-</v>
      </c>
      <c r="AU43" s="32">
        <f t="shared" si="7"/>
        <v>1</v>
      </c>
      <c r="AV43" s="32">
        <f t="shared" si="9"/>
        <v>1</v>
      </c>
      <c r="AW43" s="32">
        <f t="shared" si="11"/>
        <v>1</v>
      </c>
      <c r="AX43" s="32">
        <f t="shared" si="13"/>
        <v>1</v>
      </c>
      <c r="AY43" s="32">
        <f t="shared" si="17"/>
        <v>1</v>
      </c>
      <c r="AZ43" s="32">
        <f t="shared" si="19"/>
        <v>1</v>
      </c>
      <c r="BA43" s="32">
        <f t="shared" si="21"/>
        <v>1</v>
      </c>
      <c r="BB43" s="32">
        <f t="shared" si="24"/>
        <v>1</v>
      </c>
      <c r="BC43" s="32">
        <f t="shared" si="26"/>
        <v>1</v>
      </c>
      <c r="BD43" s="32">
        <f t="shared" si="28"/>
        <v>1</v>
      </c>
      <c r="BE43" s="32">
        <f t="shared" si="30"/>
        <v>1</v>
      </c>
      <c r="BF43" s="32">
        <f t="shared" si="36"/>
        <v>1</v>
      </c>
      <c r="BG43" s="32">
        <f t="shared" si="36"/>
        <v>1</v>
      </c>
      <c r="BH43" s="32">
        <f t="shared" si="36"/>
        <v>1</v>
      </c>
      <c r="BI43" s="32">
        <f t="shared" si="36"/>
        <v>1</v>
      </c>
      <c r="BJ43" s="32">
        <f t="shared" si="36"/>
        <v>1</v>
      </c>
      <c r="BK43" s="32">
        <f t="shared" si="31"/>
        <v>0</v>
      </c>
      <c r="BL43" s="32">
        <f t="shared" si="31"/>
        <v>0</v>
      </c>
      <c r="BM43" s="32">
        <f t="shared" si="31"/>
        <v>0</v>
      </c>
      <c r="BN43" s="32">
        <f t="shared" si="31"/>
        <v>0</v>
      </c>
      <c r="BO43" s="32">
        <f t="shared" si="31"/>
        <v>0</v>
      </c>
      <c r="BP43" s="15">
        <v>0</v>
      </c>
    </row>
    <row r="44" spans="1:68">
      <c r="A44" s="18"/>
      <c r="B44">
        <f t="shared" si="3"/>
        <v>39</v>
      </c>
      <c r="C44" t="b">
        <v>0</v>
      </c>
      <c r="D44" t="b">
        <v>1</v>
      </c>
      <c r="E44" t="b">
        <v>0</v>
      </c>
      <c r="F44" s="3" t="s">
        <v>76</v>
      </c>
      <c r="G44" s="26" t="str">
        <f>IF(MATCH(F44,F$5:F44,0)=(COUNTA(F$5:F44)),"-","Dup")</f>
        <v>-</v>
      </c>
      <c r="H44" s="32" t="str">
        <f t="shared" si="32"/>
        <v>-</v>
      </c>
      <c r="I44" s="32" t="b">
        <f t="shared" si="32"/>
        <v>0</v>
      </c>
      <c r="J44" s="32" t="b">
        <f t="shared" si="32"/>
        <v>1</v>
      </c>
      <c r="K44" s="32" t="str">
        <f t="shared" ref="K44:Z59" si="43">K$6</f>
        <v>-</v>
      </c>
      <c r="L44" s="32" t="str">
        <f t="shared" si="43"/>
        <v>-</v>
      </c>
      <c r="M44" s="32" t="str">
        <f t="shared" si="43"/>
        <v>-</v>
      </c>
      <c r="N44" s="32" t="str">
        <f t="shared" si="40"/>
        <v>-</v>
      </c>
      <c r="O44" s="32" t="str">
        <f t="shared" si="40"/>
        <v>-</v>
      </c>
      <c r="P44" s="32" t="str">
        <f t="shared" si="40"/>
        <v>-</v>
      </c>
      <c r="Q44" s="32" t="str">
        <f t="shared" si="41"/>
        <v>-</v>
      </c>
      <c r="R44" s="32" t="str">
        <f t="shared" si="41"/>
        <v>-</v>
      </c>
      <c r="S44" s="32" t="str">
        <f t="shared" si="39"/>
        <v>-</v>
      </c>
      <c r="T44" s="31">
        <v>1</v>
      </c>
      <c r="U44" s="31">
        <v>1</v>
      </c>
      <c r="V44" s="32" t="str">
        <f t="shared" si="39"/>
        <v>-</v>
      </c>
      <c r="W44" s="31">
        <v>1</v>
      </c>
      <c r="X44" s="31">
        <v>1</v>
      </c>
      <c r="Y44" s="32" t="str">
        <f t="shared" si="39"/>
        <v>-</v>
      </c>
      <c r="Z44" s="31">
        <v>1</v>
      </c>
      <c r="AA44" s="31">
        <v>1</v>
      </c>
      <c r="AB44" s="32" t="str">
        <f t="shared" si="39"/>
        <v>-</v>
      </c>
      <c r="AC44" s="31">
        <v>1</v>
      </c>
      <c r="AD44" s="31">
        <v>1</v>
      </c>
      <c r="AE44" s="32" t="str">
        <f t="shared" si="42"/>
        <v>-</v>
      </c>
      <c r="AF44" s="32" t="str">
        <f t="shared" si="42"/>
        <v>-</v>
      </c>
      <c r="AG44" s="32" t="str">
        <f t="shared" si="42"/>
        <v>-</v>
      </c>
      <c r="AH44" s="31" t="b">
        <v>1</v>
      </c>
      <c r="AI44" s="31" t="b">
        <v>0</v>
      </c>
      <c r="AJ44" s="31" t="b">
        <v>1</v>
      </c>
      <c r="AK44" s="32" t="str">
        <f t="shared" si="35"/>
        <v>-</v>
      </c>
      <c r="AL44" s="32" t="str">
        <f t="shared" si="35"/>
        <v>-</v>
      </c>
      <c r="AM44" s="32" t="str">
        <f t="shared" si="35"/>
        <v>-</v>
      </c>
      <c r="AN44" s="32" t="str">
        <f t="shared" si="35"/>
        <v>-</v>
      </c>
      <c r="AO44" s="32" t="str">
        <f t="shared" si="35"/>
        <v>-</v>
      </c>
      <c r="AP44" s="32" t="str">
        <f t="shared" si="35"/>
        <v>-</v>
      </c>
      <c r="AQ44" s="32" t="str">
        <f t="shared" si="35"/>
        <v>-</v>
      </c>
      <c r="AR44" s="32" t="str">
        <f t="shared" si="35"/>
        <v>-</v>
      </c>
      <c r="AS44" s="32" t="str">
        <f t="shared" si="35"/>
        <v>-</v>
      </c>
      <c r="AT44" s="32" t="str">
        <f t="shared" si="35"/>
        <v>-</v>
      </c>
      <c r="AU44" s="32">
        <f t="shared" si="7"/>
        <v>1</v>
      </c>
      <c r="AV44" s="32">
        <f t="shared" si="9"/>
        <v>1</v>
      </c>
      <c r="AW44" s="32">
        <f t="shared" si="11"/>
        <v>1</v>
      </c>
      <c r="AX44" s="32">
        <f t="shared" si="13"/>
        <v>1</v>
      </c>
      <c r="AY44" s="32">
        <f t="shared" si="17"/>
        <v>1</v>
      </c>
      <c r="AZ44" s="32">
        <f t="shared" si="19"/>
        <v>1</v>
      </c>
      <c r="BA44" s="32">
        <f t="shared" si="21"/>
        <v>1</v>
      </c>
      <c r="BB44" s="32">
        <f t="shared" si="24"/>
        <v>1</v>
      </c>
      <c r="BC44" s="32">
        <f t="shared" si="26"/>
        <v>1</v>
      </c>
      <c r="BD44" s="32">
        <f t="shared" si="28"/>
        <v>1</v>
      </c>
      <c r="BE44" s="32">
        <f t="shared" si="30"/>
        <v>1</v>
      </c>
      <c r="BF44" s="32">
        <f t="shared" si="36"/>
        <v>1</v>
      </c>
      <c r="BG44" s="32">
        <f t="shared" si="36"/>
        <v>1</v>
      </c>
      <c r="BH44" s="32">
        <f t="shared" si="36"/>
        <v>1</v>
      </c>
      <c r="BI44" s="32">
        <f t="shared" si="36"/>
        <v>1</v>
      </c>
      <c r="BJ44" s="32">
        <f t="shared" si="36"/>
        <v>1</v>
      </c>
      <c r="BK44" s="32">
        <f t="shared" si="31"/>
        <v>0</v>
      </c>
      <c r="BL44" s="32">
        <f t="shared" si="31"/>
        <v>0</v>
      </c>
      <c r="BM44" s="32">
        <f t="shared" si="31"/>
        <v>0</v>
      </c>
      <c r="BN44" s="32">
        <f t="shared" si="31"/>
        <v>0</v>
      </c>
      <c r="BO44" s="32">
        <f t="shared" si="31"/>
        <v>0</v>
      </c>
      <c r="BP44" s="15">
        <v>0</v>
      </c>
    </row>
    <row r="45" spans="1:68">
      <c r="A45" s="18"/>
      <c r="B45">
        <f t="shared" si="3"/>
        <v>40</v>
      </c>
      <c r="C45" t="b">
        <v>0</v>
      </c>
      <c r="D45" t="b">
        <v>1</v>
      </c>
      <c r="E45" t="b">
        <v>0</v>
      </c>
      <c r="F45" s="3" t="s">
        <v>81</v>
      </c>
      <c r="G45" s="26" t="str">
        <f>IF(MATCH(F45,F$5:F45,0)=(COUNTA(F$5:F45)),"-","Dup")</f>
        <v>-</v>
      </c>
      <c r="H45" s="32" t="str">
        <f t="shared" si="32"/>
        <v>-</v>
      </c>
      <c r="I45" s="32" t="b">
        <f t="shared" si="32"/>
        <v>0</v>
      </c>
      <c r="J45" s="32" t="b">
        <f t="shared" si="32"/>
        <v>1</v>
      </c>
      <c r="K45" s="32" t="str">
        <f t="shared" si="43"/>
        <v>-</v>
      </c>
      <c r="L45" s="32" t="str">
        <f t="shared" si="43"/>
        <v>-</v>
      </c>
      <c r="M45" s="32" t="str">
        <f t="shared" si="43"/>
        <v>-</v>
      </c>
      <c r="N45" s="32" t="str">
        <f t="shared" si="43"/>
        <v>-</v>
      </c>
      <c r="O45" s="32" t="str">
        <f t="shared" si="43"/>
        <v>-</v>
      </c>
      <c r="P45" s="32" t="str">
        <f t="shared" si="43"/>
        <v>-</v>
      </c>
      <c r="Q45" s="32" t="str">
        <f t="shared" si="43"/>
        <v>-</v>
      </c>
      <c r="R45" s="32" t="str">
        <f t="shared" si="43"/>
        <v>-</v>
      </c>
      <c r="S45" s="32" t="str">
        <f t="shared" si="43"/>
        <v>-</v>
      </c>
      <c r="T45" s="32" t="str">
        <f t="shared" si="43"/>
        <v>-</v>
      </c>
      <c r="U45" s="32" t="str">
        <f t="shared" si="43"/>
        <v>-</v>
      </c>
      <c r="V45" s="32" t="str">
        <f t="shared" si="43"/>
        <v>-</v>
      </c>
      <c r="W45" s="32" t="str">
        <f t="shared" si="43"/>
        <v>-</v>
      </c>
      <c r="X45" s="32" t="str">
        <f t="shared" si="43"/>
        <v>-</v>
      </c>
      <c r="Y45" s="32" t="str">
        <f t="shared" si="43"/>
        <v>-</v>
      </c>
      <c r="Z45" s="32" t="str">
        <f t="shared" si="43"/>
        <v>-</v>
      </c>
      <c r="AA45" s="32" t="str">
        <f t="shared" ref="L45:BO55" si="44">AA$6</f>
        <v>-</v>
      </c>
      <c r="AB45" s="32" t="str">
        <f t="shared" si="44"/>
        <v>-</v>
      </c>
      <c r="AC45" s="32" t="str">
        <f t="shared" si="44"/>
        <v>-</v>
      </c>
      <c r="AD45" s="32" t="str">
        <f t="shared" si="44"/>
        <v>-</v>
      </c>
      <c r="AE45" s="32" t="str">
        <f t="shared" si="44"/>
        <v>-</v>
      </c>
      <c r="AF45" s="32" t="str">
        <f t="shared" si="44"/>
        <v>-</v>
      </c>
      <c r="AG45" s="32" t="str">
        <f t="shared" si="44"/>
        <v>-</v>
      </c>
      <c r="AH45" s="32" t="str">
        <f t="shared" si="44"/>
        <v>-</v>
      </c>
      <c r="AI45" s="32" t="str">
        <f t="shared" si="44"/>
        <v>-</v>
      </c>
      <c r="AJ45" s="32" t="str">
        <f t="shared" si="44"/>
        <v>-</v>
      </c>
      <c r="AK45" s="32" t="str">
        <f t="shared" si="44"/>
        <v>-</v>
      </c>
      <c r="AL45" s="32" t="str">
        <f t="shared" si="44"/>
        <v>-</v>
      </c>
      <c r="AM45" s="32" t="str">
        <f t="shared" si="44"/>
        <v>-</v>
      </c>
      <c r="AN45" s="32" t="str">
        <f t="shared" si="44"/>
        <v>-</v>
      </c>
      <c r="AO45" s="32" t="str">
        <f t="shared" si="44"/>
        <v>-</v>
      </c>
      <c r="AP45" s="32" t="str">
        <f t="shared" si="44"/>
        <v>-</v>
      </c>
      <c r="AQ45" s="32" t="str">
        <f t="shared" si="44"/>
        <v>-</v>
      </c>
      <c r="AR45" s="32" t="str">
        <f t="shared" si="44"/>
        <v>-</v>
      </c>
      <c r="AS45" s="32" t="str">
        <f t="shared" si="44"/>
        <v>-</v>
      </c>
      <c r="AT45" s="32" t="str">
        <f t="shared" si="44"/>
        <v>-</v>
      </c>
      <c r="AU45" s="32">
        <f t="shared" si="44"/>
        <v>1</v>
      </c>
      <c r="AV45" s="32">
        <f t="shared" si="44"/>
        <v>1</v>
      </c>
      <c r="AW45" s="32">
        <f t="shared" si="44"/>
        <v>1</v>
      </c>
      <c r="AX45" s="32">
        <f t="shared" si="44"/>
        <v>1</v>
      </c>
      <c r="AY45" s="32">
        <f t="shared" si="44"/>
        <v>1</v>
      </c>
      <c r="AZ45" s="32">
        <f t="shared" si="44"/>
        <v>1</v>
      </c>
      <c r="BA45" s="32">
        <f t="shared" si="44"/>
        <v>1</v>
      </c>
      <c r="BB45" s="32">
        <f t="shared" si="44"/>
        <v>1</v>
      </c>
      <c r="BC45" s="32">
        <f t="shared" si="44"/>
        <v>1</v>
      </c>
      <c r="BD45" s="32">
        <f t="shared" si="44"/>
        <v>1</v>
      </c>
      <c r="BE45" s="32">
        <f t="shared" si="44"/>
        <v>1</v>
      </c>
      <c r="BF45" s="32">
        <f t="shared" si="44"/>
        <v>1</v>
      </c>
      <c r="BG45" s="32">
        <f t="shared" si="44"/>
        <v>1</v>
      </c>
      <c r="BH45" s="32">
        <f t="shared" si="44"/>
        <v>1</v>
      </c>
      <c r="BI45" s="32">
        <f t="shared" si="44"/>
        <v>1</v>
      </c>
      <c r="BJ45" s="32">
        <f t="shared" si="44"/>
        <v>1</v>
      </c>
      <c r="BK45" s="32">
        <f t="shared" si="44"/>
        <v>0</v>
      </c>
      <c r="BL45" s="32">
        <f t="shared" si="44"/>
        <v>0</v>
      </c>
      <c r="BM45" s="32">
        <f t="shared" si="44"/>
        <v>0</v>
      </c>
      <c r="BN45" s="32">
        <f t="shared" si="44"/>
        <v>0</v>
      </c>
      <c r="BO45" s="32">
        <f t="shared" si="44"/>
        <v>0</v>
      </c>
      <c r="BP45" s="15">
        <v>0</v>
      </c>
    </row>
    <row r="46" spans="1:68">
      <c r="A46" s="18"/>
      <c r="C46" t="b">
        <v>0</v>
      </c>
      <c r="D46" s="34"/>
      <c r="E46" s="34"/>
      <c r="F46" s="28" t="s">
        <v>117</v>
      </c>
      <c r="G46" s="26" t="str">
        <f>IF(MATCH(F46,F$5:F46,0)=(COUNTA(F$5:F46)),"-","Dup")</f>
        <v>-</v>
      </c>
      <c r="H46" s="35"/>
      <c r="I46" s="35"/>
      <c r="J46" s="35"/>
      <c r="K46" s="35"/>
      <c r="L46" s="35"/>
      <c r="M46" s="35"/>
      <c r="N46" s="35"/>
      <c r="O46" s="35"/>
      <c r="P46" s="35"/>
      <c r="Q46" s="35"/>
      <c r="R46" s="35"/>
      <c r="S46" s="35"/>
      <c r="T46" s="35"/>
      <c r="U46" s="35"/>
      <c r="V46" s="35"/>
      <c r="W46" s="35"/>
      <c r="X46" s="35"/>
      <c r="Y46" s="35"/>
      <c r="Z46" s="35"/>
      <c r="AA46" s="35"/>
      <c r="AB46" s="35"/>
      <c r="AC46" s="35"/>
      <c r="AD46" s="35"/>
      <c r="AE46" s="35"/>
      <c r="AF46" s="35"/>
      <c r="AG46" s="35"/>
      <c r="AH46" s="35"/>
      <c r="AI46" s="35"/>
      <c r="AJ46" s="35"/>
      <c r="AK46" s="35"/>
      <c r="AL46" s="35"/>
      <c r="AM46" s="35"/>
      <c r="AN46" s="35"/>
      <c r="AO46" s="35"/>
      <c r="AP46" s="35"/>
      <c r="AQ46" s="35"/>
      <c r="AR46" s="35"/>
      <c r="AS46" s="35"/>
      <c r="AT46" s="35"/>
      <c r="AU46" s="35"/>
      <c r="AV46" s="35"/>
      <c r="AW46" s="35"/>
      <c r="AX46" s="35"/>
      <c r="AY46" s="35"/>
      <c r="AZ46" s="35"/>
      <c r="BA46" s="35"/>
      <c r="BB46" s="35"/>
      <c r="BC46" s="35"/>
      <c r="BD46" s="35"/>
      <c r="BE46" s="35"/>
      <c r="BF46" s="35"/>
      <c r="BG46" s="35"/>
      <c r="BH46" s="35"/>
      <c r="BI46" s="35"/>
      <c r="BJ46" s="35"/>
      <c r="BK46" s="35"/>
      <c r="BL46" s="35"/>
      <c r="BM46" s="35"/>
      <c r="BN46" s="35"/>
      <c r="BO46" s="35"/>
      <c r="BP46" s="15">
        <v>0</v>
      </c>
    </row>
    <row r="47" spans="1:68">
      <c r="A47" s="18">
        <v>44280.702233796299</v>
      </c>
      <c r="B47">
        <f t="shared" si="3"/>
        <v>42</v>
      </c>
      <c r="C47" t="b">
        <v>0</v>
      </c>
      <c r="D47" t="b">
        <v>0</v>
      </c>
      <c r="E47" t="b">
        <v>0</v>
      </c>
      <c r="F47" s="3" t="s">
        <v>98</v>
      </c>
      <c r="G47" s="26" t="str">
        <f>IF(MATCH(F47,F$5:F47,0)=(COUNTA(F$5:F47)),"-","Dup")</f>
        <v>-</v>
      </c>
      <c r="H47" s="32" t="str">
        <f t="shared" si="32"/>
        <v>-</v>
      </c>
      <c r="I47" s="32" t="b">
        <f t="shared" si="32"/>
        <v>0</v>
      </c>
      <c r="J47" s="32" t="b">
        <f t="shared" si="32"/>
        <v>1</v>
      </c>
      <c r="K47" s="32" t="str">
        <f t="shared" si="43"/>
        <v>-</v>
      </c>
      <c r="L47" s="32" t="str">
        <f t="shared" si="44"/>
        <v>-</v>
      </c>
      <c r="M47" s="32" t="str">
        <f t="shared" si="44"/>
        <v>-</v>
      </c>
      <c r="N47" s="32" t="str">
        <f t="shared" si="44"/>
        <v>-</v>
      </c>
      <c r="O47" s="32" t="str">
        <f t="shared" si="44"/>
        <v>-</v>
      </c>
      <c r="P47" s="32" t="str">
        <f t="shared" si="44"/>
        <v>-</v>
      </c>
      <c r="Q47" s="32" t="str">
        <f t="shared" si="44"/>
        <v>-</v>
      </c>
      <c r="R47" s="32" t="str">
        <f t="shared" si="44"/>
        <v>-</v>
      </c>
      <c r="S47" s="32" t="str">
        <f t="shared" si="44"/>
        <v>-</v>
      </c>
      <c r="T47" s="32" t="str">
        <f t="shared" si="44"/>
        <v>-</v>
      </c>
      <c r="U47" s="32" t="str">
        <f t="shared" si="44"/>
        <v>-</v>
      </c>
      <c r="V47" s="32" t="str">
        <f t="shared" si="44"/>
        <v>-</v>
      </c>
      <c r="W47" s="32" t="str">
        <f t="shared" si="44"/>
        <v>-</v>
      </c>
      <c r="X47" s="32" t="str">
        <f t="shared" si="44"/>
        <v>-</v>
      </c>
      <c r="Y47" s="32" t="str">
        <f t="shared" si="44"/>
        <v>-</v>
      </c>
      <c r="Z47" s="32" t="str">
        <f t="shared" si="44"/>
        <v>-</v>
      </c>
      <c r="AA47" s="32" t="str">
        <f t="shared" si="44"/>
        <v>-</v>
      </c>
      <c r="AB47" s="32" t="str">
        <f t="shared" si="44"/>
        <v>-</v>
      </c>
      <c r="AC47" s="32" t="str">
        <f t="shared" si="44"/>
        <v>-</v>
      </c>
      <c r="AD47" s="32" t="str">
        <f t="shared" si="44"/>
        <v>-</v>
      </c>
      <c r="AE47" s="32" t="str">
        <f t="shared" si="44"/>
        <v>-</v>
      </c>
      <c r="AF47" s="32" t="str">
        <f t="shared" si="44"/>
        <v>-</v>
      </c>
      <c r="AG47" s="32" t="str">
        <f t="shared" si="44"/>
        <v>-</v>
      </c>
      <c r="AH47" s="31" t="b">
        <v>1</v>
      </c>
      <c r="AI47" s="31" t="b">
        <v>1</v>
      </c>
      <c r="AJ47" s="31" t="b">
        <v>1</v>
      </c>
      <c r="AK47" s="32" t="str">
        <f t="shared" si="44"/>
        <v>-</v>
      </c>
      <c r="AL47" s="32" t="str">
        <f t="shared" si="44"/>
        <v>-</v>
      </c>
      <c r="AM47" s="32" t="str">
        <f t="shared" si="44"/>
        <v>-</v>
      </c>
      <c r="AN47" s="32" t="str">
        <f t="shared" si="44"/>
        <v>-</v>
      </c>
      <c r="AO47" s="31">
        <v>-0.5</v>
      </c>
      <c r="AP47" s="31">
        <f>$AO47+0.5</f>
        <v>0</v>
      </c>
      <c r="AQ47" s="31">
        <f>$AO47-0.5</f>
        <v>-1</v>
      </c>
      <c r="AR47" s="32" t="str">
        <f t="shared" si="44"/>
        <v>-</v>
      </c>
      <c r="AS47" s="32" t="str">
        <f t="shared" si="44"/>
        <v>-</v>
      </c>
      <c r="AT47" s="32" t="str">
        <f t="shared" si="44"/>
        <v>-</v>
      </c>
      <c r="AU47" s="32">
        <f t="shared" si="44"/>
        <v>1</v>
      </c>
      <c r="AV47" s="32">
        <f t="shared" si="44"/>
        <v>1</v>
      </c>
      <c r="AW47" s="32">
        <f t="shared" si="44"/>
        <v>1</v>
      </c>
      <c r="AX47" s="32">
        <f t="shared" si="44"/>
        <v>1</v>
      </c>
      <c r="AY47" s="32">
        <f t="shared" si="44"/>
        <v>1</v>
      </c>
      <c r="AZ47" s="32">
        <f t="shared" si="44"/>
        <v>1</v>
      </c>
      <c r="BA47" s="32">
        <f t="shared" si="44"/>
        <v>1</v>
      </c>
      <c r="BB47" s="32">
        <f t="shared" si="44"/>
        <v>1</v>
      </c>
      <c r="BC47" s="32">
        <f t="shared" si="44"/>
        <v>1</v>
      </c>
      <c r="BD47" s="32">
        <f t="shared" si="44"/>
        <v>1</v>
      </c>
      <c r="BE47" s="32">
        <f t="shared" si="44"/>
        <v>1</v>
      </c>
      <c r="BF47" s="32">
        <f t="shared" si="44"/>
        <v>1</v>
      </c>
      <c r="BG47" s="32">
        <f t="shared" si="44"/>
        <v>1</v>
      </c>
      <c r="BH47" s="32">
        <f t="shared" si="44"/>
        <v>1</v>
      </c>
      <c r="BI47" s="32">
        <f t="shared" si="44"/>
        <v>1</v>
      </c>
      <c r="BJ47" s="32">
        <f t="shared" si="44"/>
        <v>1</v>
      </c>
      <c r="BK47" s="32">
        <f t="shared" si="44"/>
        <v>0</v>
      </c>
      <c r="BL47" s="32">
        <f t="shared" si="44"/>
        <v>0</v>
      </c>
      <c r="BM47" s="32">
        <f t="shared" si="44"/>
        <v>0</v>
      </c>
      <c r="BN47" s="32">
        <f t="shared" si="44"/>
        <v>0</v>
      </c>
      <c r="BO47" s="32">
        <f t="shared" si="44"/>
        <v>0</v>
      </c>
      <c r="BP47" s="15">
        <v>0</v>
      </c>
    </row>
    <row r="48" spans="1:68">
      <c r="A48" s="18"/>
      <c r="B48">
        <f t="shared" si="3"/>
        <v>43</v>
      </c>
      <c r="C48" t="b">
        <v>0</v>
      </c>
      <c r="D48" t="b">
        <v>0</v>
      </c>
      <c r="E48" t="b">
        <v>0</v>
      </c>
      <c r="F48" s="3" t="s">
        <v>99</v>
      </c>
      <c r="G48" s="26" t="str">
        <f>IF(MATCH(F48,F$5:F48,0)=(COUNTA(F$5:F48)),"-","Dup")</f>
        <v>-</v>
      </c>
      <c r="H48" s="32" t="str">
        <f t="shared" ref="H48:W65" si="45">H$6</f>
        <v>-</v>
      </c>
      <c r="I48" s="32" t="b">
        <f t="shared" si="45"/>
        <v>0</v>
      </c>
      <c r="J48" s="32" t="b">
        <f t="shared" si="45"/>
        <v>1</v>
      </c>
      <c r="K48" s="32" t="str">
        <f t="shared" si="43"/>
        <v>-</v>
      </c>
      <c r="L48" s="32" t="str">
        <f t="shared" si="44"/>
        <v>-</v>
      </c>
      <c r="M48" s="32" t="str">
        <f t="shared" si="44"/>
        <v>-</v>
      </c>
      <c r="N48" s="32" t="str">
        <f t="shared" si="44"/>
        <v>-</v>
      </c>
      <c r="O48" s="32" t="str">
        <f t="shared" si="44"/>
        <v>-</v>
      </c>
      <c r="P48" s="32" t="str">
        <f t="shared" si="44"/>
        <v>-</v>
      </c>
      <c r="Q48" s="32" t="str">
        <f t="shared" si="44"/>
        <v>-</v>
      </c>
      <c r="R48" s="32" t="str">
        <f t="shared" si="44"/>
        <v>-</v>
      </c>
      <c r="S48" s="32" t="str">
        <f t="shared" si="44"/>
        <v>-</v>
      </c>
      <c r="T48" s="32" t="str">
        <f t="shared" si="44"/>
        <v>-</v>
      </c>
      <c r="U48" s="32" t="str">
        <f t="shared" si="44"/>
        <v>-</v>
      </c>
      <c r="V48" s="32" t="str">
        <f t="shared" si="44"/>
        <v>-</v>
      </c>
      <c r="W48" s="32" t="str">
        <f t="shared" si="44"/>
        <v>-</v>
      </c>
      <c r="X48" s="32" t="str">
        <f t="shared" si="44"/>
        <v>-</v>
      </c>
      <c r="Y48" s="32" t="str">
        <f t="shared" si="44"/>
        <v>-</v>
      </c>
      <c r="Z48" s="32" t="str">
        <f t="shared" si="44"/>
        <v>-</v>
      </c>
      <c r="AA48" s="32" t="str">
        <f t="shared" si="44"/>
        <v>-</v>
      </c>
      <c r="AB48" s="32" t="str">
        <f t="shared" si="44"/>
        <v>-</v>
      </c>
      <c r="AC48" s="32" t="str">
        <f t="shared" si="44"/>
        <v>-</v>
      </c>
      <c r="AD48" s="32" t="str">
        <f t="shared" si="44"/>
        <v>-</v>
      </c>
      <c r="AE48" s="32" t="str">
        <f t="shared" si="44"/>
        <v>-</v>
      </c>
      <c r="AF48" s="32" t="str">
        <f t="shared" si="44"/>
        <v>-</v>
      </c>
      <c r="AG48" s="32" t="str">
        <f t="shared" si="44"/>
        <v>-</v>
      </c>
      <c r="AH48" s="31" t="b">
        <v>1</v>
      </c>
      <c r="AI48" s="31" t="b">
        <v>1</v>
      </c>
      <c r="AJ48" s="31" t="b">
        <v>1</v>
      </c>
      <c r="AK48" s="32" t="str">
        <f t="shared" si="44"/>
        <v>-</v>
      </c>
      <c r="AL48" s="32" t="str">
        <f t="shared" si="44"/>
        <v>-</v>
      </c>
      <c r="AM48" s="32" t="str">
        <f t="shared" si="44"/>
        <v>-</v>
      </c>
      <c r="AN48" s="32" t="str">
        <f t="shared" si="44"/>
        <v>-</v>
      </c>
      <c r="AO48" s="25">
        <f>AO47</f>
        <v>-0.5</v>
      </c>
      <c r="AP48" s="31">
        <f>$AO48+1</f>
        <v>0.5</v>
      </c>
      <c r="AQ48" s="31">
        <f>$AO48-1</f>
        <v>-1.5</v>
      </c>
      <c r="AR48" s="32" t="str">
        <f t="shared" si="44"/>
        <v>-</v>
      </c>
      <c r="AS48" s="32" t="str">
        <f t="shared" si="44"/>
        <v>-</v>
      </c>
      <c r="AT48" s="32" t="str">
        <f t="shared" si="44"/>
        <v>-</v>
      </c>
      <c r="AU48" s="32">
        <f t="shared" si="44"/>
        <v>1</v>
      </c>
      <c r="AV48" s="32">
        <f t="shared" si="44"/>
        <v>1</v>
      </c>
      <c r="AW48" s="32">
        <f t="shared" si="44"/>
        <v>1</v>
      </c>
      <c r="AX48" s="32">
        <f t="shared" si="44"/>
        <v>1</v>
      </c>
      <c r="AY48" s="32">
        <f t="shared" si="44"/>
        <v>1</v>
      </c>
      <c r="AZ48" s="32">
        <f t="shared" si="44"/>
        <v>1</v>
      </c>
      <c r="BA48" s="32">
        <f t="shared" si="44"/>
        <v>1</v>
      </c>
      <c r="BB48" s="32">
        <f t="shared" si="44"/>
        <v>1</v>
      </c>
      <c r="BC48" s="32">
        <f t="shared" si="44"/>
        <v>1</v>
      </c>
      <c r="BD48" s="32">
        <f t="shared" si="44"/>
        <v>1</v>
      </c>
      <c r="BE48" s="32">
        <f t="shared" si="44"/>
        <v>1</v>
      </c>
      <c r="BF48" s="32">
        <f t="shared" si="44"/>
        <v>1</v>
      </c>
      <c r="BG48" s="32">
        <f t="shared" si="44"/>
        <v>1</v>
      </c>
      <c r="BH48" s="32">
        <f t="shared" si="44"/>
        <v>1</v>
      </c>
      <c r="BI48" s="32">
        <f t="shared" si="44"/>
        <v>1</v>
      </c>
      <c r="BJ48" s="32">
        <f t="shared" si="44"/>
        <v>1</v>
      </c>
      <c r="BK48" s="32">
        <f t="shared" si="44"/>
        <v>0</v>
      </c>
      <c r="BL48" s="32">
        <f t="shared" si="44"/>
        <v>0</v>
      </c>
      <c r="BM48" s="32">
        <f t="shared" si="44"/>
        <v>0</v>
      </c>
      <c r="BN48" s="32">
        <f t="shared" si="44"/>
        <v>0</v>
      </c>
      <c r="BO48" s="32">
        <f t="shared" si="44"/>
        <v>0</v>
      </c>
      <c r="BP48" s="15">
        <v>0</v>
      </c>
    </row>
    <row r="49" spans="1:68">
      <c r="A49" s="18"/>
      <c r="B49">
        <f t="shared" si="3"/>
        <v>44</v>
      </c>
      <c r="C49" t="b">
        <v>0</v>
      </c>
      <c r="D49" t="b">
        <v>0</v>
      </c>
      <c r="E49" t="b">
        <v>0</v>
      </c>
      <c r="F49" s="3" t="s">
        <v>100</v>
      </c>
      <c r="G49" s="26" t="str">
        <f>IF(MATCH(F49,F$5:F49,0)=(COUNTA(F$5:F49)),"-","Dup")</f>
        <v>-</v>
      </c>
      <c r="H49" s="32" t="str">
        <f t="shared" si="45"/>
        <v>-</v>
      </c>
      <c r="I49" s="32" t="b">
        <f t="shared" si="45"/>
        <v>0</v>
      </c>
      <c r="J49" s="32" t="b">
        <f t="shared" si="45"/>
        <v>1</v>
      </c>
      <c r="K49" s="32" t="str">
        <f t="shared" si="43"/>
        <v>-</v>
      </c>
      <c r="L49" s="32" t="str">
        <f t="shared" si="44"/>
        <v>-</v>
      </c>
      <c r="M49" s="32" t="str">
        <f t="shared" si="44"/>
        <v>-</v>
      </c>
      <c r="N49" s="32" t="str">
        <f t="shared" si="44"/>
        <v>-</v>
      </c>
      <c r="O49" s="32" t="str">
        <f t="shared" si="44"/>
        <v>-</v>
      </c>
      <c r="P49" s="32" t="str">
        <f t="shared" si="44"/>
        <v>-</v>
      </c>
      <c r="Q49" s="32" t="str">
        <f t="shared" si="44"/>
        <v>-</v>
      </c>
      <c r="R49" s="32" t="str">
        <f t="shared" si="44"/>
        <v>-</v>
      </c>
      <c r="S49" s="32" t="str">
        <f t="shared" si="44"/>
        <v>-</v>
      </c>
      <c r="T49" s="32" t="str">
        <f t="shared" si="44"/>
        <v>-</v>
      </c>
      <c r="U49" s="32" t="str">
        <f t="shared" si="44"/>
        <v>-</v>
      </c>
      <c r="V49" s="32" t="str">
        <f t="shared" si="44"/>
        <v>-</v>
      </c>
      <c r="W49" s="32" t="str">
        <f t="shared" si="44"/>
        <v>-</v>
      </c>
      <c r="X49" s="32" t="str">
        <f t="shared" si="44"/>
        <v>-</v>
      </c>
      <c r="Y49" s="32" t="str">
        <f t="shared" si="44"/>
        <v>-</v>
      </c>
      <c r="Z49" s="32" t="str">
        <f t="shared" si="44"/>
        <v>-</v>
      </c>
      <c r="AA49" s="32" t="str">
        <f t="shared" si="44"/>
        <v>-</v>
      </c>
      <c r="AB49" s="32" t="str">
        <f t="shared" si="44"/>
        <v>-</v>
      </c>
      <c r="AC49" s="32" t="str">
        <f t="shared" si="44"/>
        <v>-</v>
      </c>
      <c r="AD49" s="32" t="str">
        <f t="shared" si="44"/>
        <v>-</v>
      </c>
      <c r="AE49" s="32" t="str">
        <f t="shared" si="44"/>
        <v>-</v>
      </c>
      <c r="AF49" s="32" t="str">
        <f t="shared" si="44"/>
        <v>-</v>
      </c>
      <c r="AG49" s="32" t="str">
        <f t="shared" si="44"/>
        <v>-</v>
      </c>
      <c r="AH49" s="31" t="b">
        <v>1</v>
      </c>
      <c r="AI49" s="31" t="b">
        <v>1</v>
      </c>
      <c r="AJ49" s="31" t="b">
        <v>1</v>
      </c>
      <c r="AK49" s="32" t="str">
        <f t="shared" si="44"/>
        <v>-</v>
      </c>
      <c r="AL49" s="32" t="str">
        <f t="shared" si="44"/>
        <v>-</v>
      </c>
      <c r="AM49" s="32" t="str">
        <f t="shared" si="44"/>
        <v>-</v>
      </c>
      <c r="AN49" s="32" t="str">
        <f t="shared" si="44"/>
        <v>-</v>
      </c>
      <c r="AO49" s="25">
        <f t="shared" ref="AO49:AO50" si="46">AO48</f>
        <v>-0.5</v>
      </c>
      <c r="AP49" s="31">
        <f>$AO49+1.5</f>
        <v>1</v>
      </c>
      <c r="AQ49" s="31">
        <f>$AO49-1.5</f>
        <v>-2</v>
      </c>
      <c r="AR49" s="32" t="str">
        <f t="shared" si="44"/>
        <v>-</v>
      </c>
      <c r="AS49" s="32" t="str">
        <f t="shared" si="44"/>
        <v>-</v>
      </c>
      <c r="AT49" s="32" t="str">
        <f t="shared" si="44"/>
        <v>-</v>
      </c>
      <c r="AU49" s="32">
        <f t="shared" si="44"/>
        <v>1</v>
      </c>
      <c r="AV49" s="32">
        <f t="shared" si="44"/>
        <v>1</v>
      </c>
      <c r="AW49" s="32">
        <f t="shared" si="44"/>
        <v>1</v>
      </c>
      <c r="AX49" s="32">
        <f t="shared" si="44"/>
        <v>1</v>
      </c>
      <c r="AY49" s="32">
        <f t="shared" si="44"/>
        <v>1</v>
      </c>
      <c r="AZ49" s="32">
        <f t="shared" si="44"/>
        <v>1</v>
      </c>
      <c r="BA49" s="32">
        <f t="shared" si="44"/>
        <v>1</v>
      </c>
      <c r="BB49" s="32">
        <f t="shared" si="44"/>
        <v>1</v>
      </c>
      <c r="BC49" s="32">
        <f t="shared" si="44"/>
        <v>1</v>
      </c>
      <c r="BD49" s="32">
        <f t="shared" si="44"/>
        <v>1</v>
      </c>
      <c r="BE49" s="32">
        <f t="shared" si="44"/>
        <v>1</v>
      </c>
      <c r="BF49" s="32">
        <f t="shared" si="44"/>
        <v>1</v>
      </c>
      <c r="BG49" s="32">
        <f t="shared" si="44"/>
        <v>1</v>
      </c>
      <c r="BH49" s="32">
        <f t="shared" si="44"/>
        <v>1</v>
      </c>
      <c r="BI49" s="32">
        <f t="shared" si="44"/>
        <v>1</v>
      </c>
      <c r="BJ49" s="32">
        <f t="shared" si="44"/>
        <v>1</v>
      </c>
      <c r="BK49" s="32">
        <f t="shared" si="44"/>
        <v>0</v>
      </c>
      <c r="BL49" s="32">
        <f t="shared" si="44"/>
        <v>0</v>
      </c>
      <c r="BM49" s="32">
        <f t="shared" si="44"/>
        <v>0</v>
      </c>
      <c r="BN49" s="32">
        <f t="shared" si="44"/>
        <v>0</v>
      </c>
      <c r="BO49" s="32">
        <f t="shared" si="44"/>
        <v>0</v>
      </c>
      <c r="BP49" s="15">
        <v>0</v>
      </c>
    </row>
    <row r="50" spans="1:68">
      <c r="A50" s="18"/>
      <c r="B50">
        <f t="shared" si="3"/>
        <v>45</v>
      </c>
      <c r="C50" t="b">
        <v>0</v>
      </c>
      <c r="D50" t="b">
        <v>0</v>
      </c>
      <c r="E50" t="b">
        <v>0</v>
      </c>
      <c r="F50" s="3" t="s">
        <v>101</v>
      </c>
      <c r="G50" s="26" t="str">
        <f>IF(MATCH(F50,F$5:F50,0)=(COUNTA(F$5:F50)),"-","Dup")</f>
        <v>-</v>
      </c>
      <c r="H50" s="32" t="str">
        <f t="shared" si="45"/>
        <v>-</v>
      </c>
      <c r="I50" s="32" t="b">
        <f t="shared" si="45"/>
        <v>0</v>
      </c>
      <c r="J50" s="32" t="b">
        <f t="shared" si="45"/>
        <v>1</v>
      </c>
      <c r="K50" s="32" t="str">
        <f t="shared" si="43"/>
        <v>-</v>
      </c>
      <c r="L50" s="32" t="str">
        <f t="shared" si="44"/>
        <v>-</v>
      </c>
      <c r="M50" s="32" t="str">
        <f t="shared" si="44"/>
        <v>-</v>
      </c>
      <c r="N50" s="32" t="str">
        <f t="shared" si="44"/>
        <v>-</v>
      </c>
      <c r="O50" s="32" t="str">
        <f t="shared" si="44"/>
        <v>-</v>
      </c>
      <c r="P50" s="32" t="str">
        <f t="shared" si="44"/>
        <v>-</v>
      </c>
      <c r="Q50" s="32" t="str">
        <f t="shared" si="44"/>
        <v>-</v>
      </c>
      <c r="R50" s="32" t="str">
        <f t="shared" si="44"/>
        <v>-</v>
      </c>
      <c r="S50" s="32" t="str">
        <f t="shared" si="44"/>
        <v>-</v>
      </c>
      <c r="T50" s="32" t="str">
        <f t="shared" si="44"/>
        <v>-</v>
      </c>
      <c r="U50" s="32" t="str">
        <f t="shared" si="44"/>
        <v>-</v>
      </c>
      <c r="V50" s="32" t="str">
        <f t="shared" si="44"/>
        <v>-</v>
      </c>
      <c r="W50" s="32" t="str">
        <f t="shared" si="44"/>
        <v>-</v>
      </c>
      <c r="X50" s="32" t="str">
        <f t="shared" si="44"/>
        <v>-</v>
      </c>
      <c r="Y50" s="32" t="str">
        <f t="shared" si="44"/>
        <v>-</v>
      </c>
      <c r="Z50" s="32" t="str">
        <f t="shared" si="44"/>
        <v>-</v>
      </c>
      <c r="AA50" s="32" t="str">
        <f t="shared" si="44"/>
        <v>-</v>
      </c>
      <c r="AB50" s="32" t="str">
        <f t="shared" si="44"/>
        <v>-</v>
      </c>
      <c r="AC50" s="32" t="str">
        <f t="shared" si="44"/>
        <v>-</v>
      </c>
      <c r="AD50" s="32" t="str">
        <f t="shared" si="44"/>
        <v>-</v>
      </c>
      <c r="AE50" s="32" t="str">
        <f t="shared" si="44"/>
        <v>-</v>
      </c>
      <c r="AF50" s="32" t="str">
        <f t="shared" si="44"/>
        <v>-</v>
      </c>
      <c r="AG50" s="32" t="str">
        <f t="shared" si="44"/>
        <v>-</v>
      </c>
      <c r="AH50" s="31" t="b">
        <v>1</v>
      </c>
      <c r="AI50" s="31" t="b">
        <v>1</v>
      </c>
      <c r="AJ50" s="31" t="b">
        <v>1</v>
      </c>
      <c r="AK50" s="32" t="str">
        <f t="shared" si="44"/>
        <v>-</v>
      </c>
      <c r="AL50" s="32" t="str">
        <f t="shared" si="44"/>
        <v>-</v>
      </c>
      <c r="AM50" s="32" t="str">
        <f t="shared" si="44"/>
        <v>-</v>
      </c>
      <c r="AN50" s="32" t="str">
        <f t="shared" si="44"/>
        <v>-</v>
      </c>
      <c r="AO50" s="25">
        <f t="shared" si="46"/>
        <v>-0.5</v>
      </c>
      <c r="AP50" s="31">
        <f>$AO50+2</f>
        <v>1.5</v>
      </c>
      <c r="AQ50" s="31">
        <f>$AO50-2</f>
        <v>-2.5</v>
      </c>
      <c r="AR50" s="32" t="str">
        <f t="shared" si="44"/>
        <v>-</v>
      </c>
      <c r="AS50" s="32" t="str">
        <f t="shared" si="44"/>
        <v>-</v>
      </c>
      <c r="AT50" s="32" t="str">
        <f t="shared" si="44"/>
        <v>-</v>
      </c>
      <c r="AU50" s="32">
        <f t="shared" si="44"/>
        <v>1</v>
      </c>
      <c r="AV50" s="32">
        <f t="shared" si="44"/>
        <v>1</v>
      </c>
      <c r="AW50" s="32">
        <f t="shared" si="44"/>
        <v>1</v>
      </c>
      <c r="AX50" s="32">
        <f t="shared" si="44"/>
        <v>1</v>
      </c>
      <c r="AY50" s="32">
        <f t="shared" si="44"/>
        <v>1</v>
      </c>
      <c r="AZ50" s="32">
        <f t="shared" si="44"/>
        <v>1</v>
      </c>
      <c r="BA50" s="32">
        <f t="shared" si="44"/>
        <v>1</v>
      </c>
      <c r="BB50" s="32">
        <f t="shared" si="44"/>
        <v>1</v>
      </c>
      <c r="BC50" s="32">
        <f t="shared" si="44"/>
        <v>1</v>
      </c>
      <c r="BD50" s="32">
        <f t="shared" si="44"/>
        <v>1</v>
      </c>
      <c r="BE50" s="32">
        <f t="shared" si="44"/>
        <v>1</v>
      </c>
      <c r="BF50" s="32">
        <f t="shared" si="44"/>
        <v>1</v>
      </c>
      <c r="BG50" s="32">
        <f t="shared" si="44"/>
        <v>1</v>
      </c>
      <c r="BH50" s="32">
        <f t="shared" si="44"/>
        <v>1</v>
      </c>
      <c r="BI50" s="32">
        <f t="shared" si="44"/>
        <v>1</v>
      </c>
      <c r="BJ50" s="32">
        <f t="shared" si="44"/>
        <v>1</v>
      </c>
      <c r="BK50" s="32">
        <f t="shared" si="44"/>
        <v>0</v>
      </c>
      <c r="BL50" s="32">
        <f t="shared" si="44"/>
        <v>0</v>
      </c>
      <c r="BM50" s="32">
        <f t="shared" si="44"/>
        <v>0</v>
      </c>
      <c r="BN50" s="32">
        <f t="shared" si="44"/>
        <v>0</v>
      </c>
      <c r="BO50" s="32">
        <f t="shared" si="44"/>
        <v>0</v>
      </c>
      <c r="BP50" s="15">
        <v>0</v>
      </c>
    </row>
    <row r="51" spans="1:68">
      <c r="A51" s="18"/>
      <c r="B51">
        <f t="shared" si="3"/>
        <v>46</v>
      </c>
      <c r="C51" t="b">
        <v>0</v>
      </c>
      <c r="D51" t="b">
        <v>0</v>
      </c>
      <c r="E51" t="b">
        <v>0</v>
      </c>
      <c r="F51" s="3" t="s">
        <v>102</v>
      </c>
      <c r="G51" s="26" t="str">
        <f>IF(MATCH(F51,F$5:F51,0)=(COUNTA(F$5:F51)),"-","Dup")</f>
        <v>-</v>
      </c>
      <c r="H51" s="32" t="str">
        <f t="shared" si="45"/>
        <v>-</v>
      </c>
      <c r="I51" s="32" t="b">
        <f t="shared" si="45"/>
        <v>0</v>
      </c>
      <c r="J51" s="32" t="b">
        <f t="shared" si="45"/>
        <v>1</v>
      </c>
      <c r="K51" s="32" t="str">
        <f t="shared" si="43"/>
        <v>-</v>
      </c>
      <c r="L51" s="32" t="str">
        <f t="shared" si="43"/>
        <v>-</v>
      </c>
      <c r="M51" s="32" t="str">
        <f t="shared" si="43"/>
        <v>-</v>
      </c>
      <c r="N51" s="32" t="str">
        <f t="shared" si="43"/>
        <v>-</v>
      </c>
      <c r="O51" s="32" t="str">
        <f t="shared" si="43"/>
        <v>-</v>
      </c>
      <c r="P51" s="32" t="str">
        <f t="shared" si="43"/>
        <v>-</v>
      </c>
      <c r="Q51" s="32" t="str">
        <f t="shared" si="43"/>
        <v>-</v>
      </c>
      <c r="R51" s="32" t="str">
        <f t="shared" si="43"/>
        <v>-</v>
      </c>
      <c r="S51" s="32" t="str">
        <f t="shared" si="43"/>
        <v>-</v>
      </c>
      <c r="T51" s="32" t="str">
        <f t="shared" si="43"/>
        <v>-</v>
      </c>
      <c r="U51" s="32" t="str">
        <f t="shared" si="43"/>
        <v>-</v>
      </c>
      <c r="V51" s="32" t="str">
        <f t="shared" si="43"/>
        <v>-</v>
      </c>
      <c r="W51" s="32" t="str">
        <f t="shared" si="43"/>
        <v>-</v>
      </c>
      <c r="X51" s="32" t="str">
        <f t="shared" si="43"/>
        <v>-</v>
      </c>
      <c r="Y51" s="32" t="str">
        <f t="shared" si="43"/>
        <v>-</v>
      </c>
      <c r="Z51" s="32" t="str">
        <f t="shared" si="43"/>
        <v>-</v>
      </c>
      <c r="AA51" s="32" t="str">
        <f t="shared" ref="AA51:AG59" si="47">AA$6</f>
        <v>-</v>
      </c>
      <c r="AB51" s="32" t="str">
        <f t="shared" si="47"/>
        <v>-</v>
      </c>
      <c r="AC51" s="32" t="str">
        <f t="shared" si="47"/>
        <v>-</v>
      </c>
      <c r="AD51" s="32" t="str">
        <f t="shared" si="47"/>
        <v>-</v>
      </c>
      <c r="AE51" s="32" t="str">
        <f t="shared" si="47"/>
        <v>-</v>
      </c>
      <c r="AF51" s="32" t="str">
        <f t="shared" si="47"/>
        <v>-</v>
      </c>
      <c r="AG51" s="32" t="str">
        <f t="shared" si="47"/>
        <v>-</v>
      </c>
      <c r="AH51" s="31" t="b">
        <v>1</v>
      </c>
      <c r="AI51" s="31" t="b">
        <v>1</v>
      </c>
      <c r="AJ51" s="31" t="b">
        <v>1</v>
      </c>
      <c r="AK51" s="32" t="str">
        <f t="shared" ref="AK51:AN63" si="48">AK$6</f>
        <v>-</v>
      </c>
      <c r="AL51" s="32" t="str">
        <f t="shared" si="48"/>
        <v>-</v>
      </c>
      <c r="AM51" s="32" t="str">
        <f t="shared" si="48"/>
        <v>-</v>
      </c>
      <c r="AN51" s="32" t="str">
        <f t="shared" si="48"/>
        <v>-</v>
      </c>
      <c r="AO51" s="21">
        <f>AO47+0.5</f>
        <v>0</v>
      </c>
      <c r="AP51" s="21">
        <f t="shared" ref="AP51:AQ51" si="49">AP47+0.5</f>
        <v>0.5</v>
      </c>
      <c r="AQ51" s="21">
        <f t="shared" si="49"/>
        <v>-0.5</v>
      </c>
      <c r="AR51" s="32" t="str">
        <f t="shared" si="44"/>
        <v>-</v>
      </c>
      <c r="AS51" s="32" t="str">
        <f t="shared" si="44"/>
        <v>-</v>
      </c>
      <c r="AT51" s="32" t="str">
        <f t="shared" si="44"/>
        <v>-</v>
      </c>
      <c r="AU51" s="32">
        <f t="shared" ref="AU51:BJ63" si="50">AU$6</f>
        <v>1</v>
      </c>
      <c r="AV51" s="32">
        <f t="shared" si="50"/>
        <v>1</v>
      </c>
      <c r="AW51" s="32">
        <f t="shared" si="50"/>
        <v>1</v>
      </c>
      <c r="AX51" s="32">
        <f t="shared" si="50"/>
        <v>1</v>
      </c>
      <c r="AY51" s="32">
        <f t="shared" si="50"/>
        <v>1</v>
      </c>
      <c r="AZ51" s="32">
        <f t="shared" si="50"/>
        <v>1</v>
      </c>
      <c r="BA51" s="32">
        <f t="shared" si="50"/>
        <v>1</v>
      </c>
      <c r="BB51" s="32">
        <f t="shared" si="50"/>
        <v>1</v>
      </c>
      <c r="BC51" s="32">
        <f t="shared" si="50"/>
        <v>1</v>
      </c>
      <c r="BD51" s="32">
        <f t="shared" si="50"/>
        <v>1</v>
      </c>
      <c r="BE51" s="32">
        <f t="shared" si="50"/>
        <v>1</v>
      </c>
      <c r="BF51" s="32">
        <f t="shared" si="50"/>
        <v>1</v>
      </c>
      <c r="BG51" s="32">
        <f t="shared" si="50"/>
        <v>1</v>
      </c>
      <c r="BH51" s="32">
        <f t="shared" si="50"/>
        <v>1</v>
      </c>
      <c r="BI51" s="32">
        <f t="shared" si="50"/>
        <v>1</v>
      </c>
      <c r="BJ51" s="32">
        <f t="shared" si="50"/>
        <v>1</v>
      </c>
      <c r="BK51" s="32">
        <f t="shared" ref="BK51:BO63" si="51">BK$6</f>
        <v>0</v>
      </c>
      <c r="BL51" s="32">
        <f t="shared" si="51"/>
        <v>0</v>
      </c>
      <c r="BM51" s="32">
        <f t="shared" si="51"/>
        <v>0</v>
      </c>
      <c r="BN51" s="32">
        <f t="shared" si="51"/>
        <v>0</v>
      </c>
      <c r="BO51" s="32">
        <f t="shared" si="51"/>
        <v>0</v>
      </c>
      <c r="BP51" s="15">
        <v>0</v>
      </c>
    </row>
    <row r="52" spans="1:68">
      <c r="A52" s="18"/>
      <c r="B52">
        <f t="shared" si="3"/>
        <v>47</v>
      </c>
      <c r="C52" t="b">
        <v>0</v>
      </c>
      <c r="D52" t="b">
        <v>0</v>
      </c>
      <c r="E52" t="b">
        <v>0</v>
      </c>
      <c r="F52" s="3" t="s">
        <v>103</v>
      </c>
      <c r="G52" s="26" t="str">
        <f>IF(MATCH(F52,F$5:F52,0)=(COUNTA(F$5:F52)),"-","Dup")</f>
        <v>-</v>
      </c>
      <c r="H52" s="32" t="str">
        <f t="shared" si="45"/>
        <v>-</v>
      </c>
      <c r="I52" s="32" t="b">
        <f t="shared" si="45"/>
        <v>0</v>
      </c>
      <c r="J52" s="32" t="b">
        <f t="shared" si="45"/>
        <v>1</v>
      </c>
      <c r="K52" s="32" t="str">
        <f t="shared" si="43"/>
        <v>-</v>
      </c>
      <c r="L52" s="32" t="str">
        <f t="shared" si="43"/>
        <v>-</v>
      </c>
      <c r="M52" s="32" t="str">
        <f t="shared" si="43"/>
        <v>-</v>
      </c>
      <c r="N52" s="32" t="str">
        <f t="shared" si="43"/>
        <v>-</v>
      </c>
      <c r="O52" s="32" t="str">
        <f t="shared" si="43"/>
        <v>-</v>
      </c>
      <c r="P52" s="32" t="str">
        <f t="shared" si="43"/>
        <v>-</v>
      </c>
      <c r="Q52" s="32" t="str">
        <f t="shared" si="43"/>
        <v>-</v>
      </c>
      <c r="R52" s="32" t="str">
        <f t="shared" si="43"/>
        <v>-</v>
      </c>
      <c r="S52" s="32" t="str">
        <f t="shared" si="43"/>
        <v>-</v>
      </c>
      <c r="T52" s="32" t="str">
        <f t="shared" si="43"/>
        <v>-</v>
      </c>
      <c r="U52" s="32" t="str">
        <f t="shared" si="43"/>
        <v>-</v>
      </c>
      <c r="V52" s="32" t="str">
        <f t="shared" si="43"/>
        <v>-</v>
      </c>
      <c r="W52" s="32" t="str">
        <f t="shared" si="43"/>
        <v>-</v>
      </c>
      <c r="X52" s="32" t="str">
        <f t="shared" si="43"/>
        <v>-</v>
      </c>
      <c r="Y52" s="32" t="str">
        <f t="shared" si="43"/>
        <v>-</v>
      </c>
      <c r="Z52" s="32" t="str">
        <f t="shared" si="43"/>
        <v>-</v>
      </c>
      <c r="AA52" s="32" t="str">
        <f t="shared" si="47"/>
        <v>-</v>
      </c>
      <c r="AB52" s="32" t="str">
        <f t="shared" si="47"/>
        <v>-</v>
      </c>
      <c r="AC52" s="32" t="str">
        <f t="shared" si="47"/>
        <v>-</v>
      </c>
      <c r="AD52" s="32" t="str">
        <f t="shared" si="47"/>
        <v>-</v>
      </c>
      <c r="AE52" s="32" t="str">
        <f t="shared" si="47"/>
        <v>-</v>
      </c>
      <c r="AF52" s="32" t="str">
        <f t="shared" si="47"/>
        <v>-</v>
      </c>
      <c r="AG52" s="32" t="str">
        <f t="shared" si="47"/>
        <v>-</v>
      </c>
      <c r="AH52" s="31" t="b">
        <v>1</v>
      </c>
      <c r="AI52" s="31" t="b">
        <v>1</v>
      </c>
      <c r="AJ52" s="31" t="b">
        <v>1</v>
      </c>
      <c r="AK52" s="32" t="str">
        <f t="shared" si="48"/>
        <v>-</v>
      </c>
      <c r="AL52" s="32" t="str">
        <f t="shared" si="48"/>
        <v>-</v>
      </c>
      <c r="AM52" s="32" t="str">
        <f t="shared" si="48"/>
        <v>-</v>
      </c>
      <c r="AN52" s="32" t="str">
        <f t="shared" si="48"/>
        <v>-</v>
      </c>
      <c r="AO52" s="21">
        <f t="shared" ref="AO52:AQ52" si="52">AO48+0.5</f>
        <v>0</v>
      </c>
      <c r="AP52" s="21">
        <f t="shared" si="52"/>
        <v>1</v>
      </c>
      <c r="AQ52" s="21">
        <f t="shared" si="52"/>
        <v>-1</v>
      </c>
      <c r="AR52" s="32" t="str">
        <f t="shared" si="44"/>
        <v>-</v>
      </c>
      <c r="AS52" s="32" t="str">
        <f t="shared" si="44"/>
        <v>-</v>
      </c>
      <c r="AT52" s="32" t="str">
        <f t="shared" si="44"/>
        <v>-</v>
      </c>
      <c r="AU52" s="32">
        <f t="shared" si="50"/>
        <v>1</v>
      </c>
      <c r="AV52" s="32">
        <f t="shared" si="50"/>
        <v>1</v>
      </c>
      <c r="AW52" s="32">
        <f t="shared" si="50"/>
        <v>1</v>
      </c>
      <c r="AX52" s="32">
        <f t="shared" si="50"/>
        <v>1</v>
      </c>
      <c r="AY52" s="32">
        <f t="shared" si="50"/>
        <v>1</v>
      </c>
      <c r="AZ52" s="32">
        <f t="shared" si="50"/>
        <v>1</v>
      </c>
      <c r="BA52" s="32">
        <f t="shared" si="50"/>
        <v>1</v>
      </c>
      <c r="BB52" s="32">
        <f t="shared" si="50"/>
        <v>1</v>
      </c>
      <c r="BC52" s="32">
        <f t="shared" si="50"/>
        <v>1</v>
      </c>
      <c r="BD52" s="32">
        <f t="shared" si="50"/>
        <v>1</v>
      </c>
      <c r="BE52" s="32">
        <f t="shared" si="50"/>
        <v>1</v>
      </c>
      <c r="BF52" s="32">
        <f t="shared" si="50"/>
        <v>1</v>
      </c>
      <c r="BG52" s="32">
        <f t="shared" si="50"/>
        <v>1</v>
      </c>
      <c r="BH52" s="32">
        <f t="shared" si="50"/>
        <v>1</v>
      </c>
      <c r="BI52" s="32">
        <f t="shared" si="50"/>
        <v>1</v>
      </c>
      <c r="BJ52" s="32">
        <f t="shared" si="50"/>
        <v>1</v>
      </c>
      <c r="BK52" s="32">
        <f t="shared" si="51"/>
        <v>0</v>
      </c>
      <c r="BL52" s="32">
        <f t="shared" si="51"/>
        <v>0</v>
      </c>
      <c r="BM52" s="32">
        <f t="shared" si="51"/>
        <v>0</v>
      </c>
      <c r="BN52" s="32">
        <f t="shared" si="51"/>
        <v>0</v>
      </c>
      <c r="BO52" s="32">
        <f t="shared" si="51"/>
        <v>0</v>
      </c>
      <c r="BP52" s="15">
        <v>0</v>
      </c>
    </row>
    <row r="53" spans="1:68">
      <c r="A53" s="18"/>
      <c r="B53">
        <f t="shared" si="3"/>
        <v>48</v>
      </c>
      <c r="C53" t="b">
        <v>0</v>
      </c>
      <c r="D53" t="b">
        <v>0</v>
      </c>
      <c r="E53" t="b">
        <v>0</v>
      </c>
      <c r="F53" s="3" t="s">
        <v>104</v>
      </c>
      <c r="G53" s="26" t="str">
        <f>IF(MATCH(F53,F$5:F53,0)=(COUNTA(F$5:F53)),"-","Dup")</f>
        <v>-</v>
      </c>
      <c r="H53" s="32" t="str">
        <f t="shared" si="45"/>
        <v>-</v>
      </c>
      <c r="I53" s="32" t="b">
        <f t="shared" si="45"/>
        <v>0</v>
      </c>
      <c r="J53" s="32" t="b">
        <f t="shared" si="45"/>
        <v>1</v>
      </c>
      <c r="K53" s="32" t="str">
        <f t="shared" si="43"/>
        <v>-</v>
      </c>
      <c r="L53" s="32" t="str">
        <f t="shared" si="43"/>
        <v>-</v>
      </c>
      <c r="M53" s="32" t="str">
        <f t="shared" si="43"/>
        <v>-</v>
      </c>
      <c r="N53" s="32" t="str">
        <f t="shared" si="43"/>
        <v>-</v>
      </c>
      <c r="O53" s="32" t="str">
        <f t="shared" si="43"/>
        <v>-</v>
      </c>
      <c r="P53" s="32" t="str">
        <f t="shared" si="43"/>
        <v>-</v>
      </c>
      <c r="Q53" s="32" t="str">
        <f t="shared" si="43"/>
        <v>-</v>
      </c>
      <c r="R53" s="32" t="str">
        <f t="shared" si="43"/>
        <v>-</v>
      </c>
      <c r="S53" s="32" t="str">
        <f t="shared" si="43"/>
        <v>-</v>
      </c>
      <c r="T53" s="32" t="str">
        <f t="shared" si="43"/>
        <v>-</v>
      </c>
      <c r="U53" s="32" t="str">
        <f t="shared" si="43"/>
        <v>-</v>
      </c>
      <c r="V53" s="32" t="str">
        <f t="shared" si="43"/>
        <v>-</v>
      </c>
      <c r="W53" s="32" t="str">
        <f t="shared" si="43"/>
        <v>-</v>
      </c>
      <c r="X53" s="32" t="str">
        <f t="shared" si="43"/>
        <v>-</v>
      </c>
      <c r="Y53" s="32" t="str">
        <f t="shared" si="43"/>
        <v>-</v>
      </c>
      <c r="Z53" s="32" t="str">
        <f t="shared" si="43"/>
        <v>-</v>
      </c>
      <c r="AA53" s="32" t="str">
        <f t="shared" si="47"/>
        <v>-</v>
      </c>
      <c r="AB53" s="32" t="str">
        <f t="shared" si="47"/>
        <v>-</v>
      </c>
      <c r="AC53" s="32" t="str">
        <f t="shared" si="47"/>
        <v>-</v>
      </c>
      <c r="AD53" s="32" t="str">
        <f t="shared" si="47"/>
        <v>-</v>
      </c>
      <c r="AE53" s="32" t="str">
        <f t="shared" si="47"/>
        <v>-</v>
      </c>
      <c r="AF53" s="32" t="str">
        <f t="shared" si="47"/>
        <v>-</v>
      </c>
      <c r="AG53" s="32" t="str">
        <f t="shared" si="47"/>
        <v>-</v>
      </c>
      <c r="AH53" s="31" t="b">
        <v>1</v>
      </c>
      <c r="AI53" s="31" t="b">
        <v>1</v>
      </c>
      <c r="AJ53" s="31" t="b">
        <v>1</v>
      </c>
      <c r="AK53" s="32" t="str">
        <f t="shared" si="48"/>
        <v>-</v>
      </c>
      <c r="AL53" s="32" t="str">
        <f t="shared" si="48"/>
        <v>-</v>
      </c>
      <c r="AM53" s="32" t="str">
        <f t="shared" si="48"/>
        <v>-</v>
      </c>
      <c r="AN53" s="32" t="str">
        <f t="shared" si="48"/>
        <v>-</v>
      </c>
      <c r="AO53" s="21">
        <f t="shared" ref="AO53:AQ53" si="53">AO49+0.5</f>
        <v>0</v>
      </c>
      <c r="AP53" s="21">
        <f t="shared" si="53"/>
        <v>1.5</v>
      </c>
      <c r="AQ53" s="21">
        <f t="shared" si="53"/>
        <v>-1.5</v>
      </c>
      <c r="AR53" s="32" t="str">
        <f t="shared" si="44"/>
        <v>-</v>
      </c>
      <c r="AS53" s="32" t="str">
        <f t="shared" si="44"/>
        <v>-</v>
      </c>
      <c r="AT53" s="32" t="str">
        <f t="shared" si="44"/>
        <v>-</v>
      </c>
      <c r="AU53" s="32">
        <f t="shared" si="50"/>
        <v>1</v>
      </c>
      <c r="AV53" s="32">
        <f t="shared" si="50"/>
        <v>1</v>
      </c>
      <c r="AW53" s="32">
        <f t="shared" si="50"/>
        <v>1</v>
      </c>
      <c r="AX53" s="32">
        <f t="shared" si="50"/>
        <v>1</v>
      </c>
      <c r="AY53" s="32">
        <f t="shared" si="50"/>
        <v>1</v>
      </c>
      <c r="AZ53" s="32">
        <f t="shared" si="50"/>
        <v>1</v>
      </c>
      <c r="BA53" s="32">
        <f t="shared" si="50"/>
        <v>1</v>
      </c>
      <c r="BB53" s="32">
        <f t="shared" si="50"/>
        <v>1</v>
      </c>
      <c r="BC53" s="32">
        <f t="shared" si="50"/>
        <v>1</v>
      </c>
      <c r="BD53" s="32">
        <f t="shared" si="50"/>
        <v>1</v>
      </c>
      <c r="BE53" s="32">
        <f t="shared" si="50"/>
        <v>1</v>
      </c>
      <c r="BF53" s="32">
        <f t="shared" si="50"/>
        <v>1</v>
      </c>
      <c r="BG53" s="32">
        <f t="shared" si="50"/>
        <v>1</v>
      </c>
      <c r="BH53" s="32">
        <f t="shared" si="50"/>
        <v>1</v>
      </c>
      <c r="BI53" s="32">
        <f t="shared" si="50"/>
        <v>1</v>
      </c>
      <c r="BJ53" s="32">
        <f t="shared" si="50"/>
        <v>1</v>
      </c>
      <c r="BK53" s="32">
        <f t="shared" si="51"/>
        <v>0</v>
      </c>
      <c r="BL53" s="32">
        <f t="shared" si="51"/>
        <v>0</v>
      </c>
      <c r="BM53" s="32">
        <f t="shared" si="51"/>
        <v>0</v>
      </c>
      <c r="BN53" s="32">
        <f t="shared" si="51"/>
        <v>0</v>
      </c>
      <c r="BO53" s="32">
        <f t="shared" si="51"/>
        <v>0</v>
      </c>
      <c r="BP53" s="15">
        <v>0</v>
      </c>
    </row>
    <row r="54" spans="1:68">
      <c r="A54" s="18"/>
      <c r="B54">
        <f t="shared" si="3"/>
        <v>49</v>
      </c>
      <c r="C54" t="b">
        <v>0</v>
      </c>
      <c r="D54" t="b">
        <v>0</v>
      </c>
      <c r="E54" t="b">
        <v>0</v>
      </c>
      <c r="F54" s="3" t="s">
        <v>105</v>
      </c>
      <c r="G54" s="26" t="str">
        <f>IF(MATCH(F54,F$5:F54,0)=(COUNTA(F$5:F54)),"-","Dup")</f>
        <v>-</v>
      </c>
      <c r="H54" s="32" t="str">
        <f t="shared" si="45"/>
        <v>-</v>
      </c>
      <c r="I54" s="32" t="b">
        <f t="shared" si="45"/>
        <v>0</v>
      </c>
      <c r="J54" s="32" t="b">
        <f t="shared" si="45"/>
        <v>1</v>
      </c>
      <c r="K54" s="32" t="str">
        <f t="shared" si="43"/>
        <v>-</v>
      </c>
      <c r="L54" s="32" t="str">
        <f t="shared" si="43"/>
        <v>-</v>
      </c>
      <c r="M54" s="32" t="str">
        <f t="shared" si="43"/>
        <v>-</v>
      </c>
      <c r="N54" s="32" t="str">
        <f t="shared" si="43"/>
        <v>-</v>
      </c>
      <c r="O54" s="32" t="str">
        <f t="shared" si="43"/>
        <v>-</v>
      </c>
      <c r="P54" s="32" t="str">
        <f t="shared" si="43"/>
        <v>-</v>
      </c>
      <c r="Q54" s="32" t="str">
        <f t="shared" si="43"/>
        <v>-</v>
      </c>
      <c r="R54" s="32" t="str">
        <f t="shared" si="43"/>
        <v>-</v>
      </c>
      <c r="S54" s="32" t="str">
        <f t="shared" si="43"/>
        <v>-</v>
      </c>
      <c r="T54" s="32" t="str">
        <f t="shared" si="43"/>
        <v>-</v>
      </c>
      <c r="U54" s="32" t="str">
        <f t="shared" si="43"/>
        <v>-</v>
      </c>
      <c r="V54" s="32" t="str">
        <f t="shared" si="43"/>
        <v>-</v>
      </c>
      <c r="W54" s="32" t="str">
        <f t="shared" si="43"/>
        <v>-</v>
      </c>
      <c r="X54" s="32" t="str">
        <f t="shared" si="43"/>
        <v>-</v>
      </c>
      <c r="Y54" s="32" t="str">
        <f t="shared" si="43"/>
        <v>-</v>
      </c>
      <c r="Z54" s="32" t="str">
        <f t="shared" si="43"/>
        <v>-</v>
      </c>
      <c r="AA54" s="32" t="str">
        <f t="shared" si="47"/>
        <v>-</v>
      </c>
      <c r="AB54" s="32" t="str">
        <f t="shared" si="47"/>
        <v>-</v>
      </c>
      <c r="AC54" s="32" t="str">
        <f t="shared" si="47"/>
        <v>-</v>
      </c>
      <c r="AD54" s="32" t="str">
        <f t="shared" si="47"/>
        <v>-</v>
      </c>
      <c r="AE54" s="32" t="str">
        <f t="shared" si="47"/>
        <v>-</v>
      </c>
      <c r="AF54" s="32" t="str">
        <f t="shared" si="47"/>
        <v>-</v>
      </c>
      <c r="AG54" s="32" t="str">
        <f t="shared" si="47"/>
        <v>-</v>
      </c>
      <c r="AH54" s="31" t="b">
        <v>1</v>
      </c>
      <c r="AI54" s="31" t="b">
        <v>1</v>
      </c>
      <c r="AJ54" s="31" t="b">
        <v>1</v>
      </c>
      <c r="AK54" s="32" t="str">
        <f t="shared" si="48"/>
        <v>-</v>
      </c>
      <c r="AL54" s="32" t="str">
        <f t="shared" si="48"/>
        <v>-</v>
      </c>
      <c r="AM54" s="32" t="str">
        <f t="shared" si="48"/>
        <v>-</v>
      </c>
      <c r="AN54" s="32" t="str">
        <f t="shared" si="48"/>
        <v>-</v>
      </c>
      <c r="AO54" s="21">
        <f t="shared" ref="AO54:AQ54" si="54">AO50+0.5</f>
        <v>0</v>
      </c>
      <c r="AP54" s="21">
        <f t="shared" si="54"/>
        <v>2</v>
      </c>
      <c r="AQ54" s="21">
        <f t="shared" si="54"/>
        <v>-2</v>
      </c>
      <c r="AR54" s="32" t="str">
        <f t="shared" si="44"/>
        <v>-</v>
      </c>
      <c r="AS54" s="32" t="str">
        <f t="shared" si="44"/>
        <v>-</v>
      </c>
      <c r="AT54" s="32" t="str">
        <f t="shared" si="44"/>
        <v>-</v>
      </c>
      <c r="AU54" s="32">
        <f t="shared" si="50"/>
        <v>1</v>
      </c>
      <c r="AV54" s="32">
        <f t="shared" si="50"/>
        <v>1</v>
      </c>
      <c r="AW54" s="32">
        <f t="shared" si="50"/>
        <v>1</v>
      </c>
      <c r="AX54" s="32">
        <f t="shared" si="50"/>
        <v>1</v>
      </c>
      <c r="AY54" s="32">
        <f t="shared" si="50"/>
        <v>1</v>
      </c>
      <c r="AZ54" s="32">
        <f t="shared" si="50"/>
        <v>1</v>
      </c>
      <c r="BA54" s="32">
        <f t="shared" si="50"/>
        <v>1</v>
      </c>
      <c r="BB54" s="32">
        <f t="shared" si="50"/>
        <v>1</v>
      </c>
      <c r="BC54" s="32">
        <f t="shared" si="50"/>
        <v>1</v>
      </c>
      <c r="BD54" s="32">
        <f t="shared" si="50"/>
        <v>1</v>
      </c>
      <c r="BE54" s="32">
        <f t="shared" si="50"/>
        <v>1</v>
      </c>
      <c r="BF54" s="32">
        <f t="shared" si="50"/>
        <v>1</v>
      </c>
      <c r="BG54" s="32">
        <f t="shared" si="50"/>
        <v>1</v>
      </c>
      <c r="BH54" s="32">
        <f t="shared" si="50"/>
        <v>1</v>
      </c>
      <c r="BI54" s="32">
        <f t="shared" si="50"/>
        <v>1</v>
      </c>
      <c r="BJ54" s="32">
        <f t="shared" si="50"/>
        <v>1</v>
      </c>
      <c r="BK54" s="32">
        <f t="shared" si="51"/>
        <v>0</v>
      </c>
      <c r="BL54" s="32">
        <f t="shared" si="51"/>
        <v>0</v>
      </c>
      <c r="BM54" s="32">
        <f t="shared" si="51"/>
        <v>0</v>
      </c>
      <c r="BN54" s="32">
        <f t="shared" si="51"/>
        <v>0</v>
      </c>
      <c r="BO54" s="32">
        <f t="shared" si="51"/>
        <v>0</v>
      </c>
      <c r="BP54" s="15">
        <v>0</v>
      </c>
    </row>
    <row r="55" spans="1:68">
      <c r="A55" s="18"/>
      <c r="B55">
        <f t="shared" si="3"/>
        <v>50</v>
      </c>
      <c r="C55" t="b">
        <v>0</v>
      </c>
      <c r="D55" t="b">
        <v>0</v>
      </c>
      <c r="E55" t="b">
        <v>0</v>
      </c>
      <c r="F55" s="3" t="s">
        <v>106</v>
      </c>
      <c r="G55" s="26" t="str">
        <f>IF(MATCH(F55,F$5:F55,0)=(COUNTA(F$5:F55)),"-","Dup")</f>
        <v>-</v>
      </c>
      <c r="H55" s="32" t="str">
        <f t="shared" si="45"/>
        <v>-</v>
      </c>
      <c r="I55" s="32" t="b">
        <f t="shared" si="45"/>
        <v>0</v>
      </c>
      <c r="J55" s="32" t="b">
        <f t="shared" si="45"/>
        <v>1</v>
      </c>
      <c r="K55" s="32" t="str">
        <f t="shared" si="43"/>
        <v>-</v>
      </c>
      <c r="L55" s="32" t="str">
        <f t="shared" si="43"/>
        <v>-</v>
      </c>
      <c r="M55" s="32" t="str">
        <f t="shared" si="43"/>
        <v>-</v>
      </c>
      <c r="N55" s="32" t="str">
        <f t="shared" si="43"/>
        <v>-</v>
      </c>
      <c r="O55" s="32" t="str">
        <f t="shared" si="43"/>
        <v>-</v>
      </c>
      <c r="P55" s="32" t="str">
        <f t="shared" si="43"/>
        <v>-</v>
      </c>
      <c r="Q55" s="32" t="str">
        <f t="shared" si="43"/>
        <v>-</v>
      </c>
      <c r="R55" s="32" t="str">
        <f t="shared" si="43"/>
        <v>-</v>
      </c>
      <c r="S55" s="32" t="str">
        <f t="shared" si="43"/>
        <v>-</v>
      </c>
      <c r="T55" s="32" t="str">
        <f t="shared" si="43"/>
        <v>-</v>
      </c>
      <c r="U55" s="32" t="str">
        <f t="shared" si="43"/>
        <v>-</v>
      </c>
      <c r="V55" s="32" t="str">
        <f t="shared" si="43"/>
        <v>-</v>
      </c>
      <c r="W55" s="32" t="str">
        <f t="shared" si="43"/>
        <v>-</v>
      </c>
      <c r="X55" s="32" t="str">
        <f t="shared" si="43"/>
        <v>-</v>
      </c>
      <c r="Y55" s="32" t="str">
        <f t="shared" si="43"/>
        <v>-</v>
      </c>
      <c r="Z55" s="32" t="str">
        <f t="shared" si="43"/>
        <v>-</v>
      </c>
      <c r="AA55" s="32" t="str">
        <f t="shared" si="47"/>
        <v>-</v>
      </c>
      <c r="AB55" s="32" t="str">
        <f t="shared" si="47"/>
        <v>-</v>
      </c>
      <c r="AC55" s="32" t="str">
        <f t="shared" si="47"/>
        <v>-</v>
      </c>
      <c r="AD55" s="32" t="str">
        <f t="shared" si="47"/>
        <v>-</v>
      </c>
      <c r="AE55" s="32" t="str">
        <f t="shared" si="47"/>
        <v>-</v>
      </c>
      <c r="AF55" s="32" t="str">
        <f t="shared" si="47"/>
        <v>-</v>
      </c>
      <c r="AG55" s="32" t="str">
        <f t="shared" si="47"/>
        <v>-</v>
      </c>
      <c r="AH55" s="31" t="b">
        <v>1</v>
      </c>
      <c r="AI55" s="31" t="b">
        <v>1</v>
      </c>
      <c r="AJ55" s="31" t="b">
        <v>1</v>
      </c>
      <c r="AK55" s="32" t="str">
        <f t="shared" si="48"/>
        <v>-</v>
      </c>
      <c r="AL55" s="32" t="str">
        <f t="shared" si="48"/>
        <v>-</v>
      </c>
      <c r="AM55" s="32" t="str">
        <f t="shared" si="48"/>
        <v>-</v>
      </c>
      <c r="AN55" s="32" t="str">
        <f t="shared" si="48"/>
        <v>-</v>
      </c>
      <c r="AO55" s="21">
        <f t="shared" ref="AO55:AQ55" si="55">AO51+0.5</f>
        <v>0.5</v>
      </c>
      <c r="AP55" s="21">
        <f t="shared" si="55"/>
        <v>1</v>
      </c>
      <c r="AQ55" s="21">
        <f t="shared" si="55"/>
        <v>0</v>
      </c>
      <c r="AR55" s="32" t="str">
        <f t="shared" si="44"/>
        <v>-</v>
      </c>
      <c r="AS55" s="32" t="str">
        <f t="shared" si="44"/>
        <v>-</v>
      </c>
      <c r="AT55" s="32" t="str">
        <f t="shared" ref="AR55:AT63" si="56">AT$6</f>
        <v>-</v>
      </c>
      <c r="AU55" s="32">
        <f t="shared" si="50"/>
        <v>1</v>
      </c>
      <c r="AV55" s="32">
        <f t="shared" si="50"/>
        <v>1</v>
      </c>
      <c r="AW55" s="32">
        <f t="shared" si="50"/>
        <v>1</v>
      </c>
      <c r="AX55" s="32">
        <f t="shared" si="50"/>
        <v>1</v>
      </c>
      <c r="AY55" s="32">
        <f t="shared" si="50"/>
        <v>1</v>
      </c>
      <c r="AZ55" s="32">
        <f t="shared" si="50"/>
        <v>1</v>
      </c>
      <c r="BA55" s="32">
        <f t="shared" si="50"/>
        <v>1</v>
      </c>
      <c r="BB55" s="32">
        <f t="shared" si="50"/>
        <v>1</v>
      </c>
      <c r="BC55" s="32">
        <f t="shared" si="50"/>
        <v>1</v>
      </c>
      <c r="BD55" s="32">
        <f t="shared" si="50"/>
        <v>1</v>
      </c>
      <c r="BE55" s="32">
        <f t="shared" si="50"/>
        <v>1</v>
      </c>
      <c r="BF55" s="32">
        <f t="shared" si="50"/>
        <v>1</v>
      </c>
      <c r="BG55" s="32">
        <f t="shared" si="50"/>
        <v>1</v>
      </c>
      <c r="BH55" s="32">
        <f t="shared" si="50"/>
        <v>1</v>
      </c>
      <c r="BI55" s="32">
        <f t="shared" si="50"/>
        <v>1</v>
      </c>
      <c r="BJ55" s="32">
        <f t="shared" si="50"/>
        <v>1</v>
      </c>
      <c r="BK55" s="32">
        <f t="shared" si="51"/>
        <v>0</v>
      </c>
      <c r="BL55" s="32">
        <f t="shared" si="51"/>
        <v>0</v>
      </c>
      <c r="BM55" s="32">
        <f t="shared" si="51"/>
        <v>0</v>
      </c>
      <c r="BN55" s="32">
        <f t="shared" si="51"/>
        <v>0</v>
      </c>
      <c r="BO55" s="32">
        <f t="shared" si="51"/>
        <v>0</v>
      </c>
      <c r="BP55" s="15">
        <v>0</v>
      </c>
    </row>
    <row r="56" spans="1:68">
      <c r="A56" s="18"/>
      <c r="B56">
        <f t="shared" si="3"/>
        <v>51</v>
      </c>
      <c r="C56" t="b">
        <v>0</v>
      </c>
      <c r="D56" t="b">
        <v>0</v>
      </c>
      <c r="E56" t="b">
        <v>0</v>
      </c>
      <c r="F56" s="3" t="s">
        <v>107</v>
      </c>
      <c r="G56" s="26" t="str">
        <f>IF(MATCH(F56,F$5:F56,0)=(COUNTA(F$5:F56)),"-","Dup")</f>
        <v>-</v>
      </c>
      <c r="H56" s="32" t="str">
        <f t="shared" si="45"/>
        <v>-</v>
      </c>
      <c r="I56" s="32" t="b">
        <f t="shared" si="45"/>
        <v>0</v>
      </c>
      <c r="J56" s="32" t="b">
        <f t="shared" si="45"/>
        <v>1</v>
      </c>
      <c r="K56" s="32" t="str">
        <f t="shared" si="43"/>
        <v>-</v>
      </c>
      <c r="L56" s="32" t="str">
        <f t="shared" si="43"/>
        <v>-</v>
      </c>
      <c r="M56" s="32" t="str">
        <f t="shared" si="43"/>
        <v>-</v>
      </c>
      <c r="N56" s="32" t="str">
        <f t="shared" si="43"/>
        <v>-</v>
      </c>
      <c r="O56" s="32" t="str">
        <f t="shared" si="43"/>
        <v>-</v>
      </c>
      <c r="P56" s="32" t="str">
        <f t="shared" si="43"/>
        <v>-</v>
      </c>
      <c r="Q56" s="32" t="str">
        <f t="shared" si="43"/>
        <v>-</v>
      </c>
      <c r="R56" s="32" t="str">
        <f t="shared" si="43"/>
        <v>-</v>
      </c>
      <c r="S56" s="32" t="str">
        <f t="shared" si="43"/>
        <v>-</v>
      </c>
      <c r="T56" s="32" t="str">
        <f t="shared" si="43"/>
        <v>-</v>
      </c>
      <c r="U56" s="32" t="str">
        <f t="shared" si="43"/>
        <v>-</v>
      </c>
      <c r="V56" s="32" t="str">
        <f t="shared" si="43"/>
        <v>-</v>
      </c>
      <c r="W56" s="32" t="str">
        <f t="shared" si="43"/>
        <v>-</v>
      </c>
      <c r="X56" s="32" t="str">
        <f t="shared" si="43"/>
        <v>-</v>
      </c>
      <c r="Y56" s="32" t="str">
        <f t="shared" si="43"/>
        <v>-</v>
      </c>
      <c r="Z56" s="32" t="str">
        <f t="shared" si="43"/>
        <v>-</v>
      </c>
      <c r="AA56" s="32" t="str">
        <f t="shared" si="47"/>
        <v>-</v>
      </c>
      <c r="AB56" s="32" t="str">
        <f t="shared" si="47"/>
        <v>-</v>
      </c>
      <c r="AC56" s="32" t="str">
        <f t="shared" si="47"/>
        <v>-</v>
      </c>
      <c r="AD56" s="32" t="str">
        <f t="shared" si="47"/>
        <v>-</v>
      </c>
      <c r="AE56" s="32" t="str">
        <f t="shared" si="47"/>
        <v>-</v>
      </c>
      <c r="AF56" s="32" t="str">
        <f t="shared" si="47"/>
        <v>-</v>
      </c>
      <c r="AG56" s="32" t="str">
        <f t="shared" si="47"/>
        <v>-</v>
      </c>
      <c r="AH56" s="31" t="b">
        <v>1</v>
      </c>
      <c r="AI56" s="31" t="b">
        <v>1</v>
      </c>
      <c r="AJ56" s="31" t="b">
        <v>1</v>
      </c>
      <c r="AK56" s="32" t="str">
        <f t="shared" si="48"/>
        <v>-</v>
      </c>
      <c r="AL56" s="32" t="str">
        <f t="shared" si="48"/>
        <v>-</v>
      </c>
      <c r="AM56" s="32" t="str">
        <f t="shared" si="48"/>
        <v>-</v>
      </c>
      <c r="AN56" s="32" t="str">
        <f t="shared" si="48"/>
        <v>-</v>
      </c>
      <c r="AO56" s="21">
        <f t="shared" ref="AO56:AQ56" si="57">AO52+0.5</f>
        <v>0.5</v>
      </c>
      <c r="AP56" s="21">
        <f t="shared" si="57"/>
        <v>1.5</v>
      </c>
      <c r="AQ56" s="21">
        <f t="shared" si="57"/>
        <v>-0.5</v>
      </c>
      <c r="AR56" s="32" t="str">
        <f t="shared" si="56"/>
        <v>-</v>
      </c>
      <c r="AS56" s="32" t="str">
        <f t="shared" si="56"/>
        <v>-</v>
      </c>
      <c r="AT56" s="32" t="str">
        <f t="shared" si="56"/>
        <v>-</v>
      </c>
      <c r="AU56" s="32">
        <f t="shared" si="50"/>
        <v>1</v>
      </c>
      <c r="AV56" s="32">
        <f t="shared" si="50"/>
        <v>1</v>
      </c>
      <c r="AW56" s="32">
        <f t="shared" si="50"/>
        <v>1</v>
      </c>
      <c r="AX56" s="32">
        <f t="shared" si="50"/>
        <v>1</v>
      </c>
      <c r="AY56" s="32">
        <f t="shared" si="50"/>
        <v>1</v>
      </c>
      <c r="AZ56" s="32">
        <f t="shared" si="50"/>
        <v>1</v>
      </c>
      <c r="BA56" s="32">
        <f t="shared" si="50"/>
        <v>1</v>
      </c>
      <c r="BB56" s="32">
        <f t="shared" si="50"/>
        <v>1</v>
      </c>
      <c r="BC56" s="32">
        <f t="shared" si="50"/>
        <v>1</v>
      </c>
      <c r="BD56" s="32">
        <f t="shared" si="50"/>
        <v>1</v>
      </c>
      <c r="BE56" s="32">
        <f t="shared" si="50"/>
        <v>1</v>
      </c>
      <c r="BF56" s="32">
        <f t="shared" si="50"/>
        <v>1</v>
      </c>
      <c r="BG56" s="32">
        <f t="shared" si="50"/>
        <v>1</v>
      </c>
      <c r="BH56" s="32">
        <f t="shared" si="50"/>
        <v>1</v>
      </c>
      <c r="BI56" s="32">
        <f t="shared" si="50"/>
        <v>1</v>
      </c>
      <c r="BJ56" s="32">
        <f t="shared" si="50"/>
        <v>1</v>
      </c>
      <c r="BK56" s="32">
        <f t="shared" si="51"/>
        <v>0</v>
      </c>
      <c r="BL56" s="32">
        <f t="shared" si="51"/>
        <v>0</v>
      </c>
      <c r="BM56" s="32">
        <f t="shared" si="51"/>
        <v>0</v>
      </c>
      <c r="BN56" s="32">
        <f t="shared" si="51"/>
        <v>0</v>
      </c>
      <c r="BO56" s="32">
        <f t="shared" si="51"/>
        <v>0</v>
      </c>
      <c r="BP56" s="15">
        <v>0</v>
      </c>
    </row>
    <row r="57" spans="1:68">
      <c r="A57" s="18"/>
      <c r="B57">
        <f t="shared" si="3"/>
        <v>52</v>
      </c>
      <c r="C57" t="b">
        <v>0</v>
      </c>
      <c r="D57" t="b">
        <v>0</v>
      </c>
      <c r="E57" t="b">
        <v>0</v>
      </c>
      <c r="F57" s="3" t="s">
        <v>108</v>
      </c>
      <c r="G57" s="26" t="str">
        <f>IF(MATCH(F57,F$5:F57,0)=(COUNTA(F$5:F57)),"-","Dup")</f>
        <v>-</v>
      </c>
      <c r="H57" s="32" t="str">
        <f t="shared" si="45"/>
        <v>-</v>
      </c>
      <c r="I57" s="32" t="b">
        <f t="shared" si="45"/>
        <v>0</v>
      </c>
      <c r="J57" s="32" t="b">
        <f t="shared" si="45"/>
        <v>1</v>
      </c>
      <c r="K57" s="32" t="str">
        <f t="shared" si="43"/>
        <v>-</v>
      </c>
      <c r="L57" s="32" t="str">
        <f t="shared" si="43"/>
        <v>-</v>
      </c>
      <c r="M57" s="32" t="str">
        <f t="shared" si="43"/>
        <v>-</v>
      </c>
      <c r="N57" s="32" t="str">
        <f t="shared" si="43"/>
        <v>-</v>
      </c>
      <c r="O57" s="32" t="str">
        <f t="shared" si="43"/>
        <v>-</v>
      </c>
      <c r="P57" s="32" t="str">
        <f t="shared" si="43"/>
        <v>-</v>
      </c>
      <c r="Q57" s="32" t="str">
        <f t="shared" si="43"/>
        <v>-</v>
      </c>
      <c r="R57" s="32" t="str">
        <f t="shared" si="43"/>
        <v>-</v>
      </c>
      <c r="S57" s="32" t="str">
        <f t="shared" si="43"/>
        <v>-</v>
      </c>
      <c r="T57" s="32" t="str">
        <f t="shared" si="43"/>
        <v>-</v>
      </c>
      <c r="U57" s="32" t="str">
        <f t="shared" si="43"/>
        <v>-</v>
      </c>
      <c r="V57" s="32" t="str">
        <f t="shared" si="43"/>
        <v>-</v>
      </c>
      <c r="W57" s="32" t="str">
        <f t="shared" si="43"/>
        <v>-</v>
      </c>
      <c r="X57" s="32" t="str">
        <f t="shared" si="43"/>
        <v>-</v>
      </c>
      <c r="Y57" s="32" t="str">
        <f t="shared" si="43"/>
        <v>-</v>
      </c>
      <c r="Z57" s="32" t="str">
        <f t="shared" si="43"/>
        <v>-</v>
      </c>
      <c r="AA57" s="32" t="str">
        <f t="shared" si="47"/>
        <v>-</v>
      </c>
      <c r="AB57" s="32" t="str">
        <f t="shared" si="47"/>
        <v>-</v>
      </c>
      <c r="AC57" s="32" t="str">
        <f t="shared" si="47"/>
        <v>-</v>
      </c>
      <c r="AD57" s="32" t="str">
        <f t="shared" si="47"/>
        <v>-</v>
      </c>
      <c r="AE57" s="32" t="str">
        <f t="shared" si="47"/>
        <v>-</v>
      </c>
      <c r="AF57" s="32" t="str">
        <f t="shared" si="47"/>
        <v>-</v>
      </c>
      <c r="AG57" s="32" t="str">
        <f t="shared" si="47"/>
        <v>-</v>
      </c>
      <c r="AH57" s="31" t="b">
        <v>1</v>
      </c>
      <c r="AI57" s="31" t="b">
        <v>1</v>
      </c>
      <c r="AJ57" s="31" t="b">
        <v>1</v>
      </c>
      <c r="AK57" s="32" t="str">
        <f t="shared" si="48"/>
        <v>-</v>
      </c>
      <c r="AL57" s="32" t="str">
        <f t="shared" si="48"/>
        <v>-</v>
      </c>
      <c r="AM57" s="32" t="str">
        <f t="shared" si="48"/>
        <v>-</v>
      </c>
      <c r="AN57" s="32" t="str">
        <f t="shared" si="48"/>
        <v>-</v>
      </c>
      <c r="AO57" s="21">
        <f t="shared" ref="AO57:AQ57" si="58">AO53+0.5</f>
        <v>0.5</v>
      </c>
      <c r="AP57" s="21">
        <f t="shared" si="58"/>
        <v>2</v>
      </c>
      <c r="AQ57" s="21">
        <f t="shared" si="58"/>
        <v>-1</v>
      </c>
      <c r="AR57" s="32" t="str">
        <f t="shared" si="56"/>
        <v>-</v>
      </c>
      <c r="AS57" s="32" t="str">
        <f t="shared" si="56"/>
        <v>-</v>
      </c>
      <c r="AT57" s="32" t="str">
        <f t="shared" si="56"/>
        <v>-</v>
      </c>
      <c r="AU57" s="32">
        <f t="shared" si="50"/>
        <v>1</v>
      </c>
      <c r="AV57" s="32">
        <f t="shared" si="50"/>
        <v>1</v>
      </c>
      <c r="AW57" s="32">
        <f t="shared" si="50"/>
        <v>1</v>
      </c>
      <c r="AX57" s="32">
        <f t="shared" si="50"/>
        <v>1</v>
      </c>
      <c r="AY57" s="32">
        <f t="shared" si="50"/>
        <v>1</v>
      </c>
      <c r="AZ57" s="32">
        <f t="shared" si="50"/>
        <v>1</v>
      </c>
      <c r="BA57" s="32">
        <f t="shared" si="50"/>
        <v>1</v>
      </c>
      <c r="BB57" s="32">
        <f t="shared" si="50"/>
        <v>1</v>
      </c>
      <c r="BC57" s="32">
        <f t="shared" si="50"/>
        <v>1</v>
      </c>
      <c r="BD57" s="32">
        <f t="shared" si="50"/>
        <v>1</v>
      </c>
      <c r="BE57" s="32">
        <f t="shared" si="50"/>
        <v>1</v>
      </c>
      <c r="BF57" s="32">
        <f t="shared" si="50"/>
        <v>1</v>
      </c>
      <c r="BG57" s="32">
        <f t="shared" si="50"/>
        <v>1</v>
      </c>
      <c r="BH57" s="32">
        <f t="shared" si="50"/>
        <v>1</v>
      </c>
      <c r="BI57" s="32">
        <f t="shared" si="50"/>
        <v>1</v>
      </c>
      <c r="BJ57" s="32">
        <f t="shared" si="50"/>
        <v>1</v>
      </c>
      <c r="BK57" s="32">
        <f t="shared" si="51"/>
        <v>0</v>
      </c>
      <c r="BL57" s="32">
        <f t="shared" si="51"/>
        <v>0</v>
      </c>
      <c r="BM57" s="32">
        <f t="shared" si="51"/>
        <v>0</v>
      </c>
      <c r="BN57" s="32">
        <f t="shared" si="51"/>
        <v>0</v>
      </c>
      <c r="BO57" s="32">
        <f t="shared" si="51"/>
        <v>0</v>
      </c>
      <c r="BP57" s="15">
        <v>0</v>
      </c>
    </row>
    <row r="58" spans="1:68">
      <c r="A58" s="18"/>
      <c r="B58">
        <f t="shared" si="3"/>
        <v>53</v>
      </c>
      <c r="C58" t="b">
        <v>0</v>
      </c>
      <c r="D58" t="b">
        <v>0</v>
      </c>
      <c r="E58" t="b">
        <v>0</v>
      </c>
      <c r="F58" s="3" t="s">
        <v>109</v>
      </c>
      <c r="G58" s="26" t="str">
        <f>IF(MATCH(F58,F$5:F58,0)=(COUNTA(F$5:F58)),"-","Dup")</f>
        <v>-</v>
      </c>
      <c r="H58" s="32" t="str">
        <f t="shared" si="45"/>
        <v>-</v>
      </c>
      <c r="I58" s="32" t="b">
        <f t="shared" si="45"/>
        <v>0</v>
      </c>
      <c r="J58" s="32" t="b">
        <f t="shared" si="45"/>
        <v>1</v>
      </c>
      <c r="K58" s="32" t="str">
        <f t="shared" si="43"/>
        <v>-</v>
      </c>
      <c r="L58" s="32" t="str">
        <f t="shared" si="43"/>
        <v>-</v>
      </c>
      <c r="M58" s="32" t="str">
        <f t="shared" si="43"/>
        <v>-</v>
      </c>
      <c r="N58" s="32" t="str">
        <f t="shared" si="43"/>
        <v>-</v>
      </c>
      <c r="O58" s="32" t="str">
        <f t="shared" si="43"/>
        <v>-</v>
      </c>
      <c r="P58" s="32" t="str">
        <f t="shared" si="43"/>
        <v>-</v>
      </c>
      <c r="Q58" s="32" t="str">
        <f t="shared" si="43"/>
        <v>-</v>
      </c>
      <c r="R58" s="32" t="str">
        <f t="shared" si="43"/>
        <v>-</v>
      </c>
      <c r="S58" s="32" t="str">
        <f t="shared" si="43"/>
        <v>-</v>
      </c>
      <c r="T58" s="32" t="str">
        <f t="shared" si="43"/>
        <v>-</v>
      </c>
      <c r="U58" s="32" t="str">
        <f t="shared" si="43"/>
        <v>-</v>
      </c>
      <c r="V58" s="32" t="str">
        <f t="shared" si="43"/>
        <v>-</v>
      </c>
      <c r="W58" s="32" t="str">
        <f t="shared" si="43"/>
        <v>-</v>
      </c>
      <c r="X58" s="32" t="str">
        <f t="shared" si="43"/>
        <v>-</v>
      </c>
      <c r="Y58" s="32" t="str">
        <f t="shared" si="43"/>
        <v>-</v>
      </c>
      <c r="Z58" s="32" t="str">
        <f t="shared" si="43"/>
        <v>-</v>
      </c>
      <c r="AA58" s="32" t="str">
        <f t="shared" si="47"/>
        <v>-</v>
      </c>
      <c r="AB58" s="32" t="str">
        <f t="shared" si="47"/>
        <v>-</v>
      </c>
      <c r="AC58" s="32" t="str">
        <f t="shared" si="47"/>
        <v>-</v>
      </c>
      <c r="AD58" s="32" t="str">
        <f t="shared" si="47"/>
        <v>-</v>
      </c>
      <c r="AE58" s="32" t="str">
        <f t="shared" si="47"/>
        <v>-</v>
      </c>
      <c r="AF58" s="32" t="str">
        <f t="shared" si="47"/>
        <v>-</v>
      </c>
      <c r="AG58" s="32" t="str">
        <f t="shared" si="47"/>
        <v>-</v>
      </c>
      <c r="AH58" s="31" t="b">
        <v>1</v>
      </c>
      <c r="AI58" s="31" t="b">
        <v>1</v>
      </c>
      <c r="AJ58" s="31" t="b">
        <v>1</v>
      </c>
      <c r="AK58" s="32" t="str">
        <f t="shared" si="48"/>
        <v>-</v>
      </c>
      <c r="AL58" s="32" t="str">
        <f t="shared" si="48"/>
        <v>-</v>
      </c>
      <c r="AM58" s="32" t="str">
        <f t="shared" si="48"/>
        <v>-</v>
      </c>
      <c r="AN58" s="32" t="str">
        <f t="shared" si="48"/>
        <v>-</v>
      </c>
      <c r="AO58" s="21">
        <f t="shared" ref="AO58:AQ58" si="59">AO54+0.5</f>
        <v>0.5</v>
      </c>
      <c r="AP58" s="21">
        <f t="shared" si="59"/>
        <v>2.5</v>
      </c>
      <c r="AQ58" s="21">
        <f t="shared" si="59"/>
        <v>-1.5</v>
      </c>
      <c r="AR58" s="32" t="str">
        <f t="shared" si="56"/>
        <v>-</v>
      </c>
      <c r="AS58" s="32" t="str">
        <f t="shared" si="56"/>
        <v>-</v>
      </c>
      <c r="AT58" s="32" t="str">
        <f t="shared" si="56"/>
        <v>-</v>
      </c>
      <c r="AU58" s="32">
        <f t="shared" si="50"/>
        <v>1</v>
      </c>
      <c r="AV58" s="32">
        <f t="shared" si="50"/>
        <v>1</v>
      </c>
      <c r="AW58" s="32">
        <f t="shared" si="50"/>
        <v>1</v>
      </c>
      <c r="AX58" s="32">
        <f t="shared" si="50"/>
        <v>1</v>
      </c>
      <c r="AY58" s="32">
        <f t="shared" si="50"/>
        <v>1</v>
      </c>
      <c r="AZ58" s="32">
        <f t="shared" si="50"/>
        <v>1</v>
      </c>
      <c r="BA58" s="32">
        <f t="shared" si="50"/>
        <v>1</v>
      </c>
      <c r="BB58" s="32">
        <f t="shared" si="50"/>
        <v>1</v>
      </c>
      <c r="BC58" s="32">
        <f t="shared" si="50"/>
        <v>1</v>
      </c>
      <c r="BD58" s="32">
        <f t="shared" si="50"/>
        <v>1</v>
      </c>
      <c r="BE58" s="32">
        <f t="shared" si="50"/>
        <v>1</v>
      </c>
      <c r="BF58" s="32">
        <f t="shared" si="50"/>
        <v>1</v>
      </c>
      <c r="BG58" s="32">
        <f t="shared" si="50"/>
        <v>1</v>
      </c>
      <c r="BH58" s="32">
        <f t="shared" si="50"/>
        <v>1</v>
      </c>
      <c r="BI58" s="32">
        <f t="shared" si="50"/>
        <v>1</v>
      </c>
      <c r="BJ58" s="32">
        <f t="shared" si="50"/>
        <v>1</v>
      </c>
      <c r="BK58" s="32">
        <f t="shared" si="51"/>
        <v>0</v>
      </c>
      <c r="BL58" s="32">
        <f t="shared" si="51"/>
        <v>0</v>
      </c>
      <c r="BM58" s="32">
        <f t="shared" si="51"/>
        <v>0</v>
      </c>
      <c r="BN58" s="32">
        <f t="shared" si="51"/>
        <v>0</v>
      </c>
      <c r="BO58" s="32">
        <f t="shared" si="51"/>
        <v>0</v>
      </c>
      <c r="BP58" s="15">
        <v>0</v>
      </c>
    </row>
    <row r="59" spans="1:68">
      <c r="A59" s="18"/>
      <c r="B59">
        <f t="shared" si="3"/>
        <v>54</v>
      </c>
      <c r="C59" t="b">
        <v>1</v>
      </c>
      <c r="D59" t="b">
        <v>0</v>
      </c>
      <c r="E59" t="b">
        <v>0</v>
      </c>
      <c r="F59" s="3" t="s">
        <v>110</v>
      </c>
      <c r="G59" s="26" t="str">
        <f>IF(MATCH(F59,F$5:F59,0)=(COUNTA(F$5:F59)),"-","Dup")</f>
        <v>-</v>
      </c>
      <c r="H59" s="32" t="str">
        <f t="shared" si="45"/>
        <v>-</v>
      </c>
      <c r="I59" s="32" t="b">
        <f t="shared" si="45"/>
        <v>0</v>
      </c>
      <c r="J59" s="32" t="b">
        <f t="shared" si="45"/>
        <v>1</v>
      </c>
      <c r="K59" s="32" t="str">
        <f t="shared" si="43"/>
        <v>-</v>
      </c>
      <c r="L59" s="32" t="str">
        <f t="shared" si="43"/>
        <v>-</v>
      </c>
      <c r="M59" s="32" t="str">
        <f t="shared" si="43"/>
        <v>-</v>
      </c>
      <c r="N59" s="32" t="str">
        <f t="shared" si="43"/>
        <v>-</v>
      </c>
      <c r="O59" s="32" t="str">
        <f t="shared" si="43"/>
        <v>-</v>
      </c>
      <c r="P59" s="32" t="str">
        <f t="shared" si="43"/>
        <v>-</v>
      </c>
      <c r="Q59" s="32" t="str">
        <f t="shared" si="43"/>
        <v>-</v>
      </c>
      <c r="R59" s="32" t="str">
        <f t="shared" si="43"/>
        <v>-</v>
      </c>
      <c r="S59" s="32" t="str">
        <f t="shared" si="43"/>
        <v>-</v>
      </c>
      <c r="T59" s="32" t="str">
        <f t="shared" si="43"/>
        <v>-</v>
      </c>
      <c r="U59" s="32" t="str">
        <f t="shared" si="43"/>
        <v>-</v>
      </c>
      <c r="V59" s="32" t="str">
        <f t="shared" si="43"/>
        <v>-</v>
      </c>
      <c r="W59" s="32" t="str">
        <f t="shared" si="43"/>
        <v>-</v>
      </c>
      <c r="X59" s="32" t="str">
        <f t="shared" si="43"/>
        <v>-</v>
      </c>
      <c r="Y59" s="32" t="str">
        <f t="shared" si="43"/>
        <v>-</v>
      </c>
      <c r="Z59" s="32" t="str">
        <f t="shared" si="43"/>
        <v>-</v>
      </c>
      <c r="AA59" s="32" t="str">
        <f t="shared" si="47"/>
        <v>-</v>
      </c>
      <c r="AB59" s="32" t="str">
        <f t="shared" si="47"/>
        <v>-</v>
      </c>
      <c r="AC59" s="32" t="str">
        <f t="shared" si="47"/>
        <v>-</v>
      </c>
      <c r="AD59" s="32" t="str">
        <f t="shared" si="47"/>
        <v>-</v>
      </c>
      <c r="AE59" s="32" t="str">
        <f t="shared" si="47"/>
        <v>-</v>
      </c>
      <c r="AF59" s="32" t="str">
        <f t="shared" si="47"/>
        <v>-</v>
      </c>
      <c r="AG59" s="32" t="str">
        <f t="shared" si="47"/>
        <v>-</v>
      </c>
      <c r="AH59" s="31" t="b">
        <v>1</v>
      </c>
      <c r="AI59" s="31" t="b">
        <v>1</v>
      </c>
      <c r="AJ59" s="31" t="b">
        <v>1</v>
      </c>
      <c r="AK59" s="32" t="str">
        <f t="shared" si="48"/>
        <v>-</v>
      </c>
      <c r="AL59" s="32" t="str">
        <f t="shared" si="48"/>
        <v>-</v>
      </c>
      <c r="AM59" s="32" t="str">
        <f t="shared" si="48"/>
        <v>-</v>
      </c>
      <c r="AN59" s="32" t="str">
        <f t="shared" si="48"/>
        <v>-</v>
      </c>
      <c r="AO59" s="21">
        <f t="shared" ref="AO59:AQ59" si="60">AO55+0.5</f>
        <v>1</v>
      </c>
      <c r="AP59" s="21">
        <f t="shared" si="60"/>
        <v>1.5</v>
      </c>
      <c r="AQ59" s="21">
        <f t="shared" si="60"/>
        <v>0.5</v>
      </c>
      <c r="AR59" s="32" t="str">
        <f t="shared" si="56"/>
        <v>-</v>
      </c>
      <c r="AS59" s="32" t="str">
        <f t="shared" si="56"/>
        <v>-</v>
      </c>
      <c r="AT59" s="32" t="str">
        <f t="shared" si="56"/>
        <v>-</v>
      </c>
      <c r="AU59" s="32">
        <f t="shared" si="50"/>
        <v>1</v>
      </c>
      <c r="AV59" s="32">
        <f t="shared" si="50"/>
        <v>1</v>
      </c>
      <c r="AW59" s="32">
        <f t="shared" si="50"/>
        <v>1</v>
      </c>
      <c r="AX59" s="32">
        <f t="shared" si="50"/>
        <v>1</v>
      </c>
      <c r="AY59" s="32">
        <f t="shared" si="50"/>
        <v>1</v>
      </c>
      <c r="AZ59" s="32">
        <f t="shared" si="50"/>
        <v>1</v>
      </c>
      <c r="BA59" s="32">
        <f t="shared" si="50"/>
        <v>1</v>
      </c>
      <c r="BB59" s="32">
        <f t="shared" si="50"/>
        <v>1</v>
      </c>
      <c r="BC59" s="32">
        <f t="shared" si="50"/>
        <v>1</v>
      </c>
      <c r="BD59" s="32">
        <f t="shared" si="50"/>
        <v>1</v>
      </c>
      <c r="BE59" s="32">
        <f t="shared" si="50"/>
        <v>1</v>
      </c>
      <c r="BF59" s="32">
        <f t="shared" si="50"/>
        <v>1</v>
      </c>
      <c r="BG59" s="32">
        <f t="shared" si="50"/>
        <v>1</v>
      </c>
      <c r="BH59" s="32">
        <f t="shared" si="50"/>
        <v>1</v>
      </c>
      <c r="BI59" s="32">
        <f t="shared" si="50"/>
        <v>1</v>
      </c>
      <c r="BJ59" s="32">
        <f t="shared" si="50"/>
        <v>1</v>
      </c>
      <c r="BK59" s="32">
        <f t="shared" si="51"/>
        <v>0</v>
      </c>
      <c r="BL59" s="32">
        <f t="shared" si="51"/>
        <v>0</v>
      </c>
      <c r="BM59" s="32">
        <f t="shared" si="51"/>
        <v>0</v>
      </c>
      <c r="BN59" s="32">
        <f t="shared" si="51"/>
        <v>0</v>
      </c>
      <c r="BO59" s="32">
        <f t="shared" si="51"/>
        <v>0</v>
      </c>
      <c r="BP59" s="15">
        <v>0</v>
      </c>
    </row>
    <row r="60" spans="1:68">
      <c r="A60" s="18"/>
      <c r="B60">
        <f t="shared" si="3"/>
        <v>55</v>
      </c>
      <c r="C60" t="b">
        <v>0</v>
      </c>
      <c r="D60" t="b">
        <v>0</v>
      </c>
      <c r="E60" t="b">
        <v>0</v>
      </c>
      <c r="F60" s="3" t="s">
        <v>111</v>
      </c>
      <c r="G60" s="26" t="str">
        <f>IF(MATCH(F60,F$5:F60,0)=(COUNTA(F$5:F60)),"-","Dup")</f>
        <v>-</v>
      </c>
      <c r="H60" s="32" t="str">
        <f t="shared" si="45"/>
        <v>-</v>
      </c>
      <c r="I60" s="32" t="b">
        <f t="shared" si="45"/>
        <v>0</v>
      </c>
      <c r="J60" s="32" t="b">
        <f t="shared" si="45"/>
        <v>1</v>
      </c>
      <c r="K60" s="32" t="str">
        <f t="shared" si="45"/>
        <v>-</v>
      </c>
      <c r="L60" s="32" t="str">
        <f t="shared" si="45"/>
        <v>-</v>
      </c>
      <c r="M60" s="32" t="str">
        <f t="shared" si="45"/>
        <v>-</v>
      </c>
      <c r="N60" s="32" t="str">
        <f t="shared" si="45"/>
        <v>-</v>
      </c>
      <c r="O60" s="32" t="str">
        <f t="shared" si="45"/>
        <v>-</v>
      </c>
      <c r="P60" s="32" t="str">
        <f t="shared" si="45"/>
        <v>-</v>
      </c>
      <c r="Q60" s="32" t="str">
        <f t="shared" si="45"/>
        <v>-</v>
      </c>
      <c r="R60" s="32" t="str">
        <f t="shared" si="45"/>
        <v>-</v>
      </c>
      <c r="S60" s="32" t="str">
        <f t="shared" si="45"/>
        <v>-</v>
      </c>
      <c r="T60" s="32" t="str">
        <f t="shared" si="45"/>
        <v>-</v>
      </c>
      <c r="U60" s="32" t="str">
        <f t="shared" si="45"/>
        <v>-</v>
      </c>
      <c r="V60" s="32" t="str">
        <f t="shared" si="45"/>
        <v>-</v>
      </c>
      <c r="W60" s="32" t="str">
        <f t="shared" si="45"/>
        <v>-</v>
      </c>
      <c r="X60" s="32" t="str">
        <f t="shared" ref="X60:AG63" si="61">X$6</f>
        <v>-</v>
      </c>
      <c r="Y60" s="32" t="str">
        <f t="shared" si="61"/>
        <v>-</v>
      </c>
      <c r="Z60" s="32" t="str">
        <f t="shared" si="61"/>
        <v>-</v>
      </c>
      <c r="AA60" s="32" t="str">
        <f t="shared" si="61"/>
        <v>-</v>
      </c>
      <c r="AB60" s="32" t="str">
        <f t="shared" si="61"/>
        <v>-</v>
      </c>
      <c r="AC60" s="32" t="str">
        <f t="shared" si="61"/>
        <v>-</v>
      </c>
      <c r="AD60" s="32" t="str">
        <f t="shared" si="61"/>
        <v>-</v>
      </c>
      <c r="AE60" s="32" t="str">
        <f t="shared" si="61"/>
        <v>-</v>
      </c>
      <c r="AF60" s="32" t="str">
        <f t="shared" si="61"/>
        <v>-</v>
      </c>
      <c r="AG60" s="32" t="str">
        <f t="shared" si="61"/>
        <v>-</v>
      </c>
      <c r="AH60" s="31" t="b">
        <v>1</v>
      </c>
      <c r="AI60" s="31" t="b">
        <v>1</v>
      </c>
      <c r="AJ60" s="31" t="b">
        <v>1</v>
      </c>
      <c r="AK60" s="32" t="str">
        <f t="shared" si="48"/>
        <v>-</v>
      </c>
      <c r="AL60" s="32" t="str">
        <f t="shared" si="48"/>
        <v>-</v>
      </c>
      <c r="AM60" s="32" t="str">
        <f t="shared" si="48"/>
        <v>-</v>
      </c>
      <c r="AN60" s="32" t="str">
        <f t="shared" si="48"/>
        <v>-</v>
      </c>
      <c r="AO60" s="21">
        <f t="shared" ref="AO60:AQ60" si="62">AO56+0.5</f>
        <v>1</v>
      </c>
      <c r="AP60" s="21">
        <f t="shared" si="62"/>
        <v>2</v>
      </c>
      <c r="AQ60" s="21">
        <f t="shared" si="62"/>
        <v>0</v>
      </c>
      <c r="AR60" s="32" t="str">
        <f t="shared" si="56"/>
        <v>-</v>
      </c>
      <c r="AS60" s="32" t="str">
        <f t="shared" si="56"/>
        <v>-</v>
      </c>
      <c r="AT60" s="32" t="str">
        <f t="shared" si="56"/>
        <v>-</v>
      </c>
      <c r="AU60" s="32">
        <f t="shared" si="50"/>
        <v>1</v>
      </c>
      <c r="AV60" s="32">
        <f t="shared" si="50"/>
        <v>1</v>
      </c>
      <c r="AW60" s="32">
        <f t="shared" si="50"/>
        <v>1</v>
      </c>
      <c r="AX60" s="32">
        <f t="shared" si="50"/>
        <v>1</v>
      </c>
      <c r="AY60" s="32">
        <f t="shared" si="50"/>
        <v>1</v>
      </c>
      <c r="AZ60" s="32">
        <f t="shared" si="50"/>
        <v>1</v>
      </c>
      <c r="BA60" s="32">
        <f t="shared" si="50"/>
        <v>1</v>
      </c>
      <c r="BB60" s="32">
        <f t="shared" si="50"/>
        <v>1</v>
      </c>
      <c r="BC60" s="32">
        <f t="shared" si="50"/>
        <v>1</v>
      </c>
      <c r="BD60" s="32">
        <f t="shared" si="50"/>
        <v>1</v>
      </c>
      <c r="BE60" s="32">
        <f t="shared" si="50"/>
        <v>1</v>
      </c>
      <c r="BF60" s="32">
        <f t="shared" si="50"/>
        <v>1</v>
      </c>
      <c r="BG60" s="32">
        <f t="shared" si="50"/>
        <v>1</v>
      </c>
      <c r="BH60" s="32">
        <f t="shared" si="50"/>
        <v>1</v>
      </c>
      <c r="BI60" s="32">
        <f t="shared" si="50"/>
        <v>1</v>
      </c>
      <c r="BJ60" s="32">
        <f t="shared" si="50"/>
        <v>1</v>
      </c>
      <c r="BK60" s="32">
        <f t="shared" si="51"/>
        <v>0</v>
      </c>
      <c r="BL60" s="32">
        <f t="shared" si="51"/>
        <v>0</v>
      </c>
      <c r="BM60" s="32">
        <f t="shared" si="51"/>
        <v>0</v>
      </c>
      <c r="BN60" s="32">
        <f t="shared" si="51"/>
        <v>0</v>
      </c>
      <c r="BO60" s="32">
        <f t="shared" si="51"/>
        <v>0</v>
      </c>
      <c r="BP60" s="15">
        <v>0</v>
      </c>
    </row>
    <row r="61" spans="1:68">
      <c r="A61" s="18"/>
      <c r="B61">
        <f t="shared" si="3"/>
        <v>56</v>
      </c>
      <c r="C61" t="b">
        <v>0</v>
      </c>
      <c r="D61" t="b">
        <v>0</v>
      </c>
      <c r="E61" t="b">
        <v>0</v>
      </c>
      <c r="F61" s="3" t="s">
        <v>112</v>
      </c>
      <c r="G61" s="26" t="str">
        <f>IF(MATCH(F61,F$5:F61,0)=(COUNTA(F$5:F61)),"-","Dup")</f>
        <v>-</v>
      </c>
      <c r="H61" s="32" t="str">
        <f t="shared" si="45"/>
        <v>-</v>
      </c>
      <c r="I61" s="32" t="b">
        <f t="shared" si="45"/>
        <v>0</v>
      </c>
      <c r="J61" s="32" t="b">
        <f t="shared" si="45"/>
        <v>1</v>
      </c>
      <c r="K61" s="32" t="str">
        <f t="shared" si="45"/>
        <v>-</v>
      </c>
      <c r="L61" s="32" t="str">
        <f t="shared" si="45"/>
        <v>-</v>
      </c>
      <c r="M61" s="32" t="str">
        <f t="shared" si="45"/>
        <v>-</v>
      </c>
      <c r="N61" s="32" t="str">
        <f t="shared" si="45"/>
        <v>-</v>
      </c>
      <c r="O61" s="32" t="str">
        <f t="shared" si="45"/>
        <v>-</v>
      </c>
      <c r="P61" s="32" t="str">
        <f t="shared" si="45"/>
        <v>-</v>
      </c>
      <c r="Q61" s="32" t="str">
        <f t="shared" si="45"/>
        <v>-</v>
      </c>
      <c r="R61" s="32" t="str">
        <f t="shared" si="45"/>
        <v>-</v>
      </c>
      <c r="S61" s="32" t="str">
        <f t="shared" si="45"/>
        <v>-</v>
      </c>
      <c r="T61" s="32" t="str">
        <f t="shared" si="45"/>
        <v>-</v>
      </c>
      <c r="U61" s="32" t="str">
        <f t="shared" si="45"/>
        <v>-</v>
      </c>
      <c r="V61" s="32" t="str">
        <f t="shared" si="45"/>
        <v>-</v>
      </c>
      <c r="W61" s="32" t="str">
        <f t="shared" si="45"/>
        <v>-</v>
      </c>
      <c r="X61" s="32" t="str">
        <f t="shared" si="61"/>
        <v>-</v>
      </c>
      <c r="Y61" s="32" t="str">
        <f t="shared" si="61"/>
        <v>-</v>
      </c>
      <c r="Z61" s="32" t="str">
        <f t="shared" si="61"/>
        <v>-</v>
      </c>
      <c r="AA61" s="32" t="str">
        <f t="shared" si="61"/>
        <v>-</v>
      </c>
      <c r="AB61" s="32" t="str">
        <f t="shared" si="61"/>
        <v>-</v>
      </c>
      <c r="AC61" s="32" t="str">
        <f t="shared" si="61"/>
        <v>-</v>
      </c>
      <c r="AD61" s="32" t="str">
        <f t="shared" si="61"/>
        <v>-</v>
      </c>
      <c r="AE61" s="32" t="str">
        <f t="shared" si="61"/>
        <v>-</v>
      </c>
      <c r="AF61" s="32" t="str">
        <f t="shared" si="61"/>
        <v>-</v>
      </c>
      <c r="AG61" s="32" t="str">
        <f t="shared" si="61"/>
        <v>-</v>
      </c>
      <c r="AH61" s="31" t="b">
        <v>1</v>
      </c>
      <c r="AI61" s="31" t="b">
        <v>1</v>
      </c>
      <c r="AJ61" s="31" t="b">
        <v>1</v>
      </c>
      <c r="AK61" s="32" t="str">
        <f t="shared" si="48"/>
        <v>-</v>
      </c>
      <c r="AL61" s="32" t="str">
        <f t="shared" si="48"/>
        <v>-</v>
      </c>
      <c r="AM61" s="32" t="str">
        <f t="shared" si="48"/>
        <v>-</v>
      </c>
      <c r="AN61" s="32" t="str">
        <f t="shared" si="48"/>
        <v>-</v>
      </c>
      <c r="AO61" s="21">
        <f t="shared" ref="AO61:AQ61" si="63">AO57+0.5</f>
        <v>1</v>
      </c>
      <c r="AP61" s="21">
        <f t="shared" si="63"/>
        <v>2.5</v>
      </c>
      <c r="AQ61" s="21">
        <f t="shared" si="63"/>
        <v>-0.5</v>
      </c>
      <c r="AR61" s="32" t="str">
        <f t="shared" si="56"/>
        <v>-</v>
      </c>
      <c r="AS61" s="32" t="str">
        <f t="shared" si="56"/>
        <v>-</v>
      </c>
      <c r="AT61" s="32" t="str">
        <f t="shared" si="56"/>
        <v>-</v>
      </c>
      <c r="AU61" s="32">
        <f t="shared" si="50"/>
        <v>1</v>
      </c>
      <c r="AV61" s="32">
        <f t="shared" si="50"/>
        <v>1</v>
      </c>
      <c r="AW61" s="32">
        <f t="shared" si="50"/>
        <v>1</v>
      </c>
      <c r="AX61" s="32">
        <f t="shared" si="50"/>
        <v>1</v>
      </c>
      <c r="AY61" s="32">
        <f t="shared" si="50"/>
        <v>1</v>
      </c>
      <c r="AZ61" s="32">
        <f t="shared" si="50"/>
        <v>1</v>
      </c>
      <c r="BA61" s="32">
        <f t="shared" si="50"/>
        <v>1</v>
      </c>
      <c r="BB61" s="32">
        <f t="shared" si="50"/>
        <v>1</v>
      </c>
      <c r="BC61" s="32">
        <f t="shared" si="50"/>
        <v>1</v>
      </c>
      <c r="BD61" s="32">
        <f t="shared" si="50"/>
        <v>1</v>
      </c>
      <c r="BE61" s="32">
        <f t="shared" si="50"/>
        <v>1</v>
      </c>
      <c r="BF61" s="32">
        <f t="shared" si="50"/>
        <v>1</v>
      </c>
      <c r="BG61" s="32">
        <f t="shared" si="50"/>
        <v>1</v>
      </c>
      <c r="BH61" s="32">
        <f t="shared" si="50"/>
        <v>1</v>
      </c>
      <c r="BI61" s="32">
        <f t="shared" si="50"/>
        <v>1</v>
      </c>
      <c r="BJ61" s="32">
        <f t="shared" si="50"/>
        <v>1</v>
      </c>
      <c r="BK61" s="32">
        <f t="shared" si="51"/>
        <v>0</v>
      </c>
      <c r="BL61" s="32">
        <f t="shared" si="51"/>
        <v>0</v>
      </c>
      <c r="BM61" s="32">
        <f t="shared" si="51"/>
        <v>0</v>
      </c>
      <c r="BN61" s="32">
        <f t="shared" si="51"/>
        <v>0</v>
      </c>
      <c r="BO61" s="32">
        <f t="shared" si="51"/>
        <v>0</v>
      </c>
      <c r="BP61" s="15">
        <v>0</v>
      </c>
    </row>
    <row r="62" spans="1:68">
      <c r="A62" s="18">
        <v>44280.702372685184</v>
      </c>
      <c r="B62">
        <f t="shared" si="3"/>
        <v>57</v>
      </c>
      <c r="C62" t="b">
        <v>1</v>
      </c>
      <c r="D62" t="b">
        <v>0</v>
      </c>
      <c r="E62" t="b">
        <v>1</v>
      </c>
      <c r="F62" s="3" t="s">
        <v>113</v>
      </c>
      <c r="G62" s="26" t="str">
        <f>IF(MATCH(F62,F$5:F62,0)=(COUNTA(F$5:F62)),"-","Dup")</f>
        <v>-</v>
      </c>
      <c r="H62" s="32" t="str">
        <f t="shared" si="45"/>
        <v>-</v>
      </c>
      <c r="I62" s="32" t="b">
        <f t="shared" si="45"/>
        <v>0</v>
      </c>
      <c r="J62" s="32" t="b">
        <f t="shared" si="45"/>
        <v>1</v>
      </c>
      <c r="K62" s="32" t="str">
        <f t="shared" si="45"/>
        <v>-</v>
      </c>
      <c r="L62" s="32" t="str">
        <f t="shared" si="45"/>
        <v>-</v>
      </c>
      <c r="M62" s="32" t="str">
        <f t="shared" si="45"/>
        <v>-</v>
      </c>
      <c r="N62" s="32" t="str">
        <f t="shared" si="45"/>
        <v>-</v>
      </c>
      <c r="O62" s="32" t="str">
        <f t="shared" si="45"/>
        <v>-</v>
      </c>
      <c r="P62" s="32" t="str">
        <f t="shared" si="45"/>
        <v>-</v>
      </c>
      <c r="Q62" s="32" t="str">
        <f t="shared" si="45"/>
        <v>-</v>
      </c>
      <c r="R62" s="32" t="str">
        <f t="shared" si="45"/>
        <v>-</v>
      </c>
      <c r="S62" s="32" t="str">
        <f t="shared" si="45"/>
        <v>-</v>
      </c>
      <c r="T62" s="32" t="str">
        <f t="shared" si="45"/>
        <v>-</v>
      </c>
      <c r="U62" s="32" t="str">
        <f t="shared" si="45"/>
        <v>-</v>
      </c>
      <c r="V62" s="32" t="str">
        <f t="shared" si="45"/>
        <v>-</v>
      </c>
      <c r="W62" s="32" t="str">
        <f t="shared" si="45"/>
        <v>-</v>
      </c>
      <c r="X62" s="32" t="str">
        <f t="shared" si="61"/>
        <v>-</v>
      </c>
      <c r="Y62" s="32" t="str">
        <f t="shared" si="61"/>
        <v>-</v>
      </c>
      <c r="Z62" s="32" t="str">
        <f t="shared" si="61"/>
        <v>-</v>
      </c>
      <c r="AA62" s="32" t="str">
        <f t="shared" si="61"/>
        <v>-</v>
      </c>
      <c r="AB62" s="32" t="str">
        <f t="shared" si="61"/>
        <v>-</v>
      </c>
      <c r="AC62" s="32" t="str">
        <f t="shared" si="61"/>
        <v>-</v>
      </c>
      <c r="AD62" s="32" t="str">
        <f t="shared" si="61"/>
        <v>-</v>
      </c>
      <c r="AE62" s="32" t="str">
        <f t="shared" si="61"/>
        <v>-</v>
      </c>
      <c r="AF62" s="32" t="str">
        <f t="shared" si="61"/>
        <v>-</v>
      </c>
      <c r="AG62" s="32" t="str">
        <f t="shared" si="61"/>
        <v>-</v>
      </c>
      <c r="AH62" s="31" t="b">
        <v>1</v>
      </c>
      <c r="AI62" s="31" t="b">
        <v>1</v>
      </c>
      <c r="AJ62" s="31" t="b">
        <v>1</v>
      </c>
      <c r="AK62" s="32" t="str">
        <f t="shared" si="48"/>
        <v>-</v>
      </c>
      <c r="AL62" s="32" t="str">
        <f t="shared" si="48"/>
        <v>-</v>
      </c>
      <c r="AM62" s="32" t="str">
        <f t="shared" si="48"/>
        <v>-</v>
      </c>
      <c r="AN62" s="32" t="str">
        <f t="shared" si="48"/>
        <v>-</v>
      </c>
      <c r="AO62" s="21">
        <f t="shared" ref="AO62:AQ62" si="64">AO58+0.5</f>
        <v>1</v>
      </c>
      <c r="AP62" s="31">
        <v>2.99</v>
      </c>
      <c r="AQ62" s="21">
        <f t="shared" si="64"/>
        <v>-1</v>
      </c>
      <c r="AR62" s="32" t="str">
        <f t="shared" si="56"/>
        <v>-</v>
      </c>
      <c r="AS62" s="32" t="str">
        <f t="shared" si="56"/>
        <v>-</v>
      </c>
      <c r="AT62" s="32" t="str">
        <f t="shared" si="56"/>
        <v>-</v>
      </c>
      <c r="AU62" s="32">
        <f t="shared" si="50"/>
        <v>1</v>
      </c>
      <c r="AV62" s="32">
        <f t="shared" si="50"/>
        <v>1</v>
      </c>
      <c r="AW62" s="32">
        <f t="shared" si="50"/>
        <v>1</v>
      </c>
      <c r="AX62" s="32">
        <f t="shared" si="50"/>
        <v>1</v>
      </c>
      <c r="AY62" s="32">
        <f t="shared" si="50"/>
        <v>1</v>
      </c>
      <c r="AZ62" s="32">
        <f t="shared" si="50"/>
        <v>1</v>
      </c>
      <c r="BA62" s="32">
        <f t="shared" si="50"/>
        <v>1</v>
      </c>
      <c r="BB62" s="32">
        <f t="shared" si="50"/>
        <v>1</v>
      </c>
      <c r="BC62" s="32">
        <f t="shared" si="50"/>
        <v>1</v>
      </c>
      <c r="BD62" s="32">
        <f t="shared" si="50"/>
        <v>1</v>
      </c>
      <c r="BE62" s="32">
        <f t="shared" si="50"/>
        <v>1</v>
      </c>
      <c r="BF62" s="32">
        <f t="shared" si="50"/>
        <v>1</v>
      </c>
      <c r="BG62" s="32">
        <f t="shared" si="50"/>
        <v>1</v>
      </c>
      <c r="BH62" s="32">
        <f t="shared" si="50"/>
        <v>1</v>
      </c>
      <c r="BI62" s="32">
        <f t="shared" si="50"/>
        <v>1</v>
      </c>
      <c r="BJ62" s="32">
        <f t="shared" si="50"/>
        <v>1</v>
      </c>
      <c r="BK62" s="32">
        <f t="shared" si="51"/>
        <v>0</v>
      </c>
      <c r="BL62" s="32">
        <f t="shared" si="51"/>
        <v>0</v>
      </c>
      <c r="BM62" s="32">
        <f t="shared" si="51"/>
        <v>0</v>
      </c>
      <c r="BN62" s="32">
        <f t="shared" si="51"/>
        <v>0</v>
      </c>
      <c r="BO62" s="32">
        <f t="shared" si="51"/>
        <v>0</v>
      </c>
      <c r="BP62" s="15">
        <v>0</v>
      </c>
    </row>
    <row r="63" spans="1:68">
      <c r="A63" s="18"/>
      <c r="B63">
        <f t="shared" si="3"/>
        <v>58</v>
      </c>
      <c r="C63" t="b">
        <v>1</v>
      </c>
      <c r="D63" t="b">
        <v>0</v>
      </c>
      <c r="E63" t="b">
        <v>0</v>
      </c>
      <c r="F63" s="3" t="s">
        <v>116</v>
      </c>
      <c r="G63" s="26" t="str">
        <f>IF(MATCH(F63,F$5:F63,0)=(COUNTA(F$5:F63)),"-","Dup")</f>
        <v>-</v>
      </c>
      <c r="H63" s="32" t="str">
        <f t="shared" si="45"/>
        <v>-</v>
      </c>
      <c r="I63" s="32" t="b">
        <f t="shared" si="45"/>
        <v>0</v>
      </c>
      <c r="J63" s="32" t="b">
        <f t="shared" si="45"/>
        <v>1</v>
      </c>
      <c r="K63" s="32" t="str">
        <f t="shared" si="45"/>
        <v>-</v>
      </c>
      <c r="L63" s="32" t="str">
        <f t="shared" si="45"/>
        <v>-</v>
      </c>
      <c r="M63" s="32" t="str">
        <f t="shared" si="45"/>
        <v>-</v>
      </c>
      <c r="N63" s="32" t="str">
        <f t="shared" si="45"/>
        <v>-</v>
      </c>
      <c r="O63" s="32" t="str">
        <f t="shared" si="45"/>
        <v>-</v>
      </c>
      <c r="P63" s="32" t="str">
        <f t="shared" si="45"/>
        <v>-</v>
      </c>
      <c r="Q63" s="32" t="str">
        <f t="shared" si="45"/>
        <v>-</v>
      </c>
      <c r="R63" s="32" t="str">
        <f t="shared" si="45"/>
        <v>-</v>
      </c>
      <c r="S63" s="32" t="str">
        <f t="shared" si="45"/>
        <v>-</v>
      </c>
      <c r="T63" s="32" t="str">
        <f t="shared" si="45"/>
        <v>-</v>
      </c>
      <c r="U63" s="32" t="str">
        <f t="shared" si="45"/>
        <v>-</v>
      </c>
      <c r="V63" s="32" t="str">
        <f t="shared" si="45"/>
        <v>-</v>
      </c>
      <c r="W63" s="32" t="str">
        <f t="shared" si="45"/>
        <v>-</v>
      </c>
      <c r="X63" s="32" t="str">
        <f t="shared" si="61"/>
        <v>-</v>
      </c>
      <c r="Y63" s="32" t="str">
        <f t="shared" si="61"/>
        <v>-</v>
      </c>
      <c r="Z63" s="32" t="str">
        <f t="shared" si="61"/>
        <v>-</v>
      </c>
      <c r="AA63" s="32" t="str">
        <f t="shared" si="61"/>
        <v>-</v>
      </c>
      <c r="AB63" s="32" t="str">
        <f t="shared" si="61"/>
        <v>-</v>
      </c>
      <c r="AC63" s="32" t="str">
        <f t="shared" si="61"/>
        <v>-</v>
      </c>
      <c r="AD63" s="32" t="str">
        <f t="shared" si="61"/>
        <v>-</v>
      </c>
      <c r="AE63" s="32" t="str">
        <f t="shared" si="61"/>
        <v>-</v>
      </c>
      <c r="AF63" s="32" t="str">
        <f t="shared" si="61"/>
        <v>-</v>
      </c>
      <c r="AG63" s="32" t="str">
        <f t="shared" si="61"/>
        <v>-</v>
      </c>
      <c r="AH63" s="31" t="b">
        <v>1</v>
      </c>
      <c r="AI63" s="31" t="b">
        <v>1</v>
      </c>
      <c r="AJ63" s="31" t="b">
        <v>1</v>
      </c>
      <c r="AK63" s="32" t="str">
        <f t="shared" si="48"/>
        <v>-</v>
      </c>
      <c r="AL63" s="32" t="str">
        <f t="shared" si="48"/>
        <v>-</v>
      </c>
      <c r="AM63" s="32" t="str">
        <f t="shared" si="48"/>
        <v>-</v>
      </c>
      <c r="AN63" s="32" t="str">
        <f t="shared" si="48"/>
        <v>-</v>
      </c>
      <c r="AO63" s="31">
        <v>1</v>
      </c>
      <c r="AP63" s="31">
        <v>2</v>
      </c>
      <c r="AQ63" s="31">
        <v>0.5</v>
      </c>
      <c r="AR63" s="32" t="str">
        <f t="shared" si="56"/>
        <v>-</v>
      </c>
      <c r="AS63" s="32" t="str">
        <f t="shared" si="56"/>
        <v>-</v>
      </c>
      <c r="AT63" s="32" t="str">
        <f t="shared" si="56"/>
        <v>-</v>
      </c>
      <c r="AU63" s="32">
        <f t="shared" si="50"/>
        <v>1</v>
      </c>
      <c r="AV63" s="32">
        <f t="shared" si="50"/>
        <v>1</v>
      </c>
      <c r="AW63" s="32">
        <f t="shared" si="50"/>
        <v>1</v>
      </c>
      <c r="AX63" s="32">
        <f t="shared" si="50"/>
        <v>1</v>
      </c>
      <c r="AY63" s="32">
        <f t="shared" si="50"/>
        <v>1</v>
      </c>
      <c r="AZ63" s="32">
        <f t="shared" si="50"/>
        <v>1</v>
      </c>
      <c r="BA63" s="32">
        <f t="shared" si="50"/>
        <v>1</v>
      </c>
      <c r="BB63" s="32">
        <f t="shared" si="50"/>
        <v>1</v>
      </c>
      <c r="BC63" s="32">
        <f t="shared" si="50"/>
        <v>1</v>
      </c>
      <c r="BD63" s="32">
        <f t="shared" si="50"/>
        <v>1</v>
      </c>
      <c r="BE63" s="32">
        <f t="shared" si="50"/>
        <v>1</v>
      </c>
      <c r="BF63" s="32">
        <f t="shared" si="50"/>
        <v>1</v>
      </c>
      <c r="BG63" s="32">
        <f t="shared" si="50"/>
        <v>1</v>
      </c>
      <c r="BH63" s="32">
        <f t="shared" si="50"/>
        <v>1</v>
      </c>
      <c r="BI63" s="32">
        <f t="shared" si="50"/>
        <v>1</v>
      </c>
      <c r="BJ63" s="32">
        <f t="shared" si="50"/>
        <v>1</v>
      </c>
      <c r="BK63" s="32">
        <f t="shared" si="51"/>
        <v>0</v>
      </c>
      <c r="BL63" s="32">
        <f t="shared" si="51"/>
        <v>0</v>
      </c>
      <c r="BM63" s="32">
        <f t="shared" si="51"/>
        <v>0</v>
      </c>
      <c r="BN63" s="32">
        <f t="shared" si="51"/>
        <v>0</v>
      </c>
      <c r="BO63" s="32">
        <f t="shared" si="51"/>
        <v>0</v>
      </c>
      <c r="BP63" s="15">
        <v>0</v>
      </c>
    </row>
    <row r="64" spans="1:68">
      <c r="A64" s="18"/>
      <c r="C64" t="b">
        <v>0</v>
      </c>
      <c r="D64" s="34"/>
      <c r="E64" s="34"/>
      <c r="F64" s="28" t="s">
        <v>118</v>
      </c>
      <c r="G64" s="26" t="str">
        <f>IF(MATCH(F64,F$5:F64,0)=(COUNTA(F$5:F64)),"-","Dup")</f>
        <v>-</v>
      </c>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35"/>
      <c r="AO64" s="35"/>
      <c r="AP64" s="35"/>
      <c r="AQ64" s="35"/>
      <c r="AR64" s="35"/>
      <c r="AS64" s="35"/>
      <c r="AT64" s="35"/>
      <c r="AU64" s="35"/>
      <c r="AV64" s="35"/>
      <c r="AW64" s="35"/>
      <c r="AX64" s="35"/>
      <c r="AY64" s="35"/>
      <c r="AZ64" s="35"/>
      <c r="BA64" s="35"/>
      <c r="BB64" s="35"/>
      <c r="BC64" s="35"/>
      <c r="BD64" s="35"/>
      <c r="BE64" s="35"/>
      <c r="BF64" s="35"/>
      <c r="BG64" s="35"/>
      <c r="BH64" s="35"/>
      <c r="BI64" s="35"/>
      <c r="BJ64" s="35"/>
      <c r="BK64" s="35"/>
      <c r="BL64" s="35"/>
      <c r="BM64" s="35"/>
      <c r="BN64" s="35"/>
      <c r="BO64" s="35"/>
      <c r="BP64" s="15">
        <v>0</v>
      </c>
    </row>
    <row r="65" spans="1:68">
      <c r="A65" s="18"/>
      <c r="B65">
        <f t="shared" si="3"/>
        <v>60</v>
      </c>
      <c r="C65" t="b">
        <v>0</v>
      </c>
      <c r="D65" t="b">
        <v>0</v>
      </c>
      <c r="E65" t="b">
        <v>0</v>
      </c>
      <c r="F65" s="3" t="str">
        <f>SUBSTITUTE(SUBSTITUTE("off_"&amp;$AR65&amp;"_"&amp;($AS65-$AR65),"0.","p"),".","p")</f>
        <v>off_-p5_p5</v>
      </c>
      <c r="G65" s="26" t="str">
        <f>IF(MATCH(F65,F$5:F65,0)=(COUNTA(F$5:F65)),"-","Dup")</f>
        <v>-</v>
      </c>
      <c r="H65" s="32" t="str">
        <f t="shared" si="45"/>
        <v>-</v>
      </c>
      <c r="I65" s="32" t="b">
        <f t="shared" si="45"/>
        <v>0</v>
      </c>
      <c r="J65" s="32" t="b">
        <f t="shared" si="45"/>
        <v>1</v>
      </c>
      <c r="K65" s="32" t="str">
        <f t="shared" si="45"/>
        <v>-</v>
      </c>
      <c r="L65" s="32" t="str">
        <f t="shared" si="45"/>
        <v>-</v>
      </c>
      <c r="M65" s="32" t="str">
        <f t="shared" si="45"/>
        <v>-</v>
      </c>
      <c r="N65" s="32" t="str">
        <f t="shared" si="45"/>
        <v>-</v>
      </c>
      <c r="O65" s="32" t="str">
        <f t="shared" si="45"/>
        <v>-</v>
      </c>
      <c r="P65" s="32" t="str">
        <f t="shared" si="45"/>
        <v>-</v>
      </c>
      <c r="Q65" s="32" t="str">
        <f t="shared" si="45"/>
        <v>-</v>
      </c>
      <c r="R65" s="32" t="str">
        <f t="shared" si="45"/>
        <v>-</v>
      </c>
      <c r="S65" s="32" t="str">
        <f t="shared" si="45"/>
        <v>-</v>
      </c>
      <c r="T65" s="32" t="str">
        <f t="shared" si="45"/>
        <v>-</v>
      </c>
      <c r="U65" s="32" t="str">
        <f t="shared" si="45"/>
        <v>-</v>
      </c>
      <c r="V65" s="32" t="str">
        <f t="shared" si="45"/>
        <v>-</v>
      </c>
      <c r="W65" s="32" t="str">
        <f t="shared" si="45"/>
        <v>-</v>
      </c>
      <c r="X65" s="32" t="str">
        <f t="shared" ref="X65:AG80" si="65">X$6</f>
        <v>-</v>
      </c>
      <c r="Y65" s="32" t="str">
        <f t="shared" si="65"/>
        <v>-</v>
      </c>
      <c r="Z65" s="32" t="str">
        <f t="shared" si="65"/>
        <v>-</v>
      </c>
      <c r="AA65" s="32" t="str">
        <f t="shared" si="65"/>
        <v>-</v>
      </c>
      <c r="AB65" s="32" t="str">
        <f t="shared" si="65"/>
        <v>-</v>
      </c>
      <c r="AC65" s="32" t="str">
        <f t="shared" si="65"/>
        <v>-</v>
      </c>
      <c r="AD65" s="32" t="str">
        <f t="shared" si="65"/>
        <v>-</v>
      </c>
      <c r="AE65" s="32" t="str">
        <f t="shared" si="65"/>
        <v>-</v>
      </c>
      <c r="AF65" s="32" t="str">
        <f t="shared" si="65"/>
        <v>-</v>
      </c>
      <c r="AG65" s="32" t="str">
        <f t="shared" si="65"/>
        <v>-</v>
      </c>
      <c r="AH65" s="31" t="b">
        <v>1</v>
      </c>
      <c r="AI65" s="31" t="b">
        <v>1</v>
      </c>
      <c r="AJ65" s="31" t="b">
        <v>1</v>
      </c>
      <c r="AK65" s="32" t="str">
        <f t="shared" ref="AK65:AN88" si="66">AK$6</f>
        <v>-</v>
      </c>
      <c r="AL65" s="32" t="str">
        <f t="shared" si="66"/>
        <v>-</v>
      </c>
      <c r="AM65" s="32" t="str">
        <f t="shared" si="66"/>
        <v>-</v>
      </c>
      <c r="AN65" s="32" t="str">
        <f t="shared" si="66"/>
        <v>-</v>
      </c>
      <c r="AO65" s="31">
        <v>1</v>
      </c>
      <c r="AP65" s="31">
        <v>2</v>
      </c>
      <c r="AQ65" s="31">
        <v>0</v>
      </c>
      <c r="AR65" s="31">
        <v>-0.5</v>
      </c>
      <c r="AS65" s="22">
        <f>$AR65+0.5</f>
        <v>0</v>
      </c>
      <c r="AT65" s="23">
        <f>$AR65-0.5</f>
        <v>-1</v>
      </c>
      <c r="AU65" s="32">
        <f t="shared" ref="AU65:BJ80" si="67">AU$6</f>
        <v>1</v>
      </c>
      <c r="AV65" s="32">
        <f t="shared" si="67"/>
        <v>1</v>
      </c>
      <c r="AW65" s="32">
        <f t="shared" si="67"/>
        <v>1</v>
      </c>
      <c r="AX65" s="32">
        <f t="shared" si="67"/>
        <v>1</v>
      </c>
      <c r="AY65" s="32">
        <f t="shared" si="67"/>
        <v>1</v>
      </c>
      <c r="AZ65" s="32">
        <f t="shared" si="67"/>
        <v>1</v>
      </c>
      <c r="BA65" s="32">
        <f t="shared" si="67"/>
        <v>1</v>
      </c>
      <c r="BB65" s="32">
        <f t="shared" si="67"/>
        <v>1</v>
      </c>
      <c r="BC65" s="32">
        <f t="shared" si="67"/>
        <v>1</v>
      </c>
      <c r="BD65" s="32">
        <f t="shared" si="67"/>
        <v>1</v>
      </c>
      <c r="BE65" s="32">
        <f t="shared" si="67"/>
        <v>1</v>
      </c>
      <c r="BF65" s="32">
        <f t="shared" si="67"/>
        <v>1</v>
      </c>
      <c r="BG65" s="32">
        <f t="shared" si="67"/>
        <v>1</v>
      </c>
      <c r="BH65" s="32">
        <f t="shared" si="67"/>
        <v>1</v>
      </c>
      <c r="BI65" s="32">
        <f t="shared" si="67"/>
        <v>1</v>
      </c>
      <c r="BJ65" s="32">
        <f t="shared" si="67"/>
        <v>1</v>
      </c>
      <c r="BK65" s="32">
        <f t="shared" ref="BK65:BO79" si="68">BK$6</f>
        <v>0</v>
      </c>
      <c r="BL65" s="32">
        <f t="shared" si="68"/>
        <v>0</v>
      </c>
      <c r="BM65" s="32">
        <f t="shared" si="68"/>
        <v>0</v>
      </c>
      <c r="BN65" s="32">
        <f t="shared" si="68"/>
        <v>0</v>
      </c>
      <c r="BO65" s="32">
        <f t="shared" si="68"/>
        <v>0</v>
      </c>
      <c r="BP65" s="15">
        <v>0</v>
      </c>
    </row>
    <row r="66" spans="1:68">
      <c r="A66" s="18"/>
      <c r="B66">
        <f t="shared" si="3"/>
        <v>61</v>
      </c>
      <c r="C66" t="b">
        <v>0</v>
      </c>
      <c r="D66" t="b">
        <v>0</v>
      </c>
      <c r="E66" t="b">
        <v>0</v>
      </c>
      <c r="F66" s="3" t="str">
        <f t="shared" ref="F66:F76" si="69">SUBSTITUTE(SUBSTITUTE("off_"&amp;$AR66&amp;"_"&amp;($AS66-$AR66),"0.","p"),".","p")</f>
        <v>off_-p5_1</v>
      </c>
      <c r="G66" s="26" t="str">
        <f>IF(MATCH(F66,F$5:F66,0)=(COUNTA(F$5:F66)),"-","Dup")</f>
        <v>-</v>
      </c>
      <c r="H66" s="32" t="str">
        <f t="shared" ref="H66:W81" si="70">H$6</f>
        <v>-</v>
      </c>
      <c r="I66" s="32" t="b">
        <f t="shared" si="70"/>
        <v>0</v>
      </c>
      <c r="J66" s="32" t="b">
        <f t="shared" si="70"/>
        <v>1</v>
      </c>
      <c r="K66" s="32" t="str">
        <f t="shared" si="70"/>
        <v>-</v>
      </c>
      <c r="L66" s="32" t="str">
        <f t="shared" si="70"/>
        <v>-</v>
      </c>
      <c r="M66" s="32" t="str">
        <f t="shared" si="70"/>
        <v>-</v>
      </c>
      <c r="N66" s="32" t="str">
        <f t="shared" si="70"/>
        <v>-</v>
      </c>
      <c r="O66" s="32" t="str">
        <f t="shared" si="70"/>
        <v>-</v>
      </c>
      <c r="P66" s="32" t="str">
        <f t="shared" si="70"/>
        <v>-</v>
      </c>
      <c r="Q66" s="32" t="str">
        <f t="shared" si="70"/>
        <v>-</v>
      </c>
      <c r="R66" s="32" t="str">
        <f t="shared" si="70"/>
        <v>-</v>
      </c>
      <c r="S66" s="32" t="str">
        <f t="shared" si="70"/>
        <v>-</v>
      </c>
      <c r="T66" s="32" t="str">
        <f t="shared" si="70"/>
        <v>-</v>
      </c>
      <c r="U66" s="32" t="str">
        <f t="shared" si="70"/>
        <v>-</v>
      </c>
      <c r="V66" s="32" t="str">
        <f t="shared" si="70"/>
        <v>-</v>
      </c>
      <c r="W66" s="32" t="str">
        <f t="shared" si="70"/>
        <v>-</v>
      </c>
      <c r="X66" s="32" t="str">
        <f t="shared" si="65"/>
        <v>-</v>
      </c>
      <c r="Y66" s="32" t="str">
        <f t="shared" si="65"/>
        <v>-</v>
      </c>
      <c r="Z66" s="32" t="str">
        <f t="shared" si="65"/>
        <v>-</v>
      </c>
      <c r="AA66" s="32" t="str">
        <f t="shared" si="65"/>
        <v>-</v>
      </c>
      <c r="AB66" s="32" t="str">
        <f t="shared" si="65"/>
        <v>-</v>
      </c>
      <c r="AC66" s="32" t="str">
        <f t="shared" si="65"/>
        <v>-</v>
      </c>
      <c r="AD66" s="32" t="str">
        <f t="shared" si="65"/>
        <v>-</v>
      </c>
      <c r="AE66" s="32" t="str">
        <f t="shared" si="65"/>
        <v>-</v>
      </c>
      <c r="AF66" s="32" t="str">
        <f t="shared" si="65"/>
        <v>-</v>
      </c>
      <c r="AG66" s="32" t="str">
        <f t="shared" si="65"/>
        <v>-</v>
      </c>
      <c r="AH66" s="31" t="b">
        <v>1</v>
      </c>
      <c r="AI66" s="31" t="b">
        <v>1</v>
      </c>
      <c r="AJ66" s="31" t="b">
        <v>1</v>
      </c>
      <c r="AK66" s="32" t="str">
        <f t="shared" si="66"/>
        <v>-</v>
      </c>
      <c r="AL66" s="32" t="str">
        <f t="shared" si="66"/>
        <v>-</v>
      </c>
      <c r="AM66" s="32" t="str">
        <f t="shared" si="66"/>
        <v>-</v>
      </c>
      <c r="AN66" s="32" t="str">
        <f t="shared" si="66"/>
        <v>-</v>
      </c>
      <c r="AO66" s="25">
        <f>AO65</f>
        <v>1</v>
      </c>
      <c r="AP66" s="25">
        <f t="shared" ref="AP66:AQ66" si="71">AP65</f>
        <v>2</v>
      </c>
      <c r="AQ66" s="25">
        <f t="shared" si="71"/>
        <v>0</v>
      </c>
      <c r="AR66" s="25">
        <f>AR65</f>
        <v>-0.5</v>
      </c>
      <c r="AS66" s="22">
        <f>$AR66+1</f>
        <v>0.5</v>
      </c>
      <c r="AT66" s="23">
        <f>$AR66-1</f>
        <v>-1.5</v>
      </c>
      <c r="AU66" s="32">
        <f t="shared" si="67"/>
        <v>1</v>
      </c>
      <c r="AV66" s="32">
        <f t="shared" si="67"/>
        <v>1</v>
      </c>
      <c r="AW66" s="32">
        <f t="shared" si="67"/>
        <v>1</v>
      </c>
      <c r="AX66" s="32">
        <f t="shared" si="67"/>
        <v>1</v>
      </c>
      <c r="AY66" s="32">
        <f t="shared" si="67"/>
        <v>1</v>
      </c>
      <c r="AZ66" s="32">
        <f t="shared" si="67"/>
        <v>1</v>
      </c>
      <c r="BA66" s="32">
        <f t="shared" si="67"/>
        <v>1</v>
      </c>
      <c r="BB66" s="32">
        <f t="shared" si="67"/>
        <v>1</v>
      </c>
      <c r="BC66" s="32">
        <f t="shared" si="67"/>
        <v>1</v>
      </c>
      <c r="BD66" s="32">
        <f t="shared" si="67"/>
        <v>1</v>
      </c>
      <c r="BE66" s="32">
        <f t="shared" si="67"/>
        <v>1</v>
      </c>
      <c r="BF66" s="32">
        <f t="shared" si="67"/>
        <v>1</v>
      </c>
      <c r="BG66" s="32">
        <f t="shared" si="67"/>
        <v>1</v>
      </c>
      <c r="BH66" s="32">
        <f t="shared" si="67"/>
        <v>1</v>
      </c>
      <c r="BI66" s="32">
        <f t="shared" si="67"/>
        <v>1</v>
      </c>
      <c r="BJ66" s="32">
        <f t="shared" si="67"/>
        <v>1</v>
      </c>
      <c r="BK66" s="32">
        <f t="shared" si="68"/>
        <v>0</v>
      </c>
      <c r="BL66" s="32">
        <f t="shared" si="68"/>
        <v>0</v>
      </c>
      <c r="BM66" s="32">
        <f t="shared" si="68"/>
        <v>0</v>
      </c>
      <c r="BN66" s="32">
        <f t="shared" si="68"/>
        <v>0</v>
      </c>
      <c r="BO66" s="32">
        <f t="shared" si="68"/>
        <v>0</v>
      </c>
      <c r="BP66" s="15">
        <v>0</v>
      </c>
    </row>
    <row r="67" spans="1:68">
      <c r="A67" s="18"/>
      <c r="B67">
        <f t="shared" si="3"/>
        <v>62</v>
      </c>
      <c r="C67" t="b">
        <v>0</v>
      </c>
      <c r="D67" t="b">
        <v>0</v>
      </c>
      <c r="E67" t="b">
        <v>0</v>
      </c>
      <c r="F67" s="3" t="str">
        <f t="shared" si="69"/>
        <v>off_-p5_2</v>
      </c>
      <c r="G67" s="26" t="str">
        <f>IF(MATCH(F67,F$5:F67,0)=(COUNTA(F$5:F67)),"-","Dup")</f>
        <v>-</v>
      </c>
      <c r="H67" s="32" t="str">
        <f t="shared" si="70"/>
        <v>-</v>
      </c>
      <c r="I67" s="32" t="b">
        <f t="shared" si="70"/>
        <v>0</v>
      </c>
      <c r="J67" s="32" t="b">
        <f t="shared" si="70"/>
        <v>1</v>
      </c>
      <c r="K67" s="32" t="str">
        <f t="shared" si="70"/>
        <v>-</v>
      </c>
      <c r="L67" s="32" t="str">
        <f t="shared" si="70"/>
        <v>-</v>
      </c>
      <c r="M67" s="32" t="str">
        <f t="shared" si="70"/>
        <v>-</v>
      </c>
      <c r="N67" s="32" t="str">
        <f t="shared" si="70"/>
        <v>-</v>
      </c>
      <c r="O67" s="32" t="str">
        <f t="shared" si="70"/>
        <v>-</v>
      </c>
      <c r="P67" s="32" t="str">
        <f t="shared" si="70"/>
        <v>-</v>
      </c>
      <c r="Q67" s="32" t="str">
        <f t="shared" si="70"/>
        <v>-</v>
      </c>
      <c r="R67" s="32" t="str">
        <f t="shared" si="70"/>
        <v>-</v>
      </c>
      <c r="S67" s="32" t="str">
        <f t="shared" si="70"/>
        <v>-</v>
      </c>
      <c r="T67" s="32" t="str">
        <f t="shared" si="70"/>
        <v>-</v>
      </c>
      <c r="U67" s="32" t="str">
        <f t="shared" si="70"/>
        <v>-</v>
      </c>
      <c r="V67" s="32" t="str">
        <f t="shared" si="70"/>
        <v>-</v>
      </c>
      <c r="W67" s="32" t="str">
        <f t="shared" si="70"/>
        <v>-</v>
      </c>
      <c r="X67" s="32" t="str">
        <f t="shared" si="65"/>
        <v>-</v>
      </c>
      <c r="Y67" s="32" t="str">
        <f t="shared" si="65"/>
        <v>-</v>
      </c>
      <c r="Z67" s="32" t="str">
        <f t="shared" si="65"/>
        <v>-</v>
      </c>
      <c r="AA67" s="32" t="str">
        <f t="shared" si="65"/>
        <v>-</v>
      </c>
      <c r="AB67" s="32" t="str">
        <f t="shared" si="65"/>
        <v>-</v>
      </c>
      <c r="AC67" s="32" t="str">
        <f t="shared" si="65"/>
        <v>-</v>
      </c>
      <c r="AD67" s="32" t="str">
        <f t="shared" si="65"/>
        <v>-</v>
      </c>
      <c r="AE67" s="32" t="str">
        <f t="shared" si="65"/>
        <v>-</v>
      </c>
      <c r="AF67" s="32" t="str">
        <f t="shared" si="65"/>
        <v>-</v>
      </c>
      <c r="AG67" s="32" t="str">
        <f t="shared" si="65"/>
        <v>-</v>
      </c>
      <c r="AH67" s="31" t="b">
        <v>1</v>
      </c>
      <c r="AI67" s="31" t="b">
        <v>1</v>
      </c>
      <c r="AJ67" s="31" t="b">
        <v>1</v>
      </c>
      <c r="AK67" s="32" t="str">
        <f t="shared" si="66"/>
        <v>-</v>
      </c>
      <c r="AL67" s="32" t="str">
        <f t="shared" si="66"/>
        <v>-</v>
      </c>
      <c r="AM67" s="32" t="str">
        <f t="shared" si="66"/>
        <v>-</v>
      </c>
      <c r="AN67" s="32" t="str">
        <f t="shared" si="66"/>
        <v>-</v>
      </c>
      <c r="AO67" s="25">
        <f t="shared" ref="AO67:AR96" si="72">AO66</f>
        <v>1</v>
      </c>
      <c r="AP67" s="25">
        <f t="shared" ref="AP67:AP95" si="73">AP66</f>
        <v>2</v>
      </c>
      <c r="AQ67" s="25">
        <f t="shared" ref="AQ67:AR95" si="74">AQ66</f>
        <v>0</v>
      </c>
      <c r="AR67" s="25">
        <f>AR66</f>
        <v>-0.5</v>
      </c>
      <c r="AS67" s="22">
        <f>$AR67+2</f>
        <v>1.5</v>
      </c>
      <c r="AT67" s="23">
        <f>$AR67-2</f>
        <v>-2.5</v>
      </c>
      <c r="AU67" s="32">
        <f t="shared" si="67"/>
        <v>1</v>
      </c>
      <c r="AV67" s="32">
        <f t="shared" si="67"/>
        <v>1</v>
      </c>
      <c r="AW67" s="32">
        <f t="shared" si="67"/>
        <v>1</v>
      </c>
      <c r="AX67" s="32">
        <f t="shared" si="67"/>
        <v>1</v>
      </c>
      <c r="AY67" s="32">
        <f t="shared" si="67"/>
        <v>1</v>
      </c>
      <c r="AZ67" s="32">
        <f t="shared" si="67"/>
        <v>1</v>
      </c>
      <c r="BA67" s="32">
        <f t="shared" si="67"/>
        <v>1</v>
      </c>
      <c r="BB67" s="32">
        <f t="shared" si="67"/>
        <v>1</v>
      </c>
      <c r="BC67" s="32">
        <f t="shared" si="67"/>
        <v>1</v>
      </c>
      <c r="BD67" s="32">
        <f t="shared" si="67"/>
        <v>1</v>
      </c>
      <c r="BE67" s="32">
        <f t="shared" si="67"/>
        <v>1</v>
      </c>
      <c r="BF67" s="32">
        <f t="shared" si="67"/>
        <v>1</v>
      </c>
      <c r="BG67" s="32">
        <f t="shared" si="67"/>
        <v>1</v>
      </c>
      <c r="BH67" s="32">
        <f t="shared" si="67"/>
        <v>1</v>
      </c>
      <c r="BI67" s="32">
        <f t="shared" si="67"/>
        <v>1</v>
      </c>
      <c r="BJ67" s="32">
        <f t="shared" si="67"/>
        <v>1</v>
      </c>
      <c r="BK67" s="32">
        <f t="shared" si="68"/>
        <v>0</v>
      </c>
      <c r="BL67" s="32">
        <f t="shared" si="68"/>
        <v>0</v>
      </c>
      <c r="BM67" s="32">
        <f t="shared" si="68"/>
        <v>0</v>
      </c>
      <c r="BN67" s="32">
        <f t="shared" si="68"/>
        <v>0</v>
      </c>
      <c r="BO67" s="32">
        <f t="shared" si="68"/>
        <v>0</v>
      </c>
      <c r="BP67" s="15">
        <v>0</v>
      </c>
    </row>
    <row r="68" spans="1:68">
      <c r="A68" s="18"/>
      <c r="B68">
        <f t="shared" si="3"/>
        <v>63</v>
      </c>
      <c r="C68" t="b">
        <v>0</v>
      </c>
      <c r="D68" t="b">
        <v>0</v>
      </c>
      <c r="E68" t="b">
        <v>0</v>
      </c>
      <c r="F68" s="3" t="str">
        <f t="shared" si="69"/>
        <v>off_0_p5</v>
      </c>
      <c r="G68" s="26" t="str">
        <f>IF(MATCH(F68,F$5:F68,0)=(COUNTA(F$5:F68)),"-","Dup")</f>
        <v>-</v>
      </c>
      <c r="H68" s="32" t="str">
        <f t="shared" si="70"/>
        <v>-</v>
      </c>
      <c r="I68" s="32" t="b">
        <f t="shared" si="70"/>
        <v>0</v>
      </c>
      <c r="J68" s="32" t="b">
        <f t="shared" si="70"/>
        <v>1</v>
      </c>
      <c r="K68" s="32" t="str">
        <f t="shared" si="70"/>
        <v>-</v>
      </c>
      <c r="L68" s="32" t="str">
        <f t="shared" si="70"/>
        <v>-</v>
      </c>
      <c r="M68" s="32" t="str">
        <f t="shared" si="70"/>
        <v>-</v>
      </c>
      <c r="N68" s="32" t="str">
        <f t="shared" si="70"/>
        <v>-</v>
      </c>
      <c r="O68" s="32" t="str">
        <f t="shared" si="70"/>
        <v>-</v>
      </c>
      <c r="P68" s="32" t="str">
        <f t="shared" si="70"/>
        <v>-</v>
      </c>
      <c r="Q68" s="32" t="str">
        <f t="shared" si="70"/>
        <v>-</v>
      </c>
      <c r="R68" s="32" t="str">
        <f t="shared" si="70"/>
        <v>-</v>
      </c>
      <c r="S68" s="32" t="str">
        <f t="shared" si="70"/>
        <v>-</v>
      </c>
      <c r="T68" s="32" t="str">
        <f t="shared" si="70"/>
        <v>-</v>
      </c>
      <c r="U68" s="32" t="str">
        <f t="shared" si="70"/>
        <v>-</v>
      </c>
      <c r="V68" s="32" t="str">
        <f t="shared" si="70"/>
        <v>-</v>
      </c>
      <c r="W68" s="32" t="str">
        <f t="shared" si="70"/>
        <v>-</v>
      </c>
      <c r="X68" s="32" t="str">
        <f t="shared" si="65"/>
        <v>-</v>
      </c>
      <c r="Y68" s="32" t="str">
        <f t="shared" si="65"/>
        <v>-</v>
      </c>
      <c r="Z68" s="32" t="str">
        <f t="shared" si="65"/>
        <v>-</v>
      </c>
      <c r="AA68" s="32" t="str">
        <f t="shared" si="65"/>
        <v>-</v>
      </c>
      <c r="AB68" s="32" t="str">
        <f t="shared" si="65"/>
        <v>-</v>
      </c>
      <c r="AC68" s="32" t="str">
        <f t="shared" si="65"/>
        <v>-</v>
      </c>
      <c r="AD68" s="32" t="str">
        <f t="shared" si="65"/>
        <v>-</v>
      </c>
      <c r="AE68" s="32" t="str">
        <f t="shared" si="65"/>
        <v>-</v>
      </c>
      <c r="AF68" s="32" t="str">
        <f t="shared" si="65"/>
        <v>-</v>
      </c>
      <c r="AG68" s="32" t="str">
        <f t="shared" si="65"/>
        <v>-</v>
      </c>
      <c r="AH68" s="31" t="b">
        <v>1</v>
      </c>
      <c r="AI68" s="31" t="b">
        <v>1</v>
      </c>
      <c r="AJ68" s="31" t="b">
        <v>1</v>
      </c>
      <c r="AK68" s="32" t="str">
        <f t="shared" si="66"/>
        <v>-</v>
      </c>
      <c r="AL68" s="32" t="str">
        <f t="shared" si="66"/>
        <v>-</v>
      </c>
      <c r="AM68" s="32" t="str">
        <f t="shared" si="66"/>
        <v>-</v>
      </c>
      <c r="AN68" s="32" t="str">
        <f t="shared" si="66"/>
        <v>-</v>
      </c>
      <c r="AO68" s="25">
        <f t="shared" si="72"/>
        <v>1</v>
      </c>
      <c r="AP68" s="25">
        <f t="shared" si="73"/>
        <v>2</v>
      </c>
      <c r="AQ68" s="25">
        <f t="shared" si="74"/>
        <v>0</v>
      </c>
      <c r="AR68" s="21">
        <f>MIN(2.99,AR65+0.5)</f>
        <v>0</v>
      </c>
      <c r="AS68" s="21">
        <f t="shared" ref="AS68:AT68" si="75">MIN(2.99,AS65+0.5)</f>
        <v>0.5</v>
      </c>
      <c r="AT68" s="21">
        <f t="shared" si="75"/>
        <v>-0.5</v>
      </c>
      <c r="AU68" s="32">
        <f t="shared" si="67"/>
        <v>1</v>
      </c>
      <c r="AV68" s="32">
        <f t="shared" si="67"/>
        <v>1</v>
      </c>
      <c r="AW68" s="32">
        <f t="shared" si="67"/>
        <v>1</v>
      </c>
      <c r="AX68" s="32">
        <f t="shared" si="67"/>
        <v>1</v>
      </c>
      <c r="AY68" s="32">
        <f t="shared" si="67"/>
        <v>1</v>
      </c>
      <c r="AZ68" s="32">
        <f t="shared" si="67"/>
        <v>1</v>
      </c>
      <c r="BA68" s="32">
        <f t="shared" si="67"/>
        <v>1</v>
      </c>
      <c r="BB68" s="32">
        <f t="shared" si="67"/>
        <v>1</v>
      </c>
      <c r="BC68" s="32">
        <f t="shared" si="67"/>
        <v>1</v>
      </c>
      <c r="BD68" s="32">
        <f t="shared" si="67"/>
        <v>1</v>
      </c>
      <c r="BE68" s="32">
        <f t="shared" si="67"/>
        <v>1</v>
      </c>
      <c r="BF68" s="32">
        <f t="shared" si="67"/>
        <v>1</v>
      </c>
      <c r="BG68" s="32">
        <f t="shared" si="67"/>
        <v>1</v>
      </c>
      <c r="BH68" s="32">
        <f t="shared" si="67"/>
        <v>1</v>
      </c>
      <c r="BI68" s="32">
        <f t="shared" si="67"/>
        <v>1</v>
      </c>
      <c r="BJ68" s="32">
        <f t="shared" si="67"/>
        <v>1</v>
      </c>
      <c r="BK68" s="32">
        <f t="shared" si="68"/>
        <v>0</v>
      </c>
      <c r="BL68" s="32">
        <f t="shared" si="68"/>
        <v>0</v>
      </c>
      <c r="BM68" s="32">
        <f t="shared" si="68"/>
        <v>0</v>
      </c>
      <c r="BN68" s="32">
        <f t="shared" si="68"/>
        <v>0</v>
      </c>
      <c r="BO68" s="32">
        <f t="shared" si="68"/>
        <v>0</v>
      </c>
      <c r="BP68" s="15">
        <v>0</v>
      </c>
    </row>
    <row r="69" spans="1:68">
      <c r="A69" s="18"/>
      <c r="B69">
        <f t="shared" si="3"/>
        <v>64</v>
      </c>
      <c r="C69" t="b">
        <v>0</v>
      </c>
      <c r="D69" t="b">
        <v>0</v>
      </c>
      <c r="E69" t="b">
        <v>0</v>
      </c>
      <c r="F69" s="3" t="str">
        <f t="shared" si="69"/>
        <v>off_0_1</v>
      </c>
      <c r="G69" s="26" t="str">
        <f>IF(MATCH(F69,F$5:F69,0)=(COUNTA(F$5:F69)),"-","Dup")</f>
        <v>-</v>
      </c>
      <c r="H69" s="32" t="str">
        <f t="shared" si="70"/>
        <v>-</v>
      </c>
      <c r="I69" s="32" t="b">
        <f t="shared" si="70"/>
        <v>0</v>
      </c>
      <c r="J69" s="32" t="b">
        <f t="shared" si="70"/>
        <v>1</v>
      </c>
      <c r="K69" s="32" t="str">
        <f t="shared" si="70"/>
        <v>-</v>
      </c>
      <c r="L69" s="32" t="str">
        <f t="shared" si="70"/>
        <v>-</v>
      </c>
      <c r="M69" s="32" t="str">
        <f t="shared" si="70"/>
        <v>-</v>
      </c>
      <c r="N69" s="32" t="str">
        <f t="shared" si="70"/>
        <v>-</v>
      </c>
      <c r="O69" s="32" t="str">
        <f t="shared" si="70"/>
        <v>-</v>
      </c>
      <c r="P69" s="32" t="str">
        <f t="shared" si="70"/>
        <v>-</v>
      </c>
      <c r="Q69" s="32" t="str">
        <f t="shared" si="70"/>
        <v>-</v>
      </c>
      <c r="R69" s="32" t="str">
        <f t="shared" si="70"/>
        <v>-</v>
      </c>
      <c r="S69" s="32" t="str">
        <f t="shared" si="70"/>
        <v>-</v>
      </c>
      <c r="T69" s="32" t="str">
        <f t="shared" si="70"/>
        <v>-</v>
      </c>
      <c r="U69" s="32" t="str">
        <f t="shared" si="70"/>
        <v>-</v>
      </c>
      <c r="V69" s="32" t="str">
        <f t="shared" si="70"/>
        <v>-</v>
      </c>
      <c r="W69" s="32" t="str">
        <f t="shared" si="70"/>
        <v>-</v>
      </c>
      <c r="X69" s="32" t="str">
        <f t="shared" si="65"/>
        <v>-</v>
      </c>
      <c r="Y69" s="32" t="str">
        <f t="shared" si="65"/>
        <v>-</v>
      </c>
      <c r="Z69" s="32" t="str">
        <f t="shared" si="65"/>
        <v>-</v>
      </c>
      <c r="AA69" s="32" t="str">
        <f t="shared" si="65"/>
        <v>-</v>
      </c>
      <c r="AB69" s="32" t="str">
        <f t="shared" si="65"/>
        <v>-</v>
      </c>
      <c r="AC69" s="32" t="str">
        <f t="shared" si="65"/>
        <v>-</v>
      </c>
      <c r="AD69" s="32" t="str">
        <f t="shared" si="65"/>
        <v>-</v>
      </c>
      <c r="AE69" s="32" t="str">
        <f t="shared" si="65"/>
        <v>-</v>
      </c>
      <c r="AF69" s="32" t="str">
        <f t="shared" si="65"/>
        <v>-</v>
      </c>
      <c r="AG69" s="32" t="str">
        <f t="shared" si="65"/>
        <v>-</v>
      </c>
      <c r="AH69" s="31" t="b">
        <v>1</v>
      </c>
      <c r="AI69" s="31" t="b">
        <v>1</v>
      </c>
      <c r="AJ69" s="31" t="b">
        <v>1</v>
      </c>
      <c r="AK69" s="32" t="str">
        <f t="shared" si="66"/>
        <v>-</v>
      </c>
      <c r="AL69" s="32" t="str">
        <f t="shared" si="66"/>
        <v>-</v>
      </c>
      <c r="AM69" s="32" t="str">
        <f t="shared" si="66"/>
        <v>-</v>
      </c>
      <c r="AN69" s="32" t="str">
        <f t="shared" si="66"/>
        <v>-</v>
      </c>
      <c r="AO69" s="25">
        <f t="shared" si="72"/>
        <v>1</v>
      </c>
      <c r="AP69" s="25">
        <f t="shared" si="73"/>
        <v>2</v>
      </c>
      <c r="AQ69" s="25">
        <f t="shared" si="74"/>
        <v>0</v>
      </c>
      <c r="AR69" s="21">
        <f t="shared" ref="AR69:AT69" si="76">MIN(2.99,AR66+0.5)</f>
        <v>0</v>
      </c>
      <c r="AS69" s="21">
        <f t="shared" si="76"/>
        <v>1</v>
      </c>
      <c r="AT69" s="21">
        <f t="shared" si="76"/>
        <v>-1</v>
      </c>
      <c r="AU69" s="32">
        <f t="shared" si="67"/>
        <v>1</v>
      </c>
      <c r="AV69" s="32">
        <f t="shared" si="67"/>
        <v>1</v>
      </c>
      <c r="AW69" s="32">
        <f t="shared" si="67"/>
        <v>1</v>
      </c>
      <c r="AX69" s="32">
        <f t="shared" si="67"/>
        <v>1</v>
      </c>
      <c r="AY69" s="32">
        <f t="shared" si="67"/>
        <v>1</v>
      </c>
      <c r="AZ69" s="32">
        <f t="shared" si="67"/>
        <v>1</v>
      </c>
      <c r="BA69" s="32">
        <f t="shared" si="67"/>
        <v>1</v>
      </c>
      <c r="BB69" s="32">
        <f t="shared" si="67"/>
        <v>1</v>
      </c>
      <c r="BC69" s="32">
        <f t="shared" si="67"/>
        <v>1</v>
      </c>
      <c r="BD69" s="32">
        <f t="shared" si="67"/>
        <v>1</v>
      </c>
      <c r="BE69" s="32">
        <f t="shared" si="67"/>
        <v>1</v>
      </c>
      <c r="BF69" s="32">
        <f t="shared" si="67"/>
        <v>1</v>
      </c>
      <c r="BG69" s="32">
        <f t="shared" si="67"/>
        <v>1</v>
      </c>
      <c r="BH69" s="32">
        <f t="shared" si="67"/>
        <v>1</v>
      </c>
      <c r="BI69" s="32">
        <f t="shared" si="67"/>
        <v>1</v>
      </c>
      <c r="BJ69" s="32">
        <f t="shared" si="67"/>
        <v>1</v>
      </c>
      <c r="BK69" s="32">
        <f t="shared" si="68"/>
        <v>0</v>
      </c>
      <c r="BL69" s="32">
        <f t="shared" si="68"/>
        <v>0</v>
      </c>
      <c r="BM69" s="32">
        <f t="shared" si="68"/>
        <v>0</v>
      </c>
      <c r="BN69" s="32">
        <f t="shared" si="68"/>
        <v>0</v>
      </c>
      <c r="BO69" s="32">
        <f t="shared" si="68"/>
        <v>0</v>
      </c>
      <c r="BP69" s="15">
        <v>0</v>
      </c>
    </row>
    <row r="70" spans="1:68">
      <c r="A70" s="18"/>
      <c r="B70">
        <f t="shared" si="3"/>
        <v>65</v>
      </c>
      <c r="C70" t="b">
        <v>0</v>
      </c>
      <c r="D70" t="b">
        <v>0</v>
      </c>
      <c r="E70" t="b">
        <v>0</v>
      </c>
      <c r="F70" s="3" t="str">
        <f t="shared" si="69"/>
        <v>off_0_2</v>
      </c>
      <c r="G70" s="26" t="str">
        <f>IF(MATCH(F70,F$5:F70,0)=(COUNTA(F$5:F70)),"-","Dup")</f>
        <v>-</v>
      </c>
      <c r="H70" s="32" t="str">
        <f t="shared" si="70"/>
        <v>-</v>
      </c>
      <c r="I70" s="32" t="b">
        <f t="shared" si="70"/>
        <v>0</v>
      </c>
      <c r="J70" s="32" t="b">
        <f t="shared" si="70"/>
        <v>1</v>
      </c>
      <c r="K70" s="32" t="str">
        <f t="shared" si="70"/>
        <v>-</v>
      </c>
      <c r="L70" s="32" t="str">
        <f t="shared" si="70"/>
        <v>-</v>
      </c>
      <c r="M70" s="32" t="str">
        <f t="shared" si="70"/>
        <v>-</v>
      </c>
      <c r="N70" s="32" t="str">
        <f t="shared" si="70"/>
        <v>-</v>
      </c>
      <c r="O70" s="32" t="str">
        <f t="shared" si="70"/>
        <v>-</v>
      </c>
      <c r="P70" s="32" t="str">
        <f t="shared" si="70"/>
        <v>-</v>
      </c>
      <c r="Q70" s="32" t="str">
        <f t="shared" si="70"/>
        <v>-</v>
      </c>
      <c r="R70" s="32" t="str">
        <f t="shared" si="70"/>
        <v>-</v>
      </c>
      <c r="S70" s="32" t="str">
        <f t="shared" si="70"/>
        <v>-</v>
      </c>
      <c r="T70" s="32" t="str">
        <f t="shared" si="70"/>
        <v>-</v>
      </c>
      <c r="U70" s="32" t="str">
        <f t="shared" si="70"/>
        <v>-</v>
      </c>
      <c r="V70" s="32" t="str">
        <f t="shared" si="70"/>
        <v>-</v>
      </c>
      <c r="W70" s="32" t="str">
        <f t="shared" si="70"/>
        <v>-</v>
      </c>
      <c r="X70" s="32" t="str">
        <f t="shared" si="65"/>
        <v>-</v>
      </c>
      <c r="Y70" s="32" t="str">
        <f t="shared" si="65"/>
        <v>-</v>
      </c>
      <c r="Z70" s="32" t="str">
        <f t="shared" si="65"/>
        <v>-</v>
      </c>
      <c r="AA70" s="32" t="str">
        <f t="shared" si="65"/>
        <v>-</v>
      </c>
      <c r="AB70" s="32" t="str">
        <f t="shared" si="65"/>
        <v>-</v>
      </c>
      <c r="AC70" s="32" t="str">
        <f t="shared" si="65"/>
        <v>-</v>
      </c>
      <c r="AD70" s="32" t="str">
        <f t="shared" si="65"/>
        <v>-</v>
      </c>
      <c r="AE70" s="32" t="str">
        <f t="shared" si="65"/>
        <v>-</v>
      </c>
      <c r="AF70" s="32" t="str">
        <f t="shared" si="65"/>
        <v>-</v>
      </c>
      <c r="AG70" s="32" t="str">
        <f t="shared" si="65"/>
        <v>-</v>
      </c>
      <c r="AH70" s="31" t="b">
        <v>1</v>
      </c>
      <c r="AI70" s="31" t="b">
        <v>1</v>
      </c>
      <c r="AJ70" s="31" t="b">
        <v>1</v>
      </c>
      <c r="AK70" s="32" t="str">
        <f t="shared" si="66"/>
        <v>-</v>
      </c>
      <c r="AL70" s="32" t="str">
        <f t="shared" si="66"/>
        <v>-</v>
      </c>
      <c r="AM70" s="32" t="str">
        <f t="shared" si="66"/>
        <v>-</v>
      </c>
      <c r="AN70" s="32" t="str">
        <f t="shared" si="66"/>
        <v>-</v>
      </c>
      <c r="AO70" s="25">
        <f t="shared" si="72"/>
        <v>1</v>
      </c>
      <c r="AP70" s="25">
        <f t="shared" si="73"/>
        <v>2</v>
      </c>
      <c r="AQ70" s="25">
        <f t="shared" si="74"/>
        <v>0</v>
      </c>
      <c r="AR70" s="21">
        <f t="shared" ref="AR70:AT70" si="77">MIN(2.99,AR67+0.5)</f>
        <v>0</v>
      </c>
      <c r="AS70" s="21">
        <f t="shared" si="77"/>
        <v>2</v>
      </c>
      <c r="AT70" s="21">
        <f t="shared" si="77"/>
        <v>-2</v>
      </c>
      <c r="AU70" s="32">
        <f t="shared" si="67"/>
        <v>1</v>
      </c>
      <c r="AV70" s="32">
        <f t="shared" si="67"/>
        <v>1</v>
      </c>
      <c r="AW70" s="32">
        <f t="shared" si="67"/>
        <v>1</v>
      </c>
      <c r="AX70" s="32">
        <f t="shared" si="67"/>
        <v>1</v>
      </c>
      <c r="AY70" s="32">
        <f t="shared" si="67"/>
        <v>1</v>
      </c>
      <c r="AZ70" s="32">
        <f t="shared" si="67"/>
        <v>1</v>
      </c>
      <c r="BA70" s="32">
        <f t="shared" si="67"/>
        <v>1</v>
      </c>
      <c r="BB70" s="32">
        <f t="shared" si="67"/>
        <v>1</v>
      </c>
      <c r="BC70" s="32">
        <f t="shared" si="67"/>
        <v>1</v>
      </c>
      <c r="BD70" s="32">
        <f t="shared" si="67"/>
        <v>1</v>
      </c>
      <c r="BE70" s="32">
        <f t="shared" si="67"/>
        <v>1</v>
      </c>
      <c r="BF70" s="32">
        <f t="shared" si="67"/>
        <v>1</v>
      </c>
      <c r="BG70" s="32">
        <f t="shared" si="67"/>
        <v>1</v>
      </c>
      <c r="BH70" s="32">
        <f t="shared" si="67"/>
        <v>1</v>
      </c>
      <c r="BI70" s="32">
        <f t="shared" si="67"/>
        <v>1</v>
      </c>
      <c r="BJ70" s="32">
        <f t="shared" si="67"/>
        <v>1</v>
      </c>
      <c r="BK70" s="32">
        <f t="shared" si="68"/>
        <v>0</v>
      </c>
      <c r="BL70" s="32">
        <f t="shared" si="68"/>
        <v>0</v>
      </c>
      <c r="BM70" s="32">
        <f t="shared" si="68"/>
        <v>0</v>
      </c>
      <c r="BN70" s="32">
        <f t="shared" si="68"/>
        <v>0</v>
      </c>
      <c r="BO70" s="32">
        <f t="shared" si="68"/>
        <v>0</v>
      </c>
      <c r="BP70" s="15">
        <v>0</v>
      </c>
    </row>
    <row r="71" spans="1:68">
      <c r="A71" s="18"/>
      <c r="B71">
        <f t="shared" si="3"/>
        <v>66</v>
      </c>
      <c r="C71" t="b">
        <v>0</v>
      </c>
      <c r="D71" t="b">
        <v>0</v>
      </c>
      <c r="E71" t="b">
        <v>0</v>
      </c>
      <c r="F71" s="3" t="str">
        <f t="shared" si="69"/>
        <v>off_p5_p5</v>
      </c>
      <c r="G71" s="26" t="str">
        <f>IF(MATCH(F71,F$5:F71,0)=(COUNTA(F$5:F71)),"-","Dup")</f>
        <v>-</v>
      </c>
      <c r="H71" s="32" t="str">
        <f t="shared" si="70"/>
        <v>-</v>
      </c>
      <c r="I71" s="32" t="b">
        <f t="shared" si="70"/>
        <v>0</v>
      </c>
      <c r="J71" s="32" t="b">
        <f t="shared" si="70"/>
        <v>1</v>
      </c>
      <c r="K71" s="32" t="str">
        <f t="shared" si="70"/>
        <v>-</v>
      </c>
      <c r="L71" s="32" t="str">
        <f t="shared" si="70"/>
        <v>-</v>
      </c>
      <c r="M71" s="32" t="str">
        <f t="shared" si="70"/>
        <v>-</v>
      </c>
      <c r="N71" s="32" t="str">
        <f t="shared" si="70"/>
        <v>-</v>
      </c>
      <c r="O71" s="32" t="str">
        <f t="shared" si="70"/>
        <v>-</v>
      </c>
      <c r="P71" s="32" t="str">
        <f t="shared" si="70"/>
        <v>-</v>
      </c>
      <c r="Q71" s="32" t="str">
        <f t="shared" si="70"/>
        <v>-</v>
      </c>
      <c r="R71" s="32" t="str">
        <f t="shared" si="70"/>
        <v>-</v>
      </c>
      <c r="S71" s="32" t="str">
        <f t="shared" si="70"/>
        <v>-</v>
      </c>
      <c r="T71" s="32" t="str">
        <f t="shared" si="70"/>
        <v>-</v>
      </c>
      <c r="U71" s="32" t="str">
        <f t="shared" si="70"/>
        <v>-</v>
      </c>
      <c r="V71" s="32" t="str">
        <f t="shared" si="70"/>
        <v>-</v>
      </c>
      <c r="W71" s="32" t="str">
        <f t="shared" si="70"/>
        <v>-</v>
      </c>
      <c r="X71" s="32" t="str">
        <f t="shared" si="65"/>
        <v>-</v>
      </c>
      <c r="Y71" s="32" t="str">
        <f t="shared" si="65"/>
        <v>-</v>
      </c>
      <c r="Z71" s="32" t="str">
        <f t="shared" si="65"/>
        <v>-</v>
      </c>
      <c r="AA71" s="32" t="str">
        <f t="shared" si="65"/>
        <v>-</v>
      </c>
      <c r="AB71" s="32" t="str">
        <f t="shared" si="65"/>
        <v>-</v>
      </c>
      <c r="AC71" s="32" t="str">
        <f t="shared" si="65"/>
        <v>-</v>
      </c>
      <c r="AD71" s="32" t="str">
        <f t="shared" si="65"/>
        <v>-</v>
      </c>
      <c r="AE71" s="32" t="str">
        <f t="shared" si="65"/>
        <v>-</v>
      </c>
      <c r="AF71" s="32" t="str">
        <f t="shared" si="65"/>
        <v>-</v>
      </c>
      <c r="AG71" s="32" t="str">
        <f t="shared" si="65"/>
        <v>-</v>
      </c>
      <c r="AH71" s="31" t="b">
        <v>1</v>
      </c>
      <c r="AI71" s="31" t="b">
        <v>1</v>
      </c>
      <c r="AJ71" s="31" t="b">
        <v>1</v>
      </c>
      <c r="AK71" s="32" t="str">
        <f t="shared" si="66"/>
        <v>-</v>
      </c>
      <c r="AL71" s="32" t="str">
        <f t="shared" si="66"/>
        <v>-</v>
      </c>
      <c r="AM71" s="32" t="str">
        <f t="shared" si="66"/>
        <v>-</v>
      </c>
      <c r="AN71" s="32" t="str">
        <f t="shared" si="66"/>
        <v>-</v>
      </c>
      <c r="AO71" s="25">
        <f t="shared" si="72"/>
        <v>1</v>
      </c>
      <c r="AP71" s="25">
        <f t="shared" si="73"/>
        <v>2</v>
      </c>
      <c r="AQ71" s="25">
        <f t="shared" si="74"/>
        <v>0</v>
      </c>
      <c r="AR71" s="21">
        <f t="shared" ref="AR71:AT71" si="78">MIN(2.99,AR68+0.5)</f>
        <v>0.5</v>
      </c>
      <c r="AS71" s="21">
        <f t="shared" si="78"/>
        <v>1</v>
      </c>
      <c r="AT71" s="21">
        <f t="shared" si="78"/>
        <v>0</v>
      </c>
      <c r="AU71" s="32">
        <f t="shared" si="67"/>
        <v>1</v>
      </c>
      <c r="AV71" s="32">
        <f t="shared" si="67"/>
        <v>1</v>
      </c>
      <c r="AW71" s="32">
        <f t="shared" si="67"/>
        <v>1</v>
      </c>
      <c r="AX71" s="32">
        <f t="shared" si="67"/>
        <v>1</v>
      </c>
      <c r="AY71" s="32">
        <f t="shared" si="67"/>
        <v>1</v>
      </c>
      <c r="AZ71" s="32">
        <f t="shared" si="67"/>
        <v>1</v>
      </c>
      <c r="BA71" s="32">
        <f t="shared" si="67"/>
        <v>1</v>
      </c>
      <c r="BB71" s="32">
        <f t="shared" si="67"/>
        <v>1</v>
      </c>
      <c r="BC71" s="32">
        <f t="shared" si="67"/>
        <v>1</v>
      </c>
      <c r="BD71" s="32">
        <f t="shared" si="67"/>
        <v>1</v>
      </c>
      <c r="BE71" s="32">
        <f t="shared" si="67"/>
        <v>1</v>
      </c>
      <c r="BF71" s="32">
        <f t="shared" si="67"/>
        <v>1</v>
      </c>
      <c r="BG71" s="32">
        <f t="shared" si="67"/>
        <v>1</v>
      </c>
      <c r="BH71" s="32">
        <f t="shared" si="67"/>
        <v>1</v>
      </c>
      <c r="BI71" s="32">
        <f t="shared" si="67"/>
        <v>1</v>
      </c>
      <c r="BJ71" s="32">
        <f t="shared" si="67"/>
        <v>1</v>
      </c>
      <c r="BK71" s="32">
        <f t="shared" si="68"/>
        <v>0</v>
      </c>
      <c r="BL71" s="32">
        <f t="shared" si="68"/>
        <v>0</v>
      </c>
      <c r="BM71" s="32">
        <f t="shared" si="68"/>
        <v>0</v>
      </c>
      <c r="BN71" s="32">
        <f t="shared" si="68"/>
        <v>0</v>
      </c>
      <c r="BO71" s="32">
        <f t="shared" si="68"/>
        <v>0</v>
      </c>
      <c r="BP71" s="15">
        <v>0</v>
      </c>
    </row>
    <row r="72" spans="1:68">
      <c r="A72" s="18"/>
      <c r="B72">
        <f t="shared" si="3"/>
        <v>67</v>
      </c>
      <c r="C72" t="b">
        <v>0</v>
      </c>
      <c r="D72" t="b">
        <v>0</v>
      </c>
      <c r="E72" t="b">
        <v>0</v>
      </c>
      <c r="F72" s="3" t="str">
        <f t="shared" si="69"/>
        <v>off_p5_1</v>
      </c>
      <c r="G72" s="26" t="str">
        <f>IF(MATCH(F72,F$5:F72,0)=(COUNTA(F$5:F72)),"-","Dup")</f>
        <v>-</v>
      </c>
      <c r="H72" s="32" t="str">
        <f t="shared" si="70"/>
        <v>-</v>
      </c>
      <c r="I72" s="32" t="b">
        <f t="shared" si="70"/>
        <v>0</v>
      </c>
      <c r="J72" s="32" t="b">
        <f t="shared" si="70"/>
        <v>1</v>
      </c>
      <c r="K72" s="32" t="str">
        <f t="shared" si="70"/>
        <v>-</v>
      </c>
      <c r="L72" s="32" t="str">
        <f t="shared" si="70"/>
        <v>-</v>
      </c>
      <c r="M72" s="32" t="str">
        <f t="shared" si="70"/>
        <v>-</v>
      </c>
      <c r="N72" s="32" t="str">
        <f t="shared" si="70"/>
        <v>-</v>
      </c>
      <c r="O72" s="32" t="str">
        <f t="shared" si="70"/>
        <v>-</v>
      </c>
      <c r="P72" s="32" t="str">
        <f t="shared" si="70"/>
        <v>-</v>
      </c>
      <c r="Q72" s="32" t="str">
        <f t="shared" si="70"/>
        <v>-</v>
      </c>
      <c r="R72" s="32" t="str">
        <f t="shared" si="70"/>
        <v>-</v>
      </c>
      <c r="S72" s="32" t="str">
        <f t="shared" si="70"/>
        <v>-</v>
      </c>
      <c r="T72" s="32" t="str">
        <f t="shared" si="70"/>
        <v>-</v>
      </c>
      <c r="U72" s="32" t="str">
        <f t="shared" si="70"/>
        <v>-</v>
      </c>
      <c r="V72" s="32" t="str">
        <f t="shared" si="70"/>
        <v>-</v>
      </c>
      <c r="W72" s="32" t="str">
        <f t="shared" si="70"/>
        <v>-</v>
      </c>
      <c r="X72" s="32" t="str">
        <f t="shared" si="65"/>
        <v>-</v>
      </c>
      <c r="Y72" s="32" t="str">
        <f t="shared" si="65"/>
        <v>-</v>
      </c>
      <c r="Z72" s="32" t="str">
        <f t="shared" si="65"/>
        <v>-</v>
      </c>
      <c r="AA72" s="32" t="str">
        <f t="shared" si="65"/>
        <v>-</v>
      </c>
      <c r="AB72" s="32" t="str">
        <f t="shared" si="65"/>
        <v>-</v>
      </c>
      <c r="AC72" s="32" t="str">
        <f t="shared" si="65"/>
        <v>-</v>
      </c>
      <c r="AD72" s="32" t="str">
        <f t="shared" si="65"/>
        <v>-</v>
      </c>
      <c r="AE72" s="32" t="str">
        <f t="shared" si="65"/>
        <v>-</v>
      </c>
      <c r="AF72" s="32" t="str">
        <f t="shared" si="65"/>
        <v>-</v>
      </c>
      <c r="AG72" s="32" t="str">
        <f t="shared" si="65"/>
        <v>-</v>
      </c>
      <c r="AH72" s="31" t="b">
        <v>1</v>
      </c>
      <c r="AI72" s="31" t="b">
        <v>1</v>
      </c>
      <c r="AJ72" s="31" t="b">
        <v>1</v>
      </c>
      <c r="AK72" s="32" t="str">
        <f t="shared" si="66"/>
        <v>-</v>
      </c>
      <c r="AL72" s="32" t="str">
        <f t="shared" si="66"/>
        <v>-</v>
      </c>
      <c r="AM72" s="32" t="str">
        <f t="shared" si="66"/>
        <v>-</v>
      </c>
      <c r="AN72" s="32" t="str">
        <f t="shared" si="66"/>
        <v>-</v>
      </c>
      <c r="AO72" s="25">
        <f t="shared" si="72"/>
        <v>1</v>
      </c>
      <c r="AP72" s="25">
        <f t="shared" si="73"/>
        <v>2</v>
      </c>
      <c r="AQ72" s="25">
        <f t="shared" si="74"/>
        <v>0</v>
      </c>
      <c r="AR72" s="21">
        <f t="shared" ref="AR72:AT72" si="79">MIN(2.99,AR69+0.5)</f>
        <v>0.5</v>
      </c>
      <c r="AS72" s="21">
        <f t="shared" si="79"/>
        <v>1.5</v>
      </c>
      <c r="AT72" s="21">
        <f t="shared" si="79"/>
        <v>-0.5</v>
      </c>
      <c r="AU72" s="32">
        <f t="shared" si="67"/>
        <v>1</v>
      </c>
      <c r="AV72" s="32">
        <f t="shared" si="67"/>
        <v>1</v>
      </c>
      <c r="AW72" s="32">
        <f t="shared" si="67"/>
        <v>1</v>
      </c>
      <c r="AX72" s="32">
        <f t="shared" si="67"/>
        <v>1</v>
      </c>
      <c r="AY72" s="32">
        <f t="shared" si="67"/>
        <v>1</v>
      </c>
      <c r="AZ72" s="32">
        <f t="shared" si="67"/>
        <v>1</v>
      </c>
      <c r="BA72" s="32">
        <f t="shared" si="67"/>
        <v>1</v>
      </c>
      <c r="BB72" s="32">
        <f t="shared" si="67"/>
        <v>1</v>
      </c>
      <c r="BC72" s="32">
        <f t="shared" si="67"/>
        <v>1</v>
      </c>
      <c r="BD72" s="32">
        <f t="shared" si="67"/>
        <v>1</v>
      </c>
      <c r="BE72" s="32">
        <f t="shared" si="67"/>
        <v>1</v>
      </c>
      <c r="BF72" s="32">
        <f t="shared" si="67"/>
        <v>1</v>
      </c>
      <c r="BG72" s="32">
        <f t="shared" si="67"/>
        <v>1</v>
      </c>
      <c r="BH72" s="32">
        <f t="shared" si="67"/>
        <v>1</v>
      </c>
      <c r="BI72" s="32">
        <f t="shared" si="67"/>
        <v>1</v>
      </c>
      <c r="BJ72" s="32">
        <f t="shared" si="67"/>
        <v>1</v>
      </c>
      <c r="BK72" s="32">
        <f t="shared" si="68"/>
        <v>0</v>
      </c>
      <c r="BL72" s="32">
        <f t="shared" si="68"/>
        <v>0</v>
      </c>
      <c r="BM72" s="32">
        <f t="shared" si="68"/>
        <v>0</v>
      </c>
      <c r="BN72" s="32">
        <f t="shared" si="68"/>
        <v>0</v>
      </c>
      <c r="BO72" s="32">
        <f t="shared" si="68"/>
        <v>0</v>
      </c>
      <c r="BP72" s="15">
        <v>0</v>
      </c>
    </row>
    <row r="73" spans="1:68">
      <c r="A73" s="18"/>
      <c r="B73">
        <f t="shared" si="3"/>
        <v>68</v>
      </c>
      <c r="C73" t="b">
        <v>0</v>
      </c>
      <c r="D73" t="b">
        <v>0</v>
      </c>
      <c r="E73" t="b">
        <v>0</v>
      </c>
      <c r="F73" s="3" t="str">
        <f t="shared" si="69"/>
        <v>off_p5_2</v>
      </c>
      <c r="G73" s="26" t="str">
        <f>IF(MATCH(F73,F$5:F73,0)=(COUNTA(F$5:F73)),"-","Dup")</f>
        <v>-</v>
      </c>
      <c r="H73" s="32" t="str">
        <f t="shared" si="70"/>
        <v>-</v>
      </c>
      <c r="I73" s="32" t="b">
        <f t="shared" si="70"/>
        <v>0</v>
      </c>
      <c r="J73" s="32" t="b">
        <f t="shared" si="70"/>
        <v>1</v>
      </c>
      <c r="K73" s="32" t="str">
        <f t="shared" si="70"/>
        <v>-</v>
      </c>
      <c r="L73" s="32" t="str">
        <f t="shared" si="70"/>
        <v>-</v>
      </c>
      <c r="M73" s="32" t="str">
        <f t="shared" si="70"/>
        <v>-</v>
      </c>
      <c r="N73" s="32" t="str">
        <f t="shared" si="70"/>
        <v>-</v>
      </c>
      <c r="O73" s="32" t="str">
        <f t="shared" si="70"/>
        <v>-</v>
      </c>
      <c r="P73" s="32" t="str">
        <f t="shared" si="70"/>
        <v>-</v>
      </c>
      <c r="Q73" s="32" t="str">
        <f t="shared" si="70"/>
        <v>-</v>
      </c>
      <c r="R73" s="32" t="str">
        <f t="shared" si="70"/>
        <v>-</v>
      </c>
      <c r="S73" s="32" t="str">
        <f t="shared" si="70"/>
        <v>-</v>
      </c>
      <c r="T73" s="32" t="str">
        <f t="shared" si="70"/>
        <v>-</v>
      </c>
      <c r="U73" s="32" t="str">
        <f t="shared" si="70"/>
        <v>-</v>
      </c>
      <c r="V73" s="32" t="str">
        <f t="shared" si="70"/>
        <v>-</v>
      </c>
      <c r="W73" s="32" t="str">
        <f t="shared" si="70"/>
        <v>-</v>
      </c>
      <c r="X73" s="32" t="str">
        <f t="shared" si="65"/>
        <v>-</v>
      </c>
      <c r="Y73" s="32" t="str">
        <f t="shared" si="65"/>
        <v>-</v>
      </c>
      <c r="Z73" s="32" t="str">
        <f t="shared" si="65"/>
        <v>-</v>
      </c>
      <c r="AA73" s="32" t="str">
        <f t="shared" si="65"/>
        <v>-</v>
      </c>
      <c r="AB73" s="32" t="str">
        <f t="shared" si="65"/>
        <v>-</v>
      </c>
      <c r="AC73" s="32" t="str">
        <f t="shared" si="65"/>
        <v>-</v>
      </c>
      <c r="AD73" s="32" t="str">
        <f t="shared" si="65"/>
        <v>-</v>
      </c>
      <c r="AE73" s="32" t="str">
        <f t="shared" si="65"/>
        <v>-</v>
      </c>
      <c r="AF73" s="32" t="str">
        <f t="shared" si="65"/>
        <v>-</v>
      </c>
      <c r="AG73" s="32" t="str">
        <f t="shared" si="65"/>
        <v>-</v>
      </c>
      <c r="AH73" s="31" t="b">
        <v>1</v>
      </c>
      <c r="AI73" s="31" t="b">
        <v>1</v>
      </c>
      <c r="AJ73" s="31" t="b">
        <v>1</v>
      </c>
      <c r="AK73" s="32" t="str">
        <f t="shared" si="66"/>
        <v>-</v>
      </c>
      <c r="AL73" s="32" t="str">
        <f t="shared" si="66"/>
        <v>-</v>
      </c>
      <c r="AM73" s="32" t="str">
        <f t="shared" si="66"/>
        <v>-</v>
      </c>
      <c r="AN73" s="32" t="str">
        <f t="shared" si="66"/>
        <v>-</v>
      </c>
      <c r="AO73" s="25">
        <f t="shared" si="72"/>
        <v>1</v>
      </c>
      <c r="AP73" s="25">
        <f t="shared" si="73"/>
        <v>2</v>
      </c>
      <c r="AQ73" s="25">
        <f t="shared" si="74"/>
        <v>0</v>
      </c>
      <c r="AR73" s="21">
        <f t="shared" ref="AR73:AT73" si="80">MIN(2.99,AR70+0.5)</f>
        <v>0.5</v>
      </c>
      <c r="AS73" s="21">
        <f t="shared" si="80"/>
        <v>2.5</v>
      </c>
      <c r="AT73" s="21">
        <f t="shared" si="80"/>
        <v>-1.5</v>
      </c>
      <c r="AU73" s="32">
        <f t="shared" si="67"/>
        <v>1</v>
      </c>
      <c r="AV73" s="32">
        <f t="shared" si="67"/>
        <v>1</v>
      </c>
      <c r="AW73" s="32">
        <f t="shared" si="67"/>
        <v>1</v>
      </c>
      <c r="AX73" s="32">
        <f t="shared" si="67"/>
        <v>1</v>
      </c>
      <c r="AY73" s="32">
        <f t="shared" si="67"/>
        <v>1</v>
      </c>
      <c r="AZ73" s="32">
        <f t="shared" si="67"/>
        <v>1</v>
      </c>
      <c r="BA73" s="32">
        <f t="shared" si="67"/>
        <v>1</v>
      </c>
      <c r="BB73" s="32">
        <f t="shared" si="67"/>
        <v>1</v>
      </c>
      <c r="BC73" s="32">
        <f t="shared" si="67"/>
        <v>1</v>
      </c>
      <c r="BD73" s="32">
        <f t="shared" si="67"/>
        <v>1</v>
      </c>
      <c r="BE73" s="32">
        <f t="shared" si="67"/>
        <v>1</v>
      </c>
      <c r="BF73" s="32">
        <f t="shared" si="67"/>
        <v>1</v>
      </c>
      <c r="BG73" s="32">
        <f t="shared" si="67"/>
        <v>1</v>
      </c>
      <c r="BH73" s="32">
        <f t="shared" si="67"/>
        <v>1</v>
      </c>
      <c r="BI73" s="32">
        <f t="shared" si="67"/>
        <v>1</v>
      </c>
      <c r="BJ73" s="32">
        <f t="shared" si="67"/>
        <v>1</v>
      </c>
      <c r="BK73" s="32">
        <f t="shared" si="68"/>
        <v>0</v>
      </c>
      <c r="BL73" s="32">
        <f t="shared" si="68"/>
        <v>0</v>
      </c>
      <c r="BM73" s="32">
        <f t="shared" si="68"/>
        <v>0</v>
      </c>
      <c r="BN73" s="32">
        <f t="shared" si="68"/>
        <v>0</v>
      </c>
      <c r="BO73" s="32">
        <f t="shared" si="68"/>
        <v>0</v>
      </c>
      <c r="BP73" s="15">
        <v>0</v>
      </c>
    </row>
    <row r="74" spans="1:68">
      <c r="A74" s="18"/>
      <c r="B74">
        <f t="shared" si="3"/>
        <v>69</v>
      </c>
      <c r="C74" t="b">
        <v>0</v>
      </c>
      <c r="D74" t="b">
        <v>0</v>
      </c>
      <c r="E74" t="b">
        <v>0</v>
      </c>
      <c r="F74" s="3" t="str">
        <f t="shared" si="69"/>
        <v>off_1_p5</v>
      </c>
      <c r="G74" s="26" t="str">
        <f>IF(MATCH(F74,F$5:F74,0)=(COUNTA(F$5:F74)),"-","Dup")</f>
        <v>-</v>
      </c>
      <c r="H74" s="32" t="str">
        <f t="shared" si="70"/>
        <v>-</v>
      </c>
      <c r="I74" s="32" t="b">
        <f t="shared" si="70"/>
        <v>0</v>
      </c>
      <c r="J74" s="32" t="b">
        <f t="shared" si="70"/>
        <v>1</v>
      </c>
      <c r="K74" s="32" t="str">
        <f t="shared" si="70"/>
        <v>-</v>
      </c>
      <c r="L74" s="32" t="str">
        <f t="shared" si="70"/>
        <v>-</v>
      </c>
      <c r="M74" s="32" t="str">
        <f t="shared" si="70"/>
        <v>-</v>
      </c>
      <c r="N74" s="32" t="str">
        <f t="shared" si="70"/>
        <v>-</v>
      </c>
      <c r="O74" s="32" t="str">
        <f t="shared" si="70"/>
        <v>-</v>
      </c>
      <c r="P74" s="32" t="str">
        <f t="shared" si="70"/>
        <v>-</v>
      </c>
      <c r="Q74" s="32" t="str">
        <f t="shared" si="70"/>
        <v>-</v>
      </c>
      <c r="R74" s="32" t="str">
        <f t="shared" si="70"/>
        <v>-</v>
      </c>
      <c r="S74" s="32" t="str">
        <f t="shared" si="70"/>
        <v>-</v>
      </c>
      <c r="T74" s="32" t="str">
        <f t="shared" si="70"/>
        <v>-</v>
      </c>
      <c r="U74" s="32" t="str">
        <f t="shared" si="70"/>
        <v>-</v>
      </c>
      <c r="V74" s="32" t="str">
        <f t="shared" si="70"/>
        <v>-</v>
      </c>
      <c r="W74" s="32" t="str">
        <f t="shared" si="70"/>
        <v>-</v>
      </c>
      <c r="X74" s="32" t="str">
        <f t="shared" si="65"/>
        <v>-</v>
      </c>
      <c r="Y74" s="32" t="str">
        <f t="shared" si="65"/>
        <v>-</v>
      </c>
      <c r="Z74" s="32" t="str">
        <f t="shared" si="65"/>
        <v>-</v>
      </c>
      <c r="AA74" s="32" t="str">
        <f t="shared" si="65"/>
        <v>-</v>
      </c>
      <c r="AB74" s="32" t="str">
        <f t="shared" si="65"/>
        <v>-</v>
      </c>
      <c r="AC74" s="32" t="str">
        <f t="shared" si="65"/>
        <v>-</v>
      </c>
      <c r="AD74" s="32" t="str">
        <f t="shared" si="65"/>
        <v>-</v>
      </c>
      <c r="AE74" s="32" t="str">
        <f t="shared" si="65"/>
        <v>-</v>
      </c>
      <c r="AF74" s="32" t="str">
        <f t="shared" si="65"/>
        <v>-</v>
      </c>
      <c r="AG74" s="32" t="str">
        <f t="shared" si="65"/>
        <v>-</v>
      </c>
      <c r="AH74" s="31" t="b">
        <v>1</v>
      </c>
      <c r="AI74" s="31" t="b">
        <v>1</v>
      </c>
      <c r="AJ74" s="31" t="b">
        <v>1</v>
      </c>
      <c r="AK74" s="32" t="str">
        <f t="shared" si="66"/>
        <v>-</v>
      </c>
      <c r="AL74" s="32" t="str">
        <f t="shared" si="66"/>
        <v>-</v>
      </c>
      <c r="AM74" s="32" t="str">
        <f t="shared" si="66"/>
        <v>-</v>
      </c>
      <c r="AN74" s="32" t="str">
        <f t="shared" si="66"/>
        <v>-</v>
      </c>
      <c r="AO74" s="25">
        <f t="shared" si="72"/>
        <v>1</v>
      </c>
      <c r="AP74" s="25">
        <f t="shared" si="73"/>
        <v>2</v>
      </c>
      <c r="AQ74" s="25">
        <f t="shared" si="74"/>
        <v>0</v>
      </c>
      <c r="AR74" s="21">
        <f t="shared" ref="AR74:AT74" si="81">MIN(2.99,AR71+0.5)</f>
        <v>1</v>
      </c>
      <c r="AS74" s="21">
        <f t="shared" si="81"/>
        <v>1.5</v>
      </c>
      <c r="AT74" s="21">
        <f t="shared" si="81"/>
        <v>0.5</v>
      </c>
      <c r="AU74" s="32">
        <f t="shared" si="67"/>
        <v>1</v>
      </c>
      <c r="AV74" s="32">
        <f t="shared" si="67"/>
        <v>1</v>
      </c>
      <c r="AW74" s="32">
        <f t="shared" si="67"/>
        <v>1</v>
      </c>
      <c r="AX74" s="32">
        <f t="shared" si="67"/>
        <v>1</v>
      </c>
      <c r="AY74" s="32">
        <f t="shared" si="67"/>
        <v>1</v>
      </c>
      <c r="AZ74" s="32">
        <f t="shared" si="67"/>
        <v>1</v>
      </c>
      <c r="BA74" s="32">
        <f t="shared" si="67"/>
        <v>1</v>
      </c>
      <c r="BB74" s="32">
        <f t="shared" si="67"/>
        <v>1</v>
      </c>
      <c r="BC74" s="32">
        <f t="shared" si="67"/>
        <v>1</v>
      </c>
      <c r="BD74" s="32">
        <f t="shared" si="67"/>
        <v>1</v>
      </c>
      <c r="BE74" s="32">
        <f t="shared" si="67"/>
        <v>1</v>
      </c>
      <c r="BF74" s="32">
        <f t="shared" si="67"/>
        <v>1</v>
      </c>
      <c r="BG74" s="32">
        <f t="shared" si="67"/>
        <v>1</v>
      </c>
      <c r="BH74" s="32">
        <f t="shared" si="67"/>
        <v>1</v>
      </c>
      <c r="BI74" s="32">
        <f t="shared" si="67"/>
        <v>1</v>
      </c>
      <c r="BJ74" s="32">
        <f t="shared" si="67"/>
        <v>1</v>
      </c>
      <c r="BK74" s="32">
        <f t="shared" si="68"/>
        <v>0</v>
      </c>
      <c r="BL74" s="32">
        <f t="shared" si="68"/>
        <v>0</v>
      </c>
      <c r="BM74" s="32">
        <f t="shared" si="68"/>
        <v>0</v>
      </c>
      <c r="BN74" s="32">
        <f t="shared" si="68"/>
        <v>0</v>
      </c>
      <c r="BO74" s="32">
        <f t="shared" si="68"/>
        <v>0</v>
      </c>
      <c r="BP74" s="15">
        <v>0</v>
      </c>
    </row>
    <row r="75" spans="1:68">
      <c r="A75" s="18"/>
      <c r="B75">
        <f t="shared" si="3"/>
        <v>70</v>
      </c>
      <c r="C75" t="b">
        <v>0</v>
      </c>
      <c r="D75" t="b">
        <v>0</v>
      </c>
      <c r="E75" t="b">
        <v>0</v>
      </c>
      <c r="F75" s="3" t="str">
        <f t="shared" si="69"/>
        <v>off_1_1</v>
      </c>
      <c r="G75" s="26" t="str">
        <f>IF(MATCH(F75,F$5:F75,0)=(COUNTA(F$5:F75)),"-","Dup")</f>
        <v>-</v>
      </c>
      <c r="H75" s="32" t="str">
        <f t="shared" si="70"/>
        <v>-</v>
      </c>
      <c r="I75" s="32" t="b">
        <f t="shared" si="70"/>
        <v>0</v>
      </c>
      <c r="J75" s="32" t="b">
        <f t="shared" si="70"/>
        <v>1</v>
      </c>
      <c r="K75" s="32" t="str">
        <f t="shared" si="70"/>
        <v>-</v>
      </c>
      <c r="L75" s="32" t="str">
        <f t="shared" si="70"/>
        <v>-</v>
      </c>
      <c r="M75" s="32" t="str">
        <f t="shared" si="70"/>
        <v>-</v>
      </c>
      <c r="N75" s="32" t="str">
        <f t="shared" si="70"/>
        <v>-</v>
      </c>
      <c r="O75" s="32" t="str">
        <f t="shared" si="70"/>
        <v>-</v>
      </c>
      <c r="P75" s="32" t="str">
        <f t="shared" si="70"/>
        <v>-</v>
      </c>
      <c r="Q75" s="32" t="str">
        <f t="shared" si="70"/>
        <v>-</v>
      </c>
      <c r="R75" s="32" t="str">
        <f t="shared" si="70"/>
        <v>-</v>
      </c>
      <c r="S75" s="32" t="str">
        <f t="shared" si="70"/>
        <v>-</v>
      </c>
      <c r="T75" s="32" t="str">
        <f t="shared" si="70"/>
        <v>-</v>
      </c>
      <c r="U75" s="32" t="str">
        <f t="shared" si="70"/>
        <v>-</v>
      </c>
      <c r="V75" s="32" t="str">
        <f t="shared" si="70"/>
        <v>-</v>
      </c>
      <c r="W75" s="32" t="str">
        <f t="shared" si="70"/>
        <v>-</v>
      </c>
      <c r="X75" s="32" t="str">
        <f t="shared" si="65"/>
        <v>-</v>
      </c>
      <c r="Y75" s="32" t="str">
        <f t="shared" si="65"/>
        <v>-</v>
      </c>
      <c r="Z75" s="32" t="str">
        <f t="shared" si="65"/>
        <v>-</v>
      </c>
      <c r="AA75" s="32" t="str">
        <f t="shared" si="65"/>
        <v>-</v>
      </c>
      <c r="AB75" s="32" t="str">
        <f t="shared" si="65"/>
        <v>-</v>
      </c>
      <c r="AC75" s="32" t="str">
        <f t="shared" si="65"/>
        <v>-</v>
      </c>
      <c r="AD75" s="32" t="str">
        <f t="shared" si="65"/>
        <v>-</v>
      </c>
      <c r="AE75" s="32" t="str">
        <f t="shared" si="65"/>
        <v>-</v>
      </c>
      <c r="AF75" s="32" t="str">
        <f t="shared" si="65"/>
        <v>-</v>
      </c>
      <c r="AG75" s="32" t="str">
        <f t="shared" si="65"/>
        <v>-</v>
      </c>
      <c r="AH75" s="31" t="b">
        <v>1</v>
      </c>
      <c r="AI75" s="31" t="b">
        <v>1</v>
      </c>
      <c r="AJ75" s="31" t="b">
        <v>1</v>
      </c>
      <c r="AK75" s="32" t="str">
        <f t="shared" si="66"/>
        <v>-</v>
      </c>
      <c r="AL75" s="32" t="str">
        <f t="shared" si="66"/>
        <v>-</v>
      </c>
      <c r="AM75" s="32" t="str">
        <f t="shared" si="66"/>
        <v>-</v>
      </c>
      <c r="AN75" s="32" t="str">
        <f t="shared" si="66"/>
        <v>-</v>
      </c>
      <c r="AO75" s="25">
        <f t="shared" si="72"/>
        <v>1</v>
      </c>
      <c r="AP75" s="25">
        <f t="shared" si="73"/>
        <v>2</v>
      </c>
      <c r="AQ75" s="25">
        <f t="shared" si="74"/>
        <v>0</v>
      </c>
      <c r="AR75" s="21">
        <f t="shared" ref="AR75:AT75" si="82">MIN(2.99,AR72+0.5)</f>
        <v>1</v>
      </c>
      <c r="AS75" s="21">
        <f t="shared" si="82"/>
        <v>2</v>
      </c>
      <c r="AT75" s="21">
        <f t="shared" si="82"/>
        <v>0</v>
      </c>
      <c r="AU75" s="32">
        <f t="shared" si="67"/>
        <v>1</v>
      </c>
      <c r="AV75" s="32">
        <f t="shared" si="67"/>
        <v>1</v>
      </c>
      <c r="AW75" s="32">
        <f t="shared" si="67"/>
        <v>1</v>
      </c>
      <c r="AX75" s="32">
        <f t="shared" si="67"/>
        <v>1</v>
      </c>
      <c r="AY75" s="32">
        <f t="shared" si="67"/>
        <v>1</v>
      </c>
      <c r="AZ75" s="32">
        <f t="shared" si="67"/>
        <v>1</v>
      </c>
      <c r="BA75" s="32">
        <f t="shared" si="67"/>
        <v>1</v>
      </c>
      <c r="BB75" s="32">
        <f t="shared" si="67"/>
        <v>1</v>
      </c>
      <c r="BC75" s="32">
        <f t="shared" si="67"/>
        <v>1</v>
      </c>
      <c r="BD75" s="32">
        <f t="shared" si="67"/>
        <v>1</v>
      </c>
      <c r="BE75" s="32">
        <f t="shared" si="67"/>
        <v>1</v>
      </c>
      <c r="BF75" s="32">
        <f t="shared" si="67"/>
        <v>1</v>
      </c>
      <c r="BG75" s="32">
        <f t="shared" si="67"/>
        <v>1</v>
      </c>
      <c r="BH75" s="32">
        <f t="shared" si="67"/>
        <v>1</v>
      </c>
      <c r="BI75" s="32">
        <f t="shared" si="67"/>
        <v>1</v>
      </c>
      <c r="BJ75" s="32">
        <f t="shared" si="67"/>
        <v>1</v>
      </c>
      <c r="BK75" s="32">
        <f t="shared" si="68"/>
        <v>0</v>
      </c>
      <c r="BL75" s="32">
        <f t="shared" si="68"/>
        <v>0</v>
      </c>
      <c r="BM75" s="32">
        <f t="shared" si="68"/>
        <v>0</v>
      </c>
      <c r="BN75" s="32">
        <f t="shared" si="68"/>
        <v>0</v>
      </c>
      <c r="BO75" s="32">
        <f t="shared" si="68"/>
        <v>0</v>
      </c>
      <c r="BP75" s="15">
        <v>0</v>
      </c>
    </row>
    <row r="76" spans="1:68">
      <c r="A76" s="18"/>
      <c r="B76">
        <f t="shared" si="3"/>
        <v>71</v>
      </c>
      <c r="C76" t="b">
        <v>0</v>
      </c>
      <c r="D76" t="b">
        <v>0</v>
      </c>
      <c r="E76" t="b">
        <v>0</v>
      </c>
      <c r="F76" s="3" t="str">
        <f t="shared" si="69"/>
        <v>off_1_1p99</v>
      </c>
      <c r="G76" s="26" t="str">
        <f>IF(MATCH(F76,F$5:F76,0)=(COUNTA(F$5:F76)),"-","Dup")</f>
        <v>-</v>
      </c>
      <c r="H76" s="32" t="str">
        <f t="shared" si="70"/>
        <v>-</v>
      </c>
      <c r="I76" s="32" t="b">
        <f t="shared" si="70"/>
        <v>0</v>
      </c>
      <c r="J76" s="32" t="b">
        <f t="shared" si="70"/>
        <v>1</v>
      </c>
      <c r="K76" s="32" t="str">
        <f t="shared" si="70"/>
        <v>-</v>
      </c>
      <c r="L76" s="32" t="str">
        <f t="shared" si="70"/>
        <v>-</v>
      </c>
      <c r="M76" s="32" t="str">
        <f t="shared" si="70"/>
        <v>-</v>
      </c>
      <c r="N76" s="32" t="str">
        <f t="shared" si="70"/>
        <v>-</v>
      </c>
      <c r="O76" s="32" t="str">
        <f t="shared" si="70"/>
        <v>-</v>
      </c>
      <c r="P76" s="32" t="str">
        <f t="shared" si="70"/>
        <v>-</v>
      </c>
      <c r="Q76" s="32" t="str">
        <f t="shared" si="70"/>
        <v>-</v>
      </c>
      <c r="R76" s="32" t="str">
        <f t="shared" si="70"/>
        <v>-</v>
      </c>
      <c r="S76" s="32" t="str">
        <f t="shared" si="70"/>
        <v>-</v>
      </c>
      <c r="T76" s="32" t="str">
        <f t="shared" si="70"/>
        <v>-</v>
      </c>
      <c r="U76" s="32" t="str">
        <f t="shared" si="70"/>
        <v>-</v>
      </c>
      <c r="V76" s="32" t="str">
        <f t="shared" si="70"/>
        <v>-</v>
      </c>
      <c r="W76" s="32" t="str">
        <f t="shared" si="70"/>
        <v>-</v>
      </c>
      <c r="X76" s="32" t="str">
        <f t="shared" si="65"/>
        <v>-</v>
      </c>
      <c r="Y76" s="32" t="str">
        <f t="shared" si="65"/>
        <v>-</v>
      </c>
      <c r="Z76" s="32" t="str">
        <f t="shared" si="65"/>
        <v>-</v>
      </c>
      <c r="AA76" s="32" t="str">
        <f t="shared" si="65"/>
        <v>-</v>
      </c>
      <c r="AB76" s="32" t="str">
        <f t="shared" si="65"/>
        <v>-</v>
      </c>
      <c r="AC76" s="32" t="str">
        <f t="shared" si="65"/>
        <v>-</v>
      </c>
      <c r="AD76" s="32" t="str">
        <f t="shared" si="65"/>
        <v>-</v>
      </c>
      <c r="AE76" s="32" t="str">
        <f t="shared" si="65"/>
        <v>-</v>
      </c>
      <c r="AF76" s="32" t="str">
        <f t="shared" si="65"/>
        <v>-</v>
      </c>
      <c r="AG76" s="32" t="str">
        <f t="shared" si="65"/>
        <v>-</v>
      </c>
      <c r="AH76" s="31" t="b">
        <v>1</v>
      </c>
      <c r="AI76" s="31" t="b">
        <v>1</v>
      </c>
      <c r="AJ76" s="31" t="b">
        <v>1</v>
      </c>
      <c r="AK76" s="32" t="str">
        <f t="shared" si="66"/>
        <v>-</v>
      </c>
      <c r="AL76" s="32" t="str">
        <f t="shared" si="66"/>
        <v>-</v>
      </c>
      <c r="AM76" s="32" t="str">
        <f t="shared" si="66"/>
        <v>-</v>
      </c>
      <c r="AN76" s="32" t="str">
        <f t="shared" si="66"/>
        <v>-</v>
      </c>
      <c r="AO76" s="25">
        <f t="shared" si="72"/>
        <v>1</v>
      </c>
      <c r="AP76" s="25">
        <f t="shared" si="73"/>
        <v>2</v>
      </c>
      <c r="AQ76" s="25">
        <f t="shared" si="74"/>
        <v>0</v>
      </c>
      <c r="AR76" s="21">
        <f t="shared" ref="AR76:AT76" si="83">MIN(2.99,AR73+0.5)</f>
        <v>1</v>
      </c>
      <c r="AS76" s="21">
        <f t="shared" si="83"/>
        <v>2.99</v>
      </c>
      <c r="AT76" s="21">
        <f t="shared" si="83"/>
        <v>-1</v>
      </c>
      <c r="AU76" s="32">
        <f t="shared" si="67"/>
        <v>1</v>
      </c>
      <c r="AV76" s="32">
        <f t="shared" si="67"/>
        <v>1</v>
      </c>
      <c r="AW76" s="32">
        <f t="shared" si="67"/>
        <v>1</v>
      </c>
      <c r="AX76" s="32">
        <f t="shared" si="67"/>
        <v>1</v>
      </c>
      <c r="AY76" s="32">
        <f t="shared" si="67"/>
        <v>1</v>
      </c>
      <c r="AZ76" s="32">
        <f t="shared" si="67"/>
        <v>1</v>
      </c>
      <c r="BA76" s="32">
        <f t="shared" si="67"/>
        <v>1</v>
      </c>
      <c r="BB76" s="32">
        <f t="shared" si="67"/>
        <v>1</v>
      </c>
      <c r="BC76" s="32">
        <f t="shared" si="67"/>
        <v>1</v>
      </c>
      <c r="BD76" s="32">
        <f t="shared" si="67"/>
        <v>1</v>
      </c>
      <c r="BE76" s="32">
        <f t="shared" si="67"/>
        <v>1</v>
      </c>
      <c r="BF76" s="32">
        <f t="shared" si="67"/>
        <v>1</v>
      </c>
      <c r="BG76" s="32">
        <f t="shared" si="67"/>
        <v>1</v>
      </c>
      <c r="BH76" s="32">
        <f t="shared" si="67"/>
        <v>1</v>
      </c>
      <c r="BI76" s="32">
        <f t="shared" si="67"/>
        <v>1</v>
      </c>
      <c r="BJ76" s="32">
        <f t="shared" si="67"/>
        <v>1</v>
      </c>
      <c r="BK76" s="32">
        <f t="shared" si="68"/>
        <v>0</v>
      </c>
      <c r="BL76" s="32">
        <f t="shared" si="68"/>
        <v>0</v>
      </c>
      <c r="BM76" s="32">
        <f t="shared" si="68"/>
        <v>0</v>
      </c>
      <c r="BN76" s="32">
        <f t="shared" si="68"/>
        <v>0</v>
      </c>
      <c r="BO76" s="32">
        <f t="shared" si="68"/>
        <v>0</v>
      </c>
      <c r="BP76" s="15">
        <v>0</v>
      </c>
    </row>
    <row r="77" spans="1:68">
      <c r="A77" s="18"/>
      <c r="B77">
        <f t="shared" si="3"/>
        <v>72</v>
      </c>
      <c r="C77" t="b">
        <v>0</v>
      </c>
      <c r="D77" t="b">
        <v>0</v>
      </c>
      <c r="E77" t="b">
        <v>0</v>
      </c>
      <c r="F77" s="3" t="str">
        <f t="shared" ref="F77:F88" si="84">SUBSTITUTE(SUBSTITUTE("offFL_"&amp;$AR77&amp;"_"&amp;($AS77-$AR77),"0.","p"),".","p")</f>
        <v>offFL_-p5_p5</v>
      </c>
      <c r="G77" s="26" t="str">
        <f>IF(MATCH(F77,F$5:F77,0)=(COUNTA(F$5:F77)),"-","Dup")</f>
        <v>-</v>
      </c>
      <c r="H77" s="32" t="str">
        <f t="shared" si="70"/>
        <v>-</v>
      </c>
      <c r="I77" s="32" t="b">
        <f t="shared" si="70"/>
        <v>0</v>
      </c>
      <c r="J77" s="32" t="b">
        <f t="shared" si="70"/>
        <v>1</v>
      </c>
      <c r="K77" s="32" t="str">
        <f t="shared" si="70"/>
        <v>-</v>
      </c>
      <c r="L77" s="32" t="str">
        <f t="shared" si="70"/>
        <v>-</v>
      </c>
      <c r="M77" s="32" t="str">
        <f t="shared" si="70"/>
        <v>-</v>
      </c>
      <c r="N77" s="32" t="str">
        <f t="shared" si="70"/>
        <v>-</v>
      </c>
      <c r="O77" s="32" t="str">
        <f t="shared" si="70"/>
        <v>-</v>
      </c>
      <c r="P77" s="32" t="str">
        <f t="shared" si="70"/>
        <v>-</v>
      </c>
      <c r="Q77" s="32" t="str">
        <f t="shared" si="70"/>
        <v>-</v>
      </c>
      <c r="R77" s="32" t="str">
        <f t="shared" si="70"/>
        <v>-</v>
      </c>
      <c r="S77" s="32" t="str">
        <f t="shared" si="70"/>
        <v>-</v>
      </c>
      <c r="T77" s="32" t="str">
        <f t="shared" si="70"/>
        <v>-</v>
      </c>
      <c r="U77" s="32" t="str">
        <f t="shared" si="70"/>
        <v>-</v>
      </c>
      <c r="V77" s="32" t="str">
        <f t="shared" si="70"/>
        <v>-</v>
      </c>
      <c r="W77" s="32" t="str">
        <f t="shared" si="70"/>
        <v>-</v>
      </c>
      <c r="X77" s="32" t="str">
        <f t="shared" si="65"/>
        <v>-</v>
      </c>
      <c r="Y77" s="32" t="str">
        <f t="shared" si="65"/>
        <v>-</v>
      </c>
      <c r="Z77" s="32" t="str">
        <f t="shared" si="65"/>
        <v>-</v>
      </c>
      <c r="AA77" s="32" t="str">
        <f t="shared" si="65"/>
        <v>-</v>
      </c>
      <c r="AB77" s="32" t="str">
        <f t="shared" si="65"/>
        <v>-</v>
      </c>
      <c r="AC77" s="32" t="str">
        <f t="shared" si="65"/>
        <v>-</v>
      </c>
      <c r="AD77" s="32" t="str">
        <f t="shared" si="65"/>
        <v>-</v>
      </c>
      <c r="AE77" s="32" t="str">
        <f t="shared" si="65"/>
        <v>-</v>
      </c>
      <c r="AF77" s="32" t="str">
        <f t="shared" si="65"/>
        <v>-</v>
      </c>
      <c r="AG77" s="32" t="str">
        <f t="shared" si="65"/>
        <v>-</v>
      </c>
      <c r="AH77" s="31" t="b">
        <v>1</v>
      </c>
      <c r="AI77" s="31" t="b">
        <v>1</v>
      </c>
      <c r="AJ77" s="31" t="b">
        <v>1</v>
      </c>
      <c r="AK77" s="32" t="str">
        <f t="shared" si="66"/>
        <v>-</v>
      </c>
      <c r="AL77" s="32" t="str">
        <f t="shared" si="66"/>
        <v>-</v>
      </c>
      <c r="AM77" s="32" t="str">
        <f t="shared" si="66"/>
        <v>-</v>
      </c>
      <c r="AN77" s="32" t="str">
        <f t="shared" si="66"/>
        <v>-</v>
      </c>
      <c r="AO77" s="25">
        <f t="shared" si="72"/>
        <v>1</v>
      </c>
      <c r="AP77" s="25">
        <f t="shared" si="73"/>
        <v>2</v>
      </c>
      <c r="AQ77" s="25">
        <f t="shared" si="74"/>
        <v>0</v>
      </c>
      <c r="AR77" s="31">
        <v>-0.5</v>
      </c>
      <c r="AS77" s="22">
        <f>$AR77+0.5</f>
        <v>0</v>
      </c>
      <c r="AT77" s="31">
        <v>2.99</v>
      </c>
      <c r="AU77" s="32">
        <f t="shared" si="67"/>
        <v>1</v>
      </c>
      <c r="AV77" s="32">
        <f t="shared" si="67"/>
        <v>1</v>
      </c>
      <c r="AW77" s="32">
        <f t="shared" si="67"/>
        <v>1</v>
      </c>
      <c r="AX77" s="32">
        <f t="shared" si="67"/>
        <v>1</v>
      </c>
      <c r="AY77" s="32">
        <f t="shared" si="67"/>
        <v>1</v>
      </c>
      <c r="AZ77" s="32">
        <f t="shared" si="67"/>
        <v>1</v>
      </c>
      <c r="BA77" s="32">
        <f t="shared" si="67"/>
        <v>1</v>
      </c>
      <c r="BB77" s="32">
        <f t="shared" si="67"/>
        <v>1</v>
      </c>
      <c r="BC77" s="32">
        <f t="shared" si="67"/>
        <v>1</v>
      </c>
      <c r="BD77" s="32">
        <f t="shared" si="67"/>
        <v>1</v>
      </c>
      <c r="BE77" s="32">
        <f t="shared" si="67"/>
        <v>1</v>
      </c>
      <c r="BF77" s="32">
        <f t="shared" si="67"/>
        <v>1</v>
      </c>
      <c r="BG77" s="32">
        <f t="shared" si="67"/>
        <v>1</v>
      </c>
      <c r="BH77" s="32">
        <f t="shared" si="67"/>
        <v>1</v>
      </c>
      <c r="BI77" s="32">
        <f t="shared" si="67"/>
        <v>1</v>
      </c>
      <c r="BJ77" s="32">
        <f t="shared" si="67"/>
        <v>1</v>
      </c>
      <c r="BK77" s="32">
        <f t="shared" si="68"/>
        <v>0</v>
      </c>
      <c r="BL77" s="32">
        <f t="shared" si="68"/>
        <v>0</v>
      </c>
      <c r="BM77" s="32">
        <f t="shared" si="68"/>
        <v>0</v>
      </c>
      <c r="BN77" s="32">
        <f t="shared" si="68"/>
        <v>0</v>
      </c>
      <c r="BO77" s="32">
        <f t="shared" si="68"/>
        <v>0</v>
      </c>
      <c r="BP77" s="15">
        <v>0</v>
      </c>
    </row>
    <row r="78" spans="1:68">
      <c r="A78" s="18"/>
      <c r="B78">
        <f t="shared" si="3"/>
        <v>73</v>
      </c>
      <c r="C78" t="b">
        <v>0</v>
      </c>
      <c r="D78" t="b">
        <v>0</v>
      </c>
      <c r="E78" t="b">
        <v>0</v>
      </c>
      <c r="F78" s="3" t="str">
        <f t="shared" si="84"/>
        <v>offFL_-p5_1</v>
      </c>
      <c r="G78" s="26" t="str">
        <f>IF(MATCH(F78,F$5:F78,0)=(COUNTA(F$5:F78)),"-","Dup")</f>
        <v>-</v>
      </c>
      <c r="H78" s="32" t="str">
        <f t="shared" si="70"/>
        <v>-</v>
      </c>
      <c r="I78" s="32" t="b">
        <f t="shared" si="70"/>
        <v>0</v>
      </c>
      <c r="J78" s="32" t="b">
        <f t="shared" si="70"/>
        <v>1</v>
      </c>
      <c r="K78" s="32" t="str">
        <f t="shared" si="70"/>
        <v>-</v>
      </c>
      <c r="L78" s="32" t="str">
        <f t="shared" si="70"/>
        <v>-</v>
      </c>
      <c r="M78" s="32" t="str">
        <f t="shared" si="70"/>
        <v>-</v>
      </c>
      <c r="N78" s="32" t="str">
        <f t="shared" si="70"/>
        <v>-</v>
      </c>
      <c r="O78" s="32" t="str">
        <f t="shared" si="70"/>
        <v>-</v>
      </c>
      <c r="P78" s="32" t="str">
        <f t="shared" si="70"/>
        <v>-</v>
      </c>
      <c r="Q78" s="32" t="str">
        <f t="shared" si="70"/>
        <v>-</v>
      </c>
      <c r="R78" s="32" t="str">
        <f t="shared" si="70"/>
        <v>-</v>
      </c>
      <c r="S78" s="32" t="str">
        <f t="shared" si="70"/>
        <v>-</v>
      </c>
      <c r="T78" s="32" t="str">
        <f t="shared" si="70"/>
        <v>-</v>
      </c>
      <c r="U78" s="32" t="str">
        <f t="shared" si="70"/>
        <v>-</v>
      </c>
      <c r="V78" s="32" t="str">
        <f t="shared" si="70"/>
        <v>-</v>
      </c>
      <c r="W78" s="32" t="str">
        <f t="shared" si="70"/>
        <v>-</v>
      </c>
      <c r="X78" s="32" t="str">
        <f t="shared" si="65"/>
        <v>-</v>
      </c>
      <c r="Y78" s="32" t="str">
        <f t="shared" si="65"/>
        <v>-</v>
      </c>
      <c r="Z78" s="32" t="str">
        <f t="shared" si="65"/>
        <v>-</v>
      </c>
      <c r="AA78" s="32" t="str">
        <f t="shared" si="65"/>
        <v>-</v>
      </c>
      <c r="AB78" s="32" t="str">
        <f t="shared" si="65"/>
        <v>-</v>
      </c>
      <c r="AC78" s="32" t="str">
        <f t="shared" si="65"/>
        <v>-</v>
      </c>
      <c r="AD78" s="32" t="str">
        <f t="shared" si="65"/>
        <v>-</v>
      </c>
      <c r="AE78" s="32" t="str">
        <f t="shared" si="65"/>
        <v>-</v>
      </c>
      <c r="AF78" s="32" t="str">
        <f t="shared" si="65"/>
        <v>-</v>
      </c>
      <c r="AG78" s="32" t="str">
        <f t="shared" si="65"/>
        <v>-</v>
      </c>
      <c r="AH78" s="31" t="b">
        <v>1</v>
      </c>
      <c r="AI78" s="31" t="b">
        <v>1</v>
      </c>
      <c r="AJ78" s="31" t="b">
        <v>1</v>
      </c>
      <c r="AK78" s="32" t="str">
        <f t="shared" si="66"/>
        <v>-</v>
      </c>
      <c r="AL78" s="32" t="str">
        <f t="shared" si="66"/>
        <v>-</v>
      </c>
      <c r="AM78" s="32" t="str">
        <f t="shared" si="66"/>
        <v>-</v>
      </c>
      <c r="AN78" s="32" t="str">
        <f t="shared" si="66"/>
        <v>-</v>
      </c>
      <c r="AO78" s="25">
        <f t="shared" si="72"/>
        <v>1</v>
      </c>
      <c r="AP78" s="25">
        <f t="shared" si="73"/>
        <v>2</v>
      </c>
      <c r="AQ78" s="25">
        <f t="shared" si="74"/>
        <v>0</v>
      </c>
      <c r="AR78" s="25">
        <f>AR77</f>
        <v>-0.5</v>
      </c>
      <c r="AS78" s="22">
        <f>$AR78+1</f>
        <v>0.5</v>
      </c>
      <c r="AT78" s="25">
        <f t="shared" ref="AT78:AT88" si="85">AT77</f>
        <v>2.99</v>
      </c>
      <c r="AU78" s="32">
        <f t="shared" si="67"/>
        <v>1</v>
      </c>
      <c r="AV78" s="32">
        <f t="shared" si="67"/>
        <v>1</v>
      </c>
      <c r="AW78" s="32">
        <f t="shared" si="67"/>
        <v>1</v>
      </c>
      <c r="AX78" s="32">
        <f t="shared" si="67"/>
        <v>1</v>
      </c>
      <c r="AY78" s="32">
        <f t="shared" si="67"/>
        <v>1</v>
      </c>
      <c r="AZ78" s="32">
        <f t="shared" si="67"/>
        <v>1</v>
      </c>
      <c r="BA78" s="32">
        <f t="shared" si="67"/>
        <v>1</v>
      </c>
      <c r="BB78" s="32">
        <f t="shared" si="67"/>
        <v>1</v>
      </c>
      <c r="BC78" s="32">
        <f t="shared" si="67"/>
        <v>1</v>
      </c>
      <c r="BD78" s="32">
        <f t="shared" si="67"/>
        <v>1</v>
      </c>
      <c r="BE78" s="32">
        <f t="shared" si="67"/>
        <v>1</v>
      </c>
      <c r="BF78" s="32">
        <f t="shared" si="67"/>
        <v>1</v>
      </c>
      <c r="BG78" s="32">
        <f t="shared" si="67"/>
        <v>1</v>
      </c>
      <c r="BH78" s="32">
        <f t="shared" si="67"/>
        <v>1</v>
      </c>
      <c r="BI78" s="32">
        <f t="shared" si="67"/>
        <v>1</v>
      </c>
      <c r="BJ78" s="32">
        <f t="shared" si="67"/>
        <v>1</v>
      </c>
      <c r="BK78" s="32">
        <f t="shared" si="68"/>
        <v>0</v>
      </c>
      <c r="BL78" s="32">
        <f t="shared" si="68"/>
        <v>0</v>
      </c>
      <c r="BM78" s="32">
        <f t="shared" si="68"/>
        <v>0</v>
      </c>
      <c r="BN78" s="32">
        <f t="shared" si="68"/>
        <v>0</v>
      </c>
      <c r="BO78" s="32">
        <f t="shared" si="68"/>
        <v>0</v>
      </c>
      <c r="BP78" s="15">
        <v>0</v>
      </c>
    </row>
    <row r="79" spans="1:68">
      <c r="A79" s="18"/>
      <c r="B79">
        <f t="shared" si="3"/>
        <v>74</v>
      </c>
      <c r="C79" t="b">
        <v>0</v>
      </c>
      <c r="D79" t="b">
        <v>0</v>
      </c>
      <c r="E79" t="b">
        <v>0</v>
      </c>
      <c r="F79" s="3" t="str">
        <f t="shared" si="84"/>
        <v>offFL_-p5_2</v>
      </c>
      <c r="G79" s="26" t="str">
        <f>IF(MATCH(F79,F$5:F79,0)=(COUNTA(F$5:F79)),"-","Dup")</f>
        <v>-</v>
      </c>
      <c r="H79" s="32" t="str">
        <f t="shared" si="70"/>
        <v>-</v>
      </c>
      <c r="I79" s="32" t="b">
        <f t="shared" si="70"/>
        <v>0</v>
      </c>
      <c r="J79" s="32" t="b">
        <f t="shared" si="70"/>
        <v>1</v>
      </c>
      <c r="K79" s="32" t="str">
        <f t="shared" si="70"/>
        <v>-</v>
      </c>
      <c r="L79" s="32" t="str">
        <f t="shared" si="70"/>
        <v>-</v>
      </c>
      <c r="M79" s="32" t="str">
        <f t="shared" si="70"/>
        <v>-</v>
      </c>
      <c r="N79" s="32" t="str">
        <f t="shared" si="70"/>
        <v>-</v>
      </c>
      <c r="O79" s="32" t="str">
        <f t="shared" si="70"/>
        <v>-</v>
      </c>
      <c r="P79" s="32" t="str">
        <f t="shared" si="70"/>
        <v>-</v>
      </c>
      <c r="Q79" s="32" t="str">
        <f t="shared" si="70"/>
        <v>-</v>
      </c>
      <c r="R79" s="32" t="str">
        <f t="shared" si="70"/>
        <v>-</v>
      </c>
      <c r="S79" s="32" t="str">
        <f t="shared" si="70"/>
        <v>-</v>
      </c>
      <c r="T79" s="32" t="str">
        <f t="shared" si="70"/>
        <v>-</v>
      </c>
      <c r="U79" s="32" t="str">
        <f t="shared" si="70"/>
        <v>-</v>
      </c>
      <c r="V79" s="32" t="str">
        <f t="shared" si="70"/>
        <v>-</v>
      </c>
      <c r="W79" s="32" t="str">
        <f t="shared" si="70"/>
        <v>-</v>
      </c>
      <c r="X79" s="32" t="str">
        <f t="shared" si="65"/>
        <v>-</v>
      </c>
      <c r="Y79" s="32" t="str">
        <f t="shared" si="65"/>
        <v>-</v>
      </c>
      <c r="Z79" s="32" t="str">
        <f t="shared" si="65"/>
        <v>-</v>
      </c>
      <c r="AA79" s="32" t="str">
        <f t="shared" si="65"/>
        <v>-</v>
      </c>
      <c r="AB79" s="32" t="str">
        <f t="shared" si="65"/>
        <v>-</v>
      </c>
      <c r="AC79" s="32" t="str">
        <f t="shared" si="65"/>
        <v>-</v>
      </c>
      <c r="AD79" s="32" t="str">
        <f t="shared" si="65"/>
        <v>-</v>
      </c>
      <c r="AE79" s="32" t="str">
        <f t="shared" si="65"/>
        <v>-</v>
      </c>
      <c r="AF79" s="32" t="str">
        <f t="shared" si="65"/>
        <v>-</v>
      </c>
      <c r="AG79" s="32" t="str">
        <f t="shared" si="65"/>
        <v>-</v>
      </c>
      <c r="AH79" s="31" t="b">
        <v>1</v>
      </c>
      <c r="AI79" s="31" t="b">
        <v>1</v>
      </c>
      <c r="AJ79" s="31" t="b">
        <v>1</v>
      </c>
      <c r="AK79" s="32" t="str">
        <f t="shared" si="66"/>
        <v>-</v>
      </c>
      <c r="AL79" s="32" t="str">
        <f t="shared" si="66"/>
        <v>-</v>
      </c>
      <c r="AM79" s="32" t="str">
        <f t="shared" si="66"/>
        <v>-</v>
      </c>
      <c r="AN79" s="32" t="str">
        <f t="shared" si="66"/>
        <v>-</v>
      </c>
      <c r="AO79" s="25">
        <f t="shared" si="72"/>
        <v>1</v>
      </c>
      <c r="AP79" s="25">
        <f t="shared" si="73"/>
        <v>2</v>
      </c>
      <c r="AQ79" s="25">
        <f t="shared" si="74"/>
        <v>0</v>
      </c>
      <c r="AR79" s="25">
        <f>AR78</f>
        <v>-0.5</v>
      </c>
      <c r="AS79" s="22">
        <f>$AR79+2</f>
        <v>1.5</v>
      </c>
      <c r="AT79" s="25">
        <f t="shared" si="85"/>
        <v>2.99</v>
      </c>
      <c r="AU79" s="32">
        <f t="shared" si="67"/>
        <v>1</v>
      </c>
      <c r="AV79" s="32">
        <f t="shared" si="67"/>
        <v>1</v>
      </c>
      <c r="AW79" s="32">
        <f t="shared" si="67"/>
        <v>1</v>
      </c>
      <c r="AX79" s="32">
        <f t="shared" si="67"/>
        <v>1</v>
      </c>
      <c r="AY79" s="32">
        <f t="shared" si="67"/>
        <v>1</v>
      </c>
      <c r="AZ79" s="32">
        <f t="shared" si="67"/>
        <v>1</v>
      </c>
      <c r="BA79" s="32">
        <f t="shared" si="67"/>
        <v>1</v>
      </c>
      <c r="BB79" s="32">
        <f t="shared" si="67"/>
        <v>1</v>
      </c>
      <c r="BC79" s="32">
        <f t="shared" si="67"/>
        <v>1</v>
      </c>
      <c r="BD79" s="32">
        <f t="shared" si="67"/>
        <v>1</v>
      </c>
      <c r="BE79" s="32">
        <f t="shared" si="67"/>
        <v>1</v>
      </c>
      <c r="BF79" s="32">
        <f t="shared" si="67"/>
        <v>1</v>
      </c>
      <c r="BG79" s="32">
        <f t="shared" si="67"/>
        <v>1</v>
      </c>
      <c r="BH79" s="32">
        <f t="shared" si="67"/>
        <v>1</v>
      </c>
      <c r="BI79" s="32">
        <f t="shared" si="67"/>
        <v>1</v>
      </c>
      <c r="BJ79" s="32">
        <f t="shared" si="67"/>
        <v>1</v>
      </c>
      <c r="BK79" s="32">
        <f t="shared" si="68"/>
        <v>0</v>
      </c>
      <c r="BL79" s="32">
        <f t="shared" si="68"/>
        <v>0</v>
      </c>
      <c r="BM79" s="32">
        <f t="shared" si="68"/>
        <v>0</v>
      </c>
      <c r="BN79" s="32">
        <f t="shared" si="68"/>
        <v>0</v>
      </c>
      <c r="BO79" s="32">
        <f t="shared" si="68"/>
        <v>0</v>
      </c>
      <c r="BP79" s="15">
        <v>0</v>
      </c>
    </row>
    <row r="80" spans="1:68">
      <c r="A80" s="18"/>
      <c r="B80">
        <f t="shared" si="3"/>
        <v>75</v>
      </c>
      <c r="C80" t="b">
        <v>0</v>
      </c>
      <c r="D80" t="b">
        <v>0</v>
      </c>
      <c r="E80" t="b">
        <v>0</v>
      </c>
      <c r="F80" s="3" t="str">
        <f t="shared" si="84"/>
        <v>offFL_0_p5</v>
      </c>
      <c r="G80" s="26" t="str">
        <f>IF(MATCH(F80,F$5:F80,0)=(COUNTA(F$5:F80)),"-","Dup")</f>
        <v>-</v>
      </c>
      <c r="H80" s="32" t="str">
        <f t="shared" si="70"/>
        <v>-</v>
      </c>
      <c r="I80" s="32" t="b">
        <f t="shared" si="70"/>
        <v>0</v>
      </c>
      <c r="J80" s="32" t="b">
        <f t="shared" si="70"/>
        <v>1</v>
      </c>
      <c r="K80" s="32" t="str">
        <f t="shared" si="70"/>
        <v>-</v>
      </c>
      <c r="L80" s="32" t="str">
        <f t="shared" si="70"/>
        <v>-</v>
      </c>
      <c r="M80" s="32" t="str">
        <f t="shared" si="70"/>
        <v>-</v>
      </c>
      <c r="N80" s="32" t="str">
        <f t="shared" si="70"/>
        <v>-</v>
      </c>
      <c r="O80" s="32" t="str">
        <f t="shared" si="70"/>
        <v>-</v>
      </c>
      <c r="P80" s="32" t="str">
        <f t="shared" si="70"/>
        <v>-</v>
      </c>
      <c r="Q80" s="32" t="str">
        <f t="shared" si="70"/>
        <v>-</v>
      </c>
      <c r="R80" s="32" t="str">
        <f t="shared" si="70"/>
        <v>-</v>
      </c>
      <c r="S80" s="32" t="str">
        <f t="shared" si="70"/>
        <v>-</v>
      </c>
      <c r="T80" s="32" t="str">
        <f t="shared" si="70"/>
        <v>-</v>
      </c>
      <c r="U80" s="32" t="str">
        <f t="shared" si="70"/>
        <v>-</v>
      </c>
      <c r="V80" s="32" t="str">
        <f t="shared" si="70"/>
        <v>-</v>
      </c>
      <c r="W80" s="32" t="str">
        <f t="shared" si="70"/>
        <v>-</v>
      </c>
      <c r="X80" s="32" t="str">
        <f t="shared" si="65"/>
        <v>-</v>
      </c>
      <c r="Y80" s="32" t="str">
        <f t="shared" si="65"/>
        <v>-</v>
      </c>
      <c r="Z80" s="32" t="str">
        <f t="shared" si="65"/>
        <v>-</v>
      </c>
      <c r="AA80" s="32" t="str">
        <f t="shared" si="65"/>
        <v>-</v>
      </c>
      <c r="AB80" s="32" t="str">
        <f t="shared" si="65"/>
        <v>-</v>
      </c>
      <c r="AC80" s="32" t="str">
        <f t="shared" si="65"/>
        <v>-</v>
      </c>
      <c r="AD80" s="32" t="str">
        <f t="shared" si="65"/>
        <v>-</v>
      </c>
      <c r="AE80" s="32" t="str">
        <f t="shared" si="65"/>
        <v>-</v>
      </c>
      <c r="AF80" s="32" t="str">
        <f t="shared" si="65"/>
        <v>-</v>
      </c>
      <c r="AG80" s="32" t="str">
        <f t="shared" si="65"/>
        <v>-</v>
      </c>
      <c r="AH80" s="31" t="b">
        <v>1</v>
      </c>
      <c r="AI80" s="31" t="b">
        <v>1</v>
      </c>
      <c r="AJ80" s="31" t="b">
        <v>1</v>
      </c>
      <c r="AK80" s="32" t="str">
        <f t="shared" si="66"/>
        <v>-</v>
      </c>
      <c r="AL80" s="32" t="str">
        <f t="shared" si="66"/>
        <v>-</v>
      </c>
      <c r="AM80" s="32" t="str">
        <f t="shared" si="66"/>
        <v>-</v>
      </c>
      <c r="AN80" s="32" t="str">
        <f t="shared" si="66"/>
        <v>-</v>
      </c>
      <c r="AO80" s="25">
        <f t="shared" si="72"/>
        <v>1</v>
      </c>
      <c r="AP80" s="25">
        <f t="shared" si="73"/>
        <v>2</v>
      </c>
      <c r="AQ80" s="25">
        <f t="shared" si="74"/>
        <v>0</v>
      </c>
      <c r="AR80" s="21">
        <f t="shared" ref="AR80:AS80" si="86">MIN(2.99,AR77+0.5)</f>
        <v>0</v>
      </c>
      <c r="AS80" s="21">
        <f t="shared" si="86"/>
        <v>0.5</v>
      </c>
      <c r="AT80" s="25">
        <f t="shared" si="85"/>
        <v>2.99</v>
      </c>
      <c r="AU80" s="32">
        <f t="shared" si="67"/>
        <v>1</v>
      </c>
      <c r="AV80" s="32">
        <f t="shared" si="67"/>
        <v>1</v>
      </c>
      <c r="AW80" s="32">
        <f t="shared" si="67"/>
        <v>1</v>
      </c>
      <c r="AX80" s="32">
        <f t="shared" si="67"/>
        <v>1</v>
      </c>
      <c r="AY80" s="32">
        <f t="shared" si="67"/>
        <v>1</v>
      </c>
      <c r="AZ80" s="32">
        <f t="shared" si="67"/>
        <v>1</v>
      </c>
      <c r="BA80" s="32">
        <f t="shared" si="67"/>
        <v>1</v>
      </c>
      <c r="BB80" s="32">
        <f t="shared" si="67"/>
        <v>1</v>
      </c>
      <c r="BC80" s="32">
        <f t="shared" si="67"/>
        <v>1</v>
      </c>
      <c r="BD80" s="32">
        <f t="shared" si="67"/>
        <v>1</v>
      </c>
      <c r="BE80" s="32">
        <f t="shared" si="67"/>
        <v>1</v>
      </c>
      <c r="BF80" s="32">
        <f t="shared" si="67"/>
        <v>1</v>
      </c>
      <c r="BG80" s="32">
        <f t="shared" si="67"/>
        <v>1</v>
      </c>
      <c r="BH80" s="32">
        <f t="shared" si="67"/>
        <v>1</v>
      </c>
      <c r="BI80" s="32">
        <f t="shared" si="67"/>
        <v>1</v>
      </c>
      <c r="BJ80" s="32">
        <f t="shared" ref="BJ80:BO88" si="87">BJ$6</f>
        <v>1</v>
      </c>
      <c r="BK80" s="32">
        <f t="shared" si="87"/>
        <v>0</v>
      </c>
      <c r="BL80" s="32">
        <f t="shared" si="87"/>
        <v>0</v>
      </c>
      <c r="BM80" s="32">
        <f t="shared" si="87"/>
        <v>0</v>
      </c>
      <c r="BN80" s="32">
        <f t="shared" si="87"/>
        <v>0</v>
      </c>
      <c r="BO80" s="32">
        <f t="shared" si="87"/>
        <v>0</v>
      </c>
      <c r="BP80" s="15">
        <v>0</v>
      </c>
    </row>
    <row r="81" spans="1:68">
      <c r="A81" s="18"/>
      <c r="B81">
        <f t="shared" si="3"/>
        <v>76</v>
      </c>
      <c r="C81" t="b">
        <v>0</v>
      </c>
      <c r="D81" t="b">
        <v>0</v>
      </c>
      <c r="E81" t="b">
        <v>0</v>
      </c>
      <c r="F81" s="3" t="str">
        <f t="shared" si="84"/>
        <v>offFL_0_1</v>
      </c>
      <c r="G81" s="26" t="str">
        <f>IF(MATCH(F81,F$5:F81,0)=(COUNTA(F$5:F81)),"-","Dup")</f>
        <v>-</v>
      </c>
      <c r="H81" s="32" t="str">
        <f t="shared" si="70"/>
        <v>-</v>
      </c>
      <c r="I81" s="32" t="b">
        <f t="shared" si="70"/>
        <v>0</v>
      </c>
      <c r="J81" s="32" t="b">
        <f t="shared" si="70"/>
        <v>1</v>
      </c>
      <c r="K81" s="32" t="str">
        <f t="shared" si="70"/>
        <v>-</v>
      </c>
      <c r="L81" s="32" t="str">
        <f t="shared" si="70"/>
        <v>-</v>
      </c>
      <c r="M81" s="32" t="str">
        <f t="shared" si="70"/>
        <v>-</v>
      </c>
      <c r="N81" s="32" t="str">
        <f t="shared" si="70"/>
        <v>-</v>
      </c>
      <c r="O81" s="32" t="str">
        <f t="shared" si="70"/>
        <v>-</v>
      </c>
      <c r="P81" s="32" t="str">
        <f t="shared" si="70"/>
        <v>-</v>
      </c>
      <c r="Q81" s="32" t="str">
        <f t="shared" si="70"/>
        <v>-</v>
      </c>
      <c r="R81" s="32" t="str">
        <f t="shared" si="70"/>
        <v>-</v>
      </c>
      <c r="S81" s="32" t="str">
        <f t="shared" si="70"/>
        <v>-</v>
      </c>
      <c r="T81" s="32" t="str">
        <f t="shared" si="70"/>
        <v>-</v>
      </c>
      <c r="U81" s="32" t="str">
        <f t="shared" si="70"/>
        <v>-</v>
      </c>
      <c r="V81" s="32" t="str">
        <f t="shared" si="70"/>
        <v>-</v>
      </c>
      <c r="W81" s="32" t="str">
        <f t="shared" ref="W81:AG88" si="88">W$6</f>
        <v>-</v>
      </c>
      <c r="X81" s="32" t="str">
        <f t="shared" si="88"/>
        <v>-</v>
      </c>
      <c r="Y81" s="32" t="str">
        <f t="shared" si="88"/>
        <v>-</v>
      </c>
      <c r="Z81" s="32" t="str">
        <f t="shared" si="88"/>
        <v>-</v>
      </c>
      <c r="AA81" s="32" t="str">
        <f t="shared" si="88"/>
        <v>-</v>
      </c>
      <c r="AB81" s="32" t="str">
        <f t="shared" si="88"/>
        <v>-</v>
      </c>
      <c r="AC81" s="32" t="str">
        <f t="shared" si="88"/>
        <v>-</v>
      </c>
      <c r="AD81" s="32" t="str">
        <f t="shared" si="88"/>
        <v>-</v>
      </c>
      <c r="AE81" s="32" t="str">
        <f t="shared" si="88"/>
        <v>-</v>
      </c>
      <c r="AF81" s="32" t="str">
        <f t="shared" si="88"/>
        <v>-</v>
      </c>
      <c r="AG81" s="32" t="str">
        <f t="shared" si="88"/>
        <v>-</v>
      </c>
      <c r="AH81" s="31" t="b">
        <v>1</v>
      </c>
      <c r="AI81" s="31" t="b">
        <v>1</v>
      </c>
      <c r="AJ81" s="31" t="b">
        <v>1</v>
      </c>
      <c r="AK81" s="32" t="str">
        <f t="shared" si="66"/>
        <v>-</v>
      </c>
      <c r="AL81" s="32" t="str">
        <f t="shared" si="66"/>
        <v>-</v>
      </c>
      <c r="AM81" s="32" t="str">
        <f t="shared" si="66"/>
        <v>-</v>
      </c>
      <c r="AN81" s="32" t="str">
        <f t="shared" si="66"/>
        <v>-</v>
      </c>
      <c r="AO81" s="25">
        <f t="shared" si="72"/>
        <v>1</v>
      </c>
      <c r="AP81" s="25">
        <f t="shared" si="73"/>
        <v>2</v>
      </c>
      <c r="AQ81" s="25">
        <f t="shared" si="74"/>
        <v>0</v>
      </c>
      <c r="AR81" s="21">
        <f t="shared" ref="AR81:AS81" si="89">MIN(2.99,AR78+0.5)</f>
        <v>0</v>
      </c>
      <c r="AS81" s="21">
        <f t="shared" si="89"/>
        <v>1</v>
      </c>
      <c r="AT81" s="25">
        <f t="shared" si="85"/>
        <v>2.99</v>
      </c>
      <c r="AU81" s="32">
        <f t="shared" ref="AU81:BJ88" si="90">AU$6</f>
        <v>1</v>
      </c>
      <c r="AV81" s="32">
        <f t="shared" si="90"/>
        <v>1</v>
      </c>
      <c r="AW81" s="32">
        <f t="shared" si="90"/>
        <v>1</v>
      </c>
      <c r="AX81" s="32">
        <f t="shared" si="90"/>
        <v>1</v>
      </c>
      <c r="AY81" s="32">
        <f t="shared" si="90"/>
        <v>1</v>
      </c>
      <c r="AZ81" s="32">
        <f t="shared" si="90"/>
        <v>1</v>
      </c>
      <c r="BA81" s="32">
        <f t="shared" si="90"/>
        <v>1</v>
      </c>
      <c r="BB81" s="32">
        <f t="shared" si="90"/>
        <v>1</v>
      </c>
      <c r="BC81" s="32">
        <f t="shared" si="90"/>
        <v>1</v>
      </c>
      <c r="BD81" s="32">
        <f t="shared" si="90"/>
        <v>1</v>
      </c>
      <c r="BE81" s="32">
        <f t="shared" si="90"/>
        <v>1</v>
      </c>
      <c r="BF81" s="32">
        <f t="shared" si="90"/>
        <v>1</v>
      </c>
      <c r="BG81" s="32">
        <f t="shared" si="90"/>
        <v>1</v>
      </c>
      <c r="BH81" s="32">
        <f t="shared" si="90"/>
        <v>1</v>
      </c>
      <c r="BI81" s="32">
        <f t="shared" si="90"/>
        <v>1</v>
      </c>
      <c r="BJ81" s="32">
        <f t="shared" si="90"/>
        <v>1</v>
      </c>
      <c r="BK81" s="32">
        <f t="shared" si="87"/>
        <v>0</v>
      </c>
      <c r="BL81" s="32">
        <f t="shared" si="87"/>
        <v>0</v>
      </c>
      <c r="BM81" s="32">
        <f t="shared" si="87"/>
        <v>0</v>
      </c>
      <c r="BN81" s="32">
        <f t="shared" si="87"/>
        <v>0</v>
      </c>
      <c r="BO81" s="32">
        <f t="shared" si="87"/>
        <v>0</v>
      </c>
      <c r="BP81" s="15">
        <v>0</v>
      </c>
    </row>
    <row r="82" spans="1:68">
      <c r="A82" s="18"/>
      <c r="B82">
        <f t="shared" si="3"/>
        <v>77</v>
      </c>
      <c r="C82" t="b">
        <v>0</v>
      </c>
      <c r="D82" t="b">
        <v>0</v>
      </c>
      <c r="E82" t="b">
        <v>0</v>
      </c>
      <c r="F82" s="3" t="str">
        <f t="shared" si="84"/>
        <v>offFL_0_2</v>
      </c>
      <c r="G82" s="26" t="str">
        <f>IF(MATCH(F82,F$5:F82,0)=(COUNTA(F$5:F82)),"-","Dup")</f>
        <v>-</v>
      </c>
      <c r="H82" s="32" t="str">
        <f t="shared" ref="H82:W88" si="91">H$6</f>
        <v>-</v>
      </c>
      <c r="I82" s="32" t="b">
        <f t="shared" si="91"/>
        <v>0</v>
      </c>
      <c r="J82" s="32" t="b">
        <f t="shared" si="91"/>
        <v>1</v>
      </c>
      <c r="K82" s="32" t="str">
        <f t="shared" si="91"/>
        <v>-</v>
      </c>
      <c r="L82" s="32" t="str">
        <f t="shared" si="91"/>
        <v>-</v>
      </c>
      <c r="M82" s="32" t="str">
        <f t="shared" si="91"/>
        <v>-</v>
      </c>
      <c r="N82" s="32" t="str">
        <f t="shared" si="91"/>
        <v>-</v>
      </c>
      <c r="O82" s="32" t="str">
        <f t="shared" si="91"/>
        <v>-</v>
      </c>
      <c r="P82" s="32" t="str">
        <f t="shared" si="91"/>
        <v>-</v>
      </c>
      <c r="Q82" s="32" t="str">
        <f t="shared" si="91"/>
        <v>-</v>
      </c>
      <c r="R82" s="32" t="str">
        <f t="shared" si="91"/>
        <v>-</v>
      </c>
      <c r="S82" s="32" t="str">
        <f t="shared" si="91"/>
        <v>-</v>
      </c>
      <c r="T82" s="32" t="str">
        <f t="shared" si="91"/>
        <v>-</v>
      </c>
      <c r="U82" s="32" t="str">
        <f t="shared" si="91"/>
        <v>-</v>
      </c>
      <c r="V82" s="32" t="str">
        <f t="shared" si="91"/>
        <v>-</v>
      </c>
      <c r="W82" s="32" t="str">
        <f t="shared" si="91"/>
        <v>-</v>
      </c>
      <c r="X82" s="32" t="str">
        <f t="shared" si="88"/>
        <v>-</v>
      </c>
      <c r="Y82" s="32" t="str">
        <f t="shared" si="88"/>
        <v>-</v>
      </c>
      <c r="Z82" s="32" t="str">
        <f t="shared" si="88"/>
        <v>-</v>
      </c>
      <c r="AA82" s="32" t="str">
        <f t="shared" si="88"/>
        <v>-</v>
      </c>
      <c r="AB82" s="32" t="str">
        <f t="shared" si="88"/>
        <v>-</v>
      </c>
      <c r="AC82" s="32" t="str">
        <f t="shared" si="88"/>
        <v>-</v>
      </c>
      <c r="AD82" s="32" t="str">
        <f t="shared" si="88"/>
        <v>-</v>
      </c>
      <c r="AE82" s="32" t="str">
        <f t="shared" si="88"/>
        <v>-</v>
      </c>
      <c r="AF82" s="32" t="str">
        <f t="shared" si="88"/>
        <v>-</v>
      </c>
      <c r="AG82" s="32" t="str">
        <f t="shared" si="88"/>
        <v>-</v>
      </c>
      <c r="AH82" s="31" t="b">
        <v>1</v>
      </c>
      <c r="AI82" s="31" t="b">
        <v>1</v>
      </c>
      <c r="AJ82" s="31" t="b">
        <v>1</v>
      </c>
      <c r="AK82" s="32" t="str">
        <f t="shared" si="66"/>
        <v>-</v>
      </c>
      <c r="AL82" s="32" t="str">
        <f t="shared" si="66"/>
        <v>-</v>
      </c>
      <c r="AM82" s="32" t="str">
        <f t="shared" si="66"/>
        <v>-</v>
      </c>
      <c r="AN82" s="32" t="str">
        <f t="shared" si="66"/>
        <v>-</v>
      </c>
      <c r="AO82" s="25">
        <f t="shared" si="72"/>
        <v>1</v>
      </c>
      <c r="AP82" s="25">
        <f t="shared" si="73"/>
        <v>2</v>
      </c>
      <c r="AQ82" s="25">
        <f t="shared" si="74"/>
        <v>0</v>
      </c>
      <c r="AR82" s="21">
        <f t="shared" ref="AR82:AS82" si="92">MIN(2.99,AR79+0.5)</f>
        <v>0</v>
      </c>
      <c r="AS82" s="21">
        <f t="shared" si="92"/>
        <v>2</v>
      </c>
      <c r="AT82" s="25">
        <f t="shared" si="85"/>
        <v>2.99</v>
      </c>
      <c r="AU82" s="32">
        <f t="shared" si="90"/>
        <v>1</v>
      </c>
      <c r="AV82" s="32">
        <f t="shared" si="90"/>
        <v>1</v>
      </c>
      <c r="AW82" s="32">
        <f t="shared" si="90"/>
        <v>1</v>
      </c>
      <c r="AX82" s="32">
        <f t="shared" si="90"/>
        <v>1</v>
      </c>
      <c r="AY82" s="32">
        <f t="shared" si="90"/>
        <v>1</v>
      </c>
      <c r="AZ82" s="32">
        <f t="shared" si="90"/>
        <v>1</v>
      </c>
      <c r="BA82" s="32">
        <f t="shared" si="90"/>
        <v>1</v>
      </c>
      <c r="BB82" s="32">
        <f t="shared" si="90"/>
        <v>1</v>
      </c>
      <c r="BC82" s="32">
        <f t="shared" si="90"/>
        <v>1</v>
      </c>
      <c r="BD82" s="32">
        <f t="shared" si="90"/>
        <v>1</v>
      </c>
      <c r="BE82" s="32">
        <f t="shared" si="90"/>
        <v>1</v>
      </c>
      <c r="BF82" s="32">
        <f t="shared" si="90"/>
        <v>1</v>
      </c>
      <c r="BG82" s="32">
        <f t="shared" si="90"/>
        <v>1</v>
      </c>
      <c r="BH82" s="32">
        <f t="shared" si="90"/>
        <v>1</v>
      </c>
      <c r="BI82" s="32">
        <f t="shared" si="90"/>
        <v>1</v>
      </c>
      <c r="BJ82" s="32">
        <f t="shared" si="90"/>
        <v>1</v>
      </c>
      <c r="BK82" s="32">
        <f t="shared" si="87"/>
        <v>0</v>
      </c>
      <c r="BL82" s="32">
        <f t="shared" si="87"/>
        <v>0</v>
      </c>
      <c r="BM82" s="32">
        <f t="shared" si="87"/>
        <v>0</v>
      </c>
      <c r="BN82" s="32">
        <f t="shared" si="87"/>
        <v>0</v>
      </c>
      <c r="BO82" s="32">
        <f t="shared" si="87"/>
        <v>0</v>
      </c>
      <c r="BP82" s="15">
        <v>0</v>
      </c>
    </row>
    <row r="83" spans="1:68">
      <c r="A83" s="18"/>
      <c r="B83">
        <f t="shared" si="3"/>
        <v>78</v>
      </c>
      <c r="C83" t="b">
        <v>0</v>
      </c>
      <c r="D83" t="b">
        <v>0</v>
      </c>
      <c r="E83" t="b">
        <v>0</v>
      </c>
      <c r="F83" s="3" t="str">
        <f t="shared" si="84"/>
        <v>offFL_p5_p5</v>
      </c>
      <c r="G83" s="26" t="str">
        <f>IF(MATCH(F83,F$5:F83,0)=(COUNTA(F$5:F83)),"-","Dup")</f>
        <v>-</v>
      </c>
      <c r="H83" s="32" t="str">
        <f t="shared" si="91"/>
        <v>-</v>
      </c>
      <c r="I83" s="32" t="b">
        <f t="shared" si="91"/>
        <v>0</v>
      </c>
      <c r="J83" s="32" t="b">
        <f t="shared" si="91"/>
        <v>1</v>
      </c>
      <c r="K83" s="32" t="str">
        <f t="shared" si="91"/>
        <v>-</v>
      </c>
      <c r="L83" s="32" t="str">
        <f t="shared" si="91"/>
        <v>-</v>
      </c>
      <c r="M83" s="32" t="str">
        <f t="shared" si="91"/>
        <v>-</v>
      </c>
      <c r="N83" s="32" t="str">
        <f t="shared" si="91"/>
        <v>-</v>
      </c>
      <c r="O83" s="32" t="str">
        <f t="shared" si="91"/>
        <v>-</v>
      </c>
      <c r="P83" s="32" t="str">
        <f t="shared" si="91"/>
        <v>-</v>
      </c>
      <c r="Q83" s="32" t="str">
        <f t="shared" si="91"/>
        <v>-</v>
      </c>
      <c r="R83" s="32" t="str">
        <f t="shared" si="91"/>
        <v>-</v>
      </c>
      <c r="S83" s="32" t="str">
        <f t="shared" si="91"/>
        <v>-</v>
      </c>
      <c r="T83" s="32" t="str">
        <f t="shared" si="91"/>
        <v>-</v>
      </c>
      <c r="U83" s="32" t="str">
        <f t="shared" si="91"/>
        <v>-</v>
      </c>
      <c r="V83" s="32" t="str">
        <f t="shared" si="91"/>
        <v>-</v>
      </c>
      <c r="W83" s="32" t="str">
        <f t="shared" si="91"/>
        <v>-</v>
      </c>
      <c r="X83" s="32" t="str">
        <f t="shared" si="88"/>
        <v>-</v>
      </c>
      <c r="Y83" s="32" t="str">
        <f t="shared" si="88"/>
        <v>-</v>
      </c>
      <c r="Z83" s="32" t="str">
        <f t="shared" si="88"/>
        <v>-</v>
      </c>
      <c r="AA83" s="32" t="str">
        <f t="shared" si="88"/>
        <v>-</v>
      </c>
      <c r="AB83" s="32" t="str">
        <f t="shared" si="88"/>
        <v>-</v>
      </c>
      <c r="AC83" s="32" t="str">
        <f t="shared" si="88"/>
        <v>-</v>
      </c>
      <c r="AD83" s="32" t="str">
        <f t="shared" si="88"/>
        <v>-</v>
      </c>
      <c r="AE83" s="32" t="str">
        <f t="shared" si="88"/>
        <v>-</v>
      </c>
      <c r="AF83" s="32" t="str">
        <f t="shared" si="88"/>
        <v>-</v>
      </c>
      <c r="AG83" s="32" t="str">
        <f t="shared" si="88"/>
        <v>-</v>
      </c>
      <c r="AH83" s="31" t="b">
        <v>1</v>
      </c>
      <c r="AI83" s="31" t="b">
        <v>1</v>
      </c>
      <c r="AJ83" s="31" t="b">
        <v>1</v>
      </c>
      <c r="AK83" s="32" t="str">
        <f t="shared" si="66"/>
        <v>-</v>
      </c>
      <c r="AL83" s="32" t="str">
        <f t="shared" si="66"/>
        <v>-</v>
      </c>
      <c r="AM83" s="32" t="str">
        <f t="shared" si="66"/>
        <v>-</v>
      </c>
      <c r="AN83" s="32" t="str">
        <f t="shared" si="66"/>
        <v>-</v>
      </c>
      <c r="AO83" s="25">
        <f t="shared" si="72"/>
        <v>1</v>
      </c>
      <c r="AP83" s="25">
        <f t="shared" si="73"/>
        <v>2</v>
      </c>
      <c r="AQ83" s="25">
        <f t="shared" si="74"/>
        <v>0</v>
      </c>
      <c r="AR83" s="21">
        <f t="shared" ref="AR83:AS83" si="93">MIN(2.99,AR80+0.5)</f>
        <v>0.5</v>
      </c>
      <c r="AS83" s="21">
        <f t="shared" si="93"/>
        <v>1</v>
      </c>
      <c r="AT83" s="25">
        <f t="shared" si="85"/>
        <v>2.99</v>
      </c>
      <c r="AU83" s="32">
        <f t="shared" si="90"/>
        <v>1</v>
      </c>
      <c r="AV83" s="32">
        <f t="shared" si="90"/>
        <v>1</v>
      </c>
      <c r="AW83" s="32">
        <f t="shared" si="90"/>
        <v>1</v>
      </c>
      <c r="AX83" s="32">
        <f t="shared" si="90"/>
        <v>1</v>
      </c>
      <c r="AY83" s="32">
        <f t="shared" si="90"/>
        <v>1</v>
      </c>
      <c r="AZ83" s="32">
        <f t="shared" si="90"/>
        <v>1</v>
      </c>
      <c r="BA83" s="32">
        <f t="shared" si="90"/>
        <v>1</v>
      </c>
      <c r="BB83" s="32">
        <f t="shared" si="90"/>
        <v>1</v>
      </c>
      <c r="BC83" s="32">
        <f t="shared" si="90"/>
        <v>1</v>
      </c>
      <c r="BD83" s="32">
        <f t="shared" si="90"/>
        <v>1</v>
      </c>
      <c r="BE83" s="32">
        <f t="shared" si="90"/>
        <v>1</v>
      </c>
      <c r="BF83" s="32">
        <f t="shared" si="90"/>
        <v>1</v>
      </c>
      <c r="BG83" s="32">
        <f t="shared" si="90"/>
        <v>1</v>
      </c>
      <c r="BH83" s="32">
        <f t="shared" si="90"/>
        <v>1</v>
      </c>
      <c r="BI83" s="32">
        <f t="shared" si="90"/>
        <v>1</v>
      </c>
      <c r="BJ83" s="32">
        <f t="shared" si="90"/>
        <v>1</v>
      </c>
      <c r="BK83" s="32">
        <f t="shared" si="87"/>
        <v>0</v>
      </c>
      <c r="BL83" s="32">
        <f t="shared" si="87"/>
        <v>0</v>
      </c>
      <c r="BM83" s="32">
        <f t="shared" si="87"/>
        <v>0</v>
      </c>
      <c r="BN83" s="32">
        <f t="shared" si="87"/>
        <v>0</v>
      </c>
      <c r="BO83" s="32">
        <f t="shared" si="87"/>
        <v>0</v>
      </c>
      <c r="BP83" s="15">
        <v>0</v>
      </c>
    </row>
    <row r="84" spans="1:68">
      <c r="A84" s="18"/>
      <c r="B84">
        <f t="shared" si="3"/>
        <v>79</v>
      </c>
      <c r="C84" t="b">
        <v>0</v>
      </c>
      <c r="D84" t="b">
        <v>0</v>
      </c>
      <c r="E84" t="b">
        <v>0</v>
      </c>
      <c r="F84" s="3" t="str">
        <f t="shared" si="84"/>
        <v>offFL_p5_1</v>
      </c>
      <c r="G84" s="26" t="str">
        <f>IF(MATCH(F84,F$5:F84,0)=(COUNTA(F$5:F84)),"-","Dup")</f>
        <v>-</v>
      </c>
      <c r="H84" s="32" t="str">
        <f t="shared" si="91"/>
        <v>-</v>
      </c>
      <c r="I84" s="32" t="b">
        <f t="shared" si="91"/>
        <v>0</v>
      </c>
      <c r="J84" s="32" t="b">
        <f t="shared" si="91"/>
        <v>1</v>
      </c>
      <c r="K84" s="32" t="str">
        <f t="shared" si="91"/>
        <v>-</v>
      </c>
      <c r="L84" s="32" t="str">
        <f t="shared" si="91"/>
        <v>-</v>
      </c>
      <c r="M84" s="32" t="str">
        <f t="shared" si="91"/>
        <v>-</v>
      </c>
      <c r="N84" s="32" t="str">
        <f t="shared" si="91"/>
        <v>-</v>
      </c>
      <c r="O84" s="32" t="str">
        <f t="shared" si="91"/>
        <v>-</v>
      </c>
      <c r="P84" s="32" t="str">
        <f t="shared" si="91"/>
        <v>-</v>
      </c>
      <c r="Q84" s="32" t="str">
        <f t="shared" si="91"/>
        <v>-</v>
      </c>
      <c r="R84" s="32" t="str">
        <f t="shared" si="91"/>
        <v>-</v>
      </c>
      <c r="S84" s="32" t="str">
        <f t="shared" si="91"/>
        <v>-</v>
      </c>
      <c r="T84" s="32" t="str">
        <f t="shared" si="91"/>
        <v>-</v>
      </c>
      <c r="U84" s="32" t="str">
        <f t="shared" si="91"/>
        <v>-</v>
      </c>
      <c r="V84" s="32" t="str">
        <f t="shared" si="91"/>
        <v>-</v>
      </c>
      <c r="W84" s="32" t="str">
        <f t="shared" si="91"/>
        <v>-</v>
      </c>
      <c r="X84" s="32" t="str">
        <f t="shared" si="88"/>
        <v>-</v>
      </c>
      <c r="Y84" s="32" t="str">
        <f t="shared" si="88"/>
        <v>-</v>
      </c>
      <c r="Z84" s="32" t="str">
        <f t="shared" si="88"/>
        <v>-</v>
      </c>
      <c r="AA84" s="32" t="str">
        <f t="shared" si="88"/>
        <v>-</v>
      </c>
      <c r="AB84" s="32" t="str">
        <f t="shared" si="88"/>
        <v>-</v>
      </c>
      <c r="AC84" s="32" t="str">
        <f t="shared" si="88"/>
        <v>-</v>
      </c>
      <c r="AD84" s="32" t="str">
        <f t="shared" si="88"/>
        <v>-</v>
      </c>
      <c r="AE84" s="32" t="str">
        <f t="shared" si="88"/>
        <v>-</v>
      </c>
      <c r="AF84" s="32" t="str">
        <f t="shared" si="88"/>
        <v>-</v>
      </c>
      <c r="AG84" s="32" t="str">
        <f t="shared" si="88"/>
        <v>-</v>
      </c>
      <c r="AH84" s="31" t="b">
        <v>1</v>
      </c>
      <c r="AI84" s="31" t="b">
        <v>1</v>
      </c>
      <c r="AJ84" s="31" t="b">
        <v>1</v>
      </c>
      <c r="AK84" s="32" t="str">
        <f t="shared" si="66"/>
        <v>-</v>
      </c>
      <c r="AL84" s="32" t="str">
        <f t="shared" si="66"/>
        <v>-</v>
      </c>
      <c r="AM84" s="32" t="str">
        <f t="shared" si="66"/>
        <v>-</v>
      </c>
      <c r="AN84" s="32" t="str">
        <f t="shared" si="66"/>
        <v>-</v>
      </c>
      <c r="AO84" s="25">
        <f t="shared" si="72"/>
        <v>1</v>
      </c>
      <c r="AP84" s="25">
        <f t="shared" si="73"/>
        <v>2</v>
      </c>
      <c r="AQ84" s="25">
        <f t="shared" si="74"/>
        <v>0</v>
      </c>
      <c r="AR84" s="21">
        <f t="shared" ref="AR84:AS84" si="94">MIN(2.99,AR81+0.5)</f>
        <v>0.5</v>
      </c>
      <c r="AS84" s="21">
        <f t="shared" si="94"/>
        <v>1.5</v>
      </c>
      <c r="AT84" s="25">
        <f t="shared" si="85"/>
        <v>2.99</v>
      </c>
      <c r="AU84" s="32">
        <f t="shared" si="90"/>
        <v>1</v>
      </c>
      <c r="AV84" s="32">
        <f t="shared" si="90"/>
        <v>1</v>
      </c>
      <c r="AW84" s="32">
        <f t="shared" si="90"/>
        <v>1</v>
      </c>
      <c r="AX84" s="32">
        <f t="shared" si="90"/>
        <v>1</v>
      </c>
      <c r="AY84" s="32">
        <f t="shared" si="90"/>
        <v>1</v>
      </c>
      <c r="AZ84" s="32">
        <f t="shared" si="90"/>
        <v>1</v>
      </c>
      <c r="BA84" s="32">
        <f t="shared" si="90"/>
        <v>1</v>
      </c>
      <c r="BB84" s="32">
        <f t="shared" si="90"/>
        <v>1</v>
      </c>
      <c r="BC84" s="32">
        <f t="shared" si="90"/>
        <v>1</v>
      </c>
      <c r="BD84" s="32">
        <f t="shared" si="90"/>
        <v>1</v>
      </c>
      <c r="BE84" s="32">
        <f t="shared" si="90"/>
        <v>1</v>
      </c>
      <c r="BF84" s="32">
        <f t="shared" si="90"/>
        <v>1</v>
      </c>
      <c r="BG84" s="32">
        <f t="shared" si="90"/>
        <v>1</v>
      </c>
      <c r="BH84" s="32">
        <f t="shared" si="90"/>
        <v>1</v>
      </c>
      <c r="BI84" s="32">
        <f t="shared" si="90"/>
        <v>1</v>
      </c>
      <c r="BJ84" s="32">
        <f t="shared" si="90"/>
        <v>1</v>
      </c>
      <c r="BK84" s="32">
        <f t="shared" si="87"/>
        <v>0</v>
      </c>
      <c r="BL84" s="32">
        <f t="shared" si="87"/>
        <v>0</v>
      </c>
      <c r="BM84" s="32">
        <f t="shared" si="87"/>
        <v>0</v>
      </c>
      <c r="BN84" s="32">
        <f t="shared" si="87"/>
        <v>0</v>
      </c>
      <c r="BO84" s="32">
        <f t="shared" si="87"/>
        <v>0</v>
      </c>
      <c r="BP84" s="15">
        <v>0</v>
      </c>
    </row>
    <row r="85" spans="1:68">
      <c r="A85" s="18"/>
      <c r="B85">
        <f t="shared" si="3"/>
        <v>80</v>
      </c>
      <c r="C85" t="b">
        <v>0</v>
      </c>
      <c r="D85" t="b">
        <v>0</v>
      </c>
      <c r="E85" t="b">
        <v>0</v>
      </c>
      <c r="F85" s="3" t="str">
        <f t="shared" si="84"/>
        <v>offFL_p5_2</v>
      </c>
      <c r="G85" s="26" t="str">
        <f>IF(MATCH(F85,F$5:F85,0)=(COUNTA(F$5:F85)),"-","Dup")</f>
        <v>-</v>
      </c>
      <c r="H85" s="32" t="str">
        <f t="shared" si="91"/>
        <v>-</v>
      </c>
      <c r="I85" s="32" t="b">
        <f t="shared" si="91"/>
        <v>0</v>
      </c>
      <c r="J85" s="32" t="b">
        <f t="shared" si="91"/>
        <v>1</v>
      </c>
      <c r="K85" s="32" t="str">
        <f t="shared" si="91"/>
        <v>-</v>
      </c>
      <c r="L85" s="32" t="str">
        <f t="shared" si="91"/>
        <v>-</v>
      </c>
      <c r="M85" s="32" t="str">
        <f t="shared" si="91"/>
        <v>-</v>
      </c>
      <c r="N85" s="32" t="str">
        <f t="shared" si="91"/>
        <v>-</v>
      </c>
      <c r="O85" s="32" t="str">
        <f t="shared" si="91"/>
        <v>-</v>
      </c>
      <c r="P85" s="32" t="str">
        <f t="shared" si="91"/>
        <v>-</v>
      </c>
      <c r="Q85" s="32" t="str">
        <f t="shared" si="91"/>
        <v>-</v>
      </c>
      <c r="R85" s="32" t="str">
        <f t="shared" si="91"/>
        <v>-</v>
      </c>
      <c r="S85" s="32" t="str">
        <f t="shared" si="91"/>
        <v>-</v>
      </c>
      <c r="T85" s="32" t="str">
        <f t="shared" si="91"/>
        <v>-</v>
      </c>
      <c r="U85" s="32" t="str">
        <f t="shared" si="91"/>
        <v>-</v>
      </c>
      <c r="V85" s="32" t="str">
        <f t="shared" si="91"/>
        <v>-</v>
      </c>
      <c r="W85" s="32" t="str">
        <f t="shared" si="91"/>
        <v>-</v>
      </c>
      <c r="X85" s="32" t="str">
        <f t="shared" si="88"/>
        <v>-</v>
      </c>
      <c r="Y85" s="32" t="str">
        <f t="shared" si="88"/>
        <v>-</v>
      </c>
      <c r="Z85" s="32" t="str">
        <f t="shared" si="88"/>
        <v>-</v>
      </c>
      <c r="AA85" s="32" t="str">
        <f t="shared" si="88"/>
        <v>-</v>
      </c>
      <c r="AB85" s="32" t="str">
        <f t="shared" si="88"/>
        <v>-</v>
      </c>
      <c r="AC85" s="32" t="str">
        <f t="shared" si="88"/>
        <v>-</v>
      </c>
      <c r="AD85" s="32" t="str">
        <f t="shared" si="88"/>
        <v>-</v>
      </c>
      <c r="AE85" s="32" t="str">
        <f t="shared" si="88"/>
        <v>-</v>
      </c>
      <c r="AF85" s="32" t="str">
        <f t="shared" si="88"/>
        <v>-</v>
      </c>
      <c r="AG85" s="32" t="str">
        <f t="shared" si="88"/>
        <v>-</v>
      </c>
      <c r="AH85" s="31" t="b">
        <v>1</v>
      </c>
      <c r="AI85" s="31" t="b">
        <v>1</v>
      </c>
      <c r="AJ85" s="31" t="b">
        <v>1</v>
      </c>
      <c r="AK85" s="32" t="str">
        <f t="shared" si="66"/>
        <v>-</v>
      </c>
      <c r="AL85" s="32" t="str">
        <f t="shared" si="66"/>
        <v>-</v>
      </c>
      <c r="AM85" s="32" t="str">
        <f t="shared" si="66"/>
        <v>-</v>
      </c>
      <c r="AN85" s="32" t="str">
        <f t="shared" si="66"/>
        <v>-</v>
      </c>
      <c r="AO85" s="25">
        <f t="shared" si="72"/>
        <v>1</v>
      </c>
      <c r="AP85" s="25">
        <f t="shared" si="73"/>
        <v>2</v>
      </c>
      <c r="AQ85" s="25">
        <f t="shared" si="74"/>
        <v>0</v>
      </c>
      <c r="AR85" s="21">
        <f t="shared" ref="AR85:AS85" si="95">MIN(2.99,AR82+0.5)</f>
        <v>0.5</v>
      </c>
      <c r="AS85" s="21">
        <f t="shared" si="95"/>
        <v>2.5</v>
      </c>
      <c r="AT85" s="25">
        <f t="shared" si="85"/>
        <v>2.99</v>
      </c>
      <c r="AU85" s="32">
        <f t="shared" si="90"/>
        <v>1</v>
      </c>
      <c r="AV85" s="32">
        <f t="shared" si="90"/>
        <v>1</v>
      </c>
      <c r="AW85" s="32">
        <f t="shared" si="90"/>
        <v>1</v>
      </c>
      <c r="AX85" s="32">
        <f t="shared" si="90"/>
        <v>1</v>
      </c>
      <c r="AY85" s="32">
        <f t="shared" si="90"/>
        <v>1</v>
      </c>
      <c r="AZ85" s="32">
        <f t="shared" si="90"/>
        <v>1</v>
      </c>
      <c r="BA85" s="32">
        <f t="shared" si="90"/>
        <v>1</v>
      </c>
      <c r="BB85" s="32">
        <f t="shared" si="90"/>
        <v>1</v>
      </c>
      <c r="BC85" s="32">
        <f t="shared" si="90"/>
        <v>1</v>
      </c>
      <c r="BD85" s="32">
        <f t="shared" si="90"/>
        <v>1</v>
      </c>
      <c r="BE85" s="32">
        <f t="shared" si="90"/>
        <v>1</v>
      </c>
      <c r="BF85" s="32">
        <f t="shared" si="90"/>
        <v>1</v>
      </c>
      <c r="BG85" s="32">
        <f t="shared" si="90"/>
        <v>1</v>
      </c>
      <c r="BH85" s="32">
        <f t="shared" si="90"/>
        <v>1</v>
      </c>
      <c r="BI85" s="32">
        <f t="shared" si="90"/>
        <v>1</v>
      </c>
      <c r="BJ85" s="32">
        <f t="shared" si="90"/>
        <v>1</v>
      </c>
      <c r="BK85" s="32">
        <f t="shared" si="87"/>
        <v>0</v>
      </c>
      <c r="BL85" s="32">
        <f t="shared" si="87"/>
        <v>0</v>
      </c>
      <c r="BM85" s="32">
        <f t="shared" si="87"/>
        <v>0</v>
      </c>
      <c r="BN85" s="32">
        <f t="shared" si="87"/>
        <v>0</v>
      </c>
      <c r="BO85" s="32">
        <f t="shared" si="87"/>
        <v>0</v>
      </c>
      <c r="BP85" s="15">
        <v>0</v>
      </c>
    </row>
    <row r="86" spans="1:68">
      <c r="A86" s="18"/>
      <c r="B86">
        <f t="shared" si="3"/>
        <v>81</v>
      </c>
      <c r="C86" t="b">
        <v>0</v>
      </c>
      <c r="D86" t="b">
        <v>0</v>
      </c>
      <c r="E86" t="b">
        <v>0</v>
      </c>
      <c r="F86" s="3" t="str">
        <f t="shared" si="84"/>
        <v>offFL_1_p5</v>
      </c>
      <c r="G86" s="26" t="str">
        <f>IF(MATCH(F86,F$5:F86,0)=(COUNTA(F$5:F86)),"-","Dup")</f>
        <v>-</v>
      </c>
      <c r="H86" s="32" t="str">
        <f t="shared" si="91"/>
        <v>-</v>
      </c>
      <c r="I86" s="32" t="b">
        <f t="shared" si="91"/>
        <v>0</v>
      </c>
      <c r="J86" s="32" t="b">
        <f t="shared" si="91"/>
        <v>1</v>
      </c>
      <c r="K86" s="32" t="str">
        <f t="shared" si="91"/>
        <v>-</v>
      </c>
      <c r="L86" s="32" t="str">
        <f t="shared" si="91"/>
        <v>-</v>
      </c>
      <c r="M86" s="32" t="str">
        <f t="shared" si="91"/>
        <v>-</v>
      </c>
      <c r="N86" s="32" t="str">
        <f t="shared" si="91"/>
        <v>-</v>
      </c>
      <c r="O86" s="32" t="str">
        <f t="shared" si="91"/>
        <v>-</v>
      </c>
      <c r="P86" s="32" t="str">
        <f t="shared" si="91"/>
        <v>-</v>
      </c>
      <c r="Q86" s="32" t="str">
        <f t="shared" si="91"/>
        <v>-</v>
      </c>
      <c r="R86" s="32" t="str">
        <f t="shared" si="91"/>
        <v>-</v>
      </c>
      <c r="S86" s="32" t="str">
        <f t="shared" si="91"/>
        <v>-</v>
      </c>
      <c r="T86" s="32" t="str">
        <f t="shared" si="91"/>
        <v>-</v>
      </c>
      <c r="U86" s="32" t="str">
        <f t="shared" si="91"/>
        <v>-</v>
      </c>
      <c r="V86" s="32" t="str">
        <f t="shared" si="91"/>
        <v>-</v>
      </c>
      <c r="W86" s="32" t="str">
        <f t="shared" si="91"/>
        <v>-</v>
      </c>
      <c r="X86" s="32" t="str">
        <f t="shared" si="88"/>
        <v>-</v>
      </c>
      <c r="Y86" s="32" t="str">
        <f t="shared" si="88"/>
        <v>-</v>
      </c>
      <c r="Z86" s="32" t="str">
        <f t="shared" si="88"/>
        <v>-</v>
      </c>
      <c r="AA86" s="32" t="str">
        <f t="shared" si="88"/>
        <v>-</v>
      </c>
      <c r="AB86" s="32" t="str">
        <f t="shared" si="88"/>
        <v>-</v>
      </c>
      <c r="AC86" s="32" t="str">
        <f t="shared" si="88"/>
        <v>-</v>
      </c>
      <c r="AD86" s="32" t="str">
        <f t="shared" si="88"/>
        <v>-</v>
      </c>
      <c r="AE86" s="32" t="str">
        <f t="shared" si="88"/>
        <v>-</v>
      </c>
      <c r="AF86" s="32" t="str">
        <f t="shared" si="88"/>
        <v>-</v>
      </c>
      <c r="AG86" s="32" t="str">
        <f t="shared" si="88"/>
        <v>-</v>
      </c>
      <c r="AH86" s="31" t="b">
        <v>1</v>
      </c>
      <c r="AI86" s="31" t="b">
        <v>1</v>
      </c>
      <c r="AJ86" s="31" t="b">
        <v>1</v>
      </c>
      <c r="AK86" s="32" t="str">
        <f t="shared" si="66"/>
        <v>-</v>
      </c>
      <c r="AL86" s="32" t="str">
        <f t="shared" si="66"/>
        <v>-</v>
      </c>
      <c r="AM86" s="32" t="str">
        <f t="shared" si="66"/>
        <v>-</v>
      </c>
      <c r="AN86" s="32" t="str">
        <f t="shared" si="66"/>
        <v>-</v>
      </c>
      <c r="AO86" s="25">
        <f t="shared" si="72"/>
        <v>1</v>
      </c>
      <c r="AP86" s="25">
        <f t="shared" si="73"/>
        <v>2</v>
      </c>
      <c r="AQ86" s="25">
        <f t="shared" si="74"/>
        <v>0</v>
      </c>
      <c r="AR86" s="21">
        <f t="shared" ref="AR86:AS86" si="96">MIN(2.99,AR83+0.5)</f>
        <v>1</v>
      </c>
      <c r="AS86" s="21">
        <f t="shared" si="96"/>
        <v>1.5</v>
      </c>
      <c r="AT86" s="25">
        <f t="shared" si="85"/>
        <v>2.99</v>
      </c>
      <c r="AU86" s="32">
        <f t="shared" si="90"/>
        <v>1</v>
      </c>
      <c r="AV86" s="32">
        <f t="shared" si="90"/>
        <v>1</v>
      </c>
      <c r="AW86" s="32">
        <f t="shared" si="90"/>
        <v>1</v>
      </c>
      <c r="AX86" s="32">
        <f t="shared" si="90"/>
        <v>1</v>
      </c>
      <c r="AY86" s="32">
        <f t="shared" si="90"/>
        <v>1</v>
      </c>
      <c r="AZ86" s="32">
        <f t="shared" si="90"/>
        <v>1</v>
      </c>
      <c r="BA86" s="32">
        <f t="shared" si="90"/>
        <v>1</v>
      </c>
      <c r="BB86" s="32">
        <f t="shared" si="90"/>
        <v>1</v>
      </c>
      <c r="BC86" s="32">
        <f t="shared" si="90"/>
        <v>1</v>
      </c>
      <c r="BD86" s="32">
        <f t="shared" si="90"/>
        <v>1</v>
      </c>
      <c r="BE86" s="32">
        <f t="shared" si="90"/>
        <v>1</v>
      </c>
      <c r="BF86" s="32">
        <f t="shared" si="90"/>
        <v>1</v>
      </c>
      <c r="BG86" s="32">
        <f t="shared" si="90"/>
        <v>1</v>
      </c>
      <c r="BH86" s="32">
        <f t="shared" si="90"/>
        <v>1</v>
      </c>
      <c r="BI86" s="32">
        <f t="shared" si="90"/>
        <v>1</v>
      </c>
      <c r="BJ86" s="32">
        <f t="shared" si="90"/>
        <v>1</v>
      </c>
      <c r="BK86" s="32">
        <f t="shared" si="87"/>
        <v>0</v>
      </c>
      <c r="BL86" s="32">
        <f t="shared" si="87"/>
        <v>0</v>
      </c>
      <c r="BM86" s="32">
        <f t="shared" si="87"/>
        <v>0</v>
      </c>
      <c r="BN86" s="32">
        <f t="shared" si="87"/>
        <v>0</v>
      </c>
      <c r="BO86" s="32">
        <f t="shared" si="87"/>
        <v>0</v>
      </c>
      <c r="BP86" s="15">
        <v>0</v>
      </c>
    </row>
    <row r="87" spans="1:68">
      <c r="A87" s="18"/>
      <c r="B87">
        <f t="shared" si="3"/>
        <v>82</v>
      </c>
      <c r="C87" t="b">
        <v>0</v>
      </c>
      <c r="D87" t="b">
        <v>0</v>
      </c>
      <c r="E87" t="b">
        <v>0</v>
      </c>
      <c r="F87" s="3" t="str">
        <f t="shared" si="84"/>
        <v>offFL_1_1</v>
      </c>
      <c r="G87" s="26" t="str">
        <f>IF(MATCH(F87,F$5:F87,0)=(COUNTA(F$5:F87)),"-","Dup")</f>
        <v>-</v>
      </c>
      <c r="H87" s="32" t="str">
        <f t="shared" si="91"/>
        <v>-</v>
      </c>
      <c r="I87" s="32" t="b">
        <f t="shared" si="91"/>
        <v>0</v>
      </c>
      <c r="J87" s="32" t="b">
        <f t="shared" si="91"/>
        <v>1</v>
      </c>
      <c r="K87" s="32" t="str">
        <f t="shared" si="91"/>
        <v>-</v>
      </c>
      <c r="L87" s="32" t="str">
        <f t="shared" si="91"/>
        <v>-</v>
      </c>
      <c r="M87" s="32" t="str">
        <f t="shared" si="91"/>
        <v>-</v>
      </c>
      <c r="N87" s="32" t="str">
        <f t="shared" si="91"/>
        <v>-</v>
      </c>
      <c r="O87" s="32" t="str">
        <f t="shared" si="91"/>
        <v>-</v>
      </c>
      <c r="P87" s="32" t="str">
        <f t="shared" si="91"/>
        <v>-</v>
      </c>
      <c r="Q87" s="32" t="str">
        <f t="shared" si="91"/>
        <v>-</v>
      </c>
      <c r="R87" s="32" t="str">
        <f t="shared" si="91"/>
        <v>-</v>
      </c>
      <c r="S87" s="32" t="str">
        <f t="shared" si="91"/>
        <v>-</v>
      </c>
      <c r="T87" s="32" t="str">
        <f t="shared" si="91"/>
        <v>-</v>
      </c>
      <c r="U87" s="32" t="str">
        <f t="shared" si="91"/>
        <v>-</v>
      </c>
      <c r="V87" s="32" t="str">
        <f t="shared" si="91"/>
        <v>-</v>
      </c>
      <c r="W87" s="32" t="str">
        <f t="shared" si="91"/>
        <v>-</v>
      </c>
      <c r="X87" s="32" t="str">
        <f t="shared" si="88"/>
        <v>-</v>
      </c>
      <c r="Y87" s="32" t="str">
        <f t="shared" si="88"/>
        <v>-</v>
      </c>
      <c r="Z87" s="32" t="str">
        <f t="shared" si="88"/>
        <v>-</v>
      </c>
      <c r="AA87" s="32" t="str">
        <f t="shared" si="88"/>
        <v>-</v>
      </c>
      <c r="AB87" s="32" t="str">
        <f t="shared" si="88"/>
        <v>-</v>
      </c>
      <c r="AC87" s="32" t="str">
        <f t="shared" si="88"/>
        <v>-</v>
      </c>
      <c r="AD87" s="32" t="str">
        <f t="shared" si="88"/>
        <v>-</v>
      </c>
      <c r="AE87" s="32" t="str">
        <f t="shared" si="88"/>
        <v>-</v>
      </c>
      <c r="AF87" s="32" t="str">
        <f t="shared" si="88"/>
        <v>-</v>
      </c>
      <c r="AG87" s="32" t="str">
        <f t="shared" si="88"/>
        <v>-</v>
      </c>
      <c r="AH87" s="31" t="b">
        <v>1</v>
      </c>
      <c r="AI87" s="31" t="b">
        <v>1</v>
      </c>
      <c r="AJ87" s="31" t="b">
        <v>1</v>
      </c>
      <c r="AK87" s="32" t="str">
        <f t="shared" si="66"/>
        <v>-</v>
      </c>
      <c r="AL87" s="32" t="str">
        <f t="shared" si="66"/>
        <v>-</v>
      </c>
      <c r="AM87" s="32" t="str">
        <f t="shared" si="66"/>
        <v>-</v>
      </c>
      <c r="AN87" s="32" t="str">
        <f t="shared" si="66"/>
        <v>-</v>
      </c>
      <c r="AO87" s="25">
        <f t="shared" si="72"/>
        <v>1</v>
      </c>
      <c r="AP87" s="25">
        <f t="shared" si="73"/>
        <v>2</v>
      </c>
      <c r="AQ87" s="25">
        <f t="shared" si="74"/>
        <v>0</v>
      </c>
      <c r="AR87" s="21">
        <f t="shared" ref="AR87:AS87" si="97">MIN(2.99,AR84+0.5)</f>
        <v>1</v>
      </c>
      <c r="AS87" s="21">
        <f t="shared" si="97"/>
        <v>2</v>
      </c>
      <c r="AT87" s="25">
        <f t="shared" si="85"/>
        <v>2.99</v>
      </c>
      <c r="AU87" s="32">
        <f t="shared" si="90"/>
        <v>1</v>
      </c>
      <c r="AV87" s="32">
        <f t="shared" si="90"/>
        <v>1</v>
      </c>
      <c r="AW87" s="32">
        <f t="shared" si="90"/>
        <v>1</v>
      </c>
      <c r="AX87" s="32">
        <f t="shared" si="90"/>
        <v>1</v>
      </c>
      <c r="AY87" s="32">
        <f t="shared" si="90"/>
        <v>1</v>
      </c>
      <c r="AZ87" s="32">
        <f t="shared" si="90"/>
        <v>1</v>
      </c>
      <c r="BA87" s="32">
        <f t="shared" si="90"/>
        <v>1</v>
      </c>
      <c r="BB87" s="32">
        <f t="shared" si="90"/>
        <v>1</v>
      </c>
      <c r="BC87" s="32">
        <f t="shared" si="90"/>
        <v>1</v>
      </c>
      <c r="BD87" s="32">
        <f t="shared" si="90"/>
        <v>1</v>
      </c>
      <c r="BE87" s="32">
        <f t="shared" si="90"/>
        <v>1</v>
      </c>
      <c r="BF87" s="32">
        <f t="shared" si="90"/>
        <v>1</v>
      </c>
      <c r="BG87" s="32">
        <f t="shared" si="90"/>
        <v>1</v>
      </c>
      <c r="BH87" s="32">
        <f t="shared" si="90"/>
        <v>1</v>
      </c>
      <c r="BI87" s="32">
        <f t="shared" si="90"/>
        <v>1</v>
      </c>
      <c r="BJ87" s="32">
        <f t="shared" si="90"/>
        <v>1</v>
      </c>
      <c r="BK87" s="32">
        <f t="shared" si="87"/>
        <v>0</v>
      </c>
      <c r="BL87" s="32">
        <f t="shared" si="87"/>
        <v>0</v>
      </c>
      <c r="BM87" s="32">
        <f t="shared" si="87"/>
        <v>0</v>
      </c>
      <c r="BN87" s="32">
        <f t="shared" si="87"/>
        <v>0</v>
      </c>
      <c r="BO87" s="32">
        <f t="shared" si="87"/>
        <v>0</v>
      </c>
      <c r="BP87" s="15">
        <v>0</v>
      </c>
    </row>
    <row r="88" spans="1:68">
      <c r="A88" s="18"/>
      <c r="B88">
        <f t="shared" si="3"/>
        <v>83</v>
      </c>
      <c r="C88" t="b">
        <v>0</v>
      </c>
      <c r="D88" t="b">
        <v>0</v>
      </c>
      <c r="E88" t="b">
        <v>0</v>
      </c>
      <c r="F88" s="3" t="str">
        <f t="shared" si="84"/>
        <v>offFL_1_1p99</v>
      </c>
      <c r="G88" s="26" t="str">
        <f>IF(MATCH(F88,F$5:F88,0)=(COUNTA(F$5:F88)),"-","Dup")</f>
        <v>-</v>
      </c>
      <c r="H88" s="32" t="str">
        <f t="shared" si="91"/>
        <v>-</v>
      </c>
      <c r="I88" s="32" t="b">
        <f t="shared" si="91"/>
        <v>0</v>
      </c>
      <c r="J88" s="32" t="b">
        <f t="shared" si="91"/>
        <v>1</v>
      </c>
      <c r="K88" s="32" t="str">
        <f t="shared" si="91"/>
        <v>-</v>
      </c>
      <c r="L88" s="32" t="str">
        <f t="shared" si="91"/>
        <v>-</v>
      </c>
      <c r="M88" s="32" t="str">
        <f t="shared" si="91"/>
        <v>-</v>
      </c>
      <c r="N88" s="32" t="str">
        <f t="shared" si="91"/>
        <v>-</v>
      </c>
      <c r="O88" s="32" t="str">
        <f t="shared" si="91"/>
        <v>-</v>
      </c>
      <c r="P88" s="32" t="str">
        <f t="shared" si="91"/>
        <v>-</v>
      </c>
      <c r="Q88" s="32" t="str">
        <f t="shared" si="91"/>
        <v>-</v>
      </c>
      <c r="R88" s="32" t="str">
        <f t="shared" si="91"/>
        <v>-</v>
      </c>
      <c r="S88" s="32" t="str">
        <f t="shared" si="91"/>
        <v>-</v>
      </c>
      <c r="T88" s="32" t="str">
        <f t="shared" si="91"/>
        <v>-</v>
      </c>
      <c r="U88" s="32" t="str">
        <f t="shared" si="91"/>
        <v>-</v>
      </c>
      <c r="V88" s="32" t="str">
        <f t="shared" si="91"/>
        <v>-</v>
      </c>
      <c r="W88" s="32" t="str">
        <f t="shared" si="91"/>
        <v>-</v>
      </c>
      <c r="X88" s="32" t="str">
        <f t="shared" si="88"/>
        <v>-</v>
      </c>
      <c r="Y88" s="32" t="str">
        <f t="shared" si="88"/>
        <v>-</v>
      </c>
      <c r="Z88" s="32" t="str">
        <f t="shared" si="88"/>
        <v>-</v>
      </c>
      <c r="AA88" s="32" t="str">
        <f t="shared" si="88"/>
        <v>-</v>
      </c>
      <c r="AB88" s="32" t="str">
        <f t="shared" si="88"/>
        <v>-</v>
      </c>
      <c r="AC88" s="32" t="str">
        <f t="shared" si="88"/>
        <v>-</v>
      </c>
      <c r="AD88" s="32" t="str">
        <f t="shared" si="88"/>
        <v>-</v>
      </c>
      <c r="AE88" s="32" t="str">
        <f t="shared" si="88"/>
        <v>-</v>
      </c>
      <c r="AF88" s="32" t="str">
        <f t="shared" si="88"/>
        <v>-</v>
      </c>
      <c r="AG88" s="32" t="str">
        <f t="shared" si="88"/>
        <v>-</v>
      </c>
      <c r="AH88" s="31" t="b">
        <v>1</v>
      </c>
      <c r="AI88" s="31" t="b">
        <v>1</v>
      </c>
      <c r="AJ88" s="31" t="b">
        <v>1</v>
      </c>
      <c r="AK88" s="32" t="str">
        <f t="shared" si="66"/>
        <v>-</v>
      </c>
      <c r="AL88" s="32" t="str">
        <f t="shared" si="66"/>
        <v>-</v>
      </c>
      <c r="AM88" s="32" t="str">
        <f t="shared" si="66"/>
        <v>-</v>
      </c>
      <c r="AN88" s="32" t="str">
        <f t="shared" si="66"/>
        <v>-</v>
      </c>
      <c r="AO88" s="25">
        <f t="shared" si="72"/>
        <v>1</v>
      </c>
      <c r="AP88" s="25">
        <f t="shared" si="73"/>
        <v>2</v>
      </c>
      <c r="AQ88" s="25">
        <f t="shared" si="74"/>
        <v>0</v>
      </c>
      <c r="AR88" s="21">
        <f t="shared" ref="AR88:AS88" si="98">MIN(2.99,AR85+0.5)</f>
        <v>1</v>
      </c>
      <c r="AS88" s="21">
        <f t="shared" si="98"/>
        <v>2.99</v>
      </c>
      <c r="AT88" s="25">
        <f t="shared" si="85"/>
        <v>2.99</v>
      </c>
      <c r="AU88" s="32">
        <f t="shared" si="90"/>
        <v>1</v>
      </c>
      <c r="AV88" s="32">
        <f t="shared" si="90"/>
        <v>1</v>
      </c>
      <c r="AW88" s="32">
        <f t="shared" si="90"/>
        <v>1</v>
      </c>
      <c r="AX88" s="32">
        <f t="shared" si="90"/>
        <v>1</v>
      </c>
      <c r="AY88" s="32">
        <f t="shared" si="90"/>
        <v>1</v>
      </c>
      <c r="AZ88" s="32">
        <f t="shared" si="90"/>
        <v>1</v>
      </c>
      <c r="BA88" s="32">
        <f t="shared" si="90"/>
        <v>1</v>
      </c>
      <c r="BB88" s="32">
        <f t="shared" si="90"/>
        <v>1</v>
      </c>
      <c r="BC88" s="32">
        <f t="shared" si="90"/>
        <v>1</v>
      </c>
      <c r="BD88" s="32">
        <f t="shared" si="90"/>
        <v>1</v>
      </c>
      <c r="BE88" s="32">
        <f t="shared" si="90"/>
        <v>1</v>
      </c>
      <c r="BF88" s="32">
        <f t="shared" si="90"/>
        <v>1</v>
      </c>
      <c r="BG88" s="32">
        <f t="shared" si="90"/>
        <v>1</v>
      </c>
      <c r="BH88" s="32">
        <f t="shared" si="90"/>
        <v>1</v>
      </c>
      <c r="BI88" s="32">
        <f t="shared" si="90"/>
        <v>1</v>
      </c>
      <c r="BJ88" s="32">
        <f t="shared" si="90"/>
        <v>1</v>
      </c>
      <c r="BK88" s="32">
        <f t="shared" si="87"/>
        <v>0</v>
      </c>
      <c r="BL88" s="32">
        <f t="shared" si="87"/>
        <v>0</v>
      </c>
      <c r="BM88" s="32">
        <f t="shared" si="87"/>
        <v>0</v>
      </c>
      <c r="BN88" s="32">
        <f t="shared" si="87"/>
        <v>0</v>
      </c>
      <c r="BO88" s="32">
        <f t="shared" si="87"/>
        <v>0</v>
      </c>
      <c r="BP88" s="15">
        <v>0</v>
      </c>
    </row>
    <row r="89" spans="1:68">
      <c r="A89" s="18"/>
      <c r="C89" t="b">
        <v>0</v>
      </c>
      <c r="D89" s="34"/>
      <c r="E89" s="34"/>
      <c r="F89" s="28" t="s">
        <v>115</v>
      </c>
      <c r="G89" s="26" t="str">
        <f>IF(MATCH(F89,F$5:F89,0)=(COUNTA(F$5:F89)),"-","Dup")</f>
        <v>-</v>
      </c>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35"/>
      <c r="AS89" s="35"/>
      <c r="AT89" s="35"/>
      <c r="AU89" s="35"/>
      <c r="AV89" s="35"/>
      <c r="AW89" s="35"/>
      <c r="AX89" s="35"/>
      <c r="AY89" s="35"/>
      <c r="AZ89" s="35"/>
      <c r="BA89" s="35"/>
      <c r="BB89" s="35"/>
      <c r="BC89" s="35"/>
      <c r="BD89" s="35"/>
      <c r="BE89" s="35"/>
      <c r="BF89" s="35"/>
      <c r="BG89" s="35"/>
      <c r="BH89" s="35"/>
      <c r="BI89" s="35"/>
      <c r="BJ89" s="35"/>
      <c r="BK89" s="35"/>
      <c r="BL89" s="35"/>
      <c r="BM89" s="35"/>
      <c r="BN89" s="35"/>
      <c r="BO89" s="35"/>
      <c r="BP89" s="15">
        <v>0</v>
      </c>
    </row>
    <row r="90" spans="1:68">
      <c r="A90" s="18"/>
      <c r="B90">
        <f t="shared" si="3"/>
        <v>85</v>
      </c>
      <c r="C90" t="b">
        <v>0</v>
      </c>
      <c r="D90" t="b">
        <v>0</v>
      </c>
      <c r="E90" t="b">
        <v>0</v>
      </c>
      <c r="F90" s="3" t="str">
        <f>SUBSTITUTE(SUBSTITUTE("offN2_"&amp;$AR90&amp;"_"&amp;($AS90-$AR90),"0.","p"),".","p")</f>
        <v>offN2_0_2</v>
      </c>
      <c r="G90" s="26" t="str">
        <f>IF(MATCH(F90,F$5:F90,0)=(COUNTA(F$5:F90)),"-","Dup")</f>
        <v>-</v>
      </c>
      <c r="H90" s="32" t="str">
        <f t="shared" ref="H90:W96" si="99">H$6</f>
        <v>-</v>
      </c>
      <c r="I90" s="32" t="b">
        <f t="shared" si="99"/>
        <v>0</v>
      </c>
      <c r="J90" s="32" t="b">
        <f t="shared" si="99"/>
        <v>1</v>
      </c>
      <c r="K90" s="32" t="str">
        <f t="shared" si="99"/>
        <v>-</v>
      </c>
      <c r="L90" s="32" t="str">
        <f t="shared" si="99"/>
        <v>-</v>
      </c>
      <c r="M90" s="32" t="str">
        <f t="shared" si="99"/>
        <v>-</v>
      </c>
      <c r="N90" s="32" t="str">
        <f t="shared" si="99"/>
        <v>-</v>
      </c>
      <c r="O90" s="32" t="str">
        <f t="shared" si="99"/>
        <v>-</v>
      </c>
      <c r="P90" s="32" t="str">
        <f t="shared" si="99"/>
        <v>-</v>
      </c>
      <c r="Q90" s="32" t="str">
        <f t="shared" si="99"/>
        <v>-</v>
      </c>
      <c r="R90" s="32" t="str">
        <f t="shared" si="99"/>
        <v>-</v>
      </c>
      <c r="S90" s="32" t="str">
        <f t="shared" si="99"/>
        <v>-</v>
      </c>
      <c r="T90" s="32" t="str">
        <f t="shared" si="99"/>
        <v>-</v>
      </c>
      <c r="U90" s="32" t="str">
        <f t="shared" si="99"/>
        <v>-</v>
      </c>
      <c r="V90" s="32" t="str">
        <f t="shared" si="99"/>
        <v>-</v>
      </c>
      <c r="W90" s="32" t="str">
        <f t="shared" si="99"/>
        <v>-</v>
      </c>
      <c r="X90" s="32" t="str">
        <f t="shared" ref="X90:AG96" si="100">X$6</f>
        <v>-</v>
      </c>
      <c r="Y90" s="32" t="str">
        <f t="shared" si="100"/>
        <v>-</v>
      </c>
      <c r="Z90" s="32" t="str">
        <f t="shared" si="100"/>
        <v>-</v>
      </c>
      <c r="AA90" s="32" t="str">
        <f t="shared" si="100"/>
        <v>-</v>
      </c>
      <c r="AB90" s="32" t="str">
        <f t="shared" si="100"/>
        <v>-</v>
      </c>
      <c r="AC90" s="32" t="str">
        <f t="shared" si="100"/>
        <v>-</v>
      </c>
      <c r="AD90" s="32" t="str">
        <f t="shared" si="100"/>
        <v>-</v>
      </c>
      <c r="AE90" s="32" t="str">
        <f t="shared" si="100"/>
        <v>-</v>
      </c>
      <c r="AF90" s="32" t="str">
        <f t="shared" si="100"/>
        <v>-</v>
      </c>
      <c r="AG90" s="32" t="str">
        <f t="shared" si="100"/>
        <v>-</v>
      </c>
      <c r="AH90" s="31" t="b">
        <v>1</v>
      </c>
      <c r="AI90" s="31" t="b">
        <v>1</v>
      </c>
      <c r="AJ90" s="31" t="b">
        <v>1</v>
      </c>
      <c r="AK90" s="32" t="str">
        <f t="shared" ref="AK90:AN96" si="101">AK$6</f>
        <v>-</v>
      </c>
      <c r="AL90" s="32" t="str">
        <f t="shared" si="101"/>
        <v>-</v>
      </c>
      <c r="AM90" s="32" t="str">
        <f t="shared" si="101"/>
        <v>-</v>
      </c>
      <c r="AN90" s="32" t="str">
        <f t="shared" si="101"/>
        <v>-</v>
      </c>
      <c r="AO90" s="33">
        <f>AO88</f>
        <v>1</v>
      </c>
      <c r="AP90" s="33">
        <f t="shared" ref="AP90:AQ90" si="102">AP88</f>
        <v>2</v>
      </c>
      <c r="AQ90" s="33">
        <f t="shared" si="102"/>
        <v>0</v>
      </c>
      <c r="AR90" s="31">
        <v>0</v>
      </c>
      <c r="AS90" s="31">
        <v>2</v>
      </c>
      <c r="AT90" s="32" t="str">
        <f t="shared" ref="AT90:BI96" si="103">AT$6</f>
        <v>-</v>
      </c>
      <c r="AU90" s="32">
        <f t="shared" si="103"/>
        <v>1</v>
      </c>
      <c r="AV90" s="32">
        <f t="shared" si="103"/>
        <v>1</v>
      </c>
      <c r="AW90" s="32">
        <f t="shared" si="103"/>
        <v>1</v>
      </c>
      <c r="AX90" s="32">
        <f t="shared" si="103"/>
        <v>1</v>
      </c>
      <c r="AY90" s="32">
        <f t="shared" si="103"/>
        <v>1</v>
      </c>
      <c r="AZ90" s="32">
        <f t="shared" si="103"/>
        <v>1</v>
      </c>
      <c r="BA90" s="32">
        <f t="shared" si="103"/>
        <v>1</v>
      </c>
      <c r="BB90" s="32">
        <f t="shared" si="103"/>
        <v>1</v>
      </c>
      <c r="BC90" s="32">
        <f t="shared" si="103"/>
        <v>1</v>
      </c>
      <c r="BD90" s="32">
        <f t="shared" si="103"/>
        <v>1</v>
      </c>
      <c r="BE90" s="32">
        <f t="shared" si="103"/>
        <v>1</v>
      </c>
      <c r="BF90" s="32">
        <f t="shared" si="103"/>
        <v>1</v>
      </c>
      <c r="BG90" s="32">
        <f t="shared" si="103"/>
        <v>1</v>
      </c>
      <c r="BH90" s="32">
        <f t="shared" si="103"/>
        <v>1</v>
      </c>
      <c r="BI90" s="32">
        <f t="shared" si="103"/>
        <v>1</v>
      </c>
      <c r="BJ90" s="32">
        <f t="shared" ref="BJ90:BO96" si="104">BJ$6</f>
        <v>1</v>
      </c>
      <c r="BK90" s="32">
        <f t="shared" si="104"/>
        <v>0</v>
      </c>
      <c r="BL90" s="32">
        <f t="shared" si="104"/>
        <v>0</v>
      </c>
      <c r="BM90" s="32">
        <f t="shared" si="104"/>
        <v>0</v>
      </c>
      <c r="BN90" s="32">
        <f t="shared" si="104"/>
        <v>0</v>
      </c>
      <c r="BO90" s="32">
        <f t="shared" si="104"/>
        <v>0</v>
      </c>
      <c r="BP90" s="15">
        <v>0</v>
      </c>
    </row>
    <row r="91" spans="1:68">
      <c r="A91" s="18"/>
      <c r="B91">
        <f t="shared" si="3"/>
        <v>86</v>
      </c>
      <c r="C91" t="b">
        <v>0</v>
      </c>
      <c r="D91" t="b">
        <v>0</v>
      </c>
      <c r="E91" t="b">
        <v>0</v>
      </c>
      <c r="F91" s="3" t="str">
        <f>SUBSTITUTE(SUBSTITUTE("offN2_"&amp;$AR91&amp;"_"&amp;($AS91-$AR91),"0.","p"),".","p")</f>
        <v>offN2_0_2p99</v>
      </c>
      <c r="G91" s="26" t="str">
        <f>IF(MATCH(F91,F$5:F91,0)=(COUNTA(F$5:F91)),"-","Dup")</f>
        <v>-</v>
      </c>
      <c r="H91" s="32" t="str">
        <f t="shared" si="99"/>
        <v>-</v>
      </c>
      <c r="I91" s="32" t="b">
        <f t="shared" si="99"/>
        <v>0</v>
      </c>
      <c r="J91" s="32" t="b">
        <f t="shared" si="99"/>
        <v>1</v>
      </c>
      <c r="K91" s="32" t="str">
        <f t="shared" si="99"/>
        <v>-</v>
      </c>
      <c r="L91" s="32" t="str">
        <f t="shared" si="99"/>
        <v>-</v>
      </c>
      <c r="M91" s="32" t="str">
        <f t="shared" si="99"/>
        <v>-</v>
      </c>
      <c r="N91" s="32" t="str">
        <f t="shared" si="99"/>
        <v>-</v>
      </c>
      <c r="O91" s="32" t="str">
        <f t="shared" si="99"/>
        <v>-</v>
      </c>
      <c r="P91" s="32" t="str">
        <f t="shared" si="99"/>
        <v>-</v>
      </c>
      <c r="Q91" s="32" t="str">
        <f t="shared" si="99"/>
        <v>-</v>
      </c>
      <c r="R91" s="32" t="str">
        <f t="shared" si="99"/>
        <v>-</v>
      </c>
      <c r="S91" s="32" t="str">
        <f t="shared" si="99"/>
        <v>-</v>
      </c>
      <c r="T91" s="32" t="str">
        <f t="shared" si="99"/>
        <v>-</v>
      </c>
      <c r="U91" s="32" t="str">
        <f t="shared" si="99"/>
        <v>-</v>
      </c>
      <c r="V91" s="32" t="str">
        <f t="shared" si="99"/>
        <v>-</v>
      </c>
      <c r="W91" s="32" t="str">
        <f t="shared" si="99"/>
        <v>-</v>
      </c>
      <c r="X91" s="32" t="str">
        <f t="shared" si="100"/>
        <v>-</v>
      </c>
      <c r="Y91" s="32" t="str">
        <f t="shared" si="100"/>
        <v>-</v>
      </c>
      <c r="Z91" s="32" t="str">
        <f t="shared" si="100"/>
        <v>-</v>
      </c>
      <c r="AA91" s="32" t="str">
        <f t="shared" si="100"/>
        <v>-</v>
      </c>
      <c r="AB91" s="32" t="str">
        <f t="shared" si="100"/>
        <v>-</v>
      </c>
      <c r="AC91" s="32" t="str">
        <f t="shared" si="100"/>
        <v>-</v>
      </c>
      <c r="AD91" s="32" t="str">
        <f t="shared" si="100"/>
        <v>-</v>
      </c>
      <c r="AE91" s="32" t="str">
        <f t="shared" si="100"/>
        <v>-</v>
      </c>
      <c r="AF91" s="32" t="str">
        <f t="shared" si="100"/>
        <v>-</v>
      </c>
      <c r="AG91" s="32" t="str">
        <f t="shared" si="100"/>
        <v>-</v>
      </c>
      <c r="AH91" s="31" t="b">
        <v>1</v>
      </c>
      <c r="AI91" s="31" t="b">
        <v>1</v>
      </c>
      <c r="AJ91" s="31" t="b">
        <v>1</v>
      </c>
      <c r="AK91" s="32" t="str">
        <f t="shared" si="101"/>
        <v>-</v>
      </c>
      <c r="AL91" s="32" t="str">
        <f t="shared" si="101"/>
        <v>-</v>
      </c>
      <c r="AM91" s="32" t="str">
        <f t="shared" si="101"/>
        <v>-</v>
      </c>
      <c r="AN91" s="32" t="str">
        <f t="shared" si="101"/>
        <v>-</v>
      </c>
      <c r="AO91" s="25">
        <f t="shared" si="72"/>
        <v>1</v>
      </c>
      <c r="AP91" s="25">
        <f t="shared" si="73"/>
        <v>2</v>
      </c>
      <c r="AQ91" s="25">
        <f t="shared" si="74"/>
        <v>0</v>
      </c>
      <c r="AR91" s="25">
        <f t="shared" si="74"/>
        <v>0</v>
      </c>
      <c r="AS91" s="31">
        <v>2.99</v>
      </c>
      <c r="AT91" s="32" t="str">
        <f t="shared" si="103"/>
        <v>-</v>
      </c>
      <c r="AU91" s="32">
        <f t="shared" si="103"/>
        <v>1</v>
      </c>
      <c r="AV91" s="32">
        <f t="shared" si="103"/>
        <v>1</v>
      </c>
      <c r="AW91" s="32">
        <f t="shared" si="103"/>
        <v>1</v>
      </c>
      <c r="AX91" s="32">
        <f t="shared" si="103"/>
        <v>1</v>
      </c>
      <c r="AY91" s="32">
        <f t="shared" si="103"/>
        <v>1</v>
      </c>
      <c r="AZ91" s="32">
        <f t="shared" si="103"/>
        <v>1</v>
      </c>
      <c r="BA91" s="32">
        <f t="shared" si="103"/>
        <v>1</v>
      </c>
      <c r="BB91" s="32">
        <f t="shared" si="103"/>
        <v>1</v>
      </c>
      <c r="BC91" s="32">
        <f t="shared" si="103"/>
        <v>1</v>
      </c>
      <c r="BD91" s="32">
        <f t="shared" si="103"/>
        <v>1</v>
      </c>
      <c r="BE91" s="32">
        <f t="shared" si="103"/>
        <v>1</v>
      </c>
      <c r="BF91" s="32">
        <f t="shared" si="103"/>
        <v>1</v>
      </c>
      <c r="BG91" s="32">
        <f t="shared" si="103"/>
        <v>1</v>
      </c>
      <c r="BH91" s="32">
        <f t="shared" si="103"/>
        <v>1</v>
      </c>
      <c r="BI91" s="32">
        <f t="shared" si="103"/>
        <v>1</v>
      </c>
      <c r="BJ91" s="32">
        <f t="shared" si="104"/>
        <v>1</v>
      </c>
      <c r="BK91" s="32">
        <f t="shared" si="104"/>
        <v>0</v>
      </c>
      <c r="BL91" s="32">
        <f t="shared" si="104"/>
        <v>0</v>
      </c>
      <c r="BM91" s="32">
        <f t="shared" si="104"/>
        <v>0</v>
      </c>
      <c r="BN91" s="32">
        <f t="shared" si="104"/>
        <v>0</v>
      </c>
      <c r="BO91" s="32">
        <f t="shared" si="104"/>
        <v>0</v>
      </c>
      <c r="BP91" s="15">
        <v>0</v>
      </c>
    </row>
    <row r="92" spans="1:68">
      <c r="A92" s="18"/>
      <c r="B92">
        <f t="shared" si="3"/>
        <v>87</v>
      </c>
      <c r="C92" t="b">
        <v>0</v>
      </c>
      <c r="D92" t="b">
        <v>0</v>
      </c>
      <c r="E92" t="b">
        <v>0</v>
      </c>
      <c r="F92" s="3" t="str">
        <f>SUBSTITUTE(SUBSTITUTE("offN2_"&amp;$AR92&amp;"_"&amp;($AS92-$AR92),"0.","p"),".","p")</f>
        <v>offN2_1_1</v>
      </c>
      <c r="G92" s="26" t="str">
        <f>IF(MATCH(F92,F$5:F92,0)=(COUNTA(F$5:F92)),"-","Dup")</f>
        <v>-</v>
      </c>
      <c r="H92" s="32" t="str">
        <f t="shared" si="99"/>
        <v>-</v>
      </c>
      <c r="I92" s="32" t="b">
        <f t="shared" si="99"/>
        <v>0</v>
      </c>
      <c r="J92" s="32" t="b">
        <f t="shared" si="99"/>
        <v>1</v>
      </c>
      <c r="K92" s="32" t="str">
        <f t="shared" si="99"/>
        <v>-</v>
      </c>
      <c r="L92" s="32" t="str">
        <f t="shared" si="99"/>
        <v>-</v>
      </c>
      <c r="M92" s="32" t="str">
        <f t="shared" si="99"/>
        <v>-</v>
      </c>
      <c r="N92" s="32" t="str">
        <f t="shared" si="99"/>
        <v>-</v>
      </c>
      <c r="O92" s="32" t="str">
        <f t="shared" si="99"/>
        <v>-</v>
      </c>
      <c r="P92" s="32" t="str">
        <f t="shared" si="99"/>
        <v>-</v>
      </c>
      <c r="Q92" s="32" t="str">
        <f t="shared" si="99"/>
        <v>-</v>
      </c>
      <c r="R92" s="32" t="str">
        <f t="shared" si="99"/>
        <v>-</v>
      </c>
      <c r="S92" s="32" t="str">
        <f t="shared" si="99"/>
        <v>-</v>
      </c>
      <c r="T92" s="32" t="str">
        <f t="shared" si="99"/>
        <v>-</v>
      </c>
      <c r="U92" s="32" t="str">
        <f t="shared" si="99"/>
        <v>-</v>
      </c>
      <c r="V92" s="32" t="str">
        <f t="shared" si="99"/>
        <v>-</v>
      </c>
      <c r="W92" s="32" t="str">
        <f t="shared" si="99"/>
        <v>-</v>
      </c>
      <c r="X92" s="32" t="str">
        <f t="shared" si="100"/>
        <v>-</v>
      </c>
      <c r="Y92" s="32" t="str">
        <f t="shared" si="100"/>
        <v>-</v>
      </c>
      <c r="Z92" s="32" t="str">
        <f t="shared" si="100"/>
        <v>-</v>
      </c>
      <c r="AA92" s="32" t="str">
        <f t="shared" si="100"/>
        <v>-</v>
      </c>
      <c r="AB92" s="32" t="str">
        <f t="shared" si="100"/>
        <v>-</v>
      </c>
      <c r="AC92" s="32" t="str">
        <f t="shared" si="100"/>
        <v>-</v>
      </c>
      <c r="AD92" s="32" t="str">
        <f t="shared" si="100"/>
        <v>-</v>
      </c>
      <c r="AE92" s="32" t="str">
        <f t="shared" si="100"/>
        <v>-</v>
      </c>
      <c r="AF92" s="32" t="str">
        <f t="shared" si="100"/>
        <v>-</v>
      </c>
      <c r="AG92" s="32" t="str">
        <f t="shared" si="100"/>
        <v>-</v>
      </c>
      <c r="AH92" s="31" t="b">
        <v>1</v>
      </c>
      <c r="AI92" s="31" t="b">
        <v>1</v>
      </c>
      <c r="AJ92" s="31" t="b">
        <v>1</v>
      </c>
      <c r="AK92" s="32" t="str">
        <f t="shared" si="101"/>
        <v>-</v>
      </c>
      <c r="AL92" s="32" t="str">
        <f t="shared" si="101"/>
        <v>-</v>
      </c>
      <c r="AM92" s="32" t="str">
        <f t="shared" si="101"/>
        <v>-</v>
      </c>
      <c r="AN92" s="32" t="str">
        <f t="shared" si="101"/>
        <v>-</v>
      </c>
      <c r="AO92" s="25">
        <f t="shared" si="72"/>
        <v>1</v>
      </c>
      <c r="AP92" s="25">
        <f t="shared" si="73"/>
        <v>2</v>
      </c>
      <c r="AQ92" s="25">
        <f t="shared" si="74"/>
        <v>0</v>
      </c>
      <c r="AR92" s="31">
        <v>1</v>
      </c>
      <c r="AS92" s="33">
        <f t="shared" ref="AS92:AS94" si="105">AS90</f>
        <v>2</v>
      </c>
      <c r="AT92" s="32" t="str">
        <f t="shared" si="103"/>
        <v>-</v>
      </c>
      <c r="AU92" s="32">
        <f t="shared" si="103"/>
        <v>1</v>
      </c>
      <c r="AV92" s="32">
        <f t="shared" si="103"/>
        <v>1</v>
      </c>
      <c r="AW92" s="32">
        <f t="shared" si="103"/>
        <v>1</v>
      </c>
      <c r="AX92" s="32">
        <f t="shared" si="103"/>
        <v>1</v>
      </c>
      <c r="AY92" s="32">
        <f t="shared" si="103"/>
        <v>1</v>
      </c>
      <c r="AZ92" s="32">
        <f t="shared" si="103"/>
        <v>1</v>
      </c>
      <c r="BA92" s="32">
        <f t="shared" si="103"/>
        <v>1</v>
      </c>
      <c r="BB92" s="32">
        <f t="shared" si="103"/>
        <v>1</v>
      </c>
      <c r="BC92" s="32">
        <f t="shared" si="103"/>
        <v>1</v>
      </c>
      <c r="BD92" s="32">
        <f t="shared" si="103"/>
        <v>1</v>
      </c>
      <c r="BE92" s="32">
        <f t="shared" si="103"/>
        <v>1</v>
      </c>
      <c r="BF92" s="32">
        <f t="shared" si="103"/>
        <v>1</v>
      </c>
      <c r="BG92" s="32">
        <f t="shared" si="103"/>
        <v>1</v>
      </c>
      <c r="BH92" s="32">
        <f t="shared" si="103"/>
        <v>1</v>
      </c>
      <c r="BI92" s="32">
        <f t="shared" si="103"/>
        <v>1</v>
      </c>
      <c r="BJ92" s="32">
        <f t="shared" si="104"/>
        <v>1</v>
      </c>
      <c r="BK92" s="32">
        <f t="shared" si="104"/>
        <v>0</v>
      </c>
      <c r="BL92" s="32">
        <f t="shared" si="104"/>
        <v>0</v>
      </c>
      <c r="BM92" s="32">
        <f t="shared" si="104"/>
        <v>0</v>
      </c>
      <c r="BN92" s="32">
        <f t="shared" si="104"/>
        <v>0</v>
      </c>
      <c r="BO92" s="32">
        <f t="shared" si="104"/>
        <v>0</v>
      </c>
      <c r="BP92" s="15">
        <v>0</v>
      </c>
    </row>
    <row r="93" spans="1:68">
      <c r="A93" s="18"/>
      <c r="B93">
        <f t="shared" si="3"/>
        <v>88</v>
      </c>
      <c r="C93" t="b">
        <v>0</v>
      </c>
      <c r="D93" t="b">
        <v>0</v>
      </c>
      <c r="E93" t="b">
        <v>0</v>
      </c>
      <c r="F93" s="3" t="str">
        <f>SUBSTITUTE(SUBSTITUTE("offN2_"&amp;$AR93&amp;"_"&amp;($AS93-$AR93),"0.","p"),".","p")</f>
        <v>offN2_1_1p99</v>
      </c>
      <c r="G93" s="26" t="str">
        <f>IF(MATCH(F93,F$5:F93,0)=(COUNTA(F$5:F93)),"-","Dup")</f>
        <v>-</v>
      </c>
      <c r="H93" s="32" t="str">
        <f t="shared" si="99"/>
        <v>-</v>
      </c>
      <c r="I93" s="32" t="b">
        <f t="shared" si="99"/>
        <v>0</v>
      </c>
      <c r="J93" s="32" t="b">
        <f t="shared" si="99"/>
        <v>1</v>
      </c>
      <c r="K93" s="32" t="str">
        <f t="shared" si="99"/>
        <v>-</v>
      </c>
      <c r="L93" s="32" t="str">
        <f t="shared" si="99"/>
        <v>-</v>
      </c>
      <c r="M93" s="32" t="str">
        <f t="shared" si="99"/>
        <v>-</v>
      </c>
      <c r="N93" s="32" t="str">
        <f t="shared" si="99"/>
        <v>-</v>
      </c>
      <c r="O93" s="32" t="str">
        <f t="shared" si="99"/>
        <v>-</v>
      </c>
      <c r="P93" s="32" t="str">
        <f t="shared" si="99"/>
        <v>-</v>
      </c>
      <c r="Q93" s="32" t="str">
        <f t="shared" si="99"/>
        <v>-</v>
      </c>
      <c r="R93" s="32" t="str">
        <f t="shared" si="99"/>
        <v>-</v>
      </c>
      <c r="S93" s="32" t="str">
        <f t="shared" si="99"/>
        <v>-</v>
      </c>
      <c r="T93" s="32" t="str">
        <f t="shared" si="99"/>
        <v>-</v>
      </c>
      <c r="U93" s="32" t="str">
        <f t="shared" si="99"/>
        <v>-</v>
      </c>
      <c r="V93" s="32" t="str">
        <f t="shared" si="99"/>
        <v>-</v>
      </c>
      <c r="W93" s="32" t="str">
        <f t="shared" si="99"/>
        <v>-</v>
      </c>
      <c r="X93" s="32" t="str">
        <f t="shared" si="100"/>
        <v>-</v>
      </c>
      <c r="Y93" s="32" t="str">
        <f t="shared" si="100"/>
        <v>-</v>
      </c>
      <c r="Z93" s="32" t="str">
        <f t="shared" si="100"/>
        <v>-</v>
      </c>
      <c r="AA93" s="32" t="str">
        <f t="shared" si="100"/>
        <v>-</v>
      </c>
      <c r="AB93" s="32" t="str">
        <f t="shared" si="100"/>
        <v>-</v>
      </c>
      <c r="AC93" s="32" t="str">
        <f t="shared" si="100"/>
        <v>-</v>
      </c>
      <c r="AD93" s="32" t="str">
        <f t="shared" si="100"/>
        <v>-</v>
      </c>
      <c r="AE93" s="32" t="str">
        <f t="shared" si="100"/>
        <v>-</v>
      </c>
      <c r="AF93" s="32" t="str">
        <f t="shared" si="100"/>
        <v>-</v>
      </c>
      <c r="AG93" s="32" t="str">
        <f t="shared" si="100"/>
        <v>-</v>
      </c>
      <c r="AH93" s="31" t="b">
        <v>1</v>
      </c>
      <c r="AI93" s="31" t="b">
        <v>1</v>
      </c>
      <c r="AJ93" s="31" t="b">
        <v>1</v>
      </c>
      <c r="AK93" s="32" t="str">
        <f t="shared" si="101"/>
        <v>-</v>
      </c>
      <c r="AL93" s="32" t="str">
        <f t="shared" si="101"/>
        <v>-</v>
      </c>
      <c r="AM93" s="32" t="str">
        <f t="shared" si="101"/>
        <v>-</v>
      </c>
      <c r="AN93" s="32" t="str">
        <f t="shared" si="101"/>
        <v>-</v>
      </c>
      <c r="AO93" s="25">
        <f t="shared" si="72"/>
        <v>1</v>
      </c>
      <c r="AP93" s="25">
        <f t="shared" si="73"/>
        <v>2</v>
      </c>
      <c r="AQ93" s="25">
        <f t="shared" si="74"/>
        <v>0</v>
      </c>
      <c r="AR93" s="25">
        <f t="shared" si="74"/>
        <v>1</v>
      </c>
      <c r="AS93" s="33">
        <f t="shared" ref="AS93:AS95" si="106">AS91</f>
        <v>2.99</v>
      </c>
      <c r="AT93" s="32" t="str">
        <f t="shared" si="103"/>
        <v>-</v>
      </c>
      <c r="AU93" s="32">
        <f t="shared" si="103"/>
        <v>1</v>
      </c>
      <c r="AV93" s="32">
        <f t="shared" si="103"/>
        <v>1</v>
      </c>
      <c r="AW93" s="32">
        <f t="shared" si="103"/>
        <v>1</v>
      </c>
      <c r="AX93" s="32">
        <f t="shared" si="103"/>
        <v>1</v>
      </c>
      <c r="AY93" s="32">
        <f t="shared" si="103"/>
        <v>1</v>
      </c>
      <c r="AZ93" s="32">
        <f t="shared" si="103"/>
        <v>1</v>
      </c>
      <c r="BA93" s="32">
        <f t="shared" si="103"/>
        <v>1</v>
      </c>
      <c r="BB93" s="32">
        <f t="shared" si="103"/>
        <v>1</v>
      </c>
      <c r="BC93" s="32">
        <f t="shared" si="103"/>
        <v>1</v>
      </c>
      <c r="BD93" s="32">
        <f t="shared" si="103"/>
        <v>1</v>
      </c>
      <c r="BE93" s="32">
        <f t="shared" si="103"/>
        <v>1</v>
      </c>
      <c r="BF93" s="32">
        <f t="shared" si="103"/>
        <v>1</v>
      </c>
      <c r="BG93" s="32">
        <f t="shared" si="103"/>
        <v>1</v>
      </c>
      <c r="BH93" s="32">
        <f t="shared" si="103"/>
        <v>1</v>
      </c>
      <c r="BI93" s="32">
        <f t="shared" si="103"/>
        <v>1</v>
      </c>
      <c r="BJ93" s="32">
        <f t="shared" si="104"/>
        <v>1</v>
      </c>
      <c r="BK93" s="32">
        <f t="shared" si="104"/>
        <v>0</v>
      </c>
      <c r="BL93" s="32">
        <f t="shared" si="104"/>
        <v>0</v>
      </c>
      <c r="BM93" s="32">
        <f t="shared" si="104"/>
        <v>0</v>
      </c>
      <c r="BN93" s="32">
        <f t="shared" si="104"/>
        <v>0</v>
      </c>
      <c r="BO93" s="32">
        <f t="shared" si="104"/>
        <v>0</v>
      </c>
      <c r="BP93" s="15">
        <v>0</v>
      </c>
    </row>
    <row r="94" spans="1:68">
      <c r="A94" s="18"/>
      <c r="B94">
        <f t="shared" si="3"/>
        <v>89</v>
      </c>
      <c r="C94" t="b">
        <v>0</v>
      </c>
      <c r="D94" t="b">
        <v>0</v>
      </c>
      <c r="E94" t="b">
        <v>0</v>
      </c>
      <c r="F94" s="3" t="str">
        <f>SUBSTITUTE(SUBSTITUTE("offN2_"&amp;$AR94&amp;"_"&amp;($AS94-$AR94),"0.","p"),".","p")</f>
        <v>offN2_p5_1p5</v>
      </c>
      <c r="G94" s="26" t="str">
        <f>IF(MATCH(F94,F$5:F94,0)=(COUNTA(F$5:F94)),"-","Dup")</f>
        <v>-</v>
      </c>
      <c r="H94" s="32" t="str">
        <f t="shared" si="99"/>
        <v>-</v>
      </c>
      <c r="I94" s="32" t="b">
        <f t="shared" si="99"/>
        <v>0</v>
      </c>
      <c r="J94" s="32" t="b">
        <f t="shared" si="99"/>
        <v>1</v>
      </c>
      <c r="K94" s="32" t="str">
        <f t="shared" si="99"/>
        <v>-</v>
      </c>
      <c r="L94" s="32" t="str">
        <f t="shared" si="99"/>
        <v>-</v>
      </c>
      <c r="M94" s="32" t="str">
        <f t="shared" si="99"/>
        <v>-</v>
      </c>
      <c r="N94" s="32" t="str">
        <f t="shared" si="99"/>
        <v>-</v>
      </c>
      <c r="O94" s="32" t="str">
        <f t="shared" si="99"/>
        <v>-</v>
      </c>
      <c r="P94" s="32" t="str">
        <f t="shared" si="99"/>
        <v>-</v>
      </c>
      <c r="Q94" s="32" t="str">
        <f t="shared" si="99"/>
        <v>-</v>
      </c>
      <c r="R94" s="32" t="str">
        <f t="shared" si="99"/>
        <v>-</v>
      </c>
      <c r="S94" s="32" t="str">
        <f t="shared" si="99"/>
        <v>-</v>
      </c>
      <c r="T94" s="32" t="str">
        <f t="shared" si="99"/>
        <v>-</v>
      </c>
      <c r="U94" s="32" t="str">
        <f t="shared" si="99"/>
        <v>-</v>
      </c>
      <c r="V94" s="32" t="str">
        <f t="shared" si="99"/>
        <v>-</v>
      </c>
      <c r="W94" s="32" t="str">
        <f t="shared" si="99"/>
        <v>-</v>
      </c>
      <c r="X94" s="32" t="str">
        <f t="shared" si="100"/>
        <v>-</v>
      </c>
      <c r="Y94" s="32" t="str">
        <f t="shared" si="100"/>
        <v>-</v>
      </c>
      <c r="Z94" s="32" t="str">
        <f t="shared" si="100"/>
        <v>-</v>
      </c>
      <c r="AA94" s="32" t="str">
        <f t="shared" si="100"/>
        <v>-</v>
      </c>
      <c r="AB94" s="32" t="str">
        <f t="shared" si="100"/>
        <v>-</v>
      </c>
      <c r="AC94" s="32" t="str">
        <f t="shared" si="100"/>
        <v>-</v>
      </c>
      <c r="AD94" s="32" t="str">
        <f t="shared" si="100"/>
        <v>-</v>
      </c>
      <c r="AE94" s="32" t="str">
        <f t="shared" si="100"/>
        <v>-</v>
      </c>
      <c r="AF94" s="32" t="str">
        <f t="shared" si="100"/>
        <v>-</v>
      </c>
      <c r="AG94" s="32" t="str">
        <f t="shared" si="100"/>
        <v>-</v>
      </c>
      <c r="AH94" s="31" t="b">
        <v>1</v>
      </c>
      <c r="AI94" s="31" t="b">
        <v>1</v>
      </c>
      <c r="AJ94" s="31" t="b">
        <v>1</v>
      </c>
      <c r="AK94" s="32" t="str">
        <f t="shared" si="101"/>
        <v>-</v>
      </c>
      <c r="AL94" s="32" t="str">
        <f t="shared" si="101"/>
        <v>-</v>
      </c>
      <c r="AM94" s="32" t="str">
        <f t="shared" si="101"/>
        <v>-</v>
      </c>
      <c r="AN94" s="32" t="str">
        <f t="shared" si="101"/>
        <v>-</v>
      </c>
      <c r="AO94" s="25">
        <f t="shared" si="72"/>
        <v>1</v>
      </c>
      <c r="AP94" s="25">
        <f t="shared" si="73"/>
        <v>2</v>
      </c>
      <c r="AQ94" s="25">
        <f t="shared" si="74"/>
        <v>0</v>
      </c>
      <c r="AR94" s="31">
        <v>0.5</v>
      </c>
      <c r="AS94" s="33">
        <f t="shared" si="105"/>
        <v>2</v>
      </c>
      <c r="AT94" s="32" t="str">
        <f t="shared" si="103"/>
        <v>-</v>
      </c>
      <c r="AU94" s="32">
        <f t="shared" si="103"/>
        <v>1</v>
      </c>
      <c r="AV94" s="32">
        <f t="shared" si="103"/>
        <v>1</v>
      </c>
      <c r="AW94" s="32">
        <f t="shared" si="103"/>
        <v>1</v>
      </c>
      <c r="AX94" s="32">
        <f t="shared" si="103"/>
        <v>1</v>
      </c>
      <c r="AY94" s="32">
        <f t="shared" si="103"/>
        <v>1</v>
      </c>
      <c r="AZ94" s="32">
        <f t="shared" si="103"/>
        <v>1</v>
      </c>
      <c r="BA94" s="32">
        <f t="shared" si="103"/>
        <v>1</v>
      </c>
      <c r="BB94" s="32">
        <f t="shared" si="103"/>
        <v>1</v>
      </c>
      <c r="BC94" s="32">
        <f t="shared" si="103"/>
        <v>1</v>
      </c>
      <c r="BD94" s="32">
        <f t="shared" si="103"/>
        <v>1</v>
      </c>
      <c r="BE94" s="32">
        <f t="shared" si="103"/>
        <v>1</v>
      </c>
      <c r="BF94" s="32">
        <f t="shared" si="103"/>
        <v>1</v>
      </c>
      <c r="BG94" s="32">
        <f t="shared" si="103"/>
        <v>1</v>
      </c>
      <c r="BH94" s="32">
        <f t="shared" si="103"/>
        <v>1</v>
      </c>
      <c r="BI94" s="32">
        <f t="shared" si="103"/>
        <v>1</v>
      </c>
      <c r="BJ94" s="32">
        <f t="shared" si="104"/>
        <v>1</v>
      </c>
      <c r="BK94" s="32">
        <f t="shared" si="104"/>
        <v>0</v>
      </c>
      <c r="BL94" s="32">
        <f t="shared" si="104"/>
        <v>0</v>
      </c>
      <c r="BM94" s="32">
        <f t="shared" si="104"/>
        <v>0</v>
      </c>
      <c r="BN94" s="32">
        <f t="shared" si="104"/>
        <v>0</v>
      </c>
      <c r="BO94" s="32">
        <f t="shared" si="104"/>
        <v>0</v>
      </c>
      <c r="BP94" s="15">
        <v>0</v>
      </c>
    </row>
    <row r="95" spans="1:68">
      <c r="A95" s="18"/>
      <c r="B95">
        <f t="shared" si="3"/>
        <v>90</v>
      </c>
      <c r="C95" t="b">
        <v>0</v>
      </c>
      <c r="D95" t="b">
        <v>0</v>
      </c>
      <c r="E95" t="b">
        <v>0</v>
      </c>
      <c r="F95" s="3" t="str">
        <f t="shared" ref="F95:F96" si="107">SUBSTITUTE(SUBSTITUTE("offN2_"&amp;$AR95&amp;"_"&amp;($AS95-$AR95),"0.","p"),".","p")</f>
        <v>offN2_p5_2p49</v>
      </c>
      <c r="G95" s="26" t="str">
        <f>IF(MATCH(F95,F$5:F95,0)=(COUNTA(F$5:F95)),"-","Dup")</f>
        <v>-</v>
      </c>
      <c r="H95" s="32" t="str">
        <f t="shared" si="99"/>
        <v>-</v>
      </c>
      <c r="I95" s="32" t="b">
        <f t="shared" si="99"/>
        <v>0</v>
      </c>
      <c r="J95" s="32" t="b">
        <f t="shared" si="99"/>
        <v>1</v>
      </c>
      <c r="K95" s="32" t="str">
        <f t="shared" si="99"/>
        <v>-</v>
      </c>
      <c r="L95" s="32" t="str">
        <f t="shared" si="99"/>
        <v>-</v>
      </c>
      <c r="M95" s="32" t="str">
        <f t="shared" si="99"/>
        <v>-</v>
      </c>
      <c r="N95" s="32" t="str">
        <f t="shared" si="99"/>
        <v>-</v>
      </c>
      <c r="O95" s="32" t="str">
        <f t="shared" si="99"/>
        <v>-</v>
      </c>
      <c r="P95" s="32" t="str">
        <f t="shared" si="99"/>
        <v>-</v>
      </c>
      <c r="Q95" s="32" t="str">
        <f t="shared" si="99"/>
        <v>-</v>
      </c>
      <c r="R95" s="32" t="str">
        <f t="shared" si="99"/>
        <v>-</v>
      </c>
      <c r="S95" s="32" t="str">
        <f t="shared" si="99"/>
        <v>-</v>
      </c>
      <c r="T95" s="32" t="str">
        <f t="shared" si="99"/>
        <v>-</v>
      </c>
      <c r="U95" s="32" t="str">
        <f t="shared" si="99"/>
        <v>-</v>
      </c>
      <c r="V95" s="32" t="str">
        <f t="shared" si="99"/>
        <v>-</v>
      </c>
      <c r="W95" s="32" t="str">
        <f t="shared" si="99"/>
        <v>-</v>
      </c>
      <c r="X95" s="32" t="str">
        <f t="shared" si="100"/>
        <v>-</v>
      </c>
      <c r="Y95" s="32" t="str">
        <f t="shared" si="100"/>
        <v>-</v>
      </c>
      <c r="Z95" s="32" t="str">
        <f t="shared" si="100"/>
        <v>-</v>
      </c>
      <c r="AA95" s="32" t="str">
        <f t="shared" si="100"/>
        <v>-</v>
      </c>
      <c r="AB95" s="32" t="str">
        <f t="shared" si="100"/>
        <v>-</v>
      </c>
      <c r="AC95" s="32" t="str">
        <f t="shared" si="100"/>
        <v>-</v>
      </c>
      <c r="AD95" s="32" t="str">
        <f t="shared" si="100"/>
        <v>-</v>
      </c>
      <c r="AE95" s="32" t="str">
        <f t="shared" si="100"/>
        <v>-</v>
      </c>
      <c r="AF95" s="32" t="str">
        <f t="shared" si="100"/>
        <v>-</v>
      </c>
      <c r="AG95" s="32" t="str">
        <f t="shared" si="100"/>
        <v>-</v>
      </c>
      <c r="AH95" s="31" t="b">
        <v>1</v>
      </c>
      <c r="AI95" s="31" t="b">
        <v>1</v>
      </c>
      <c r="AJ95" s="31" t="b">
        <v>1</v>
      </c>
      <c r="AK95" s="32" t="str">
        <f t="shared" si="101"/>
        <v>-</v>
      </c>
      <c r="AL95" s="32" t="str">
        <f t="shared" si="101"/>
        <v>-</v>
      </c>
      <c r="AM95" s="32" t="str">
        <f t="shared" si="101"/>
        <v>-</v>
      </c>
      <c r="AN95" s="32" t="str">
        <f t="shared" si="101"/>
        <v>-</v>
      </c>
      <c r="AO95" s="25">
        <f t="shared" si="72"/>
        <v>1</v>
      </c>
      <c r="AP95" s="25">
        <f t="shared" si="73"/>
        <v>2</v>
      </c>
      <c r="AQ95" s="25">
        <f t="shared" si="74"/>
        <v>0</v>
      </c>
      <c r="AR95" s="25">
        <f t="shared" ref="AR95" si="108">AR94</f>
        <v>0.5</v>
      </c>
      <c r="AS95" s="33">
        <f t="shared" si="106"/>
        <v>2.99</v>
      </c>
      <c r="AT95" s="32" t="str">
        <f t="shared" si="103"/>
        <v>-</v>
      </c>
      <c r="AU95" s="32">
        <f t="shared" si="103"/>
        <v>1</v>
      </c>
      <c r="AV95" s="32">
        <f t="shared" si="103"/>
        <v>1</v>
      </c>
      <c r="AW95" s="32">
        <f t="shared" si="103"/>
        <v>1</v>
      </c>
      <c r="AX95" s="32">
        <f t="shared" si="103"/>
        <v>1</v>
      </c>
      <c r="AY95" s="32">
        <f t="shared" si="103"/>
        <v>1</v>
      </c>
      <c r="AZ95" s="32">
        <f t="shared" si="103"/>
        <v>1</v>
      </c>
      <c r="BA95" s="32">
        <f t="shared" si="103"/>
        <v>1</v>
      </c>
      <c r="BB95" s="32">
        <f t="shared" si="103"/>
        <v>1</v>
      </c>
      <c r="BC95" s="32">
        <f t="shared" si="103"/>
        <v>1</v>
      </c>
      <c r="BD95" s="32">
        <f t="shared" si="103"/>
        <v>1</v>
      </c>
      <c r="BE95" s="32">
        <f t="shared" si="103"/>
        <v>1</v>
      </c>
      <c r="BF95" s="32">
        <f t="shared" si="103"/>
        <v>1</v>
      </c>
      <c r="BG95" s="32">
        <f t="shared" si="103"/>
        <v>1</v>
      </c>
      <c r="BH95" s="32">
        <f t="shared" si="103"/>
        <v>1</v>
      </c>
      <c r="BI95" s="32">
        <f t="shared" si="103"/>
        <v>1</v>
      </c>
      <c r="BJ95" s="32">
        <f t="shared" si="104"/>
        <v>1</v>
      </c>
      <c r="BK95" s="32">
        <f t="shared" si="104"/>
        <v>0</v>
      </c>
      <c r="BL95" s="32">
        <f t="shared" si="104"/>
        <v>0</v>
      </c>
      <c r="BM95" s="32">
        <f t="shared" si="104"/>
        <v>0</v>
      </c>
      <c r="BN95" s="32">
        <f t="shared" si="104"/>
        <v>0</v>
      </c>
      <c r="BO95" s="32">
        <f t="shared" si="104"/>
        <v>0</v>
      </c>
      <c r="BP95" s="15">
        <v>0</v>
      </c>
    </row>
    <row r="96" spans="1:68">
      <c r="A96" s="18"/>
      <c r="B96">
        <f t="shared" si="3"/>
        <v>91</v>
      </c>
      <c r="C96" t="b">
        <v>0</v>
      </c>
      <c r="D96" t="b">
        <v>0</v>
      </c>
      <c r="E96" t="b">
        <v>0</v>
      </c>
      <c r="F96" s="3" t="str">
        <f t="shared" si="107"/>
        <v>offN2_p5_2</v>
      </c>
      <c r="G96" s="26" t="str">
        <f>IF(MATCH(F96,F$5:F96,0)=(COUNTA(F$5:F96)),"-","Dup")</f>
        <v>-</v>
      </c>
      <c r="H96" s="32" t="str">
        <f t="shared" si="99"/>
        <v>-</v>
      </c>
      <c r="I96" s="32" t="b">
        <f t="shared" si="99"/>
        <v>0</v>
      </c>
      <c r="J96" s="32" t="b">
        <f t="shared" si="99"/>
        <v>1</v>
      </c>
      <c r="K96" s="32" t="str">
        <f t="shared" si="99"/>
        <v>-</v>
      </c>
      <c r="L96" s="32" t="str">
        <f t="shared" si="99"/>
        <v>-</v>
      </c>
      <c r="M96" s="32" t="str">
        <f t="shared" si="99"/>
        <v>-</v>
      </c>
      <c r="N96" s="32" t="str">
        <f t="shared" si="99"/>
        <v>-</v>
      </c>
      <c r="O96" s="32" t="str">
        <f t="shared" si="99"/>
        <v>-</v>
      </c>
      <c r="P96" s="32" t="str">
        <f t="shared" si="99"/>
        <v>-</v>
      </c>
      <c r="Q96" s="32" t="str">
        <f t="shared" si="99"/>
        <v>-</v>
      </c>
      <c r="R96" s="32" t="str">
        <f t="shared" si="99"/>
        <v>-</v>
      </c>
      <c r="S96" s="32" t="str">
        <f t="shared" si="99"/>
        <v>-</v>
      </c>
      <c r="T96" s="32" t="str">
        <f t="shared" si="99"/>
        <v>-</v>
      </c>
      <c r="U96" s="32" t="str">
        <f t="shared" si="99"/>
        <v>-</v>
      </c>
      <c r="V96" s="32" t="str">
        <f t="shared" si="99"/>
        <v>-</v>
      </c>
      <c r="W96" s="32" t="str">
        <f t="shared" si="99"/>
        <v>-</v>
      </c>
      <c r="X96" s="32" t="str">
        <f t="shared" si="100"/>
        <v>-</v>
      </c>
      <c r="Y96" s="32" t="str">
        <f t="shared" si="100"/>
        <v>-</v>
      </c>
      <c r="Z96" s="32" t="str">
        <f t="shared" si="100"/>
        <v>-</v>
      </c>
      <c r="AA96" s="32" t="str">
        <f t="shared" si="100"/>
        <v>-</v>
      </c>
      <c r="AB96" s="32" t="str">
        <f t="shared" si="100"/>
        <v>-</v>
      </c>
      <c r="AC96" s="32" t="str">
        <f t="shared" si="100"/>
        <v>-</v>
      </c>
      <c r="AD96" s="32" t="str">
        <f t="shared" si="100"/>
        <v>-</v>
      </c>
      <c r="AE96" s="32" t="str">
        <f t="shared" si="100"/>
        <v>-</v>
      </c>
      <c r="AF96" s="32" t="str">
        <f t="shared" si="100"/>
        <v>-</v>
      </c>
      <c r="AG96" s="32" t="str">
        <f t="shared" si="100"/>
        <v>-</v>
      </c>
      <c r="AH96" s="31" t="b">
        <v>1</v>
      </c>
      <c r="AI96" s="31" t="b">
        <v>1</v>
      </c>
      <c r="AJ96" s="31" t="b">
        <v>1</v>
      </c>
      <c r="AK96" s="32" t="str">
        <f t="shared" si="101"/>
        <v>-</v>
      </c>
      <c r="AL96" s="32" t="str">
        <f t="shared" si="101"/>
        <v>-</v>
      </c>
      <c r="AM96" s="32" t="str">
        <f t="shared" si="101"/>
        <v>-</v>
      </c>
      <c r="AN96" s="32" t="str">
        <f t="shared" si="101"/>
        <v>-</v>
      </c>
      <c r="AO96" s="25">
        <f t="shared" si="72"/>
        <v>1</v>
      </c>
      <c r="AP96" s="25">
        <f t="shared" si="72"/>
        <v>2</v>
      </c>
      <c r="AQ96" s="25">
        <f t="shared" si="72"/>
        <v>0</v>
      </c>
      <c r="AR96" s="25">
        <f t="shared" si="72"/>
        <v>0.5</v>
      </c>
      <c r="AS96" s="31">
        <v>2.5</v>
      </c>
      <c r="AT96" s="32" t="str">
        <f t="shared" si="103"/>
        <v>-</v>
      </c>
      <c r="AU96" s="32">
        <f t="shared" si="103"/>
        <v>1</v>
      </c>
      <c r="AV96" s="32">
        <f t="shared" si="103"/>
        <v>1</v>
      </c>
      <c r="AW96" s="32">
        <f t="shared" si="103"/>
        <v>1</v>
      </c>
      <c r="AX96" s="32">
        <f t="shared" si="103"/>
        <v>1</v>
      </c>
      <c r="AY96" s="32">
        <f t="shared" si="103"/>
        <v>1</v>
      </c>
      <c r="AZ96" s="32">
        <f t="shared" si="103"/>
        <v>1</v>
      </c>
      <c r="BA96" s="32">
        <f t="shared" si="103"/>
        <v>1</v>
      </c>
      <c r="BB96" s="32">
        <f t="shared" si="103"/>
        <v>1</v>
      </c>
      <c r="BC96" s="32">
        <f t="shared" si="103"/>
        <v>1</v>
      </c>
      <c r="BD96" s="32">
        <f t="shared" si="103"/>
        <v>1</v>
      </c>
      <c r="BE96" s="32">
        <f t="shared" si="103"/>
        <v>1</v>
      </c>
      <c r="BF96" s="32">
        <f t="shared" si="103"/>
        <v>1</v>
      </c>
      <c r="BG96" s="32">
        <f t="shared" si="103"/>
        <v>1</v>
      </c>
      <c r="BH96" s="32">
        <f t="shared" si="103"/>
        <v>1</v>
      </c>
      <c r="BI96" s="32">
        <f t="shared" si="103"/>
        <v>1</v>
      </c>
      <c r="BJ96" s="32">
        <f t="shared" si="104"/>
        <v>1</v>
      </c>
      <c r="BK96" s="32">
        <f t="shared" si="104"/>
        <v>0</v>
      </c>
      <c r="BL96" s="32">
        <f t="shared" si="104"/>
        <v>0</v>
      </c>
      <c r="BM96" s="32">
        <f t="shared" si="104"/>
        <v>0</v>
      </c>
      <c r="BN96" s="32">
        <f t="shared" si="104"/>
        <v>0</v>
      </c>
      <c r="BO96" s="32">
        <f t="shared" si="104"/>
        <v>0</v>
      </c>
      <c r="BP96" s="15">
        <v>0</v>
      </c>
    </row>
    <row r="97" spans="1:68" ht="6.75" customHeight="1">
      <c r="A97" s="19">
        <f>0</f>
        <v>0</v>
      </c>
      <c r="B97" s="15">
        <f t="shared" si="3"/>
        <v>92</v>
      </c>
      <c r="C97" s="15" t="b">
        <v>0</v>
      </c>
      <c r="D97" s="15" t="b">
        <v>0</v>
      </c>
      <c r="E97" s="15" t="b">
        <v>0</v>
      </c>
      <c r="F97" s="15" t="s">
        <v>80</v>
      </c>
      <c r="G97" s="27" t="str">
        <f>IF(MATCH(F97,F$5:F97,0)=(COUNTA(F$5:F97)),"-","Dup")</f>
        <v>-</v>
      </c>
      <c r="H97" s="24" t="str">
        <f>H$5</f>
        <v>-</v>
      </c>
      <c r="I97" s="24" t="str">
        <f t="shared" ref="I97:M97" si="109">I$5</f>
        <v>-</v>
      </c>
      <c r="J97" s="24" t="str">
        <f t="shared" si="109"/>
        <v>-</v>
      </c>
      <c r="K97" s="24" t="str">
        <f t="shared" si="109"/>
        <v>-</v>
      </c>
      <c r="L97" s="24" t="str">
        <f t="shared" si="109"/>
        <v>-</v>
      </c>
      <c r="M97" s="24" t="str">
        <f t="shared" si="109"/>
        <v>-</v>
      </c>
      <c r="N97" s="24" t="str">
        <f t="shared" ref="N97:O97" si="110">N$5</f>
        <v>-</v>
      </c>
      <c r="O97" s="24" t="str">
        <f t="shared" si="110"/>
        <v>-</v>
      </c>
      <c r="P97" s="24" t="str">
        <f t="shared" ref="P97:BO97" si="111">P$5</f>
        <v>-</v>
      </c>
      <c r="Q97" s="24" t="str">
        <f t="shared" si="111"/>
        <v>-</v>
      </c>
      <c r="R97" s="24" t="str">
        <f t="shared" si="111"/>
        <v>-</v>
      </c>
      <c r="S97" s="24" t="str">
        <f t="shared" si="111"/>
        <v>-</v>
      </c>
      <c r="T97" s="24" t="str">
        <f t="shared" si="111"/>
        <v>-</v>
      </c>
      <c r="U97" s="24" t="str">
        <f t="shared" si="111"/>
        <v>-</v>
      </c>
      <c r="V97" s="24" t="str">
        <f t="shared" si="111"/>
        <v>-</v>
      </c>
      <c r="W97" s="24" t="str">
        <f t="shared" si="111"/>
        <v>-</v>
      </c>
      <c r="X97" s="24" t="str">
        <f t="shared" si="111"/>
        <v>-</v>
      </c>
      <c r="Y97" s="24" t="str">
        <f t="shared" si="111"/>
        <v>-</v>
      </c>
      <c r="Z97" s="24" t="str">
        <f t="shared" si="111"/>
        <v>-</v>
      </c>
      <c r="AA97" s="24" t="str">
        <f t="shared" si="111"/>
        <v>-</v>
      </c>
      <c r="AB97" s="24" t="str">
        <f t="shared" si="111"/>
        <v>-</v>
      </c>
      <c r="AC97" s="24" t="str">
        <f t="shared" si="111"/>
        <v>-</v>
      </c>
      <c r="AD97" s="24" t="str">
        <f t="shared" si="111"/>
        <v>-</v>
      </c>
      <c r="AE97" s="24" t="str">
        <f t="shared" si="111"/>
        <v>-</v>
      </c>
      <c r="AF97" s="24" t="str">
        <f t="shared" si="111"/>
        <v>-</v>
      </c>
      <c r="AG97" s="24" t="str">
        <f t="shared" si="111"/>
        <v>-</v>
      </c>
      <c r="AH97" s="24" t="str">
        <f t="shared" si="111"/>
        <v>-</v>
      </c>
      <c r="AI97" s="24" t="str">
        <f t="shared" si="111"/>
        <v>-</v>
      </c>
      <c r="AJ97" s="24" t="str">
        <f t="shared" si="111"/>
        <v>-</v>
      </c>
      <c r="AK97" s="24" t="str">
        <f t="shared" si="111"/>
        <v>-</v>
      </c>
      <c r="AL97" s="24" t="str">
        <f t="shared" si="111"/>
        <v>-</v>
      </c>
      <c r="AM97" s="24" t="str">
        <f t="shared" si="111"/>
        <v>-</v>
      </c>
      <c r="AN97" s="24" t="str">
        <f t="shared" si="111"/>
        <v>-</v>
      </c>
      <c r="AO97" s="24" t="str">
        <f t="shared" si="111"/>
        <v>-</v>
      </c>
      <c r="AP97" s="24" t="str">
        <f t="shared" si="111"/>
        <v>-</v>
      </c>
      <c r="AQ97" s="24" t="str">
        <f t="shared" si="111"/>
        <v>-</v>
      </c>
      <c r="AR97" s="15" t="s">
        <v>97</v>
      </c>
      <c r="AS97" s="15" t="s">
        <v>97</v>
      </c>
      <c r="AT97" s="15" t="s">
        <v>97</v>
      </c>
      <c r="AU97" s="24">
        <f t="shared" si="111"/>
        <v>1</v>
      </c>
      <c r="AV97" s="24">
        <f t="shared" si="111"/>
        <v>1</v>
      </c>
      <c r="AW97" s="24">
        <f t="shared" si="111"/>
        <v>1</v>
      </c>
      <c r="AX97" s="24">
        <f t="shared" si="111"/>
        <v>1</v>
      </c>
      <c r="AY97" s="24">
        <f t="shared" si="111"/>
        <v>1</v>
      </c>
      <c r="AZ97" s="24">
        <f t="shared" si="111"/>
        <v>1</v>
      </c>
      <c r="BA97" s="24">
        <f t="shared" si="111"/>
        <v>1</v>
      </c>
      <c r="BB97" s="24">
        <f t="shared" si="111"/>
        <v>1</v>
      </c>
      <c r="BC97" s="24">
        <f t="shared" si="111"/>
        <v>1</v>
      </c>
      <c r="BD97" s="24">
        <f t="shared" si="111"/>
        <v>1</v>
      </c>
      <c r="BE97" s="24">
        <f t="shared" si="111"/>
        <v>1</v>
      </c>
      <c r="BF97" s="24">
        <f t="shared" si="111"/>
        <v>1</v>
      </c>
      <c r="BG97" s="24">
        <f t="shared" si="111"/>
        <v>1</v>
      </c>
      <c r="BH97" s="24">
        <f t="shared" si="111"/>
        <v>1</v>
      </c>
      <c r="BI97" s="24">
        <f t="shared" si="111"/>
        <v>1</v>
      </c>
      <c r="BJ97" s="24">
        <f t="shared" si="111"/>
        <v>1</v>
      </c>
      <c r="BK97" s="24">
        <f t="shared" si="111"/>
        <v>0</v>
      </c>
      <c r="BL97" s="24">
        <f t="shared" si="111"/>
        <v>0</v>
      </c>
      <c r="BM97" s="24">
        <f t="shared" si="111"/>
        <v>0</v>
      </c>
      <c r="BN97" s="24">
        <f t="shared" si="111"/>
        <v>0</v>
      </c>
      <c r="BO97" s="24">
        <f t="shared" si="111"/>
        <v>0</v>
      </c>
      <c r="BP97" s="15">
        <v>0</v>
      </c>
    </row>
  </sheetData>
  <autoFilter ref="A4:BP97" xr:uid="{A5DE918E-332D-4563-9BCB-E13ECBAD8AE1}"/>
  <phoneticPr fontId="4" type="noConversion"/>
  <conditionalFormatting sqref="C65:E88 C90:E1048576 C1:E63">
    <cfRule type="cellIs" dxfId="6" priority="45" operator="equal">
      <formula>TRUE</formula>
    </cfRule>
  </conditionalFormatting>
  <conditionalFormatting sqref="A1:XFD1">
    <cfRule type="cellIs" dxfId="5" priority="78" operator="equal">
      <formula>"sav"</formula>
    </cfRule>
    <cfRule type="containsText" dxfId="4" priority="82" operator="containsText" text="sam">
      <formula>NOT(ISERROR(SEARCH("sam",A1)))</formula>
    </cfRule>
    <cfRule type="containsText" dxfId="3" priority="83" operator="containsText" text="sap">
      <formula>NOT(ISERROR(SEARCH("sap",A1)))</formula>
    </cfRule>
    <cfRule type="containsText" dxfId="2" priority="84" operator="containsText" text="saa">
      <formula>NOT(ISERROR(SEARCH("saa",A1)))</formula>
    </cfRule>
  </conditionalFormatting>
  <conditionalFormatting sqref="C64:E64">
    <cfRule type="cellIs" dxfId="1" priority="2" operator="equal">
      <formula>TRUE</formula>
    </cfRule>
  </conditionalFormatting>
  <conditionalFormatting sqref="C89:E89">
    <cfRule type="cellIs" dxfId="0" priority="1" operator="equal">
      <formula>TRUE</formula>
    </cfRule>
  </conditionalFormatting>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8C2D2-3F1B-4735-BAB2-C6257B1D4323}">
  <sheetPr codeName="Sheet2"/>
  <dimension ref="A1:A8"/>
  <sheetViews>
    <sheetView workbookViewId="0">
      <selection activeCell="A2" sqref="A2"/>
    </sheetView>
  </sheetViews>
  <sheetFormatPr defaultRowHeight="14.5"/>
  <cols>
    <col min="1" max="1" width="145.1796875" customWidth="1"/>
  </cols>
  <sheetData>
    <row r="1" spans="1:1">
      <c r="A1" t="s">
        <v>69</v>
      </c>
    </row>
    <row r="2" spans="1:1">
      <c r="A2" s="10"/>
    </row>
    <row r="3" spans="1:1">
      <c r="A3" s="10"/>
    </row>
    <row r="4" spans="1:1">
      <c r="A4" s="10"/>
    </row>
    <row r="5" spans="1:1">
      <c r="A5" s="10"/>
    </row>
    <row r="6" spans="1:1">
      <c r="A6" s="10"/>
    </row>
    <row r="7" spans="1:1">
      <c r="A7" s="10"/>
    </row>
    <row r="8" spans="1:1">
      <c r="A8" s="10"/>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2DDC9-E0E8-48BF-8BE6-D6DD57F6C67D}">
  <dimension ref="A1:C30"/>
  <sheetViews>
    <sheetView tabSelected="1" workbookViewId="0">
      <selection activeCell="H16" sqref="H16"/>
    </sheetView>
  </sheetViews>
  <sheetFormatPr defaultRowHeight="14.5"/>
  <cols>
    <col min="1" max="1" width="21" bestFit="1" customWidth="1"/>
  </cols>
  <sheetData>
    <row r="1" spans="1:3">
      <c r="A1" s="37" t="s">
        <v>119</v>
      </c>
      <c r="B1" s="37" t="s">
        <v>120</v>
      </c>
      <c r="C1" s="37" t="s">
        <v>121</v>
      </c>
    </row>
    <row r="2" spans="1:3">
      <c r="A2" s="36" t="s">
        <v>122</v>
      </c>
      <c r="B2" t="b">
        <v>1</v>
      </c>
      <c r="C2" s="38" t="s">
        <v>127</v>
      </c>
    </row>
    <row r="3" spans="1:3">
      <c r="A3" s="36" t="s">
        <v>123</v>
      </c>
      <c r="B3" t="b">
        <v>1</v>
      </c>
      <c r="C3" s="38" t="s">
        <v>128</v>
      </c>
    </row>
    <row r="4" spans="1:3">
      <c r="A4" s="36" t="s">
        <v>125</v>
      </c>
      <c r="B4" t="b">
        <v>1</v>
      </c>
      <c r="C4" s="38" t="s">
        <v>129</v>
      </c>
    </row>
    <row r="5" spans="1:3">
      <c r="A5" s="36" t="s">
        <v>126</v>
      </c>
      <c r="B5" t="b">
        <v>1</v>
      </c>
      <c r="C5" s="39" t="s">
        <v>130</v>
      </c>
    </row>
    <row r="6" spans="1:3">
      <c r="A6" s="36" t="s">
        <v>131</v>
      </c>
      <c r="B6" t="b">
        <v>1</v>
      </c>
      <c r="C6" s="39" t="s">
        <v>132</v>
      </c>
    </row>
    <row r="7" spans="1:3">
      <c r="A7" s="36" t="s">
        <v>133</v>
      </c>
      <c r="B7" t="b">
        <v>1</v>
      </c>
      <c r="C7" s="39" t="s">
        <v>134</v>
      </c>
    </row>
    <row r="8" spans="1:3">
      <c r="A8" s="36" t="s">
        <v>135</v>
      </c>
      <c r="B8" t="b">
        <v>1</v>
      </c>
      <c r="C8" s="39" t="s">
        <v>136</v>
      </c>
    </row>
    <row r="9" spans="1:3">
      <c r="A9" s="36" t="s">
        <v>137</v>
      </c>
      <c r="B9" t="b">
        <v>1</v>
      </c>
      <c r="C9" s="39" t="s">
        <v>138</v>
      </c>
    </row>
    <row r="10" spans="1:3">
      <c r="A10" s="36" t="s">
        <v>139</v>
      </c>
      <c r="B10" t="b">
        <v>1</v>
      </c>
      <c r="C10" s="39" t="s">
        <v>140</v>
      </c>
    </row>
    <row r="11" spans="1:3">
      <c r="A11" s="36" t="s">
        <v>141</v>
      </c>
      <c r="B11" t="b">
        <v>1</v>
      </c>
      <c r="C11" s="39" t="s">
        <v>142</v>
      </c>
    </row>
    <row r="12" spans="1:3">
      <c r="A12" s="36" t="s">
        <v>143</v>
      </c>
      <c r="B12" t="b">
        <v>1</v>
      </c>
      <c r="C12" s="39" t="s">
        <v>140</v>
      </c>
    </row>
    <row r="13" spans="1:3">
      <c r="A13" s="36" t="s">
        <v>144</v>
      </c>
      <c r="B13" t="b">
        <v>1</v>
      </c>
      <c r="C13" s="39" t="s">
        <v>145</v>
      </c>
    </row>
    <row r="14" spans="1:3">
      <c r="A14" s="36" t="s">
        <v>146</v>
      </c>
      <c r="B14" t="b">
        <v>1</v>
      </c>
      <c r="C14" s="39" t="s">
        <v>147</v>
      </c>
    </row>
    <row r="15" spans="1:3">
      <c r="A15" s="36" t="s">
        <v>148</v>
      </c>
      <c r="B15" t="b">
        <v>1</v>
      </c>
      <c r="C15" s="39" t="s">
        <v>149</v>
      </c>
    </row>
    <row r="16" spans="1:3">
      <c r="A16" s="36" t="s">
        <v>124</v>
      </c>
      <c r="B16" t="b">
        <v>1</v>
      </c>
      <c r="C16" s="39" t="s">
        <v>150</v>
      </c>
    </row>
    <row r="17" spans="1:3">
      <c r="A17" s="36" t="s">
        <v>151</v>
      </c>
      <c r="B17" t="b">
        <v>1</v>
      </c>
      <c r="C17" s="39" t="s">
        <v>152</v>
      </c>
    </row>
    <row r="18" spans="1:3">
      <c r="A18" s="36" t="s">
        <v>153</v>
      </c>
      <c r="B18" t="b">
        <v>1</v>
      </c>
      <c r="C18" s="39" t="s">
        <v>154</v>
      </c>
    </row>
    <row r="19" spans="1:3">
      <c r="A19" s="36" t="s">
        <v>155</v>
      </c>
      <c r="B19" t="b">
        <v>1</v>
      </c>
      <c r="C19" s="39" t="s">
        <v>156</v>
      </c>
    </row>
    <row r="20" spans="1:3">
      <c r="A20" s="36" t="s">
        <v>157</v>
      </c>
      <c r="B20" t="b">
        <v>1</v>
      </c>
      <c r="C20" s="39" t="s">
        <v>158</v>
      </c>
    </row>
    <row r="21" spans="1:3">
      <c r="A21" s="36" t="s">
        <v>159</v>
      </c>
      <c r="B21" t="b">
        <v>1</v>
      </c>
      <c r="C21" s="39" t="s">
        <v>160</v>
      </c>
    </row>
    <row r="22" spans="1:3">
      <c r="A22" s="36" t="s">
        <v>161</v>
      </c>
      <c r="B22" t="b">
        <v>1</v>
      </c>
      <c r="C22" s="39" t="s">
        <v>162</v>
      </c>
    </row>
    <row r="23" spans="1:3">
      <c r="A23" s="36" t="s">
        <v>163</v>
      </c>
      <c r="B23" t="b">
        <v>1</v>
      </c>
      <c r="C23" s="39" t="s">
        <v>164</v>
      </c>
    </row>
    <row r="24" spans="1:3">
      <c r="A24" s="36" t="s">
        <v>165</v>
      </c>
      <c r="B24" t="b">
        <v>1</v>
      </c>
      <c r="C24" s="39" t="s">
        <v>166</v>
      </c>
    </row>
    <row r="25" spans="1:3">
      <c r="A25" s="36" t="s">
        <v>167</v>
      </c>
      <c r="B25" t="b">
        <v>1</v>
      </c>
      <c r="C25" s="39" t="s">
        <v>168</v>
      </c>
    </row>
    <row r="26" spans="1:3">
      <c r="A26" s="36" t="s">
        <v>169</v>
      </c>
      <c r="B26" t="b">
        <v>1</v>
      </c>
      <c r="C26" s="39" t="s">
        <v>170</v>
      </c>
    </row>
    <row r="27" spans="1:3">
      <c r="A27" s="36" t="s">
        <v>171</v>
      </c>
      <c r="B27" t="b">
        <v>1</v>
      </c>
      <c r="C27" s="39" t="s">
        <v>172</v>
      </c>
    </row>
    <row r="28" spans="1:3">
      <c r="A28" s="36" t="s">
        <v>173</v>
      </c>
      <c r="B28" t="b">
        <v>1</v>
      </c>
      <c r="C28" s="39" t="s">
        <v>172</v>
      </c>
    </row>
    <row r="29" spans="1:3">
      <c r="A29" s="36" t="s">
        <v>174</v>
      </c>
      <c r="B29" t="b">
        <v>1</v>
      </c>
      <c r="C29" s="39" t="s">
        <v>175</v>
      </c>
    </row>
    <row r="30" spans="1:3">
      <c r="A30" s="36" t="s">
        <v>176</v>
      </c>
      <c r="B30" t="b">
        <v>1</v>
      </c>
      <c r="C30" s="39" t="s">
        <v>177</v>
      </c>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Sheet1</vt:lpstr>
      <vt:lpstr>Description</vt:lpstr>
      <vt:lpstr>Run Report</vt:lpstr>
      <vt:lpstr>ExpData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Young</dc:creator>
  <cp:lastModifiedBy>Michael Young (21512438)</cp:lastModifiedBy>
  <dcterms:created xsi:type="dcterms:W3CDTF">2019-11-05T07:30:33Z</dcterms:created>
  <dcterms:modified xsi:type="dcterms:W3CDTF">2021-03-25T12:37:39Z</dcterms:modified>
</cp:coreProperties>
</file>