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AFO\"/>
    </mc:Choice>
  </mc:AlternateContent>
  <xr:revisionPtr revIDLastSave="0" documentId="13_ncr:1_{16325BBB-6DB6-4DED-8CF0-25B51AF04CC2}" xr6:coauthVersionLast="46" xr6:coauthVersionMax="46" xr10:uidLastSave="{00000000-0000-0000-0000-000000000000}"/>
  <bookViews>
    <workbookView xWindow="210" yWindow="1050" windowWidth="28305" windowHeight="14565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Sheet1!$F$4:$BO$4</definedName>
    <definedName name="ExpData">Sheet1!$B$5:$BP$91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0" i="1" l="1"/>
  <c r="F89" i="1"/>
  <c r="F88" i="1"/>
  <c r="G88" i="1" s="1"/>
  <c r="F87" i="1"/>
  <c r="G87" i="1" s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91" i="1"/>
  <c r="AS76" i="1"/>
  <c r="F76" i="1" s="1"/>
  <c r="AS75" i="1"/>
  <c r="F75" i="1" s="1"/>
  <c r="AS74" i="1"/>
  <c r="F74" i="1" s="1"/>
  <c r="F63" i="1"/>
  <c r="F62" i="1"/>
  <c r="G62" i="1" s="1"/>
  <c r="AT65" i="1"/>
  <c r="AT68" i="1" s="1"/>
  <c r="AT71" i="1" s="1"/>
  <c r="AR65" i="1"/>
  <c r="AR63" i="1"/>
  <c r="AS63" i="1" s="1"/>
  <c r="AS66" i="1" s="1"/>
  <c r="AS69" i="1" s="1"/>
  <c r="AS72" i="1" s="1"/>
  <c r="AT62" i="1"/>
  <c r="AS62" i="1"/>
  <c r="AS65" i="1" s="1"/>
  <c r="AS68" i="1" s="1"/>
  <c r="AS71" i="1" s="1"/>
  <c r="B61" i="1"/>
  <c r="B60" i="1"/>
  <c r="B59" i="1"/>
  <c r="B58" i="1"/>
  <c r="B57" i="1"/>
  <c r="B56" i="1"/>
  <c r="B55" i="1"/>
  <c r="B54" i="1"/>
  <c r="B53" i="1"/>
  <c r="B52" i="1"/>
  <c r="B51" i="1"/>
  <c r="B50" i="1"/>
  <c r="AQ49" i="1"/>
  <c r="AQ48" i="1"/>
  <c r="AQ47" i="1"/>
  <c r="AQ46" i="1"/>
  <c r="AP49" i="1"/>
  <c r="AP48" i="1"/>
  <c r="AP47" i="1"/>
  <c r="AP46" i="1"/>
  <c r="AO53" i="1"/>
  <c r="AO57" i="1" s="1"/>
  <c r="AO61" i="1" s="1"/>
  <c r="AQ61" i="1" s="1"/>
  <c r="AO52" i="1"/>
  <c r="AO56" i="1" s="1"/>
  <c r="AO60" i="1" s="1"/>
  <c r="AQ60" i="1" s="1"/>
  <c r="AO51" i="1"/>
  <c r="AO55" i="1" s="1"/>
  <c r="AO59" i="1" s="1"/>
  <c r="AP59" i="1" s="1"/>
  <c r="AO50" i="1"/>
  <c r="AQ50" i="1" s="1"/>
  <c r="J49" i="1"/>
  <c r="I49" i="1"/>
  <c r="B49" i="1"/>
  <c r="I46" i="1"/>
  <c r="J46" i="1"/>
  <c r="I47" i="1"/>
  <c r="J47" i="1"/>
  <c r="I48" i="1"/>
  <c r="J48" i="1"/>
  <c r="B46" i="1"/>
  <c r="B47" i="1"/>
  <c r="B48" i="1"/>
  <c r="AQ5" i="1" a="1"/>
  <c r="AQ5" i="1" s="1"/>
  <c r="AP5" i="1" a="1"/>
  <c r="AP5" i="1" s="1"/>
  <c r="AP91" i="1" s="1"/>
  <c r="AO5" i="1" a="1"/>
  <c r="AO5" i="1" s="1"/>
  <c r="G90" i="1" l="1"/>
  <c r="G89" i="1"/>
  <c r="AS77" i="1"/>
  <c r="AS80" i="1" s="1"/>
  <c r="AS83" i="1" s="1"/>
  <c r="G63" i="1"/>
  <c r="AR64" i="1"/>
  <c r="F65" i="1"/>
  <c r="AR66" i="1"/>
  <c r="AR69" i="1" s="1"/>
  <c r="AR72" i="1" s="1"/>
  <c r="AR78" i="1" s="1"/>
  <c r="F66" i="1"/>
  <c r="F72" i="1"/>
  <c r="AR68" i="1"/>
  <c r="F69" i="1"/>
  <c r="AS78" i="1"/>
  <c r="AS81" i="1" s="1"/>
  <c r="AS84" i="1" s="1"/>
  <c r="AS64" i="1"/>
  <c r="AT63" i="1"/>
  <c r="AT66" i="1" s="1"/>
  <c r="AT69" i="1" s="1"/>
  <c r="AT72" i="1" s="1"/>
  <c r="AO54" i="1"/>
  <c r="AO58" i="1" s="1"/>
  <c r="AQ58" i="1" s="1"/>
  <c r="AP50" i="1"/>
  <c r="AP51" i="1"/>
  <c r="AP55" i="1"/>
  <c r="AQ59" i="1"/>
  <c r="AQ53" i="1"/>
  <c r="AP60" i="1"/>
  <c r="AP61" i="1"/>
  <c r="AQ52" i="1"/>
  <c r="AQ55" i="1"/>
  <c r="AQ56" i="1"/>
  <c r="AQ51" i="1"/>
  <c r="AQ57" i="1"/>
  <c r="AP52" i="1"/>
  <c r="AP53" i="1"/>
  <c r="AP56" i="1"/>
  <c r="AP57" i="1"/>
  <c r="AO91" i="1"/>
  <c r="AO6" i="1"/>
  <c r="AO45" i="1" s="1"/>
  <c r="AQ91" i="1"/>
  <c r="AQ6" i="1"/>
  <c r="AQ45" i="1" s="1"/>
  <c r="AP6" i="1"/>
  <c r="AP45" i="1" s="1"/>
  <c r="M5" i="1" a="1"/>
  <c r="M5" i="1" s="1"/>
  <c r="M6" i="1" s="1"/>
  <c r="L5" i="1" a="1"/>
  <c r="L5" i="1" s="1"/>
  <c r="L6" i="1" s="1"/>
  <c r="K5" i="1" a="1"/>
  <c r="K5" i="1" s="1"/>
  <c r="K6" i="1" s="1"/>
  <c r="AR81" i="1" l="1"/>
  <c r="F78" i="1"/>
  <c r="AT64" i="1"/>
  <c r="AT67" i="1" s="1"/>
  <c r="AT70" i="1" s="1"/>
  <c r="AT73" i="1" s="1"/>
  <c r="AR67" i="1"/>
  <c r="AR70" i="1" s="1"/>
  <c r="AR73" i="1" s="1"/>
  <c r="AR79" i="1" s="1"/>
  <c r="AS67" i="1"/>
  <c r="F64" i="1"/>
  <c r="AR71" i="1"/>
  <c r="F68" i="1"/>
  <c r="AP54" i="1"/>
  <c r="AP58" i="1"/>
  <c r="AQ54" i="1"/>
  <c r="K49" i="1"/>
  <c r="K46" i="1"/>
  <c r="K47" i="1"/>
  <c r="K48" i="1"/>
  <c r="K35" i="1"/>
  <c r="K36" i="1"/>
  <c r="K38" i="1"/>
  <c r="K39" i="1"/>
  <c r="K40" i="1"/>
  <c r="K41" i="1"/>
  <c r="K42" i="1"/>
  <c r="K43" i="1"/>
  <c r="K37" i="1"/>
  <c r="L49" i="1"/>
  <c r="L46" i="1"/>
  <c r="L45" i="1"/>
  <c r="L47" i="1"/>
  <c r="L48" i="1"/>
  <c r="L35" i="1"/>
  <c r="L37" i="1"/>
  <c r="L38" i="1"/>
  <c r="L39" i="1"/>
  <c r="L40" i="1"/>
  <c r="L41" i="1"/>
  <c r="L42" i="1"/>
  <c r="L36" i="1"/>
  <c r="L43" i="1"/>
  <c r="M49" i="1"/>
  <c r="M46" i="1"/>
  <c r="M48" i="1"/>
  <c r="M45" i="1"/>
  <c r="M47" i="1"/>
  <c r="M35" i="1"/>
  <c r="M43" i="1"/>
  <c r="M36" i="1"/>
  <c r="M37" i="1"/>
  <c r="M38" i="1"/>
  <c r="M39" i="1"/>
  <c r="M40" i="1"/>
  <c r="M41" i="1"/>
  <c r="M42" i="1"/>
  <c r="AQ40" i="1"/>
  <c r="AQ32" i="1"/>
  <c r="AQ24" i="1"/>
  <c r="AQ16" i="1"/>
  <c r="AQ8" i="1"/>
  <c r="AQ37" i="1"/>
  <c r="AQ29" i="1"/>
  <c r="AQ21" i="1"/>
  <c r="AQ13" i="1"/>
  <c r="AQ42" i="1"/>
  <c r="AQ34" i="1"/>
  <c r="AQ26" i="1"/>
  <c r="AQ18" i="1"/>
  <c r="AQ10" i="1"/>
  <c r="AQ39" i="1"/>
  <c r="AQ31" i="1"/>
  <c r="AQ23" i="1"/>
  <c r="AQ15" i="1"/>
  <c r="AQ7" i="1"/>
  <c r="AQ44" i="1"/>
  <c r="AQ36" i="1"/>
  <c r="AQ28" i="1"/>
  <c r="AQ20" i="1"/>
  <c r="AQ12" i="1"/>
  <c r="AQ41" i="1"/>
  <c r="AQ33" i="1"/>
  <c r="AQ25" i="1"/>
  <c r="AQ17" i="1"/>
  <c r="AQ9" i="1"/>
  <c r="AQ38" i="1"/>
  <c r="AQ30" i="1"/>
  <c r="AQ22" i="1"/>
  <c r="AQ14" i="1"/>
  <c r="AQ43" i="1"/>
  <c r="AQ35" i="1"/>
  <c r="AQ27" i="1"/>
  <c r="AQ19" i="1"/>
  <c r="AQ11" i="1"/>
  <c r="AP43" i="1"/>
  <c r="AP35" i="1"/>
  <c r="AP27" i="1"/>
  <c r="AP19" i="1"/>
  <c r="AP11" i="1"/>
  <c r="AP40" i="1"/>
  <c r="AP32" i="1"/>
  <c r="AP24" i="1"/>
  <c r="AP16" i="1"/>
  <c r="AP8" i="1"/>
  <c r="AP37" i="1"/>
  <c r="AP29" i="1"/>
  <c r="AP21" i="1"/>
  <c r="AP13" i="1"/>
  <c r="AP42" i="1"/>
  <c r="AP34" i="1"/>
  <c r="AP26" i="1"/>
  <c r="AP18" i="1"/>
  <c r="AP10" i="1"/>
  <c r="AP39" i="1"/>
  <c r="AP31" i="1"/>
  <c r="AP23" i="1"/>
  <c r="AP15" i="1"/>
  <c r="AP7" i="1"/>
  <c r="AP36" i="1"/>
  <c r="AP28" i="1"/>
  <c r="AP20" i="1"/>
  <c r="AP12" i="1"/>
  <c r="AP41" i="1"/>
  <c r="AP33" i="1"/>
  <c r="AP25" i="1"/>
  <c r="AP17" i="1"/>
  <c r="AP9" i="1"/>
  <c r="AP38" i="1"/>
  <c r="AP30" i="1"/>
  <c r="AP22" i="1"/>
  <c r="AP14" i="1"/>
  <c r="AP44" i="1"/>
  <c r="AO38" i="1"/>
  <c r="AO30" i="1"/>
  <c r="AO22" i="1"/>
  <c r="AO14" i="1"/>
  <c r="AO43" i="1"/>
  <c r="AO35" i="1"/>
  <c r="AO27" i="1"/>
  <c r="AO19" i="1"/>
  <c r="AO11" i="1"/>
  <c r="AO40" i="1"/>
  <c r="AO32" i="1"/>
  <c r="AO24" i="1"/>
  <c r="AO16" i="1"/>
  <c r="AO8" i="1"/>
  <c r="AO37" i="1"/>
  <c r="AO29" i="1"/>
  <c r="AO21" i="1"/>
  <c r="AO13" i="1"/>
  <c r="AO42" i="1"/>
  <c r="AO34" i="1"/>
  <c r="AO26" i="1"/>
  <c r="AO18" i="1"/>
  <c r="AO10" i="1"/>
  <c r="AO39" i="1"/>
  <c r="AO31" i="1"/>
  <c r="AO23" i="1"/>
  <c r="AO15" i="1"/>
  <c r="AO7" i="1"/>
  <c r="AO44" i="1"/>
  <c r="AO36" i="1"/>
  <c r="AO28" i="1"/>
  <c r="AO20" i="1"/>
  <c r="AO12" i="1"/>
  <c r="AO41" i="1"/>
  <c r="AO33" i="1"/>
  <c r="AO25" i="1"/>
  <c r="AO17" i="1"/>
  <c r="AO9" i="1"/>
  <c r="K91" i="1"/>
  <c r="L91" i="1"/>
  <c r="M91" i="1"/>
  <c r="G64" i="1" l="1"/>
  <c r="AR82" i="1"/>
  <c r="G65" i="1"/>
  <c r="AR84" i="1"/>
  <c r="F84" i="1" s="1"/>
  <c r="F81" i="1"/>
  <c r="G66" i="1"/>
  <c r="AR77" i="1"/>
  <c r="F77" i="1" s="1"/>
  <c r="F71" i="1"/>
  <c r="AS70" i="1"/>
  <c r="F67" i="1"/>
  <c r="G67" i="1" s="1"/>
  <c r="L30" i="1"/>
  <c r="L22" i="1"/>
  <c r="L14" i="1"/>
  <c r="L13" i="1"/>
  <c r="L18" i="1"/>
  <c r="L27" i="1"/>
  <c r="L19" i="1"/>
  <c r="L11" i="1"/>
  <c r="L31" i="1"/>
  <c r="L23" i="1"/>
  <c r="L7" i="1"/>
  <c r="L28" i="1"/>
  <c r="L20" i="1"/>
  <c r="L12" i="1"/>
  <c r="L32" i="1"/>
  <c r="L24" i="1"/>
  <c r="L16" i="1"/>
  <c r="L8" i="1"/>
  <c r="L29" i="1"/>
  <c r="L21" i="1"/>
  <c r="L15" i="1"/>
  <c r="L34" i="1"/>
  <c r="L26" i="1"/>
  <c r="L10" i="1"/>
  <c r="L44" i="1"/>
  <c r="L33" i="1"/>
  <c r="L25" i="1"/>
  <c r="L17" i="1"/>
  <c r="L9" i="1"/>
  <c r="M27" i="1"/>
  <c r="M19" i="1"/>
  <c r="M11" i="1"/>
  <c r="M20" i="1"/>
  <c r="M32" i="1"/>
  <c r="M24" i="1"/>
  <c r="M16" i="1"/>
  <c r="M8" i="1"/>
  <c r="M23" i="1"/>
  <c r="M28" i="1"/>
  <c r="M29" i="1"/>
  <c r="M21" i="1"/>
  <c r="M13" i="1"/>
  <c r="M18" i="1"/>
  <c r="M34" i="1"/>
  <c r="M26" i="1"/>
  <c r="M10" i="1"/>
  <c r="M15" i="1"/>
  <c r="M7" i="1"/>
  <c r="M44" i="1"/>
  <c r="M31" i="1"/>
  <c r="M12" i="1"/>
  <c r="M33" i="1"/>
  <c r="M25" i="1"/>
  <c r="M17" i="1"/>
  <c r="M9" i="1"/>
  <c r="M30" i="1"/>
  <c r="M22" i="1"/>
  <c r="M14" i="1"/>
  <c r="K44" i="1"/>
  <c r="K33" i="1"/>
  <c r="K25" i="1"/>
  <c r="K17" i="1"/>
  <c r="K9" i="1"/>
  <c r="K8" i="1"/>
  <c r="K30" i="1"/>
  <c r="K22" i="1"/>
  <c r="K14" i="1"/>
  <c r="K16" i="1"/>
  <c r="K13" i="1"/>
  <c r="K45" i="1"/>
  <c r="K34" i="1"/>
  <c r="K18" i="1"/>
  <c r="K27" i="1"/>
  <c r="K19" i="1"/>
  <c r="K11" i="1"/>
  <c r="K32" i="1"/>
  <c r="K24" i="1"/>
  <c r="K26" i="1"/>
  <c r="K10" i="1"/>
  <c r="K31" i="1"/>
  <c r="K23" i="1"/>
  <c r="K15" i="1"/>
  <c r="K7" i="1"/>
  <c r="K29" i="1"/>
  <c r="K21" i="1"/>
  <c r="K28" i="1"/>
  <c r="K20" i="1"/>
  <c r="K12" i="1"/>
  <c r="G69" i="1" l="1"/>
  <c r="AR85" i="1"/>
  <c r="G68" i="1"/>
  <c r="AS73" i="1"/>
  <c r="F70" i="1"/>
  <c r="G70" i="1" s="1"/>
  <c r="AR80" i="1"/>
  <c r="F80" i="1" s="1"/>
  <c r="I5" i="1" a="1"/>
  <c r="I5" i="1" s="1"/>
  <c r="J5" i="1" a="1"/>
  <c r="J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 s="1"/>
  <c r="U5" i="1" a="1"/>
  <c r="U5" i="1" s="1"/>
  <c r="V5" i="1" a="1"/>
  <c r="V5" i="1" s="1"/>
  <c r="W5" i="1" a="1"/>
  <c r="W5" i="1" s="1"/>
  <c r="X5" i="1" a="1"/>
  <c r="X5" i="1" s="1"/>
  <c r="Y5" i="1" a="1"/>
  <c r="Y5" i="1" s="1"/>
  <c r="Z5" i="1" a="1"/>
  <c r="Z5" i="1" s="1"/>
  <c r="AA5" i="1" a="1"/>
  <c r="AA5" i="1" s="1"/>
  <c r="AB5" i="1" a="1"/>
  <c r="AB5" i="1" s="1"/>
  <c r="AC5" i="1" a="1"/>
  <c r="AC5" i="1" s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U5" i="1" a="1"/>
  <c r="AU5" i="1" s="1"/>
  <c r="AV5" i="1" a="1"/>
  <c r="AV5" i="1" s="1"/>
  <c r="AW5" i="1" a="1"/>
  <c r="AW5" i="1" s="1"/>
  <c r="AX5" i="1" a="1"/>
  <c r="AX5" i="1" s="1"/>
  <c r="AY5" i="1" a="1"/>
  <c r="AY5" i="1" s="1"/>
  <c r="AZ5" i="1" a="1"/>
  <c r="AZ5" i="1" s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BI5" i="1" a="1"/>
  <c r="BI5" i="1" s="1"/>
  <c r="BJ5" i="1" a="1"/>
  <c r="BJ5" i="1" s="1"/>
  <c r="BK5" i="1" a="1"/>
  <c r="BK5" i="1" s="1"/>
  <c r="BL5" i="1" a="1"/>
  <c r="BL5" i="1" s="1"/>
  <c r="BM5" i="1" a="1"/>
  <c r="BM5" i="1" s="1"/>
  <c r="BN5" i="1" a="1"/>
  <c r="BN5" i="1" s="1"/>
  <c r="BO5" i="1" a="1"/>
  <c r="BO5" i="1" s="1"/>
  <c r="H5" i="1" a="1"/>
  <c r="H5" i="1" s="1"/>
  <c r="G71" i="1" l="1"/>
  <c r="G72" i="1"/>
  <c r="AR83" i="1"/>
  <c r="F83" i="1" s="1"/>
  <c r="AS79" i="1"/>
  <c r="F79" i="1" s="1"/>
  <c r="G79" i="1" s="1"/>
  <c r="F73" i="1"/>
  <c r="G73" i="1" s="1"/>
  <c r="BN91" i="1"/>
  <c r="BN6" i="1"/>
  <c r="BJ91" i="1"/>
  <c r="BJ6" i="1"/>
  <c r="BI91" i="1"/>
  <c r="BI6" i="1"/>
  <c r="BH91" i="1"/>
  <c r="BH6" i="1"/>
  <c r="BG91" i="1"/>
  <c r="BG6" i="1"/>
  <c r="AN91" i="1"/>
  <c r="AN6" i="1"/>
  <c r="AL91" i="1"/>
  <c r="AL6" i="1"/>
  <c r="AM91" i="1"/>
  <c r="AM6" i="1"/>
  <c r="V91" i="1"/>
  <c r="V6" i="1"/>
  <c r="Y91" i="1"/>
  <c r="Y6" i="1"/>
  <c r="AB91" i="1"/>
  <c r="AB6" i="1"/>
  <c r="S91" i="1"/>
  <c r="S6" i="1"/>
  <c r="AK91" i="1"/>
  <c r="AK6" i="1"/>
  <c r="J45" i="1"/>
  <c r="I45" i="1"/>
  <c r="J44" i="1"/>
  <c r="I44" i="1"/>
  <c r="J43" i="1"/>
  <c r="I43" i="1"/>
  <c r="J42" i="1"/>
  <c r="I42" i="1"/>
  <c r="J41" i="1"/>
  <c r="I41" i="1"/>
  <c r="J39" i="1"/>
  <c r="I39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B7" i="1"/>
  <c r="B91" i="1"/>
  <c r="E4" i="1"/>
  <c r="D4" i="1"/>
  <c r="G81" i="1" l="1"/>
  <c r="G77" i="1"/>
  <c r="G78" i="1"/>
  <c r="G75" i="1"/>
  <c r="G74" i="1"/>
  <c r="G76" i="1"/>
  <c r="G80" i="1"/>
  <c r="AS82" i="1"/>
  <c r="F82" i="1" s="1"/>
  <c r="G82" i="1" s="1"/>
  <c r="AB49" i="1"/>
  <c r="AB48" i="1"/>
  <c r="AB46" i="1"/>
  <c r="AB47" i="1"/>
  <c r="AB45" i="1"/>
  <c r="V47" i="1"/>
  <c r="V49" i="1"/>
  <c r="V48" i="1"/>
  <c r="V46" i="1"/>
  <c r="V45" i="1"/>
  <c r="AM45" i="1"/>
  <c r="AM47" i="1"/>
  <c r="AM48" i="1"/>
  <c r="AM49" i="1"/>
  <c r="AM46" i="1"/>
  <c r="AL47" i="1"/>
  <c r="AL45" i="1"/>
  <c r="AL46" i="1"/>
  <c r="AL49" i="1"/>
  <c r="AL48" i="1"/>
  <c r="AN46" i="1"/>
  <c r="AN45" i="1"/>
  <c r="AN47" i="1"/>
  <c r="AN48" i="1"/>
  <c r="AN49" i="1"/>
  <c r="S46" i="1"/>
  <c r="S48" i="1"/>
  <c r="S49" i="1"/>
  <c r="S45" i="1"/>
  <c r="S47" i="1"/>
  <c r="Y47" i="1"/>
  <c r="Y48" i="1"/>
  <c r="Y45" i="1"/>
  <c r="Y46" i="1"/>
  <c r="Y49" i="1"/>
  <c r="AK45" i="1"/>
  <c r="AK48" i="1"/>
  <c r="AK46" i="1"/>
  <c r="AK47" i="1"/>
  <c r="AK49" i="1"/>
  <c r="BG46" i="1"/>
  <c r="BG48" i="1"/>
  <c r="BG47" i="1"/>
  <c r="BG49" i="1"/>
  <c r="BG45" i="1"/>
  <c r="BH46" i="1"/>
  <c r="BH48" i="1"/>
  <c r="BH49" i="1"/>
  <c r="BH45" i="1"/>
  <c r="BH47" i="1"/>
  <c r="BI45" i="1"/>
  <c r="BI49" i="1"/>
  <c r="BI46" i="1"/>
  <c r="BI47" i="1"/>
  <c r="BI48" i="1"/>
  <c r="BJ45" i="1"/>
  <c r="BJ48" i="1"/>
  <c r="BJ46" i="1"/>
  <c r="BJ49" i="1"/>
  <c r="BJ47" i="1"/>
  <c r="BN49" i="1"/>
  <c r="BN45" i="1"/>
  <c r="BN47" i="1"/>
  <c r="BN48" i="1"/>
  <c r="BN46" i="1"/>
  <c r="BN38" i="1"/>
  <c r="BN30" i="1"/>
  <c r="BN22" i="1"/>
  <c r="BN14" i="1"/>
  <c r="BN27" i="1"/>
  <c r="BN32" i="1"/>
  <c r="BN7" i="1"/>
  <c r="BN37" i="1"/>
  <c r="BN29" i="1"/>
  <c r="BN21" i="1"/>
  <c r="BN13" i="1"/>
  <c r="BN11" i="1"/>
  <c r="BN40" i="1"/>
  <c r="BN8" i="1"/>
  <c r="BN44" i="1"/>
  <c r="BN36" i="1"/>
  <c r="BN28" i="1"/>
  <c r="BN20" i="1"/>
  <c r="BN12" i="1"/>
  <c r="BN43" i="1"/>
  <c r="BN35" i="1"/>
  <c r="BN19" i="1"/>
  <c r="BN15" i="1"/>
  <c r="BN42" i="1"/>
  <c r="BN34" i="1"/>
  <c r="BN26" i="1"/>
  <c r="BN18" i="1"/>
  <c r="BN10" i="1"/>
  <c r="BN25" i="1"/>
  <c r="BN9" i="1"/>
  <c r="BN24" i="1"/>
  <c r="BN41" i="1"/>
  <c r="BN33" i="1"/>
  <c r="BN17" i="1"/>
  <c r="BN16" i="1"/>
  <c r="BN39" i="1"/>
  <c r="BN31" i="1"/>
  <c r="BN23" i="1"/>
  <c r="BH28" i="1"/>
  <c r="BH30" i="1"/>
  <c r="BH31" i="1"/>
  <c r="BH29" i="1"/>
  <c r="BI29" i="1"/>
  <c r="BI28" i="1"/>
  <c r="BI30" i="1"/>
  <c r="BI31" i="1"/>
  <c r="BG28" i="1"/>
  <c r="BG30" i="1"/>
  <c r="BG29" i="1"/>
  <c r="BG31" i="1"/>
  <c r="BJ28" i="1"/>
  <c r="BJ30" i="1"/>
  <c r="BJ29" i="1"/>
  <c r="BJ31" i="1"/>
  <c r="BJ38" i="1"/>
  <c r="BJ20" i="1"/>
  <c r="BJ12" i="1"/>
  <c r="BJ37" i="1"/>
  <c r="BJ27" i="1"/>
  <c r="BJ19" i="1"/>
  <c r="BJ11" i="1"/>
  <c r="BJ22" i="1"/>
  <c r="BJ44" i="1"/>
  <c r="BJ36" i="1"/>
  <c r="BJ26" i="1"/>
  <c r="BJ18" i="1"/>
  <c r="BJ10" i="1"/>
  <c r="BJ32" i="1"/>
  <c r="BJ43" i="1"/>
  <c r="BJ35" i="1"/>
  <c r="BJ25" i="1"/>
  <c r="BJ17" i="1"/>
  <c r="BJ9" i="1"/>
  <c r="BJ13" i="1"/>
  <c r="BJ42" i="1"/>
  <c r="BJ34" i="1"/>
  <c r="BJ24" i="1"/>
  <c r="BJ16" i="1"/>
  <c r="BJ8" i="1"/>
  <c r="BJ15" i="1"/>
  <c r="BJ40" i="1"/>
  <c r="BJ14" i="1"/>
  <c r="BJ41" i="1"/>
  <c r="BJ33" i="1"/>
  <c r="BJ23" i="1"/>
  <c r="BJ7" i="1"/>
  <c r="BJ39" i="1"/>
  <c r="BJ21" i="1"/>
  <c r="BI38" i="1"/>
  <c r="BI20" i="1"/>
  <c r="BI12" i="1"/>
  <c r="BI44" i="1"/>
  <c r="BI36" i="1"/>
  <c r="BI26" i="1"/>
  <c r="BI18" i="1"/>
  <c r="BI10" i="1"/>
  <c r="BI34" i="1"/>
  <c r="BI8" i="1"/>
  <c r="BI14" i="1"/>
  <c r="BI43" i="1"/>
  <c r="BI35" i="1"/>
  <c r="BI25" i="1"/>
  <c r="BI17" i="1"/>
  <c r="BI9" i="1"/>
  <c r="BI16" i="1"/>
  <c r="BI22" i="1"/>
  <c r="BI19" i="1"/>
  <c r="BI42" i="1"/>
  <c r="BI24" i="1"/>
  <c r="BI37" i="1"/>
  <c r="BI11" i="1"/>
  <c r="BI41" i="1"/>
  <c r="BI33" i="1"/>
  <c r="BI23" i="1"/>
  <c r="BI15" i="1"/>
  <c r="BI7" i="1"/>
  <c r="BI40" i="1"/>
  <c r="BI32" i="1"/>
  <c r="BI39" i="1"/>
  <c r="BI21" i="1"/>
  <c r="BI13" i="1"/>
  <c r="BI27" i="1"/>
  <c r="BH38" i="1"/>
  <c r="BH20" i="1"/>
  <c r="BH12" i="1"/>
  <c r="BH37" i="1"/>
  <c r="BH27" i="1"/>
  <c r="BH19" i="1"/>
  <c r="BH11" i="1"/>
  <c r="BH25" i="1"/>
  <c r="BH44" i="1"/>
  <c r="BH36" i="1"/>
  <c r="BH26" i="1"/>
  <c r="BH18" i="1"/>
  <c r="BH10" i="1"/>
  <c r="BH35" i="1"/>
  <c r="BH9" i="1"/>
  <c r="BH43" i="1"/>
  <c r="BH17" i="1"/>
  <c r="BH42" i="1"/>
  <c r="BH34" i="1"/>
  <c r="BH24" i="1"/>
  <c r="BH16" i="1"/>
  <c r="BH8" i="1"/>
  <c r="BH40" i="1"/>
  <c r="BH22" i="1"/>
  <c r="BH21" i="1"/>
  <c r="BH41" i="1"/>
  <c r="BH33" i="1"/>
  <c r="BH23" i="1"/>
  <c r="BH15" i="1"/>
  <c r="BH7" i="1"/>
  <c r="BH32" i="1"/>
  <c r="BH14" i="1"/>
  <c r="BH13" i="1"/>
  <c r="BH39" i="1"/>
  <c r="BG38" i="1"/>
  <c r="BG20" i="1"/>
  <c r="BG12" i="1"/>
  <c r="BG37" i="1"/>
  <c r="BG27" i="1"/>
  <c r="BG19" i="1"/>
  <c r="BG11" i="1"/>
  <c r="BG18" i="1"/>
  <c r="BG35" i="1"/>
  <c r="BG25" i="1"/>
  <c r="BG17" i="1"/>
  <c r="BG33" i="1"/>
  <c r="BG7" i="1"/>
  <c r="BG32" i="1"/>
  <c r="BG44" i="1"/>
  <c r="BG36" i="1"/>
  <c r="BG26" i="1"/>
  <c r="BG10" i="1"/>
  <c r="BG9" i="1"/>
  <c r="BG23" i="1"/>
  <c r="BG22" i="1"/>
  <c r="BG13" i="1"/>
  <c r="BG43" i="1"/>
  <c r="BG42" i="1"/>
  <c r="BG34" i="1"/>
  <c r="BG24" i="1"/>
  <c r="BG16" i="1"/>
  <c r="BG8" i="1"/>
  <c r="BG15" i="1"/>
  <c r="BG40" i="1"/>
  <c r="BG41" i="1"/>
  <c r="BG14" i="1"/>
  <c r="BG39" i="1"/>
  <c r="BG21" i="1"/>
  <c r="AN38" i="1"/>
  <c r="AN30" i="1"/>
  <c r="AN22" i="1"/>
  <c r="AN14" i="1"/>
  <c r="AN12" i="1"/>
  <c r="AN35" i="1"/>
  <c r="AN19" i="1"/>
  <c r="AN11" i="1"/>
  <c r="AN32" i="1"/>
  <c r="AN16" i="1"/>
  <c r="AN31" i="1"/>
  <c r="AN37" i="1"/>
  <c r="AN29" i="1"/>
  <c r="AN21" i="1"/>
  <c r="AN13" i="1"/>
  <c r="AN27" i="1"/>
  <c r="AN40" i="1"/>
  <c r="AN8" i="1"/>
  <c r="AN15" i="1"/>
  <c r="AN44" i="1"/>
  <c r="AN36" i="1"/>
  <c r="AN28" i="1"/>
  <c r="AN20" i="1"/>
  <c r="AN43" i="1"/>
  <c r="AN7" i="1"/>
  <c r="AN42" i="1"/>
  <c r="AN34" i="1"/>
  <c r="AN26" i="1"/>
  <c r="AN18" i="1"/>
  <c r="AN10" i="1"/>
  <c r="AN41" i="1"/>
  <c r="AN33" i="1"/>
  <c r="AN25" i="1"/>
  <c r="AN17" i="1"/>
  <c r="AN9" i="1"/>
  <c r="AN24" i="1"/>
  <c r="AN39" i="1"/>
  <c r="AN23" i="1"/>
  <c r="AL38" i="1"/>
  <c r="AL30" i="1"/>
  <c r="AL22" i="1"/>
  <c r="AL14" i="1"/>
  <c r="AL11" i="1"/>
  <c r="AL8" i="1"/>
  <c r="AL37" i="1"/>
  <c r="AL29" i="1"/>
  <c r="AL21" i="1"/>
  <c r="AL13" i="1"/>
  <c r="AL27" i="1"/>
  <c r="AL23" i="1"/>
  <c r="AL44" i="1"/>
  <c r="AL36" i="1"/>
  <c r="AL28" i="1"/>
  <c r="AL20" i="1"/>
  <c r="AL12" i="1"/>
  <c r="AL43" i="1"/>
  <c r="AL35" i="1"/>
  <c r="AL19" i="1"/>
  <c r="AL15" i="1"/>
  <c r="AL42" i="1"/>
  <c r="AL34" i="1"/>
  <c r="AL26" i="1"/>
  <c r="AL18" i="1"/>
  <c r="AL10" i="1"/>
  <c r="AL40" i="1"/>
  <c r="AL16" i="1"/>
  <c r="AL7" i="1"/>
  <c r="AL41" i="1"/>
  <c r="AL33" i="1"/>
  <c r="AL25" i="1"/>
  <c r="AL17" i="1"/>
  <c r="AL9" i="1"/>
  <c r="AL32" i="1"/>
  <c r="AL24" i="1"/>
  <c r="AL31" i="1"/>
  <c r="AL39" i="1"/>
  <c r="AM38" i="1"/>
  <c r="AM30" i="1"/>
  <c r="AM22" i="1"/>
  <c r="AM14" i="1"/>
  <c r="AM27" i="1"/>
  <c r="AM19" i="1"/>
  <c r="AM17" i="1"/>
  <c r="AM32" i="1"/>
  <c r="AM23" i="1"/>
  <c r="AM37" i="1"/>
  <c r="AM29" i="1"/>
  <c r="AM21" i="1"/>
  <c r="AM13" i="1"/>
  <c r="AM35" i="1"/>
  <c r="AM11" i="1"/>
  <c r="AM40" i="1"/>
  <c r="AM8" i="1"/>
  <c r="AM15" i="1"/>
  <c r="AM44" i="1"/>
  <c r="AM36" i="1"/>
  <c r="AM28" i="1"/>
  <c r="AM20" i="1"/>
  <c r="AM12" i="1"/>
  <c r="AM43" i="1"/>
  <c r="AM16" i="1"/>
  <c r="AM42" i="1"/>
  <c r="AM34" i="1"/>
  <c r="AM26" i="1"/>
  <c r="AM18" i="1"/>
  <c r="AM10" i="1"/>
  <c r="AM41" i="1"/>
  <c r="AM25" i="1"/>
  <c r="AM9" i="1"/>
  <c r="AM24" i="1"/>
  <c r="AM31" i="1"/>
  <c r="AM33" i="1"/>
  <c r="AM39" i="1"/>
  <c r="AM7" i="1"/>
  <c r="AB44" i="1"/>
  <c r="AB42" i="1"/>
  <c r="AB43" i="1"/>
  <c r="Y42" i="1"/>
  <c r="Y43" i="1"/>
  <c r="Y44" i="1"/>
  <c r="V43" i="1"/>
  <c r="V42" i="1"/>
  <c r="V44" i="1"/>
  <c r="V34" i="1"/>
  <c r="V26" i="1"/>
  <c r="V18" i="1"/>
  <c r="V10" i="1"/>
  <c r="V23" i="1"/>
  <c r="V29" i="1"/>
  <c r="V20" i="1"/>
  <c r="V41" i="1"/>
  <c r="V33" i="1"/>
  <c r="V25" i="1"/>
  <c r="V17" i="1"/>
  <c r="V9" i="1"/>
  <c r="V31" i="1"/>
  <c r="V11" i="1"/>
  <c r="V40" i="1"/>
  <c r="V32" i="1"/>
  <c r="V24" i="1"/>
  <c r="V16" i="1"/>
  <c r="V8" i="1"/>
  <c r="V15" i="1"/>
  <c r="V7" i="1"/>
  <c r="V13" i="1"/>
  <c r="V36" i="1"/>
  <c r="V39" i="1"/>
  <c r="V12" i="1"/>
  <c r="V38" i="1"/>
  <c r="V30" i="1"/>
  <c r="V22" i="1"/>
  <c r="V14" i="1"/>
  <c r="V21" i="1"/>
  <c r="V28" i="1"/>
  <c r="V37" i="1"/>
  <c r="V35" i="1"/>
  <c r="V27" i="1"/>
  <c r="V19" i="1"/>
  <c r="Y34" i="1"/>
  <c r="Y26" i="1"/>
  <c r="Y18" i="1"/>
  <c r="Y10" i="1"/>
  <c r="Y15" i="1"/>
  <c r="Y19" i="1"/>
  <c r="Y41" i="1"/>
  <c r="Y33" i="1"/>
  <c r="Y25" i="1"/>
  <c r="Y17" i="1"/>
  <c r="Y9" i="1"/>
  <c r="Y7" i="1"/>
  <c r="Y35" i="1"/>
  <c r="Y40" i="1"/>
  <c r="Y32" i="1"/>
  <c r="Y24" i="1"/>
  <c r="Y16" i="1"/>
  <c r="Y8" i="1"/>
  <c r="Y23" i="1"/>
  <c r="Y11" i="1"/>
  <c r="Y39" i="1"/>
  <c r="Y31" i="1"/>
  <c r="Y38" i="1"/>
  <c r="Y30" i="1"/>
  <c r="Y22" i="1"/>
  <c r="Y14" i="1"/>
  <c r="Y21" i="1"/>
  <c r="Y37" i="1"/>
  <c r="Y29" i="1"/>
  <c r="Y13" i="1"/>
  <c r="Y27" i="1"/>
  <c r="Y36" i="1"/>
  <c r="Y28" i="1"/>
  <c r="Y20" i="1"/>
  <c r="Y12" i="1"/>
  <c r="AB34" i="1"/>
  <c r="AB26" i="1"/>
  <c r="AB18" i="1"/>
  <c r="AB10" i="1"/>
  <c r="AB39" i="1"/>
  <c r="AB7" i="1"/>
  <c r="AB29" i="1"/>
  <c r="AB41" i="1"/>
  <c r="AB33" i="1"/>
  <c r="AB25" i="1"/>
  <c r="AB17" i="1"/>
  <c r="AB9" i="1"/>
  <c r="AB24" i="1"/>
  <c r="AB8" i="1"/>
  <c r="AB23" i="1"/>
  <c r="AB30" i="1"/>
  <c r="AB21" i="1"/>
  <c r="AB27" i="1"/>
  <c r="AB40" i="1"/>
  <c r="AB32" i="1"/>
  <c r="AB16" i="1"/>
  <c r="AB15" i="1"/>
  <c r="AB22" i="1"/>
  <c r="AB14" i="1"/>
  <c r="AB37" i="1"/>
  <c r="AB35" i="1"/>
  <c r="AB11" i="1"/>
  <c r="AB31" i="1"/>
  <c r="AB19" i="1"/>
  <c r="AB38" i="1"/>
  <c r="AB13" i="1"/>
  <c r="AB36" i="1"/>
  <c r="AB28" i="1"/>
  <c r="AB20" i="1"/>
  <c r="AB12" i="1"/>
  <c r="S43" i="1"/>
  <c r="S44" i="1"/>
  <c r="S42" i="1"/>
  <c r="S34" i="1"/>
  <c r="S26" i="1"/>
  <c r="S18" i="1"/>
  <c r="S10" i="1"/>
  <c r="S8" i="1"/>
  <c r="S31" i="1"/>
  <c r="S29" i="1"/>
  <c r="S20" i="1"/>
  <c r="S11" i="1"/>
  <c r="S41" i="1"/>
  <c r="S33" i="1"/>
  <c r="S25" i="1"/>
  <c r="S17" i="1"/>
  <c r="S9" i="1"/>
  <c r="S16" i="1"/>
  <c r="S23" i="1"/>
  <c r="S7" i="1"/>
  <c r="S14" i="1"/>
  <c r="S13" i="1"/>
  <c r="S28" i="1"/>
  <c r="S19" i="1"/>
  <c r="S40" i="1"/>
  <c r="S32" i="1"/>
  <c r="S24" i="1"/>
  <c r="S15" i="1"/>
  <c r="S22" i="1"/>
  <c r="S21" i="1"/>
  <c r="S36" i="1"/>
  <c r="S39" i="1"/>
  <c r="S27" i="1"/>
  <c r="S38" i="1"/>
  <c r="S30" i="1"/>
  <c r="S12" i="1"/>
  <c r="S37" i="1"/>
  <c r="S35" i="1"/>
  <c r="AK37" i="1"/>
  <c r="AK44" i="1"/>
  <c r="AK38" i="1"/>
  <c r="AK43" i="1"/>
  <c r="AK39" i="1"/>
  <c r="AK40" i="1"/>
  <c r="AK41" i="1"/>
  <c r="AK42" i="1"/>
  <c r="AK31" i="1"/>
  <c r="AK23" i="1"/>
  <c r="AK15" i="1"/>
  <c r="AK7" i="1"/>
  <c r="AK30" i="1"/>
  <c r="AK22" i="1"/>
  <c r="AK14" i="1"/>
  <c r="AK29" i="1"/>
  <c r="AK21" i="1"/>
  <c r="AK28" i="1"/>
  <c r="AK12" i="1"/>
  <c r="AK19" i="1"/>
  <c r="AK26" i="1"/>
  <c r="AK10" i="1"/>
  <c r="AK33" i="1"/>
  <c r="AK24" i="1"/>
  <c r="AK13" i="1"/>
  <c r="AK20" i="1"/>
  <c r="AK27" i="1"/>
  <c r="AK11" i="1"/>
  <c r="AK34" i="1"/>
  <c r="AK18" i="1"/>
  <c r="AK25" i="1"/>
  <c r="AK9" i="1"/>
  <c r="AK16" i="1"/>
  <c r="AK36" i="1"/>
  <c r="AK17" i="1"/>
  <c r="AK8" i="1"/>
  <c r="AK35" i="1"/>
  <c r="AK32" i="1"/>
  <c r="C4" i="1"/>
  <c r="B43" i="1"/>
  <c r="B45" i="1"/>
  <c r="B44" i="1"/>
  <c r="B42" i="1"/>
  <c r="AD6" i="1"/>
  <c r="G84" i="1" l="1"/>
  <c r="G83" i="1"/>
  <c r="AS85" i="1"/>
  <c r="F85" i="1" s="1"/>
  <c r="G85" i="1" s="1"/>
  <c r="AD9" i="1"/>
  <c r="AD47" i="1"/>
  <c r="AD45" i="1"/>
  <c r="AD49" i="1"/>
  <c r="AD48" i="1"/>
  <c r="AD46" i="1"/>
  <c r="U91" i="1"/>
  <c r="U6" i="1"/>
  <c r="AD7" i="1"/>
  <c r="AD40" i="1"/>
  <c r="AD33" i="1"/>
  <c r="AD31" i="1"/>
  <c r="AD36" i="1"/>
  <c r="AD20" i="1"/>
  <c r="AD26" i="1"/>
  <c r="AA91" i="1"/>
  <c r="AA6" i="1"/>
  <c r="AD14" i="1"/>
  <c r="AD21" i="1"/>
  <c r="AD15" i="1"/>
  <c r="AD19" i="1"/>
  <c r="AD16" i="1"/>
  <c r="AD10" i="1"/>
  <c r="X91" i="1"/>
  <c r="X6" i="1"/>
  <c r="AD24" i="1"/>
  <c r="AD37" i="1"/>
  <c r="AD38" i="1"/>
  <c r="AD34" i="1"/>
  <c r="AD35" i="1"/>
  <c r="AD41" i="1"/>
  <c r="AD32" i="1"/>
  <c r="AD8" i="1"/>
  <c r="AD18" i="1"/>
  <c r="AD17" i="1"/>
  <c r="AD23" i="1"/>
  <c r="AD22" i="1"/>
  <c r="AD13" i="1"/>
  <c r="AD28" i="1"/>
  <c r="AD27" i="1"/>
  <c r="AD11" i="1"/>
  <c r="AD12" i="1"/>
  <c r="AD29" i="1"/>
  <c r="AD30" i="1"/>
  <c r="AD25" i="1"/>
  <c r="AD39" i="1"/>
  <c r="AD91" i="1"/>
  <c r="X49" i="1" l="1"/>
  <c r="X48" i="1"/>
  <c r="X46" i="1"/>
  <c r="X45" i="1"/>
  <c r="X47" i="1"/>
  <c r="AA45" i="1"/>
  <c r="AA49" i="1"/>
  <c r="AA47" i="1"/>
  <c r="AA48" i="1"/>
  <c r="AA46" i="1"/>
  <c r="U48" i="1"/>
  <c r="U46" i="1"/>
  <c r="U45" i="1"/>
  <c r="U49" i="1"/>
  <c r="U47" i="1"/>
  <c r="X8" i="1"/>
  <c r="X38" i="1"/>
  <c r="X12" i="1"/>
  <c r="X18" i="1"/>
  <c r="X23" i="1"/>
  <c r="X13" i="1"/>
  <c r="X32" i="1"/>
  <c r="X25" i="1"/>
  <c r="X37" i="1"/>
  <c r="X41" i="1"/>
  <c r="X28" i="1"/>
  <c r="X14" i="1"/>
  <c r="X16" i="1"/>
  <c r="X21" i="1"/>
  <c r="X20" i="1"/>
  <c r="X24" i="1"/>
  <c r="X29" i="1"/>
  <c r="X31" i="1"/>
  <c r="X9" i="1"/>
  <c r="X10" i="1"/>
  <c r="X35" i="1"/>
  <c r="X36" i="1"/>
  <c r="X30" i="1"/>
  <c r="X26" i="1"/>
  <c r="X33" i="1"/>
  <c r="X40" i="1"/>
  <c r="X17" i="1"/>
  <c r="X22" i="1"/>
  <c r="X27" i="1"/>
  <c r="X11" i="1"/>
  <c r="X15" i="1"/>
  <c r="X19" i="1"/>
  <c r="X39" i="1"/>
  <c r="X34" i="1"/>
  <c r="X7" i="1"/>
  <c r="U23" i="1"/>
  <c r="U38" i="1"/>
  <c r="U28" i="1"/>
  <c r="U27" i="1"/>
  <c r="U11" i="1"/>
  <c r="U12" i="1"/>
  <c r="U21" i="1"/>
  <c r="U16" i="1"/>
  <c r="U33" i="1"/>
  <c r="U32" i="1"/>
  <c r="U31" i="1"/>
  <c r="U26" i="1"/>
  <c r="U17" i="1"/>
  <c r="U22" i="1"/>
  <c r="U41" i="1"/>
  <c r="U9" i="1"/>
  <c r="U8" i="1"/>
  <c r="U20" i="1"/>
  <c r="U35" i="1"/>
  <c r="U10" i="1"/>
  <c r="U25" i="1"/>
  <c r="U36" i="1"/>
  <c r="U15" i="1"/>
  <c r="U13" i="1"/>
  <c r="U34" i="1"/>
  <c r="U39" i="1"/>
  <c r="U30" i="1"/>
  <c r="U19" i="1"/>
  <c r="U40" i="1"/>
  <c r="U7" i="1"/>
  <c r="U18" i="1"/>
  <c r="U14" i="1"/>
  <c r="U24" i="1"/>
  <c r="U29" i="1"/>
  <c r="U37" i="1"/>
  <c r="AA41" i="1"/>
  <c r="AA38" i="1"/>
  <c r="AA16" i="1"/>
  <c r="AA32" i="1"/>
  <c r="AA18" i="1"/>
  <c r="AA17" i="1"/>
  <c r="AA8" i="1"/>
  <c r="AA23" i="1"/>
  <c r="AA22" i="1"/>
  <c r="AA13" i="1"/>
  <c r="AA27" i="1"/>
  <c r="AA11" i="1"/>
  <c r="AA12" i="1"/>
  <c r="AA28" i="1"/>
  <c r="AA35" i="1"/>
  <c r="AA25" i="1"/>
  <c r="AA21" i="1"/>
  <c r="AA37" i="1"/>
  <c r="AA15" i="1"/>
  <c r="AA9" i="1"/>
  <c r="AA14" i="1"/>
  <c r="AA29" i="1"/>
  <c r="AA31" i="1"/>
  <c r="AA20" i="1"/>
  <c r="AA33" i="1"/>
  <c r="AA26" i="1"/>
  <c r="AA24" i="1"/>
  <c r="AA36" i="1"/>
  <c r="AA39" i="1"/>
  <c r="AA10" i="1"/>
  <c r="AA30" i="1"/>
  <c r="AA7" i="1"/>
  <c r="AA19" i="1"/>
  <c r="AA34" i="1"/>
  <c r="AA40" i="1"/>
  <c r="AJ91" i="1" l="1"/>
  <c r="AJ6" i="1"/>
  <c r="AJ45" i="1" s="1"/>
  <c r="AI91" i="1"/>
  <c r="AI6" i="1"/>
  <c r="AI45" i="1" s="1"/>
  <c r="B41" i="1"/>
  <c r="AI30" i="1" l="1"/>
  <c r="AI39" i="1"/>
  <c r="AI38" i="1"/>
  <c r="AI14" i="1"/>
  <c r="AI29" i="1"/>
  <c r="AI36" i="1"/>
  <c r="AI8" i="1"/>
  <c r="AI7" i="1"/>
  <c r="AI13" i="1"/>
  <c r="AI9" i="1"/>
  <c r="AI32" i="1"/>
  <c r="AI31" i="1"/>
  <c r="AI20" i="1"/>
  <c r="AI35" i="1"/>
  <c r="AI34" i="1"/>
  <c r="AI28" i="1"/>
  <c r="AI12" i="1"/>
  <c r="AI16" i="1"/>
  <c r="AI21" i="1"/>
  <c r="AI22" i="1"/>
  <c r="AI25" i="1"/>
  <c r="AI15" i="1"/>
  <c r="AI24" i="1"/>
  <c r="AI33" i="1"/>
  <c r="AI19" i="1"/>
  <c r="AI27" i="1"/>
  <c r="AI18" i="1"/>
  <c r="AI26" i="1"/>
  <c r="AI23" i="1"/>
  <c r="AI11" i="1"/>
  <c r="AI17" i="1"/>
  <c r="AI10" i="1"/>
  <c r="AJ25" i="1"/>
  <c r="AJ38" i="1"/>
  <c r="AJ36" i="1"/>
  <c r="AJ34" i="1"/>
  <c r="AJ28" i="1"/>
  <c r="AJ29" i="1"/>
  <c r="AJ24" i="1"/>
  <c r="AJ12" i="1"/>
  <c r="AJ8" i="1"/>
  <c r="AJ7" i="1"/>
  <c r="AJ35" i="1"/>
  <c r="AJ18" i="1"/>
  <c r="AJ9" i="1"/>
  <c r="AJ23" i="1"/>
  <c r="AJ13" i="1"/>
  <c r="AJ19" i="1"/>
  <c r="AJ14" i="1"/>
  <c r="AJ39" i="1"/>
  <c r="AJ30" i="1"/>
  <c r="AJ32" i="1"/>
  <c r="AJ26" i="1"/>
  <c r="AJ11" i="1"/>
  <c r="AJ17" i="1"/>
  <c r="AJ10" i="1"/>
  <c r="AJ15" i="1"/>
  <c r="AJ33" i="1"/>
  <c r="AJ31" i="1"/>
  <c r="AJ27" i="1"/>
  <c r="AJ22" i="1"/>
  <c r="AJ16" i="1"/>
  <c r="AJ21" i="1"/>
  <c r="AJ20" i="1"/>
  <c r="B6" i="1"/>
  <c r="I91" i="1" l="1"/>
  <c r="AC91" i="1" l="1"/>
  <c r="AC6" i="1"/>
  <c r="Z91" i="1"/>
  <c r="Z6" i="1"/>
  <c r="W91" i="1"/>
  <c r="W6" i="1"/>
  <c r="T91" i="1"/>
  <c r="T6" i="1"/>
  <c r="B38" i="1"/>
  <c r="T49" i="1" l="1"/>
  <c r="T46" i="1"/>
  <c r="T48" i="1"/>
  <c r="T45" i="1"/>
  <c r="T47" i="1"/>
  <c r="W27" i="1"/>
  <c r="W49" i="1"/>
  <c r="W47" i="1"/>
  <c r="W48" i="1"/>
  <c r="W46" i="1"/>
  <c r="W45" i="1"/>
  <c r="Z45" i="1"/>
  <c r="Z48" i="1"/>
  <c r="Z47" i="1"/>
  <c r="Z46" i="1"/>
  <c r="Z49" i="1"/>
  <c r="AC47" i="1"/>
  <c r="AC49" i="1"/>
  <c r="AC48" i="1"/>
  <c r="AC45" i="1"/>
  <c r="AC46" i="1"/>
  <c r="T28" i="1"/>
  <c r="T22" i="1"/>
  <c r="T41" i="1"/>
  <c r="T27" i="1"/>
  <c r="T32" i="1"/>
  <c r="T17" i="1"/>
  <c r="T38" i="1"/>
  <c r="T19" i="1"/>
  <c r="T34" i="1"/>
  <c r="T23" i="1"/>
  <c r="T15" i="1"/>
  <c r="T12" i="1"/>
  <c r="T40" i="1"/>
  <c r="T29" i="1"/>
  <c r="T37" i="1"/>
  <c r="T25" i="1"/>
  <c r="T26" i="1"/>
  <c r="T35" i="1"/>
  <c r="T11" i="1"/>
  <c r="T24" i="1"/>
  <c r="T33" i="1"/>
  <c r="T13" i="1"/>
  <c r="T10" i="1"/>
  <c r="T18" i="1"/>
  <c r="T7" i="1"/>
  <c r="T36" i="1"/>
  <c r="T39" i="1"/>
  <c r="T21" i="1"/>
  <c r="T9" i="1"/>
  <c r="T20" i="1"/>
  <c r="T30" i="1"/>
  <c r="T8" i="1"/>
  <c r="T14" i="1"/>
  <c r="T31" i="1"/>
  <c r="T16" i="1"/>
  <c r="Z41" i="1"/>
  <c r="Z38" i="1"/>
  <c r="Z18" i="1"/>
  <c r="Z8" i="1"/>
  <c r="Z23" i="1"/>
  <c r="Z13" i="1"/>
  <c r="Z40" i="1"/>
  <c r="Z11" i="1"/>
  <c r="Z33" i="1"/>
  <c r="Z24" i="1"/>
  <c r="Z32" i="1"/>
  <c r="Z27" i="1"/>
  <c r="Z16" i="1"/>
  <c r="Z25" i="1"/>
  <c r="Z12" i="1"/>
  <c r="Z30" i="1"/>
  <c r="Z31" i="1"/>
  <c r="Z17" i="1"/>
  <c r="Z35" i="1"/>
  <c r="Z21" i="1"/>
  <c r="Z9" i="1"/>
  <c r="Z39" i="1"/>
  <c r="Z7" i="1"/>
  <c r="Z14" i="1"/>
  <c r="Z22" i="1"/>
  <c r="Z20" i="1"/>
  <c r="Z19" i="1"/>
  <c r="Z26" i="1"/>
  <c r="Z34" i="1"/>
  <c r="Z28" i="1"/>
  <c r="Z10" i="1"/>
  <c r="Z36" i="1"/>
  <c r="Z15" i="1"/>
  <c r="Z37" i="1"/>
  <c r="Z29" i="1"/>
  <c r="AC29" i="1"/>
  <c r="AC41" i="1"/>
  <c r="AC39" i="1"/>
  <c r="AC37" i="1"/>
  <c r="AC18" i="1"/>
  <c r="AC38" i="1"/>
  <c r="AC34" i="1"/>
  <c r="AC32" i="1"/>
  <c r="AC17" i="1"/>
  <c r="AC8" i="1"/>
  <c r="AC23" i="1"/>
  <c r="AC22" i="1"/>
  <c r="AC13" i="1"/>
  <c r="AC35" i="1"/>
  <c r="AC28" i="1"/>
  <c r="AC27" i="1"/>
  <c r="AC11" i="1"/>
  <c r="AC12" i="1"/>
  <c r="AC33" i="1"/>
  <c r="AC24" i="1"/>
  <c r="AC20" i="1"/>
  <c r="AC36" i="1"/>
  <c r="AC15" i="1"/>
  <c r="AC16" i="1"/>
  <c r="AC40" i="1"/>
  <c r="AC21" i="1"/>
  <c r="AC9" i="1"/>
  <c r="AC30" i="1"/>
  <c r="AC31" i="1"/>
  <c r="AC26" i="1"/>
  <c r="AC25" i="1"/>
  <c r="AC7" i="1"/>
  <c r="AC14" i="1"/>
  <c r="AC10" i="1"/>
  <c r="AC19" i="1"/>
  <c r="W13" i="1"/>
  <c r="W23" i="1"/>
  <c r="W21" i="1"/>
  <c r="W16" i="1"/>
  <c r="W12" i="1"/>
  <c r="W38" i="1"/>
  <c r="W32" i="1"/>
  <c r="W31" i="1"/>
  <c r="W26" i="1"/>
  <c r="W17" i="1"/>
  <c r="W28" i="1"/>
  <c r="W22" i="1"/>
  <c r="W18" i="1"/>
  <c r="W11" i="1"/>
  <c r="W20" i="1"/>
  <c r="W40" i="1"/>
  <c r="W35" i="1"/>
  <c r="W39" i="1"/>
  <c r="W30" i="1"/>
  <c r="W8" i="1"/>
  <c r="W25" i="1"/>
  <c r="W14" i="1"/>
  <c r="W37" i="1"/>
  <c r="W7" i="1"/>
  <c r="W9" i="1"/>
  <c r="W19" i="1"/>
  <c r="W10" i="1"/>
  <c r="W41" i="1"/>
  <c r="W33" i="1"/>
  <c r="W29" i="1"/>
  <c r="W34" i="1"/>
  <c r="W24" i="1"/>
  <c r="W36" i="1"/>
  <c r="W15" i="1"/>
  <c r="B37" i="1"/>
  <c r="B39" i="1" l="1"/>
  <c r="B40" i="1" l="1"/>
  <c r="AH6" i="1"/>
  <c r="AH45" i="1" s="1"/>
  <c r="AH30" i="1" l="1"/>
  <c r="AH39" i="1"/>
  <c r="AH34" i="1"/>
  <c r="AH36" i="1"/>
  <c r="AH38" i="1"/>
  <c r="AH14" i="1"/>
  <c r="AH8" i="1"/>
  <c r="AH7" i="1"/>
  <c r="AH9" i="1"/>
  <c r="AH29" i="1"/>
  <c r="AH32" i="1"/>
  <c r="AH11" i="1"/>
  <c r="AH20" i="1"/>
  <c r="AH12" i="1"/>
  <c r="AH28" i="1"/>
  <c r="AH16" i="1"/>
  <c r="AH21" i="1"/>
  <c r="AH10" i="1"/>
  <c r="AH15" i="1"/>
  <c r="AH24" i="1"/>
  <c r="AH23" i="1"/>
  <c r="AH33" i="1"/>
  <c r="AH31" i="1"/>
  <c r="AH17" i="1"/>
  <c r="AH19" i="1"/>
  <c r="AH18" i="1"/>
  <c r="AH27" i="1"/>
  <c r="AH22" i="1"/>
  <c r="AH25" i="1"/>
  <c r="AH13" i="1"/>
  <c r="AH35" i="1"/>
  <c r="AH26" i="1"/>
  <c r="AH91" i="1"/>
  <c r="Q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Q48" i="1" l="1"/>
  <c r="Q49" i="1"/>
  <c r="Q46" i="1"/>
  <c r="Q47" i="1"/>
  <c r="Q45" i="1"/>
  <c r="Q28" i="1"/>
  <c r="Q38" i="1"/>
  <c r="Q37" i="1"/>
  <c r="Q35" i="1"/>
  <c r="Q39" i="1"/>
  <c r="Q44" i="1"/>
  <c r="Q43" i="1"/>
  <c r="Q41" i="1"/>
  <c r="Q36" i="1"/>
  <c r="Q42" i="1"/>
  <c r="Q32" i="1"/>
  <c r="Q40" i="1"/>
  <c r="Q34" i="1"/>
  <c r="Q33" i="1"/>
  <c r="Q26" i="1"/>
  <c r="Q24" i="1"/>
  <c r="Q14" i="1"/>
  <c r="Q29" i="1"/>
  <c r="Q20" i="1"/>
  <c r="Q30" i="1"/>
  <c r="Q16" i="1"/>
  <c r="Q15" i="1"/>
  <c r="Q7" i="1"/>
  <c r="Q17" i="1"/>
  <c r="Q31" i="1"/>
  <c r="Q10" i="1"/>
  <c r="Q13" i="1"/>
  <c r="Q11" i="1"/>
  <c r="Q19" i="1"/>
  <c r="Q18" i="1"/>
  <c r="Q22" i="1"/>
  <c r="Q8" i="1"/>
  <c r="Q25" i="1"/>
  <c r="Q9" i="1"/>
  <c r="Q21" i="1"/>
  <c r="Q27" i="1"/>
  <c r="Q12" i="1"/>
  <c r="Q23" i="1"/>
  <c r="B4" i="1"/>
  <c r="Q91" i="1"/>
  <c r="AG6" i="1"/>
  <c r="AF6" i="1"/>
  <c r="AF49" i="1" l="1"/>
  <c r="AF48" i="1"/>
  <c r="AF45" i="1"/>
  <c r="AF47" i="1"/>
  <c r="AF46" i="1"/>
  <c r="AG45" i="1"/>
  <c r="AG48" i="1"/>
  <c r="AG47" i="1"/>
  <c r="AG49" i="1"/>
  <c r="AG46" i="1"/>
  <c r="AF9" i="1"/>
  <c r="AF44" i="1"/>
  <c r="AF43" i="1"/>
  <c r="AF42" i="1"/>
  <c r="AF41" i="1"/>
  <c r="AF40" i="1"/>
  <c r="AF36" i="1"/>
  <c r="AF39" i="1"/>
  <c r="AF23" i="1"/>
  <c r="AF22" i="1"/>
  <c r="AF19" i="1"/>
  <c r="AF13" i="1"/>
  <c r="AF38" i="1"/>
  <c r="AF28" i="1"/>
  <c r="AF27" i="1"/>
  <c r="AF37" i="1"/>
  <c r="AF24" i="1"/>
  <c r="AF14" i="1"/>
  <c r="AF12" i="1"/>
  <c r="AF29" i="1"/>
  <c r="AF18" i="1"/>
  <c r="AF17" i="1"/>
  <c r="AF8" i="1"/>
  <c r="AF20" i="1"/>
  <c r="AF31" i="1"/>
  <c r="AF15" i="1"/>
  <c r="AF26" i="1"/>
  <c r="AF25" i="1"/>
  <c r="AF10" i="1"/>
  <c r="AF30" i="1"/>
  <c r="AF7" i="1"/>
  <c r="AF11" i="1"/>
  <c r="AF21" i="1"/>
  <c r="AF16" i="1"/>
  <c r="AG30" i="1"/>
  <c r="AG39" i="1"/>
  <c r="AG38" i="1"/>
  <c r="AG37" i="1"/>
  <c r="AG23" i="1"/>
  <c r="AG22" i="1"/>
  <c r="AG19" i="1"/>
  <c r="AG13" i="1"/>
  <c r="AG9" i="1"/>
  <c r="AG28" i="1"/>
  <c r="AG27" i="1"/>
  <c r="AG12" i="1"/>
  <c r="AG44" i="1"/>
  <c r="AG24" i="1"/>
  <c r="AG14" i="1"/>
  <c r="AG43" i="1"/>
  <c r="AG29" i="1"/>
  <c r="AG42" i="1"/>
  <c r="AG41" i="1"/>
  <c r="AG36" i="1"/>
  <c r="AG40" i="1"/>
  <c r="AG18" i="1"/>
  <c r="AG7" i="1"/>
  <c r="AG8" i="1"/>
  <c r="AG17" i="1"/>
  <c r="AG11" i="1"/>
  <c r="AG25" i="1"/>
  <c r="AG26" i="1"/>
  <c r="AG16" i="1"/>
  <c r="AG21" i="1"/>
  <c r="AG31" i="1"/>
  <c r="AG15" i="1"/>
  <c r="AG10" i="1"/>
  <c r="AG20" i="1"/>
  <c r="AG91" i="1"/>
  <c r="AF91" i="1"/>
  <c r="AE6" i="1"/>
  <c r="AE47" i="1" l="1"/>
  <c r="AE48" i="1"/>
  <c r="AE49" i="1"/>
  <c r="AE46" i="1"/>
  <c r="AE45" i="1"/>
  <c r="AE14" i="1"/>
  <c r="AE44" i="1"/>
  <c r="AE43" i="1"/>
  <c r="AE42" i="1"/>
  <c r="AE41" i="1"/>
  <c r="AE40" i="1"/>
  <c r="AE36" i="1"/>
  <c r="AE32" i="1"/>
  <c r="AE39" i="1"/>
  <c r="AE38" i="1"/>
  <c r="AE37" i="1"/>
  <c r="AE18" i="1"/>
  <c r="AE17" i="1"/>
  <c r="AE8" i="1"/>
  <c r="AE13" i="1"/>
  <c r="AE19" i="1"/>
  <c r="AE23" i="1"/>
  <c r="AE22" i="1"/>
  <c r="AE28" i="1"/>
  <c r="AE27" i="1"/>
  <c r="AE34" i="1"/>
  <c r="AE24" i="1"/>
  <c r="AE12" i="1"/>
  <c r="AE33" i="1"/>
  <c r="AE29" i="1"/>
  <c r="AE35" i="1"/>
  <c r="AE7" i="1"/>
  <c r="AE21" i="1"/>
  <c r="AE9" i="1"/>
  <c r="AE26" i="1"/>
  <c r="AE15" i="1"/>
  <c r="AE16" i="1"/>
  <c r="AE10" i="1"/>
  <c r="AE20" i="1"/>
  <c r="AE31" i="1"/>
  <c r="AE11" i="1"/>
  <c r="AE30" i="1"/>
  <c r="AE25" i="1"/>
  <c r="AE91" i="1"/>
  <c r="R6" i="1" l="1"/>
  <c r="R46" i="1" l="1"/>
  <c r="R48" i="1"/>
  <c r="R47" i="1"/>
  <c r="R45" i="1"/>
  <c r="R49" i="1"/>
  <c r="R10" i="1"/>
  <c r="R35" i="1"/>
  <c r="R44" i="1"/>
  <c r="R43" i="1"/>
  <c r="R42" i="1"/>
  <c r="R41" i="1"/>
  <c r="R40" i="1"/>
  <c r="R36" i="1"/>
  <c r="R32" i="1"/>
  <c r="R33" i="1"/>
  <c r="R34" i="1"/>
  <c r="R39" i="1"/>
  <c r="R38" i="1"/>
  <c r="R37" i="1"/>
  <c r="R26" i="1"/>
  <c r="R7" i="1"/>
  <c r="R14" i="1"/>
  <c r="R9" i="1"/>
  <c r="R15" i="1"/>
  <c r="R8" i="1"/>
  <c r="R13" i="1"/>
  <c r="R27" i="1"/>
  <c r="R12" i="1"/>
  <c r="R11" i="1"/>
  <c r="R31" i="1"/>
  <c r="R30" i="1"/>
  <c r="R23" i="1"/>
  <c r="R24" i="1"/>
  <c r="R17" i="1"/>
  <c r="R16" i="1"/>
  <c r="R20" i="1"/>
  <c r="R28" i="1"/>
  <c r="R22" i="1"/>
  <c r="R29" i="1"/>
  <c r="R18" i="1"/>
  <c r="R21" i="1"/>
  <c r="R25" i="1"/>
  <c r="R19" i="1"/>
  <c r="R91" i="1"/>
  <c r="N6" i="1"/>
  <c r="O6" i="1"/>
  <c r="P6" i="1"/>
  <c r="AU6" i="1"/>
  <c r="AV6" i="1"/>
  <c r="AW6" i="1"/>
  <c r="AX6" i="1"/>
  <c r="AY6" i="1"/>
  <c r="AZ6" i="1"/>
  <c r="BA6" i="1"/>
  <c r="BB6" i="1"/>
  <c r="BC6" i="1"/>
  <c r="BD6" i="1"/>
  <c r="BE6" i="1"/>
  <c r="BF6" i="1"/>
  <c r="BK6" i="1"/>
  <c r="BL6" i="1"/>
  <c r="BM6" i="1"/>
  <c r="BO6" i="1"/>
  <c r="H6" i="1"/>
  <c r="BF49" i="1" l="1"/>
  <c r="BF48" i="1"/>
  <c r="BF47" i="1"/>
  <c r="BF46" i="1"/>
  <c r="BF45" i="1"/>
  <c r="BM49" i="1"/>
  <c r="BM48" i="1"/>
  <c r="BM46" i="1"/>
  <c r="BM47" i="1"/>
  <c r="BM45" i="1"/>
  <c r="BL49" i="1"/>
  <c r="BL47" i="1"/>
  <c r="BL48" i="1"/>
  <c r="BL46" i="1"/>
  <c r="BL45" i="1"/>
  <c r="BD48" i="1"/>
  <c r="BD49" i="1"/>
  <c r="BD46" i="1"/>
  <c r="BD47" i="1"/>
  <c r="BD45" i="1"/>
  <c r="BB49" i="1"/>
  <c r="BB48" i="1"/>
  <c r="BB46" i="1"/>
  <c r="BB47" i="1"/>
  <c r="BB45" i="1"/>
  <c r="BA48" i="1"/>
  <c r="BA47" i="1"/>
  <c r="BA45" i="1"/>
  <c r="BA46" i="1"/>
  <c r="BA49" i="1"/>
  <c r="AZ49" i="1"/>
  <c r="AZ46" i="1"/>
  <c r="AZ48" i="1"/>
  <c r="AZ47" i="1"/>
  <c r="AZ45" i="1"/>
  <c r="AW48" i="1"/>
  <c r="AW46" i="1"/>
  <c r="AW49" i="1"/>
  <c r="AW47" i="1"/>
  <c r="AW45" i="1"/>
  <c r="AU46" i="1"/>
  <c r="AU47" i="1"/>
  <c r="AU49" i="1"/>
  <c r="AU45" i="1"/>
  <c r="AU48" i="1"/>
  <c r="P48" i="1"/>
  <c r="P47" i="1"/>
  <c r="P45" i="1"/>
  <c r="P49" i="1"/>
  <c r="P46" i="1"/>
  <c r="O48" i="1"/>
  <c r="O49" i="1"/>
  <c r="O46" i="1"/>
  <c r="O47" i="1"/>
  <c r="O45" i="1"/>
  <c r="N46" i="1"/>
  <c r="N45" i="1"/>
  <c r="N48" i="1"/>
  <c r="N49" i="1"/>
  <c r="N47" i="1"/>
  <c r="BC48" i="1"/>
  <c r="BC49" i="1"/>
  <c r="BC46" i="1"/>
  <c r="BC45" i="1"/>
  <c r="BC47" i="1"/>
  <c r="H49" i="1"/>
  <c r="H47" i="1"/>
  <c r="H46" i="1"/>
  <c r="H48" i="1"/>
  <c r="BK47" i="1"/>
  <c r="BK45" i="1"/>
  <c r="BK49" i="1"/>
  <c r="BK48" i="1"/>
  <c r="BK46" i="1"/>
  <c r="BE48" i="1"/>
  <c r="BE46" i="1"/>
  <c r="BE45" i="1"/>
  <c r="BE49" i="1"/>
  <c r="BE47" i="1"/>
  <c r="AX49" i="1"/>
  <c r="AX48" i="1"/>
  <c r="AX47" i="1"/>
  <c r="AX46" i="1"/>
  <c r="AX45" i="1"/>
  <c r="AV48" i="1"/>
  <c r="AV46" i="1"/>
  <c r="AV49" i="1"/>
  <c r="AV47" i="1"/>
  <c r="AV45" i="1"/>
  <c r="BO49" i="1"/>
  <c r="BO47" i="1"/>
  <c r="BO48" i="1"/>
  <c r="BO45" i="1"/>
  <c r="BO46" i="1"/>
  <c r="AY46" i="1"/>
  <c r="AY49" i="1"/>
  <c r="AY48" i="1"/>
  <c r="AY47" i="1"/>
  <c r="AY45" i="1"/>
  <c r="AY30" i="1"/>
  <c r="AY22" i="1"/>
  <c r="AY9" i="1"/>
  <c r="AY34" i="1"/>
  <c r="AY27" i="1"/>
  <c r="AY19" i="1"/>
  <c r="AY14" i="1"/>
  <c r="AY24" i="1"/>
  <c r="AY11" i="1"/>
  <c r="AY44" i="1"/>
  <c r="AY43" i="1"/>
  <c r="AY42" i="1"/>
  <c r="AY41" i="1"/>
  <c r="AY40" i="1"/>
  <c r="AY39" i="1"/>
  <c r="AY35" i="1"/>
  <c r="AY26" i="1"/>
  <c r="AY18" i="1"/>
  <c r="AY13" i="1"/>
  <c r="AY38" i="1"/>
  <c r="AY32" i="1"/>
  <c r="AY28" i="1"/>
  <c r="AY20" i="1"/>
  <c r="AY15" i="1"/>
  <c r="AY33" i="1"/>
  <c r="AY12" i="1"/>
  <c r="AY10" i="1"/>
  <c r="AY8" i="1"/>
  <c r="AY37" i="1"/>
  <c r="AY31" i="1"/>
  <c r="AY29" i="1"/>
  <c r="AY36" i="1"/>
  <c r="AY25" i="1"/>
  <c r="AY23" i="1"/>
  <c r="AY21" i="1"/>
  <c r="AY7" i="1"/>
  <c r="BF28" i="1"/>
  <c r="BF20" i="1"/>
  <c r="BF12" i="1"/>
  <c r="BF37" i="1"/>
  <c r="BF36" i="1"/>
  <c r="BF25" i="1"/>
  <c r="BF17" i="1"/>
  <c r="BF9" i="1"/>
  <c r="BF34" i="1"/>
  <c r="BF22" i="1"/>
  <c r="BF14" i="1"/>
  <c r="BF24" i="1"/>
  <c r="BF16" i="1"/>
  <c r="BF8" i="1"/>
  <c r="BF26" i="1"/>
  <c r="BF18" i="1"/>
  <c r="BF10" i="1"/>
  <c r="BF29" i="1"/>
  <c r="BF27" i="1"/>
  <c r="BF41" i="1"/>
  <c r="BF23" i="1"/>
  <c r="BF21" i="1"/>
  <c r="BF19" i="1"/>
  <c r="BF40" i="1"/>
  <c r="BF35" i="1"/>
  <c r="BF15" i="1"/>
  <c r="BF13" i="1"/>
  <c r="BF11" i="1"/>
  <c r="BF39" i="1"/>
  <c r="BF33" i="1"/>
  <c r="BF32" i="1"/>
  <c r="BF38" i="1"/>
  <c r="BF43" i="1"/>
  <c r="BF44" i="1"/>
  <c r="BF7" i="1"/>
  <c r="BF42" i="1"/>
  <c r="AX25" i="1"/>
  <c r="AX17" i="1"/>
  <c r="AX12" i="1"/>
  <c r="AX37" i="1"/>
  <c r="AX36" i="1"/>
  <c r="AX30" i="1"/>
  <c r="AX22" i="1"/>
  <c r="AX9" i="1"/>
  <c r="AX34" i="1"/>
  <c r="AX27" i="1"/>
  <c r="AX19" i="1"/>
  <c r="AX29" i="1"/>
  <c r="AX21" i="1"/>
  <c r="AX8" i="1"/>
  <c r="AX31" i="1"/>
  <c r="AX23" i="1"/>
  <c r="AX10" i="1"/>
  <c r="AX20" i="1"/>
  <c r="AX18" i="1"/>
  <c r="AX16" i="1"/>
  <c r="AX44" i="1"/>
  <c r="AX43" i="1"/>
  <c r="AX42" i="1"/>
  <c r="AX41" i="1"/>
  <c r="AX40" i="1"/>
  <c r="AX35" i="1"/>
  <c r="AX13" i="1"/>
  <c r="AX11" i="1"/>
  <c r="AX39" i="1"/>
  <c r="AX33" i="1"/>
  <c r="AX32" i="1"/>
  <c r="AX28" i="1"/>
  <c r="AX26" i="1"/>
  <c r="AX24" i="1"/>
  <c r="AX38" i="1"/>
  <c r="AX7" i="1"/>
  <c r="AW28" i="1"/>
  <c r="AW20" i="1"/>
  <c r="AW33" i="1"/>
  <c r="AW25" i="1"/>
  <c r="AW17" i="1"/>
  <c r="AW37" i="1"/>
  <c r="AW36" i="1"/>
  <c r="AW30" i="1"/>
  <c r="AW22" i="1"/>
  <c r="AW14" i="1"/>
  <c r="AW9" i="1"/>
  <c r="AW34" i="1"/>
  <c r="AW24" i="1"/>
  <c r="AW16" i="1"/>
  <c r="AW11" i="1"/>
  <c r="AW44" i="1"/>
  <c r="AW43" i="1"/>
  <c r="AW42" i="1"/>
  <c r="AW41" i="1"/>
  <c r="AW40" i="1"/>
  <c r="AW39" i="1"/>
  <c r="AW35" i="1"/>
  <c r="AW26" i="1"/>
  <c r="AW18" i="1"/>
  <c r="AW38" i="1"/>
  <c r="AW32" i="1"/>
  <c r="AW7" i="1"/>
  <c r="AW10" i="1"/>
  <c r="AW8" i="1"/>
  <c r="AW31" i="1"/>
  <c r="AW29" i="1"/>
  <c r="AW27" i="1"/>
  <c r="AW23" i="1"/>
  <c r="AW21" i="1"/>
  <c r="AW19" i="1"/>
  <c r="AW15" i="1"/>
  <c r="BD31" i="1"/>
  <c r="BD18" i="1"/>
  <c r="BD10" i="1"/>
  <c r="BD28" i="1"/>
  <c r="BD23" i="1"/>
  <c r="BD15" i="1"/>
  <c r="BD33" i="1"/>
  <c r="BD20" i="1"/>
  <c r="BD12" i="1"/>
  <c r="BD37" i="1"/>
  <c r="BD36" i="1"/>
  <c r="BD22" i="1"/>
  <c r="BD14" i="1"/>
  <c r="BD29" i="1"/>
  <c r="BD24" i="1"/>
  <c r="BD16" i="1"/>
  <c r="BD8" i="1"/>
  <c r="BD42" i="1"/>
  <c r="BD25" i="1"/>
  <c r="BD41" i="1"/>
  <c r="BD7" i="1"/>
  <c r="BD21" i="1"/>
  <c r="BD19" i="1"/>
  <c r="BD17" i="1"/>
  <c r="BD40" i="1"/>
  <c r="BD35" i="1"/>
  <c r="BD34" i="1"/>
  <c r="BD13" i="1"/>
  <c r="BD11" i="1"/>
  <c r="BD9" i="1"/>
  <c r="BD39" i="1"/>
  <c r="BD32" i="1"/>
  <c r="BD44" i="1"/>
  <c r="BD30" i="1"/>
  <c r="BD38" i="1"/>
  <c r="BD43" i="1"/>
  <c r="AV31" i="1"/>
  <c r="AV23" i="1"/>
  <c r="AV15" i="1"/>
  <c r="AV28" i="1"/>
  <c r="AV20" i="1"/>
  <c r="AV12" i="1"/>
  <c r="AV33" i="1"/>
  <c r="AV25" i="1"/>
  <c r="AV17" i="1"/>
  <c r="AV37" i="1"/>
  <c r="AV36" i="1"/>
  <c r="AV27" i="1"/>
  <c r="AV19" i="1"/>
  <c r="AV29" i="1"/>
  <c r="AV21" i="1"/>
  <c r="AV13" i="1"/>
  <c r="AV8" i="1"/>
  <c r="AV26" i="1"/>
  <c r="AV24" i="1"/>
  <c r="AV22" i="1"/>
  <c r="AV38" i="1"/>
  <c r="AV7" i="1"/>
  <c r="AV18" i="1"/>
  <c r="AV16" i="1"/>
  <c r="AV14" i="1"/>
  <c r="AV44" i="1"/>
  <c r="AV43" i="1"/>
  <c r="AV42" i="1"/>
  <c r="AV39" i="1"/>
  <c r="AV41" i="1"/>
  <c r="AV40" i="1"/>
  <c r="AV35" i="1"/>
  <c r="AV34" i="1"/>
  <c r="AV9" i="1"/>
  <c r="AV32" i="1"/>
  <c r="AV30" i="1"/>
  <c r="H22" i="1"/>
  <c r="H37" i="1"/>
  <c r="H44" i="1"/>
  <c r="H36" i="1"/>
  <c r="H43" i="1"/>
  <c r="H35" i="1"/>
  <c r="H41" i="1"/>
  <c r="H33" i="1"/>
  <c r="H39" i="1"/>
  <c r="H31" i="1"/>
  <c r="H21" i="1"/>
  <c r="H19" i="1"/>
  <c r="H16" i="1"/>
  <c r="H10" i="1"/>
  <c r="H15" i="1"/>
  <c r="H14" i="1"/>
  <c r="H24" i="1"/>
  <c r="H8" i="1"/>
  <c r="H26" i="1"/>
  <c r="H20" i="1"/>
  <c r="H42" i="1"/>
  <c r="H29" i="1"/>
  <c r="H7" i="1"/>
  <c r="H40" i="1"/>
  <c r="H30" i="1"/>
  <c r="H25" i="1"/>
  <c r="H17" i="1"/>
  <c r="H13" i="1"/>
  <c r="H38" i="1"/>
  <c r="H27" i="1"/>
  <c r="H11" i="1"/>
  <c r="H9" i="1"/>
  <c r="H32" i="1"/>
  <c r="H34" i="1"/>
  <c r="H45" i="1"/>
  <c r="H18" i="1"/>
  <c r="H23" i="1"/>
  <c r="H12" i="1"/>
  <c r="H28" i="1"/>
  <c r="BC26" i="1"/>
  <c r="BC21" i="1"/>
  <c r="BC13" i="1"/>
  <c r="BC38" i="1"/>
  <c r="BC32" i="1"/>
  <c r="BC31" i="1"/>
  <c r="BC18" i="1"/>
  <c r="BC10" i="1"/>
  <c r="BC28" i="1"/>
  <c r="BC23" i="1"/>
  <c r="BC15" i="1"/>
  <c r="BC33" i="1"/>
  <c r="BC30" i="1"/>
  <c r="BC17" i="1"/>
  <c r="BC9" i="1"/>
  <c r="BC34" i="1"/>
  <c r="BC19" i="1"/>
  <c r="BC11" i="1"/>
  <c r="BC44" i="1"/>
  <c r="BC43" i="1"/>
  <c r="BC42" i="1"/>
  <c r="BC41" i="1"/>
  <c r="BC40" i="1"/>
  <c r="BC39" i="1"/>
  <c r="BC35" i="1"/>
  <c r="BC8" i="1"/>
  <c r="BC36" i="1"/>
  <c r="BC7" i="1"/>
  <c r="BC22" i="1"/>
  <c r="BC29" i="1"/>
  <c r="BC27" i="1"/>
  <c r="BC20" i="1"/>
  <c r="BC14" i="1"/>
  <c r="BC12" i="1"/>
  <c r="BC37" i="1"/>
  <c r="BC16" i="1"/>
  <c r="AU26" i="1"/>
  <c r="AU18" i="1"/>
  <c r="AU10" i="1"/>
  <c r="AU38" i="1"/>
  <c r="AU32" i="1"/>
  <c r="AU31" i="1"/>
  <c r="AU23" i="1"/>
  <c r="AU15" i="1"/>
  <c r="AU28" i="1"/>
  <c r="AU20" i="1"/>
  <c r="AU12" i="1"/>
  <c r="AU33" i="1"/>
  <c r="AU30" i="1"/>
  <c r="AU22" i="1"/>
  <c r="AU14" i="1"/>
  <c r="AU34" i="1"/>
  <c r="AU24" i="1"/>
  <c r="AU16" i="1"/>
  <c r="AU44" i="1"/>
  <c r="AU43" i="1"/>
  <c r="AU42" i="1"/>
  <c r="AU41" i="1"/>
  <c r="AU40" i="1"/>
  <c r="AU39" i="1"/>
  <c r="AU35" i="1"/>
  <c r="AU7" i="1"/>
  <c r="AU37" i="1"/>
  <c r="AU36" i="1"/>
  <c r="AU13" i="1"/>
  <c r="AU29" i="1"/>
  <c r="AU27" i="1"/>
  <c r="AU25" i="1"/>
  <c r="AU11" i="1"/>
  <c r="AU21" i="1"/>
  <c r="AU19" i="1"/>
  <c r="AU17" i="1"/>
  <c r="BO31" i="1"/>
  <c r="BO38" i="1"/>
  <c r="BO32" i="1"/>
  <c r="BO37" i="1"/>
  <c r="BO36" i="1"/>
  <c r="BO40" i="1"/>
  <c r="BO35" i="1"/>
  <c r="BO34" i="1"/>
  <c r="BO33" i="1"/>
  <c r="BO11" i="1"/>
  <c r="BO39" i="1"/>
  <c r="BO20" i="1"/>
  <c r="BO18" i="1"/>
  <c r="BO15" i="1"/>
  <c r="BO9" i="1"/>
  <c r="BO13" i="1"/>
  <c r="BO30" i="1"/>
  <c r="BO25" i="1"/>
  <c r="BO23" i="1"/>
  <c r="BO19" i="1"/>
  <c r="BO14" i="1"/>
  <c r="BO7" i="1"/>
  <c r="BO44" i="1"/>
  <c r="BO28" i="1"/>
  <c r="BO43" i="1"/>
  <c r="BO29" i="1"/>
  <c r="BO27" i="1"/>
  <c r="BO24" i="1"/>
  <c r="BO12" i="1"/>
  <c r="BO42" i="1"/>
  <c r="BO41" i="1"/>
  <c r="BO10" i="1"/>
  <c r="BO8" i="1"/>
  <c r="BO21" i="1"/>
  <c r="BO26" i="1"/>
  <c r="BO17" i="1"/>
  <c r="BO16" i="1"/>
  <c r="BO22" i="1"/>
  <c r="BB29" i="1"/>
  <c r="BB16" i="1"/>
  <c r="BB8" i="1"/>
  <c r="BB26" i="1"/>
  <c r="BB21" i="1"/>
  <c r="BB13" i="1"/>
  <c r="BB38" i="1"/>
  <c r="BB32" i="1"/>
  <c r="BB31" i="1"/>
  <c r="BB18" i="1"/>
  <c r="BB10" i="1"/>
  <c r="BB25" i="1"/>
  <c r="BB20" i="1"/>
  <c r="BB12" i="1"/>
  <c r="BB37" i="1"/>
  <c r="BB36" i="1"/>
  <c r="BB27" i="1"/>
  <c r="BB14" i="1"/>
  <c r="BB43" i="1"/>
  <c r="BB42" i="1"/>
  <c r="BB41" i="1"/>
  <c r="BB19" i="1"/>
  <c r="BB17" i="1"/>
  <c r="BB15" i="1"/>
  <c r="BB40" i="1"/>
  <c r="BB35" i="1"/>
  <c r="BB34" i="1"/>
  <c r="BB33" i="1"/>
  <c r="BB7" i="1"/>
  <c r="BB11" i="1"/>
  <c r="BB9" i="1"/>
  <c r="BB39" i="1"/>
  <c r="BB30" i="1"/>
  <c r="BB28" i="1"/>
  <c r="BB24" i="1"/>
  <c r="BB44" i="1"/>
  <c r="P28" i="1"/>
  <c r="P34" i="1"/>
  <c r="P38" i="1"/>
  <c r="P37" i="1"/>
  <c r="P35" i="1"/>
  <c r="P44" i="1"/>
  <c r="P43" i="1"/>
  <c r="P42" i="1"/>
  <c r="P41" i="1"/>
  <c r="P40" i="1"/>
  <c r="P36" i="1"/>
  <c r="P32" i="1"/>
  <c r="P33" i="1"/>
  <c r="P9" i="1"/>
  <c r="P22" i="1"/>
  <c r="P11" i="1"/>
  <c r="P27" i="1"/>
  <c r="P21" i="1"/>
  <c r="P19" i="1"/>
  <c r="P16" i="1"/>
  <c r="P12" i="1"/>
  <c r="P10" i="1"/>
  <c r="P14" i="1"/>
  <c r="P31" i="1"/>
  <c r="P26" i="1"/>
  <c r="P24" i="1"/>
  <c r="P20" i="1"/>
  <c r="P15" i="1"/>
  <c r="P8" i="1"/>
  <c r="P17" i="1"/>
  <c r="P30" i="1"/>
  <c r="P7" i="1"/>
  <c r="P25" i="1"/>
  <c r="P13" i="1"/>
  <c r="P23" i="1"/>
  <c r="P29" i="1"/>
  <c r="P18" i="1"/>
  <c r="O34" i="1"/>
  <c r="O38" i="1"/>
  <c r="O37" i="1"/>
  <c r="O40" i="1"/>
  <c r="O33" i="1"/>
  <c r="O32" i="1"/>
  <c r="O30" i="1"/>
  <c r="O25" i="1"/>
  <c r="O17" i="1"/>
  <c r="O13" i="1"/>
  <c r="O7" i="1"/>
  <c r="O9" i="1"/>
  <c r="O28" i="1"/>
  <c r="O23" i="1"/>
  <c r="O39" i="1"/>
  <c r="O22" i="1"/>
  <c r="O11" i="1"/>
  <c r="O27" i="1"/>
  <c r="O44" i="1"/>
  <c r="O21" i="1"/>
  <c r="O19" i="1"/>
  <c r="O16" i="1"/>
  <c r="O12" i="1"/>
  <c r="O10" i="1"/>
  <c r="O43" i="1"/>
  <c r="O14" i="1"/>
  <c r="O42" i="1"/>
  <c r="O20" i="1"/>
  <c r="O15" i="1"/>
  <c r="O41" i="1"/>
  <c r="O35" i="1"/>
  <c r="O8" i="1"/>
  <c r="O29" i="1"/>
  <c r="O26" i="1"/>
  <c r="O18" i="1"/>
  <c r="O24" i="1"/>
  <c r="O36" i="1"/>
  <c r="O31" i="1"/>
  <c r="BE23" i="1"/>
  <c r="BE15" i="1"/>
  <c r="BE33" i="1"/>
  <c r="BE20" i="1"/>
  <c r="BE12" i="1"/>
  <c r="BE37" i="1"/>
  <c r="BE36" i="1"/>
  <c r="BE30" i="1"/>
  <c r="BE25" i="1"/>
  <c r="BE17" i="1"/>
  <c r="BE9" i="1"/>
  <c r="BE34" i="1"/>
  <c r="BE27" i="1"/>
  <c r="BE19" i="1"/>
  <c r="BE11" i="1"/>
  <c r="BE44" i="1"/>
  <c r="BE43" i="1"/>
  <c r="BE42" i="1"/>
  <c r="BE41" i="1"/>
  <c r="BE40" i="1"/>
  <c r="BE39" i="1"/>
  <c r="BE35" i="1"/>
  <c r="BE21" i="1"/>
  <c r="BE13" i="1"/>
  <c r="BE38" i="1"/>
  <c r="BE32" i="1"/>
  <c r="BE31" i="1"/>
  <c r="BE7" i="1"/>
  <c r="BE16" i="1"/>
  <c r="BE26" i="1"/>
  <c r="BE24" i="1"/>
  <c r="BE22" i="1"/>
  <c r="BE14" i="1"/>
  <c r="BE10" i="1"/>
  <c r="BE18" i="1"/>
  <c r="BE8" i="1"/>
  <c r="BM44" i="1"/>
  <c r="BM43" i="1"/>
  <c r="BM42" i="1"/>
  <c r="BM41" i="1"/>
  <c r="BM40" i="1"/>
  <c r="BM39" i="1"/>
  <c r="BM35" i="1"/>
  <c r="BM38" i="1"/>
  <c r="BM32" i="1"/>
  <c r="BM33" i="1"/>
  <c r="BM34" i="1"/>
  <c r="BM31" i="1"/>
  <c r="BM26" i="1"/>
  <c r="BM10" i="1"/>
  <c r="BM8" i="1"/>
  <c r="BM11" i="1"/>
  <c r="BM15" i="1"/>
  <c r="BM9" i="1"/>
  <c r="BM20" i="1"/>
  <c r="BM18" i="1"/>
  <c r="BM30" i="1"/>
  <c r="BM17" i="1"/>
  <c r="BM13" i="1"/>
  <c r="BM25" i="1"/>
  <c r="BM23" i="1"/>
  <c r="BM19" i="1"/>
  <c r="BM14" i="1"/>
  <c r="BM7" i="1"/>
  <c r="BM37" i="1"/>
  <c r="BM28" i="1"/>
  <c r="BM22" i="1"/>
  <c r="BM16" i="1"/>
  <c r="BM36" i="1"/>
  <c r="BM24" i="1"/>
  <c r="BM12" i="1"/>
  <c r="BM27" i="1"/>
  <c r="BM21" i="1"/>
  <c r="BM29" i="1"/>
  <c r="BA24" i="1"/>
  <c r="BA19" i="1"/>
  <c r="BA11" i="1"/>
  <c r="BA44" i="1"/>
  <c r="BA43" i="1"/>
  <c r="BA42" i="1"/>
  <c r="BA41" i="1"/>
  <c r="BA40" i="1"/>
  <c r="BA39" i="1"/>
  <c r="BA35" i="1"/>
  <c r="BA29" i="1"/>
  <c r="BA16" i="1"/>
  <c r="BA8" i="1"/>
  <c r="BA26" i="1"/>
  <c r="BA13" i="1"/>
  <c r="BA38" i="1"/>
  <c r="BA32" i="1"/>
  <c r="BA28" i="1"/>
  <c r="BA15" i="1"/>
  <c r="BA33" i="1"/>
  <c r="BA30" i="1"/>
  <c r="BA22" i="1"/>
  <c r="BA17" i="1"/>
  <c r="BA9" i="1"/>
  <c r="BA34" i="1"/>
  <c r="BA14" i="1"/>
  <c r="BA12" i="1"/>
  <c r="BA10" i="1"/>
  <c r="BA37" i="1"/>
  <c r="BA31" i="1"/>
  <c r="BA36" i="1"/>
  <c r="BA27" i="1"/>
  <c r="BA25" i="1"/>
  <c r="BA23" i="1"/>
  <c r="BA7" i="1"/>
  <c r="BA18" i="1"/>
  <c r="BL44" i="1"/>
  <c r="BL43" i="1"/>
  <c r="BL42" i="1"/>
  <c r="BL41" i="1"/>
  <c r="BL40" i="1"/>
  <c r="BL39" i="1"/>
  <c r="BL35" i="1"/>
  <c r="BL37" i="1"/>
  <c r="BL36" i="1"/>
  <c r="BL10" i="1"/>
  <c r="BL34" i="1"/>
  <c r="BL33" i="1"/>
  <c r="BL32" i="1"/>
  <c r="BL31" i="1"/>
  <c r="BL26" i="1"/>
  <c r="BL8" i="1"/>
  <c r="BL11" i="1"/>
  <c r="BL38" i="1"/>
  <c r="BL20" i="1"/>
  <c r="BL18" i="1"/>
  <c r="BL15" i="1"/>
  <c r="BL9" i="1"/>
  <c r="BL30" i="1"/>
  <c r="BL17" i="1"/>
  <c r="BL13" i="1"/>
  <c r="BL25" i="1"/>
  <c r="BL23" i="1"/>
  <c r="BL19" i="1"/>
  <c r="BL14" i="1"/>
  <c r="BL7" i="1"/>
  <c r="BL29" i="1"/>
  <c r="BL12" i="1"/>
  <c r="BL28" i="1"/>
  <c r="BL21" i="1"/>
  <c r="BL24" i="1"/>
  <c r="BL27" i="1"/>
  <c r="BL16" i="1"/>
  <c r="BL22" i="1"/>
  <c r="AZ27" i="1"/>
  <c r="AZ14" i="1"/>
  <c r="AZ24" i="1"/>
  <c r="AZ11" i="1"/>
  <c r="AZ44" i="1"/>
  <c r="AZ43" i="1"/>
  <c r="AZ42" i="1"/>
  <c r="AZ41" i="1"/>
  <c r="AZ40" i="1"/>
  <c r="AZ39" i="1"/>
  <c r="AZ35" i="1"/>
  <c r="AZ29" i="1"/>
  <c r="AZ21" i="1"/>
  <c r="AZ16" i="1"/>
  <c r="AZ8" i="1"/>
  <c r="AZ31" i="1"/>
  <c r="AZ23" i="1"/>
  <c r="AZ10" i="1"/>
  <c r="AZ25" i="1"/>
  <c r="AZ12" i="1"/>
  <c r="AZ37" i="1"/>
  <c r="AZ36" i="1"/>
  <c r="AZ28" i="1"/>
  <c r="AZ17" i="1"/>
  <c r="AZ15" i="1"/>
  <c r="AZ13" i="1"/>
  <c r="AZ34" i="1"/>
  <c r="AZ33" i="1"/>
  <c r="AZ32" i="1"/>
  <c r="AZ30" i="1"/>
  <c r="AZ38" i="1"/>
  <c r="AZ9" i="1"/>
  <c r="AZ7" i="1"/>
  <c r="AZ26" i="1"/>
  <c r="AZ22" i="1"/>
  <c r="AZ20" i="1"/>
  <c r="N39" i="1"/>
  <c r="N33" i="1"/>
  <c r="N7" i="1"/>
  <c r="N34" i="1"/>
  <c r="N35" i="1"/>
  <c r="N44" i="1"/>
  <c r="N43" i="1"/>
  <c r="N42" i="1"/>
  <c r="N41" i="1"/>
  <c r="N40" i="1"/>
  <c r="N36" i="1"/>
  <c r="N32" i="1"/>
  <c r="N29" i="1"/>
  <c r="N18" i="1"/>
  <c r="N30" i="1"/>
  <c r="N25" i="1"/>
  <c r="N17" i="1"/>
  <c r="N13" i="1"/>
  <c r="N28" i="1"/>
  <c r="N23" i="1"/>
  <c r="N22" i="1"/>
  <c r="N11" i="1"/>
  <c r="N9" i="1"/>
  <c r="N38" i="1"/>
  <c r="N27" i="1"/>
  <c r="N37" i="1"/>
  <c r="N21" i="1"/>
  <c r="N19" i="1"/>
  <c r="N16" i="1"/>
  <c r="N12" i="1"/>
  <c r="N10" i="1"/>
  <c r="N31" i="1"/>
  <c r="N20" i="1"/>
  <c r="N15" i="1"/>
  <c r="N24" i="1"/>
  <c r="N26" i="1"/>
  <c r="N14" i="1"/>
  <c r="N8" i="1"/>
  <c r="BK34" i="1"/>
  <c r="BK44" i="1"/>
  <c r="BK43" i="1"/>
  <c r="BK42" i="1"/>
  <c r="BK41" i="1"/>
  <c r="BK40" i="1"/>
  <c r="BK39" i="1"/>
  <c r="BK35" i="1"/>
  <c r="BK38" i="1"/>
  <c r="BK32" i="1"/>
  <c r="BK33" i="1"/>
  <c r="BK29" i="1"/>
  <c r="BK27" i="1"/>
  <c r="BK24" i="1"/>
  <c r="BK21" i="1"/>
  <c r="BK12" i="1"/>
  <c r="BK10" i="1"/>
  <c r="BK8" i="1"/>
  <c r="BK31" i="1"/>
  <c r="BK26" i="1"/>
  <c r="BK11" i="1"/>
  <c r="BK20" i="1"/>
  <c r="BK18" i="1"/>
  <c r="BK15" i="1"/>
  <c r="BK9" i="1"/>
  <c r="BK37" i="1"/>
  <c r="BK30" i="1"/>
  <c r="BK17" i="1"/>
  <c r="BK13" i="1"/>
  <c r="BK23" i="1"/>
  <c r="BK7" i="1"/>
  <c r="BK16" i="1"/>
  <c r="BK19" i="1"/>
  <c r="BK14" i="1"/>
  <c r="BK36" i="1"/>
  <c r="BK28" i="1"/>
  <c r="BK25" i="1"/>
  <c r="BK22" i="1"/>
  <c r="AY91" i="1"/>
  <c r="BC91" i="1"/>
  <c r="AW91" i="1"/>
  <c r="AZ91" i="1"/>
  <c r="AV91" i="1"/>
  <c r="N91" i="1"/>
  <c r="BM91" i="1"/>
  <c r="BB91" i="1"/>
  <c r="AX91" i="1"/>
  <c r="AU91" i="1"/>
  <c r="O91" i="1"/>
  <c r="BL91" i="1"/>
  <c r="BK91" i="1"/>
  <c r="BA91" i="1"/>
  <c r="P91" i="1"/>
  <c r="J91" i="1"/>
  <c r="H91" i="1"/>
  <c r="BO91" i="1"/>
  <c r="BF91" i="1"/>
  <c r="BE91" i="1"/>
  <c r="BD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G4" authorId="2" shapeId="0" xr:uid="{4F36A228-3F1E-4704-9598-6A61A0F5D5E9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This cell will be '-' or 'Dup' 
Note: Will return Dup if there is an empty cell in a trial above the current trial</t>
        </r>
      </text>
    </comment>
    <comment ref="S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T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U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V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W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X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Y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Z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A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B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C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D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M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N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O4" authorId="0" shapeId="0" xr:uid="{9648FC39-DD26-4FCB-9715-EA41A6CC1E5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medium nut
if n=2: high nut</t>
        </r>
      </text>
    </comment>
    <comment ref="AP4" authorId="0" shapeId="0" xr:uid="{800BE066-933B-4798-B666-2F7C85E751B1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high nut
if n=2: low nut</t>
        </r>
      </text>
    </comment>
    <comment ref="AQ4" authorId="0" shapeId="0" xr:uid="{379C25E9-FF87-4188-9EFA-48F297371AB8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low nut
if n=2: doesn't exist</t>
        </r>
      </text>
    </comment>
    <comment ref="BG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<sst xmlns="http://schemas.openxmlformats.org/spreadsheetml/2006/main" count="1621" uniqueCount="117">
  <si>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</si>
  <si>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</si>
  <si>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</si>
  <si>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</si>
  <si>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</si>
  <si>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</si>
  <si>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</si>
  <si>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</si>
  <si>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</si>
  <si>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</si>
  <si>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</si>
  <si>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</si>
  <si>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</si>
  <si>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</si>
  <si>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</si>
  <si>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</si>
  <si>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</si>
  <si>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</si>
  <si>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</si>
  <si>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</si>
  <si>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</si>
  <si>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</si>
  <si>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</si>
  <si>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</si>
  <si>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</si>
  <si>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</si>
  <si>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</si>
  <si>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</si>
  <si>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</si>
  <si>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</si>
  <si>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</si>
  <si>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</si>
  <si>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</si>
  <si>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</si>
  <si>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</si>
  <si>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</si>
  <si>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</si>
  <si>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</si>
  <si>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</si>
  <si>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</si>
  <si>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</si>
  <si>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</si>
  <si>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</si>
  <si>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</si>
  <si>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</si>
  <si>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</si>
  <si>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</si>
  <si>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</si>
  <si>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</si>
  <si>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</si>
  <si>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</si>
  <si>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</si>
  <si>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</si>
  <si>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</si>
  <si>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</si>
  <si>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</si>
  <si>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</si>
  <si>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</si>
  <si>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</si>
  <si>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</si>
  <si>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</si>
  <si>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</si>
  <si>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</si>
  <si>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</si>
  <si>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</si>
  <si>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</si>
  <si>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</si>
  <si>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</si>
  <si>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</si>
  <si>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</si>
  <si>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</si>
  <si>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</si>
  <si>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</si>
  <si>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</si>
  <si>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</si>
  <si>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</si>
  <si>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</si>
  <si>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</si>
  <si>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</si>
  <si>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</si>
  <si>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</si>
  <si>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</si>
  <si>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</si>
  <si>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</si>
  <si>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</si>
  <si>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</si>
  <si>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</si>
  <si>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</si>
  <si>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</si>
  <si>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</si>
  <si>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</si>
  <si>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</si>
  <si>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</si>
  <si>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</si>
  <si>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</si>
  <si>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</si>
  <si>
    <t>nut_spread_n1</t>
  </si>
  <si>
    <t>-</t>
  </si>
  <si>
    <t>nut_-p5_p5</t>
  </si>
  <si>
    <t>nut_-p5_1</t>
  </si>
  <si>
    <t>nut_-p5_1p5</t>
  </si>
  <si>
    <t>nut_-p5_2</t>
  </si>
  <si>
    <t>nut_0_p5</t>
  </si>
  <si>
    <t>nut_0_1</t>
  </si>
  <si>
    <t>nut_0_1p5</t>
  </si>
  <si>
    <t>nut_0_2</t>
  </si>
  <si>
    <t>nut_+p5_p5</t>
  </si>
  <si>
    <t>nut_+p5_1</t>
  </si>
  <si>
    <t>nut_+p5_1p5</t>
  </si>
  <si>
    <t>nut_+p5_2</t>
  </si>
  <si>
    <t>nut_1_p5</t>
  </si>
  <si>
    <t>nut_1_1</t>
  </si>
  <si>
    <t>nut_1_1p5</t>
  </si>
  <si>
    <t>nut_1_2</t>
  </si>
  <si>
    <t>nut_spread_n3</t>
  </si>
  <si>
    <t>Dup</t>
  </si>
  <si>
    <t>Experiment with 2 nutrition profiles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</si>
</sst>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8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  <xf numFmtId="0" fontId="6" fillId="7" borderId="2" applyNumberFormat="0" applyFont="0" applyBorder="0" applyAlignment="0" applyProtection="0"/>
    <xf numFmtId="0" fontId="6" fillId="8" borderId="2" applyNumberFormat="0" applyFont="0" applyBorder="0" applyAlignment="0" applyProtection="0"/>
    <xf numFmtId="0" fontId="6" fillId="9" borderId="2" applyNumberFormat="0" applyFont="0" applyBorder="0" applyAlignment="0" applyProtection="0"/>
    <xf numFmtId="0" fontId="9" fillId="6" borderId="0" applyNumberFormat="0" applyFont="0" applyBorder="0" applyAlignment="0" applyProtection="0"/>
    <xf numFmtId="0" fontId="9" fillId="10" borderId="0" applyNumberFormat="0" applyFont="0" applyBorder="0" applyAlignment="0" applyProtection="0"/>
  </cellStyleXfs>
  <cellXfs count="31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  <xf numFmtId="0" fontId="6" fillId="7" borderId="2" xfId="3"/>
    <xf numFmtId="0" fontId="6" fillId="8" borderId="2" xfId="4"/>
    <xf numFmtId="0" fontId="6" fillId="9" borderId="2" xfId="5"/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0" borderId="0" xfId="7" applyFont="1"/>
    <xf numFmtId="0" fontId="0" fillId="4" borderId="0" xfId="7" applyFont="1" applyFill="1"/>
  </cellXfs>
  <cellStyles count="8">
    <cellStyle name="Calc01" xfId="3" xr:uid="{59654C54-EF1B-49EB-A662-AE50B3C26DCC}"/>
    <cellStyle name="Calc02" xfId="4" xr:uid="{8ABB5764-F1D3-4F1B-8F51-7A906C51FFB3}"/>
    <cellStyle name="Calc03" xfId="5" xr:uid="{31DA6CCE-AC7A-488E-8BF2-B65A9598F609}"/>
    <cellStyle name="Calculation" xfId="1" builtinId="22"/>
    <cellStyle name="Default" xfId="7" xr:uid="{3B722F22-6F66-4DE8-A397-5DA5F343F529}"/>
    <cellStyle name="Input" xfId="2" builtinId="20" customBuiltin="1"/>
    <cellStyle name="Normal" xfId="0" builtinId="0"/>
    <cellStyle name="Std" xfId="6" xr:uid="{7F900438-BD5A-45A7-97C8-C912120AAA44}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P91"/>
  <sheetViews>
    <sheetView tabSelected="1" workbookViewId="0">
      <pane xSplit="7" ySplit="6" topLeftCell="AM60" activePane="bottomRight" state="frozen"/>
      <selection pane="topRight" activeCell="H1" sqref="H1"/>
      <selection pane="bottomLeft" activeCell="A7" sqref="A7"/>
      <selection pane="bottomRight" activeCell="AR62" sqref="AR62"/>
    </sheetView>
  </sheetViews>
  <sheetFormatPr defaultRowHeight="15" x14ac:dyDescent="0.25"/>
  <cols>
    <col min="1" max="1" width="11" customWidth="1"/>
    <col min="3" max="3" width="10.5703125" customWidth="1"/>
    <col min="6" max="6" width="17.5703125" style="3" customWidth="1"/>
    <col min="7" max="7" width="6.140625" customWidth="1"/>
    <col min="8" max="67" width="6.28515625" customWidth="1"/>
    <col min="68" max="68" width="2.85546875" customWidth="1"/>
  </cols>
  <sheetData>
    <row r="1" spans="1:68" s="1" customFormat="1" ht="41.25" customHeight="1" x14ac:dyDescent="0.25">
      <c r="A1" s="21" t="s">
        <v>50</v>
      </c>
      <c r="B1" s="6" t="s">
        <v>50</v>
      </c>
      <c r="C1" s="10" t="s">
        <v>43</v>
      </c>
      <c r="F1" s="4" t="s">
        <v>2</v>
      </c>
      <c r="G1" s="21" t="s">
        <v>50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41</v>
      </c>
      <c r="AO1" s="6" t="s">
        <v>41</v>
      </c>
      <c r="AP1" s="6" t="s">
        <v>41</v>
      </c>
      <c r="AQ1" s="6" t="s">
        <v>41</v>
      </c>
      <c r="AR1" s="6" t="s">
        <v>41</v>
      </c>
      <c r="AS1" s="6" t="s">
        <v>41</v>
      </c>
      <c r="AT1" s="6" t="s">
        <v>41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0</v>
      </c>
      <c r="BE1" s="6" t="s">
        <v>0</v>
      </c>
      <c r="BF1" s="6" t="s">
        <v>0</v>
      </c>
      <c r="BG1" s="6" t="s">
        <v>0</v>
      </c>
      <c r="BH1" s="6" t="s">
        <v>0</v>
      </c>
      <c r="BI1" s="6" t="s">
        <v>0</v>
      </c>
      <c r="BJ1" s="6" t="s">
        <v>0</v>
      </c>
      <c r="BK1" s="6" t="s">
        <v>40</v>
      </c>
      <c r="BL1" s="6" t="s">
        <v>40</v>
      </c>
      <c r="BM1" s="6" t="s">
        <v>40</v>
      </c>
      <c r="BN1" s="6" t="s">
        <v>90</v>
      </c>
      <c r="BO1" s="1" t="s">
        <v>42</v>
      </c>
      <c r="BP1" s="16"/>
    </row>
    <row r="2" spans="1:68" s="2" customFormat="1" ht="72.75" customHeight="1" x14ac:dyDescent="0.25">
      <c r="A2" s="14" t="s">
        <v>79</v>
      </c>
      <c r="F2" s="5" t="s">
        <v>3</v>
      </c>
      <c r="G2"/>
      <c r="H2" s="6" t="s">
        <v>66</v>
      </c>
      <c r="I2" s="6" t="s">
        <v>45</v>
      </c>
      <c r="J2" s="6" t="s">
        <v>45</v>
      </c>
      <c r="K2" s="6" t="s">
        <v>95</v>
      </c>
      <c r="L2" s="6" t="s">
        <v>95</v>
      </c>
      <c r="M2" s="6" t="s">
        <v>95</v>
      </c>
      <c r="N2" s="6" t="s">
        <v>46</v>
      </c>
      <c r="O2" s="6" t="s">
        <v>46</v>
      </c>
      <c r="P2" s="6" t="s">
        <v>46</v>
      </c>
      <c r="Q2" s="6" t="s">
        <v>56</v>
      </c>
      <c r="R2" s="6" t="s">
        <v>44</v>
      </c>
      <c r="S2" s="6" t="s">
        <v>62</v>
      </c>
      <c r="T2" s="6" t="s">
        <v>62</v>
      </c>
      <c r="U2" s="6" t="s">
        <v>62</v>
      </c>
      <c r="V2" s="6" t="s">
        <v>65</v>
      </c>
      <c r="W2" s="6" t="s">
        <v>65</v>
      </c>
      <c r="X2" s="6" t="s">
        <v>65</v>
      </c>
      <c r="Y2" s="6" t="s">
        <v>64</v>
      </c>
      <c r="Z2" s="6" t="s">
        <v>64</v>
      </c>
      <c r="AA2" s="6" t="s">
        <v>64</v>
      </c>
      <c r="AB2" s="6" t="s">
        <v>63</v>
      </c>
      <c r="AC2" s="6" t="s">
        <v>63</v>
      </c>
      <c r="AD2" s="6" t="s">
        <v>63</v>
      </c>
      <c r="AE2" s="6" t="s">
        <v>47</v>
      </c>
      <c r="AF2" s="6" t="s">
        <v>48</v>
      </c>
      <c r="AG2" s="6" t="s">
        <v>49</v>
      </c>
      <c r="AH2" s="6" t="s">
        <v>58</v>
      </c>
      <c r="AI2" s="6" t="s">
        <v>70</v>
      </c>
      <c r="AJ2" s="6" t="s">
        <v>71</v>
      </c>
      <c r="AK2" s="6" t="s">
        <v>83</v>
      </c>
      <c r="AL2" s="6" t="s">
        <v>84</v>
      </c>
      <c r="AM2" s="6" t="s">
        <v>85</v>
      </c>
      <c r="AN2" s="6" t="s">
        <v>85</v>
      </c>
      <c r="AO2" s="6" t="s">
        <v>96</v>
      </c>
      <c r="AP2" s="6" t="s">
        <v>96</v>
      </c>
      <c r="AQ2" s="6" t="s">
        <v>96</v>
      </c>
      <c r="AR2" s="6" t="s">
        <v>114</v>
      </c>
      <c r="AS2" s="6" t="s">
        <v>114</v>
      </c>
      <c r="AT2" s="6" t="s">
        <v>114</v>
      </c>
      <c r="AU2" s="6" t="s">
        <v>8</v>
      </c>
      <c r="AV2" s="6" t="s">
        <v>1</v>
      </c>
      <c r="AW2" s="6" t="s">
        <v>1</v>
      </c>
      <c r="AX2" s="6" t="s">
        <v>1</v>
      </c>
      <c r="AY2" s="6" t="s">
        <v>1</v>
      </c>
      <c r="AZ2" s="6" t="s">
        <v>1</v>
      </c>
      <c r="BA2" s="6" t="s">
        <v>9</v>
      </c>
      <c r="BB2" s="6" t="s">
        <v>10</v>
      </c>
      <c r="BC2" s="6" t="s">
        <v>10</v>
      </c>
      <c r="BD2" s="6" t="s">
        <v>10</v>
      </c>
      <c r="BE2" s="6" t="s">
        <v>10</v>
      </c>
      <c r="BF2" s="6" t="s">
        <v>10</v>
      </c>
      <c r="BG2" s="6" t="s">
        <v>86</v>
      </c>
      <c r="BH2" s="6" t="s">
        <v>87</v>
      </c>
      <c r="BI2" s="6" t="s">
        <v>88</v>
      </c>
      <c r="BJ2" s="6" t="s">
        <v>89</v>
      </c>
      <c r="BK2" s="6"/>
      <c r="BL2" s="6"/>
      <c r="BM2" s="6"/>
      <c r="BN2" s="6" t="s">
        <v>91</v>
      </c>
      <c r="BP2" s="17"/>
    </row>
    <row r="3" spans="1:68" s="2" customFormat="1" ht="42.6" customHeight="1" x14ac:dyDescent="0.25">
      <c r="F3" s="5" t="s">
        <v>4</v>
      </c>
      <c r="G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 t="s">
        <v>6</v>
      </c>
      <c r="BA3" s="6" t="s">
        <v>6</v>
      </c>
      <c r="BB3" s="6" t="s">
        <v>6</v>
      </c>
      <c r="BC3" s="6" t="s">
        <v>6</v>
      </c>
      <c r="BD3" s="6" t="s">
        <v>6</v>
      </c>
      <c r="BE3" s="6" t="s">
        <v>6</v>
      </c>
      <c r="BF3" s="6" t="s">
        <v>6</v>
      </c>
      <c r="BG3" s="6"/>
      <c r="BH3" s="6"/>
      <c r="BI3" s="6"/>
      <c r="BJ3" s="6"/>
      <c r="BK3" s="6"/>
      <c r="BL3" s="6"/>
      <c r="BM3" s="6"/>
      <c r="BN3" s="6"/>
      <c r="BP3" s="17"/>
    </row>
    <row r="4" spans="1:68" s="2" customFormat="1" ht="42.6" customHeight="1" x14ac:dyDescent="0.25">
      <c r="A4" s="13" t="s">
        <v>78</v>
      </c>
      <c r="B4" s="11" t="str">
        <f>"Trial Number
("&amp;COUNT(B$5:B$91)-1&amp;")"</f>
        <v>Trial Number
(85)</v>
      </c>
      <c r="C4" s="11" t="str">
        <f>"Run Trials
("&amp;COUNTIFS(C$5:C$91,TRUE)&amp;")"</f>
        <v>Run Trials
(24)</v>
      </c>
      <c r="D4" s="18" t="str">
        <f>"Full output
("&amp;TEXT(COUNTIFS($C$5:$C$91,TRUE,D$5:D$91,TRUE)/COUNTIFS($C$5:$C$91,TRUE),"0%)")</f>
        <v>Full output
(0%)</v>
      </c>
      <c r="E4" s="11" t="str">
        <f>"Report
("&amp;TEXT(COUNTIFS(E$5:E$91,TRUE)/COUNTA(E$5:E$91),"0%)")</f>
        <v>Report
(33%)</v>
      </c>
      <c r="F4" s="5" t="s">
        <v>5</v>
      </c>
      <c r="G4" s="21" t="s">
        <v>115</v>
      </c>
      <c r="H4" s="8"/>
      <c r="I4" s="8" t="s">
        <v>35</v>
      </c>
      <c r="J4" s="8" t="s">
        <v>36</v>
      </c>
      <c r="K4" s="8" t="s">
        <v>35</v>
      </c>
      <c r="L4" s="8" t="s">
        <v>36</v>
      </c>
      <c r="M4" s="8" t="s">
        <v>37</v>
      </c>
      <c r="N4" s="8" t="s">
        <v>35</v>
      </c>
      <c r="O4" s="8" t="s">
        <v>36</v>
      </c>
      <c r="P4" s="8" t="s">
        <v>37</v>
      </c>
      <c r="Q4" s="8" t="s">
        <v>57</v>
      </c>
      <c r="R4" s="8"/>
      <c r="S4" s="8" t="s">
        <v>92</v>
      </c>
      <c r="T4" s="8" t="s">
        <v>72</v>
      </c>
      <c r="U4" s="8" t="s">
        <v>73</v>
      </c>
      <c r="V4" s="8" t="s">
        <v>92</v>
      </c>
      <c r="W4" s="8" t="s">
        <v>72</v>
      </c>
      <c r="X4" s="8" t="s">
        <v>73</v>
      </c>
      <c r="Y4" s="8" t="s">
        <v>92</v>
      </c>
      <c r="Z4" s="8" t="s">
        <v>72</v>
      </c>
      <c r="AA4" s="8" t="s">
        <v>73</v>
      </c>
      <c r="AB4" s="8" t="s">
        <v>92</v>
      </c>
      <c r="AC4" s="8" t="s">
        <v>72</v>
      </c>
      <c r="AD4" s="8" t="s">
        <v>73</v>
      </c>
      <c r="AE4" s="8"/>
      <c r="AF4" s="8"/>
      <c r="AG4" s="8"/>
      <c r="AH4" s="8"/>
      <c r="AI4" s="8"/>
      <c r="AJ4" s="8"/>
      <c r="AK4" s="8"/>
      <c r="AL4" s="8"/>
      <c r="AM4" s="8" t="s">
        <v>93</v>
      </c>
      <c r="AN4" s="8" t="s">
        <v>94</v>
      </c>
      <c r="AO4" s="8" t="s">
        <v>35</v>
      </c>
      <c r="AP4" s="8" t="s">
        <v>36</v>
      </c>
      <c r="AQ4" s="8" t="s">
        <v>37</v>
      </c>
      <c r="AR4" s="8" t="s">
        <v>35</v>
      </c>
      <c r="AS4" s="8" t="s">
        <v>36</v>
      </c>
      <c r="AT4" s="8" t="s">
        <v>37</v>
      </c>
      <c r="AU4" s="7"/>
      <c r="AV4" s="7" t="s">
        <v>35</v>
      </c>
      <c r="AW4" s="8" t="s">
        <v>36</v>
      </c>
      <c r="AX4" s="8" t="s">
        <v>37</v>
      </c>
      <c r="AY4" s="8" t="s">
        <v>38</v>
      </c>
      <c r="AZ4" s="8" t="s">
        <v>39</v>
      </c>
      <c r="BA4" s="7"/>
      <c r="BB4" s="7" t="s">
        <v>35</v>
      </c>
      <c r="BC4" s="8" t="s">
        <v>36</v>
      </c>
      <c r="BD4" s="8" t="s">
        <v>37</v>
      </c>
      <c r="BE4" s="8" t="s">
        <v>38</v>
      </c>
      <c r="BF4" s="8" t="s">
        <v>39</v>
      </c>
      <c r="BG4" s="8" t="s">
        <v>72</v>
      </c>
      <c r="BH4" s="8"/>
      <c r="BI4" s="8"/>
      <c r="BJ4" s="8"/>
      <c r="BK4" s="8"/>
      <c r="BL4" s="8"/>
      <c r="BM4" s="8"/>
      <c r="BN4" s="8"/>
      <c r="BO4" s="12"/>
      <c r="BP4" s="17"/>
    </row>
    <row r="5" spans="1:68" x14ac:dyDescent="0.25">
      <c r="A5" s="19">
        <v>44275.614120370374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t="str" cm="1">
        <f t="array" ref="AN5">_xlfn.IFS(OR(AN1="sam",AN1="sai"),1,AN1="sav","-",OR(AN1="sap",AN1="saa"),0,AN1="sar",0)</f>
        <v>-</v>
      </c>
      <c r="AO5" s="9" t="str" cm="1">
        <f t="array" ref="AO5">_xlfn.IFS(OR(AO1="sam",AO1="sai"),1,AO1="sav","-",OR(AO1="sap",AO1="saa"),0,AO1="sar",0)</f>
        <v>-</v>
      </c>
      <c r="AP5" s="9" t="str" cm="1">
        <f t="array" ref="AP5">_xlfn.IFS(OR(AP1="sam",AP1="sai"),1,AP1="sav","-",OR(AP1="sap",AP1="saa"),0,AP1="sar",0)</f>
        <v>-</v>
      </c>
      <c r="AQ5" s="9" t="str" cm="1">
        <f t="array" ref="AQ5">_xlfn.IFS(OR(AQ1="sam",AQ1="sai"),1,AQ1="sav","-",OR(AQ1="sap",AQ1="saa"),0,AQ1="sar",0)</f>
        <v>-</v>
      </c>
      <c r="AR5" s="9" t="s">
        <v>97</v>
      </c>
      <c r="AS5" s="9" t="s">
        <v>97</v>
      </c>
      <c r="AT5" s="9" t="s">
        <v>97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1</v>
      </c>
      <c r="BE5" s="9" cm="1">
        <f t="array" ref="BE5">_xlfn.IFS(OR(BE1="sam",BE1="sai"),1,BE1="sav","-",OR(BE1="sap",BE1="saa"),0,BE1="sar",0)</f>
        <v>1</v>
      </c>
      <c r="BF5" s="9" cm="1">
        <f t="array" ref="BF5">_xlfn.IFS(OR(BF1="sam",BF1="sai"),1,BF1="sav","-",OR(BF1="sap",BF1="saa"),0,BF1="sar",0)</f>
        <v>1</v>
      </c>
      <c r="BG5" s="9" cm="1">
        <f t="array" ref="BG5">_xlfn.IFS(OR(BG1="sam",BG1="sai"),1,BG1="sav","-",OR(BG1="sap",BG1="saa"),0,BG1="sar",0)</f>
        <v>1</v>
      </c>
      <c r="BH5" s="9" cm="1">
        <f t="array" ref="BH5">_xlfn.IFS(OR(BH1="sam",BH1="sai"),1,BH1="sav","-",OR(BH1="sap",BH1="saa"),0,BH1="sar",0)</f>
        <v>1</v>
      </c>
      <c r="BI5" s="9" cm="1">
        <f t="array" ref="BI5">_xlfn.IFS(OR(BI1="sam",BI1="sai"),1,BI1="sav","-",OR(BI1="sap",BI1="saa"),0,BI1="sar",0)</f>
        <v>1</v>
      </c>
      <c r="BJ5" s="9" cm="1">
        <f t="array" ref="BJ5">_xlfn.IFS(OR(BJ1="sam",BJ1="sai"),1,BJ1="sav","-",OR(BJ1="sap",BJ1="saa"),0,BJ1="sar",0)</f>
        <v>1</v>
      </c>
      <c r="BK5" s="9" cm="1">
        <f t="array" ref="BK5">_xlfn.IFS(OR(BK1="sam",BK1="sai"),1,BK1="sav","-",OR(BK1="sap",BK1="saa"),0,BK1="sar",0)</f>
        <v>0</v>
      </c>
      <c r="BL5" s="9" cm="1">
        <f t="array" ref="BL5">_xlfn.IFS(OR(BL1="sam",BL1="sai"),1,BL1="sav","-",OR(BL1="sap",BL1="saa"),0,BL1="sar",0)</f>
        <v>0</v>
      </c>
      <c r="BM5" s="9" cm="1">
        <f t="array" ref="BM5">_xlfn.IFS(OR(BM1="sam",BM1="sai"),1,BM1="sav","-",OR(BM1="sap",BM1="saa"),0,BM1="sar",0)</f>
        <v>0</v>
      </c>
      <c r="BN5" s="9" cm="1">
        <f t="array" ref="BN5">_xlfn.IFS(OR(BN1="sam",BN1="sai"),1,BN1="sav","-",OR(BN1="sap",BN1="saa"),0,BN1="sar",0)</f>
        <v>0</v>
      </c>
      <c r="BO5" s="9" cm="1">
        <f t="array" ref="BO5">_xlfn.IFS(OR(BO1="sam",BO1="sai"),1,BO1="sav","-",OR(BO1="sap",BO1="saa"),0,BO1="sar",0)</f>
        <v>0</v>
      </c>
      <c r="BP5" s="15">
        <v>0</v>
      </c>
    </row>
    <row r="6" spans="1:68" x14ac:dyDescent="0.25">
      <c r="A6" s="19">
        <v>44278.427546296298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s="26" t="str">
        <f>IF(MATCH(F6,F$5:F6,0)=COUNTA(F$5:F6),"-","Dup")</f>
        <v>-</v>
      </c>
      <c r="H6" s="29" t="str">
        <f>H$5</f>
        <v>-</v>
      </c>
      <c r="I6" s="22" t="b">
        <v>0</v>
      </c>
      <c r="J6" s="22" t="b">
        <v>1</v>
      </c>
      <c r="K6" s="29" t="str">
        <f t="shared" ref="K6:M6" si="0">K$5</f>
        <v>-</v>
      </c>
      <c r="L6" s="29" t="str">
        <f t="shared" si="0"/>
        <v>-</v>
      </c>
      <c r="M6" s="29" t="str">
        <f t="shared" si="0"/>
        <v>-</v>
      </c>
      <c r="N6" s="29" t="str">
        <f t="shared" ref="N6:BO6" si="1">N$5</f>
        <v>-</v>
      </c>
      <c r="O6" s="29" t="str">
        <f t="shared" si="1"/>
        <v>-</v>
      </c>
      <c r="P6" s="29" t="str">
        <f t="shared" si="1"/>
        <v>-</v>
      </c>
      <c r="Q6" s="29" t="str">
        <f t="shared" si="1"/>
        <v>-</v>
      </c>
      <c r="R6" s="29" t="str">
        <f t="shared" si="1"/>
        <v>-</v>
      </c>
      <c r="S6" s="29" t="str">
        <f t="shared" si="1"/>
        <v>-</v>
      </c>
      <c r="T6" s="29" t="str">
        <f t="shared" si="1"/>
        <v>-</v>
      </c>
      <c r="U6" s="29" t="str">
        <f t="shared" si="1"/>
        <v>-</v>
      </c>
      <c r="V6" s="29" t="str">
        <f t="shared" si="1"/>
        <v>-</v>
      </c>
      <c r="W6" s="29" t="str">
        <f t="shared" si="1"/>
        <v>-</v>
      </c>
      <c r="X6" s="29" t="str">
        <f t="shared" si="1"/>
        <v>-</v>
      </c>
      <c r="Y6" s="29" t="str">
        <f t="shared" si="1"/>
        <v>-</v>
      </c>
      <c r="Z6" s="29" t="str">
        <f t="shared" si="1"/>
        <v>-</v>
      </c>
      <c r="AA6" s="29" t="str">
        <f t="shared" si="1"/>
        <v>-</v>
      </c>
      <c r="AB6" s="29" t="str">
        <f t="shared" si="1"/>
        <v>-</v>
      </c>
      <c r="AC6" s="29" t="str">
        <f t="shared" si="1"/>
        <v>-</v>
      </c>
      <c r="AD6" s="29" t="str">
        <f t="shared" si="1"/>
        <v>-</v>
      </c>
      <c r="AE6" s="29" t="str">
        <f t="shared" si="1"/>
        <v>-</v>
      </c>
      <c r="AF6" s="29" t="str">
        <f t="shared" si="1"/>
        <v>-</v>
      </c>
      <c r="AG6" s="29" t="str">
        <f t="shared" si="1"/>
        <v>-</v>
      </c>
      <c r="AH6" s="29" t="str">
        <f t="shared" si="1"/>
        <v>-</v>
      </c>
      <c r="AI6" s="29" t="str">
        <f t="shared" si="1"/>
        <v>-</v>
      </c>
      <c r="AJ6" s="29" t="str">
        <f t="shared" si="1"/>
        <v>-</v>
      </c>
      <c r="AK6" s="29" t="str">
        <f t="shared" si="1"/>
        <v>-</v>
      </c>
      <c r="AL6" s="29" t="str">
        <f t="shared" si="1"/>
        <v>-</v>
      </c>
      <c r="AM6" s="29" t="str">
        <f t="shared" si="1"/>
        <v>-</v>
      </c>
      <c r="AN6" s="29" t="str">
        <f t="shared" si="1"/>
        <v>-</v>
      </c>
      <c r="AO6" s="29" t="str">
        <f t="shared" si="1"/>
        <v>-</v>
      </c>
      <c r="AP6" s="29" t="str">
        <f t="shared" si="1"/>
        <v>-</v>
      </c>
      <c r="AQ6" s="29" t="str">
        <f t="shared" si="1"/>
        <v>-</v>
      </c>
      <c r="AR6" t="s">
        <v>97</v>
      </c>
      <c r="AS6" t="s">
        <v>97</v>
      </c>
      <c r="AT6" t="s">
        <v>97</v>
      </c>
      <c r="AU6" s="29">
        <f t="shared" si="1"/>
        <v>1</v>
      </c>
      <c r="AV6" s="29">
        <f t="shared" si="1"/>
        <v>1</v>
      </c>
      <c r="AW6" s="29">
        <f t="shared" si="1"/>
        <v>1</v>
      </c>
      <c r="AX6" s="29">
        <f t="shared" si="1"/>
        <v>1</v>
      </c>
      <c r="AY6" s="29">
        <f t="shared" si="1"/>
        <v>1</v>
      </c>
      <c r="AZ6" s="29">
        <f t="shared" si="1"/>
        <v>1</v>
      </c>
      <c r="BA6" s="29">
        <f t="shared" si="1"/>
        <v>1</v>
      </c>
      <c r="BB6" s="29">
        <f t="shared" si="1"/>
        <v>1</v>
      </c>
      <c r="BC6" s="29">
        <f t="shared" si="1"/>
        <v>1</v>
      </c>
      <c r="BD6" s="29">
        <f t="shared" si="1"/>
        <v>1</v>
      </c>
      <c r="BE6" s="29">
        <f t="shared" si="1"/>
        <v>1</v>
      </c>
      <c r="BF6" s="29">
        <f t="shared" si="1"/>
        <v>1</v>
      </c>
      <c r="BG6" s="29">
        <f t="shared" si="1"/>
        <v>1</v>
      </c>
      <c r="BH6" s="29">
        <f t="shared" si="1"/>
        <v>1</v>
      </c>
      <c r="BI6" s="29">
        <f t="shared" si="1"/>
        <v>1</v>
      </c>
      <c r="BJ6" s="29">
        <f t="shared" si="1"/>
        <v>1</v>
      </c>
      <c r="BK6" s="29">
        <f t="shared" si="1"/>
        <v>0</v>
      </c>
      <c r="BL6" s="29">
        <f t="shared" si="1"/>
        <v>0</v>
      </c>
      <c r="BM6" s="29">
        <f t="shared" si="1"/>
        <v>0</v>
      </c>
      <c r="BN6" s="29">
        <f t="shared" si="1"/>
        <v>0</v>
      </c>
      <c r="BO6" s="29">
        <f t="shared" si="1"/>
        <v>0</v>
      </c>
      <c r="BP6" s="15">
        <v>0</v>
      </c>
    </row>
    <row r="7" spans="1:68" x14ac:dyDescent="0.2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s="26" t="str">
        <f>IF(MATCH(F7,F$5:F7,0)=COUNTA(F$5:F7),"-","Dup")</f>
        <v>-</v>
      </c>
      <c r="H7" t="str">
        <f t="shared" ref="H7:BO22" si="2">H$6</f>
        <v>-</v>
      </c>
      <c r="I7" t="b">
        <f t="shared" si="2"/>
        <v>0</v>
      </c>
      <c r="J7" t="b">
        <f t="shared" si="2"/>
        <v>1</v>
      </c>
      <c r="K7" t="str">
        <f t="shared" si="2"/>
        <v>-</v>
      </c>
      <c r="L7" t="str">
        <f t="shared" si="2"/>
        <v>-</v>
      </c>
      <c r="M7" t="str">
        <f t="shared" si="2"/>
        <v>-</v>
      </c>
      <c r="N7" t="str">
        <f t="shared" si="2"/>
        <v>-</v>
      </c>
      <c r="O7" t="str">
        <f t="shared" si="2"/>
        <v>-</v>
      </c>
      <c r="P7" t="str">
        <f t="shared" si="2"/>
        <v>-</v>
      </c>
      <c r="Q7" t="str">
        <f t="shared" si="2"/>
        <v>-</v>
      </c>
      <c r="R7" t="str">
        <f t="shared" si="2"/>
        <v>-</v>
      </c>
      <c r="S7" t="str">
        <f t="shared" si="2"/>
        <v>-</v>
      </c>
      <c r="T7" t="str">
        <f t="shared" si="2"/>
        <v>-</v>
      </c>
      <c r="U7" t="str">
        <f t="shared" si="2"/>
        <v>-</v>
      </c>
      <c r="V7" t="str">
        <f t="shared" si="2"/>
        <v>-</v>
      </c>
      <c r="W7" t="str">
        <f t="shared" si="2"/>
        <v>-</v>
      </c>
      <c r="X7" t="str">
        <f t="shared" si="2"/>
        <v>-</v>
      </c>
      <c r="Y7" t="str">
        <f t="shared" si="2"/>
        <v>-</v>
      </c>
      <c r="Z7" t="str">
        <f t="shared" si="2"/>
        <v>-</v>
      </c>
      <c r="AA7" t="str">
        <f t="shared" si="2"/>
        <v>-</v>
      </c>
      <c r="AB7" t="str">
        <f t="shared" si="2"/>
        <v>-</v>
      </c>
      <c r="AC7" t="str">
        <f t="shared" si="2"/>
        <v>-</v>
      </c>
      <c r="AD7" t="str">
        <f t="shared" si="2"/>
        <v>-</v>
      </c>
      <c r="AE7" t="str">
        <f t="shared" si="2"/>
        <v>-</v>
      </c>
      <c r="AF7" t="str">
        <f t="shared" si="2"/>
        <v>-</v>
      </c>
      <c r="AG7" t="str">
        <f t="shared" si="2"/>
        <v>-</v>
      </c>
      <c r="AH7" t="str">
        <f t="shared" si="2"/>
        <v>-</v>
      </c>
      <c r="AI7" t="str">
        <f t="shared" si="2"/>
        <v>-</v>
      </c>
      <c r="AJ7" t="str">
        <f t="shared" si="2"/>
        <v>-</v>
      </c>
      <c r="AK7" t="str">
        <f t="shared" si="2"/>
        <v>-</v>
      </c>
      <c r="AL7" t="str">
        <f t="shared" si="2"/>
        <v>-</v>
      </c>
      <c r="AM7" t="str">
        <f t="shared" si="2"/>
        <v>-</v>
      </c>
      <c r="AN7" t="str">
        <f t="shared" si="2"/>
        <v>-</v>
      </c>
      <c r="AO7" t="str">
        <f t="shared" si="2"/>
        <v>-</v>
      </c>
      <c r="AP7" t="str">
        <f t="shared" si="2"/>
        <v>-</v>
      </c>
      <c r="AQ7" t="str">
        <f t="shared" si="2"/>
        <v>-</v>
      </c>
      <c r="AR7" t="s">
        <v>97</v>
      </c>
      <c r="AS7" t="s">
        <v>97</v>
      </c>
      <c r="AT7" t="s">
        <v>97</v>
      </c>
      <c r="AU7">
        <f t="shared" si="2"/>
        <v>1</v>
      </c>
      <c r="AV7">
        <f t="shared" si="2"/>
        <v>1</v>
      </c>
      <c r="AW7">
        <f t="shared" si="2"/>
        <v>1</v>
      </c>
      <c r="AX7">
        <f t="shared" si="2"/>
        <v>1</v>
      </c>
      <c r="AY7">
        <f t="shared" si="2"/>
        <v>1</v>
      </c>
      <c r="AZ7">
        <f t="shared" si="2"/>
        <v>1</v>
      </c>
      <c r="BA7">
        <f t="shared" si="2"/>
        <v>1</v>
      </c>
      <c r="BB7">
        <f t="shared" si="2"/>
        <v>1</v>
      </c>
      <c r="BC7">
        <f t="shared" si="2"/>
        <v>1</v>
      </c>
      <c r="BD7">
        <f t="shared" si="2"/>
        <v>1</v>
      </c>
      <c r="BE7">
        <f t="shared" si="2"/>
        <v>1</v>
      </c>
      <c r="BF7">
        <f t="shared" si="2"/>
        <v>1</v>
      </c>
      <c r="BG7">
        <f t="shared" si="2"/>
        <v>1</v>
      </c>
      <c r="BH7">
        <f t="shared" si="2"/>
        <v>1</v>
      </c>
      <c r="BI7">
        <f t="shared" si="2"/>
        <v>1</v>
      </c>
      <c r="BJ7">
        <f t="shared" si="2"/>
        <v>1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 s="15">
        <v>0</v>
      </c>
    </row>
    <row r="8" spans="1:68" x14ac:dyDescent="0.25">
      <c r="A8" s="19">
        <v>44275.512511574074</v>
      </c>
      <c r="B8">
        <f t="shared" ref="B8:B91" si="3">ROW(B8)-5</f>
        <v>3</v>
      </c>
      <c r="C8" t="b">
        <v>0</v>
      </c>
      <c r="D8" t="b">
        <v>0</v>
      </c>
      <c r="E8" t="b">
        <v>0</v>
      </c>
      <c r="F8" s="3" t="s">
        <v>11</v>
      </c>
      <c r="G8" s="26" t="str">
        <f>IF(MATCH(F8,F$5:F8,0)=COUNTA(F$5:F8),"-","Dup")</f>
        <v>-</v>
      </c>
      <c r="H8" t="str">
        <f t="shared" ref="H8:U17" si="4">H$6</f>
        <v>-</v>
      </c>
      <c r="I8" t="b">
        <f t="shared" si="4"/>
        <v>0</v>
      </c>
      <c r="J8" t="b">
        <f t="shared" si="4"/>
        <v>1</v>
      </c>
      <c r="K8" t="str">
        <f t="shared" si="4"/>
        <v>-</v>
      </c>
      <c r="L8" t="str">
        <f t="shared" si="4"/>
        <v>-</v>
      </c>
      <c r="M8" t="str">
        <f t="shared" si="4"/>
        <v>-</v>
      </c>
      <c r="N8" t="str">
        <f t="shared" si="4"/>
        <v>-</v>
      </c>
      <c r="O8" t="str">
        <f t="shared" si="4"/>
        <v>-</v>
      </c>
      <c r="P8" t="str">
        <f t="shared" si="4"/>
        <v>-</v>
      </c>
      <c r="Q8" t="str">
        <f t="shared" si="4"/>
        <v>-</v>
      </c>
      <c r="R8" t="str">
        <f t="shared" si="4"/>
        <v>-</v>
      </c>
      <c r="S8" t="str">
        <f t="shared" si="4"/>
        <v>-</v>
      </c>
      <c r="T8" t="str">
        <f t="shared" si="4"/>
        <v>-</v>
      </c>
      <c r="U8" t="str">
        <f t="shared" si="4"/>
        <v>-</v>
      </c>
      <c r="V8" t="str">
        <f t="shared" ref="V8:AO17" si="5">V$6</f>
        <v>-</v>
      </c>
      <c r="W8" t="str">
        <f t="shared" si="5"/>
        <v>-</v>
      </c>
      <c r="X8" t="str">
        <f t="shared" si="5"/>
        <v>-</v>
      </c>
      <c r="Y8" t="str">
        <f t="shared" si="5"/>
        <v>-</v>
      </c>
      <c r="Z8" t="str">
        <f t="shared" si="5"/>
        <v>-</v>
      </c>
      <c r="AA8" t="str">
        <f t="shared" si="5"/>
        <v>-</v>
      </c>
      <c r="AB8" t="str">
        <f t="shared" si="5"/>
        <v>-</v>
      </c>
      <c r="AC8" t="str">
        <f t="shared" si="5"/>
        <v>-</v>
      </c>
      <c r="AD8" t="str">
        <f t="shared" si="5"/>
        <v>-</v>
      </c>
      <c r="AE8" t="str">
        <f t="shared" si="5"/>
        <v>-</v>
      </c>
      <c r="AF8" t="str">
        <f t="shared" si="5"/>
        <v>-</v>
      </c>
      <c r="AG8" t="str">
        <f t="shared" si="5"/>
        <v>-</v>
      </c>
      <c r="AH8" t="str">
        <f t="shared" si="5"/>
        <v>-</v>
      </c>
      <c r="AI8" t="str">
        <f t="shared" si="5"/>
        <v>-</v>
      </c>
      <c r="AJ8" t="str">
        <f t="shared" si="5"/>
        <v>-</v>
      </c>
      <c r="AK8" t="str">
        <f t="shared" si="5"/>
        <v>-</v>
      </c>
      <c r="AL8" t="str">
        <f t="shared" si="5"/>
        <v>-</v>
      </c>
      <c r="AM8" t="str">
        <f t="shared" si="5"/>
        <v>-</v>
      </c>
      <c r="AN8" t="str">
        <f t="shared" si="5"/>
        <v>-</v>
      </c>
      <c r="AO8" t="str">
        <f t="shared" si="5"/>
        <v>-</v>
      </c>
      <c r="AP8" t="str">
        <f t="shared" si="2"/>
        <v>-</v>
      </c>
      <c r="AQ8" t="str">
        <f t="shared" si="2"/>
        <v>-</v>
      </c>
      <c r="AR8" t="s">
        <v>97</v>
      </c>
      <c r="AS8" t="s">
        <v>97</v>
      </c>
      <c r="AT8" t="s">
        <v>97</v>
      </c>
      <c r="AU8" s="22">
        <v>0.9</v>
      </c>
      <c r="AV8">
        <f t="shared" ref="AV8:BO9" si="6">AV$6</f>
        <v>1</v>
      </c>
      <c r="AW8">
        <f t="shared" si="6"/>
        <v>1</v>
      </c>
      <c r="AX8">
        <f t="shared" si="6"/>
        <v>1</v>
      </c>
      <c r="AY8">
        <f t="shared" si="6"/>
        <v>1</v>
      </c>
      <c r="AZ8">
        <f t="shared" si="6"/>
        <v>1</v>
      </c>
      <c r="BA8">
        <f t="shared" si="6"/>
        <v>1</v>
      </c>
      <c r="BB8">
        <f t="shared" si="6"/>
        <v>1</v>
      </c>
      <c r="BC8">
        <f t="shared" si="6"/>
        <v>1</v>
      </c>
      <c r="BD8">
        <f t="shared" si="6"/>
        <v>1</v>
      </c>
      <c r="BE8">
        <f t="shared" si="6"/>
        <v>1</v>
      </c>
      <c r="BF8">
        <f t="shared" si="6"/>
        <v>1</v>
      </c>
      <c r="BG8">
        <f t="shared" si="6"/>
        <v>1</v>
      </c>
      <c r="BH8">
        <f t="shared" si="6"/>
        <v>1</v>
      </c>
      <c r="BI8">
        <f t="shared" si="6"/>
        <v>1</v>
      </c>
      <c r="BJ8">
        <f t="shared" si="6"/>
        <v>1</v>
      </c>
      <c r="BK8">
        <f t="shared" si="6"/>
        <v>0</v>
      </c>
      <c r="BL8">
        <f t="shared" si="6"/>
        <v>0</v>
      </c>
      <c r="BM8">
        <f t="shared" si="6"/>
        <v>0</v>
      </c>
      <c r="BN8">
        <f t="shared" si="6"/>
        <v>0</v>
      </c>
      <c r="BO8">
        <f t="shared" si="6"/>
        <v>0</v>
      </c>
      <c r="BP8" s="15">
        <v>0</v>
      </c>
    </row>
    <row r="9" spans="1:68" x14ac:dyDescent="0.25">
      <c r="A9" s="19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s="26" t="str">
        <f>IF(MATCH(F9,F$5:F9,0)=COUNTA(F$5:F9),"-","Dup")</f>
        <v>-</v>
      </c>
      <c r="H9" t="str">
        <f t="shared" si="4"/>
        <v>-</v>
      </c>
      <c r="I9" t="b">
        <f t="shared" si="4"/>
        <v>0</v>
      </c>
      <c r="J9" t="b">
        <f t="shared" si="4"/>
        <v>1</v>
      </c>
      <c r="K9" t="str">
        <f t="shared" si="4"/>
        <v>-</v>
      </c>
      <c r="L9" t="str">
        <f t="shared" si="4"/>
        <v>-</v>
      </c>
      <c r="M9" t="str">
        <f t="shared" si="4"/>
        <v>-</v>
      </c>
      <c r="N9" t="str">
        <f t="shared" si="4"/>
        <v>-</v>
      </c>
      <c r="O9" t="str">
        <f t="shared" si="4"/>
        <v>-</v>
      </c>
      <c r="P9" t="str">
        <f t="shared" si="4"/>
        <v>-</v>
      </c>
      <c r="Q9" t="str">
        <f t="shared" si="4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4"/>
        <v>-</v>
      </c>
      <c r="V9" t="str">
        <f t="shared" si="5"/>
        <v>-</v>
      </c>
      <c r="W9" t="str">
        <f t="shared" si="5"/>
        <v>-</v>
      </c>
      <c r="X9" t="str">
        <f t="shared" si="5"/>
        <v>-</v>
      </c>
      <c r="Y9" t="str">
        <f t="shared" si="5"/>
        <v>-</v>
      </c>
      <c r="Z9" t="str">
        <f t="shared" si="5"/>
        <v>-</v>
      </c>
      <c r="AA9" t="str">
        <f t="shared" si="5"/>
        <v>-</v>
      </c>
      <c r="AB9" t="str">
        <f t="shared" si="5"/>
        <v>-</v>
      </c>
      <c r="AC9" t="str">
        <f t="shared" si="5"/>
        <v>-</v>
      </c>
      <c r="AD9" t="str">
        <f t="shared" si="5"/>
        <v>-</v>
      </c>
      <c r="AE9" t="str">
        <f t="shared" si="5"/>
        <v>-</v>
      </c>
      <c r="AF9" t="str">
        <f t="shared" si="5"/>
        <v>-</v>
      </c>
      <c r="AG9" t="str">
        <f t="shared" si="5"/>
        <v>-</v>
      </c>
      <c r="AH9" t="str">
        <f t="shared" si="5"/>
        <v>-</v>
      </c>
      <c r="AI9" t="str">
        <f t="shared" si="5"/>
        <v>-</v>
      </c>
      <c r="AJ9" t="str">
        <f t="shared" si="5"/>
        <v>-</v>
      </c>
      <c r="AK9" t="str">
        <f t="shared" si="5"/>
        <v>-</v>
      </c>
      <c r="AL9" t="str">
        <f t="shared" si="5"/>
        <v>-</v>
      </c>
      <c r="AM9" t="str">
        <f t="shared" si="5"/>
        <v>-</v>
      </c>
      <c r="AN9" t="str">
        <f t="shared" si="5"/>
        <v>-</v>
      </c>
      <c r="AO9" t="str">
        <f t="shared" si="2"/>
        <v>-</v>
      </c>
      <c r="AP9" t="str">
        <f t="shared" si="2"/>
        <v>-</v>
      </c>
      <c r="AQ9" t="str">
        <f t="shared" si="2"/>
        <v>-</v>
      </c>
      <c r="AR9" t="s">
        <v>97</v>
      </c>
      <c r="AS9" t="s">
        <v>97</v>
      </c>
      <c r="AT9" t="s">
        <v>97</v>
      </c>
      <c r="AU9" s="22">
        <v>1.1000000000000001</v>
      </c>
      <c r="AV9">
        <f t="shared" si="6"/>
        <v>1</v>
      </c>
      <c r="AW9">
        <f t="shared" si="6"/>
        <v>1</v>
      </c>
      <c r="AX9">
        <f t="shared" si="6"/>
        <v>1</v>
      </c>
      <c r="AY9">
        <f t="shared" si="6"/>
        <v>1</v>
      </c>
      <c r="AZ9">
        <f t="shared" si="6"/>
        <v>1</v>
      </c>
      <c r="BA9">
        <f t="shared" si="6"/>
        <v>1</v>
      </c>
      <c r="BB9">
        <f t="shared" si="6"/>
        <v>1</v>
      </c>
      <c r="BC9">
        <f t="shared" si="6"/>
        <v>1</v>
      </c>
      <c r="BD9">
        <f t="shared" si="6"/>
        <v>1</v>
      </c>
      <c r="BE9">
        <f t="shared" si="6"/>
        <v>1</v>
      </c>
      <c r="BF9">
        <f t="shared" si="6"/>
        <v>1</v>
      </c>
      <c r="BG9">
        <f t="shared" si="6"/>
        <v>1</v>
      </c>
      <c r="BH9">
        <f t="shared" si="6"/>
        <v>1</v>
      </c>
      <c r="BI9">
        <f t="shared" si="6"/>
        <v>1</v>
      </c>
      <c r="BJ9">
        <f t="shared" si="6"/>
        <v>1</v>
      </c>
      <c r="BK9">
        <f t="shared" si="6"/>
        <v>0</v>
      </c>
      <c r="BL9">
        <f t="shared" si="6"/>
        <v>0</v>
      </c>
      <c r="BM9">
        <f t="shared" si="6"/>
        <v>0</v>
      </c>
      <c r="BN9">
        <f t="shared" si="6"/>
        <v>0</v>
      </c>
      <c r="BO9">
        <f t="shared" si="6"/>
        <v>0</v>
      </c>
      <c r="BP9" s="15">
        <v>0</v>
      </c>
    </row>
    <row r="10" spans="1:68" x14ac:dyDescent="0.25">
      <c r="A10" s="19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s="26" t="str">
        <f>IF(MATCH(F10,F$5:F10,0)=COUNTA(F$5:F10),"-","Dup")</f>
        <v>-</v>
      </c>
      <c r="H10" t="str">
        <f t="shared" si="4"/>
        <v>-</v>
      </c>
      <c r="I10" t="b">
        <f t="shared" si="4"/>
        <v>0</v>
      </c>
      <c r="J10" t="b">
        <f t="shared" si="4"/>
        <v>1</v>
      </c>
      <c r="K10" t="str">
        <f t="shared" si="4"/>
        <v>-</v>
      </c>
      <c r="L10" t="str">
        <f t="shared" si="4"/>
        <v>-</v>
      </c>
      <c r="M10" t="str">
        <f t="shared" si="4"/>
        <v>-</v>
      </c>
      <c r="N10" t="str">
        <f t="shared" si="4"/>
        <v>-</v>
      </c>
      <c r="O10" t="str">
        <f t="shared" si="4"/>
        <v>-</v>
      </c>
      <c r="P10" t="str">
        <f t="shared" si="4"/>
        <v>-</v>
      </c>
      <c r="Q10" t="str">
        <f t="shared" si="4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4"/>
        <v>-</v>
      </c>
      <c r="V10" t="str">
        <f t="shared" si="5"/>
        <v>-</v>
      </c>
      <c r="W10" t="str">
        <f t="shared" si="5"/>
        <v>-</v>
      </c>
      <c r="X10" t="str">
        <f t="shared" si="5"/>
        <v>-</v>
      </c>
      <c r="Y10" t="str">
        <f t="shared" si="5"/>
        <v>-</v>
      </c>
      <c r="Z10" t="str">
        <f t="shared" si="5"/>
        <v>-</v>
      </c>
      <c r="AA10" t="str">
        <f t="shared" si="5"/>
        <v>-</v>
      </c>
      <c r="AB10" t="str">
        <f t="shared" si="5"/>
        <v>-</v>
      </c>
      <c r="AC10" t="str">
        <f t="shared" si="5"/>
        <v>-</v>
      </c>
      <c r="AD10" t="str">
        <f t="shared" si="5"/>
        <v>-</v>
      </c>
      <c r="AE10" t="str">
        <f t="shared" si="5"/>
        <v>-</v>
      </c>
      <c r="AF10" t="str">
        <f t="shared" si="5"/>
        <v>-</v>
      </c>
      <c r="AG10" t="str">
        <f t="shared" si="5"/>
        <v>-</v>
      </c>
      <c r="AH10" t="str">
        <f t="shared" si="5"/>
        <v>-</v>
      </c>
      <c r="AI10" t="str">
        <f t="shared" si="5"/>
        <v>-</v>
      </c>
      <c r="AJ10" t="str">
        <f t="shared" si="5"/>
        <v>-</v>
      </c>
      <c r="AK10" t="str">
        <f t="shared" si="5"/>
        <v>-</v>
      </c>
      <c r="AL10" t="str">
        <f t="shared" si="5"/>
        <v>-</v>
      </c>
      <c r="AM10" t="str">
        <f t="shared" si="5"/>
        <v>-</v>
      </c>
      <c r="AN10" t="str">
        <f t="shared" si="5"/>
        <v>-</v>
      </c>
      <c r="AO10" t="str">
        <f t="shared" si="2"/>
        <v>-</v>
      </c>
      <c r="AP10" t="str">
        <f t="shared" si="2"/>
        <v>-</v>
      </c>
      <c r="AQ10" t="str">
        <f t="shared" si="2"/>
        <v>-</v>
      </c>
      <c r="AR10" t="s">
        <v>97</v>
      </c>
      <c r="AS10" t="s">
        <v>97</v>
      </c>
      <c r="AT10" t="s">
        <v>97</v>
      </c>
      <c r="AU10">
        <f t="shared" ref="AU10:AU44" si="7">AU$6</f>
        <v>1</v>
      </c>
      <c r="AV10" s="22">
        <v>0.9</v>
      </c>
      <c r="AW10">
        <f t="shared" ref="AW10:BO11" si="8">AW$6</f>
        <v>1</v>
      </c>
      <c r="AX10">
        <f t="shared" si="8"/>
        <v>1</v>
      </c>
      <c r="AY10">
        <f t="shared" si="8"/>
        <v>1</v>
      </c>
      <c r="AZ10">
        <f t="shared" si="8"/>
        <v>1</v>
      </c>
      <c r="BA10">
        <f t="shared" si="8"/>
        <v>1</v>
      </c>
      <c r="BB10">
        <f t="shared" si="8"/>
        <v>1</v>
      </c>
      <c r="BC10">
        <f t="shared" si="8"/>
        <v>1</v>
      </c>
      <c r="BD10">
        <f t="shared" si="8"/>
        <v>1</v>
      </c>
      <c r="BE10">
        <f t="shared" si="8"/>
        <v>1</v>
      </c>
      <c r="BF10">
        <f t="shared" si="8"/>
        <v>1</v>
      </c>
      <c r="BG10">
        <f t="shared" si="8"/>
        <v>1</v>
      </c>
      <c r="BH10">
        <f t="shared" si="8"/>
        <v>1</v>
      </c>
      <c r="BI10">
        <f t="shared" si="8"/>
        <v>1</v>
      </c>
      <c r="BJ10">
        <f t="shared" si="8"/>
        <v>1</v>
      </c>
      <c r="BK10">
        <f t="shared" si="8"/>
        <v>0</v>
      </c>
      <c r="BL10">
        <f t="shared" si="8"/>
        <v>0</v>
      </c>
      <c r="BM10">
        <f t="shared" si="8"/>
        <v>0</v>
      </c>
      <c r="BN10">
        <f t="shared" si="8"/>
        <v>0</v>
      </c>
      <c r="BO10">
        <f t="shared" si="8"/>
        <v>0</v>
      </c>
      <c r="BP10" s="15">
        <v>0</v>
      </c>
    </row>
    <row r="11" spans="1:68" x14ac:dyDescent="0.25">
      <c r="A11" s="19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s="26" t="str">
        <f>IF(MATCH(F11,F$5:F11,0)=COUNTA(F$5:F11),"-","Dup")</f>
        <v>-</v>
      </c>
      <c r="H11" t="str">
        <f t="shared" si="4"/>
        <v>-</v>
      </c>
      <c r="I11" t="b">
        <f t="shared" si="4"/>
        <v>0</v>
      </c>
      <c r="J11" t="b">
        <f t="shared" si="4"/>
        <v>1</v>
      </c>
      <c r="K11" t="str">
        <f t="shared" si="4"/>
        <v>-</v>
      </c>
      <c r="L11" t="str">
        <f t="shared" si="4"/>
        <v>-</v>
      </c>
      <c r="M11" t="str">
        <f t="shared" si="4"/>
        <v>-</v>
      </c>
      <c r="N11" t="str">
        <f t="shared" si="4"/>
        <v>-</v>
      </c>
      <c r="O11" t="str">
        <f t="shared" si="4"/>
        <v>-</v>
      </c>
      <c r="P11" t="str">
        <f t="shared" si="4"/>
        <v>-</v>
      </c>
      <c r="Q11" t="str">
        <f t="shared" si="4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4"/>
        <v>-</v>
      </c>
      <c r="V11" t="str">
        <f t="shared" si="5"/>
        <v>-</v>
      </c>
      <c r="W11" t="str">
        <f t="shared" si="5"/>
        <v>-</v>
      </c>
      <c r="X11" t="str">
        <f t="shared" si="5"/>
        <v>-</v>
      </c>
      <c r="Y11" t="str">
        <f t="shared" si="5"/>
        <v>-</v>
      </c>
      <c r="Z11" t="str">
        <f t="shared" si="5"/>
        <v>-</v>
      </c>
      <c r="AA11" t="str">
        <f t="shared" si="5"/>
        <v>-</v>
      </c>
      <c r="AB11" t="str">
        <f t="shared" si="5"/>
        <v>-</v>
      </c>
      <c r="AC11" t="str">
        <f t="shared" si="5"/>
        <v>-</v>
      </c>
      <c r="AD11" t="str">
        <f t="shared" si="5"/>
        <v>-</v>
      </c>
      <c r="AE11" t="str">
        <f t="shared" si="5"/>
        <v>-</v>
      </c>
      <c r="AF11" t="str">
        <f t="shared" si="5"/>
        <v>-</v>
      </c>
      <c r="AG11" t="str">
        <f t="shared" si="5"/>
        <v>-</v>
      </c>
      <c r="AH11" t="str">
        <f t="shared" si="5"/>
        <v>-</v>
      </c>
      <c r="AI11" t="str">
        <f t="shared" si="5"/>
        <v>-</v>
      </c>
      <c r="AJ11" t="str">
        <f t="shared" si="5"/>
        <v>-</v>
      </c>
      <c r="AK11" t="str">
        <f t="shared" si="5"/>
        <v>-</v>
      </c>
      <c r="AL11" t="str">
        <f t="shared" si="5"/>
        <v>-</v>
      </c>
      <c r="AM11" t="str">
        <f t="shared" si="5"/>
        <v>-</v>
      </c>
      <c r="AN11" t="str">
        <f t="shared" si="5"/>
        <v>-</v>
      </c>
      <c r="AO11" t="str">
        <f t="shared" si="2"/>
        <v>-</v>
      </c>
      <c r="AP11" t="str">
        <f t="shared" si="2"/>
        <v>-</v>
      </c>
      <c r="AQ11" t="str">
        <f t="shared" si="2"/>
        <v>-</v>
      </c>
      <c r="AR11" t="s">
        <v>97</v>
      </c>
      <c r="AS11" t="s">
        <v>97</v>
      </c>
      <c r="AT11" t="s">
        <v>97</v>
      </c>
      <c r="AU11">
        <f t="shared" si="7"/>
        <v>1</v>
      </c>
      <c r="AV11" s="22">
        <v>1.1000000000000001</v>
      </c>
      <c r="AW11">
        <f t="shared" si="8"/>
        <v>1</v>
      </c>
      <c r="AX11">
        <f t="shared" si="8"/>
        <v>1</v>
      </c>
      <c r="AY11">
        <f t="shared" si="8"/>
        <v>1</v>
      </c>
      <c r="AZ11">
        <f t="shared" si="8"/>
        <v>1</v>
      </c>
      <c r="BA11">
        <f t="shared" si="8"/>
        <v>1</v>
      </c>
      <c r="BB11">
        <f t="shared" si="8"/>
        <v>1</v>
      </c>
      <c r="BC11">
        <f t="shared" si="8"/>
        <v>1</v>
      </c>
      <c r="BD11">
        <f t="shared" si="8"/>
        <v>1</v>
      </c>
      <c r="BE11">
        <f t="shared" si="8"/>
        <v>1</v>
      </c>
      <c r="BF11">
        <f t="shared" si="8"/>
        <v>1</v>
      </c>
      <c r="BG11">
        <f t="shared" si="8"/>
        <v>1</v>
      </c>
      <c r="BH11">
        <f t="shared" si="8"/>
        <v>1</v>
      </c>
      <c r="BI11">
        <f t="shared" si="8"/>
        <v>1</v>
      </c>
      <c r="BJ11">
        <f t="shared" si="8"/>
        <v>1</v>
      </c>
      <c r="BK11">
        <f t="shared" si="8"/>
        <v>0</v>
      </c>
      <c r="BL11">
        <f t="shared" si="8"/>
        <v>0</v>
      </c>
      <c r="BM11">
        <f t="shared" si="8"/>
        <v>0</v>
      </c>
      <c r="BN11">
        <f t="shared" si="8"/>
        <v>0</v>
      </c>
      <c r="BO11">
        <f t="shared" si="8"/>
        <v>0</v>
      </c>
      <c r="BP11" s="15">
        <v>0</v>
      </c>
    </row>
    <row r="12" spans="1:68" x14ac:dyDescent="0.25">
      <c r="A12" s="19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s="26" t="str">
        <f>IF(MATCH(F12,F$5:F12,0)=COUNTA(F$5:F12),"-","Dup")</f>
        <v>-</v>
      </c>
      <c r="H12" t="str">
        <f t="shared" si="4"/>
        <v>-</v>
      </c>
      <c r="I12" t="b">
        <f t="shared" si="4"/>
        <v>0</v>
      </c>
      <c r="J12" t="b">
        <f t="shared" si="4"/>
        <v>1</v>
      </c>
      <c r="K12" t="str">
        <f t="shared" si="4"/>
        <v>-</v>
      </c>
      <c r="L12" t="str">
        <f t="shared" si="4"/>
        <v>-</v>
      </c>
      <c r="M12" t="str">
        <f t="shared" si="4"/>
        <v>-</v>
      </c>
      <c r="N12" t="str">
        <f t="shared" si="4"/>
        <v>-</v>
      </c>
      <c r="O12" t="str">
        <f t="shared" si="4"/>
        <v>-</v>
      </c>
      <c r="P12" t="str">
        <f t="shared" si="4"/>
        <v>-</v>
      </c>
      <c r="Q12" t="str">
        <f t="shared" si="4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4"/>
        <v>-</v>
      </c>
      <c r="V12" t="str">
        <f t="shared" si="5"/>
        <v>-</v>
      </c>
      <c r="W12" t="str">
        <f t="shared" si="5"/>
        <v>-</v>
      </c>
      <c r="X12" t="str">
        <f t="shared" si="5"/>
        <v>-</v>
      </c>
      <c r="Y12" t="str">
        <f t="shared" si="5"/>
        <v>-</v>
      </c>
      <c r="Z12" t="str">
        <f t="shared" si="5"/>
        <v>-</v>
      </c>
      <c r="AA12" t="str">
        <f t="shared" si="5"/>
        <v>-</v>
      </c>
      <c r="AB12" t="str">
        <f t="shared" si="5"/>
        <v>-</v>
      </c>
      <c r="AC12" t="str">
        <f t="shared" si="5"/>
        <v>-</v>
      </c>
      <c r="AD12" t="str">
        <f t="shared" si="5"/>
        <v>-</v>
      </c>
      <c r="AE12" t="str">
        <f t="shared" si="5"/>
        <v>-</v>
      </c>
      <c r="AF12" t="str">
        <f t="shared" si="5"/>
        <v>-</v>
      </c>
      <c r="AG12" t="str">
        <f t="shared" si="5"/>
        <v>-</v>
      </c>
      <c r="AH12" t="str">
        <f t="shared" si="5"/>
        <v>-</v>
      </c>
      <c r="AI12" t="str">
        <f t="shared" si="5"/>
        <v>-</v>
      </c>
      <c r="AJ12" t="str">
        <f t="shared" si="5"/>
        <v>-</v>
      </c>
      <c r="AK12" t="str">
        <f t="shared" si="5"/>
        <v>-</v>
      </c>
      <c r="AL12" t="str">
        <f t="shared" si="5"/>
        <v>-</v>
      </c>
      <c r="AM12" t="str">
        <f t="shared" si="5"/>
        <v>-</v>
      </c>
      <c r="AN12" t="str">
        <f t="shared" si="5"/>
        <v>-</v>
      </c>
      <c r="AO12" t="str">
        <f t="shared" si="2"/>
        <v>-</v>
      </c>
      <c r="AP12" t="str">
        <f t="shared" si="2"/>
        <v>-</v>
      </c>
      <c r="AQ12" t="str">
        <f t="shared" si="2"/>
        <v>-</v>
      </c>
      <c r="AR12" t="s">
        <v>97</v>
      </c>
      <c r="AS12" t="s">
        <v>97</v>
      </c>
      <c r="AT12" t="s">
        <v>97</v>
      </c>
      <c r="AU12">
        <f t="shared" si="7"/>
        <v>1</v>
      </c>
      <c r="AV12">
        <f t="shared" ref="AV12:AV44" si="9">AV$6</f>
        <v>1</v>
      </c>
      <c r="AW12" s="22">
        <v>0.9</v>
      </c>
      <c r="AX12">
        <f t="shared" ref="AX12:BO13" si="10">AX$6</f>
        <v>1</v>
      </c>
      <c r="AY12">
        <f t="shared" si="10"/>
        <v>1</v>
      </c>
      <c r="AZ12">
        <f t="shared" si="10"/>
        <v>1</v>
      </c>
      <c r="BA12">
        <f t="shared" si="10"/>
        <v>1</v>
      </c>
      <c r="BB12">
        <f t="shared" si="10"/>
        <v>1</v>
      </c>
      <c r="BC12">
        <f t="shared" si="10"/>
        <v>1</v>
      </c>
      <c r="BD12">
        <f t="shared" si="10"/>
        <v>1</v>
      </c>
      <c r="BE12">
        <f t="shared" si="10"/>
        <v>1</v>
      </c>
      <c r="BF12">
        <f t="shared" si="10"/>
        <v>1</v>
      </c>
      <c r="BG12">
        <f t="shared" si="10"/>
        <v>1</v>
      </c>
      <c r="BH12">
        <f t="shared" si="10"/>
        <v>1</v>
      </c>
      <c r="BI12">
        <f t="shared" si="10"/>
        <v>1</v>
      </c>
      <c r="BJ12">
        <f t="shared" si="10"/>
        <v>1</v>
      </c>
      <c r="BK12">
        <f t="shared" si="10"/>
        <v>0</v>
      </c>
      <c r="BL12">
        <f t="shared" si="10"/>
        <v>0</v>
      </c>
      <c r="BM12">
        <f t="shared" si="10"/>
        <v>0</v>
      </c>
      <c r="BN12">
        <f t="shared" si="10"/>
        <v>0</v>
      </c>
      <c r="BO12">
        <f t="shared" si="10"/>
        <v>0</v>
      </c>
      <c r="BP12" s="15">
        <v>0</v>
      </c>
    </row>
    <row r="13" spans="1:68" x14ac:dyDescent="0.25">
      <c r="A13" s="19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s="26" t="str">
        <f>IF(MATCH(F13,F$5:F13,0)=COUNTA(F$5:F13),"-","Dup")</f>
        <v>-</v>
      </c>
      <c r="H13" t="str">
        <f t="shared" si="4"/>
        <v>-</v>
      </c>
      <c r="I13" t="b">
        <f t="shared" si="4"/>
        <v>0</v>
      </c>
      <c r="J13" t="b">
        <f t="shared" si="4"/>
        <v>1</v>
      </c>
      <c r="K13" t="str">
        <f t="shared" si="4"/>
        <v>-</v>
      </c>
      <c r="L13" t="str">
        <f t="shared" si="4"/>
        <v>-</v>
      </c>
      <c r="M13" t="str">
        <f t="shared" si="4"/>
        <v>-</v>
      </c>
      <c r="N13" t="str">
        <f t="shared" si="4"/>
        <v>-</v>
      </c>
      <c r="O13" t="str">
        <f t="shared" si="4"/>
        <v>-</v>
      </c>
      <c r="P13" t="str">
        <f t="shared" si="4"/>
        <v>-</v>
      </c>
      <c r="Q13" t="str">
        <f t="shared" si="4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4"/>
        <v>-</v>
      </c>
      <c r="V13" t="str">
        <f t="shared" si="5"/>
        <v>-</v>
      </c>
      <c r="W13" t="str">
        <f t="shared" si="5"/>
        <v>-</v>
      </c>
      <c r="X13" t="str">
        <f t="shared" si="5"/>
        <v>-</v>
      </c>
      <c r="Y13" t="str">
        <f t="shared" si="5"/>
        <v>-</v>
      </c>
      <c r="Z13" t="str">
        <f t="shared" si="5"/>
        <v>-</v>
      </c>
      <c r="AA13" t="str">
        <f t="shared" si="5"/>
        <v>-</v>
      </c>
      <c r="AB13" t="str">
        <f t="shared" si="5"/>
        <v>-</v>
      </c>
      <c r="AC13" t="str">
        <f t="shared" si="5"/>
        <v>-</v>
      </c>
      <c r="AD13" t="str">
        <f t="shared" si="5"/>
        <v>-</v>
      </c>
      <c r="AE13" t="str">
        <f t="shared" si="5"/>
        <v>-</v>
      </c>
      <c r="AF13" t="str">
        <f t="shared" si="5"/>
        <v>-</v>
      </c>
      <c r="AG13" t="str">
        <f t="shared" si="5"/>
        <v>-</v>
      </c>
      <c r="AH13" t="str">
        <f t="shared" si="5"/>
        <v>-</v>
      </c>
      <c r="AI13" t="str">
        <f t="shared" si="5"/>
        <v>-</v>
      </c>
      <c r="AJ13" t="str">
        <f t="shared" si="5"/>
        <v>-</v>
      </c>
      <c r="AK13" t="str">
        <f t="shared" si="5"/>
        <v>-</v>
      </c>
      <c r="AL13" t="str">
        <f t="shared" si="5"/>
        <v>-</v>
      </c>
      <c r="AM13" t="str">
        <f t="shared" si="5"/>
        <v>-</v>
      </c>
      <c r="AN13" t="str">
        <f t="shared" si="5"/>
        <v>-</v>
      </c>
      <c r="AO13" t="str">
        <f t="shared" si="2"/>
        <v>-</v>
      </c>
      <c r="AP13" t="str">
        <f t="shared" si="2"/>
        <v>-</v>
      </c>
      <c r="AQ13" t="str">
        <f t="shared" si="2"/>
        <v>-</v>
      </c>
      <c r="AR13" t="s">
        <v>97</v>
      </c>
      <c r="AS13" t="s">
        <v>97</v>
      </c>
      <c r="AT13" t="s">
        <v>97</v>
      </c>
      <c r="AU13">
        <f t="shared" si="7"/>
        <v>1</v>
      </c>
      <c r="AV13">
        <f t="shared" si="9"/>
        <v>1</v>
      </c>
      <c r="AW13" s="22">
        <v>1.1000000000000001</v>
      </c>
      <c r="AX13">
        <f t="shared" si="10"/>
        <v>1</v>
      </c>
      <c r="AY13">
        <f t="shared" si="10"/>
        <v>1</v>
      </c>
      <c r="AZ13">
        <f t="shared" si="10"/>
        <v>1</v>
      </c>
      <c r="BA13">
        <f t="shared" si="10"/>
        <v>1</v>
      </c>
      <c r="BB13">
        <f t="shared" si="10"/>
        <v>1</v>
      </c>
      <c r="BC13">
        <f t="shared" si="10"/>
        <v>1</v>
      </c>
      <c r="BD13">
        <f t="shared" si="10"/>
        <v>1</v>
      </c>
      <c r="BE13">
        <f t="shared" si="10"/>
        <v>1</v>
      </c>
      <c r="BF13">
        <f t="shared" si="10"/>
        <v>1</v>
      </c>
      <c r="BG13">
        <f t="shared" si="10"/>
        <v>1</v>
      </c>
      <c r="BH13">
        <f t="shared" si="10"/>
        <v>1</v>
      </c>
      <c r="BI13">
        <f t="shared" si="10"/>
        <v>1</v>
      </c>
      <c r="BJ13">
        <f t="shared" si="10"/>
        <v>1</v>
      </c>
      <c r="BK13">
        <f t="shared" si="10"/>
        <v>0</v>
      </c>
      <c r="BL13">
        <f t="shared" si="10"/>
        <v>0</v>
      </c>
      <c r="BM13">
        <f t="shared" si="10"/>
        <v>0</v>
      </c>
      <c r="BN13">
        <f t="shared" si="10"/>
        <v>0</v>
      </c>
      <c r="BO13">
        <f t="shared" si="10"/>
        <v>0</v>
      </c>
      <c r="BP13" s="15">
        <v>0</v>
      </c>
    </row>
    <row r="14" spans="1:68" x14ac:dyDescent="0.25">
      <c r="A14" s="19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s="26" t="str">
        <f>IF(MATCH(F14,F$5:F14,0)=COUNTA(F$5:F14),"-","Dup")</f>
        <v>-</v>
      </c>
      <c r="H14" t="str">
        <f t="shared" si="4"/>
        <v>-</v>
      </c>
      <c r="I14" t="b">
        <f t="shared" si="4"/>
        <v>0</v>
      </c>
      <c r="J14" t="b">
        <f t="shared" si="4"/>
        <v>1</v>
      </c>
      <c r="K14" t="str">
        <f t="shared" si="4"/>
        <v>-</v>
      </c>
      <c r="L14" t="str">
        <f t="shared" si="4"/>
        <v>-</v>
      </c>
      <c r="M14" t="str">
        <f t="shared" si="4"/>
        <v>-</v>
      </c>
      <c r="N14" t="str">
        <f t="shared" si="4"/>
        <v>-</v>
      </c>
      <c r="O14" t="str">
        <f t="shared" si="4"/>
        <v>-</v>
      </c>
      <c r="P14" t="str">
        <f t="shared" si="4"/>
        <v>-</v>
      </c>
      <c r="Q14" t="str">
        <f t="shared" si="4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4"/>
        <v>-</v>
      </c>
      <c r="V14" t="str">
        <f t="shared" si="5"/>
        <v>-</v>
      </c>
      <c r="W14" t="str">
        <f t="shared" si="5"/>
        <v>-</v>
      </c>
      <c r="X14" t="str">
        <f t="shared" si="5"/>
        <v>-</v>
      </c>
      <c r="Y14" t="str">
        <f t="shared" si="5"/>
        <v>-</v>
      </c>
      <c r="Z14" t="str">
        <f t="shared" si="5"/>
        <v>-</v>
      </c>
      <c r="AA14" t="str">
        <f t="shared" si="5"/>
        <v>-</v>
      </c>
      <c r="AB14" t="str">
        <f t="shared" si="5"/>
        <v>-</v>
      </c>
      <c r="AC14" t="str">
        <f t="shared" si="5"/>
        <v>-</v>
      </c>
      <c r="AD14" t="str">
        <f t="shared" si="5"/>
        <v>-</v>
      </c>
      <c r="AE14" t="str">
        <f t="shared" si="5"/>
        <v>-</v>
      </c>
      <c r="AF14" t="str">
        <f t="shared" si="5"/>
        <v>-</v>
      </c>
      <c r="AG14" t="str">
        <f t="shared" si="5"/>
        <v>-</v>
      </c>
      <c r="AH14" t="str">
        <f t="shared" si="5"/>
        <v>-</v>
      </c>
      <c r="AI14" t="str">
        <f t="shared" si="5"/>
        <v>-</v>
      </c>
      <c r="AJ14" t="str">
        <f t="shared" si="5"/>
        <v>-</v>
      </c>
      <c r="AK14" t="str">
        <f t="shared" si="5"/>
        <v>-</v>
      </c>
      <c r="AL14" t="str">
        <f t="shared" si="5"/>
        <v>-</v>
      </c>
      <c r="AM14" t="str">
        <f t="shared" si="5"/>
        <v>-</v>
      </c>
      <c r="AN14" t="str">
        <f t="shared" si="5"/>
        <v>-</v>
      </c>
      <c r="AO14" t="str">
        <f t="shared" si="2"/>
        <v>-</v>
      </c>
      <c r="AP14" t="str">
        <f t="shared" si="2"/>
        <v>-</v>
      </c>
      <c r="AQ14" t="str">
        <f t="shared" si="2"/>
        <v>-</v>
      </c>
      <c r="AR14" t="s">
        <v>97</v>
      </c>
      <c r="AS14" t="s">
        <v>97</v>
      </c>
      <c r="AT14" t="s">
        <v>97</v>
      </c>
      <c r="AU14">
        <f t="shared" si="7"/>
        <v>1</v>
      </c>
      <c r="AV14">
        <f t="shared" si="9"/>
        <v>1</v>
      </c>
      <c r="AW14">
        <f t="shared" ref="AW14:AW44" si="11">AW$6</f>
        <v>1</v>
      </c>
      <c r="AX14" s="22">
        <v>0.9</v>
      </c>
      <c r="AY14">
        <f t="shared" ref="AY14:BO15" si="12">AY$6</f>
        <v>1</v>
      </c>
      <c r="AZ14">
        <f t="shared" si="12"/>
        <v>1</v>
      </c>
      <c r="BA14">
        <f t="shared" si="12"/>
        <v>1</v>
      </c>
      <c r="BB14">
        <f t="shared" si="12"/>
        <v>1</v>
      </c>
      <c r="BC14">
        <f t="shared" si="12"/>
        <v>1</v>
      </c>
      <c r="BD14">
        <f t="shared" si="12"/>
        <v>1</v>
      </c>
      <c r="BE14">
        <f t="shared" si="12"/>
        <v>1</v>
      </c>
      <c r="BF14">
        <f t="shared" si="12"/>
        <v>1</v>
      </c>
      <c r="BG14">
        <f t="shared" si="12"/>
        <v>1</v>
      </c>
      <c r="BH14">
        <f t="shared" si="12"/>
        <v>1</v>
      </c>
      <c r="BI14">
        <f t="shared" si="12"/>
        <v>1</v>
      </c>
      <c r="BJ14">
        <f t="shared" si="12"/>
        <v>1</v>
      </c>
      <c r="BK14">
        <f t="shared" si="12"/>
        <v>0</v>
      </c>
      <c r="BL14">
        <f t="shared" si="12"/>
        <v>0</v>
      </c>
      <c r="BM14">
        <f t="shared" si="12"/>
        <v>0</v>
      </c>
      <c r="BN14">
        <f t="shared" si="12"/>
        <v>0</v>
      </c>
      <c r="BO14">
        <f t="shared" si="12"/>
        <v>0</v>
      </c>
      <c r="BP14" s="15">
        <v>0</v>
      </c>
    </row>
    <row r="15" spans="1:68" x14ac:dyDescent="0.25">
      <c r="A15" s="19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s="26" t="str">
        <f>IF(MATCH(F15,F$5:F15,0)=COUNTA(F$5:F15),"-","Dup")</f>
        <v>-</v>
      </c>
      <c r="H15" t="str">
        <f t="shared" si="4"/>
        <v>-</v>
      </c>
      <c r="I15" t="b">
        <f t="shared" si="4"/>
        <v>0</v>
      </c>
      <c r="J15" t="b">
        <f t="shared" si="4"/>
        <v>1</v>
      </c>
      <c r="K15" t="str">
        <f t="shared" si="4"/>
        <v>-</v>
      </c>
      <c r="L15" t="str">
        <f t="shared" si="4"/>
        <v>-</v>
      </c>
      <c r="M15" t="str">
        <f t="shared" si="4"/>
        <v>-</v>
      </c>
      <c r="N15" t="str">
        <f t="shared" si="4"/>
        <v>-</v>
      </c>
      <c r="O15" t="str">
        <f t="shared" si="4"/>
        <v>-</v>
      </c>
      <c r="P15" t="str">
        <f t="shared" si="4"/>
        <v>-</v>
      </c>
      <c r="Q15" t="str">
        <f t="shared" si="4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4"/>
        <v>-</v>
      </c>
      <c r="V15" t="str">
        <f t="shared" si="5"/>
        <v>-</v>
      </c>
      <c r="W15" t="str">
        <f t="shared" si="5"/>
        <v>-</v>
      </c>
      <c r="X15" t="str">
        <f t="shared" si="5"/>
        <v>-</v>
      </c>
      <c r="Y15" t="str">
        <f t="shared" si="5"/>
        <v>-</v>
      </c>
      <c r="Z15" t="str">
        <f t="shared" si="5"/>
        <v>-</v>
      </c>
      <c r="AA15" t="str">
        <f t="shared" si="5"/>
        <v>-</v>
      </c>
      <c r="AB15" t="str">
        <f t="shared" si="5"/>
        <v>-</v>
      </c>
      <c r="AC15" t="str">
        <f t="shared" si="5"/>
        <v>-</v>
      </c>
      <c r="AD15" t="str">
        <f t="shared" si="5"/>
        <v>-</v>
      </c>
      <c r="AE15" t="str">
        <f t="shared" si="5"/>
        <v>-</v>
      </c>
      <c r="AF15" t="str">
        <f t="shared" si="5"/>
        <v>-</v>
      </c>
      <c r="AG15" t="str">
        <f t="shared" si="5"/>
        <v>-</v>
      </c>
      <c r="AH15" t="str">
        <f t="shared" si="5"/>
        <v>-</v>
      </c>
      <c r="AI15" t="str">
        <f t="shared" si="5"/>
        <v>-</v>
      </c>
      <c r="AJ15" t="str">
        <f t="shared" si="5"/>
        <v>-</v>
      </c>
      <c r="AK15" t="str">
        <f t="shared" si="5"/>
        <v>-</v>
      </c>
      <c r="AL15" t="str">
        <f t="shared" si="5"/>
        <v>-</v>
      </c>
      <c r="AM15" t="str">
        <f t="shared" si="5"/>
        <v>-</v>
      </c>
      <c r="AN15" t="str">
        <f t="shared" si="5"/>
        <v>-</v>
      </c>
      <c r="AO15" t="str">
        <f t="shared" si="2"/>
        <v>-</v>
      </c>
      <c r="AP15" t="str">
        <f t="shared" si="2"/>
        <v>-</v>
      </c>
      <c r="AQ15" t="str">
        <f t="shared" si="2"/>
        <v>-</v>
      </c>
      <c r="AR15" t="s">
        <v>97</v>
      </c>
      <c r="AS15" t="s">
        <v>97</v>
      </c>
      <c r="AT15" t="s">
        <v>97</v>
      </c>
      <c r="AU15">
        <f t="shared" si="7"/>
        <v>1</v>
      </c>
      <c r="AV15">
        <f t="shared" si="9"/>
        <v>1</v>
      </c>
      <c r="AW15">
        <f t="shared" si="11"/>
        <v>1</v>
      </c>
      <c r="AX15" s="22">
        <v>1.1000000000000001</v>
      </c>
      <c r="AY15">
        <f t="shared" si="12"/>
        <v>1</v>
      </c>
      <c r="AZ15">
        <f t="shared" si="12"/>
        <v>1</v>
      </c>
      <c r="BA15">
        <f t="shared" si="12"/>
        <v>1</v>
      </c>
      <c r="BB15">
        <f t="shared" si="12"/>
        <v>1</v>
      </c>
      <c r="BC15">
        <f t="shared" si="12"/>
        <v>1</v>
      </c>
      <c r="BD15">
        <f t="shared" si="12"/>
        <v>1</v>
      </c>
      <c r="BE15">
        <f t="shared" si="12"/>
        <v>1</v>
      </c>
      <c r="BF15">
        <f t="shared" si="12"/>
        <v>1</v>
      </c>
      <c r="BG15">
        <f t="shared" si="12"/>
        <v>1</v>
      </c>
      <c r="BH15">
        <f t="shared" si="12"/>
        <v>1</v>
      </c>
      <c r="BI15">
        <f t="shared" si="12"/>
        <v>1</v>
      </c>
      <c r="BJ15">
        <f t="shared" si="12"/>
        <v>1</v>
      </c>
      <c r="BK15">
        <f t="shared" si="12"/>
        <v>0</v>
      </c>
      <c r="BL15">
        <f t="shared" si="12"/>
        <v>0</v>
      </c>
      <c r="BM15">
        <f t="shared" si="12"/>
        <v>0</v>
      </c>
      <c r="BN15">
        <f t="shared" si="12"/>
        <v>0</v>
      </c>
      <c r="BO15">
        <f t="shared" si="12"/>
        <v>0</v>
      </c>
      <c r="BP15" s="15">
        <v>0</v>
      </c>
    </row>
    <row r="16" spans="1:68" x14ac:dyDescent="0.25">
      <c r="A16" s="19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s="26" t="str">
        <f>IF(MATCH(F16,F$5:F16,0)=COUNTA(F$5:F16),"-","Dup")</f>
        <v>-</v>
      </c>
      <c r="H16" t="str">
        <f t="shared" si="4"/>
        <v>-</v>
      </c>
      <c r="I16" t="b">
        <f t="shared" si="4"/>
        <v>0</v>
      </c>
      <c r="J16" t="b">
        <f t="shared" si="4"/>
        <v>1</v>
      </c>
      <c r="K16" t="str">
        <f t="shared" si="4"/>
        <v>-</v>
      </c>
      <c r="L16" t="str">
        <f t="shared" si="4"/>
        <v>-</v>
      </c>
      <c r="M16" t="str">
        <f t="shared" si="4"/>
        <v>-</v>
      </c>
      <c r="N16" t="str">
        <f t="shared" si="4"/>
        <v>-</v>
      </c>
      <c r="O16" t="str">
        <f t="shared" si="4"/>
        <v>-</v>
      </c>
      <c r="P16" t="str">
        <f t="shared" si="4"/>
        <v>-</v>
      </c>
      <c r="Q16" t="str">
        <f t="shared" si="4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4"/>
        <v>-</v>
      </c>
      <c r="V16" t="str">
        <f t="shared" si="5"/>
        <v>-</v>
      </c>
      <c r="W16" t="str">
        <f t="shared" si="5"/>
        <v>-</v>
      </c>
      <c r="X16" t="str">
        <f t="shared" si="5"/>
        <v>-</v>
      </c>
      <c r="Y16" t="str">
        <f t="shared" si="5"/>
        <v>-</v>
      </c>
      <c r="Z16" t="str">
        <f t="shared" si="5"/>
        <v>-</v>
      </c>
      <c r="AA16" t="str">
        <f t="shared" si="5"/>
        <v>-</v>
      </c>
      <c r="AB16" t="str">
        <f t="shared" si="5"/>
        <v>-</v>
      </c>
      <c r="AC16" t="str">
        <f t="shared" si="5"/>
        <v>-</v>
      </c>
      <c r="AD16" t="str">
        <f t="shared" si="5"/>
        <v>-</v>
      </c>
      <c r="AE16" t="str">
        <f t="shared" si="5"/>
        <v>-</v>
      </c>
      <c r="AF16" t="str">
        <f t="shared" si="5"/>
        <v>-</v>
      </c>
      <c r="AG16" t="str">
        <f t="shared" si="5"/>
        <v>-</v>
      </c>
      <c r="AH16" t="str">
        <f t="shared" si="5"/>
        <v>-</v>
      </c>
      <c r="AI16" t="str">
        <f t="shared" si="5"/>
        <v>-</v>
      </c>
      <c r="AJ16" t="str">
        <f t="shared" si="5"/>
        <v>-</v>
      </c>
      <c r="AK16" t="str">
        <f t="shared" si="5"/>
        <v>-</v>
      </c>
      <c r="AL16" t="str">
        <f t="shared" si="5"/>
        <v>-</v>
      </c>
      <c r="AM16" t="str">
        <f t="shared" si="5"/>
        <v>-</v>
      </c>
      <c r="AN16" t="str">
        <f t="shared" si="5"/>
        <v>-</v>
      </c>
      <c r="AO16" t="str">
        <f t="shared" si="2"/>
        <v>-</v>
      </c>
      <c r="AP16" t="str">
        <f t="shared" si="2"/>
        <v>-</v>
      </c>
      <c r="AQ16" t="str">
        <f t="shared" si="2"/>
        <v>-</v>
      </c>
      <c r="AR16" t="s">
        <v>97</v>
      </c>
      <c r="AS16" t="s">
        <v>97</v>
      </c>
      <c r="AT16" t="s">
        <v>97</v>
      </c>
      <c r="AU16">
        <f t="shared" si="7"/>
        <v>1</v>
      </c>
      <c r="AV16">
        <f t="shared" si="9"/>
        <v>1</v>
      </c>
      <c r="AW16">
        <f t="shared" si="11"/>
        <v>1</v>
      </c>
      <c r="AX16">
        <f t="shared" ref="AX16:AX44" si="13">AX$6</f>
        <v>1</v>
      </c>
      <c r="AY16" s="22">
        <v>0.9</v>
      </c>
      <c r="AZ16">
        <f t="shared" ref="AZ16:BO17" si="14">AZ$6</f>
        <v>1</v>
      </c>
      <c r="BA16">
        <f t="shared" si="14"/>
        <v>1</v>
      </c>
      <c r="BB16">
        <f t="shared" si="14"/>
        <v>1</v>
      </c>
      <c r="BC16">
        <f t="shared" si="14"/>
        <v>1</v>
      </c>
      <c r="BD16">
        <f t="shared" si="14"/>
        <v>1</v>
      </c>
      <c r="BE16">
        <f t="shared" si="14"/>
        <v>1</v>
      </c>
      <c r="BF16">
        <f t="shared" si="14"/>
        <v>1</v>
      </c>
      <c r="BG16">
        <f t="shared" si="14"/>
        <v>1</v>
      </c>
      <c r="BH16">
        <f t="shared" si="14"/>
        <v>1</v>
      </c>
      <c r="BI16">
        <f t="shared" si="14"/>
        <v>1</v>
      </c>
      <c r="BJ16">
        <f t="shared" si="14"/>
        <v>1</v>
      </c>
      <c r="BK16">
        <f t="shared" si="14"/>
        <v>0</v>
      </c>
      <c r="BL16">
        <f t="shared" si="14"/>
        <v>0</v>
      </c>
      <c r="BM16">
        <f t="shared" si="14"/>
        <v>0</v>
      </c>
      <c r="BN16">
        <f t="shared" si="14"/>
        <v>0</v>
      </c>
      <c r="BO16">
        <f t="shared" si="14"/>
        <v>0</v>
      </c>
      <c r="BP16" s="15">
        <v>0</v>
      </c>
    </row>
    <row r="17" spans="1:68" x14ac:dyDescent="0.25">
      <c r="A17" s="19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s="26" t="str">
        <f>IF(MATCH(F17,F$5:F17,0)=COUNTA(F$5:F17),"-","Dup")</f>
        <v>-</v>
      </c>
      <c r="H17" t="str">
        <f t="shared" si="4"/>
        <v>-</v>
      </c>
      <c r="I17" t="b">
        <f t="shared" si="4"/>
        <v>0</v>
      </c>
      <c r="J17" t="b">
        <f t="shared" si="4"/>
        <v>1</v>
      </c>
      <c r="K17" t="str">
        <f t="shared" si="4"/>
        <v>-</v>
      </c>
      <c r="L17" t="str">
        <f t="shared" si="4"/>
        <v>-</v>
      </c>
      <c r="M17" t="str">
        <f t="shared" si="4"/>
        <v>-</v>
      </c>
      <c r="N17" t="str">
        <f t="shared" si="4"/>
        <v>-</v>
      </c>
      <c r="O17" t="str">
        <f t="shared" si="4"/>
        <v>-</v>
      </c>
      <c r="P17" t="str">
        <f t="shared" si="4"/>
        <v>-</v>
      </c>
      <c r="Q17" t="str">
        <f t="shared" si="4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4"/>
        <v>-</v>
      </c>
      <c r="V17" t="str">
        <f t="shared" si="5"/>
        <v>-</v>
      </c>
      <c r="W17" t="str">
        <f t="shared" si="5"/>
        <v>-</v>
      </c>
      <c r="X17" t="str">
        <f t="shared" si="5"/>
        <v>-</v>
      </c>
      <c r="Y17" t="str">
        <f t="shared" si="5"/>
        <v>-</v>
      </c>
      <c r="Z17" t="str">
        <f t="shared" si="5"/>
        <v>-</v>
      </c>
      <c r="AA17" t="str">
        <f t="shared" si="5"/>
        <v>-</v>
      </c>
      <c r="AB17" t="str">
        <f t="shared" si="5"/>
        <v>-</v>
      </c>
      <c r="AC17" t="str">
        <f t="shared" si="5"/>
        <v>-</v>
      </c>
      <c r="AD17" t="str">
        <f t="shared" si="5"/>
        <v>-</v>
      </c>
      <c r="AE17" t="str">
        <f t="shared" si="5"/>
        <v>-</v>
      </c>
      <c r="AF17" t="str">
        <f t="shared" si="5"/>
        <v>-</v>
      </c>
      <c r="AG17" t="str">
        <f t="shared" si="5"/>
        <v>-</v>
      </c>
      <c r="AH17" t="str">
        <f t="shared" si="5"/>
        <v>-</v>
      </c>
      <c r="AI17" t="str">
        <f t="shared" si="5"/>
        <v>-</v>
      </c>
      <c r="AJ17" t="str">
        <f t="shared" si="5"/>
        <v>-</v>
      </c>
      <c r="AK17" t="str">
        <f t="shared" si="5"/>
        <v>-</v>
      </c>
      <c r="AL17" t="str">
        <f t="shared" si="5"/>
        <v>-</v>
      </c>
      <c r="AM17" t="str">
        <f t="shared" si="5"/>
        <v>-</v>
      </c>
      <c r="AN17" t="str">
        <f t="shared" si="5"/>
        <v>-</v>
      </c>
      <c r="AO17" t="str">
        <f t="shared" si="2"/>
        <v>-</v>
      </c>
      <c r="AP17" t="str">
        <f t="shared" si="2"/>
        <v>-</v>
      </c>
      <c r="AQ17" t="str">
        <f t="shared" si="2"/>
        <v>-</v>
      </c>
      <c r="AR17" t="s">
        <v>97</v>
      </c>
      <c r="AS17" t="s">
        <v>97</v>
      </c>
      <c r="AT17" t="s">
        <v>97</v>
      </c>
      <c r="AU17">
        <f t="shared" si="7"/>
        <v>1</v>
      </c>
      <c r="AV17">
        <f t="shared" si="9"/>
        <v>1</v>
      </c>
      <c r="AW17">
        <f t="shared" si="11"/>
        <v>1</v>
      </c>
      <c r="AX17">
        <f t="shared" si="13"/>
        <v>1</v>
      </c>
      <c r="AY17" s="22">
        <v>1.1000000000000001</v>
      </c>
      <c r="AZ17">
        <f t="shared" si="14"/>
        <v>1</v>
      </c>
      <c r="BA17">
        <f t="shared" si="14"/>
        <v>1</v>
      </c>
      <c r="BB17">
        <f t="shared" si="14"/>
        <v>1</v>
      </c>
      <c r="BC17">
        <f t="shared" si="14"/>
        <v>1</v>
      </c>
      <c r="BD17">
        <f t="shared" si="14"/>
        <v>1</v>
      </c>
      <c r="BE17">
        <f t="shared" si="14"/>
        <v>1</v>
      </c>
      <c r="BF17">
        <f t="shared" si="14"/>
        <v>1</v>
      </c>
      <c r="BG17">
        <f t="shared" si="14"/>
        <v>1</v>
      </c>
      <c r="BH17">
        <f t="shared" si="14"/>
        <v>1</v>
      </c>
      <c r="BI17">
        <f t="shared" si="14"/>
        <v>1</v>
      </c>
      <c r="BJ17">
        <f t="shared" si="14"/>
        <v>1</v>
      </c>
      <c r="BK17">
        <f t="shared" si="14"/>
        <v>0</v>
      </c>
      <c r="BL17">
        <f t="shared" si="14"/>
        <v>0</v>
      </c>
      <c r="BM17">
        <f t="shared" si="14"/>
        <v>0</v>
      </c>
      <c r="BN17">
        <f t="shared" si="14"/>
        <v>0</v>
      </c>
      <c r="BO17">
        <f t="shared" si="14"/>
        <v>0</v>
      </c>
      <c r="BP17" s="15">
        <v>0</v>
      </c>
    </row>
    <row r="18" spans="1:68" x14ac:dyDescent="0.25">
      <c r="A18" s="19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s="26" t="str">
        <f>IF(MATCH(F18,F$5:F18,0)=COUNTA(F$5:F18),"-","Dup")</f>
        <v>-</v>
      </c>
      <c r="H18" t="str">
        <f t="shared" ref="H18:U30" si="15">H$6</f>
        <v>-</v>
      </c>
      <c r="I18" t="b">
        <f t="shared" si="15"/>
        <v>0</v>
      </c>
      <c r="J18" t="b">
        <f t="shared" si="15"/>
        <v>1</v>
      </c>
      <c r="K18" t="str">
        <f t="shared" si="15"/>
        <v>-</v>
      </c>
      <c r="L18" t="str">
        <f t="shared" si="15"/>
        <v>-</v>
      </c>
      <c r="M18" t="str">
        <f t="shared" si="15"/>
        <v>-</v>
      </c>
      <c r="N18" t="str">
        <f t="shared" si="15"/>
        <v>-</v>
      </c>
      <c r="O18" t="str">
        <f t="shared" si="15"/>
        <v>-</v>
      </c>
      <c r="P18" t="str">
        <f t="shared" si="15"/>
        <v>-</v>
      </c>
      <c r="Q18" t="str">
        <f t="shared" si="15"/>
        <v>-</v>
      </c>
      <c r="R18" t="str">
        <f t="shared" si="15"/>
        <v>-</v>
      </c>
      <c r="S18" t="str">
        <f t="shared" si="15"/>
        <v>-</v>
      </c>
      <c r="T18" t="str">
        <f t="shared" si="15"/>
        <v>-</v>
      </c>
      <c r="U18" t="str">
        <f t="shared" si="15"/>
        <v>-</v>
      </c>
      <c r="V18" t="str">
        <f t="shared" ref="V18:AO30" si="16">V$6</f>
        <v>-</v>
      </c>
      <c r="W18" t="str">
        <f t="shared" si="16"/>
        <v>-</v>
      </c>
      <c r="X18" t="str">
        <f t="shared" si="16"/>
        <v>-</v>
      </c>
      <c r="Y18" t="str">
        <f t="shared" si="16"/>
        <v>-</v>
      </c>
      <c r="Z18" t="str">
        <f t="shared" si="16"/>
        <v>-</v>
      </c>
      <c r="AA18" t="str">
        <f t="shared" si="16"/>
        <v>-</v>
      </c>
      <c r="AB18" t="str">
        <f t="shared" si="16"/>
        <v>-</v>
      </c>
      <c r="AC18" t="str">
        <f t="shared" si="16"/>
        <v>-</v>
      </c>
      <c r="AD18" t="str">
        <f t="shared" si="16"/>
        <v>-</v>
      </c>
      <c r="AE18" t="str">
        <f t="shared" si="16"/>
        <v>-</v>
      </c>
      <c r="AF18" t="str">
        <f t="shared" si="16"/>
        <v>-</v>
      </c>
      <c r="AG18" t="str">
        <f t="shared" si="16"/>
        <v>-</v>
      </c>
      <c r="AH18" t="str">
        <f t="shared" si="16"/>
        <v>-</v>
      </c>
      <c r="AI18" t="str">
        <f t="shared" si="16"/>
        <v>-</v>
      </c>
      <c r="AJ18" t="str">
        <f t="shared" si="16"/>
        <v>-</v>
      </c>
      <c r="AK18" t="str">
        <f t="shared" si="16"/>
        <v>-</v>
      </c>
      <c r="AL18" t="str">
        <f t="shared" si="16"/>
        <v>-</v>
      </c>
      <c r="AM18" t="str">
        <f t="shared" si="16"/>
        <v>-</v>
      </c>
      <c r="AN18" t="str">
        <f t="shared" si="16"/>
        <v>-</v>
      </c>
      <c r="AO18" t="str">
        <f t="shared" si="16"/>
        <v>-</v>
      </c>
      <c r="AP18" t="str">
        <f t="shared" si="2"/>
        <v>-</v>
      </c>
      <c r="AQ18" t="str">
        <f t="shared" si="2"/>
        <v>-</v>
      </c>
      <c r="AR18" t="s">
        <v>97</v>
      </c>
      <c r="AS18" t="s">
        <v>97</v>
      </c>
      <c r="AT18" t="s">
        <v>97</v>
      </c>
      <c r="AU18">
        <f t="shared" si="7"/>
        <v>1</v>
      </c>
      <c r="AV18">
        <f t="shared" si="9"/>
        <v>1</v>
      </c>
      <c r="AW18">
        <f t="shared" si="11"/>
        <v>1</v>
      </c>
      <c r="AX18">
        <f t="shared" si="13"/>
        <v>1</v>
      </c>
      <c r="AY18">
        <f t="shared" ref="AY18:AY44" si="17">AY$6</f>
        <v>1</v>
      </c>
      <c r="AZ18" s="22">
        <v>0.9</v>
      </c>
      <c r="BA18">
        <f t="shared" ref="BA18:BO19" si="18">BA$6</f>
        <v>1</v>
      </c>
      <c r="BB18">
        <f t="shared" si="18"/>
        <v>1</v>
      </c>
      <c r="BC18">
        <f t="shared" si="18"/>
        <v>1</v>
      </c>
      <c r="BD18">
        <f t="shared" si="18"/>
        <v>1</v>
      </c>
      <c r="BE18">
        <f t="shared" si="18"/>
        <v>1</v>
      </c>
      <c r="BF18">
        <f t="shared" si="18"/>
        <v>1</v>
      </c>
      <c r="BG18">
        <f t="shared" si="18"/>
        <v>1</v>
      </c>
      <c r="BH18">
        <f t="shared" si="18"/>
        <v>1</v>
      </c>
      <c r="BI18">
        <f t="shared" si="18"/>
        <v>1</v>
      </c>
      <c r="BJ18">
        <f t="shared" si="18"/>
        <v>1</v>
      </c>
      <c r="BK18">
        <f t="shared" si="18"/>
        <v>0</v>
      </c>
      <c r="BL18">
        <f t="shared" si="18"/>
        <v>0</v>
      </c>
      <c r="BM18">
        <f t="shared" si="18"/>
        <v>0</v>
      </c>
      <c r="BN18">
        <f t="shared" si="18"/>
        <v>0</v>
      </c>
      <c r="BO18">
        <f t="shared" si="18"/>
        <v>0</v>
      </c>
      <c r="BP18" s="15">
        <v>0</v>
      </c>
    </row>
    <row r="19" spans="1:68" x14ac:dyDescent="0.25">
      <c r="A19" s="19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s="26" t="str">
        <f>IF(MATCH(F19,F$5:F19,0)=COUNTA(F$5:F19),"-","Dup")</f>
        <v>-</v>
      </c>
      <c r="H19" t="str">
        <f t="shared" si="15"/>
        <v>-</v>
      </c>
      <c r="I19" t="b">
        <f t="shared" si="15"/>
        <v>0</v>
      </c>
      <c r="J19" t="b">
        <f t="shared" si="15"/>
        <v>1</v>
      </c>
      <c r="K19" t="str">
        <f t="shared" si="15"/>
        <v>-</v>
      </c>
      <c r="L19" t="str">
        <f t="shared" si="15"/>
        <v>-</v>
      </c>
      <c r="M19" t="str">
        <f t="shared" si="15"/>
        <v>-</v>
      </c>
      <c r="N19" t="str">
        <f t="shared" si="15"/>
        <v>-</v>
      </c>
      <c r="O19" t="str">
        <f t="shared" si="15"/>
        <v>-</v>
      </c>
      <c r="P19" t="str">
        <f t="shared" si="15"/>
        <v>-</v>
      </c>
      <c r="Q19" t="str">
        <f t="shared" si="15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5"/>
        <v>-</v>
      </c>
      <c r="V19" t="str">
        <f t="shared" si="16"/>
        <v>-</v>
      </c>
      <c r="W19" t="str">
        <f t="shared" si="16"/>
        <v>-</v>
      </c>
      <c r="X19" t="str">
        <f t="shared" si="16"/>
        <v>-</v>
      </c>
      <c r="Y19" t="str">
        <f t="shared" si="16"/>
        <v>-</v>
      </c>
      <c r="Z19" t="str">
        <f t="shared" si="16"/>
        <v>-</v>
      </c>
      <c r="AA19" t="str">
        <f t="shared" si="16"/>
        <v>-</v>
      </c>
      <c r="AB19" t="str">
        <f t="shared" si="16"/>
        <v>-</v>
      </c>
      <c r="AC19" t="str">
        <f t="shared" si="16"/>
        <v>-</v>
      </c>
      <c r="AD19" t="str">
        <f t="shared" si="16"/>
        <v>-</v>
      </c>
      <c r="AE19" t="str">
        <f t="shared" si="16"/>
        <v>-</v>
      </c>
      <c r="AF19" t="str">
        <f t="shared" si="16"/>
        <v>-</v>
      </c>
      <c r="AG19" t="str">
        <f t="shared" si="16"/>
        <v>-</v>
      </c>
      <c r="AH19" t="str">
        <f t="shared" si="16"/>
        <v>-</v>
      </c>
      <c r="AI19" t="str">
        <f t="shared" si="16"/>
        <v>-</v>
      </c>
      <c r="AJ19" t="str">
        <f t="shared" si="16"/>
        <v>-</v>
      </c>
      <c r="AK19" t="str">
        <f t="shared" si="16"/>
        <v>-</v>
      </c>
      <c r="AL19" t="str">
        <f t="shared" si="16"/>
        <v>-</v>
      </c>
      <c r="AM19" t="str">
        <f t="shared" si="16"/>
        <v>-</v>
      </c>
      <c r="AN19" t="str">
        <f t="shared" si="16"/>
        <v>-</v>
      </c>
      <c r="AO19" t="str">
        <f t="shared" si="2"/>
        <v>-</v>
      </c>
      <c r="AP19" t="str">
        <f t="shared" si="2"/>
        <v>-</v>
      </c>
      <c r="AQ19" t="str">
        <f t="shared" si="2"/>
        <v>-</v>
      </c>
      <c r="AR19" t="s">
        <v>97</v>
      </c>
      <c r="AS19" t="s">
        <v>97</v>
      </c>
      <c r="AT19" t="s">
        <v>97</v>
      </c>
      <c r="AU19">
        <f t="shared" si="7"/>
        <v>1</v>
      </c>
      <c r="AV19">
        <f t="shared" si="9"/>
        <v>1</v>
      </c>
      <c r="AW19">
        <f t="shared" si="11"/>
        <v>1</v>
      </c>
      <c r="AX19">
        <f t="shared" si="13"/>
        <v>1</v>
      </c>
      <c r="AY19">
        <f t="shared" si="17"/>
        <v>1</v>
      </c>
      <c r="AZ19" s="22">
        <v>1.1000000000000001</v>
      </c>
      <c r="BA19">
        <f t="shared" si="18"/>
        <v>1</v>
      </c>
      <c r="BB19">
        <f t="shared" si="18"/>
        <v>1</v>
      </c>
      <c r="BC19">
        <f t="shared" si="18"/>
        <v>1</v>
      </c>
      <c r="BD19">
        <f t="shared" si="18"/>
        <v>1</v>
      </c>
      <c r="BE19">
        <f t="shared" si="18"/>
        <v>1</v>
      </c>
      <c r="BF19">
        <f t="shared" si="18"/>
        <v>1</v>
      </c>
      <c r="BG19">
        <f t="shared" si="18"/>
        <v>1</v>
      </c>
      <c r="BH19">
        <f t="shared" si="18"/>
        <v>1</v>
      </c>
      <c r="BI19">
        <f t="shared" si="18"/>
        <v>1</v>
      </c>
      <c r="BJ19">
        <f t="shared" si="18"/>
        <v>1</v>
      </c>
      <c r="BK19">
        <f t="shared" si="18"/>
        <v>0</v>
      </c>
      <c r="BL19">
        <f t="shared" si="18"/>
        <v>0</v>
      </c>
      <c r="BM19">
        <f t="shared" si="18"/>
        <v>0</v>
      </c>
      <c r="BN19">
        <f t="shared" si="18"/>
        <v>0</v>
      </c>
      <c r="BO19">
        <f t="shared" si="18"/>
        <v>0</v>
      </c>
      <c r="BP19" s="15">
        <v>0</v>
      </c>
    </row>
    <row r="20" spans="1:68" x14ac:dyDescent="0.25">
      <c r="A20" s="19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s="26" t="str">
        <f>IF(MATCH(F20,F$5:F20,0)=COUNTA(F$5:F20),"-","Dup")</f>
        <v>-</v>
      </c>
      <c r="H20" t="str">
        <f t="shared" si="15"/>
        <v>-</v>
      </c>
      <c r="I20" t="b">
        <f t="shared" si="15"/>
        <v>0</v>
      </c>
      <c r="J20" t="b">
        <f t="shared" si="15"/>
        <v>1</v>
      </c>
      <c r="K20" t="str">
        <f t="shared" si="15"/>
        <v>-</v>
      </c>
      <c r="L20" t="str">
        <f t="shared" si="15"/>
        <v>-</v>
      </c>
      <c r="M20" t="str">
        <f t="shared" si="15"/>
        <v>-</v>
      </c>
      <c r="N20" t="str">
        <f t="shared" si="15"/>
        <v>-</v>
      </c>
      <c r="O20" t="str">
        <f t="shared" si="15"/>
        <v>-</v>
      </c>
      <c r="P20" t="str">
        <f t="shared" si="15"/>
        <v>-</v>
      </c>
      <c r="Q20" t="str">
        <f t="shared" si="15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5"/>
        <v>-</v>
      </c>
      <c r="V20" t="str">
        <f t="shared" si="16"/>
        <v>-</v>
      </c>
      <c r="W20" t="str">
        <f t="shared" si="16"/>
        <v>-</v>
      </c>
      <c r="X20" t="str">
        <f t="shared" si="16"/>
        <v>-</v>
      </c>
      <c r="Y20" t="str">
        <f t="shared" si="16"/>
        <v>-</v>
      </c>
      <c r="Z20" t="str">
        <f t="shared" si="16"/>
        <v>-</v>
      </c>
      <c r="AA20" t="str">
        <f t="shared" si="16"/>
        <v>-</v>
      </c>
      <c r="AB20" t="str">
        <f t="shared" si="16"/>
        <v>-</v>
      </c>
      <c r="AC20" t="str">
        <f t="shared" si="16"/>
        <v>-</v>
      </c>
      <c r="AD20" t="str">
        <f t="shared" si="16"/>
        <v>-</v>
      </c>
      <c r="AE20" t="str">
        <f t="shared" si="16"/>
        <v>-</v>
      </c>
      <c r="AF20" t="str">
        <f t="shared" si="16"/>
        <v>-</v>
      </c>
      <c r="AG20" t="str">
        <f t="shared" si="16"/>
        <v>-</v>
      </c>
      <c r="AH20" t="str">
        <f t="shared" si="16"/>
        <v>-</v>
      </c>
      <c r="AI20" t="str">
        <f t="shared" si="16"/>
        <v>-</v>
      </c>
      <c r="AJ20" t="str">
        <f t="shared" si="16"/>
        <v>-</v>
      </c>
      <c r="AK20" t="str">
        <f t="shared" si="16"/>
        <v>-</v>
      </c>
      <c r="AL20" t="str">
        <f t="shared" si="16"/>
        <v>-</v>
      </c>
      <c r="AM20" t="str">
        <f t="shared" si="16"/>
        <v>-</v>
      </c>
      <c r="AN20" t="str">
        <f t="shared" si="16"/>
        <v>-</v>
      </c>
      <c r="AO20" t="str">
        <f t="shared" si="2"/>
        <v>-</v>
      </c>
      <c r="AP20" t="str">
        <f t="shared" si="2"/>
        <v>-</v>
      </c>
      <c r="AQ20" t="str">
        <f t="shared" si="2"/>
        <v>-</v>
      </c>
      <c r="AR20" t="s">
        <v>97</v>
      </c>
      <c r="AS20" t="s">
        <v>97</v>
      </c>
      <c r="AT20" t="s">
        <v>97</v>
      </c>
      <c r="AU20">
        <f t="shared" si="7"/>
        <v>1</v>
      </c>
      <c r="AV20">
        <f t="shared" si="9"/>
        <v>1</v>
      </c>
      <c r="AW20">
        <f t="shared" si="11"/>
        <v>1</v>
      </c>
      <c r="AX20">
        <f t="shared" si="13"/>
        <v>1</v>
      </c>
      <c r="AY20">
        <f t="shared" si="17"/>
        <v>1</v>
      </c>
      <c r="AZ20">
        <f t="shared" ref="AZ20:AZ44" si="19">AZ$6</f>
        <v>1</v>
      </c>
      <c r="BA20" s="22">
        <v>0.9</v>
      </c>
      <c r="BB20">
        <f t="shared" ref="BB20:BO21" si="20">BB$6</f>
        <v>1</v>
      </c>
      <c r="BC20">
        <f t="shared" si="20"/>
        <v>1</v>
      </c>
      <c r="BD20">
        <f t="shared" si="20"/>
        <v>1</v>
      </c>
      <c r="BE20">
        <f t="shared" si="20"/>
        <v>1</v>
      </c>
      <c r="BF20">
        <f t="shared" si="20"/>
        <v>1</v>
      </c>
      <c r="BG20">
        <f t="shared" si="20"/>
        <v>1</v>
      </c>
      <c r="BH20">
        <f t="shared" si="20"/>
        <v>1</v>
      </c>
      <c r="BI20">
        <f t="shared" si="20"/>
        <v>1</v>
      </c>
      <c r="BJ20">
        <f t="shared" si="20"/>
        <v>1</v>
      </c>
      <c r="BK20">
        <f t="shared" si="20"/>
        <v>0</v>
      </c>
      <c r="BL20">
        <f t="shared" si="20"/>
        <v>0</v>
      </c>
      <c r="BM20">
        <f t="shared" si="20"/>
        <v>0</v>
      </c>
      <c r="BN20">
        <f t="shared" si="20"/>
        <v>0</v>
      </c>
      <c r="BO20">
        <f t="shared" si="20"/>
        <v>0</v>
      </c>
      <c r="BP20" s="15">
        <v>0</v>
      </c>
    </row>
    <row r="21" spans="1:68" x14ac:dyDescent="0.25">
      <c r="A21" s="19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s="26" t="str">
        <f>IF(MATCH(F21,F$5:F21,0)=COUNTA(F$5:F21),"-","Dup")</f>
        <v>-</v>
      </c>
      <c r="H21" t="str">
        <f t="shared" si="15"/>
        <v>-</v>
      </c>
      <c r="I21" t="b">
        <f t="shared" si="15"/>
        <v>0</v>
      </c>
      <c r="J21" t="b">
        <f t="shared" si="15"/>
        <v>1</v>
      </c>
      <c r="K21" t="str">
        <f t="shared" si="15"/>
        <v>-</v>
      </c>
      <c r="L21" t="str">
        <f t="shared" si="15"/>
        <v>-</v>
      </c>
      <c r="M21" t="str">
        <f t="shared" si="15"/>
        <v>-</v>
      </c>
      <c r="N21" t="str">
        <f t="shared" si="15"/>
        <v>-</v>
      </c>
      <c r="O21" t="str">
        <f t="shared" si="15"/>
        <v>-</v>
      </c>
      <c r="P21" t="str">
        <f t="shared" si="15"/>
        <v>-</v>
      </c>
      <c r="Q21" t="str">
        <f t="shared" si="15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5"/>
        <v>-</v>
      </c>
      <c r="V21" t="str">
        <f t="shared" si="16"/>
        <v>-</v>
      </c>
      <c r="W21" t="str">
        <f t="shared" si="16"/>
        <v>-</v>
      </c>
      <c r="X21" t="str">
        <f t="shared" si="16"/>
        <v>-</v>
      </c>
      <c r="Y21" t="str">
        <f t="shared" si="16"/>
        <v>-</v>
      </c>
      <c r="Z21" t="str">
        <f t="shared" si="16"/>
        <v>-</v>
      </c>
      <c r="AA21" t="str">
        <f t="shared" si="16"/>
        <v>-</v>
      </c>
      <c r="AB21" t="str">
        <f t="shared" si="16"/>
        <v>-</v>
      </c>
      <c r="AC21" t="str">
        <f t="shared" si="16"/>
        <v>-</v>
      </c>
      <c r="AD21" t="str">
        <f t="shared" si="16"/>
        <v>-</v>
      </c>
      <c r="AE21" t="str">
        <f t="shared" si="16"/>
        <v>-</v>
      </c>
      <c r="AF21" t="str">
        <f t="shared" si="16"/>
        <v>-</v>
      </c>
      <c r="AG21" t="str">
        <f t="shared" si="16"/>
        <v>-</v>
      </c>
      <c r="AH21" t="str">
        <f t="shared" si="16"/>
        <v>-</v>
      </c>
      <c r="AI21" t="str">
        <f t="shared" si="16"/>
        <v>-</v>
      </c>
      <c r="AJ21" t="str">
        <f t="shared" si="16"/>
        <v>-</v>
      </c>
      <c r="AK21" t="str">
        <f t="shared" si="16"/>
        <v>-</v>
      </c>
      <c r="AL21" t="str">
        <f t="shared" si="16"/>
        <v>-</v>
      </c>
      <c r="AM21" t="str">
        <f t="shared" si="16"/>
        <v>-</v>
      </c>
      <c r="AN21" t="str">
        <f t="shared" si="16"/>
        <v>-</v>
      </c>
      <c r="AO21" t="str">
        <f t="shared" si="2"/>
        <v>-</v>
      </c>
      <c r="AP21" t="str">
        <f t="shared" si="2"/>
        <v>-</v>
      </c>
      <c r="AQ21" t="str">
        <f t="shared" si="2"/>
        <v>-</v>
      </c>
      <c r="AR21" t="s">
        <v>97</v>
      </c>
      <c r="AS21" t="s">
        <v>97</v>
      </c>
      <c r="AT21" t="s">
        <v>97</v>
      </c>
      <c r="AU21">
        <f t="shared" si="7"/>
        <v>1</v>
      </c>
      <c r="AV21">
        <f t="shared" si="9"/>
        <v>1</v>
      </c>
      <c r="AW21">
        <f t="shared" si="11"/>
        <v>1</v>
      </c>
      <c r="AX21">
        <f t="shared" si="13"/>
        <v>1</v>
      </c>
      <c r="AY21">
        <f t="shared" si="17"/>
        <v>1</v>
      </c>
      <c r="AZ21">
        <f t="shared" si="19"/>
        <v>1</v>
      </c>
      <c r="BA21" s="22">
        <v>1.1000000000000001</v>
      </c>
      <c r="BB21">
        <f t="shared" si="20"/>
        <v>1</v>
      </c>
      <c r="BC21">
        <f t="shared" si="20"/>
        <v>1</v>
      </c>
      <c r="BD21">
        <f t="shared" si="20"/>
        <v>1</v>
      </c>
      <c r="BE21">
        <f t="shared" si="20"/>
        <v>1</v>
      </c>
      <c r="BF21">
        <f t="shared" si="20"/>
        <v>1</v>
      </c>
      <c r="BG21">
        <f t="shared" si="20"/>
        <v>1</v>
      </c>
      <c r="BH21">
        <f t="shared" si="20"/>
        <v>1</v>
      </c>
      <c r="BI21">
        <f t="shared" si="20"/>
        <v>1</v>
      </c>
      <c r="BJ21">
        <f t="shared" si="20"/>
        <v>1</v>
      </c>
      <c r="BK21">
        <f t="shared" si="20"/>
        <v>0</v>
      </c>
      <c r="BL21">
        <f t="shared" si="20"/>
        <v>0</v>
      </c>
      <c r="BM21">
        <f t="shared" si="20"/>
        <v>0</v>
      </c>
      <c r="BN21">
        <f t="shared" si="20"/>
        <v>0</v>
      </c>
      <c r="BO21">
        <f t="shared" si="20"/>
        <v>0</v>
      </c>
      <c r="BP21" s="15">
        <v>0</v>
      </c>
    </row>
    <row r="22" spans="1:68" x14ac:dyDescent="0.25">
      <c r="A22" s="19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s="26" t="str">
        <f>IF(MATCH(F22,F$5:F22,0)=COUNTA(F$5:F22),"-","Dup")</f>
        <v>-</v>
      </c>
      <c r="H22" t="str">
        <f t="shared" si="15"/>
        <v>-</v>
      </c>
      <c r="I22" t="b">
        <f t="shared" si="15"/>
        <v>0</v>
      </c>
      <c r="J22" t="b">
        <f t="shared" si="15"/>
        <v>1</v>
      </c>
      <c r="K22" t="str">
        <f t="shared" si="15"/>
        <v>-</v>
      </c>
      <c r="L22" t="str">
        <f t="shared" si="15"/>
        <v>-</v>
      </c>
      <c r="M22" t="str">
        <f t="shared" si="15"/>
        <v>-</v>
      </c>
      <c r="N22" t="str">
        <f t="shared" si="15"/>
        <v>-</v>
      </c>
      <c r="O22" t="str">
        <f t="shared" si="15"/>
        <v>-</v>
      </c>
      <c r="P22" t="str">
        <f t="shared" si="15"/>
        <v>-</v>
      </c>
      <c r="Q22" t="str">
        <f t="shared" si="15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5"/>
        <v>-</v>
      </c>
      <c r="V22" t="str">
        <f t="shared" si="16"/>
        <v>-</v>
      </c>
      <c r="W22" t="str">
        <f t="shared" si="16"/>
        <v>-</v>
      </c>
      <c r="X22" t="str">
        <f t="shared" si="16"/>
        <v>-</v>
      </c>
      <c r="Y22" t="str">
        <f t="shared" si="16"/>
        <v>-</v>
      </c>
      <c r="Z22" t="str">
        <f t="shared" si="16"/>
        <v>-</v>
      </c>
      <c r="AA22" t="str">
        <f t="shared" si="16"/>
        <v>-</v>
      </c>
      <c r="AB22" t="str">
        <f t="shared" si="16"/>
        <v>-</v>
      </c>
      <c r="AC22" t="str">
        <f t="shared" si="16"/>
        <v>-</v>
      </c>
      <c r="AD22" t="str">
        <f t="shared" si="16"/>
        <v>-</v>
      </c>
      <c r="AE22" t="str">
        <f t="shared" si="16"/>
        <v>-</v>
      </c>
      <c r="AF22" t="str">
        <f t="shared" si="16"/>
        <v>-</v>
      </c>
      <c r="AG22" t="str">
        <f t="shared" si="16"/>
        <v>-</v>
      </c>
      <c r="AH22" t="str">
        <f t="shared" si="16"/>
        <v>-</v>
      </c>
      <c r="AI22" t="str">
        <f t="shared" si="16"/>
        <v>-</v>
      </c>
      <c r="AJ22" t="str">
        <f t="shared" si="16"/>
        <v>-</v>
      </c>
      <c r="AK22" t="str">
        <f t="shared" si="16"/>
        <v>-</v>
      </c>
      <c r="AL22" t="str">
        <f t="shared" si="16"/>
        <v>-</v>
      </c>
      <c r="AM22" t="str">
        <f t="shared" si="16"/>
        <v>-</v>
      </c>
      <c r="AN22" t="str">
        <f t="shared" si="16"/>
        <v>-</v>
      </c>
      <c r="AO22" t="str">
        <f t="shared" si="2"/>
        <v>-</v>
      </c>
      <c r="AP22" t="str">
        <f t="shared" si="2"/>
        <v>-</v>
      </c>
      <c r="AQ22" t="str">
        <f t="shared" si="2"/>
        <v>-</v>
      </c>
      <c r="AR22" t="s">
        <v>97</v>
      </c>
      <c r="AS22" t="s">
        <v>97</v>
      </c>
      <c r="AT22" t="s">
        <v>97</v>
      </c>
      <c r="AU22">
        <f t="shared" si="7"/>
        <v>1</v>
      </c>
      <c r="AV22">
        <f t="shared" si="9"/>
        <v>1</v>
      </c>
      <c r="AW22">
        <f t="shared" si="11"/>
        <v>1</v>
      </c>
      <c r="AX22">
        <f t="shared" si="13"/>
        <v>1</v>
      </c>
      <c r="AY22">
        <f t="shared" si="17"/>
        <v>1</v>
      </c>
      <c r="AZ22">
        <f t="shared" si="19"/>
        <v>1</v>
      </c>
      <c r="BA22">
        <f t="shared" ref="BA22:BA44" si="21">BA$6</f>
        <v>1</v>
      </c>
      <c r="BB22" s="22">
        <v>0.9</v>
      </c>
      <c r="BC22">
        <f t="shared" ref="BC22:BO23" si="22">BC$6</f>
        <v>1</v>
      </c>
      <c r="BD22">
        <f t="shared" si="22"/>
        <v>1</v>
      </c>
      <c r="BE22">
        <f t="shared" si="22"/>
        <v>1</v>
      </c>
      <c r="BF22">
        <f t="shared" si="22"/>
        <v>1</v>
      </c>
      <c r="BG22">
        <f t="shared" si="22"/>
        <v>1</v>
      </c>
      <c r="BH22">
        <f t="shared" si="22"/>
        <v>1</v>
      </c>
      <c r="BI22">
        <f t="shared" si="22"/>
        <v>1</v>
      </c>
      <c r="BJ22">
        <f t="shared" si="22"/>
        <v>1</v>
      </c>
      <c r="BK22">
        <f t="shared" si="22"/>
        <v>0</v>
      </c>
      <c r="BL22">
        <f t="shared" si="22"/>
        <v>0</v>
      </c>
      <c r="BM22">
        <f t="shared" si="22"/>
        <v>0</v>
      </c>
      <c r="BN22">
        <f t="shared" si="22"/>
        <v>0</v>
      </c>
      <c r="BO22">
        <f t="shared" si="22"/>
        <v>0</v>
      </c>
      <c r="BP22" s="15">
        <v>0</v>
      </c>
    </row>
    <row r="23" spans="1:68" x14ac:dyDescent="0.25">
      <c r="A23" s="19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s="26" t="str">
        <f>IF(MATCH(F23,F$5:F23,0)=COUNTA(F$5:F23),"-","Dup")</f>
        <v>-</v>
      </c>
      <c r="H23" t="str">
        <f t="shared" si="15"/>
        <v>-</v>
      </c>
      <c r="I23" t="b">
        <f t="shared" si="15"/>
        <v>0</v>
      </c>
      <c r="J23" t="b">
        <f t="shared" si="15"/>
        <v>1</v>
      </c>
      <c r="K23" t="str">
        <f t="shared" si="15"/>
        <v>-</v>
      </c>
      <c r="L23" t="str">
        <f t="shared" si="15"/>
        <v>-</v>
      </c>
      <c r="M23" t="str">
        <f t="shared" si="15"/>
        <v>-</v>
      </c>
      <c r="N23" t="str">
        <f t="shared" si="15"/>
        <v>-</v>
      </c>
      <c r="O23" t="str">
        <f t="shared" si="15"/>
        <v>-</v>
      </c>
      <c r="P23" t="str">
        <f t="shared" si="15"/>
        <v>-</v>
      </c>
      <c r="Q23" t="str">
        <f t="shared" si="15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5"/>
        <v>-</v>
      </c>
      <c r="V23" t="str">
        <f t="shared" si="16"/>
        <v>-</v>
      </c>
      <c r="W23" t="str">
        <f t="shared" si="16"/>
        <v>-</v>
      </c>
      <c r="X23" t="str">
        <f t="shared" si="16"/>
        <v>-</v>
      </c>
      <c r="Y23" t="str">
        <f t="shared" si="16"/>
        <v>-</v>
      </c>
      <c r="Z23" t="str">
        <f t="shared" si="16"/>
        <v>-</v>
      </c>
      <c r="AA23" t="str">
        <f t="shared" si="16"/>
        <v>-</v>
      </c>
      <c r="AB23" t="str">
        <f t="shared" si="16"/>
        <v>-</v>
      </c>
      <c r="AC23" t="str">
        <f t="shared" si="16"/>
        <v>-</v>
      </c>
      <c r="AD23" t="str">
        <f t="shared" si="16"/>
        <v>-</v>
      </c>
      <c r="AE23" t="str">
        <f t="shared" si="16"/>
        <v>-</v>
      </c>
      <c r="AF23" t="str">
        <f t="shared" si="16"/>
        <v>-</v>
      </c>
      <c r="AG23" t="str">
        <f t="shared" si="16"/>
        <v>-</v>
      </c>
      <c r="AH23" t="str">
        <f t="shared" si="16"/>
        <v>-</v>
      </c>
      <c r="AI23" t="str">
        <f t="shared" si="16"/>
        <v>-</v>
      </c>
      <c r="AJ23" t="str">
        <f t="shared" si="16"/>
        <v>-</v>
      </c>
      <c r="AK23" t="str">
        <f t="shared" si="16"/>
        <v>-</v>
      </c>
      <c r="AL23" t="str">
        <f t="shared" si="16"/>
        <v>-</v>
      </c>
      <c r="AM23" t="str">
        <f t="shared" si="16"/>
        <v>-</v>
      </c>
      <c r="AN23" t="str">
        <f t="shared" si="16"/>
        <v>-</v>
      </c>
      <c r="AO23" t="str">
        <f t="shared" ref="AO23:AQ30" si="23">AO$6</f>
        <v>-</v>
      </c>
      <c r="AP23" t="str">
        <f t="shared" si="23"/>
        <v>-</v>
      </c>
      <c r="AQ23" t="str">
        <f t="shared" si="23"/>
        <v>-</v>
      </c>
      <c r="AR23" t="s">
        <v>97</v>
      </c>
      <c r="AS23" t="s">
        <v>97</v>
      </c>
      <c r="AT23" t="s">
        <v>97</v>
      </c>
      <c r="AU23">
        <f t="shared" si="7"/>
        <v>1</v>
      </c>
      <c r="AV23">
        <f t="shared" si="9"/>
        <v>1</v>
      </c>
      <c r="AW23">
        <f t="shared" si="11"/>
        <v>1</v>
      </c>
      <c r="AX23">
        <f t="shared" si="13"/>
        <v>1</v>
      </c>
      <c r="AY23">
        <f t="shared" si="17"/>
        <v>1</v>
      </c>
      <c r="AZ23">
        <f t="shared" si="19"/>
        <v>1</v>
      </c>
      <c r="BA23">
        <f t="shared" si="21"/>
        <v>1</v>
      </c>
      <c r="BB23" s="22">
        <v>1.1000000000000001</v>
      </c>
      <c r="BC23">
        <f t="shared" si="22"/>
        <v>1</v>
      </c>
      <c r="BD23">
        <f t="shared" si="22"/>
        <v>1</v>
      </c>
      <c r="BE23">
        <f t="shared" si="22"/>
        <v>1</v>
      </c>
      <c r="BF23">
        <f t="shared" si="22"/>
        <v>1</v>
      </c>
      <c r="BG23">
        <f t="shared" si="22"/>
        <v>1</v>
      </c>
      <c r="BH23">
        <f t="shared" si="22"/>
        <v>1</v>
      </c>
      <c r="BI23">
        <f t="shared" si="22"/>
        <v>1</v>
      </c>
      <c r="BJ23">
        <f t="shared" si="22"/>
        <v>1</v>
      </c>
      <c r="BK23">
        <f t="shared" si="22"/>
        <v>0</v>
      </c>
      <c r="BL23">
        <f t="shared" si="22"/>
        <v>0</v>
      </c>
      <c r="BM23">
        <f t="shared" si="22"/>
        <v>0</v>
      </c>
      <c r="BN23">
        <f t="shared" si="22"/>
        <v>0</v>
      </c>
      <c r="BO23">
        <f t="shared" si="22"/>
        <v>0</v>
      </c>
      <c r="BP23" s="15">
        <v>0</v>
      </c>
    </row>
    <row r="24" spans="1:68" x14ac:dyDescent="0.25">
      <c r="A24" s="19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s="26" t="str">
        <f>IF(MATCH(F24,F$5:F24,0)=COUNTA(F$5:F24),"-","Dup")</f>
        <v>-</v>
      </c>
      <c r="H24" t="str">
        <f t="shared" si="15"/>
        <v>-</v>
      </c>
      <c r="I24" t="b">
        <f t="shared" si="15"/>
        <v>0</v>
      </c>
      <c r="J24" t="b">
        <f t="shared" si="15"/>
        <v>1</v>
      </c>
      <c r="K24" t="str">
        <f t="shared" si="15"/>
        <v>-</v>
      </c>
      <c r="L24" t="str">
        <f t="shared" si="15"/>
        <v>-</v>
      </c>
      <c r="M24" t="str">
        <f t="shared" si="15"/>
        <v>-</v>
      </c>
      <c r="N24" t="str">
        <f t="shared" si="15"/>
        <v>-</v>
      </c>
      <c r="O24" t="str">
        <f t="shared" si="15"/>
        <v>-</v>
      </c>
      <c r="P24" t="str">
        <f t="shared" si="15"/>
        <v>-</v>
      </c>
      <c r="Q24" t="str">
        <f t="shared" si="15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5"/>
        <v>-</v>
      </c>
      <c r="V24" t="str">
        <f t="shared" si="16"/>
        <v>-</v>
      </c>
      <c r="W24" t="str">
        <f t="shared" si="16"/>
        <v>-</v>
      </c>
      <c r="X24" t="str">
        <f t="shared" si="16"/>
        <v>-</v>
      </c>
      <c r="Y24" t="str">
        <f t="shared" si="16"/>
        <v>-</v>
      </c>
      <c r="Z24" t="str">
        <f t="shared" si="16"/>
        <v>-</v>
      </c>
      <c r="AA24" t="str">
        <f t="shared" si="16"/>
        <v>-</v>
      </c>
      <c r="AB24" t="str">
        <f t="shared" si="16"/>
        <v>-</v>
      </c>
      <c r="AC24" t="str">
        <f t="shared" si="16"/>
        <v>-</v>
      </c>
      <c r="AD24" t="str">
        <f t="shared" si="16"/>
        <v>-</v>
      </c>
      <c r="AE24" t="str">
        <f t="shared" si="16"/>
        <v>-</v>
      </c>
      <c r="AF24" t="str">
        <f t="shared" si="16"/>
        <v>-</v>
      </c>
      <c r="AG24" t="str">
        <f t="shared" si="16"/>
        <v>-</v>
      </c>
      <c r="AH24" t="str">
        <f t="shared" si="16"/>
        <v>-</v>
      </c>
      <c r="AI24" t="str">
        <f t="shared" si="16"/>
        <v>-</v>
      </c>
      <c r="AJ24" t="str">
        <f t="shared" si="16"/>
        <v>-</v>
      </c>
      <c r="AK24" t="str">
        <f t="shared" si="16"/>
        <v>-</v>
      </c>
      <c r="AL24" t="str">
        <f t="shared" si="16"/>
        <v>-</v>
      </c>
      <c r="AM24" t="str">
        <f t="shared" si="16"/>
        <v>-</v>
      </c>
      <c r="AN24" t="str">
        <f t="shared" si="16"/>
        <v>-</v>
      </c>
      <c r="AO24" t="str">
        <f t="shared" si="23"/>
        <v>-</v>
      </c>
      <c r="AP24" t="str">
        <f t="shared" si="23"/>
        <v>-</v>
      </c>
      <c r="AQ24" t="str">
        <f t="shared" si="23"/>
        <v>-</v>
      </c>
      <c r="AR24" t="s">
        <v>97</v>
      </c>
      <c r="AS24" t="s">
        <v>97</v>
      </c>
      <c r="AT24" t="s">
        <v>97</v>
      </c>
      <c r="AU24">
        <f t="shared" si="7"/>
        <v>1</v>
      </c>
      <c r="AV24">
        <f t="shared" si="9"/>
        <v>1</v>
      </c>
      <c r="AW24">
        <f t="shared" si="11"/>
        <v>1</v>
      </c>
      <c r="AX24">
        <f t="shared" si="13"/>
        <v>1</v>
      </c>
      <c r="AY24">
        <f t="shared" si="17"/>
        <v>1</v>
      </c>
      <c r="AZ24">
        <f t="shared" si="19"/>
        <v>1</v>
      </c>
      <c r="BA24">
        <f t="shared" si="21"/>
        <v>1</v>
      </c>
      <c r="BB24">
        <f t="shared" ref="BB24:BB44" si="24">BB$6</f>
        <v>1</v>
      </c>
      <c r="BC24" s="22">
        <v>0.9</v>
      </c>
      <c r="BD24">
        <f t="shared" ref="BD24:BO25" si="25">BD$6</f>
        <v>1</v>
      </c>
      <c r="BE24">
        <f t="shared" si="25"/>
        <v>1</v>
      </c>
      <c r="BF24">
        <f t="shared" si="25"/>
        <v>1</v>
      </c>
      <c r="BG24">
        <f t="shared" si="25"/>
        <v>1</v>
      </c>
      <c r="BH24">
        <f t="shared" si="25"/>
        <v>1</v>
      </c>
      <c r="BI24">
        <f t="shared" si="25"/>
        <v>1</v>
      </c>
      <c r="BJ24">
        <f t="shared" si="25"/>
        <v>1</v>
      </c>
      <c r="BK24">
        <f t="shared" si="25"/>
        <v>0</v>
      </c>
      <c r="BL24">
        <f t="shared" si="25"/>
        <v>0</v>
      </c>
      <c r="BM24">
        <f t="shared" si="25"/>
        <v>0</v>
      </c>
      <c r="BN24">
        <f t="shared" si="25"/>
        <v>0</v>
      </c>
      <c r="BO24">
        <f t="shared" si="25"/>
        <v>0</v>
      </c>
      <c r="BP24" s="15">
        <v>0</v>
      </c>
    </row>
    <row r="25" spans="1:68" x14ac:dyDescent="0.25">
      <c r="A25" s="19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s="26" t="str">
        <f>IF(MATCH(F25,F$5:F25,0)=COUNTA(F$5:F25),"-","Dup")</f>
        <v>-</v>
      </c>
      <c r="H25" t="str">
        <f t="shared" si="15"/>
        <v>-</v>
      </c>
      <c r="I25" t="b">
        <f t="shared" si="15"/>
        <v>0</v>
      </c>
      <c r="J25" t="b">
        <f t="shared" si="15"/>
        <v>1</v>
      </c>
      <c r="K25" t="str">
        <f t="shared" si="15"/>
        <v>-</v>
      </c>
      <c r="L25" t="str">
        <f t="shared" si="15"/>
        <v>-</v>
      </c>
      <c r="M25" t="str">
        <f t="shared" si="15"/>
        <v>-</v>
      </c>
      <c r="N25" t="str">
        <f t="shared" si="15"/>
        <v>-</v>
      </c>
      <c r="O25" t="str">
        <f t="shared" si="15"/>
        <v>-</v>
      </c>
      <c r="P25" t="str">
        <f t="shared" si="15"/>
        <v>-</v>
      </c>
      <c r="Q25" t="str">
        <f t="shared" si="15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5"/>
        <v>-</v>
      </c>
      <c r="V25" t="str">
        <f t="shared" si="16"/>
        <v>-</v>
      </c>
      <c r="W25" t="str">
        <f t="shared" si="16"/>
        <v>-</v>
      </c>
      <c r="X25" t="str">
        <f t="shared" si="16"/>
        <v>-</v>
      </c>
      <c r="Y25" t="str">
        <f t="shared" si="16"/>
        <v>-</v>
      </c>
      <c r="Z25" t="str">
        <f t="shared" si="16"/>
        <v>-</v>
      </c>
      <c r="AA25" t="str">
        <f t="shared" si="16"/>
        <v>-</v>
      </c>
      <c r="AB25" t="str">
        <f t="shared" si="16"/>
        <v>-</v>
      </c>
      <c r="AC25" t="str">
        <f t="shared" si="16"/>
        <v>-</v>
      </c>
      <c r="AD25" t="str">
        <f t="shared" si="16"/>
        <v>-</v>
      </c>
      <c r="AE25" t="str">
        <f t="shared" si="16"/>
        <v>-</v>
      </c>
      <c r="AF25" t="str">
        <f t="shared" si="16"/>
        <v>-</v>
      </c>
      <c r="AG25" t="str">
        <f t="shared" si="16"/>
        <v>-</v>
      </c>
      <c r="AH25" t="str">
        <f t="shared" si="16"/>
        <v>-</v>
      </c>
      <c r="AI25" t="str">
        <f t="shared" si="16"/>
        <v>-</v>
      </c>
      <c r="AJ25" t="str">
        <f t="shared" si="16"/>
        <v>-</v>
      </c>
      <c r="AK25" t="str">
        <f t="shared" si="16"/>
        <v>-</v>
      </c>
      <c r="AL25" t="str">
        <f t="shared" si="16"/>
        <v>-</v>
      </c>
      <c r="AM25" t="str">
        <f t="shared" si="16"/>
        <v>-</v>
      </c>
      <c r="AN25" t="str">
        <f t="shared" si="16"/>
        <v>-</v>
      </c>
      <c r="AO25" t="str">
        <f t="shared" si="23"/>
        <v>-</v>
      </c>
      <c r="AP25" t="str">
        <f t="shared" si="23"/>
        <v>-</v>
      </c>
      <c r="AQ25" t="str">
        <f t="shared" si="23"/>
        <v>-</v>
      </c>
      <c r="AR25" t="s">
        <v>97</v>
      </c>
      <c r="AS25" t="s">
        <v>97</v>
      </c>
      <c r="AT25" t="s">
        <v>97</v>
      </c>
      <c r="AU25">
        <f t="shared" si="7"/>
        <v>1</v>
      </c>
      <c r="AV25">
        <f t="shared" si="9"/>
        <v>1</v>
      </c>
      <c r="AW25">
        <f t="shared" si="11"/>
        <v>1</v>
      </c>
      <c r="AX25">
        <f t="shared" si="13"/>
        <v>1</v>
      </c>
      <c r="AY25">
        <f t="shared" si="17"/>
        <v>1</v>
      </c>
      <c r="AZ25">
        <f t="shared" si="19"/>
        <v>1</v>
      </c>
      <c r="BA25">
        <f t="shared" si="21"/>
        <v>1</v>
      </c>
      <c r="BB25">
        <f t="shared" si="24"/>
        <v>1</v>
      </c>
      <c r="BC25" s="22">
        <v>1.1000000000000001</v>
      </c>
      <c r="BD25">
        <f t="shared" si="25"/>
        <v>1</v>
      </c>
      <c r="BE25">
        <f t="shared" si="25"/>
        <v>1</v>
      </c>
      <c r="BF25">
        <f t="shared" si="25"/>
        <v>1</v>
      </c>
      <c r="BG25">
        <f t="shared" si="25"/>
        <v>1</v>
      </c>
      <c r="BH25">
        <f t="shared" si="25"/>
        <v>1</v>
      </c>
      <c r="BI25">
        <f t="shared" si="25"/>
        <v>1</v>
      </c>
      <c r="BJ25">
        <f t="shared" si="25"/>
        <v>1</v>
      </c>
      <c r="BK25">
        <f t="shared" si="25"/>
        <v>0</v>
      </c>
      <c r="BL25">
        <f t="shared" si="25"/>
        <v>0</v>
      </c>
      <c r="BM25">
        <f t="shared" si="25"/>
        <v>0</v>
      </c>
      <c r="BN25">
        <f t="shared" si="25"/>
        <v>0</v>
      </c>
      <c r="BO25">
        <f t="shared" si="25"/>
        <v>0</v>
      </c>
      <c r="BP25" s="15">
        <v>0</v>
      </c>
    </row>
    <row r="26" spans="1:68" x14ac:dyDescent="0.25">
      <c r="A26" s="19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s="26" t="str">
        <f>IF(MATCH(F26,F$5:F26,0)=COUNTA(F$5:F26),"-","Dup")</f>
        <v>-</v>
      </c>
      <c r="H26" t="str">
        <f t="shared" si="15"/>
        <v>-</v>
      </c>
      <c r="I26" t="b">
        <f t="shared" si="15"/>
        <v>0</v>
      </c>
      <c r="J26" t="b">
        <f t="shared" si="15"/>
        <v>1</v>
      </c>
      <c r="K26" t="str">
        <f t="shared" si="15"/>
        <v>-</v>
      </c>
      <c r="L26" t="str">
        <f t="shared" si="15"/>
        <v>-</v>
      </c>
      <c r="M26" t="str">
        <f t="shared" si="15"/>
        <v>-</v>
      </c>
      <c r="N26" t="str">
        <f t="shared" si="15"/>
        <v>-</v>
      </c>
      <c r="O26" t="str">
        <f t="shared" si="15"/>
        <v>-</v>
      </c>
      <c r="P26" t="str">
        <f t="shared" si="15"/>
        <v>-</v>
      </c>
      <c r="Q26" t="str">
        <f t="shared" si="15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5"/>
        <v>-</v>
      </c>
      <c r="V26" t="str">
        <f t="shared" si="16"/>
        <v>-</v>
      </c>
      <c r="W26" t="str">
        <f t="shared" si="16"/>
        <v>-</v>
      </c>
      <c r="X26" t="str">
        <f t="shared" si="16"/>
        <v>-</v>
      </c>
      <c r="Y26" t="str">
        <f t="shared" si="16"/>
        <v>-</v>
      </c>
      <c r="Z26" t="str">
        <f t="shared" si="16"/>
        <v>-</v>
      </c>
      <c r="AA26" t="str">
        <f t="shared" si="16"/>
        <v>-</v>
      </c>
      <c r="AB26" t="str">
        <f t="shared" si="16"/>
        <v>-</v>
      </c>
      <c r="AC26" t="str">
        <f t="shared" si="16"/>
        <v>-</v>
      </c>
      <c r="AD26" t="str">
        <f t="shared" si="16"/>
        <v>-</v>
      </c>
      <c r="AE26" t="str">
        <f t="shared" si="16"/>
        <v>-</v>
      </c>
      <c r="AF26" t="str">
        <f t="shared" si="16"/>
        <v>-</v>
      </c>
      <c r="AG26" t="str">
        <f t="shared" si="16"/>
        <v>-</v>
      </c>
      <c r="AH26" t="str">
        <f t="shared" si="16"/>
        <v>-</v>
      </c>
      <c r="AI26" t="str">
        <f t="shared" si="16"/>
        <v>-</v>
      </c>
      <c r="AJ26" t="str">
        <f t="shared" si="16"/>
        <v>-</v>
      </c>
      <c r="AK26" t="str">
        <f t="shared" si="16"/>
        <v>-</v>
      </c>
      <c r="AL26" t="str">
        <f t="shared" si="16"/>
        <v>-</v>
      </c>
      <c r="AM26" t="str">
        <f t="shared" si="16"/>
        <v>-</v>
      </c>
      <c r="AN26" t="str">
        <f t="shared" si="16"/>
        <v>-</v>
      </c>
      <c r="AO26" t="str">
        <f t="shared" si="23"/>
        <v>-</v>
      </c>
      <c r="AP26" t="str">
        <f t="shared" si="23"/>
        <v>-</v>
      </c>
      <c r="AQ26" t="str">
        <f t="shared" si="23"/>
        <v>-</v>
      </c>
      <c r="AR26" t="s">
        <v>97</v>
      </c>
      <c r="AS26" t="s">
        <v>97</v>
      </c>
      <c r="AT26" t="s">
        <v>97</v>
      </c>
      <c r="AU26">
        <f t="shared" si="7"/>
        <v>1</v>
      </c>
      <c r="AV26">
        <f t="shared" si="9"/>
        <v>1</v>
      </c>
      <c r="AW26">
        <f t="shared" si="11"/>
        <v>1</v>
      </c>
      <c r="AX26">
        <f t="shared" si="13"/>
        <v>1</v>
      </c>
      <c r="AY26">
        <f t="shared" si="17"/>
        <v>1</v>
      </c>
      <c r="AZ26">
        <f t="shared" si="19"/>
        <v>1</v>
      </c>
      <c r="BA26">
        <f t="shared" si="21"/>
        <v>1</v>
      </c>
      <c r="BB26">
        <f t="shared" si="24"/>
        <v>1</v>
      </c>
      <c r="BC26">
        <f t="shared" ref="BC26:BC44" si="26">BC$6</f>
        <v>1</v>
      </c>
      <c r="BD26" s="22">
        <v>0.9</v>
      </c>
      <c r="BE26">
        <f t="shared" ref="BE26:BO31" si="27">BE$6</f>
        <v>1</v>
      </c>
      <c r="BF26">
        <f t="shared" si="27"/>
        <v>1</v>
      </c>
      <c r="BG26">
        <f t="shared" si="27"/>
        <v>1</v>
      </c>
      <c r="BH26">
        <f t="shared" si="27"/>
        <v>1</v>
      </c>
      <c r="BI26">
        <f t="shared" si="27"/>
        <v>1</v>
      </c>
      <c r="BJ26">
        <f t="shared" si="27"/>
        <v>1</v>
      </c>
      <c r="BK26">
        <f t="shared" si="27"/>
        <v>0</v>
      </c>
      <c r="BL26">
        <f t="shared" si="27"/>
        <v>0</v>
      </c>
      <c r="BM26">
        <f t="shared" si="27"/>
        <v>0</v>
      </c>
      <c r="BN26">
        <f t="shared" si="27"/>
        <v>0</v>
      </c>
      <c r="BO26">
        <f t="shared" si="27"/>
        <v>0</v>
      </c>
      <c r="BP26" s="15">
        <v>0</v>
      </c>
    </row>
    <row r="27" spans="1:68" x14ac:dyDescent="0.25">
      <c r="A27" s="19">
        <v>44275.489791666667</v>
      </c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s="26" t="str">
        <f>IF(MATCH(F27,F$5:F27,0)=COUNTA(F$5:F27),"-","Dup")</f>
        <v>-</v>
      </c>
      <c r="H27" t="str">
        <f t="shared" si="15"/>
        <v>-</v>
      </c>
      <c r="I27" t="b">
        <f t="shared" si="15"/>
        <v>0</v>
      </c>
      <c r="J27" t="b">
        <f t="shared" si="15"/>
        <v>1</v>
      </c>
      <c r="K27" t="str">
        <f t="shared" si="15"/>
        <v>-</v>
      </c>
      <c r="L27" t="str">
        <f t="shared" si="15"/>
        <v>-</v>
      </c>
      <c r="M27" t="str">
        <f t="shared" si="15"/>
        <v>-</v>
      </c>
      <c r="N27" t="str">
        <f t="shared" si="15"/>
        <v>-</v>
      </c>
      <c r="O27" t="str">
        <f t="shared" si="15"/>
        <v>-</v>
      </c>
      <c r="P27" t="str">
        <f t="shared" si="15"/>
        <v>-</v>
      </c>
      <c r="Q27" t="str">
        <f t="shared" si="15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5"/>
        <v>-</v>
      </c>
      <c r="V27" t="str">
        <f t="shared" si="16"/>
        <v>-</v>
      </c>
      <c r="W27" t="str">
        <f t="shared" si="16"/>
        <v>-</v>
      </c>
      <c r="X27" t="str">
        <f t="shared" si="16"/>
        <v>-</v>
      </c>
      <c r="Y27" t="str">
        <f t="shared" si="16"/>
        <v>-</v>
      </c>
      <c r="Z27" t="str">
        <f t="shared" si="16"/>
        <v>-</v>
      </c>
      <c r="AA27" t="str">
        <f t="shared" si="16"/>
        <v>-</v>
      </c>
      <c r="AB27" t="str">
        <f t="shared" si="16"/>
        <v>-</v>
      </c>
      <c r="AC27" t="str">
        <f t="shared" si="16"/>
        <v>-</v>
      </c>
      <c r="AD27" t="str">
        <f t="shared" si="16"/>
        <v>-</v>
      </c>
      <c r="AE27" t="str">
        <f t="shared" si="16"/>
        <v>-</v>
      </c>
      <c r="AF27" t="str">
        <f t="shared" si="16"/>
        <v>-</v>
      </c>
      <c r="AG27" t="str">
        <f t="shared" si="16"/>
        <v>-</v>
      </c>
      <c r="AH27" t="str">
        <f t="shared" si="16"/>
        <v>-</v>
      </c>
      <c r="AI27" t="str">
        <f t="shared" si="16"/>
        <v>-</v>
      </c>
      <c r="AJ27" t="str">
        <f t="shared" si="16"/>
        <v>-</v>
      </c>
      <c r="AK27" t="str">
        <f t="shared" si="16"/>
        <v>-</v>
      </c>
      <c r="AL27" t="str">
        <f t="shared" si="16"/>
        <v>-</v>
      </c>
      <c r="AM27" t="str">
        <f t="shared" si="16"/>
        <v>-</v>
      </c>
      <c r="AN27" t="str">
        <f t="shared" si="16"/>
        <v>-</v>
      </c>
      <c r="AO27" t="str">
        <f t="shared" si="23"/>
        <v>-</v>
      </c>
      <c r="AP27" t="str">
        <f t="shared" si="23"/>
        <v>-</v>
      </c>
      <c r="AQ27" t="str">
        <f t="shared" si="23"/>
        <v>-</v>
      </c>
      <c r="AR27" t="s">
        <v>97</v>
      </c>
      <c r="AS27" t="s">
        <v>97</v>
      </c>
      <c r="AT27" t="s">
        <v>97</v>
      </c>
      <c r="AU27">
        <f t="shared" si="7"/>
        <v>1</v>
      </c>
      <c r="AV27">
        <f t="shared" si="9"/>
        <v>1</v>
      </c>
      <c r="AW27">
        <f t="shared" si="11"/>
        <v>1</v>
      </c>
      <c r="AX27">
        <f t="shared" si="13"/>
        <v>1</v>
      </c>
      <c r="AY27">
        <f t="shared" si="17"/>
        <v>1</v>
      </c>
      <c r="AZ27">
        <f t="shared" si="19"/>
        <v>1</v>
      </c>
      <c r="BA27">
        <f t="shared" si="21"/>
        <v>1</v>
      </c>
      <c r="BB27">
        <f t="shared" si="24"/>
        <v>1</v>
      </c>
      <c r="BC27">
        <f t="shared" si="26"/>
        <v>1</v>
      </c>
      <c r="BD27" s="22">
        <v>1.1000000000000001</v>
      </c>
      <c r="BE27">
        <f t="shared" si="27"/>
        <v>1</v>
      </c>
      <c r="BF27">
        <f t="shared" si="27"/>
        <v>1</v>
      </c>
      <c r="BG27">
        <f t="shared" si="27"/>
        <v>1</v>
      </c>
      <c r="BH27">
        <f t="shared" si="27"/>
        <v>1</v>
      </c>
      <c r="BI27">
        <f t="shared" si="27"/>
        <v>1</v>
      </c>
      <c r="BJ27">
        <f t="shared" si="27"/>
        <v>1</v>
      </c>
      <c r="BK27">
        <f t="shared" si="27"/>
        <v>0</v>
      </c>
      <c r="BL27">
        <f t="shared" si="27"/>
        <v>0</v>
      </c>
      <c r="BM27">
        <f t="shared" si="27"/>
        <v>0</v>
      </c>
      <c r="BN27">
        <f t="shared" si="27"/>
        <v>0</v>
      </c>
      <c r="BO27">
        <f t="shared" si="27"/>
        <v>0</v>
      </c>
      <c r="BP27" s="15">
        <v>0</v>
      </c>
    </row>
    <row r="28" spans="1:68" x14ac:dyDescent="0.25">
      <c r="A28" s="19">
        <v>44275.611388888887</v>
      </c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s="26" t="str">
        <f>IF(MATCH(F28,F$5:F28,0)=COUNTA(F$5:F28),"-","Dup")</f>
        <v>-</v>
      </c>
      <c r="H28" t="str">
        <f t="shared" si="15"/>
        <v>-</v>
      </c>
      <c r="I28" t="b">
        <f t="shared" si="15"/>
        <v>0</v>
      </c>
      <c r="J28" t="b">
        <f t="shared" si="15"/>
        <v>1</v>
      </c>
      <c r="K28" t="str">
        <f t="shared" si="15"/>
        <v>-</v>
      </c>
      <c r="L28" t="str">
        <f t="shared" si="15"/>
        <v>-</v>
      </c>
      <c r="M28" t="str">
        <f t="shared" si="15"/>
        <v>-</v>
      </c>
      <c r="N28" t="str">
        <f t="shared" si="15"/>
        <v>-</v>
      </c>
      <c r="O28" t="str">
        <f t="shared" si="15"/>
        <v>-</v>
      </c>
      <c r="P28" t="str">
        <f t="shared" si="15"/>
        <v>-</v>
      </c>
      <c r="Q28" t="str">
        <f t="shared" si="15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5"/>
        <v>-</v>
      </c>
      <c r="V28" t="str">
        <f t="shared" si="16"/>
        <v>-</v>
      </c>
      <c r="W28" t="str">
        <f t="shared" si="16"/>
        <v>-</v>
      </c>
      <c r="X28" t="str">
        <f t="shared" si="16"/>
        <v>-</v>
      </c>
      <c r="Y28" t="str">
        <f t="shared" si="16"/>
        <v>-</v>
      </c>
      <c r="Z28" t="str">
        <f t="shared" si="16"/>
        <v>-</v>
      </c>
      <c r="AA28" t="str">
        <f t="shared" si="16"/>
        <v>-</v>
      </c>
      <c r="AB28" t="str">
        <f t="shared" si="16"/>
        <v>-</v>
      </c>
      <c r="AC28" t="str">
        <f t="shared" si="16"/>
        <v>-</v>
      </c>
      <c r="AD28" t="str">
        <f t="shared" si="16"/>
        <v>-</v>
      </c>
      <c r="AE28" t="str">
        <f t="shared" si="16"/>
        <v>-</v>
      </c>
      <c r="AF28" t="str">
        <f t="shared" si="16"/>
        <v>-</v>
      </c>
      <c r="AG28" t="str">
        <f t="shared" si="16"/>
        <v>-</v>
      </c>
      <c r="AH28" t="str">
        <f t="shared" si="16"/>
        <v>-</v>
      </c>
      <c r="AI28" t="str">
        <f t="shared" si="16"/>
        <v>-</v>
      </c>
      <c r="AJ28" t="str">
        <f t="shared" si="16"/>
        <v>-</v>
      </c>
      <c r="AK28" t="str">
        <f t="shared" si="16"/>
        <v>-</v>
      </c>
      <c r="AL28" t="str">
        <f t="shared" si="16"/>
        <v>-</v>
      </c>
      <c r="AM28" t="str">
        <f t="shared" si="16"/>
        <v>-</v>
      </c>
      <c r="AN28" t="str">
        <f t="shared" si="16"/>
        <v>-</v>
      </c>
      <c r="AO28" t="str">
        <f t="shared" si="23"/>
        <v>-</v>
      </c>
      <c r="AP28" t="str">
        <f t="shared" si="23"/>
        <v>-</v>
      </c>
      <c r="AQ28" t="str">
        <f t="shared" si="23"/>
        <v>-</v>
      </c>
      <c r="AR28" t="s">
        <v>97</v>
      </c>
      <c r="AS28" t="s">
        <v>97</v>
      </c>
      <c r="AT28" t="s">
        <v>97</v>
      </c>
      <c r="AU28">
        <f t="shared" si="7"/>
        <v>1</v>
      </c>
      <c r="AV28">
        <f t="shared" si="9"/>
        <v>1</v>
      </c>
      <c r="AW28">
        <f t="shared" si="11"/>
        <v>1</v>
      </c>
      <c r="AX28">
        <f t="shared" si="13"/>
        <v>1</v>
      </c>
      <c r="AY28">
        <f t="shared" si="17"/>
        <v>1</v>
      </c>
      <c r="AZ28">
        <f t="shared" si="19"/>
        <v>1</v>
      </c>
      <c r="BA28">
        <f t="shared" si="21"/>
        <v>1</v>
      </c>
      <c r="BB28">
        <f t="shared" si="24"/>
        <v>1</v>
      </c>
      <c r="BC28">
        <f t="shared" si="26"/>
        <v>1</v>
      </c>
      <c r="BD28">
        <f t="shared" ref="BD28:BD44" si="28">BD$6</f>
        <v>1</v>
      </c>
      <c r="BE28" s="22">
        <v>0.9</v>
      </c>
      <c r="BF28">
        <f t="shared" ref="BF28:BO29" si="29">BF$6</f>
        <v>1</v>
      </c>
      <c r="BG28">
        <f t="shared" si="27"/>
        <v>1</v>
      </c>
      <c r="BH28">
        <f t="shared" si="27"/>
        <v>1</v>
      </c>
      <c r="BI28">
        <f t="shared" si="27"/>
        <v>1</v>
      </c>
      <c r="BJ28">
        <f t="shared" si="27"/>
        <v>1</v>
      </c>
      <c r="BK28">
        <f t="shared" si="29"/>
        <v>0</v>
      </c>
      <c r="BL28">
        <f t="shared" si="29"/>
        <v>0</v>
      </c>
      <c r="BM28">
        <f t="shared" si="29"/>
        <v>0</v>
      </c>
      <c r="BN28">
        <f t="shared" si="29"/>
        <v>0</v>
      </c>
      <c r="BO28">
        <f t="shared" si="29"/>
        <v>0</v>
      </c>
      <c r="BP28" s="15">
        <v>0</v>
      </c>
    </row>
    <row r="29" spans="1:68" x14ac:dyDescent="0.25">
      <c r="A29" s="19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s="26" t="str">
        <f>IF(MATCH(F29,F$5:F29,0)=COUNTA(F$5:F29),"-","Dup")</f>
        <v>-</v>
      </c>
      <c r="H29" t="str">
        <f t="shared" si="15"/>
        <v>-</v>
      </c>
      <c r="I29" t="b">
        <f t="shared" si="15"/>
        <v>0</v>
      </c>
      <c r="J29" t="b">
        <f t="shared" si="15"/>
        <v>1</v>
      </c>
      <c r="K29" t="str">
        <f t="shared" si="15"/>
        <v>-</v>
      </c>
      <c r="L29" t="str">
        <f t="shared" si="15"/>
        <v>-</v>
      </c>
      <c r="M29" t="str">
        <f t="shared" si="15"/>
        <v>-</v>
      </c>
      <c r="N29" t="str">
        <f t="shared" si="15"/>
        <v>-</v>
      </c>
      <c r="O29" t="str">
        <f t="shared" si="15"/>
        <v>-</v>
      </c>
      <c r="P29" t="str">
        <f t="shared" si="15"/>
        <v>-</v>
      </c>
      <c r="Q29" t="str">
        <f t="shared" si="15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5"/>
        <v>-</v>
      </c>
      <c r="V29" t="str">
        <f t="shared" si="16"/>
        <v>-</v>
      </c>
      <c r="W29" t="str">
        <f t="shared" si="16"/>
        <v>-</v>
      </c>
      <c r="X29" t="str">
        <f t="shared" si="16"/>
        <v>-</v>
      </c>
      <c r="Y29" t="str">
        <f t="shared" si="16"/>
        <v>-</v>
      </c>
      <c r="Z29" t="str">
        <f t="shared" si="16"/>
        <v>-</v>
      </c>
      <c r="AA29" t="str">
        <f t="shared" si="16"/>
        <v>-</v>
      </c>
      <c r="AB29" t="str">
        <f t="shared" si="16"/>
        <v>-</v>
      </c>
      <c r="AC29" t="str">
        <f t="shared" si="16"/>
        <v>-</v>
      </c>
      <c r="AD29" t="str">
        <f t="shared" si="16"/>
        <v>-</v>
      </c>
      <c r="AE29" t="str">
        <f t="shared" si="16"/>
        <v>-</v>
      </c>
      <c r="AF29" t="str">
        <f t="shared" si="16"/>
        <v>-</v>
      </c>
      <c r="AG29" t="str">
        <f t="shared" si="16"/>
        <v>-</v>
      </c>
      <c r="AH29" t="str">
        <f t="shared" si="16"/>
        <v>-</v>
      </c>
      <c r="AI29" t="str">
        <f t="shared" si="16"/>
        <v>-</v>
      </c>
      <c r="AJ29" t="str">
        <f t="shared" si="16"/>
        <v>-</v>
      </c>
      <c r="AK29" t="str">
        <f t="shared" si="16"/>
        <v>-</v>
      </c>
      <c r="AL29" t="str">
        <f t="shared" si="16"/>
        <v>-</v>
      </c>
      <c r="AM29" t="str">
        <f t="shared" si="16"/>
        <v>-</v>
      </c>
      <c r="AN29" t="str">
        <f t="shared" si="16"/>
        <v>-</v>
      </c>
      <c r="AO29" t="str">
        <f t="shared" si="23"/>
        <v>-</v>
      </c>
      <c r="AP29" t="str">
        <f t="shared" si="23"/>
        <v>-</v>
      </c>
      <c r="AQ29" t="str">
        <f t="shared" si="23"/>
        <v>-</v>
      </c>
      <c r="AR29" t="s">
        <v>97</v>
      </c>
      <c r="AS29" t="s">
        <v>97</v>
      </c>
      <c r="AT29" t="s">
        <v>97</v>
      </c>
      <c r="AU29">
        <f t="shared" si="7"/>
        <v>1</v>
      </c>
      <c r="AV29">
        <f t="shared" si="9"/>
        <v>1</v>
      </c>
      <c r="AW29">
        <f t="shared" si="11"/>
        <v>1</v>
      </c>
      <c r="AX29">
        <f t="shared" si="13"/>
        <v>1</v>
      </c>
      <c r="AY29">
        <f t="shared" si="17"/>
        <v>1</v>
      </c>
      <c r="AZ29">
        <f t="shared" si="19"/>
        <v>1</v>
      </c>
      <c r="BA29">
        <f t="shared" si="21"/>
        <v>1</v>
      </c>
      <c r="BB29">
        <f t="shared" si="24"/>
        <v>1</v>
      </c>
      <c r="BC29">
        <f t="shared" si="26"/>
        <v>1</v>
      </c>
      <c r="BD29">
        <f t="shared" si="28"/>
        <v>1</v>
      </c>
      <c r="BE29" s="22">
        <v>1.1000000000000001</v>
      </c>
      <c r="BF29">
        <f t="shared" si="29"/>
        <v>1</v>
      </c>
      <c r="BG29">
        <f t="shared" si="27"/>
        <v>1</v>
      </c>
      <c r="BH29">
        <f t="shared" si="27"/>
        <v>1</v>
      </c>
      <c r="BI29">
        <f t="shared" si="27"/>
        <v>1</v>
      </c>
      <c r="BJ29">
        <f t="shared" si="27"/>
        <v>1</v>
      </c>
      <c r="BK29">
        <f t="shared" si="29"/>
        <v>0</v>
      </c>
      <c r="BL29">
        <f t="shared" si="29"/>
        <v>0</v>
      </c>
      <c r="BM29">
        <f t="shared" si="29"/>
        <v>0</v>
      </c>
      <c r="BN29">
        <f t="shared" si="29"/>
        <v>0</v>
      </c>
      <c r="BO29">
        <f t="shared" si="29"/>
        <v>0</v>
      </c>
      <c r="BP29" s="15">
        <v>0</v>
      </c>
    </row>
    <row r="30" spans="1:68" x14ac:dyDescent="0.25">
      <c r="A30" s="19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s="26" t="str">
        <f>IF(MATCH(F30,F$5:F30,0)=COUNTA(F$5:F30),"-","Dup")</f>
        <v>-</v>
      </c>
      <c r="H30" t="str">
        <f t="shared" si="15"/>
        <v>-</v>
      </c>
      <c r="I30" t="b">
        <f t="shared" si="15"/>
        <v>0</v>
      </c>
      <c r="J30" t="b">
        <f t="shared" si="15"/>
        <v>1</v>
      </c>
      <c r="K30" t="str">
        <f t="shared" si="15"/>
        <v>-</v>
      </c>
      <c r="L30" t="str">
        <f t="shared" si="15"/>
        <v>-</v>
      </c>
      <c r="M30" t="str">
        <f t="shared" si="15"/>
        <v>-</v>
      </c>
      <c r="N30" t="str">
        <f t="shared" si="15"/>
        <v>-</v>
      </c>
      <c r="O30" t="str">
        <f t="shared" si="15"/>
        <v>-</v>
      </c>
      <c r="P30" t="str">
        <f t="shared" si="15"/>
        <v>-</v>
      </c>
      <c r="Q30" t="str">
        <f t="shared" si="15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5"/>
        <v>-</v>
      </c>
      <c r="V30" t="str">
        <f t="shared" si="16"/>
        <v>-</v>
      </c>
      <c r="W30" t="str">
        <f t="shared" si="16"/>
        <v>-</v>
      </c>
      <c r="X30" t="str">
        <f t="shared" si="16"/>
        <v>-</v>
      </c>
      <c r="Y30" t="str">
        <f t="shared" si="16"/>
        <v>-</v>
      </c>
      <c r="Z30" t="str">
        <f t="shared" si="16"/>
        <v>-</v>
      </c>
      <c r="AA30" t="str">
        <f t="shared" si="16"/>
        <v>-</v>
      </c>
      <c r="AB30" t="str">
        <f t="shared" si="16"/>
        <v>-</v>
      </c>
      <c r="AC30" t="str">
        <f t="shared" si="16"/>
        <v>-</v>
      </c>
      <c r="AD30" t="str">
        <f t="shared" si="16"/>
        <v>-</v>
      </c>
      <c r="AE30" t="str">
        <f t="shared" si="16"/>
        <v>-</v>
      </c>
      <c r="AF30" t="str">
        <f t="shared" si="16"/>
        <v>-</v>
      </c>
      <c r="AG30" t="str">
        <f t="shared" si="16"/>
        <v>-</v>
      </c>
      <c r="AH30" t="str">
        <f t="shared" si="16"/>
        <v>-</v>
      </c>
      <c r="AI30" t="str">
        <f t="shared" si="16"/>
        <v>-</v>
      </c>
      <c r="AJ30" t="str">
        <f t="shared" si="16"/>
        <v>-</v>
      </c>
      <c r="AK30" t="str">
        <f t="shared" si="16"/>
        <v>-</v>
      </c>
      <c r="AL30" t="str">
        <f t="shared" si="16"/>
        <v>-</v>
      </c>
      <c r="AM30" t="str">
        <f t="shared" si="16"/>
        <v>-</v>
      </c>
      <c r="AN30" t="str">
        <f t="shared" si="16"/>
        <v>-</v>
      </c>
      <c r="AO30" t="str">
        <f t="shared" si="23"/>
        <v>-</v>
      </c>
      <c r="AP30" t="str">
        <f t="shared" si="23"/>
        <v>-</v>
      </c>
      <c r="AQ30" t="str">
        <f t="shared" si="23"/>
        <v>-</v>
      </c>
      <c r="AR30" t="s">
        <v>97</v>
      </c>
      <c r="AS30" t="s">
        <v>97</v>
      </c>
      <c r="AT30" t="s">
        <v>97</v>
      </c>
      <c r="AU30">
        <f t="shared" si="7"/>
        <v>1</v>
      </c>
      <c r="AV30">
        <f t="shared" si="9"/>
        <v>1</v>
      </c>
      <c r="AW30">
        <f t="shared" si="11"/>
        <v>1</v>
      </c>
      <c r="AX30">
        <f t="shared" si="13"/>
        <v>1</v>
      </c>
      <c r="AY30">
        <f t="shared" si="17"/>
        <v>1</v>
      </c>
      <c r="AZ30">
        <f t="shared" si="19"/>
        <v>1</v>
      </c>
      <c r="BA30">
        <f t="shared" si="21"/>
        <v>1</v>
      </c>
      <c r="BB30">
        <f t="shared" si="24"/>
        <v>1</v>
      </c>
      <c r="BC30">
        <f t="shared" si="26"/>
        <v>1</v>
      </c>
      <c r="BD30">
        <f t="shared" si="28"/>
        <v>1</v>
      </c>
      <c r="BE30">
        <f t="shared" ref="BE30:BE44" si="30">BE$6</f>
        <v>1</v>
      </c>
      <c r="BF30" s="22">
        <v>0.9</v>
      </c>
      <c r="BG30">
        <f t="shared" si="27"/>
        <v>1</v>
      </c>
      <c r="BH30">
        <f t="shared" si="27"/>
        <v>1</v>
      </c>
      <c r="BI30">
        <f t="shared" si="27"/>
        <v>1</v>
      </c>
      <c r="BJ30">
        <f t="shared" si="27"/>
        <v>1</v>
      </c>
      <c r="BK30">
        <f t="shared" ref="BK30:BO44" si="31">BK$6</f>
        <v>0</v>
      </c>
      <c r="BL30">
        <f t="shared" si="31"/>
        <v>0</v>
      </c>
      <c r="BM30">
        <f t="shared" si="31"/>
        <v>0</v>
      </c>
      <c r="BN30">
        <f t="shared" si="31"/>
        <v>0</v>
      </c>
      <c r="BO30">
        <f t="shared" si="31"/>
        <v>0</v>
      </c>
      <c r="BP30" s="15">
        <v>0</v>
      </c>
    </row>
    <row r="31" spans="1:68" x14ac:dyDescent="0.25">
      <c r="A31" s="19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s="26" t="str">
        <f>IF(MATCH(F31,F$5:F31,0)=COUNTA(F$5:F31),"-","Dup")</f>
        <v>-</v>
      </c>
      <c r="H31" t="str">
        <f t="shared" ref="H31:J46" si="32">H$6</f>
        <v>-</v>
      </c>
      <c r="I31" t="b">
        <f t="shared" ref="I31:AQ31" si="33">I$6</f>
        <v>0</v>
      </c>
      <c r="J31" t="b">
        <f t="shared" si="33"/>
        <v>1</v>
      </c>
      <c r="K31" t="str">
        <f t="shared" si="33"/>
        <v>-</v>
      </c>
      <c r="L31" t="str">
        <f t="shared" si="33"/>
        <v>-</v>
      </c>
      <c r="M31" t="str">
        <f t="shared" si="33"/>
        <v>-</v>
      </c>
      <c r="N31" t="str">
        <f t="shared" si="33"/>
        <v>-</v>
      </c>
      <c r="O31" t="str">
        <f t="shared" si="33"/>
        <v>-</v>
      </c>
      <c r="P31" t="str">
        <f t="shared" si="33"/>
        <v>-</v>
      </c>
      <c r="Q31" t="str">
        <f t="shared" si="33"/>
        <v>-</v>
      </c>
      <c r="R31" t="str">
        <f t="shared" si="33"/>
        <v>-</v>
      </c>
      <c r="S31" t="str">
        <f t="shared" si="33"/>
        <v>-</v>
      </c>
      <c r="T31" t="str">
        <f t="shared" si="33"/>
        <v>-</v>
      </c>
      <c r="U31" t="str">
        <f t="shared" si="33"/>
        <v>-</v>
      </c>
      <c r="V31" t="str">
        <f t="shared" si="33"/>
        <v>-</v>
      </c>
      <c r="W31" t="str">
        <f t="shared" si="33"/>
        <v>-</v>
      </c>
      <c r="X31" t="str">
        <f t="shared" si="33"/>
        <v>-</v>
      </c>
      <c r="Y31" t="str">
        <f t="shared" si="33"/>
        <v>-</v>
      </c>
      <c r="Z31" t="str">
        <f t="shared" si="33"/>
        <v>-</v>
      </c>
      <c r="AA31" t="str">
        <f t="shared" si="33"/>
        <v>-</v>
      </c>
      <c r="AB31" t="str">
        <f t="shared" si="33"/>
        <v>-</v>
      </c>
      <c r="AC31" t="str">
        <f t="shared" si="33"/>
        <v>-</v>
      </c>
      <c r="AD31" t="str">
        <f t="shared" si="33"/>
        <v>-</v>
      </c>
      <c r="AE31" t="str">
        <f t="shared" si="33"/>
        <v>-</v>
      </c>
      <c r="AF31" t="str">
        <f t="shared" si="33"/>
        <v>-</v>
      </c>
      <c r="AG31" t="str">
        <f t="shared" si="33"/>
        <v>-</v>
      </c>
      <c r="AH31" t="str">
        <f t="shared" si="33"/>
        <v>-</v>
      </c>
      <c r="AI31" t="str">
        <f t="shared" si="33"/>
        <v>-</v>
      </c>
      <c r="AJ31" t="str">
        <f t="shared" si="33"/>
        <v>-</v>
      </c>
      <c r="AK31" t="str">
        <f t="shared" si="33"/>
        <v>-</v>
      </c>
      <c r="AL31" t="str">
        <f t="shared" si="33"/>
        <v>-</v>
      </c>
      <c r="AM31" t="str">
        <f t="shared" si="33"/>
        <v>-</v>
      </c>
      <c r="AN31" t="str">
        <f t="shared" si="33"/>
        <v>-</v>
      </c>
      <c r="AO31" t="str">
        <f t="shared" si="33"/>
        <v>-</v>
      </c>
      <c r="AP31" t="str">
        <f t="shared" si="33"/>
        <v>-</v>
      </c>
      <c r="AQ31" t="str">
        <f t="shared" si="33"/>
        <v>-</v>
      </c>
      <c r="AR31" t="s">
        <v>97</v>
      </c>
      <c r="AS31" t="s">
        <v>97</v>
      </c>
      <c r="AT31" t="s">
        <v>97</v>
      </c>
      <c r="AU31">
        <f t="shared" si="7"/>
        <v>1</v>
      </c>
      <c r="AV31">
        <f t="shared" si="9"/>
        <v>1</v>
      </c>
      <c r="AW31">
        <f t="shared" si="11"/>
        <v>1</v>
      </c>
      <c r="AX31">
        <f t="shared" si="13"/>
        <v>1</v>
      </c>
      <c r="AY31">
        <f t="shared" si="17"/>
        <v>1</v>
      </c>
      <c r="AZ31">
        <f t="shared" si="19"/>
        <v>1</v>
      </c>
      <c r="BA31">
        <f t="shared" si="21"/>
        <v>1</v>
      </c>
      <c r="BB31">
        <f t="shared" si="24"/>
        <v>1</v>
      </c>
      <c r="BC31">
        <f t="shared" si="26"/>
        <v>1</v>
      </c>
      <c r="BD31">
        <f t="shared" si="28"/>
        <v>1</v>
      </c>
      <c r="BE31">
        <f t="shared" si="30"/>
        <v>1</v>
      </c>
      <c r="BF31" s="22">
        <v>1.1000000000000001</v>
      </c>
      <c r="BG31">
        <f t="shared" si="27"/>
        <v>1</v>
      </c>
      <c r="BH31">
        <f t="shared" si="27"/>
        <v>1</v>
      </c>
      <c r="BI31">
        <f t="shared" si="27"/>
        <v>1</v>
      </c>
      <c r="BJ31">
        <f t="shared" si="27"/>
        <v>1</v>
      </c>
      <c r="BK31">
        <f t="shared" si="31"/>
        <v>0</v>
      </c>
      <c r="BL31">
        <f t="shared" si="31"/>
        <v>0</v>
      </c>
      <c r="BM31">
        <f t="shared" si="31"/>
        <v>0</v>
      </c>
      <c r="BN31">
        <f t="shared" si="31"/>
        <v>0</v>
      </c>
      <c r="BO31">
        <f t="shared" si="31"/>
        <v>0</v>
      </c>
      <c r="BP31" s="15">
        <v>0</v>
      </c>
    </row>
    <row r="32" spans="1:68" x14ac:dyDescent="0.25">
      <c r="A32" s="19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s="26" t="str">
        <f>IF(MATCH(F32,F$5:F32,0)=COUNTA(F$5:F32),"-","Dup")</f>
        <v>-</v>
      </c>
      <c r="H32" t="str">
        <f t="shared" si="32"/>
        <v>-</v>
      </c>
      <c r="I32" t="b">
        <f t="shared" ref="I32:AE43" si="34">I$6</f>
        <v>0</v>
      </c>
      <c r="J32" t="b">
        <f t="shared" si="34"/>
        <v>1</v>
      </c>
      <c r="K32" t="str">
        <f t="shared" si="34"/>
        <v>-</v>
      </c>
      <c r="L32" t="str">
        <f t="shared" si="34"/>
        <v>-</v>
      </c>
      <c r="M32" t="str">
        <f t="shared" si="34"/>
        <v>-</v>
      </c>
      <c r="N32" t="str">
        <f t="shared" si="34"/>
        <v>-</v>
      </c>
      <c r="O32" t="str">
        <f t="shared" si="34"/>
        <v>-</v>
      </c>
      <c r="P32" t="str">
        <f t="shared" si="34"/>
        <v>-</v>
      </c>
      <c r="Q32" t="str">
        <f t="shared" si="34"/>
        <v>-</v>
      </c>
      <c r="R32" t="str">
        <f t="shared" si="34"/>
        <v>-</v>
      </c>
      <c r="S32" t="str">
        <f t="shared" si="34"/>
        <v>-</v>
      </c>
      <c r="T32" t="str">
        <f t="shared" si="34"/>
        <v>-</v>
      </c>
      <c r="U32" t="str">
        <f t="shared" si="34"/>
        <v>-</v>
      </c>
      <c r="V32" t="str">
        <f t="shared" si="34"/>
        <v>-</v>
      </c>
      <c r="W32" t="str">
        <f t="shared" si="34"/>
        <v>-</v>
      </c>
      <c r="X32" t="str">
        <f t="shared" si="34"/>
        <v>-</v>
      </c>
      <c r="Y32" t="str">
        <f t="shared" si="34"/>
        <v>-</v>
      </c>
      <c r="Z32" t="str">
        <f t="shared" si="34"/>
        <v>-</v>
      </c>
      <c r="AA32" t="str">
        <f t="shared" si="34"/>
        <v>-</v>
      </c>
      <c r="AB32" t="str">
        <f t="shared" si="34"/>
        <v>-</v>
      </c>
      <c r="AC32" t="str">
        <f t="shared" si="34"/>
        <v>-</v>
      </c>
      <c r="AD32" t="str">
        <f t="shared" si="34"/>
        <v>-</v>
      </c>
      <c r="AE32" t="str">
        <f t="shared" si="34"/>
        <v>-</v>
      </c>
      <c r="AF32" s="22">
        <v>200</v>
      </c>
      <c r="AG32" s="22" t="b">
        <v>1</v>
      </c>
      <c r="AH32" t="str">
        <f t="shared" ref="AH32:AQ44" si="35">AH$6</f>
        <v>-</v>
      </c>
      <c r="AI32" t="str">
        <f t="shared" si="35"/>
        <v>-</v>
      </c>
      <c r="AJ32" t="str">
        <f t="shared" si="35"/>
        <v>-</v>
      </c>
      <c r="AK32" t="str">
        <f t="shared" si="35"/>
        <v>-</v>
      </c>
      <c r="AL32" t="str">
        <f t="shared" si="35"/>
        <v>-</v>
      </c>
      <c r="AM32" t="str">
        <f t="shared" si="35"/>
        <v>-</v>
      </c>
      <c r="AN32" t="str">
        <f t="shared" si="35"/>
        <v>-</v>
      </c>
      <c r="AO32" t="str">
        <f t="shared" si="35"/>
        <v>-</v>
      </c>
      <c r="AP32" t="str">
        <f t="shared" si="35"/>
        <v>-</v>
      </c>
      <c r="AQ32" t="str">
        <f t="shared" si="35"/>
        <v>-</v>
      </c>
      <c r="AR32" t="s">
        <v>97</v>
      </c>
      <c r="AS32" t="s">
        <v>97</v>
      </c>
      <c r="AT32" t="s">
        <v>97</v>
      </c>
      <c r="AU32">
        <f t="shared" si="7"/>
        <v>1</v>
      </c>
      <c r="AV32">
        <f t="shared" si="9"/>
        <v>1</v>
      </c>
      <c r="AW32">
        <f t="shared" si="11"/>
        <v>1</v>
      </c>
      <c r="AX32">
        <f t="shared" si="13"/>
        <v>1</v>
      </c>
      <c r="AY32">
        <f t="shared" si="17"/>
        <v>1</v>
      </c>
      <c r="AZ32">
        <f t="shared" si="19"/>
        <v>1</v>
      </c>
      <c r="BA32">
        <f t="shared" si="21"/>
        <v>1</v>
      </c>
      <c r="BB32">
        <f t="shared" si="24"/>
        <v>1</v>
      </c>
      <c r="BC32">
        <f t="shared" si="26"/>
        <v>1</v>
      </c>
      <c r="BD32">
        <f t="shared" si="28"/>
        <v>1</v>
      </c>
      <c r="BE32">
        <f t="shared" si="30"/>
        <v>1</v>
      </c>
      <c r="BF32">
        <f t="shared" ref="BF32:BJ44" si="36">BF$6</f>
        <v>1</v>
      </c>
      <c r="BG32">
        <f t="shared" si="36"/>
        <v>1</v>
      </c>
      <c r="BH32">
        <f t="shared" si="36"/>
        <v>1</v>
      </c>
      <c r="BI32">
        <f t="shared" si="36"/>
        <v>1</v>
      </c>
      <c r="BJ32">
        <f t="shared" si="36"/>
        <v>1</v>
      </c>
      <c r="BK32">
        <f t="shared" si="31"/>
        <v>0</v>
      </c>
      <c r="BL32">
        <f t="shared" si="31"/>
        <v>0</v>
      </c>
      <c r="BM32">
        <f t="shared" si="31"/>
        <v>0</v>
      </c>
      <c r="BN32">
        <f t="shared" si="31"/>
        <v>0</v>
      </c>
      <c r="BO32">
        <f t="shared" si="31"/>
        <v>0</v>
      </c>
      <c r="BP32" s="15">
        <v>0</v>
      </c>
    </row>
    <row r="33" spans="1:68" x14ac:dyDescent="0.25">
      <c r="A33" s="19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s="26" t="str">
        <f>IF(MATCH(F33,F$5:F33,0)=COUNTA(F$5:F33),"-","Dup")</f>
        <v>-</v>
      </c>
      <c r="H33" t="str">
        <f t="shared" si="32"/>
        <v>-</v>
      </c>
      <c r="I33" t="b">
        <f t="shared" si="34"/>
        <v>0</v>
      </c>
      <c r="J33" t="b">
        <f t="shared" si="34"/>
        <v>1</v>
      </c>
      <c r="K33" t="str">
        <f t="shared" si="34"/>
        <v>-</v>
      </c>
      <c r="L33" t="str">
        <f t="shared" si="34"/>
        <v>-</v>
      </c>
      <c r="M33" t="str">
        <f t="shared" si="34"/>
        <v>-</v>
      </c>
      <c r="N33" t="str">
        <f t="shared" si="34"/>
        <v>-</v>
      </c>
      <c r="O33" t="str">
        <f t="shared" si="34"/>
        <v>-</v>
      </c>
      <c r="P33" t="str">
        <f t="shared" si="34"/>
        <v>-</v>
      </c>
      <c r="Q33" t="str">
        <f t="shared" si="34"/>
        <v>-</v>
      </c>
      <c r="R33" t="str">
        <f t="shared" si="34"/>
        <v>-</v>
      </c>
      <c r="S33" t="str">
        <f t="shared" si="34"/>
        <v>-</v>
      </c>
      <c r="T33" t="str">
        <f t="shared" si="34"/>
        <v>-</v>
      </c>
      <c r="U33" t="str">
        <f t="shared" si="34"/>
        <v>-</v>
      </c>
      <c r="V33" t="str">
        <f t="shared" si="34"/>
        <v>-</v>
      </c>
      <c r="W33" t="str">
        <f t="shared" si="34"/>
        <v>-</v>
      </c>
      <c r="X33" t="str">
        <f t="shared" si="34"/>
        <v>-</v>
      </c>
      <c r="Y33" t="str">
        <f t="shared" si="34"/>
        <v>-</v>
      </c>
      <c r="Z33" t="str">
        <f t="shared" si="34"/>
        <v>-</v>
      </c>
      <c r="AA33" t="str">
        <f t="shared" si="34"/>
        <v>-</v>
      </c>
      <c r="AB33" t="str">
        <f t="shared" si="34"/>
        <v>-</v>
      </c>
      <c r="AC33" t="str">
        <f t="shared" si="34"/>
        <v>-</v>
      </c>
      <c r="AD33" t="str">
        <f t="shared" si="34"/>
        <v>-</v>
      </c>
      <c r="AE33" t="str">
        <f t="shared" si="34"/>
        <v>-</v>
      </c>
      <c r="AF33" s="22">
        <v>800</v>
      </c>
      <c r="AG33" s="22" t="b">
        <v>1</v>
      </c>
      <c r="AH33" t="str">
        <f t="shared" si="35"/>
        <v>-</v>
      </c>
      <c r="AI33" t="str">
        <f t="shared" si="35"/>
        <v>-</v>
      </c>
      <c r="AJ33" t="str">
        <f t="shared" si="35"/>
        <v>-</v>
      </c>
      <c r="AK33" t="str">
        <f t="shared" si="35"/>
        <v>-</v>
      </c>
      <c r="AL33" t="str">
        <f t="shared" si="35"/>
        <v>-</v>
      </c>
      <c r="AM33" t="str">
        <f t="shared" si="35"/>
        <v>-</v>
      </c>
      <c r="AN33" t="str">
        <f t="shared" si="35"/>
        <v>-</v>
      </c>
      <c r="AO33" t="str">
        <f t="shared" si="35"/>
        <v>-</v>
      </c>
      <c r="AP33" t="str">
        <f t="shared" si="35"/>
        <v>-</v>
      </c>
      <c r="AQ33" t="str">
        <f t="shared" si="35"/>
        <v>-</v>
      </c>
      <c r="AR33" t="s">
        <v>97</v>
      </c>
      <c r="AS33" t="s">
        <v>97</v>
      </c>
      <c r="AT33" t="s">
        <v>97</v>
      </c>
      <c r="AU33">
        <f t="shared" si="7"/>
        <v>1</v>
      </c>
      <c r="AV33">
        <f t="shared" si="9"/>
        <v>1</v>
      </c>
      <c r="AW33">
        <f t="shared" si="11"/>
        <v>1</v>
      </c>
      <c r="AX33">
        <f t="shared" si="13"/>
        <v>1</v>
      </c>
      <c r="AY33">
        <f t="shared" si="17"/>
        <v>1</v>
      </c>
      <c r="AZ33">
        <f t="shared" si="19"/>
        <v>1</v>
      </c>
      <c r="BA33">
        <f t="shared" si="21"/>
        <v>1</v>
      </c>
      <c r="BB33">
        <f t="shared" si="24"/>
        <v>1</v>
      </c>
      <c r="BC33">
        <f t="shared" si="26"/>
        <v>1</v>
      </c>
      <c r="BD33">
        <f t="shared" si="28"/>
        <v>1</v>
      </c>
      <c r="BE33">
        <f t="shared" si="30"/>
        <v>1</v>
      </c>
      <c r="BF33">
        <f t="shared" si="36"/>
        <v>1</v>
      </c>
      <c r="BG33">
        <f t="shared" si="36"/>
        <v>1</v>
      </c>
      <c r="BH33">
        <f t="shared" si="36"/>
        <v>1</v>
      </c>
      <c r="BI33">
        <f t="shared" si="36"/>
        <v>1</v>
      </c>
      <c r="BJ33">
        <f t="shared" si="36"/>
        <v>1</v>
      </c>
      <c r="BK33">
        <f t="shared" si="31"/>
        <v>0</v>
      </c>
      <c r="BL33">
        <f t="shared" si="31"/>
        <v>0</v>
      </c>
      <c r="BM33">
        <f t="shared" si="31"/>
        <v>0</v>
      </c>
      <c r="BN33">
        <f t="shared" si="31"/>
        <v>0</v>
      </c>
      <c r="BO33">
        <f t="shared" si="31"/>
        <v>0</v>
      </c>
      <c r="BP33" s="15">
        <v>0</v>
      </c>
    </row>
    <row r="34" spans="1:68" x14ac:dyDescent="0.25">
      <c r="A34" s="19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s="26" t="str">
        <f>IF(MATCH(F34,F$5:F34,0)=COUNTA(F$5:F34),"-","Dup")</f>
        <v>-</v>
      </c>
      <c r="H34" t="str">
        <f t="shared" si="32"/>
        <v>-</v>
      </c>
      <c r="I34" t="b">
        <f t="shared" si="34"/>
        <v>0</v>
      </c>
      <c r="J34" t="b">
        <f t="shared" si="34"/>
        <v>1</v>
      </c>
      <c r="K34" t="str">
        <f t="shared" si="34"/>
        <v>-</v>
      </c>
      <c r="L34" t="str">
        <f t="shared" si="34"/>
        <v>-</v>
      </c>
      <c r="M34" t="str">
        <f t="shared" si="34"/>
        <v>-</v>
      </c>
      <c r="N34" t="str">
        <f t="shared" si="34"/>
        <v>-</v>
      </c>
      <c r="O34" t="str">
        <f t="shared" si="34"/>
        <v>-</v>
      </c>
      <c r="P34" t="str">
        <f t="shared" si="34"/>
        <v>-</v>
      </c>
      <c r="Q34" t="str">
        <f t="shared" si="34"/>
        <v>-</v>
      </c>
      <c r="R34" t="str">
        <f t="shared" si="34"/>
        <v>-</v>
      </c>
      <c r="S34" t="str">
        <f t="shared" si="34"/>
        <v>-</v>
      </c>
      <c r="T34" t="str">
        <f t="shared" si="34"/>
        <v>-</v>
      </c>
      <c r="U34" t="str">
        <f t="shared" si="34"/>
        <v>-</v>
      </c>
      <c r="V34" t="str">
        <f t="shared" si="34"/>
        <v>-</v>
      </c>
      <c r="W34" t="str">
        <f t="shared" si="34"/>
        <v>-</v>
      </c>
      <c r="X34" t="str">
        <f t="shared" si="34"/>
        <v>-</v>
      </c>
      <c r="Y34" t="str">
        <f t="shared" si="34"/>
        <v>-</v>
      </c>
      <c r="Z34" t="str">
        <f t="shared" si="34"/>
        <v>-</v>
      </c>
      <c r="AA34" t="str">
        <f t="shared" si="34"/>
        <v>-</v>
      </c>
      <c r="AB34" t="str">
        <f t="shared" si="34"/>
        <v>-</v>
      </c>
      <c r="AC34" t="str">
        <f t="shared" si="34"/>
        <v>-</v>
      </c>
      <c r="AD34" t="str">
        <f t="shared" si="34"/>
        <v>-</v>
      </c>
      <c r="AE34" t="str">
        <f t="shared" si="34"/>
        <v>-</v>
      </c>
      <c r="AF34" s="22">
        <v>1200</v>
      </c>
      <c r="AG34" s="22" t="b">
        <v>1</v>
      </c>
      <c r="AH34" t="str">
        <f t="shared" si="35"/>
        <v>-</v>
      </c>
      <c r="AI34" t="str">
        <f t="shared" si="35"/>
        <v>-</v>
      </c>
      <c r="AJ34" t="str">
        <f t="shared" si="35"/>
        <v>-</v>
      </c>
      <c r="AK34" t="str">
        <f t="shared" si="35"/>
        <v>-</v>
      </c>
      <c r="AL34" t="str">
        <f t="shared" si="35"/>
        <v>-</v>
      </c>
      <c r="AM34" t="str">
        <f t="shared" si="35"/>
        <v>-</v>
      </c>
      <c r="AN34" t="str">
        <f t="shared" si="35"/>
        <v>-</v>
      </c>
      <c r="AO34" t="str">
        <f t="shared" si="35"/>
        <v>-</v>
      </c>
      <c r="AP34" t="str">
        <f t="shared" si="35"/>
        <v>-</v>
      </c>
      <c r="AQ34" t="str">
        <f t="shared" si="35"/>
        <v>-</v>
      </c>
      <c r="AR34" t="s">
        <v>97</v>
      </c>
      <c r="AS34" t="s">
        <v>97</v>
      </c>
      <c r="AT34" t="s">
        <v>97</v>
      </c>
      <c r="AU34">
        <f t="shared" si="7"/>
        <v>1</v>
      </c>
      <c r="AV34">
        <f t="shared" si="9"/>
        <v>1</v>
      </c>
      <c r="AW34">
        <f t="shared" si="11"/>
        <v>1</v>
      </c>
      <c r="AX34">
        <f t="shared" si="13"/>
        <v>1</v>
      </c>
      <c r="AY34">
        <f t="shared" si="17"/>
        <v>1</v>
      </c>
      <c r="AZ34">
        <f t="shared" si="19"/>
        <v>1</v>
      </c>
      <c r="BA34">
        <f t="shared" si="21"/>
        <v>1</v>
      </c>
      <c r="BB34">
        <f t="shared" si="24"/>
        <v>1</v>
      </c>
      <c r="BC34">
        <f t="shared" si="26"/>
        <v>1</v>
      </c>
      <c r="BD34">
        <f t="shared" si="28"/>
        <v>1</v>
      </c>
      <c r="BE34">
        <f t="shared" si="30"/>
        <v>1</v>
      </c>
      <c r="BF34">
        <f t="shared" si="36"/>
        <v>1</v>
      </c>
      <c r="BG34">
        <f t="shared" si="36"/>
        <v>1</v>
      </c>
      <c r="BH34">
        <f t="shared" si="36"/>
        <v>1</v>
      </c>
      <c r="BI34">
        <f t="shared" si="36"/>
        <v>1</v>
      </c>
      <c r="BJ34">
        <f t="shared" si="36"/>
        <v>1</v>
      </c>
      <c r="BK34">
        <f t="shared" si="31"/>
        <v>0</v>
      </c>
      <c r="BL34">
        <f t="shared" si="31"/>
        <v>0</v>
      </c>
      <c r="BM34">
        <f t="shared" si="31"/>
        <v>0</v>
      </c>
      <c r="BN34">
        <f t="shared" si="31"/>
        <v>0</v>
      </c>
      <c r="BO34">
        <f t="shared" si="31"/>
        <v>0</v>
      </c>
      <c r="BP34" s="15">
        <v>0</v>
      </c>
    </row>
    <row r="35" spans="1:68" x14ac:dyDescent="0.25">
      <c r="A35" s="19">
        <v>44277.732129629629</v>
      </c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s="26" t="str">
        <f>IF(MATCH(F35,F$5:F35,0)=COUNTA(F$5:F35),"-","Dup")</f>
        <v>-</v>
      </c>
      <c r="H35" t="str">
        <f t="shared" si="32"/>
        <v>-</v>
      </c>
      <c r="I35" t="b">
        <f t="shared" si="34"/>
        <v>0</v>
      </c>
      <c r="J35" t="b">
        <f t="shared" si="34"/>
        <v>1</v>
      </c>
      <c r="K35" t="str">
        <f t="shared" si="34"/>
        <v>-</v>
      </c>
      <c r="L35" t="str">
        <f t="shared" si="34"/>
        <v>-</v>
      </c>
      <c r="M35" t="str">
        <f t="shared" si="34"/>
        <v>-</v>
      </c>
      <c r="N35" t="str">
        <f t="shared" si="34"/>
        <v>-</v>
      </c>
      <c r="O35" t="str">
        <f t="shared" si="34"/>
        <v>-</v>
      </c>
      <c r="P35" t="str">
        <f t="shared" si="34"/>
        <v>-</v>
      </c>
      <c r="Q35" t="str">
        <f t="shared" si="34"/>
        <v>-</v>
      </c>
      <c r="R35" t="str">
        <f t="shared" si="34"/>
        <v>-</v>
      </c>
      <c r="S35" t="str">
        <f t="shared" si="34"/>
        <v>-</v>
      </c>
      <c r="T35" t="str">
        <f t="shared" si="34"/>
        <v>-</v>
      </c>
      <c r="U35" t="str">
        <f t="shared" si="34"/>
        <v>-</v>
      </c>
      <c r="V35" t="str">
        <f t="shared" si="34"/>
        <v>-</v>
      </c>
      <c r="W35" t="str">
        <f t="shared" si="34"/>
        <v>-</v>
      </c>
      <c r="X35" t="str">
        <f t="shared" si="34"/>
        <v>-</v>
      </c>
      <c r="Y35" t="str">
        <f t="shared" si="34"/>
        <v>-</v>
      </c>
      <c r="Z35" t="str">
        <f t="shared" si="34"/>
        <v>-</v>
      </c>
      <c r="AA35" t="str">
        <f t="shared" si="34"/>
        <v>-</v>
      </c>
      <c r="AB35" t="str">
        <f t="shared" si="34"/>
        <v>-</v>
      </c>
      <c r="AC35" t="str">
        <f t="shared" si="34"/>
        <v>-</v>
      </c>
      <c r="AD35" t="str">
        <f t="shared" si="34"/>
        <v>-</v>
      </c>
      <c r="AE35" t="str">
        <f t="shared" si="34"/>
        <v>-</v>
      </c>
      <c r="AF35" s="22">
        <v>1600</v>
      </c>
      <c r="AG35" s="22" t="b">
        <v>1</v>
      </c>
      <c r="AH35" t="str">
        <f t="shared" si="35"/>
        <v>-</v>
      </c>
      <c r="AI35" t="str">
        <f t="shared" si="35"/>
        <v>-</v>
      </c>
      <c r="AJ35" t="str">
        <f t="shared" si="35"/>
        <v>-</v>
      </c>
      <c r="AK35" t="str">
        <f t="shared" si="35"/>
        <v>-</v>
      </c>
      <c r="AL35" t="str">
        <f t="shared" si="35"/>
        <v>-</v>
      </c>
      <c r="AM35" t="str">
        <f t="shared" si="35"/>
        <v>-</v>
      </c>
      <c r="AN35" t="str">
        <f t="shared" si="35"/>
        <v>-</v>
      </c>
      <c r="AO35" t="str">
        <f t="shared" si="35"/>
        <v>-</v>
      </c>
      <c r="AP35" t="str">
        <f t="shared" si="35"/>
        <v>-</v>
      </c>
      <c r="AQ35" t="str">
        <f t="shared" si="35"/>
        <v>-</v>
      </c>
      <c r="AR35" t="s">
        <v>97</v>
      </c>
      <c r="AS35" t="s">
        <v>97</v>
      </c>
      <c r="AT35" t="s">
        <v>97</v>
      </c>
      <c r="AU35">
        <f t="shared" si="7"/>
        <v>1</v>
      </c>
      <c r="AV35">
        <f t="shared" si="9"/>
        <v>1</v>
      </c>
      <c r="AW35">
        <f t="shared" si="11"/>
        <v>1</v>
      </c>
      <c r="AX35">
        <f t="shared" si="13"/>
        <v>1</v>
      </c>
      <c r="AY35">
        <f t="shared" si="17"/>
        <v>1</v>
      </c>
      <c r="AZ35">
        <f t="shared" si="19"/>
        <v>1</v>
      </c>
      <c r="BA35">
        <f t="shared" si="21"/>
        <v>1</v>
      </c>
      <c r="BB35">
        <f t="shared" si="24"/>
        <v>1</v>
      </c>
      <c r="BC35">
        <f t="shared" si="26"/>
        <v>1</v>
      </c>
      <c r="BD35">
        <f t="shared" si="28"/>
        <v>1</v>
      </c>
      <c r="BE35">
        <f t="shared" si="30"/>
        <v>1</v>
      </c>
      <c r="BF35">
        <f t="shared" si="36"/>
        <v>1</v>
      </c>
      <c r="BG35">
        <f t="shared" si="36"/>
        <v>1</v>
      </c>
      <c r="BH35">
        <f t="shared" si="36"/>
        <v>1</v>
      </c>
      <c r="BI35">
        <f t="shared" si="36"/>
        <v>1</v>
      </c>
      <c r="BJ35">
        <f t="shared" si="36"/>
        <v>1</v>
      </c>
      <c r="BK35">
        <f t="shared" si="31"/>
        <v>0</v>
      </c>
      <c r="BL35">
        <f t="shared" si="31"/>
        <v>0</v>
      </c>
      <c r="BM35">
        <f t="shared" si="31"/>
        <v>0</v>
      </c>
      <c r="BN35">
        <f t="shared" si="31"/>
        <v>0</v>
      </c>
      <c r="BO35">
        <f t="shared" si="31"/>
        <v>0</v>
      </c>
      <c r="BP35" s="15">
        <v>0</v>
      </c>
    </row>
    <row r="36" spans="1:68" x14ac:dyDescent="0.25">
      <c r="A36" s="19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s="26" t="str">
        <f>IF(MATCH(F36,F$5:F36,0)=COUNTA(F$5:F36),"-","Dup")</f>
        <v>-</v>
      </c>
      <c r="H36" t="str">
        <f t="shared" si="32"/>
        <v>-</v>
      </c>
      <c r="I36" s="22" t="b">
        <v>1</v>
      </c>
      <c r="J36" s="22" t="b">
        <v>1</v>
      </c>
      <c r="K36" t="str">
        <f t="shared" si="34"/>
        <v>-</v>
      </c>
      <c r="L36" t="str">
        <f t="shared" si="34"/>
        <v>-</v>
      </c>
      <c r="M36" t="str">
        <f t="shared" si="34"/>
        <v>-</v>
      </c>
      <c r="N36" t="str">
        <f t="shared" ref="N36:AG38" si="37">N$6</f>
        <v>-</v>
      </c>
      <c r="O36" t="str">
        <f t="shared" si="37"/>
        <v>-</v>
      </c>
      <c r="P36" t="str">
        <f t="shared" si="37"/>
        <v>-</v>
      </c>
      <c r="Q36" t="str">
        <f t="shared" si="37"/>
        <v>-</v>
      </c>
      <c r="R36" t="str">
        <f t="shared" si="37"/>
        <v>-</v>
      </c>
      <c r="S36" t="str">
        <f t="shared" si="37"/>
        <v>-</v>
      </c>
      <c r="T36" t="str">
        <f t="shared" si="37"/>
        <v>-</v>
      </c>
      <c r="U36" t="str">
        <f t="shared" si="37"/>
        <v>-</v>
      </c>
      <c r="V36" t="str">
        <f t="shared" si="37"/>
        <v>-</v>
      </c>
      <c r="W36" t="str">
        <f t="shared" si="37"/>
        <v>-</v>
      </c>
      <c r="X36" t="str">
        <f t="shared" si="37"/>
        <v>-</v>
      </c>
      <c r="Y36" t="str">
        <f t="shared" si="37"/>
        <v>-</v>
      </c>
      <c r="Z36" t="str">
        <f t="shared" si="37"/>
        <v>-</v>
      </c>
      <c r="AA36" t="str">
        <f t="shared" si="37"/>
        <v>-</v>
      </c>
      <c r="AB36" t="str">
        <f t="shared" si="37"/>
        <v>-</v>
      </c>
      <c r="AC36" t="str">
        <f t="shared" si="37"/>
        <v>-</v>
      </c>
      <c r="AD36" t="str">
        <f t="shared" si="37"/>
        <v>-</v>
      </c>
      <c r="AE36" t="str">
        <f t="shared" si="37"/>
        <v>-</v>
      </c>
      <c r="AF36" t="str">
        <f t="shared" si="37"/>
        <v>-</v>
      </c>
      <c r="AG36" t="str">
        <f t="shared" si="37"/>
        <v>-</v>
      </c>
      <c r="AH36" t="str">
        <f t="shared" si="35"/>
        <v>-</v>
      </c>
      <c r="AI36" t="str">
        <f t="shared" si="35"/>
        <v>-</v>
      </c>
      <c r="AJ36" t="str">
        <f t="shared" si="35"/>
        <v>-</v>
      </c>
      <c r="AK36" t="str">
        <f t="shared" si="35"/>
        <v>-</v>
      </c>
      <c r="AL36" t="str">
        <f t="shared" si="35"/>
        <v>-</v>
      </c>
      <c r="AM36" t="str">
        <f t="shared" si="35"/>
        <v>-</v>
      </c>
      <c r="AN36" t="str">
        <f t="shared" si="35"/>
        <v>-</v>
      </c>
      <c r="AO36" t="str">
        <f t="shared" si="35"/>
        <v>-</v>
      </c>
      <c r="AP36" t="str">
        <f t="shared" si="35"/>
        <v>-</v>
      </c>
      <c r="AQ36" t="str">
        <f t="shared" si="35"/>
        <v>-</v>
      </c>
      <c r="AR36" t="s">
        <v>97</v>
      </c>
      <c r="AS36" t="s">
        <v>97</v>
      </c>
      <c r="AT36" t="s">
        <v>97</v>
      </c>
      <c r="AU36">
        <f t="shared" si="7"/>
        <v>1</v>
      </c>
      <c r="AV36">
        <f t="shared" si="9"/>
        <v>1</v>
      </c>
      <c r="AW36">
        <f t="shared" si="11"/>
        <v>1</v>
      </c>
      <c r="AX36">
        <f t="shared" si="13"/>
        <v>1</v>
      </c>
      <c r="AY36">
        <f t="shared" si="17"/>
        <v>1</v>
      </c>
      <c r="AZ36">
        <f t="shared" si="19"/>
        <v>1</v>
      </c>
      <c r="BA36">
        <f t="shared" si="21"/>
        <v>1</v>
      </c>
      <c r="BB36">
        <f t="shared" si="24"/>
        <v>1</v>
      </c>
      <c r="BC36">
        <f t="shared" si="26"/>
        <v>1</v>
      </c>
      <c r="BD36">
        <f t="shared" si="28"/>
        <v>1</v>
      </c>
      <c r="BE36">
        <f t="shared" si="30"/>
        <v>1</v>
      </c>
      <c r="BF36">
        <f t="shared" si="36"/>
        <v>1</v>
      </c>
      <c r="BG36">
        <f t="shared" si="36"/>
        <v>1</v>
      </c>
      <c r="BH36">
        <f t="shared" si="36"/>
        <v>1</v>
      </c>
      <c r="BI36">
        <f t="shared" si="36"/>
        <v>1</v>
      </c>
      <c r="BJ36">
        <f t="shared" si="36"/>
        <v>1</v>
      </c>
      <c r="BK36">
        <f t="shared" si="31"/>
        <v>0</v>
      </c>
      <c r="BL36">
        <f t="shared" si="31"/>
        <v>0</v>
      </c>
      <c r="BM36">
        <f t="shared" si="31"/>
        <v>0</v>
      </c>
      <c r="BN36">
        <f t="shared" si="31"/>
        <v>0</v>
      </c>
      <c r="BO36">
        <f t="shared" si="31"/>
        <v>0</v>
      </c>
      <c r="BP36" s="15">
        <v>0</v>
      </c>
    </row>
    <row r="37" spans="1:68" x14ac:dyDescent="0.25">
      <c r="A37" s="19">
        <v>44277.886423611111</v>
      </c>
      <c r="B37">
        <f t="shared" si="3"/>
        <v>32</v>
      </c>
      <c r="C37" t="b">
        <v>0</v>
      </c>
      <c r="D37" t="b">
        <v>1</v>
      </c>
      <c r="E37" t="b">
        <v>0</v>
      </c>
      <c r="F37" s="3" t="s">
        <v>60</v>
      </c>
      <c r="G37" s="26" t="str">
        <f>IF(MATCH(F37,F$5:F37,0)=COUNTA(F$5:F37),"-","Dup")</f>
        <v>-</v>
      </c>
      <c r="H37" t="str">
        <f t="shared" si="32"/>
        <v>-</v>
      </c>
      <c r="I37" s="22" t="b">
        <v>1</v>
      </c>
      <c r="J37" s="22" t="b">
        <v>0</v>
      </c>
      <c r="K37" t="str">
        <f t="shared" si="34"/>
        <v>-</v>
      </c>
      <c r="L37" t="str">
        <f t="shared" si="34"/>
        <v>-</v>
      </c>
      <c r="M37" t="str">
        <f t="shared" si="34"/>
        <v>-</v>
      </c>
      <c r="N37" t="str">
        <f t="shared" si="37"/>
        <v>-</v>
      </c>
      <c r="O37" t="str">
        <f t="shared" si="37"/>
        <v>-</v>
      </c>
      <c r="P37" t="str">
        <f t="shared" si="37"/>
        <v>-</v>
      </c>
      <c r="Q37" t="str">
        <f t="shared" si="37"/>
        <v>-</v>
      </c>
      <c r="R37" t="str">
        <f t="shared" si="37"/>
        <v>-</v>
      </c>
      <c r="S37" t="str">
        <f t="shared" si="37"/>
        <v>-</v>
      </c>
      <c r="T37" t="str">
        <f t="shared" si="37"/>
        <v>-</v>
      </c>
      <c r="U37" t="str">
        <f t="shared" si="37"/>
        <v>-</v>
      </c>
      <c r="V37" t="str">
        <f t="shared" si="37"/>
        <v>-</v>
      </c>
      <c r="W37" t="str">
        <f t="shared" si="37"/>
        <v>-</v>
      </c>
      <c r="X37" t="str">
        <f t="shared" si="37"/>
        <v>-</v>
      </c>
      <c r="Y37" t="str">
        <f t="shared" si="37"/>
        <v>-</v>
      </c>
      <c r="Z37" t="str">
        <f t="shared" si="37"/>
        <v>-</v>
      </c>
      <c r="AA37" t="str">
        <f t="shared" si="37"/>
        <v>-</v>
      </c>
      <c r="AB37" t="str">
        <f t="shared" si="37"/>
        <v>-</v>
      </c>
      <c r="AC37" t="str">
        <f t="shared" si="37"/>
        <v>-</v>
      </c>
      <c r="AD37" t="str">
        <f t="shared" si="37"/>
        <v>-</v>
      </c>
      <c r="AE37" t="str">
        <f t="shared" si="37"/>
        <v>-</v>
      </c>
      <c r="AF37" t="str">
        <f t="shared" si="37"/>
        <v>-</v>
      </c>
      <c r="AG37" t="str">
        <f t="shared" si="37"/>
        <v>-</v>
      </c>
      <c r="AH37" s="22" t="b">
        <v>1</v>
      </c>
      <c r="AI37" s="22" t="b">
        <v>0</v>
      </c>
      <c r="AJ37" s="22" t="b">
        <v>1</v>
      </c>
      <c r="AK37" t="str">
        <f t="shared" si="35"/>
        <v>-</v>
      </c>
      <c r="AL37" t="str">
        <f t="shared" si="35"/>
        <v>-</v>
      </c>
      <c r="AM37" t="str">
        <f t="shared" si="35"/>
        <v>-</v>
      </c>
      <c r="AN37" t="str">
        <f t="shared" si="35"/>
        <v>-</v>
      </c>
      <c r="AO37" t="str">
        <f t="shared" si="35"/>
        <v>-</v>
      </c>
      <c r="AP37" t="str">
        <f t="shared" si="35"/>
        <v>-</v>
      </c>
      <c r="AQ37" t="str">
        <f t="shared" si="35"/>
        <v>-</v>
      </c>
      <c r="AR37" t="s">
        <v>97</v>
      </c>
      <c r="AS37" t="s">
        <v>97</v>
      </c>
      <c r="AT37" t="s">
        <v>97</v>
      </c>
      <c r="AU37">
        <f t="shared" si="7"/>
        <v>1</v>
      </c>
      <c r="AV37">
        <f t="shared" si="9"/>
        <v>1</v>
      </c>
      <c r="AW37">
        <f t="shared" si="11"/>
        <v>1</v>
      </c>
      <c r="AX37">
        <f t="shared" si="13"/>
        <v>1</v>
      </c>
      <c r="AY37">
        <f t="shared" si="17"/>
        <v>1</v>
      </c>
      <c r="AZ37">
        <f t="shared" si="19"/>
        <v>1</v>
      </c>
      <c r="BA37">
        <f t="shared" si="21"/>
        <v>1</v>
      </c>
      <c r="BB37">
        <f t="shared" si="24"/>
        <v>1</v>
      </c>
      <c r="BC37">
        <f t="shared" si="26"/>
        <v>1</v>
      </c>
      <c r="BD37">
        <f t="shared" si="28"/>
        <v>1</v>
      </c>
      <c r="BE37">
        <f t="shared" si="30"/>
        <v>1</v>
      </c>
      <c r="BF37">
        <f t="shared" si="36"/>
        <v>1</v>
      </c>
      <c r="BG37">
        <f t="shared" si="36"/>
        <v>1</v>
      </c>
      <c r="BH37">
        <f t="shared" si="36"/>
        <v>1</v>
      </c>
      <c r="BI37">
        <f t="shared" si="36"/>
        <v>1</v>
      </c>
      <c r="BJ37">
        <f t="shared" si="36"/>
        <v>1</v>
      </c>
      <c r="BK37">
        <f t="shared" si="31"/>
        <v>0</v>
      </c>
      <c r="BL37">
        <f t="shared" si="31"/>
        <v>0</v>
      </c>
      <c r="BM37">
        <f t="shared" si="31"/>
        <v>0</v>
      </c>
      <c r="BN37">
        <f t="shared" si="31"/>
        <v>0</v>
      </c>
      <c r="BO37">
        <f t="shared" si="31"/>
        <v>0</v>
      </c>
      <c r="BP37" s="15">
        <v>0</v>
      </c>
    </row>
    <row r="38" spans="1:68" x14ac:dyDescent="0.25">
      <c r="A38" s="19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s="26" t="str">
        <f>IF(MATCH(F38,F$5:F38,0)=COUNTA(F$5:F38),"-","Dup")</f>
        <v>-</v>
      </c>
      <c r="H38" t="str">
        <f t="shared" si="32"/>
        <v>-</v>
      </c>
      <c r="I38" s="22" t="b">
        <v>0</v>
      </c>
      <c r="J38" s="22" t="b">
        <v>1</v>
      </c>
      <c r="K38" t="str">
        <f t="shared" si="34"/>
        <v>-</v>
      </c>
      <c r="L38" t="str">
        <f t="shared" si="34"/>
        <v>-</v>
      </c>
      <c r="M38" t="str">
        <f t="shared" si="34"/>
        <v>-</v>
      </c>
      <c r="N38" t="str">
        <f t="shared" si="37"/>
        <v>-</v>
      </c>
      <c r="O38" t="str">
        <f t="shared" si="37"/>
        <v>-</v>
      </c>
      <c r="P38" t="str">
        <f t="shared" si="37"/>
        <v>-</v>
      </c>
      <c r="Q38" t="str">
        <f t="shared" si="37"/>
        <v>-</v>
      </c>
      <c r="R38" t="str">
        <f t="shared" si="37"/>
        <v>-</v>
      </c>
      <c r="S38" t="str">
        <f t="shared" si="37"/>
        <v>-</v>
      </c>
      <c r="T38" t="str">
        <f t="shared" si="37"/>
        <v>-</v>
      </c>
      <c r="U38" t="str">
        <f t="shared" si="37"/>
        <v>-</v>
      </c>
      <c r="V38" t="str">
        <f t="shared" si="37"/>
        <v>-</v>
      </c>
      <c r="W38" t="str">
        <f t="shared" si="37"/>
        <v>-</v>
      </c>
      <c r="X38" t="str">
        <f t="shared" si="37"/>
        <v>-</v>
      </c>
      <c r="Y38" t="str">
        <f t="shared" si="37"/>
        <v>-</v>
      </c>
      <c r="Z38" t="str">
        <f t="shared" si="37"/>
        <v>-</v>
      </c>
      <c r="AA38" t="str">
        <f t="shared" si="37"/>
        <v>-</v>
      </c>
      <c r="AB38" t="str">
        <f t="shared" si="37"/>
        <v>-</v>
      </c>
      <c r="AC38" t="str">
        <f t="shared" si="37"/>
        <v>-</v>
      </c>
      <c r="AD38" t="str">
        <f t="shared" si="37"/>
        <v>-</v>
      </c>
      <c r="AE38" t="str">
        <f t="shared" si="37"/>
        <v>-</v>
      </c>
      <c r="AF38" t="str">
        <f t="shared" si="37"/>
        <v>-</v>
      </c>
      <c r="AG38" t="str">
        <f t="shared" si="37"/>
        <v>-</v>
      </c>
      <c r="AH38" t="str">
        <f t="shared" ref="AH38:AJ39" si="38">AH$6</f>
        <v>-</v>
      </c>
      <c r="AI38" t="str">
        <f t="shared" si="38"/>
        <v>-</v>
      </c>
      <c r="AJ38" t="str">
        <f t="shared" si="38"/>
        <v>-</v>
      </c>
      <c r="AK38" t="str">
        <f t="shared" si="35"/>
        <v>-</v>
      </c>
      <c r="AL38" t="str">
        <f t="shared" si="35"/>
        <v>-</v>
      </c>
      <c r="AM38" t="str">
        <f t="shared" si="35"/>
        <v>-</v>
      </c>
      <c r="AN38" t="str">
        <f t="shared" si="35"/>
        <v>-</v>
      </c>
      <c r="AO38" t="str">
        <f t="shared" si="35"/>
        <v>-</v>
      </c>
      <c r="AP38" t="str">
        <f t="shared" si="35"/>
        <v>-</v>
      </c>
      <c r="AQ38" t="str">
        <f t="shared" si="35"/>
        <v>-</v>
      </c>
      <c r="AR38" t="s">
        <v>97</v>
      </c>
      <c r="AS38" t="s">
        <v>97</v>
      </c>
      <c r="AT38" t="s">
        <v>97</v>
      </c>
      <c r="AU38">
        <f t="shared" si="7"/>
        <v>1</v>
      </c>
      <c r="AV38">
        <f t="shared" si="9"/>
        <v>1</v>
      </c>
      <c r="AW38">
        <f t="shared" si="11"/>
        <v>1</v>
      </c>
      <c r="AX38">
        <f t="shared" si="13"/>
        <v>1</v>
      </c>
      <c r="AY38">
        <f t="shared" si="17"/>
        <v>1</v>
      </c>
      <c r="AZ38">
        <f t="shared" si="19"/>
        <v>1</v>
      </c>
      <c r="BA38">
        <f t="shared" si="21"/>
        <v>1</v>
      </c>
      <c r="BB38">
        <f t="shared" si="24"/>
        <v>1</v>
      </c>
      <c r="BC38">
        <f t="shared" si="26"/>
        <v>1</v>
      </c>
      <c r="BD38">
        <f t="shared" si="28"/>
        <v>1</v>
      </c>
      <c r="BE38">
        <f t="shared" si="30"/>
        <v>1</v>
      </c>
      <c r="BF38">
        <f t="shared" si="36"/>
        <v>1</v>
      </c>
      <c r="BG38">
        <f t="shared" si="36"/>
        <v>1</v>
      </c>
      <c r="BH38">
        <f t="shared" si="36"/>
        <v>1</v>
      </c>
      <c r="BI38">
        <f t="shared" si="36"/>
        <v>1</v>
      </c>
      <c r="BJ38">
        <f t="shared" si="36"/>
        <v>1</v>
      </c>
      <c r="BK38">
        <f t="shared" si="31"/>
        <v>0</v>
      </c>
      <c r="BL38">
        <f t="shared" si="31"/>
        <v>0</v>
      </c>
      <c r="BM38">
        <f t="shared" si="31"/>
        <v>0</v>
      </c>
      <c r="BN38">
        <f t="shared" si="31"/>
        <v>0</v>
      </c>
      <c r="BO38">
        <f t="shared" si="31"/>
        <v>0</v>
      </c>
      <c r="BP38" s="15">
        <v>0</v>
      </c>
    </row>
    <row r="39" spans="1:68" x14ac:dyDescent="0.25">
      <c r="A39" s="19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s="26" t="str">
        <f>IF(MATCH(F39,F$5:F39,0)=COUNTA(F$5:F39),"-","Dup")</f>
        <v>-</v>
      </c>
      <c r="H39" t="str">
        <f t="shared" si="32"/>
        <v>-</v>
      </c>
      <c r="I39" t="b">
        <f>I$6</f>
        <v>0</v>
      </c>
      <c r="J39" t="b">
        <f>J$6</f>
        <v>1</v>
      </c>
      <c r="K39" t="str">
        <f t="shared" si="34"/>
        <v>-</v>
      </c>
      <c r="L39" t="str">
        <f t="shared" si="34"/>
        <v>-</v>
      </c>
      <c r="M39" t="str">
        <f t="shared" si="34"/>
        <v>-</v>
      </c>
      <c r="N39" t="str">
        <f>N$6</f>
        <v>-</v>
      </c>
      <c r="O39" t="str">
        <f>O$6</f>
        <v>-</v>
      </c>
      <c r="P39" s="22" t="b">
        <v>1</v>
      </c>
      <c r="Q39" t="str">
        <f t="shared" ref="Q39:AG44" si="39">Q$6</f>
        <v>-</v>
      </c>
      <c r="R39" t="str">
        <f t="shared" si="39"/>
        <v>-</v>
      </c>
      <c r="S39" t="str">
        <f t="shared" si="39"/>
        <v>-</v>
      </c>
      <c r="T39" t="str">
        <f t="shared" si="39"/>
        <v>-</v>
      </c>
      <c r="U39" t="str">
        <f t="shared" si="39"/>
        <v>-</v>
      </c>
      <c r="V39" t="str">
        <f t="shared" si="39"/>
        <v>-</v>
      </c>
      <c r="W39" t="str">
        <f t="shared" si="39"/>
        <v>-</v>
      </c>
      <c r="X39" t="str">
        <f t="shared" si="39"/>
        <v>-</v>
      </c>
      <c r="Y39" t="str">
        <f t="shared" si="39"/>
        <v>-</v>
      </c>
      <c r="Z39" t="str">
        <f t="shared" si="39"/>
        <v>-</v>
      </c>
      <c r="AA39" t="str">
        <f t="shared" si="39"/>
        <v>-</v>
      </c>
      <c r="AB39" t="str">
        <f t="shared" si="39"/>
        <v>-</v>
      </c>
      <c r="AC39" t="str">
        <f t="shared" si="39"/>
        <v>-</v>
      </c>
      <c r="AD39" t="str">
        <f t="shared" si="39"/>
        <v>-</v>
      </c>
      <c r="AE39" t="str">
        <f t="shared" si="39"/>
        <v>-</v>
      </c>
      <c r="AF39" t="str">
        <f t="shared" si="39"/>
        <v>-</v>
      </c>
      <c r="AG39" t="str">
        <f t="shared" si="39"/>
        <v>-</v>
      </c>
      <c r="AH39" t="str">
        <f t="shared" si="38"/>
        <v>-</v>
      </c>
      <c r="AI39" t="str">
        <f t="shared" si="38"/>
        <v>-</v>
      </c>
      <c r="AJ39" t="str">
        <f t="shared" si="38"/>
        <v>-</v>
      </c>
      <c r="AK39" t="str">
        <f t="shared" si="35"/>
        <v>-</v>
      </c>
      <c r="AL39" t="str">
        <f t="shared" si="35"/>
        <v>-</v>
      </c>
      <c r="AM39" t="str">
        <f t="shared" si="35"/>
        <v>-</v>
      </c>
      <c r="AN39" t="str">
        <f t="shared" si="35"/>
        <v>-</v>
      </c>
      <c r="AO39" t="str">
        <f t="shared" si="35"/>
        <v>-</v>
      </c>
      <c r="AP39" t="str">
        <f t="shared" si="35"/>
        <v>-</v>
      </c>
      <c r="AQ39" t="str">
        <f t="shared" si="35"/>
        <v>-</v>
      </c>
      <c r="AR39" t="s">
        <v>97</v>
      </c>
      <c r="AS39" t="s">
        <v>97</v>
      </c>
      <c r="AT39" t="s">
        <v>97</v>
      </c>
      <c r="AU39">
        <f t="shared" si="7"/>
        <v>1</v>
      </c>
      <c r="AV39">
        <f t="shared" si="9"/>
        <v>1</v>
      </c>
      <c r="AW39">
        <f t="shared" si="11"/>
        <v>1</v>
      </c>
      <c r="AX39">
        <f t="shared" si="13"/>
        <v>1</v>
      </c>
      <c r="AY39">
        <f t="shared" si="17"/>
        <v>1</v>
      </c>
      <c r="AZ39">
        <f t="shared" si="19"/>
        <v>1</v>
      </c>
      <c r="BA39">
        <f t="shared" si="21"/>
        <v>1</v>
      </c>
      <c r="BB39">
        <f t="shared" si="24"/>
        <v>1</v>
      </c>
      <c r="BC39">
        <f t="shared" si="26"/>
        <v>1</v>
      </c>
      <c r="BD39">
        <f t="shared" si="28"/>
        <v>1</v>
      </c>
      <c r="BE39">
        <f t="shared" si="30"/>
        <v>1</v>
      </c>
      <c r="BF39">
        <f t="shared" si="36"/>
        <v>1</v>
      </c>
      <c r="BG39">
        <f t="shared" si="36"/>
        <v>1</v>
      </c>
      <c r="BH39">
        <f t="shared" si="36"/>
        <v>1</v>
      </c>
      <c r="BI39">
        <f t="shared" si="36"/>
        <v>1</v>
      </c>
      <c r="BJ39">
        <f t="shared" si="36"/>
        <v>1</v>
      </c>
      <c r="BK39">
        <f t="shared" si="31"/>
        <v>0</v>
      </c>
      <c r="BL39">
        <f t="shared" si="31"/>
        <v>0</v>
      </c>
      <c r="BM39">
        <f t="shared" si="31"/>
        <v>0</v>
      </c>
      <c r="BN39">
        <f t="shared" si="31"/>
        <v>0</v>
      </c>
      <c r="BO39">
        <f t="shared" si="31"/>
        <v>0</v>
      </c>
      <c r="BP39" s="15">
        <v>0</v>
      </c>
    </row>
    <row r="40" spans="1:68" x14ac:dyDescent="0.25">
      <c r="A40" s="19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s="26" t="str">
        <f>IF(MATCH(F40,F$5:F40,0)=COUNTA(F$5:F40),"-","Dup")</f>
        <v>-</v>
      </c>
      <c r="H40" t="str">
        <f t="shared" si="32"/>
        <v>-</v>
      </c>
      <c r="I40" s="22" t="b">
        <v>1</v>
      </c>
      <c r="J40" s="22" t="b">
        <v>0</v>
      </c>
      <c r="K40" t="str">
        <f t="shared" si="34"/>
        <v>-</v>
      </c>
      <c r="L40" t="str">
        <f t="shared" si="34"/>
        <v>-</v>
      </c>
      <c r="M40" t="str">
        <f t="shared" si="34"/>
        <v>-</v>
      </c>
      <c r="N40" t="str">
        <f t="shared" ref="N40:P44" si="40">N$6</f>
        <v>-</v>
      </c>
      <c r="O40" t="str">
        <f t="shared" si="40"/>
        <v>-</v>
      </c>
      <c r="P40" t="str">
        <f t="shared" si="40"/>
        <v>-</v>
      </c>
      <c r="Q40" t="str">
        <f t="shared" si="39"/>
        <v>-</v>
      </c>
      <c r="R40" t="str">
        <f t="shared" si="39"/>
        <v>-</v>
      </c>
      <c r="S40" t="str">
        <f t="shared" si="39"/>
        <v>-</v>
      </c>
      <c r="T40" t="str">
        <f t="shared" si="39"/>
        <v>-</v>
      </c>
      <c r="U40" t="str">
        <f t="shared" si="39"/>
        <v>-</v>
      </c>
      <c r="V40" t="str">
        <f t="shared" si="39"/>
        <v>-</v>
      </c>
      <c r="W40" t="str">
        <f t="shared" si="39"/>
        <v>-</v>
      </c>
      <c r="X40" t="str">
        <f t="shared" si="39"/>
        <v>-</v>
      </c>
      <c r="Y40" t="str">
        <f t="shared" si="39"/>
        <v>-</v>
      </c>
      <c r="Z40" t="str">
        <f t="shared" si="39"/>
        <v>-</v>
      </c>
      <c r="AA40" t="str">
        <f t="shared" si="39"/>
        <v>-</v>
      </c>
      <c r="AB40" t="str">
        <f t="shared" si="39"/>
        <v>-</v>
      </c>
      <c r="AC40" t="str">
        <f t="shared" si="39"/>
        <v>-</v>
      </c>
      <c r="AD40" t="str">
        <f t="shared" si="39"/>
        <v>-</v>
      </c>
      <c r="AE40" t="str">
        <f t="shared" si="39"/>
        <v>-</v>
      </c>
      <c r="AF40" t="str">
        <f t="shared" si="39"/>
        <v>-</v>
      </c>
      <c r="AG40" t="str">
        <f t="shared" si="39"/>
        <v>-</v>
      </c>
      <c r="AH40" s="22" t="b">
        <v>1</v>
      </c>
      <c r="AI40" s="22" t="b">
        <v>0</v>
      </c>
      <c r="AJ40" s="22" t="b">
        <v>1</v>
      </c>
      <c r="AK40" t="str">
        <f t="shared" si="35"/>
        <v>-</v>
      </c>
      <c r="AL40" t="str">
        <f t="shared" si="35"/>
        <v>-</v>
      </c>
      <c r="AM40" t="str">
        <f t="shared" si="35"/>
        <v>-</v>
      </c>
      <c r="AN40" t="str">
        <f t="shared" si="35"/>
        <v>-</v>
      </c>
      <c r="AO40" t="str">
        <f t="shared" si="35"/>
        <v>-</v>
      </c>
      <c r="AP40" t="str">
        <f t="shared" si="35"/>
        <v>-</v>
      </c>
      <c r="AQ40" t="str">
        <f t="shared" si="35"/>
        <v>-</v>
      </c>
      <c r="AR40" t="s">
        <v>97</v>
      </c>
      <c r="AS40" t="s">
        <v>97</v>
      </c>
      <c r="AT40" t="s">
        <v>97</v>
      </c>
      <c r="AU40">
        <f t="shared" si="7"/>
        <v>1</v>
      </c>
      <c r="AV40">
        <f t="shared" si="9"/>
        <v>1</v>
      </c>
      <c r="AW40">
        <f t="shared" si="11"/>
        <v>1</v>
      </c>
      <c r="AX40">
        <f t="shared" si="13"/>
        <v>1</v>
      </c>
      <c r="AY40">
        <f t="shared" si="17"/>
        <v>1</v>
      </c>
      <c r="AZ40">
        <f t="shared" si="19"/>
        <v>1</v>
      </c>
      <c r="BA40">
        <f t="shared" si="21"/>
        <v>1</v>
      </c>
      <c r="BB40">
        <f t="shared" si="24"/>
        <v>1</v>
      </c>
      <c r="BC40">
        <f t="shared" si="26"/>
        <v>1</v>
      </c>
      <c r="BD40">
        <f t="shared" si="28"/>
        <v>1</v>
      </c>
      <c r="BE40">
        <f t="shared" si="30"/>
        <v>1</v>
      </c>
      <c r="BF40">
        <f t="shared" si="36"/>
        <v>1</v>
      </c>
      <c r="BG40">
        <f t="shared" si="36"/>
        <v>1</v>
      </c>
      <c r="BH40">
        <f t="shared" si="36"/>
        <v>1</v>
      </c>
      <c r="BI40">
        <f t="shared" si="36"/>
        <v>1</v>
      </c>
      <c r="BJ40">
        <f t="shared" si="36"/>
        <v>1</v>
      </c>
      <c r="BK40">
        <f t="shared" si="31"/>
        <v>0</v>
      </c>
      <c r="BL40">
        <f t="shared" si="31"/>
        <v>0</v>
      </c>
      <c r="BM40">
        <f t="shared" si="31"/>
        <v>0</v>
      </c>
      <c r="BN40">
        <f t="shared" si="31"/>
        <v>0</v>
      </c>
      <c r="BO40">
        <f t="shared" si="31"/>
        <v>0</v>
      </c>
      <c r="BP40" s="15">
        <v>0</v>
      </c>
    </row>
    <row r="41" spans="1:68" x14ac:dyDescent="0.25">
      <c r="A41" s="19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s="26" t="str">
        <f>IF(MATCH(F41,F$5:F41,0)=COUNTA(F$5:F41),"-","Dup")</f>
        <v>-</v>
      </c>
      <c r="H41" t="str">
        <f t="shared" si="32"/>
        <v>-</v>
      </c>
      <c r="I41" t="b">
        <f t="shared" si="32"/>
        <v>0</v>
      </c>
      <c r="J41" t="b">
        <f t="shared" si="32"/>
        <v>1</v>
      </c>
      <c r="K41" t="str">
        <f t="shared" si="34"/>
        <v>-</v>
      </c>
      <c r="L41" t="str">
        <f t="shared" si="34"/>
        <v>-</v>
      </c>
      <c r="M41" t="str">
        <f t="shared" si="34"/>
        <v>-</v>
      </c>
      <c r="N41" t="str">
        <f t="shared" si="40"/>
        <v>-</v>
      </c>
      <c r="O41" t="str">
        <f t="shared" si="40"/>
        <v>-</v>
      </c>
      <c r="P41" t="str">
        <f t="shared" si="40"/>
        <v>-</v>
      </c>
      <c r="Q41" t="str">
        <f t="shared" si="39"/>
        <v>-</v>
      </c>
      <c r="R41" t="str">
        <f t="shared" si="39"/>
        <v>-</v>
      </c>
      <c r="S41" t="str">
        <f t="shared" si="39"/>
        <v>-</v>
      </c>
      <c r="T41" t="str">
        <f t="shared" si="39"/>
        <v>-</v>
      </c>
      <c r="U41" t="str">
        <f t="shared" si="39"/>
        <v>-</v>
      </c>
      <c r="V41" t="str">
        <f t="shared" si="39"/>
        <v>-</v>
      </c>
      <c r="W41" t="str">
        <f t="shared" si="39"/>
        <v>-</v>
      </c>
      <c r="X41" t="str">
        <f t="shared" si="39"/>
        <v>-</v>
      </c>
      <c r="Y41" t="str">
        <f t="shared" si="39"/>
        <v>-</v>
      </c>
      <c r="Z41" t="str">
        <f t="shared" si="39"/>
        <v>-</v>
      </c>
      <c r="AA41" t="str">
        <f t="shared" si="39"/>
        <v>-</v>
      </c>
      <c r="AB41" t="str">
        <f t="shared" si="39"/>
        <v>-</v>
      </c>
      <c r="AC41" t="str">
        <f t="shared" si="39"/>
        <v>-</v>
      </c>
      <c r="AD41" t="str">
        <f t="shared" si="39"/>
        <v>-</v>
      </c>
      <c r="AE41" t="str">
        <f t="shared" si="39"/>
        <v>-</v>
      </c>
      <c r="AF41" t="str">
        <f t="shared" si="39"/>
        <v>-</v>
      </c>
      <c r="AG41" t="str">
        <f t="shared" si="39"/>
        <v>-</v>
      </c>
      <c r="AH41" s="22" t="b">
        <v>1</v>
      </c>
      <c r="AI41" s="22" t="b">
        <v>0</v>
      </c>
      <c r="AJ41" s="22" t="b">
        <v>1</v>
      </c>
      <c r="AK41" t="str">
        <f t="shared" si="35"/>
        <v>-</v>
      </c>
      <c r="AL41" t="str">
        <f t="shared" si="35"/>
        <v>-</v>
      </c>
      <c r="AM41" t="str">
        <f t="shared" si="35"/>
        <v>-</v>
      </c>
      <c r="AN41" t="str">
        <f t="shared" si="35"/>
        <v>-</v>
      </c>
      <c r="AO41" t="str">
        <f t="shared" si="35"/>
        <v>-</v>
      </c>
      <c r="AP41" t="str">
        <f t="shared" si="35"/>
        <v>-</v>
      </c>
      <c r="AQ41" t="str">
        <f t="shared" si="35"/>
        <v>-</v>
      </c>
      <c r="AR41" t="s">
        <v>97</v>
      </c>
      <c r="AS41" t="s">
        <v>97</v>
      </c>
      <c r="AT41" t="s">
        <v>97</v>
      </c>
      <c r="AU41">
        <f t="shared" si="7"/>
        <v>1</v>
      </c>
      <c r="AV41">
        <f t="shared" si="9"/>
        <v>1</v>
      </c>
      <c r="AW41">
        <f t="shared" si="11"/>
        <v>1</v>
      </c>
      <c r="AX41">
        <f t="shared" si="13"/>
        <v>1</v>
      </c>
      <c r="AY41">
        <f t="shared" si="17"/>
        <v>1</v>
      </c>
      <c r="AZ41">
        <f t="shared" si="19"/>
        <v>1</v>
      </c>
      <c r="BA41">
        <f t="shared" si="21"/>
        <v>1</v>
      </c>
      <c r="BB41">
        <f t="shared" si="24"/>
        <v>1</v>
      </c>
      <c r="BC41">
        <f t="shared" si="26"/>
        <v>1</v>
      </c>
      <c r="BD41">
        <f t="shared" si="28"/>
        <v>1</v>
      </c>
      <c r="BE41">
        <f t="shared" si="30"/>
        <v>1</v>
      </c>
      <c r="BF41">
        <f t="shared" si="36"/>
        <v>1</v>
      </c>
      <c r="BG41">
        <f t="shared" si="36"/>
        <v>1</v>
      </c>
      <c r="BH41">
        <f t="shared" si="36"/>
        <v>1</v>
      </c>
      <c r="BI41">
        <f t="shared" si="36"/>
        <v>1</v>
      </c>
      <c r="BJ41">
        <f t="shared" si="36"/>
        <v>1</v>
      </c>
      <c r="BK41">
        <f t="shared" si="31"/>
        <v>0</v>
      </c>
      <c r="BL41">
        <f t="shared" si="31"/>
        <v>0</v>
      </c>
      <c r="BM41">
        <f t="shared" si="31"/>
        <v>0</v>
      </c>
      <c r="BN41">
        <f t="shared" si="31"/>
        <v>0</v>
      </c>
      <c r="BO41">
        <f t="shared" si="31"/>
        <v>0</v>
      </c>
      <c r="BP41" s="15">
        <v>0</v>
      </c>
    </row>
    <row r="42" spans="1:68" x14ac:dyDescent="0.25">
      <c r="A42" s="19">
        <v>44275.513912037037</v>
      </c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s="26" t="str">
        <f>IF(MATCH(F42,F$5:F42,0)=COUNTA(F$5:F42),"-","Dup")</f>
        <v>-</v>
      </c>
      <c r="H42" t="str">
        <f t="shared" si="32"/>
        <v>-</v>
      </c>
      <c r="I42" t="b">
        <f t="shared" si="32"/>
        <v>0</v>
      </c>
      <c r="J42" t="b">
        <f t="shared" si="32"/>
        <v>1</v>
      </c>
      <c r="K42" t="str">
        <f t="shared" si="34"/>
        <v>-</v>
      </c>
      <c r="L42" t="str">
        <f t="shared" si="34"/>
        <v>-</v>
      </c>
      <c r="M42" t="str">
        <f t="shared" si="34"/>
        <v>-</v>
      </c>
      <c r="N42" t="str">
        <f t="shared" si="40"/>
        <v>-</v>
      </c>
      <c r="O42" t="str">
        <f t="shared" si="40"/>
        <v>-</v>
      </c>
      <c r="P42" t="str">
        <f t="shared" si="40"/>
        <v>-</v>
      </c>
      <c r="Q42" t="str">
        <f t="shared" ref="Q42:R44" si="41">Q$6</f>
        <v>-</v>
      </c>
      <c r="R42" t="str">
        <f t="shared" si="41"/>
        <v>-</v>
      </c>
      <c r="S42" t="str">
        <f t="shared" si="39"/>
        <v>-</v>
      </c>
      <c r="T42" s="22">
        <v>1</v>
      </c>
      <c r="U42" s="22">
        <v>1</v>
      </c>
      <c r="V42" t="str">
        <f t="shared" si="39"/>
        <v>-</v>
      </c>
      <c r="W42" s="22">
        <v>1</v>
      </c>
      <c r="X42" s="22">
        <v>1</v>
      </c>
      <c r="Y42" t="str">
        <f t="shared" si="39"/>
        <v>-</v>
      </c>
      <c r="Z42" s="22">
        <v>1</v>
      </c>
      <c r="AA42" s="22">
        <v>1</v>
      </c>
      <c r="AB42" t="str">
        <f t="shared" si="39"/>
        <v>-</v>
      </c>
      <c r="AC42" s="22">
        <v>1</v>
      </c>
      <c r="AD42" s="22">
        <v>1</v>
      </c>
      <c r="AE42" t="str">
        <f t="shared" ref="AE42:AG44" si="42">AE$6</f>
        <v>-</v>
      </c>
      <c r="AF42" t="str">
        <f t="shared" si="42"/>
        <v>-</v>
      </c>
      <c r="AG42" t="str">
        <f t="shared" si="42"/>
        <v>-</v>
      </c>
      <c r="AH42" s="22" t="b">
        <v>1</v>
      </c>
      <c r="AI42" s="22" t="b">
        <v>0</v>
      </c>
      <c r="AJ42" s="22" t="b">
        <v>1</v>
      </c>
      <c r="AK42" t="str">
        <f t="shared" si="35"/>
        <v>-</v>
      </c>
      <c r="AL42" t="str">
        <f t="shared" si="35"/>
        <v>-</v>
      </c>
      <c r="AM42" t="str">
        <f t="shared" si="35"/>
        <v>-</v>
      </c>
      <c r="AN42" t="str">
        <f t="shared" si="35"/>
        <v>-</v>
      </c>
      <c r="AO42" t="str">
        <f t="shared" si="35"/>
        <v>-</v>
      </c>
      <c r="AP42" t="str">
        <f t="shared" si="35"/>
        <v>-</v>
      </c>
      <c r="AQ42" t="str">
        <f t="shared" si="35"/>
        <v>-</v>
      </c>
      <c r="AR42" t="s">
        <v>97</v>
      </c>
      <c r="AS42" t="s">
        <v>97</v>
      </c>
      <c r="AT42" t="s">
        <v>97</v>
      </c>
      <c r="AU42">
        <f t="shared" si="7"/>
        <v>1</v>
      </c>
      <c r="AV42">
        <f t="shared" si="9"/>
        <v>1</v>
      </c>
      <c r="AW42">
        <f t="shared" si="11"/>
        <v>1</v>
      </c>
      <c r="AX42">
        <f t="shared" si="13"/>
        <v>1</v>
      </c>
      <c r="AY42">
        <f t="shared" si="17"/>
        <v>1</v>
      </c>
      <c r="AZ42">
        <f t="shared" si="19"/>
        <v>1</v>
      </c>
      <c r="BA42">
        <f t="shared" si="21"/>
        <v>1</v>
      </c>
      <c r="BB42">
        <f t="shared" si="24"/>
        <v>1</v>
      </c>
      <c r="BC42">
        <f t="shared" si="26"/>
        <v>1</v>
      </c>
      <c r="BD42">
        <f t="shared" si="28"/>
        <v>1</v>
      </c>
      <c r="BE42">
        <f t="shared" si="30"/>
        <v>1</v>
      </c>
      <c r="BF42">
        <f t="shared" si="36"/>
        <v>1</v>
      </c>
      <c r="BG42">
        <f t="shared" si="36"/>
        <v>1</v>
      </c>
      <c r="BH42">
        <f t="shared" si="36"/>
        <v>1</v>
      </c>
      <c r="BI42">
        <f t="shared" si="36"/>
        <v>1</v>
      </c>
      <c r="BJ42">
        <f t="shared" si="36"/>
        <v>1</v>
      </c>
      <c r="BK42">
        <f t="shared" si="31"/>
        <v>0</v>
      </c>
      <c r="BL42">
        <f t="shared" si="31"/>
        <v>0</v>
      </c>
      <c r="BM42">
        <f t="shared" si="31"/>
        <v>0</v>
      </c>
      <c r="BN42">
        <f t="shared" si="31"/>
        <v>0</v>
      </c>
      <c r="BO42">
        <f t="shared" si="31"/>
        <v>0</v>
      </c>
      <c r="BP42" s="15">
        <v>0</v>
      </c>
    </row>
    <row r="43" spans="1:68" x14ac:dyDescent="0.25">
      <c r="A43" s="19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s="26" t="str">
        <f>IF(MATCH(F43,F$5:F43,0)=COUNTA(F$5:F43),"-","Dup")</f>
        <v>-</v>
      </c>
      <c r="H43" t="str">
        <f t="shared" si="32"/>
        <v>-</v>
      </c>
      <c r="I43" t="b">
        <f t="shared" si="32"/>
        <v>0</v>
      </c>
      <c r="J43" t="b">
        <f t="shared" si="32"/>
        <v>1</v>
      </c>
      <c r="K43" t="str">
        <f t="shared" si="34"/>
        <v>-</v>
      </c>
      <c r="L43" t="str">
        <f t="shared" si="34"/>
        <v>-</v>
      </c>
      <c r="M43" t="str">
        <f t="shared" si="34"/>
        <v>-</v>
      </c>
      <c r="N43" t="str">
        <f t="shared" si="40"/>
        <v>-</v>
      </c>
      <c r="O43" t="str">
        <f t="shared" si="40"/>
        <v>-</v>
      </c>
      <c r="P43" t="str">
        <f t="shared" si="40"/>
        <v>-</v>
      </c>
      <c r="Q43" t="str">
        <f t="shared" si="41"/>
        <v>-</v>
      </c>
      <c r="R43" t="str">
        <f t="shared" si="41"/>
        <v>-</v>
      </c>
      <c r="S43" t="str">
        <f t="shared" si="39"/>
        <v>-</v>
      </c>
      <c r="T43" s="22">
        <v>1</v>
      </c>
      <c r="U43" s="22">
        <v>1</v>
      </c>
      <c r="V43" t="str">
        <f t="shared" si="39"/>
        <v>-</v>
      </c>
      <c r="W43" s="22">
        <v>1</v>
      </c>
      <c r="X43" s="22">
        <v>1</v>
      </c>
      <c r="Y43" t="str">
        <f t="shared" si="39"/>
        <v>-</v>
      </c>
      <c r="Z43" s="22">
        <v>1</v>
      </c>
      <c r="AA43" s="22">
        <v>1</v>
      </c>
      <c r="AB43" t="str">
        <f t="shared" si="39"/>
        <v>-</v>
      </c>
      <c r="AC43" s="22">
        <v>1</v>
      </c>
      <c r="AD43" s="22">
        <v>1</v>
      </c>
      <c r="AE43" t="str">
        <f t="shared" si="42"/>
        <v>-</v>
      </c>
      <c r="AF43" t="str">
        <f t="shared" si="42"/>
        <v>-</v>
      </c>
      <c r="AG43" t="str">
        <f t="shared" si="42"/>
        <v>-</v>
      </c>
      <c r="AH43" s="22" t="b">
        <v>1</v>
      </c>
      <c r="AI43" s="22" t="b">
        <v>0</v>
      </c>
      <c r="AJ43" s="22" t="b">
        <v>1</v>
      </c>
      <c r="AK43" t="str">
        <f t="shared" si="35"/>
        <v>-</v>
      </c>
      <c r="AL43" t="str">
        <f t="shared" si="35"/>
        <v>-</v>
      </c>
      <c r="AM43" t="str">
        <f t="shared" si="35"/>
        <v>-</v>
      </c>
      <c r="AN43" t="str">
        <f t="shared" si="35"/>
        <v>-</v>
      </c>
      <c r="AO43" t="str">
        <f t="shared" si="35"/>
        <v>-</v>
      </c>
      <c r="AP43" t="str">
        <f t="shared" si="35"/>
        <v>-</v>
      </c>
      <c r="AQ43" t="str">
        <f t="shared" si="35"/>
        <v>-</v>
      </c>
      <c r="AR43" t="s">
        <v>97</v>
      </c>
      <c r="AS43" t="s">
        <v>97</v>
      </c>
      <c r="AT43" t="s">
        <v>97</v>
      </c>
      <c r="AU43">
        <f t="shared" si="7"/>
        <v>1</v>
      </c>
      <c r="AV43">
        <f t="shared" si="9"/>
        <v>1</v>
      </c>
      <c r="AW43">
        <f t="shared" si="11"/>
        <v>1</v>
      </c>
      <c r="AX43">
        <f t="shared" si="13"/>
        <v>1</v>
      </c>
      <c r="AY43">
        <f t="shared" si="17"/>
        <v>1</v>
      </c>
      <c r="AZ43">
        <f t="shared" si="19"/>
        <v>1</v>
      </c>
      <c r="BA43">
        <f t="shared" si="21"/>
        <v>1</v>
      </c>
      <c r="BB43">
        <f t="shared" si="24"/>
        <v>1</v>
      </c>
      <c r="BC43">
        <f t="shared" si="26"/>
        <v>1</v>
      </c>
      <c r="BD43">
        <f t="shared" si="28"/>
        <v>1</v>
      </c>
      <c r="BE43">
        <f t="shared" si="30"/>
        <v>1</v>
      </c>
      <c r="BF43">
        <f t="shared" si="36"/>
        <v>1</v>
      </c>
      <c r="BG43">
        <f t="shared" si="36"/>
        <v>1</v>
      </c>
      <c r="BH43">
        <f t="shared" si="36"/>
        <v>1</v>
      </c>
      <c r="BI43">
        <f t="shared" si="36"/>
        <v>1</v>
      </c>
      <c r="BJ43">
        <f t="shared" si="36"/>
        <v>1</v>
      </c>
      <c r="BK43">
        <f t="shared" si="31"/>
        <v>0</v>
      </c>
      <c r="BL43">
        <f t="shared" si="31"/>
        <v>0</v>
      </c>
      <c r="BM43">
        <f t="shared" si="31"/>
        <v>0</v>
      </c>
      <c r="BN43">
        <f t="shared" si="31"/>
        <v>0</v>
      </c>
      <c r="BO43">
        <f t="shared" si="31"/>
        <v>0</v>
      </c>
      <c r="BP43" s="15">
        <v>0</v>
      </c>
    </row>
    <row r="44" spans="1:68" x14ac:dyDescent="0.25">
      <c r="A44" s="19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s="26" t="str">
        <f>IF(MATCH(F44,F$5:F44,0)=COUNTA(F$5:F44),"-","Dup")</f>
        <v>-</v>
      </c>
      <c r="H44" t="str">
        <f t="shared" si="32"/>
        <v>-</v>
      </c>
      <c r="I44" t="b">
        <f t="shared" si="32"/>
        <v>0</v>
      </c>
      <c r="J44" t="b">
        <f t="shared" si="32"/>
        <v>1</v>
      </c>
      <c r="K44" t="str">
        <f t="shared" ref="K44:Z49" si="43">K$6</f>
        <v>-</v>
      </c>
      <c r="L44" t="str">
        <f t="shared" si="43"/>
        <v>-</v>
      </c>
      <c r="M44" t="str">
        <f t="shared" si="43"/>
        <v>-</v>
      </c>
      <c r="N44" t="str">
        <f t="shared" si="40"/>
        <v>-</v>
      </c>
      <c r="O44" t="str">
        <f t="shared" si="40"/>
        <v>-</v>
      </c>
      <c r="P44" t="str">
        <f t="shared" si="40"/>
        <v>-</v>
      </c>
      <c r="Q44" t="str">
        <f t="shared" si="41"/>
        <v>-</v>
      </c>
      <c r="R44" t="str">
        <f t="shared" si="41"/>
        <v>-</v>
      </c>
      <c r="S44" t="str">
        <f t="shared" si="39"/>
        <v>-</v>
      </c>
      <c r="T44" s="22">
        <v>1</v>
      </c>
      <c r="U44" s="22">
        <v>1</v>
      </c>
      <c r="V44" t="str">
        <f t="shared" si="39"/>
        <v>-</v>
      </c>
      <c r="W44" s="22">
        <v>1</v>
      </c>
      <c r="X44" s="22">
        <v>1</v>
      </c>
      <c r="Y44" t="str">
        <f t="shared" si="39"/>
        <v>-</v>
      </c>
      <c r="Z44" s="22">
        <v>1</v>
      </c>
      <c r="AA44" s="22">
        <v>1</v>
      </c>
      <c r="AB44" t="str">
        <f t="shared" si="39"/>
        <v>-</v>
      </c>
      <c r="AC44" s="22">
        <v>1</v>
      </c>
      <c r="AD44" s="22">
        <v>1</v>
      </c>
      <c r="AE44" t="str">
        <f t="shared" si="42"/>
        <v>-</v>
      </c>
      <c r="AF44" t="str">
        <f t="shared" si="42"/>
        <v>-</v>
      </c>
      <c r="AG44" t="str">
        <f t="shared" si="42"/>
        <v>-</v>
      </c>
      <c r="AH44" s="22" t="b">
        <v>1</v>
      </c>
      <c r="AI44" s="22" t="b">
        <v>0</v>
      </c>
      <c r="AJ44" s="22" t="b">
        <v>1</v>
      </c>
      <c r="AK44" t="str">
        <f t="shared" si="35"/>
        <v>-</v>
      </c>
      <c r="AL44" t="str">
        <f t="shared" si="35"/>
        <v>-</v>
      </c>
      <c r="AM44" t="str">
        <f t="shared" si="35"/>
        <v>-</v>
      </c>
      <c r="AN44" t="str">
        <f t="shared" si="35"/>
        <v>-</v>
      </c>
      <c r="AO44" t="str">
        <f t="shared" si="35"/>
        <v>-</v>
      </c>
      <c r="AP44" t="str">
        <f t="shared" si="35"/>
        <v>-</v>
      </c>
      <c r="AQ44" t="str">
        <f t="shared" si="35"/>
        <v>-</v>
      </c>
      <c r="AR44" t="s">
        <v>97</v>
      </c>
      <c r="AS44" t="s">
        <v>97</v>
      </c>
      <c r="AT44" t="s">
        <v>97</v>
      </c>
      <c r="AU44">
        <f t="shared" si="7"/>
        <v>1</v>
      </c>
      <c r="AV44">
        <f t="shared" si="9"/>
        <v>1</v>
      </c>
      <c r="AW44">
        <f t="shared" si="11"/>
        <v>1</v>
      </c>
      <c r="AX44">
        <f t="shared" si="13"/>
        <v>1</v>
      </c>
      <c r="AY44">
        <f t="shared" si="17"/>
        <v>1</v>
      </c>
      <c r="AZ44">
        <f t="shared" si="19"/>
        <v>1</v>
      </c>
      <c r="BA44">
        <f t="shared" si="21"/>
        <v>1</v>
      </c>
      <c r="BB44">
        <f t="shared" si="24"/>
        <v>1</v>
      </c>
      <c r="BC44">
        <f t="shared" si="26"/>
        <v>1</v>
      </c>
      <c r="BD44">
        <f t="shared" si="28"/>
        <v>1</v>
      </c>
      <c r="BE44">
        <f t="shared" si="30"/>
        <v>1</v>
      </c>
      <c r="BF44">
        <f t="shared" si="36"/>
        <v>1</v>
      </c>
      <c r="BG44">
        <f t="shared" si="36"/>
        <v>1</v>
      </c>
      <c r="BH44">
        <f t="shared" si="36"/>
        <v>1</v>
      </c>
      <c r="BI44">
        <f t="shared" si="36"/>
        <v>1</v>
      </c>
      <c r="BJ44">
        <f t="shared" si="36"/>
        <v>1</v>
      </c>
      <c r="BK44">
        <f t="shared" si="31"/>
        <v>0</v>
      </c>
      <c r="BL44">
        <f t="shared" si="31"/>
        <v>0</v>
      </c>
      <c r="BM44">
        <f t="shared" si="31"/>
        <v>0</v>
      </c>
      <c r="BN44">
        <f t="shared" si="31"/>
        <v>0</v>
      </c>
      <c r="BO44">
        <f t="shared" si="31"/>
        <v>0</v>
      </c>
      <c r="BP44" s="15">
        <v>0</v>
      </c>
    </row>
    <row r="45" spans="1:68" x14ac:dyDescent="0.25">
      <c r="A45" s="19">
        <v>44277.869085648148</v>
      </c>
      <c r="B45">
        <f t="shared" si="3"/>
        <v>40</v>
      </c>
      <c r="C45" t="b">
        <v>0</v>
      </c>
      <c r="D45" t="b">
        <v>1</v>
      </c>
      <c r="E45" t="b">
        <v>0</v>
      </c>
      <c r="F45" s="3" t="s">
        <v>81</v>
      </c>
      <c r="G45" s="26" t="str">
        <f>IF(MATCH(F45,F$5:F45,0)=COUNTA(F$5:F45),"-","Dup")</f>
        <v>-</v>
      </c>
      <c r="H45" t="str">
        <f t="shared" si="32"/>
        <v>-</v>
      </c>
      <c r="I45" t="b">
        <f t="shared" si="32"/>
        <v>0</v>
      </c>
      <c r="J45" t="b">
        <f t="shared" si="32"/>
        <v>1</v>
      </c>
      <c r="K45" t="str">
        <f t="shared" si="43"/>
        <v>-</v>
      </c>
      <c r="L45" t="str">
        <f t="shared" si="43"/>
        <v>-</v>
      </c>
      <c r="M45" t="str">
        <f t="shared" si="43"/>
        <v>-</v>
      </c>
      <c r="N45" t="str">
        <f t="shared" si="43"/>
        <v>-</v>
      </c>
      <c r="O45" t="str">
        <f t="shared" si="43"/>
        <v>-</v>
      </c>
      <c r="P45" t="str">
        <f t="shared" si="43"/>
        <v>-</v>
      </c>
      <c r="Q45" t="str">
        <f t="shared" si="43"/>
        <v>-</v>
      </c>
      <c r="R45" t="str">
        <f t="shared" si="43"/>
        <v>-</v>
      </c>
      <c r="S45" t="str">
        <f t="shared" si="43"/>
        <v>-</v>
      </c>
      <c r="T45" t="str">
        <f t="shared" si="43"/>
        <v>-</v>
      </c>
      <c r="U45" t="str">
        <f t="shared" si="43"/>
        <v>-</v>
      </c>
      <c r="V45" t="str">
        <f t="shared" si="43"/>
        <v>-</v>
      </c>
      <c r="W45" t="str">
        <f t="shared" si="43"/>
        <v>-</v>
      </c>
      <c r="X45" t="str">
        <f t="shared" si="43"/>
        <v>-</v>
      </c>
      <c r="Y45" t="str">
        <f t="shared" si="43"/>
        <v>-</v>
      </c>
      <c r="Z45" t="str">
        <f t="shared" si="43"/>
        <v>-</v>
      </c>
      <c r="AA45" t="str">
        <f t="shared" ref="L45:BO49" si="44">AA$6</f>
        <v>-</v>
      </c>
      <c r="AB45" t="str">
        <f t="shared" si="44"/>
        <v>-</v>
      </c>
      <c r="AC45" t="str">
        <f t="shared" si="44"/>
        <v>-</v>
      </c>
      <c r="AD45" t="str">
        <f t="shared" si="44"/>
        <v>-</v>
      </c>
      <c r="AE45" t="str">
        <f t="shared" si="44"/>
        <v>-</v>
      </c>
      <c r="AF45" t="str">
        <f t="shared" si="44"/>
        <v>-</v>
      </c>
      <c r="AG45" t="str">
        <f t="shared" si="44"/>
        <v>-</v>
      </c>
      <c r="AH45" t="str">
        <f t="shared" si="44"/>
        <v>-</v>
      </c>
      <c r="AI45" t="str">
        <f t="shared" si="44"/>
        <v>-</v>
      </c>
      <c r="AJ45" t="str">
        <f t="shared" si="44"/>
        <v>-</v>
      </c>
      <c r="AK45" t="str">
        <f t="shared" si="44"/>
        <v>-</v>
      </c>
      <c r="AL45" t="str">
        <f t="shared" si="44"/>
        <v>-</v>
      </c>
      <c r="AM45" t="str">
        <f t="shared" si="44"/>
        <v>-</v>
      </c>
      <c r="AN45" t="str">
        <f t="shared" si="44"/>
        <v>-</v>
      </c>
      <c r="AO45" t="str">
        <f t="shared" si="44"/>
        <v>-</v>
      </c>
      <c r="AP45" t="str">
        <f t="shared" si="44"/>
        <v>-</v>
      </c>
      <c r="AQ45" t="str">
        <f t="shared" si="44"/>
        <v>-</v>
      </c>
      <c r="AR45" t="s">
        <v>97</v>
      </c>
      <c r="AS45" t="s">
        <v>97</v>
      </c>
      <c r="AT45" t="s">
        <v>97</v>
      </c>
      <c r="AU45">
        <f t="shared" si="44"/>
        <v>1</v>
      </c>
      <c r="AV45">
        <f t="shared" si="44"/>
        <v>1</v>
      </c>
      <c r="AW45">
        <f t="shared" si="44"/>
        <v>1</v>
      </c>
      <c r="AX45">
        <f t="shared" si="44"/>
        <v>1</v>
      </c>
      <c r="AY45">
        <f t="shared" si="44"/>
        <v>1</v>
      </c>
      <c r="AZ45">
        <f t="shared" si="44"/>
        <v>1</v>
      </c>
      <c r="BA45">
        <f t="shared" si="44"/>
        <v>1</v>
      </c>
      <c r="BB45">
        <f t="shared" si="44"/>
        <v>1</v>
      </c>
      <c r="BC45">
        <f t="shared" si="44"/>
        <v>1</v>
      </c>
      <c r="BD45">
        <f t="shared" si="44"/>
        <v>1</v>
      </c>
      <c r="BE45">
        <f t="shared" si="44"/>
        <v>1</v>
      </c>
      <c r="BF45">
        <f t="shared" si="44"/>
        <v>1</v>
      </c>
      <c r="BG45">
        <f t="shared" si="44"/>
        <v>1</v>
      </c>
      <c r="BH45">
        <f t="shared" si="44"/>
        <v>1</v>
      </c>
      <c r="BI45">
        <f t="shared" si="44"/>
        <v>1</v>
      </c>
      <c r="BJ45">
        <f t="shared" si="44"/>
        <v>1</v>
      </c>
      <c r="BK45">
        <f t="shared" si="44"/>
        <v>0</v>
      </c>
      <c r="BL45">
        <f t="shared" si="44"/>
        <v>0</v>
      </c>
      <c r="BM45">
        <f t="shared" si="44"/>
        <v>0</v>
      </c>
      <c r="BN45">
        <f t="shared" si="44"/>
        <v>0</v>
      </c>
      <c r="BO45">
        <f t="shared" si="44"/>
        <v>0</v>
      </c>
      <c r="BP45" s="15">
        <v>0</v>
      </c>
    </row>
    <row r="46" spans="1:68" x14ac:dyDescent="0.25">
      <c r="A46" s="19">
        <v>44278.42895833333</v>
      </c>
      <c r="B46">
        <f t="shared" si="3"/>
        <v>41</v>
      </c>
      <c r="C46" t="b">
        <v>0</v>
      </c>
      <c r="D46" t="b">
        <v>0</v>
      </c>
      <c r="E46" t="b">
        <v>0</v>
      </c>
      <c r="F46" s="3" t="s">
        <v>98</v>
      </c>
      <c r="G46" s="26" t="str">
        <f>IF(MATCH(F46,F$5:F46,0)=COUNTA(F$5:F46),"-","Dup")</f>
        <v>-</v>
      </c>
      <c r="H46" t="str">
        <f t="shared" si="32"/>
        <v>-</v>
      </c>
      <c r="I46" t="b">
        <f t="shared" si="32"/>
        <v>0</v>
      </c>
      <c r="J46" t="b">
        <f t="shared" si="32"/>
        <v>1</v>
      </c>
      <c r="K46" t="str">
        <f t="shared" si="43"/>
        <v>-</v>
      </c>
      <c r="L46" t="str">
        <f t="shared" si="44"/>
        <v>-</v>
      </c>
      <c r="M46" t="str">
        <f t="shared" si="44"/>
        <v>-</v>
      </c>
      <c r="N46" t="str">
        <f t="shared" si="44"/>
        <v>-</v>
      </c>
      <c r="O46" t="str">
        <f t="shared" si="44"/>
        <v>-</v>
      </c>
      <c r="P46" t="str">
        <f t="shared" si="44"/>
        <v>-</v>
      </c>
      <c r="Q46" t="str">
        <f t="shared" si="44"/>
        <v>-</v>
      </c>
      <c r="R46" t="str">
        <f t="shared" si="44"/>
        <v>-</v>
      </c>
      <c r="S46" t="str">
        <f t="shared" si="44"/>
        <v>-</v>
      </c>
      <c r="T46" t="str">
        <f t="shared" si="44"/>
        <v>-</v>
      </c>
      <c r="U46" t="str">
        <f t="shared" si="44"/>
        <v>-</v>
      </c>
      <c r="V46" t="str">
        <f t="shared" si="44"/>
        <v>-</v>
      </c>
      <c r="W46" t="str">
        <f t="shared" si="44"/>
        <v>-</v>
      </c>
      <c r="X46" t="str">
        <f t="shared" si="44"/>
        <v>-</v>
      </c>
      <c r="Y46" t="str">
        <f t="shared" si="44"/>
        <v>-</v>
      </c>
      <c r="Z46" t="str">
        <f t="shared" si="44"/>
        <v>-</v>
      </c>
      <c r="AA46" t="str">
        <f t="shared" si="44"/>
        <v>-</v>
      </c>
      <c r="AB46" t="str">
        <f t="shared" si="44"/>
        <v>-</v>
      </c>
      <c r="AC46" t="str">
        <f t="shared" si="44"/>
        <v>-</v>
      </c>
      <c r="AD46" t="str">
        <f t="shared" si="44"/>
        <v>-</v>
      </c>
      <c r="AE46" t="str">
        <f t="shared" si="44"/>
        <v>-</v>
      </c>
      <c r="AF46" t="str">
        <f t="shared" si="44"/>
        <v>-</v>
      </c>
      <c r="AG46" t="str">
        <f t="shared" si="44"/>
        <v>-</v>
      </c>
      <c r="AH46" s="22" t="b">
        <v>1</v>
      </c>
      <c r="AI46" s="22" t="b">
        <v>1</v>
      </c>
      <c r="AJ46" s="22" t="b">
        <v>1</v>
      </c>
      <c r="AK46" t="str">
        <f t="shared" si="44"/>
        <v>-</v>
      </c>
      <c r="AL46" t="str">
        <f t="shared" si="44"/>
        <v>-</v>
      </c>
      <c r="AM46" t="str">
        <f t="shared" si="44"/>
        <v>-</v>
      </c>
      <c r="AN46" t="str">
        <f t="shared" si="44"/>
        <v>-</v>
      </c>
      <c r="AO46" s="22">
        <v>-0.5</v>
      </c>
      <c r="AP46" s="22">
        <f>$AO46+0.5</f>
        <v>0</v>
      </c>
      <c r="AQ46" s="22">
        <f>$AO46-0.5</f>
        <v>-1</v>
      </c>
      <c r="AR46" t="s">
        <v>97</v>
      </c>
      <c r="AS46" t="s">
        <v>97</v>
      </c>
      <c r="AT46" t="s">
        <v>97</v>
      </c>
      <c r="AU46">
        <f t="shared" si="44"/>
        <v>1</v>
      </c>
      <c r="AV46">
        <f t="shared" si="44"/>
        <v>1</v>
      </c>
      <c r="AW46">
        <f t="shared" si="44"/>
        <v>1</v>
      </c>
      <c r="AX46">
        <f t="shared" si="44"/>
        <v>1</v>
      </c>
      <c r="AY46">
        <f t="shared" si="44"/>
        <v>1</v>
      </c>
      <c r="AZ46">
        <f t="shared" si="44"/>
        <v>1</v>
      </c>
      <c r="BA46">
        <f t="shared" si="44"/>
        <v>1</v>
      </c>
      <c r="BB46">
        <f t="shared" si="44"/>
        <v>1</v>
      </c>
      <c r="BC46">
        <f t="shared" si="44"/>
        <v>1</v>
      </c>
      <c r="BD46">
        <f t="shared" si="44"/>
        <v>1</v>
      </c>
      <c r="BE46">
        <f t="shared" si="44"/>
        <v>1</v>
      </c>
      <c r="BF46">
        <f t="shared" si="44"/>
        <v>1</v>
      </c>
      <c r="BG46">
        <f t="shared" si="44"/>
        <v>1</v>
      </c>
      <c r="BH46">
        <f t="shared" si="44"/>
        <v>1</v>
      </c>
      <c r="BI46">
        <f t="shared" si="44"/>
        <v>1</v>
      </c>
      <c r="BJ46">
        <f t="shared" si="44"/>
        <v>1</v>
      </c>
      <c r="BK46">
        <f t="shared" si="44"/>
        <v>0</v>
      </c>
      <c r="BL46">
        <f t="shared" si="44"/>
        <v>0</v>
      </c>
      <c r="BM46">
        <f t="shared" si="44"/>
        <v>0</v>
      </c>
      <c r="BN46">
        <f t="shared" si="44"/>
        <v>0</v>
      </c>
      <c r="BO46">
        <f t="shared" si="44"/>
        <v>0</v>
      </c>
      <c r="BP46" s="15"/>
    </row>
    <row r="47" spans="1:68" x14ac:dyDescent="0.25">
      <c r="A47" s="19">
        <v>44277.94740740741</v>
      </c>
      <c r="B47">
        <f t="shared" si="3"/>
        <v>42</v>
      </c>
      <c r="C47" t="b">
        <v>0</v>
      </c>
      <c r="D47" t="b">
        <v>0</v>
      </c>
      <c r="E47" t="b">
        <v>0</v>
      </c>
      <c r="F47" s="3" t="s">
        <v>99</v>
      </c>
      <c r="G47" s="26" t="str">
        <f>IF(MATCH(F47,F$5:F47,0)=COUNTA(F$5:F47),"-","Dup")</f>
        <v>-</v>
      </c>
      <c r="H47" t="str">
        <f t="shared" ref="H47:J49" si="45">H$6</f>
        <v>-</v>
      </c>
      <c r="I47" t="b">
        <f t="shared" si="45"/>
        <v>0</v>
      </c>
      <c r="J47" t="b">
        <f t="shared" si="45"/>
        <v>1</v>
      </c>
      <c r="K47" t="str">
        <f t="shared" si="43"/>
        <v>-</v>
      </c>
      <c r="L47" t="str">
        <f t="shared" si="44"/>
        <v>-</v>
      </c>
      <c r="M47" t="str">
        <f t="shared" si="44"/>
        <v>-</v>
      </c>
      <c r="N47" t="str">
        <f t="shared" si="44"/>
        <v>-</v>
      </c>
      <c r="O47" t="str">
        <f t="shared" si="44"/>
        <v>-</v>
      </c>
      <c r="P47" t="str">
        <f t="shared" si="44"/>
        <v>-</v>
      </c>
      <c r="Q47" t="str">
        <f t="shared" si="44"/>
        <v>-</v>
      </c>
      <c r="R47" t="str">
        <f t="shared" si="44"/>
        <v>-</v>
      </c>
      <c r="S47" t="str">
        <f t="shared" si="44"/>
        <v>-</v>
      </c>
      <c r="T47" t="str">
        <f t="shared" si="44"/>
        <v>-</v>
      </c>
      <c r="U47" t="str">
        <f t="shared" si="44"/>
        <v>-</v>
      </c>
      <c r="V47" t="str">
        <f t="shared" si="44"/>
        <v>-</v>
      </c>
      <c r="W47" t="str">
        <f t="shared" si="44"/>
        <v>-</v>
      </c>
      <c r="X47" t="str">
        <f t="shared" si="44"/>
        <v>-</v>
      </c>
      <c r="Y47" t="str">
        <f t="shared" si="44"/>
        <v>-</v>
      </c>
      <c r="Z47" t="str">
        <f t="shared" si="44"/>
        <v>-</v>
      </c>
      <c r="AA47" t="str">
        <f t="shared" si="44"/>
        <v>-</v>
      </c>
      <c r="AB47" t="str">
        <f t="shared" si="44"/>
        <v>-</v>
      </c>
      <c r="AC47" t="str">
        <f t="shared" si="44"/>
        <v>-</v>
      </c>
      <c r="AD47" t="str">
        <f t="shared" si="44"/>
        <v>-</v>
      </c>
      <c r="AE47" t="str">
        <f t="shared" si="44"/>
        <v>-</v>
      </c>
      <c r="AF47" t="str">
        <f t="shared" si="44"/>
        <v>-</v>
      </c>
      <c r="AG47" t="str">
        <f t="shared" si="44"/>
        <v>-</v>
      </c>
      <c r="AH47" s="22" t="b">
        <v>1</v>
      </c>
      <c r="AI47" s="22" t="b">
        <v>1</v>
      </c>
      <c r="AJ47" s="22" t="b">
        <v>1</v>
      </c>
      <c r="AK47" t="str">
        <f t="shared" si="44"/>
        <v>-</v>
      </c>
      <c r="AL47" t="str">
        <f t="shared" si="44"/>
        <v>-</v>
      </c>
      <c r="AM47" t="str">
        <f t="shared" si="44"/>
        <v>-</v>
      </c>
      <c r="AN47" t="str">
        <f t="shared" si="44"/>
        <v>-</v>
      </c>
      <c r="AO47" s="22">
        <v>-0.5</v>
      </c>
      <c r="AP47" s="22">
        <f>$AO47+1</f>
        <v>0.5</v>
      </c>
      <c r="AQ47" s="22">
        <f>$AO47-1</f>
        <v>-1.5</v>
      </c>
      <c r="AR47" t="s">
        <v>97</v>
      </c>
      <c r="AS47" t="s">
        <v>97</v>
      </c>
      <c r="AT47" t="s">
        <v>97</v>
      </c>
      <c r="AU47">
        <f t="shared" si="44"/>
        <v>1</v>
      </c>
      <c r="AV47">
        <f t="shared" si="44"/>
        <v>1</v>
      </c>
      <c r="AW47">
        <f t="shared" si="44"/>
        <v>1</v>
      </c>
      <c r="AX47">
        <f t="shared" si="44"/>
        <v>1</v>
      </c>
      <c r="AY47">
        <f t="shared" si="44"/>
        <v>1</v>
      </c>
      <c r="AZ47">
        <f t="shared" si="44"/>
        <v>1</v>
      </c>
      <c r="BA47">
        <f t="shared" si="44"/>
        <v>1</v>
      </c>
      <c r="BB47">
        <f t="shared" si="44"/>
        <v>1</v>
      </c>
      <c r="BC47">
        <f t="shared" si="44"/>
        <v>1</v>
      </c>
      <c r="BD47">
        <f t="shared" si="44"/>
        <v>1</v>
      </c>
      <c r="BE47">
        <f t="shared" si="44"/>
        <v>1</v>
      </c>
      <c r="BF47">
        <f t="shared" si="44"/>
        <v>1</v>
      </c>
      <c r="BG47">
        <f t="shared" si="44"/>
        <v>1</v>
      </c>
      <c r="BH47">
        <f t="shared" si="44"/>
        <v>1</v>
      </c>
      <c r="BI47">
        <f t="shared" si="44"/>
        <v>1</v>
      </c>
      <c r="BJ47">
        <f t="shared" si="44"/>
        <v>1</v>
      </c>
      <c r="BK47">
        <f t="shared" si="44"/>
        <v>0</v>
      </c>
      <c r="BL47">
        <f t="shared" si="44"/>
        <v>0</v>
      </c>
      <c r="BM47">
        <f t="shared" si="44"/>
        <v>0</v>
      </c>
      <c r="BN47">
        <f t="shared" si="44"/>
        <v>0</v>
      </c>
      <c r="BO47">
        <f t="shared" si="44"/>
        <v>0</v>
      </c>
      <c r="BP47" s="15"/>
    </row>
    <row r="48" spans="1:68" x14ac:dyDescent="0.25">
      <c r="A48" s="19">
        <v>44277.94740740741</v>
      </c>
      <c r="B48">
        <f t="shared" si="3"/>
        <v>43</v>
      </c>
      <c r="C48" t="b">
        <v>0</v>
      </c>
      <c r="D48" t="b">
        <v>0</v>
      </c>
      <c r="E48" t="b">
        <v>0</v>
      </c>
      <c r="F48" s="3" t="s">
        <v>100</v>
      </c>
      <c r="G48" s="26" t="str">
        <f>IF(MATCH(F48,F$5:F48,0)=COUNTA(F$5:F48),"-","Dup")</f>
        <v>-</v>
      </c>
      <c r="H48" t="str">
        <f t="shared" si="45"/>
        <v>-</v>
      </c>
      <c r="I48" t="b">
        <f t="shared" si="45"/>
        <v>0</v>
      </c>
      <c r="J48" t="b">
        <f t="shared" si="45"/>
        <v>1</v>
      </c>
      <c r="K48" t="str">
        <f t="shared" si="43"/>
        <v>-</v>
      </c>
      <c r="L48" t="str">
        <f t="shared" si="44"/>
        <v>-</v>
      </c>
      <c r="M48" t="str">
        <f t="shared" si="44"/>
        <v>-</v>
      </c>
      <c r="N48" t="str">
        <f t="shared" si="44"/>
        <v>-</v>
      </c>
      <c r="O48" t="str">
        <f t="shared" si="44"/>
        <v>-</v>
      </c>
      <c r="P48" t="str">
        <f t="shared" si="44"/>
        <v>-</v>
      </c>
      <c r="Q48" t="str">
        <f t="shared" si="44"/>
        <v>-</v>
      </c>
      <c r="R48" t="str">
        <f t="shared" si="44"/>
        <v>-</v>
      </c>
      <c r="S48" t="str">
        <f t="shared" si="44"/>
        <v>-</v>
      </c>
      <c r="T48" t="str">
        <f t="shared" si="44"/>
        <v>-</v>
      </c>
      <c r="U48" t="str">
        <f t="shared" si="44"/>
        <v>-</v>
      </c>
      <c r="V48" t="str">
        <f t="shared" si="44"/>
        <v>-</v>
      </c>
      <c r="W48" t="str">
        <f t="shared" si="44"/>
        <v>-</v>
      </c>
      <c r="X48" t="str">
        <f t="shared" si="44"/>
        <v>-</v>
      </c>
      <c r="Y48" t="str">
        <f t="shared" si="44"/>
        <v>-</v>
      </c>
      <c r="Z48" t="str">
        <f t="shared" si="44"/>
        <v>-</v>
      </c>
      <c r="AA48" t="str">
        <f t="shared" si="44"/>
        <v>-</v>
      </c>
      <c r="AB48" t="str">
        <f t="shared" si="44"/>
        <v>-</v>
      </c>
      <c r="AC48" t="str">
        <f t="shared" si="44"/>
        <v>-</v>
      </c>
      <c r="AD48" t="str">
        <f t="shared" si="44"/>
        <v>-</v>
      </c>
      <c r="AE48" t="str">
        <f t="shared" si="44"/>
        <v>-</v>
      </c>
      <c r="AF48" t="str">
        <f t="shared" si="44"/>
        <v>-</v>
      </c>
      <c r="AG48" t="str">
        <f t="shared" si="44"/>
        <v>-</v>
      </c>
      <c r="AH48" s="22" t="b">
        <v>1</v>
      </c>
      <c r="AI48" s="22" t="b">
        <v>1</v>
      </c>
      <c r="AJ48" s="22" t="b">
        <v>1</v>
      </c>
      <c r="AK48" t="str">
        <f t="shared" si="44"/>
        <v>-</v>
      </c>
      <c r="AL48" t="str">
        <f t="shared" si="44"/>
        <v>-</v>
      </c>
      <c r="AM48" t="str">
        <f t="shared" si="44"/>
        <v>-</v>
      </c>
      <c r="AN48" t="str">
        <f t="shared" si="44"/>
        <v>-</v>
      </c>
      <c r="AO48" s="22">
        <v>-0.5</v>
      </c>
      <c r="AP48" s="22">
        <f>$AO48+1.5</f>
        <v>1</v>
      </c>
      <c r="AQ48" s="22">
        <f>$AO48-1.5</f>
        <v>-2</v>
      </c>
      <c r="AR48" t="s">
        <v>97</v>
      </c>
      <c r="AS48" t="s">
        <v>97</v>
      </c>
      <c r="AT48" t="s">
        <v>97</v>
      </c>
      <c r="AU48">
        <f t="shared" si="44"/>
        <v>1</v>
      </c>
      <c r="AV48">
        <f t="shared" si="44"/>
        <v>1</v>
      </c>
      <c r="AW48">
        <f t="shared" si="44"/>
        <v>1</v>
      </c>
      <c r="AX48">
        <f t="shared" si="44"/>
        <v>1</v>
      </c>
      <c r="AY48">
        <f t="shared" si="44"/>
        <v>1</v>
      </c>
      <c r="AZ48">
        <f t="shared" si="44"/>
        <v>1</v>
      </c>
      <c r="BA48">
        <f t="shared" si="44"/>
        <v>1</v>
      </c>
      <c r="BB48">
        <f t="shared" si="44"/>
        <v>1</v>
      </c>
      <c r="BC48">
        <f t="shared" si="44"/>
        <v>1</v>
      </c>
      <c r="BD48">
        <f t="shared" si="44"/>
        <v>1</v>
      </c>
      <c r="BE48">
        <f t="shared" si="44"/>
        <v>1</v>
      </c>
      <c r="BF48">
        <f t="shared" si="44"/>
        <v>1</v>
      </c>
      <c r="BG48">
        <f t="shared" si="44"/>
        <v>1</v>
      </c>
      <c r="BH48">
        <f t="shared" si="44"/>
        <v>1</v>
      </c>
      <c r="BI48">
        <f t="shared" si="44"/>
        <v>1</v>
      </c>
      <c r="BJ48">
        <f t="shared" si="44"/>
        <v>1</v>
      </c>
      <c r="BK48">
        <f t="shared" si="44"/>
        <v>0</v>
      </c>
      <c r="BL48">
        <f t="shared" si="44"/>
        <v>0</v>
      </c>
      <c r="BM48">
        <f t="shared" si="44"/>
        <v>0</v>
      </c>
      <c r="BN48">
        <f t="shared" si="44"/>
        <v>0</v>
      </c>
      <c r="BO48">
        <f t="shared" si="44"/>
        <v>0</v>
      </c>
      <c r="BP48" s="15"/>
    </row>
    <row r="49" spans="1:68" x14ac:dyDescent="0.25">
      <c r="A49" s="19">
        <v>44277.94740740741</v>
      </c>
      <c r="B49">
        <f t="shared" si="3"/>
        <v>44</v>
      </c>
      <c r="C49" t="b">
        <v>0</v>
      </c>
      <c r="D49" t="b">
        <v>0</v>
      </c>
      <c r="E49" t="b">
        <v>0</v>
      </c>
      <c r="F49" s="3" t="s">
        <v>101</v>
      </c>
      <c r="G49" s="26" t="str">
        <f>IF(MATCH(F49,F$5:F49,0)=COUNTA(F$5:F49),"-","Dup")</f>
        <v>-</v>
      </c>
      <c r="H49" t="str">
        <f t="shared" si="45"/>
        <v>-</v>
      </c>
      <c r="I49" t="b">
        <f t="shared" si="45"/>
        <v>0</v>
      </c>
      <c r="J49" t="b">
        <f t="shared" si="45"/>
        <v>1</v>
      </c>
      <c r="K49" t="str">
        <f t="shared" si="43"/>
        <v>-</v>
      </c>
      <c r="L49" t="str">
        <f t="shared" si="44"/>
        <v>-</v>
      </c>
      <c r="M49" t="str">
        <f t="shared" si="44"/>
        <v>-</v>
      </c>
      <c r="N49" t="str">
        <f t="shared" si="44"/>
        <v>-</v>
      </c>
      <c r="O49" t="str">
        <f t="shared" si="44"/>
        <v>-</v>
      </c>
      <c r="P49" t="str">
        <f t="shared" si="44"/>
        <v>-</v>
      </c>
      <c r="Q49" t="str">
        <f t="shared" si="44"/>
        <v>-</v>
      </c>
      <c r="R49" t="str">
        <f t="shared" si="44"/>
        <v>-</v>
      </c>
      <c r="S49" t="str">
        <f t="shared" si="44"/>
        <v>-</v>
      </c>
      <c r="T49" t="str">
        <f t="shared" si="44"/>
        <v>-</v>
      </c>
      <c r="U49" t="str">
        <f t="shared" si="44"/>
        <v>-</v>
      </c>
      <c r="V49" t="str">
        <f t="shared" si="44"/>
        <v>-</v>
      </c>
      <c r="W49" t="str">
        <f t="shared" si="44"/>
        <v>-</v>
      </c>
      <c r="X49" t="str">
        <f t="shared" si="44"/>
        <v>-</v>
      </c>
      <c r="Y49" t="str">
        <f t="shared" si="44"/>
        <v>-</v>
      </c>
      <c r="Z49" t="str">
        <f t="shared" si="44"/>
        <v>-</v>
      </c>
      <c r="AA49" t="str">
        <f t="shared" si="44"/>
        <v>-</v>
      </c>
      <c r="AB49" t="str">
        <f t="shared" si="44"/>
        <v>-</v>
      </c>
      <c r="AC49" t="str">
        <f t="shared" si="44"/>
        <v>-</v>
      </c>
      <c r="AD49" t="str">
        <f t="shared" si="44"/>
        <v>-</v>
      </c>
      <c r="AE49" t="str">
        <f t="shared" si="44"/>
        <v>-</v>
      </c>
      <c r="AF49" t="str">
        <f t="shared" si="44"/>
        <v>-</v>
      </c>
      <c r="AG49" t="str">
        <f t="shared" si="44"/>
        <v>-</v>
      </c>
      <c r="AH49" s="22" t="b">
        <v>1</v>
      </c>
      <c r="AI49" s="22" t="b">
        <v>1</v>
      </c>
      <c r="AJ49" s="22" t="b">
        <v>1</v>
      </c>
      <c r="AK49" t="str">
        <f t="shared" si="44"/>
        <v>-</v>
      </c>
      <c r="AL49" t="str">
        <f t="shared" si="44"/>
        <v>-</v>
      </c>
      <c r="AM49" t="str">
        <f t="shared" si="44"/>
        <v>-</v>
      </c>
      <c r="AN49" t="str">
        <f t="shared" si="44"/>
        <v>-</v>
      </c>
      <c r="AO49" s="22">
        <v>-0.5</v>
      </c>
      <c r="AP49" s="22">
        <f>$AO49+2</f>
        <v>1.5</v>
      </c>
      <c r="AQ49" s="22">
        <f>$AO49-2</f>
        <v>-2.5</v>
      </c>
      <c r="AR49" t="s">
        <v>97</v>
      </c>
      <c r="AS49" t="s">
        <v>97</v>
      </c>
      <c r="AT49" t="s">
        <v>97</v>
      </c>
      <c r="AU49">
        <f t="shared" si="44"/>
        <v>1</v>
      </c>
      <c r="AV49">
        <f t="shared" si="44"/>
        <v>1</v>
      </c>
      <c r="AW49">
        <f t="shared" si="44"/>
        <v>1</v>
      </c>
      <c r="AX49">
        <f t="shared" si="44"/>
        <v>1</v>
      </c>
      <c r="AY49">
        <f t="shared" si="44"/>
        <v>1</v>
      </c>
      <c r="AZ49">
        <f t="shared" si="44"/>
        <v>1</v>
      </c>
      <c r="BA49">
        <f t="shared" si="44"/>
        <v>1</v>
      </c>
      <c r="BB49">
        <f t="shared" si="44"/>
        <v>1</v>
      </c>
      <c r="BC49">
        <f t="shared" si="44"/>
        <v>1</v>
      </c>
      <c r="BD49">
        <f t="shared" si="44"/>
        <v>1</v>
      </c>
      <c r="BE49">
        <f t="shared" si="44"/>
        <v>1</v>
      </c>
      <c r="BF49">
        <f t="shared" si="44"/>
        <v>1</v>
      </c>
      <c r="BG49">
        <f t="shared" si="44"/>
        <v>1</v>
      </c>
      <c r="BH49">
        <f t="shared" si="44"/>
        <v>1</v>
      </c>
      <c r="BI49">
        <f t="shared" si="44"/>
        <v>1</v>
      </c>
      <c r="BJ49">
        <f t="shared" si="44"/>
        <v>1</v>
      </c>
      <c r="BK49">
        <f t="shared" si="44"/>
        <v>0</v>
      </c>
      <c r="BL49">
        <f t="shared" si="44"/>
        <v>0</v>
      </c>
      <c r="BM49">
        <f t="shared" si="44"/>
        <v>0</v>
      </c>
      <c r="BN49">
        <f t="shared" si="44"/>
        <v>0</v>
      </c>
      <c r="BO49">
        <f t="shared" si="44"/>
        <v>0</v>
      </c>
      <c r="BP49" s="15"/>
    </row>
    <row r="50" spans="1:68" x14ac:dyDescent="0.25">
      <c r="A50" s="19">
        <v>44278.428553240738</v>
      </c>
      <c r="B50">
        <f t="shared" si="3"/>
        <v>45</v>
      </c>
      <c r="C50" t="b">
        <v>0</v>
      </c>
      <c r="D50" t="b">
        <v>0</v>
      </c>
      <c r="E50" t="b">
        <v>0</v>
      </c>
      <c r="F50" s="3" t="s">
        <v>102</v>
      </c>
      <c r="G50" s="26" t="str">
        <f>IF(MATCH(F50,F$5:F50,0)=COUNTA(F$5:F50),"-","Dup")</f>
        <v>-</v>
      </c>
      <c r="H50" t="s">
        <v>97</v>
      </c>
      <c r="I50" t="b">
        <v>0</v>
      </c>
      <c r="J50" t="b">
        <v>1</v>
      </c>
      <c r="K50" t="s">
        <v>97</v>
      </c>
      <c r="L50" t="s">
        <v>97</v>
      </c>
      <c r="M50" t="s">
        <v>97</v>
      </c>
      <c r="N50" t="s">
        <v>97</v>
      </c>
      <c r="O50" t="s">
        <v>97</v>
      </c>
      <c r="P50" t="s">
        <v>97</v>
      </c>
      <c r="Q50" t="s">
        <v>97</v>
      </c>
      <c r="R50" t="s">
        <v>97</v>
      </c>
      <c r="S50" t="s">
        <v>97</v>
      </c>
      <c r="T50" t="s">
        <v>97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A50" t="s">
        <v>97</v>
      </c>
      <c r="AB50" t="s">
        <v>97</v>
      </c>
      <c r="AC50" t="s">
        <v>97</v>
      </c>
      <c r="AD50" t="s">
        <v>97</v>
      </c>
      <c r="AE50" t="s">
        <v>97</v>
      </c>
      <c r="AF50" t="s">
        <v>97</v>
      </c>
      <c r="AG50" t="s">
        <v>97</v>
      </c>
      <c r="AH50" s="22" t="b">
        <v>1</v>
      </c>
      <c r="AI50" s="22" t="b">
        <v>1</v>
      </c>
      <c r="AJ50" s="22" t="b">
        <v>1</v>
      </c>
      <c r="AK50" t="s">
        <v>97</v>
      </c>
      <c r="AL50" t="s">
        <v>97</v>
      </c>
      <c r="AM50" t="s">
        <v>97</v>
      </c>
      <c r="AN50" t="s">
        <v>97</v>
      </c>
      <c r="AO50" s="22">
        <f>AO46+0.5</f>
        <v>0</v>
      </c>
      <c r="AP50" s="22">
        <f t="shared" ref="AP50" si="46">$AO50+0.5</f>
        <v>0.5</v>
      </c>
      <c r="AQ50" s="22">
        <f>$AO50-0.5</f>
        <v>-0.5</v>
      </c>
      <c r="AR50" t="s">
        <v>97</v>
      </c>
      <c r="AS50" t="s">
        <v>97</v>
      </c>
      <c r="AT50" t="s">
        <v>97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  <c r="BO50">
        <v>0</v>
      </c>
      <c r="BP50" s="15"/>
    </row>
    <row r="51" spans="1:68" x14ac:dyDescent="0.25">
      <c r="A51" s="19">
        <v>44277.94740740741</v>
      </c>
      <c r="B51">
        <f t="shared" si="3"/>
        <v>46</v>
      </c>
      <c r="C51" t="b">
        <v>0</v>
      </c>
      <c r="D51" t="b">
        <v>0</v>
      </c>
      <c r="E51" t="b">
        <v>0</v>
      </c>
      <c r="F51" s="3" t="s">
        <v>103</v>
      </c>
      <c r="G51" s="26" t="str">
        <f>IF(MATCH(F51,F$5:F51,0)=COUNTA(F$5:F51),"-","Dup")</f>
        <v>-</v>
      </c>
      <c r="H51" t="s">
        <v>97</v>
      </c>
      <c r="I51" t="b">
        <v>0</v>
      </c>
      <c r="J51" t="b">
        <v>1</v>
      </c>
      <c r="K51" t="s">
        <v>97</v>
      </c>
      <c r="L51" t="s">
        <v>97</v>
      </c>
      <c r="M51" t="s">
        <v>97</v>
      </c>
      <c r="N51" t="s">
        <v>97</v>
      </c>
      <c r="O51" t="s">
        <v>97</v>
      </c>
      <c r="P51" t="s">
        <v>97</v>
      </c>
      <c r="Q51" t="s">
        <v>97</v>
      </c>
      <c r="R51" t="s">
        <v>97</v>
      </c>
      <c r="S51" t="s">
        <v>97</v>
      </c>
      <c r="T51" t="s">
        <v>97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A51" t="s">
        <v>97</v>
      </c>
      <c r="AB51" t="s">
        <v>97</v>
      </c>
      <c r="AC51" t="s">
        <v>97</v>
      </c>
      <c r="AD51" t="s">
        <v>97</v>
      </c>
      <c r="AE51" t="s">
        <v>97</v>
      </c>
      <c r="AF51" t="s">
        <v>97</v>
      </c>
      <c r="AG51" t="s">
        <v>97</v>
      </c>
      <c r="AH51" s="22" t="b">
        <v>1</v>
      </c>
      <c r="AI51" s="22" t="b">
        <v>1</v>
      </c>
      <c r="AJ51" s="22" t="b">
        <v>1</v>
      </c>
      <c r="AK51" t="s">
        <v>97</v>
      </c>
      <c r="AL51" t="s">
        <v>97</v>
      </c>
      <c r="AM51" t="s">
        <v>97</v>
      </c>
      <c r="AN51" t="s">
        <v>97</v>
      </c>
      <c r="AO51" s="22">
        <f t="shared" ref="AO51:AO61" si="47">AO47+0.5</f>
        <v>0</v>
      </c>
      <c r="AP51" s="22">
        <f t="shared" ref="AP51" si="48">$AO51+1</f>
        <v>1</v>
      </c>
      <c r="AQ51" s="22">
        <f>$AO51-1</f>
        <v>-1</v>
      </c>
      <c r="AR51" t="s">
        <v>97</v>
      </c>
      <c r="AS51" t="s">
        <v>97</v>
      </c>
      <c r="AT51" t="s">
        <v>97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  <c r="BO51">
        <v>0</v>
      </c>
      <c r="BP51" s="15"/>
    </row>
    <row r="52" spans="1:68" x14ac:dyDescent="0.25">
      <c r="A52" s="19">
        <v>44277.94740740741</v>
      </c>
      <c r="B52">
        <f t="shared" si="3"/>
        <v>47</v>
      </c>
      <c r="C52" t="b">
        <v>0</v>
      </c>
      <c r="D52" t="b">
        <v>0</v>
      </c>
      <c r="E52" t="b">
        <v>0</v>
      </c>
      <c r="F52" s="3" t="s">
        <v>104</v>
      </c>
      <c r="G52" s="26" t="str">
        <f>IF(MATCH(F52,F$5:F52,0)=COUNTA(F$5:F52),"-","Dup")</f>
        <v>-</v>
      </c>
      <c r="H52" t="s">
        <v>97</v>
      </c>
      <c r="I52" t="b">
        <v>0</v>
      </c>
      <c r="J52" t="b">
        <v>1</v>
      </c>
      <c r="K52" t="s">
        <v>97</v>
      </c>
      <c r="L52" t="s">
        <v>97</v>
      </c>
      <c r="M52" t="s">
        <v>97</v>
      </c>
      <c r="N52" t="s">
        <v>97</v>
      </c>
      <c r="O52" t="s">
        <v>97</v>
      </c>
      <c r="P52" t="s">
        <v>97</v>
      </c>
      <c r="Q52" t="s">
        <v>97</v>
      </c>
      <c r="R52" t="s">
        <v>97</v>
      </c>
      <c r="S52" t="s">
        <v>97</v>
      </c>
      <c r="T52" t="s">
        <v>97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A52" t="s">
        <v>97</v>
      </c>
      <c r="AB52" t="s">
        <v>97</v>
      </c>
      <c r="AC52" t="s">
        <v>97</v>
      </c>
      <c r="AD52" t="s">
        <v>97</v>
      </c>
      <c r="AE52" t="s">
        <v>97</v>
      </c>
      <c r="AF52" t="s">
        <v>97</v>
      </c>
      <c r="AG52" t="s">
        <v>97</v>
      </c>
      <c r="AH52" s="22" t="b">
        <v>1</v>
      </c>
      <c r="AI52" s="22" t="b">
        <v>1</v>
      </c>
      <c r="AJ52" s="22" t="b">
        <v>1</v>
      </c>
      <c r="AK52" t="s">
        <v>97</v>
      </c>
      <c r="AL52" t="s">
        <v>97</v>
      </c>
      <c r="AM52" t="s">
        <v>97</v>
      </c>
      <c r="AN52" t="s">
        <v>97</v>
      </c>
      <c r="AO52" s="22">
        <f t="shared" si="47"/>
        <v>0</v>
      </c>
      <c r="AP52" s="22">
        <f t="shared" ref="AP52" si="49">$AO52+1.5</f>
        <v>1.5</v>
      </c>
      <c r="AQ52" s="22">
        <f>$AO52-1.5</f>
        <v>-1.5</v>
      </c>
      <c r="AR52" t="s">
        <v>97</v>
      </c>
      <c r="AS52" t="s">
        <v>97</v>
      </c>
      <c r="AT52" t="s">
        <v>97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0</v>
      </c>
      <c r="BL52">
        <v>0</v>
      </c>
      <c r="BM52">
        <v>0</v>
      </c>
      <c r="BN52">
        <v>0</v>
      </c>
      <c r="BO52">
        <v>0</v>
      </c>
      <c r="BP52" s="15"/>
    </row>
    <row r="53" spans="1:68" x14ac:dyDescent="0.25">
      <c r="A53" s="19">
        <v>44277.94740740741</v>
      </c>
      <c r="B53">
        <f t="shared" si="3"/>
        <v>48</v>
      </c>
      <c r="C53" t="b">
        <v>0</v>
      </c>
      <c r="D53" t="b">
        <v>0</v>
      </c>
      <c r="E53" t="b">
        <v>0</v>
      </c>
      <c r="F53" s="3" t="s">
        <v>105</v>
      </c>
      <c r="G53" s="26" t="str">
        <f>IF(MATCH(F53,F$5:F53,0)=COUNTA(F$5:F53),"-","Dup")</f>
        <v>-</v>
      </c>
      <c r="H53" t="s">
        <v>97</v>
      </c>
      <c r="I53" t="b">
        <v>0</v>
      </c>
      <c r="J53" t="b">
        <v>1</v>
      </c>
      <c r="K53" t="s">
        <v>97</v>
      </c>
      <c r="L53" t="s">
        <v>97</v>
      </c>
      <c r="M53" t="s">
        <v>97</v>
      </c>
      <c r="N53" t="s">
        <v>97</v>
      </c>
      <c r="O53" t="s">
        <v>97</v>
      </c>
      <c r="P53" t="s">
        <v>97</v>
      </c>
      <c r="Q53" t="s">
        <v>97</v>
      </c>
      <c r="R53" t="s">
        <v>97</v>
      </c>
      <c r="S53" t="s">
        <v>97</v>
      </c>
      <c r="T53" t="s">
        <v>97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A53" t="s">
        <v>97</v>
      </c>
      <c r="AB53" t="s">
        <v>97</v>
      </c>
      <c r="AC53" t="s">
        <v>97</v>
      </c>
      <c r="AD53" t="s">
        <v>97</v>
      </c>
      <c r="AE53" t="s">
        <v>97</v>
      </c>
      <c r="AF53" t="s">
        <v>97</v>
      </c>
      <c r="AG53" t="s">
        <v>97</v>
      </c>
      <c r="AH53" s="22" t="b">
        <v>1</v>
      </c>
      <c r="AI53" s="22" t="b">
        <v>1</v>
      </c>
      <c r="AJ53" s="22" t="b">
        <v>1</v>
      </c>
      <c r="AK53" t="s">
        <v>97</v>
      </c>
      <c r="AL53" t="s">
        <v>97</v>
      </c>
      <c r="AM53" t="s">
        <v>97</v>
      </c>
      <c r="AN53" t="s">
        <v>97</v>
      </c>
      <c r="AO53" s="22">
        <f t="shared" si="47"/>
        <v>0</v>
      </c>
      <c r="AP53" s="22">
        <f t="shared" ref="AP53" si="50">$AO53+2</f>
        <v>2</v>
      </c>
      <c r="AQ53" s="22">
        <f>$AO53-2</f>
        <v>-2</v>
      </c>
      <c r="AR53" t="s">
        <v>97</v>
      </c>
      <c r="AS53" t="s">
        <v>97</v>
      </c>
      <c r="AT53" t="s">
        <v>97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0</v>
      </c>
      <c r="BL53">
        <v>0</v>
      </c>
      <c r="BM53">
        <v>0</v>
      </c>
      <c r="BN53">
        <v>0</v>
      </c>
      <c r="BO53">
        <v>0</v>
      </c>
      <c r="BP53" s="15"/>
    </row>
    <row r="54" spans="1:68" x14ac:dyDescent="0.25">
      <c r="A54" s="19">
        <v>44277.94740740741</v>
      </c>
      <c r="B54">
        <f t="shared" si="3"/>
        <v>49</v>
      </c>
      <c r="C54" t="b">
        <v>0</v>
      </c>
      <c r="D54" t="b">
        <v>0</v>
      </c>
      <c r="E54" t="b">
        <v>0</v>
      </c>
      <c r="F54" s="3" t="s">
        <v>106</v>
      </c>
      <c r="G54" s="26" t="str">
        <f>IF(MATCH(F54,F$5:F54,0)=COUNTA(F$5:F54),"-","Dup")</f>
        <v>-</v>
      </c>
      <c r="H54" t="s">
        <v>97</v>
      </c>
      <c r="I54" t="b">
        <v>0</v>
      </c>
      <c r="J54" t="b">
        <v>1</v>
      </c>
      <c r="K54" t="s">
        <v>97</v>
      </c>
      <c r="L54" t="s">
        <v>97</v>
      </c>
      <c r="M54" t="s">
        <v>97</v>
      </c>
      <c r="N54" t="s">
        <v>97</v>
      </c>
      <c r="O54" t="s">
        <v>97</v>
      </c>
      <c r="P54" t="s">
        <v>97</v>
      </c>
      <c r="Q54" t="s">
        <v>97</v>
      </c>
      <c r="R54" t="s">
        <v>97</v>
      </c>
      <c r="S54" t="s">
        <v>97</v>
      </c>
      <c r="T54" t="s">
        <v>97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A54" t="s">
        <v>97</v>
      </c>
      <c r="AB54" t="s">
        <v>97</v>
      </c>
      <c r="AC54" t="s">
        <v>97</v>
      </c>
      <c r="AD54" t="s">
        <v>97</v>
      </c>
      <c r="AE54" t="s">
        <v>97</v>
      </c>
      <c r="AF54" t="s">
        <v>97</v>
      </c>
      <c r="AG54" t="s">
        <v>97</v>
      </c>
      <c r="AH54" s="22" t="b">
        <v>1</v>
      </c>
      <c r="AI54" s="22" t="b">
        <v>1</v>
      </c>
      <c r="AJ54" s="22" t="b">
        <v>1</v>
      </c>
      <c r="AK54" t="s">
        <v>97</v>
      </c>
      <c r="AL54" t="s">
        <v>97</v>
      </c>
      <c r="AM54" t="s">
        <v>97</v>
      </c>
      <c r="AN54" t="s">
        <v>97</v>
      </c>
      <c r="AO54" s="22">
        <f t="shared" si="47"/>
        <v>0.5</v>
      </c>
      <c r="AP54" s="22">
        <f t="shared" ref="AP54" si="51">$AO54+0.5</f>
        <v>1</v>
      </c>
      <c r="AQ54" s="22">
        <f>$AO54-0.5</f>
        <v>0</v>
      </c>
      <c r="AR54" t="s">
        <v>97</v>
      </c>
      <c r="AS54" t="s">
        <v>97</v>
      </c>
      <c r="AT54" t="s">
        <v>97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0</v>
      </c>
      <c r="BL54">
        <v>0</v>
      </c>
      <c r="BM54">
        <v>0</v>
      </c>
      <c r="BN54">
        <v>0</v>
      </c>
      <c r="BO54">
        <v>0</v>
      </c>
      <c r="BP54" s="15"/>
    </row>
    <row r="55" spans="1:68" x14ac:dyDescent="0.25">
      <c r="A55" s="19">
        <v>44277.94740740741</v>
      </c>
      <c r="B55">
        <f t="shared" si="3"/>
        <v>50</v>
      </c>
      <c r="C55" t="b">
        <v>0</v>
      </c>
      <c r="D55" t="b">
        <v>0</v>
      </c>
      <c r="E55" t="b">
        <v>0</v>
      </c>
      <c r="F55" s="3" t="s">
        <v>107</v>
      </c>
      <c r="G55" s="26" t="str">
        <f>IF(MATCH(F55,F$5:F55,0)=COUNTA(F$5:F55),"-","Dup")</f>
        <v>-</v>
      </c>
      <c r="H55" t="s">
        <v>97</v>
      </c>
      <c r="I55" t="b">
        <v>0</v>
      </c>
      <c r="J55" t="b">
        <v>1</v>
      </c>
      <c r="K55" t="s">
        <v>97</v>
      </c>
      <c r="L55" t="s">
        <v>97</v>
      </c>
      <c r="M55" t="s">
        <v>97</v>
      </c>
      <c r="N55" t="s">
        <v>97</v>
      </c>
      <c r="O55" t="s">
        <v>97</v>
      </c>
      <c r="P55" t="s">
        <v>97</v>
      </c>
      <c r="Q55" t="s">
        <v>97</v>
      </c>
      <c r="R55" t="s">
        <v>97</v>
      </c>
      <c r="S55" t="s">
        <v>97</v>
      </c>
      <c r="T55" t="s">
        <v>97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A55" t="s">
        <v>97</v>
      </c>
      <c r="AB55" t="s">
        <v>97</v>
      </c>
      <c r="AC55" t="s">
        <v>97</v>
      </c>
      <c r="AD55" t="s">
        <v>97</v>
      </c>
      <c r="AE55" t="s">
        <v>97</v>
      </c>
      <c r="AF55" t="s">
        <v>97</v>
      </c>
      <c r="AG55" t="s">
        <v>97</v>
      </c>
      <c r="AH55" s="22" t="b">
        <v>1</v>
      </c>
      <c r="AI55" s="22" t="b">
        <v>1</v>
      </c>
      <c r="AJ55" s="22" t="b">
        <v>1</v>
      </c>
      <c r="AK55" t="s">
        <v>97</v>
      </c>
      <c r="AL55" t="s">
        <v>97</v>
      </c>
      <c r="AM55" t="s">
        <v>97</v>
      </c>
      <c r="AN55" t="s">
        <v>97</v>
      </c>
      <c r="AO55" s="22">
        <f t="shared" si="47"/>
        <v>0.5</v>
      </c>
      <c r="AP55" s="22">
        <f t="shared" ref="AP55" si="52">$AO55+1</f>
        <v>1.5</v>
      </c>
      <c r="AQ55" s="22">
        <f>$AO55-1</f>
        <v>-0.5</v>
      </c>
      <c r="AR55" t="s">
        <v>97</v>
      </c>
      <c r="AS55" t="s">
        <v>97</v>
      </c>
      <c r="AT55" t="s">
        <v>97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0</v>
      </c>
      <c r="BL55">
        <v>0</v>
      </c>
      <c r="BM55">
        <v>0</v>
      </c>
      <c r="BN55">
        <v>0</v>
      </c>
      <c r="BO55">
        <v>0</v>
      </c>
      <c r="BP55" s="15"/>
    </row>
    <row r="56" spans="1:68" x14ac:dyDescent="0.25">
      <c r="A56" s="19">
        <v>44277.94740740741</v>
      </c>
      <c r="B56">
        <f t="shared" si="3"/>
        <v>51</v>
      </c>
      <c r="C56" t="b">
        <v>0</v>
      </c>
      <c r="D56" t="b">
        <v>0</v>
      </c>
      <c r="E56" t="b">
        <v>0</v>
      </c>
      <c r="F56" s="3" t="s">
        <v>108</v>
      </c>
      <c r="G56" s="26" t="str">
        <f>IF(MATCH(F56,F$5:F56,0)=COUNTA(F$5:F56),"-","Dup")</f>
        <v>-</v>
      </c>
      <c r="H56" t="s">
        <v>97</v>
      </c>
      <c r="I56" t="b">
        <v>0</v>
      </c>
      <c r="J56" t="b">
        <v>1</v>
      </c>
      <c r="K56" t="s">
        <v>97</v>
      </c>
      <c r="L56" t="s">
        <v>97</v>
      </c>
      <c r="M56" t="s">
        <v>97</v>
      </c>
      <c r="N56" t="s">
        <v>97</v>
      </c>
      <c r="O56" t="s">
        <v>97</v>
      </c>
      <c r="P56" t="s">
        <v>97</v>
      </c>
      <c r="Q56" t="s">
        <v>97</v>
      </c>
      <c r="R56" t="s">
        <v>97</v>
      </c>
      <c r="S56" t="s">
        <v>97</v>
      </c>
      <c r="T56" t="s">
        <v>97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A56" t="s">
        <v>97</v>
      </c>
      <c r="AB56" t="s">
        <v>97</v>
      </c>
      <c r="AC56" t="s">
        <v>97</v>
      </c>
      <c r="AD56" t="s">
        <v>97</v>
      </c>
      <c r="AE56" t="s">
        <v>97</v>
      </c>
      <c r="AF56" t="s">
        <v>97</v>
      </c>
      <c r="AG56" t="s">
        <v>97</v>
      </c>
      <c r="AH56" s="22" t="b">
        <v>1</v>
      </c>
      <c r="AI56" s="22" t="b">
        <v>1</v>
      </c>
      <c r="AJ56" s="22" t="b">
        <v>1</v>
      </c>
      <c r="AK56" t="s">
        <v>97</v>
      </c>
      <c r="AL56" t="s">
        <v>97</v>
      </c>
      <c r="AM56" t="s">
        <v>97</v>
      </c>
      <c r="AN56" t="s">
        <v>97</v>
      </c>
      <c r="AO56" s="22">
        <f t="shared" si="47"/>
        <v>0.5</v>
      </c>
      <c r="AP56" s="22">
        <f t="shared" ref="AP56" si="53">$AO56+1.5</f>
        <v>2</v>
      </c>
      <c r="AQ56" s="22">
        <f>$AO56-1.5</f>
        <v>-1</v>
      </c>
      <c r="AR56" t="s">
        <v>97</v>
      </c>
      <c r="AS56" t="s">
        <v>97</v>
      </c>
      <c r="AT56" t="s">
        <v>97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0</v>
      </c>
      <c r="BL56">
        <v>0</v>
      </c>
      <c r="BM56">
        <v>0</v>
      </c>
      <c r="BN56">
        <v>0</v>
      </c>
      <c r="BO56">
        <v>0</v>
      </c>
      <c r="BP56" s="15"/>
    </row>
    <row r="57" spans="1:68" x14ac:dyDescent="0.25">
      <c r="A57" s="19">
        <v>44277.94740740741</v>
      </c>
      <c r="B57">
        <f t="shared" si="3"/>
        <v>52</v>
      </c>
      <c r="C57" t="b">
        <v>0</v>
      </c>
      <c r="D57" t="b">
        <v>0</v>
      </c>
      <c r="E57" t="b">
        <v>0</v>
      </c>
      <c r="F57" s="3" t="s">
        <v>109</v>
      </c>
      <c r="G57" s="26" t="str">
        <f>IF(MATCH(F57,F$5:F57,0)=COUNTA(F$5:F57),"-","Dup")</f>
        <v>-</v>
      </c>
      <c r="H57" t="s">
        <v>97</v>
      </c>
      <c r="I57" t="b">
        <v>0</v>
      </c>
      <c r="J57" t="b">
        <v>1</v>
      </c>
      <c r="K57" t="s">
        <v>97</v>
      </c>
      <c r="L57" t="s">
        <v>97</v>
      </c>
      <c r="M57" t="s">
        <v>97</v>
      </c>
      <c r="N57" t="s">
        <v>97</v>
      </c>
      <c r="O57" t="s">
        <v>97</v>
      </c>
      <c r="P57" t="s">
        <v>97</v>
      </c>
      <c r="Q57" t="s">
        <v>97</v>
      </c>
      <c r="R57" t="s">
        <v>97</v>
      </c>
      <c r="S57" t="s">
        <v>97</v>
      </c>
      <c r="T57" t="s">
        <v>97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A57" t="s">
        <v>97</v>
      </c>
      <c r="AB57" t="s">
        <v>97</v>
      </c>
      <c r="AC57" t="s">
        <v>97</v>
      </c>
      <c r="AD57" t="s">
        <v>97</v>
      </c>
      <c r="AE57" t="s">
        <v>97</v>
      </c>
      <c r="AF57" t="s">
        <v>97</v>
      </c>
      <c r="AG57" t="s">
        <v>97</v>
      </c>
      <c r="AH57" s="22" t="b">
        <v>1</v>
      </c>
      <c r="AI57" s="22" t="b">
        <v>1</v>
      </c>
      <c r="AJ57" s="22" t="b">
        <v>1</v>
      </c>
      <c r="AK57" t="s">
        <v>97</v>
      </c>
      <c r="AL57" t="s">
        <v>97</v>
      </c>
      <c r="AM57" t="s">
        <v>97</v>
      </c>
      <c r="AN57" t="s">
        <v>97</v>
      </c>
      <c r="AO57" s="22">
        <f t="shared" si="47"/>
        <v>0.5</v>
      </c>
      <c r="AP57" s="22">
        <f t="shared" ref="AP57" si="54">$AO57+2</f>
        <v>2.5</v>
      </c>
      <c r="AQ57" s="22">
        <f>$AO57-2</f>
        <v>-1.5</v>
      </c>
      <c r="AR57" t="s">
        <v>97</v>
      </c>
      <c r="AS57" t="s">
        <v>97</v>
      </c>
      <c r="AT57" t="s">
        <v>97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0</v>
      </c>
      <c r="BL57">
        <v>0</v>
      </c>
      <c r="BM57">
        <v>0</v>
      </c>
      <c r="BN57">
        <v>0</v>
      </c>
      <c r="BO57">
        <v>0</v>
      </c>
      <c r="BP57" s="15"/>
    </row>
    <row r="58" spans="1:68" x14ac:dyDescent="0.25">
      <c r="A58" s="19">
        <v>44277.94740740741</v>
      </c>
      <c r="B58">
        <f t="shared" si="3"/>
        <v>53</v>
      </c>
      <c r="C58" t="b">
        <v>0</v>
      </c>
      <c r="D58" t="b">
        <v>0</v>
      </c>
      <c r="E58" t="b">
        <v>0</v>
      </c>
      <c r="F58" s="3" t="s">
        <v>110</v>
      </c>
      <c r="G58" s="26" t="str">
        <f>IF(MATCH(F58,F$5:F58,0)=COUNTA(F$5:F58),"-","Dup")</f>
        <v>-</v>
      </c>
      <c r="H58" t="s">
        <v>97</v>
      </c>
      <c r="I58" t="b">
        <v>0</v>
      </c>
      <c r="J58" t="b">
        <v>1</v>
      </c>
      <c r="K58" t="s">
        <v>97</v>
      </c>
      <c r="L58" t="s">
        <v>97</v>
      </c>
      <c r="M58" t="s">
        <v>97</v>
      </c>
      <c r="N58" t="s">
        <v>97</v>
      </c>
      <c r="O58" t="s">
        <v>97</v>
      </c>
      <c r="P58" t="s">
        <v>97</v>
      </c>
      <c r="Q58" t="s">
        <v>97</v>
      </c>
      <c r="R58" t="s">
        <v>97</v>
      </c>
      <c r="S58" t="s">
        <v>97</v>
      </c>
      <c r="T58" t="s">
        <v>97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A58" t="s">
        <v>97</v>
      </c>
      <c r="AB58" t="s">
        <v>97</v>
      </c>
      <c r="AC58" t="s">
        <v>97</v>
      </c>
      <c r="AD58" t="s">
        <v>97</v>
      </c>
      <c r="AE58" t="s">
        <v>97</v>
      </c>
      <c r="AF58" t="s">
        <v>97</v>
      </c>
      <c r="AG58" t="s">
        <v>97</v>
      </c>
      <c r="AH58" s="22" t="b">
        <v>1</v>
      </c>
      <c r="AI58" s="22" t="b">
        <v>1</v>
      </c>
      <c r="AJ58" s="22" t="b">
        <v>1</v>
      </c>
      <c r="AK58" t="s">
        <v>97</v>
      </c>
      <c r="AL58" t="s">
        <v>97</v>
      </c>
      <c r="AM58" t="s">
        <v>97</v>
      </c>
      <c r="AN58" t="s">
        <v>97</v>
      </c>
      <c r="AO58" s="22">
        <f t="shared" si="47"/>
        <v>1</v>
      </c>
      <c r="AP58" s="22">
        <f t="shared" ref="AP58" si="55">$AO58+0.5</f>
        <v>1.5</v>
      </c>
      <c r="AQ58" s="22">
        <f>$AO58-0.5</f>
        <v>0.5</v>
      </c>
      <c r="AR58" t="s">
        <v>97</v>
      </c>
      <c r="AS58" t="s">
        <v>97</v>
      </c>
      <c r="AT58" t="s">
        <v>97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0</v>
      </c>
      <c r="BL58">
        <v>0</v>
      </c>
      <c r="BM58">
        <v>0</v>
      </c>
      <c r="BN58">
        <v>0</v>
      </c>
      <c r="BO58">
        <v>0</v>
      </c>
      <c r="BP58" s="15"/>
    </row>
    <row r="59" spans="1:68" x14ac:dyDescent="0.25">
      <c r="A59" s="19">
        <v>44277.94740740741</v>
      </c>
      <c r="B59">
        <f t="shared" si="3"/>
        <v>54</v>
      </c>
      <c r="C59" t="b">
        <v>0</v>
      </c>
      <c r="D59" t="b">
        <v>0</v>
      </c>
      <c r="E59" t="b">
        <v>0</v>
      </c>
      <c r="F59" s="3" t="s">
        <v>111</v>
      </c>
      <c r="G59" s="26" t="str">
        <f>IF(MATCH(F59,F$5:F59,0)=COUNTA(F$5:F59),"-","Dup")</f>
        <v>-</v>
      </c>
      <c r="H59" t="s">
        <v>97</v>
      </c>
      <c r="I59" t="b">
        <v>0</v>
      </c>
      <c r="J59" t="b">
        <v>1</v>
      </c>
      <c r="K59" t="s">
        <v>97</v>
      </c>
      <c r="L59" t="s">
        <v>97</v>
      </c>
      <c r="M59" t="s">
        <v>97</v>
      </c>
      <c r="N59" t="s">
        <v>97</v>
      </c>
      <c r="O59" t="s">
        <v>97</v>
      </c>
      <c r="P59" t="s">
        <v>97</v>
      </c>
      <c r="Q59" t="s">
        <v>97</v>
      </c>
      <c r="R59" t="s">
        <v>97</v>
      </c>
      <c r="S59" t="s">
        <v>97</v>
      </c>
      <c r="T59" t="s">
        <v>97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A59" t="s">
        <v>97</v>
      </c>
      <c r="AB59" t="s">
        <v>97</v>
      </c>
      <c r="AC59" t="s">
        <v>97</v>
      </c>
      <c r="AD59" t="s">
        <v>97</v>
      </c>
      <c r="AE59" t="s">
        <v>97</v>
      </c>
      <c r="AF59" t="s">
        <v>97</v>
      </c>
      <c r="AG59" t="s">
        <v>97</v>
      </c>
      <c r="AH59" s="22" t="b">
        <v>1</v>
      </c>
      <c r="AI59" s="22" t="b">
        <v>1</v>
      </c>
      <c r="AJ59" s="22" t="b">
        <v>1</v>
      </c>
      <c r="AK59" t="s">
        <v>97</v>
      </c>
      <c r="AL59" t="s">
        <v>97</v>
      </c>
      <c r="AM59" t="s">
        <v>97</v>
      </c>
      <c r="AN59" t="s">
        <v>97</v>
      </c>
      <c r="AO59" s="22">
        <f t="shared" si="47"/>
        <v>1</v>
      </c>
      <c r="AP59" s="22">
        <f t="shared" ref="AP59" si="56">$AO59+1</f>
        <v>2</v>
      </c>
      <c r="AQ59" s="22">
        <f>$AO59-1</f>
        <v>0</v>
      </c>
      <c r="AR59" t="s">
        <v>97</v>
      </c>
      <c r="AS59" t="s">
        <v>97</v>
      </c>
      <c r="AT59" t="s">
        <v>97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0</v>
      </c>
      <c r="BL59">
        <v>0</v>
      </c>
      <c r="BM59">
        <v>0</v>
      </c>
      <c r="BN59">
        <v>0</v>
      </c>
      <c r="BO59">
        <v>0</v>
      </c>
      <c r="BP59" s="15"/>
    </row>
    <row r="60" spans="1:68" x14ac:dyDescent="0.25">
      <c r="A60" s="19">
        <v>44277.94740740741</v>
      </c>
      <c r="B60">
        <f t="shared" si="3"/>
        <v>55</v>
      </c>
      <c r="C60" t="b">
        <v>0</v>
      </c>
      <c r="D60" t="b">
        <v>0</v>
      </c>
      <c r="E60" t="b">
        <v>0</v>
      </c>
      <c r="F60" s="3" t="s">
        <v>112</v>
      </c>
      <c r="G60" s="26" t="str">
        <f>IF(MATCH(F60,F$5:F60,0)=COUNTA(F$5:F60),"-","Dup")</f>
        <v>-</v>
      </c>
      <c r="H60" t="s">
        <v>97</v>
      </c>
      <c r="I60" t="b">
        <v>0</v>
      </c>
      <c r="J60" t="b">
        <v>1</v>
      </c>
      <c r="K60" t="s">
        <v>97</v>
      </c>
      <c r="L60" t="s">
        <v>97</v>
      </c>
      <c r="M60" t="s">
        <v>97</v>
      </c>
      <c r="N60" t="s">
        <v>97</v>
      </c>
      <c r="O60" t="s">
        <v>97</v>
      </c>
      <c r="P60" t="s">
        <v>97</v>
      </c>
      <c r="Q60" t="s">
        <v>97</v>
      </c>
      <c r="R60" t="s">
        <v>97</v>
      </c>
      <c r="S60" t="s">
        <v>97</v>
      </c>
      <c r="T60" t="s">
        <v>97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A60" t="s">
        <v>97</v>
      </c>
      <c r="AB60" t="s">
        <v>97</v>
      </c>
      <c r="AC60" t="s">
        <v>97</v>
      </c>
      <c r="AD60" t="s">
        <v>97</v>
      </c>
      <c r="AE60" t="s">
        <v>97</v>
      </c>
      <c r="AF60" t="s">
        <v>97</v>
      </c>
      <c r="AG60" t="s">
        <v>97</v>
      </c>
      <c r="AH60" s="22" t="b">
        <v>1</v>
      </c>
      <c r="AI60" s="22" t="b">
        <v>1</v>
      </c>
      <c r="AJ60" s="22" t="b">
        <v>1</v>
      </c>
      <c r="AK60" t="s">
        <v>97</v>
      </c>
      <c r="AL60" t="s">
        <v>97</v>
      </c>
      <c r="AM60" t="s">
        <v>97</v>
      </c>
      <c r="AN60" t="s">
        <v>97</v>
      </c>
      <c r="AO60" s="22">
        <f t="shared" si="47"/>
        <v>1</v>
      </c>
      <c r="AP60" s="22">
        <f t="shared" ref="AP60" si="57">$AO60+1.5</f>
        <v>2.5</v>
      </c>
      <c r="AQ60" s="22">
        <f>$AO60-1.5</f>
        <v>-0.5</v>
      </c>
      <c r="AR60" t="s">
        <v>97</v>
      </c>
      <c r="AS60" t="s">
        <v>97</v>
      </c>
      <c r="AT60" t="s">
        <v>97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0</v>
      </c>
      <c r="BP60" s="15"/>
    </row>
    <row r="61" spans="1:68" x14ac:dyDescent="0.25">
      <c r="A61" s="19">
        <v>44277.94740740741</v>
      </c>
      <c r="B61">
        <f t="shared" si="3"/>
        <v>56</v>
      </c>
      <c r="C61" t="b">
        <v>0</v>
      </c>
      <c r="D61" t="b">
        <v>0</v>
      </c>
      <c r="E61" t="b">
        <v>0</v>
      </c>
      <c r="F61" s="3" t="s">
        <v>113</v>
      </c>
      <c r="G61" s="26" t="str">
        <f>IF(MATCH(F61,F$5:F61,0)=COUNTA(F$5:F61),"-","Dup")</f>
        <v>-</v>
      </c>
      <c r="H61" t="s">
        <v>97</v>
      </c>
      <c r="I61" t="b">
        <v>0</v>
      </c>
      <c r="J61" t="b">
        <v>1</v>
      </c>
      <c r="K61" t="s">
        <v>97</v>
      </c>
      <c r="L61" t="s">
        <v>97</v>
      </c>
      <c r="M61" t="s">
        <v>97</v>
      </c>
      <c r="N61" t="s">
        <v>97</v>
      </c>
      <c r="O61" t="s">
        <v>97</v>
      </c>
      <c r="P61" t="s">
        <v>97</v>
      </c>
      <c r="Q61" t="s">
        <v>97</v>
      </c>
      <c r="R61" t="s">
        <v>97</v>
      </c>
      <c r="S61" t="s">
        <v>97</v>
      </c>
      <c r="T61" t="s">
        <v>97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A61" t="s">
        <v>97</v>
      </c>
      <c r="AB61" t="s">
        <v>97</v>
      </c>
      <c r="AC61" t="s">
        <v>97</v>
      </c>
      <c r="AD61" t="s">
        <v>97</v>
      </c>
      <c r="AE61" t="s">
        <v>97</v>
      </c>
      <c r="AF61" t="s">
        <v>97</v>
      </c>
      <c r="AG61" t="s">
        <v>97</v>
      </c>
      <c r="AH61" s="22" t="b">
        <v>1</v>
      </c>
      <c r="AI61" s="22" t="b">
        <v>1</v>
      </c>
      <c r="AJ61" s="22" t="b">
        <v>1</v>
      </c>
      <c r="AK61" t="s">
        <v>97</v>
      </c>
      <c r="AL61" t="s">
        <v>97</v>
      </c>
      <c r="AM61" t="s">
        <v>97</v>
      </c>
      <c r="AN61" t="s">
        <v>97</v>
      </c>
      <c r="AO61" s="22">
        <f t="shared" si="47"/>
        <v>1</v>
      </c>
      <c r="AP61" s="22">
        <f t="shared" ref="AP61" si="58">$AO61+2</f>
        <v>3</v>
      </c>
      <c r="AQ61" s="22">
        <f>$AO61-2</f>
        <v>-1</v>
      </c>
      <c r="AR61" t="s">
        <v>97</v>
      </c>
      <c r="AS61" t="s">
        <v>97</v>
      </c>
      <c r="AT61" t="s">
        <v>97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0</v>
      </c>
      <c r="BL61">
        <v>0</v>
      </c>
      <c r="BM61">
        <v>0</v>
      </c>
      <c r="BN61">
        <v>0</v>
      </c>
      <c r="BO61">
        <v>0</v>
      </c>
      <c r="BP61" s="15"/>
    </row>
    <row r="62" spans="1:68" x14ac:dyDescent="0.25">
      <c r="A62" s="19">
        <v>44278.42864583333</v>
      </c>
      <c r="B62">
        <v>46</v>
      </c>
      <c r="C62" t="b">
        <v>1</v>
      </c>
      <c r="D62" t="b">
        <v>0</v>
      </c>
      <c r="E62" t="b">
        <v>1</v>
      </c>
      <c r="F62" s="3" t="str">
        <f>SUBSTITUTE(SUBSTITUTE("off_"&amp;$AR62&amp;"_"&amp;($AS62-$AR62),"0.","p"),".","p")</f>
        <v>off_-p5_p5</v>
      </c>
      <c r="G62" s="26" t="str">
        <f>IF(MATCH(F62,F$5:F62,0)=COUNTA(F$5:F62),"-","Dup")</f>
        <v>-</v>
      </c>
      <c r="H62" t="s">
        <v>97</v>
      </c>
      <c r="I62" t="b">
        <v>0</v>
      </c>
      <c r="J62" t="b">
        <v>1</v>
      </c>
      <c r="K62" t="s">
        <v>97</v>
      </c>
      <c r="L62" t="s">
        <v>97</v>
      </c>
      <c r="M62" t="s">
        <v>97</v>
      </c>
      <c r="N62" t="s">
        <v>97</v>
      </c>
      <c r="O62" t="s">
        <v>97</v>
      </c>
      <c r="P62" t="s">
        <v>97</v>
      </c>
      <c r="Q62" t="s">
        <v>97</v>
      </c>
      <c r="R62" t="s">
        <v>97</v>
      </c>
      <c r="S62" t="s">
        <v>97</v>
      </c>
      <c r="T62" t="s">
        <v>97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A62" t="s">
        <v>97</v>
      </c>
      <c r="AB62" t="s">
        <v>97</v>
      </c>
      <c r="AC62" t="s">
        <v>97</v>
      </c>
      <c r="AD62" t="s">
        <v>97</v>
      </c>
      <c r="AE62" t="s">
        <v>97</v>
      </c>
      <c r="AF62" t="s">
        <v>97</v>
      </c>
      <c r="AG62" t="s">
        <v>97</v>
      </c>
      <c r="AH62" s="22" t="b">
        <v>1</v>
      </c>
      <c r="AI62" s="22" t="b">
        <v>1</v>
      </c>
      <c r="AJ62" s="22" t="b">
        <v>1</v>
      </c>
      <c r="AK62" t="s">
        <v>97</v>
      </c>
      <c r="AL62" t="s">
        <v>97</v>
      </c>
      <c r="AM62" t="s">
        <v>97</v>
      </c>
      <c r="AN62" t="s">
        <v>97</v>
      </c>
      <c r="AO62" t="s">
        <v>97</v>
      </c>
      <c r="AP62" t="s">
        <v>97</v>
      </c>
      <c r="AQ62" t="s">
        <v>97</v>
      </c>
      <c r="AR62" s="22">
        <v>-0.5</v>
      </c>
      <c r="AS62" s="24">
        <f>$AR62+0.5</f>
        <v>0</v>
      </c>
      <c r="AT62" s="25">
        <f>$AR62-0.5</f>
        <v>-1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0</v>
      </c>
      <c r="BL62">
        <v>0</v>
      </c>
      <c r="BM62">
        <v>0</v>
      </c>
      <c r="BN62">
        <v>0</v>
      </c>
      <c r="BO62">
        <v>0</v>
      </c>
      <c r="BP62" s="15"/>
    </row>
    <row r="63" spans="1:68" x14ac:dyDescent="0.25">
      <c r="A63" s="19">
        <v>44278.414976851855</v>
      </c>
      <c r="B63">
        <v>46</v>
      </c>
      <c r="C63" t="b">
        <v>1</v>
      </c>
      <c r="D63" t="b">
        <v>0</v>
      </c>
      <c r="E63" t="b">
        <v>1</v>
      </c>
      <c r="F63" s="3" t="str">
        <f t="shared" ref="F63:F85" si="59">SUBSTITUTE(SUBSTITUTE("off_"&amp;$AR63&amp;"_"&amp;($AS63-$AR63),"0.","p"),".","p")</f>
        <v>off_-p5_1</v>
      </c>
      <c r="G63" s="26" t="str">
        <f>IF(MATCH(F63,F$5:F63,0)=COUNTA(F$5:F63),"-","Dup")</f>
        <v>-</v>
      </c>
      <c r="H63" t="s">
        <v>97</v>
      </c>
      <c r="I63" t="b">
        <v>0</v>
      </c>
      <c r="J63" t="b">
        <v>1</v>
      </c>
      <c r="K63" t="s">
        <v>97</v>
      </c>
      <c r="L63" t="s">
        <v>97</v>
      </c>
      <c r="M63" t="s">
        <v>97</v>
      </c>
      <c r="N63" t="s">
        <v>97</v>
      </c>
      <c r="O63" t="s">
        <v>97</v>
      </c>
      <c r="P63" t="s">
        <v>97</v>
      </c>
      <c r="Q63" t="s">
        <v>97</v>
      </c>
      <c r="R63" t="s">
        <v>97</v>
      </c>
      <c r="S63" t="s">
        <v>97</v>
      </c>
      <c r="T63" t="s">
        <v>97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A63" t="s">
        <v>97</v>
      </c>
      <c r="AB63" t="s">
        <v>97</v>
      </c>
      <c r="AC63" t="s">
        <v>97</v>
      </c>
      <c r="AD63" t="s">
        <v>97</v>
      </c>
      <c r="AE63" t="s">
        <v>97</v>
      </c>
      <c r="AF63" t="s">
        <v>97</v>
      </c>
      <c r="AG63" t="s">
        <v>97</v>
      </c>
      <c r="AH63" s="22" t="b">
        <v>1</v>
      </c>
      <c r="AI63" s="22" t="b">
        <v>1</v>
      </c>
      <c r="AJ63" s="22" t="b">
        <v>1</v>
      </c>
      <c r="AK63" t="s">
        <v>97</v>
      </c>
      <c r="AL63" t="s">
        <v>97</v>
      </c>
      <c r="AM63" t="s">
        <v>97</v>
      </c>
      <c r="AN63" t="s">
        <v>97</v>
      </c>
      <c r="AO63" t="s">
        <v>97</v>
      </c>
      <c r="AP63" t="s">
        <v>97</v>
      </c>
      <c r="AQ63" t="s">
        <v>97</v>
      </c>
      <c r="AR63" s="22">
        <f>AR62</f>
        <v>-0.5</v>
      </c>
      <c r="AS63" s="24">
        <f>$AR63+1</f>
        <v>0.5</v>
      </c>
      <c r="AT63" s="25">
        <f>$AR63-1</f>
        <v>-1.5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0</v>
      </c>
      <c r="BL63">
        <v>0</v>
      </c>
      <c r="BM63">
        <v>0</v>
      </c>
      <c r="BN63">
        <v>0</v>
      </c>
      <c r="BO63">
        <v>0</v>
      </c>
      <c r="BP63" s="15"/>
    </row>
    <row r="64" spans="1:68" x14ac:dyDescent="0.25">
      <c r="A64" s="19">
        <v>44278.415011574078</v>
      </c>
      <c r="B64">
        <v>46</v>
      </c>
      <c r="C64" t="b">
        <v>1</v>
      </c>
      <c r="D64" t="b">
        <v>0</v>
      </c>
      <c r="E64" t="b">
        <v>1</v>
      </c>
      <c r="F64" s="3" t="str">
        <f t="shared" si="59"/>
        <v>off_-p5_2</v>
      </c>
      <c r="G64" s="26" t="str">
        <f>IF(MATCH(F64,F$5:F64,0)=COUNTA(F$5:F64),"-","Dup")</f>
        <v>-</v>
      </c>
      <c r="H64" t="s">
        <v>97</v>
      </c>
      <c r="I64" t="b">
        <v>0</v>
      </c>
      <c r="J64" t="b">
        <v>1</v>
      </c>
      <c r="K64" t="s">
        <v>97</v>
      </c>
      <c r="L64" t="s">
        <v>97</v>
      </c>
      <c r="M64" t="s">
        <v>97</v>
      </c>
      <c r="N64" t="s">
        <v>97</v>
      </c>
      <c r="O64" t="s">
        <v>97</v>
      </c>
      <c r="P64" t="s">
        <v>97</v>
      </c>
      <c r="Q64" t="s">
        <v>97</v>
      </c>
      <c r="R64" t="s">
        <v>97</v>
      </c>
      <c r="S64" t="s">
        <v>97</v>
      </c>
      <c r="T64" t="s">
        <v>97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A64" t="s">
        <v>97</v>
      </c>
      <c r="AB64" t="s">
        <v>97</v>
      </c>
      <c r="AC64" t="s">
        <v>97</v>
      </c>
      <c r="AD64" t="s">
        <v>97</v>
      </c>
      <c r="AE64" t="s">
        <v>97</v>
      </c>
      <c r="AF64" t="s">
        <v>97</v>
      </c>
      <c r="AG64" t="s">
        <v>97</v>
      </c>
      <c r="AH64" s="22" t="b">
        <v>1</v>
      </c>
      <c r="AI64" s="22" t="b">
        <v>1</v>
      </c>
      <c r="AJ64" s="22" t="b">
        <v>1</v>
      </c>
      <c r="AK64" t="s">
        <v>97</v>
      </c>
      <c r="AL64" t="s">
        <v>97</v>
      </c>
      <c r="AM64" t="s">
        <v>97</v>
      </c>
      <c r="AN64" t="s">
        <v>97</v>
      </c>
      <c r="AO64" t="s">
        <v>97</v>
      </c>
      <c r="AP64" t="s">
        <v>97</v>
      </c>
      <c r="AQ64" t="s">
        <v>97</v>
      </c>
      <c r="AR64" s="22">
        <f>AR63</f>
        <v>-0.5</v>
      </c>
      <c r="AS64" s="24">
        <f>$AR64+2</f>
        <v>1.5</v>
      </c>
      <c r="AT64" s="25">
        <f>$AR64-2</f>
        <v>-2.5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0</v>
      </c>
      <c r="BL64">
        <v>0</v>
      </c>
      <c r="BM64">
        <v>0</v>
      </c>
      <c r="BN64">
        <v>0</v>
      </c>
      <c r="BO64">
        <v>0</v>
      </c>
      <c r="BP64" s="15"/>
    </row>
    <row r="65" spans="1:68" x14ac:dyDescent="0.25">
      <c r="A65" s="19">
        <v>44278.416030092594</v>
      </c>
      <c r="B65">
        <v>46</v>
      </c>
      <c r="C65" t="b">
        <v>1</v>
      </c>
      <c r="D65" t="b">
        <v>0</v>
      </c>
      <c r="E65" t="b">
        <v>1</v>
      </c>
      <c r="F65" s="3" t="str">
        <f t="shared" si="59"/>
        <v>off_0_p5</v>
      </c>
      <c r="G65" s="26" t="str">
        <f>IF(MATCH(F65,F$5:F65,0)=COUNTA(F$5:F65),"-","Dup")</f>
        <v>-</v>
      </c>
      <c r="H65" t="s">
        <v>97</v>
      </c>
      <c r="I65" t="b">
        <v>0</v>
      </c>
      <c r="J65" t="b">
        <v>1</v>
      </c>
      <c r="K65" t="s">
        <v>97</v>
      </c>
      <c r="L65" t="s">
        <v>97</v>
      </c>
      <c r="M65" t="s">
        <v>97</v>
      </c>
      <c r="N65" t="s">
        <v>97</v>
      </c>
      <c r="O65" t="s">
        <v>97</v>
      </c>
      <c r="P65" t="s">
        <v>97</v>
      </c>
      <c r="Q65" t="s">
        <v>97</v>
      </c>
      <c r="R65" t="s">
        <v>97</v>
      </c>
      <c r="S65" t="s">
        <v>97</v>
      </c>
      <c r="T65" t="s">
        <v>97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A65" t="s">
        <v>97</v>
      </c>
      <c r="AB65" t="s">
        <v>97</v>
      </c>
      <c r="AC65" t="s">
        <v>97</v>
      </c>
      <c r="AD65" t="s">
        <v>97</v>
      </c>
      <c r="AE65" t="s">
        <v>97</v>
      </c>
      <c r="AF65" t="s">
        <v>97</v>
      </c>
      <c r="AG65" t="s">
        <v>97</v>
      </c>
      <c r="AH65" s="22" t="b">
        <v>1</v>
      </c>
      <c r="AI65" s="22" t="b">
        <v>1</v>
      </c>
      <c r="AJ65" s="22" t="b">
        <v>1</v>
      </c>
      <c r="AK65" t="s">
        <v>97</v>
      </c>
      <c r="AL65" t="s">
        <v>97</v>
      </c>
      <c r="AM65" t="s">
        <v>97</v>
      </c>
      <c r="AN65" t="s">
        <v>97</v>
      </c>
      <c r="AO65" t="s">
        <v>97</v>
      </c>
      <c r="AP65" t="s">
        <v>97</v>
      </c>
      <c r="AQ65" t="s">
        <v>97</v>
      </c>
      <c r="AR65" s="23">
        <f>AR62+0.5</f>
        <v>0</v>
      </c>
      <c r="AS65" s="23">
        <f t="shared" ref="AS65:AT65" si="60">AS62+0.5</f>
        <v>0.5</v>
      </c>
      <c r="AT65" s="23">
        <f t="shared" si="60"/>
        <v>-0.5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0</v>
      </c>
      <c r="BL65">
        <v>0</v>
      </c>
      <c r="BM65">
        <v>0</v>
      </c>
      <c r="BN65">
        <v>0</v>
      </c>
      <c r="BO65">
        <v>0</v>
      </c>
      <c r="BP65" s="15"/>
    </row>
    <row r="66" spans="1:68" x14ac:dyDescent="0.25">
      <c r="A66" s="19"/>
      <c r="B66">
        <v>46</v>
      </c>
      <c r="C66" t="b">
        <v>1</v>
      </c>
      <c r="D66" t="b">
        <v>0</v>
      </c>
      <c r="E66" t="b">
        <v>1</v>
      </c>
      <c r="F66" s="3" t="str">
        <f t="shared" si="59"/>
        <v>off_0_1</v>
      </c>
      <c r="G66" s="26" t="str">
        <f>IF(MATCH(F66,F$5:F66,0)=COUNTA(F$5:F66),"-","Dup")</f>
        <v>-</v>
      </c>
      <c r="H66" t="s">
        <v>97</v>
      </c>
      <c r="I66" t="b">
        <v>0</v>
      </c>
      <c r="J66" t="b">
        <v>1</v>
      </c>
      <c r="K66" t="s">
        <v>97</v>
      </c>
      <c r="L66" t="s">
        <v>97</v>
      </c>
      <c r="M66" t="s">
        <v>97</v>
      </c>
      <c r="N66" t="s">
        <v>97</v>
      </c>
      <c r="O66" t="s">
        <v>97</v>
      </c>
      <c r="P66" t="s">
        <v>97</v>
      </c>
      <c r="Q66" t="s">
        <v>97</v>
      </c>
      <c r="R66" t="s">
        <v>97</v>
      </c>
      <c r="S66" t="s">
        <v>97</v>
      </c>
      <c r="T66" t="s">
        <v>97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A66" t="s">
        <v>97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s="22" t="b">
        <v>1</v>
      </c>
      <c r="AI66" s="22" t="b">
        <v>1</v>
      </c>
      <c r="AJ66" s="22" t="b">
        <v>1</v>
      </c>
      <c r="AK66" t="s">
        <v>97</v>
      </c>
      <c r="AL66" t="s">
        <v>97</v>
      </c>
      <c r="AM66" t="s">
        <v>97</v>
      </c>
      <c r="AN66" t="s">
        <v>97</v>
      </c>
      <c r="AO66" t="s">
        <v>97</v>
      </c>
      <c r="AP66" t="s">
        <v>97</v>
      </c>
      <c r="AQ66" t="s">
        <v>97</v>
      </c>
      <c r="AR66" s="23">
        <f t="shared" ref="AR66:AT66" si="61">AR63+0.5</f>
        <v>0</v>
      </c>
      <c r="AS66" s="23">
        <f t="shared" si="61"/>
        <v>1</v>
      </c>
      <c r="AT66" s="23">
        <f t="shared" si="61"/>
        <v>-1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0</v>
      </c>
      <c r="BL66">
        <v>0</v>
      </c>
      <c r="BM66">
        <v>0</v>
      </c>
      <c r="BN66">
        <v>0</v>
      </c>
      <c r="BO66">
        <v>0</v>
      </c>
      <c r="BP66" s="15"/>
    </row>
    <row r="67" spans="1:68" x14ac:dyDescent="0.25">
      <c r="A67" s="19"/>
      <c r="B67">
        <v>46</v>
      </c>
      <c r="C67" t="b">
        <v>1</v>
      </c>
      <c r="D67" t="b">
        <v>0</v>
      </c>
      <c r="E67" t="b">
        <v>1</v>
      </c>
      <c r="F67" s="3" t="str">
        <f t="shared" si="59"/>
        <v>off_0_2</v>
      </c>
      <c r="G67" s="26" t="str">
        <f>IF(MATCH(F67,F$5:F67,0)=COUNTA(F$5:F67),"-","Dup")</f>
        <v>-</v>
      </c>
      <c r="H67" t="s">
        <v>97</v>
      </c>
      <c r="I67" t="b">
        <v>0</v>
      </c>
      <c r="J67" t="b">
        <v>1</v>
      </c>
      <c r="K67" t="s">
        <v>97</v>
      </c>
      <c r="L67" t="s">
        <v>97</v>
      </c>
      <c r="M67" t="s">
        <v>97</v>
      </c>
      <c r="N67" t="s">
        <v>97</v>
      </c>
      <c r="O67" t="s">
        <v>97</v>
      </c>
      <c r="P67" t="s">
        <v>97</v>
      </c>
      <c r="Q67" t="s">
        <v>97</v>
      </c>
      <c r="R67" t="s">
        <v>97</v>
      </c>
      <c r="S67" t="s">
        <v>97</v>
      </c>
      <c r="T67" t="s">
        <v>97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A67" t="s">
        <v>97</v>
      </c>
      <c r="AB67" t="s">
        <v>97</v>
      </c>
      <c r="AC67" t="s">
        <v>97</v>
      </c>
      <c r="AD67" t="s">
        <v>97</v>
      </c>
      <c r="AE67" t="s">
        <v>97</v>
      </c>
      <c r="AF67" t="s">
        <v>97</v>
      </c>
      <c r="AG67" t="s">
        <v>97</v>
      </c>
      <c r="AH67" s="22" t="b">
        <v>1</v>
      </c>
      <c r="AI67" s="22" t="b">
        <v>1</v>
      </c>
      <c r="AJ67" s="22" t="b">
        <v>1</v>
      </c>
      <c r="AK67" t="s">
        <v>97</v>
      </c>
      <c r="AL67" t="s">
        <v>97</v>
      </c>
      <c r="AM67" t="s">
        <v>97</v>
      </c>
      <c r="AN67" t="s">
        <v>97</v>
      </c>
      <c r="AO67" t="s">
        <v>97</v>
      </c>
      <c r="AP67" t="s">
        <v>97</v>
      </c>
      <c r="AQ67" t="s">
        <v>97</v>
      </c>
      <c r="AR67" s="23">
        <f t="shared" ref="AR67:AT67" si="62">AR64+0.5</f>
        <v>0</v>
      </c>
      <c r="AS67" s="23">
        <f t="shared" si="62"/>
        <v>2</v>
      </c>
      <c r="AT67" s="23">
        <f t="shared" si="62"/>
        <v>-2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0</v>
      </c>
      <c r="BL67">
        <v>0</v>
      </c>
      <c r="BM67">
        <v>0</v>
      </c>
      <c r="BN67">
        <v>0</v>
      </c>
      <c r="BO67">
        <v>0</v>
      </c>
      <c r="BP67" s="15"/>
    </row>
    <row r="68" spans="1:68" x14ac:dyDescent="0.25">
      <c r="A68" s="19"/>
      <c r="B68">
        <v>46</v>
      </c>
      <c r="C68" t="b">
        <v>1</v>
      </c>
      <c r="D68" t="b">
        <v>0</v>
      </c>
      <c r="E68" t="b">
        <v>1</v>
      </c>
      <c r="F68" s="3" t="str">
        <f t="shared" si="59"/>
        <v>off_p5_p5</v>
      </c>
      <c r="G68" s="26" t="str">
        <f>IF(MATCH(F68,F$5:F68,0)=COUNTA(F$5:F68),"-","Dup")</f>
        <v>-</v>
      </c>
      <c r="H68" t="s">
        <v>97</v>
      </c>
      <c r="I68" t="b">
        <v>0</v>
      </c>
      <c r="J68" t="b">
        <v>1</v>
      </c>
      <c r="K68" t="s">
        <v>97</v>
      </c>
      <c r="L68" t="s">
        <v>97</v>
      </c>
      <c r="M68" t="s">
        <v>97</v>
      </c>
      <c r="N68" t="s">
        <v>97</v>
      </c>
      <c r="O68" t="s">
        <v>97</v>
      </c>
      <c r="P68" t="s">
        <v>97</v>
      </c>
      <c r="Q68" t="s">
        <v>97</v>
      </c>
      <c r="R68" t="s">
        <v>97</v>
      </c>
      <c r="S68" t="s">
        <v>97</v>
      </c>
      <c r="T68" t="s">
        <v>97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A68" t="s">
        <v>97</v>
      </c>
      <c r="AB68" t="s">
        <v>97</v>
      </c>
      <c r="AC68" t="s">
        <v>97</v>
      </c>
      <c r="AD68" t="s">
        <v>97</v>
      </c>
      <c r="AE68" t="s">
        <v>97</v>
      </c>
      <c r="AF68" t="s">
        <v>97</v>
      </c>
      <c r="AG68" t="s">
        <v>97</v>
      </c>
      <c r="AH68" s="22" t="b">
        <v>1</v>
      </c>
      <c r="AI68" s="22" t="b">
        <v>1</v>
      </c>
      <c r="AJ68" s="22" t="b">
        <v>1</v>
      </c>
      <c r="AK68" t="s">
        <v>97</v>
      </c>
      <c r="AL68" t="s">
        <v>97</v>
      </c>
      <c r="AM68" t="s">
        <v>97</v>
      </c>
      <c r="AN68" t="s">
        <v>97</v>
      </c>
      <c r="AO68" t="s">
        <v>97</v>
      </c>
      <c r="AP68" t="s">
        <v>97</v>
      </c>
      <c r="AQ68" t="s">
        <v>97</v>
      </c>
      <c r="AR68" s="23">
        <f t="shared" ref="AR68:AT68" si="63">AR65+0.5</f>
        <v>0.5</v>
      </c>
      <c r="AS68" s="23">
        <f t="shared" si="63"/>
        <v>1</v>
      </c>
      <c r="AT68" s="23">
        <f t="shared" si="63"/>
        <v>0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0</v>
      </c>
      <c r="BL68">
        <v>0</v>
      </c>
      <c r="BM68">
        <v>0</v>
      </c>
      <c r="BN68">
        <v>0</v>
      </c>
      <c r="BO68">
        <v>0</v>
      </c>
      <c r="BP68" s="15"/>
    </row>
    <row r="69" spans="1:68" x14ac:dyDescent="0.25">
      <c r="A69" s="19"/>
      <c r="B69">
        <v>46</v>
      </c>
      <c r="C69" t="b">
        <v>1</v>
      </c>
      <c r="D69" t="b">
        <v>0</v>
      </c>
      <c r="E69" t="b">
        <v>1</v>
      </c>
      <c r="F69" s="3" t="str">
        <f t="shared" si="59"/>
        <v>off_p5_1</v>
      </c>
      <c r="G69" s="26" t="str">
        <f>IF(MATCH(F69,F$5:F69,0)=COUNTA(F$5:F69),"-","Dup")</f>
        <v>-</v>
      </c>
      <c r="H69" t="s">
        <v>97</v>
      </c>
      <c r="I69" t="b">
        <v>0</v>
      </c>
      <c r="J69" t="b">
        <v>1</v>
      </c>
      <c r="K69" t="s">
        <v>97</v>
      </c>
      <c r="L69" t="s">
        <v>97</v>
      </c>
      <c r="M69" t="s">
        <v>97</v>
      </c>
      <c r="N69" t="s">
        <v>97</v>
      </c>
      <c r="O69" t="s">
        <v>97</v>
      </c>
      <c r="P69" t="s">
        <v>97</v>
      </c>
      <c r="Q69" t="s">
        <v>97</v>
      </c>
      <c r="R69" t="s">
        <v>97</v>
      </c>
      <c r="S69" t="s">
        <v>97</v>
      </c>
      <c r="T69" t="s">
        <v>97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A69" t="s">
        <v>97</v>
      </c>
      <c r="AB69" t="s">
        <v>97</v>
      </c>
      <c r="AC69" t="s">
        <v>97</v>
      </c>
      <c r="AD69" t="s">
        <v>97</v>
      </c>
      <c r="AE69" t="s">
        <v>97</v>
      </c>
      <c r="AF69" t="s">
        <v>97</v>
      </c>
      <c r="AG69" t="s">
        <v>97</v>
      </c>
      <c r="AH69" s="22" t="b">
        <v>1</v>
      </c>
      <c r="AI69" s="22" t="b">
        <v>1</v>
      </c>
      <c r="AJ69" s="22" t="b">
        <v>1</v>
      </c>
      <c r="AK69" t="s">
        <v>97</v>
      </c>
      <c r="AL69" t="s">
        <v>97</v>
      </c>
      <c r="AM69" t="s">
        <v>97</v>
      </c>
      <c r="AN69" t="s">
        <v>97</v>
      </c>
      <c r="AO69" t="s">
        <v>97</v>
      </c>
      <c r="AP69" t="s">
        <v>97</v>
      </c>
      <c r="AQ69" t="s">
        <v>97</v>
      </c>
      <c r="AR69" s="23">
        <f t="shared" ref="AR69:AT69" si="64">AR66+0.5</f>
        <v>0.5</v>
      </c>
      <c r="AS69" s="23">
        <f t="shared" si="64"/>
        <v>1.5</v>
      </c>
      <c r="AT69" s="23">
        <f t="shared" si="64"/>
        <v>-0.5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0</v>
      </c>
      <c r="BL69">
        <v>0</v>
      </c>
      <c r="BM69">
        <v>0</v>
      </c>
      <c r="BN69">
        <v>0</v>
      </c>
      <c r="BO69">
        <v>0</v>
      </c>
      <c r="BP69" s="15"/>
    </row>
    <row r="70" spans="1:68" x14ac:dyDescent="0.25">
      <c r="A70" s="19"/>
      <c r="B70">
        <v>46</v>
      </c>
      <c r="C70" t="b">
        <v>1</v>
      </c>
      <c r="D70" t="b">
        <v>0</v>
      </c>
      <c r="E70" t="b">
        <v>1</v>
      </c>
      <c r="F70" s="3" t="str">
        <f t="shared" si="59"/>
        <v>off_p5_2</v>
      </c>
      <c r="G70" s="26" t="str">
        <f>IF(MATCH(F70,F$5:F70,0)=COUNTA(F$5:F70),"-","Dup")</f>
        <v>-</v>
      </c>
      <c r="H70" t="s">
        <v>97</v>
      </c>
      <c r="I70" t="b">
        <v>0</v>
      </c>
      <c r="J70" t="b">
        <v>1</v>
      </c>
      <c r="K70" t="s">
        <v>97</v>
      </c>
      <c r="L70" t="s">
        <v>97</v>
      </c>
      <c r="M70" t="s">
        <v>97</v>
      </c>
      <c r="N70" t="s">
        <v>97</v>
      </c>
      <c r="O70" t="s">
        <v>97</v>
      </c>
      <c r="P70" t="s">
        <v>97</v>
      </c>
      <c r="Q70" t="s">
        <v>97</v>
      </c>
      <c r="R70" t="s">
        <v>97</v>
      </c>
      <c r="S70" t="s">
        <v>97</v>
      </c>
      <c r="T70" t="s">
        <v>97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A70" t="s">
        <v>97</v>
      </c>
      <c r="AB70" t="s">
        <v>97</v>
      </c>
      <c r="AC70" t="s">
        <v>97</v>
      </c>
      <c r="AD70" t="s">
        <v>97</v>
      </c>
      <c r="AE70" t="s">
        <v>97</v>
      </c>
      <c r="AF70" t="s">
        <v>97</v>
      </c>
      <c r="AG70" t="s">
        <v>97</v>
      </c>
      <c r="AH70" s="22" t="b">
        <v>1</v>
      </c>
      <c r="AI70" s="22" t="b">
        <v>1</v>
      </c>
      <c r="AJ70" s="22" t="b">
        <v>1</v>
      </c>
      <c r="AK70" t="s">
        <v>97</v>
      </c>
      <c r="AL70" t="s">
        <v>97</v>
      </c>
      <c r="AM70" t="s">
        <v>97</v>
      </c>
      <c r="AN70" t="s">
        <v>97</v>
      </c>
      <c r="AO70" t="s">
        <v>97</v>
      </c>
      <c r="AP70" t="s">
        <v>97</v>
      </c>
      <c r="AQ70" t="s">
        <v>97</v>
      </c>
      <c r="AR70" s="23">
        <f t="shared" ref="AR70:AT70" si="65">AR67+0.5</f>
        <v>0.5</v>
      </c>
      <c r="AS70" s="23">
        <f t="shared" si="65"/>
        <v>2.5</v>
      </c>
      <c r="AT70" s="23">
        <f t="shared" si="65"/>
        <v>-1.5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0</v>
      </c>
      <c r="BL70">
        <v>0</v>
      </c>
      <c r="BM70">
        <v>0</v>
      </c>
      <c r="BN70">
        <v>0</v>
      </c>
      <c r="BO70">
        <v>0</v>
      </c>
      <c r="BP70" s="15"/>
    </row>
    <row r="71" spans="1:68" x14ac:dyDescent="0.25">
      <c r="A71" s="19"/>
      <c r="B71">
        <v>46</v>
      </c>
      <c r="C71" t="b">
        <v>1</v>
      </c>
      <c r="D71" t="b">
        <v>0</v>
      </c>
      <c r="E71" t="b">
        <v>1</v>
      </c>
      <c r="F71" s="3" t="str">
        <f t="shared" si="59"/>
        <v>off_1_p5</v>
      </c>
      <c r="G71" s="26" t="str">
        <f>IF(MATCH(F71,F$5:F71,0)=COUNTA(F$5:F71),"-","Dup")</f>
        <v>-</v>
      </c>
      <c r="H71" t="s">
        <v>97</v>
      </c>
      <c r="I71" t="b">
        <v>0</v>
      </c>
      <c r="J71" t="b">
        <v>1</v>
      </c>
      <c r="K71" t="s">
        <v>97</v>
      </c>
      <c r="L71" t="s">
        <v>97</v>
      </c>
      <c r="M71" t="s">
        <v>97</v>
      </c>
      <c r="N71" t="s">
        <v>97</v>
      </c>
      <c r="O71" t="s">
        <v>97</v>
      </c>
      <c r="P71" t="s">
        <v>97</v>
      </c>
      <c r="Q71" t="s">
        <v>97</v>
      </c>
      <c r="R71" t="s">
        <v>97</v>
      </c>
      <c r="S71" t="s">
        <v>97</v>
      </c>
      <c r="T71" t="s">
        <v>97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A71" t="s">
        <v>97</v>
      </c>
      <c r="AB71" t="s">
        <v>97</v>
      </c>
      <c r="AC71" t="s">
        <v>97</v>
      </c>
      <c r="AD71" t="s">
        <v>97</v>
      </c>
      <c r="AE71" t="s">
        <v>97</v>
      </c>
      <c r="AF71" t="s">
        <v>97</v>
      </c>
      <c r="AG71" t="s">
        <v>97</v>
      </c>
      <c r="AH71" s="22" t="b">
        <v>1</v>
      </c>
      <c r="AI71" s="22" t="b">
        <v>1</v>
      </c>
      <c r="AJ71" s="22" t="b">
        <v>1</v>
      </c>
      <c r="AK71" t="s">
        <v>97</v>
      </c>
      <c r="AL71" t="s">
        <v>97</v>
      </c>
      <c r="AM71" t="s">
        <v>97</v>
      </c>
      <c r="AN71" t="s">
        <v>97</v>
      </c>
      <c r="AO71" t="s">
        <v>97</v>
      </c>
      <c r="AP71" t="s">
        <v>97</v>
      </c>
      <c r="AQ71" t="s">
        <v>97</v>
      </c>
      <c r="AR71" s="23">
        <f t="shared" ref="AR71:AT71" si="66">AR68+0.5</f>
        <v>1</v>
      </c>
      <c r="AS71" s="23">
        <f t="shared" si="66"/>
        <v>1.5</v>
      </c>
      <c r="AT71" s="23">
        <f t="shared" si="66"/>
        <v>0.5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0</v>
      </c>
      <c r="BL71">
        <v>0</v>
      </c>
      <c r="BM71">
        <v>0</v>
      </c>
      <c r="BN71">
        <v>0</v>
      </c>
      <c r="BO71">
        <v>0</v>
      </c>
      <c r="BP71" s="15"/>
    </row>
    <row r="72" spans="1:68" x14ac:dyDescent="0.25">
      <c r="A72" s="19"/>
      <c r="B72">
        <v>46</v>
      </c>
      <c r="C72" t="b">
        <v>1</v>
      </c>
      <c r="D72" t="b">
        <v>0</v>
      </c>
      <c r="E72" t="b">
        <v>1</v>
      </c>
      <c r="F72" s="3" t="str">
        <f t="shared" si="59"/>
        <v>off_1_1</v>
      </c>
      <c r="G72" s="26" t="str">
        <f>IF(MATCH(F72,F$5:F72,0)=COUNTA(F$5:F72),"-","Dup")</f>
        <v>-</v>
      </c>
      <c r="H72" t="s">
        <v>97</v>
      </c>
      <c r="I72" t="b">
        <v>0</v>
      </c>
      <c r="J72" t="b">
        <v>1</v>
      </c>
      <c r="K72" t="s">
        <v>97</v>
      </c>
      <c r="L72" t="s">
        <v>97</v>
      </c>
      <c r="M72" t="s">
        <v>97</v>
      </c>
      <c r="N72" t="s">
        <v>97</v>
      </c>
      <c r="O72" t="s">
        <v>97</v>
      </c>
      <c r="P72" t="s">
        <v>97</v>
      </c>
      <c r="Q72" t="s">
        <v>97</v>
      </c>
      <c r="R72" t="s">
        <v>97</v>
      </c>
      <c r="S72" t="s">
        <v>97</v>
      </c>
      <c r="T72" t="s">
        <v>97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A72" t="s">
        <v>97</v>
      </c>
      <c r="AB72" t="s">
        <v>97</v>
      </c>
      <c r="AC72" t="s">
        <v>97</v>
      </c>
      <c r="AD72" t="s">
        <v>97</v>
      </c>
      <c r="AE72" t="s">
        <v>97</v>
      </c>
      <c r="AF72" t="s">
        <v>97</v>
      </c>
      <c r="AG72" t="s">
        <v>97</v>
      </c>
      <c r="AH72" s="22" t="b">
        <v>1</v>
      </c>
      <c r="AI72" s="22" t="b">
        <v>1</v>
      </c>
      <c r="AJ72" s="22" t="b">
        <v>1</v>
      </c>
      <c r="AK72" t="s">
        <v>97</v>
      </c>
      <c r="AL72" t="s">
        <v>97</v>
      </c>
      <c r="AM72" t="s">
        <v>97</v>
      </c>
      <c r="AN72" t="s">
        <v>97</v>
      </c>
      <c r="AO72" t="s">
        <v>97</v>
      </c>
      <c r="AP72" t="s">
        <v>97</v>
      </c>
      <c r="AQ72" t="s">
        <v>97</v>
      </c>
      <c r="AR72" s="23">
        <f t="shared" ref="AR72:AT72" si="67">AR69+0.5</f>
        <v>1</v>
      </c>
      <c r="AS72" s="23">
        <f t="shared" si="67"/>
        <v>2</v>
      </c>
      <c r="AT72" s="23">
        <f t="shared" si="67"/>
        <v>0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0</v>
      </c>
      <c r="BL72">
        <v>0</v>
      </c>
      <c r="BM72">
        <v>0</v>
      </c>
      <c r="BN72">
        <v>0</v>
      </c>
      <c r="BO72">
        <v>0</v>
      </c>
      <c r="BP72" s="15"/>
    </row>
    <row r="73" spans="1:68" x14ac:dyDescent="0.25">
      <c r="A73" s="19"/>
      <c r="B73">
        <v>46</v>
      </c>
      <c r="C73" t="b">
        <v>1</v>
      </c>
      <c r="D73" t="b">
        <v>0</v>
      </c>
      <c r="E73" t="b">
        <v>1</v>
      </c>
      <c r="F73" s="3" t="str">
        <f t="shared" si="59"/>
        <v>off_1_2</v>
      </c>
      <c r="G73" s="26" t="str">
        <f>IF(MATCH(F73,F$5:F73,0)=COUNTA(F$5:F73),"-","Dup")</f>
        <v>-</v>
      </c>
      <c r="H73" t="s">
        <v>97</v>
      </c>
      <c r="I73" t="b">
        <v>0</v>
      </c>
      <c r="J73" t="b">
        <v>1</v>
      </c>
      <c r="K73" t="s">
        <v>97</v>
      </c>
      <c r="L73" t="s">
        <v>97</v>
      </c>
      <c r="M73" t="s">
        <v>97</v>
      </c>
      <c r="N73" t="s">
        <v>97</v>
      </c>
      <c r="O73" t="s">
        <v>97</v>
      </c>
      <c r="P73" t="s">
        <v>97</v>
      </c>
      <c r="Q73" t="s">
        <v>97</v>
      </c>
      <c r="R73" t="s">
        <v>97</v>
      </c>
      <c r="S73" t="s">
        <v>97</v>
      </c>
      <c r="T73" t="s">
        <v>97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A73" t="s">
        <v>97</v>
      </c>
      <c r="AB73" t="s">
        <v>97</v>
      </c>
      <c r="AC73" t="s">
        <v>97</v>
      </c>
      <c r="AD73" t="s">
        <v>97</v>
      </c>
      <c r="AE73" t="s">
        <v>97</v>
      </c>
      <c r="AF73" t="s">
        <v>97</v>
      </c>
      <c r="AG73" t="s">
        <v>97</v>
      </c>
      <c r="AH73" s="22" t="b">
        <v>1</v>
      </c>
      <c r="AI73" s="22" t="b">
        <v>1</v>
      </c>
      <c r="AJ73" s="22" t="b">
        <v>1</v>
      </c>
      <c r="AK73" t="s">
        <v>97</v>
      </c>
      <c r="AL73" t="s">
        <v>97</v>
      </c>
      <c r="AM73" t="s">
        <v>97</v>
      </c>
      <c r="AN73" t="s">
        <v>97</v>
      </c>
      <c r="AO73" t="s">
        <v>97</v>
      </c>
      <c r="AP73" t="s">
        <v>97</v>
      </c>
      <c r="AQ73" t="s">
        <v>97</v>
      </c>
      <c r="AR73" s="23">
        <f t="shared" ref="AR73:AT73" si="68">AR70+0.5</f>
        <v>1</v>
      </c>
      <c r="AS73" s="23">
        <f t="shared" si="68"/>
        <v>3</v>
      </c>
      <c r="AT73" s="23">
        <f t="shared" si="68"/>
        <v>-1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0</v>
      </c>
      <c r="BL73">
        <v>0</v>
      </c>
      <c r="BM73">
        <v>0</v>
      </c>
      <c r="BN73">
        <v>0</v>
      </c>
      <c r="BO73">
        <v>0</v>
      </c>
      <c r="BP73" s="15"/>
    </row>
    <row r="74" spans="1:68" x14ac:dyDescent="0.25">
      <c r="A74" s="19">
        <v>44278.428333333337</v>
      </c>
      <c r="B74">
        <v>46</v>
      </c>
      <c r="C74" t="b">
        <v>1</v>
      </c>
      <c r="D74" t="b">
        <v>0</v>
      </c>
      <c r="E74" t="b">
        <v>1</v>
      </c>
      <c r="F74" s="3" t="str">
        <f>SUBSTITUTE(SUBSTITUTE("offFL_"&amp;$AR74&amp;"_"&amp;($AS74-$AR74),"0.","p"),".","p")</f>
        <v>offFL_-p5_p5</v>
      </c>
      <c r="G74" s="26" t="str">
        <f>IF(MATCH(F74,F$5:F74,0)=COUNTA(F$5:F74),"-","Dup")</f>
        <v>-</v>
      </c>
      <c r="H74" t="s">
        <v>97</v>
      </c>
      <c r="I74" t="b">
        <v>0</v>
      </c>
      <c r="J74" t="b">
        <v>1</v>
      </c>
      <c r="K74" t="s">
        <v>97</v>
      </c>
      <c r="L74" t="s">
        <v>97</v>
      </c>
      <c r="M74" t="s">
        <v>97</v>
      </c>
      <c r="N74" t="s">
        <v>97</v>
      </c>
      <c r="O74" t="s">
        <v>97</v>
      </c>
      <c r="P74" t="s">
        <v>97</v>
      </c>
      <c r="Q74" t="s">
        <v>97</v>
      </c>
      <c r="R74" t="s">
        <v>97</v>
      </c>
      <c r="S74" t="s">
        <v>97</v>
      </c>
      <c r="T74" t="s">
        <v>97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A74" t="s">
        <v>97</v>
      </c>
      <c r="AB74" t="s">
        <v>97</v>
      </c>
      <c r="AC74" t="s">
        <v>97</v>
      </c>
      <c r="AD74" t="s">
        <v>97</v>
      </c>
      <c r="AE74" t="s">
        <v>97</v>
      </c>
      <c r="AF74" t="s">
        <v>97</v>
      </c>
      <c r="AG74" t="s">
        <v>97</v>
      </c>
      <c r="AH74" s="22" t="b">
        <v>1</v>
      </c>
      <c r="AI74" s="22" t="b">
        <v>1</v>
      </c>
      <c r="AJ74" s="22" t="b">
        <v>1</v>
      </c>
      <c r="AK74" t="s">
        <v>97</v>
      </c>
      <c r="AL74" t="s">
        <v>97</v>
      </c>
      <c r="AM74" t="s">
        <v>97</v>
      </c>
      <c r="AN74" t="s">
        <v>97</v>
      </c>
      <c r="AO74" t="s">
        <v>97</v>
      </c>
      <c r="AP74" t="s">
        <v>97</v>
      </c>
      <c r="AQ74" t="s">
        <v>97</v>
      </c>
      <c r="AR74" s="22">
        <v>-0.5</v>
      </c>
      <c r="AS74" s="24">
        <f>$AR74+0.5</f>
        <v>0</v>
      </c>
      <c r="AT74" s="22">
        <v>4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0</v>
      </c>
      <c r="BL74">
        <v>0</v>
      </c>
      <c r="BM74">
        <v>0</v>
      </c>
      <c r="BN74">
        <v>0</v>
      </c>
      <c r="BO74">
        <v>0</v>
      </c>
      <c r="BP74" s="15"/>
    </row>
    <row r="75" spans="1:68" x14ac:dyDescent="0.25">
      <c r="A75" s="19">
        <v>44278.428333333337</v>
      </c>
      <c r="B75">
        <v>46</v>
      </c>
      <c r="C75" t="b">
        <v>1</v>
      </c>
      <c r="D75" t="b">
        <v>0</v>
      </c>
      <c r="E75" t="b">
        <v>1</v>
      </c>
      <c r="F75" s="3" t="str">
        <f>SUBSTITUTE(SUBSTITUTE("offFL_"&amp;$AR75&amp;"_"&amp;($AS75-$AR75),"0.","p"),".","p")</f>
        <v>offFL_-p5_1</v>
      </c>
      <c r="G75" s="26" t="str">
        <f>IF(MATCH(F75,F$5:F75,0)=COUNTA(F$5:F75),"-","Dup")</f>
        <v>-</v>
      </c>
      <c r="H75" t="s">
        <v>97</v>
      </c>
      <c r="I75" t="b">
        <v>0</v>
      </c>
      <c r="J75" t="b">
        <v>1</v>
      </c>
      <c r="K75" t="s">
        <v>97</v>
      </c>
      <c r="L75" t="s">
        <v>97</v>
      </c>
      <c r="M75" t="s">
        <v>97</v>
      </c>
      <c r="N75" t="s">
        <v>97</v>
      </c>
      <c r="O75" t="s">
        <v>97</v>
      </c>
      <c r="P75" t="s">
        <v>97</v>
      </c>
      <c r="Q75" t="s">
        <v>97</v>
      </c>
      <c r="R75" t="s">
        <v>97</v>
      </c>
      <c r="S75" t="s">
        <v>97</v>
      </c>
      <c r="T75" t="s">
        <v>97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A75" t="s">
        <v>97</v>
      </c>
      <c r="AB75" t="s">
        <v>97</v>
      </c>
      <c r="AC75" t="s">
        <v>97</v>
      </c>
      <c r="AD75" t="s">
        <v>97</v>
      </c>
      <c r="AE75" t="s">
        <v>97</v>
      </c>
      <c r="AF75" t="s">
        <v>97</v>
      </c>
      <c r="AG75" t="s">
        <v>97</v>
      </c>
      <c r="AH75" s="22" t="b">
        <v>1</v>
      </c>
      <c r="AI75" s="22" t="b">
        <v>1</v>
      </c>
      <c r="AJ75" s="22" t="b">
        <v>1</v>
      </c>
      <c r="AK75" t="s">
        <v>97</v>
      </c>
      <c r="AL75" t="s">
        <v>97</v>
      </c>
      <c r="AM75" t="s">
        <v>97</v>
      </c>
      <c r="AN75" t="s">
        <v>97</v>
      </c>
      <c r="AO75" t="s">
        <v>97</v>
      </c>
      <c r="AP75" t="s">
        <v>97</v>
      </c>
      <c r="AQ75" t="s">
        <v>97</v>
      </c>
      <c r="AR75" s="22">
        <v>-0.5</v>
      </c>
      <c r="AS75" s="24">
        <f>$AR75+1</f>
        <v>0.5</v>
      </c>
      <c r="AT75" s="22">
        <v>4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0</v>
      </c>
      <c r="BL75">
        <v>0</v>
      </c>
      <c r="BM75">
        <v>0</v>
      </c>
      <c r="BN75">
        <v>0</v>
      </c>
      <c r="BO75">
        <v>0</v>
      </c>
      <c r="BP75" s="15"/>
    </row>
    <row r="76" spans="1:68" x14ac:dyDescent="0.25">
      <c r="A76" s="19">
        <v>44278.428333333337</v>
      </c>
      <c r="B76">
        <v>46</v>
      </c>
      <c r="C76" t="b">
        <v>1</v>
      </c>
      <c r="D76" t="b">
        <v>0</v>
      </c>
      <c r="E76" t="b">
        <v>1</v>
      </c>
      <c r="F76" s="3" t="str">
        <f>SUBSTITUTE(SUBSTITUTE("offFL_"&amp;$AR76&amp;"_"&amp;($AS76-$AR76),"0.","p"),".","p")</f>
        <v>offFL_-p5_2</v>
      </c>
      <c r="G76" s="26" t="str">
        <f>IF(MATCH(F76,F$5:F76,0)=COUNTA(F$5:F76),"-","Dup")</f>
        <v>-</v>
      </c>
      <c r="H76" t="s">
        <v>97</v>
      </c>
      <c r="I76" t="b">
        <v>0</v>
      </c>
      <c r="J76" t="b">
        <v>1</v>
      </c>
      <c r="K76" t="s">
        <v>97</v>
      </c>
      <c r="L76" t="s">
        <v>97</v>
      </c>
      <c r="M76" t="s">
        <v>97</v>
      </c>
      <c r="N76" t="s">
        <v>97</v>
      </c>
      <c r="O76" t="s">
        <v>97</v>
      </c>
      <c r="P76" t="s">
        <v>97</v>
      </c>
      <c r="Q76" t="s">
        <v>97</v>
      </c>
      <c r="R76" t="s">
        <v>97</v>
      </c>
      <c r="S76" t="s">
        <v>97</v>
      </c>
      <c r="T76" t="s">
        <v>97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A76" t="s">
        <v>97</v>
      </c>
      <c r="AB76" t="s">
        <v>97</v>
      </c>
      <c r="AC76" t="s">
        <v>97</v>
      </c>
      <c r="AD76" t="s">
        <v>97</v>
      </c>
      <c r="AE76" t="s">
        <v>97</v>
      </c>
      <c r="AF76" t="s">
        <v>97</v>
      </c>
      <c r="AG76" t="s">
        <v>97</v>
      </c>
      <c r="AH76" s="22" t="b">
        <v>1</v>
      </c>
      <c r="AI76" s="22" t="b">
        <v>1</v>
      </c>
      <c r="AJ76" s="22" t="b">
        <v>1</v>
      </c>
      <c r="AK76" t="s">
        <v>97</v>
      </c>
      <c r="AL76" t="s">
        <v>97</v>
      </c>
      <c r="AM76" t="s">
        <v>97</v>
      </c>
      <c r="AN76" t="s">
        <v>97</v>
      </c>
      <c r="AO76" t="s">
        <v>97</v>
      </c>
      <c r="AP76" t="s">
        <v>97</v>
      </c>
      <c r="AQ76" t="s">
        <v>97</v>
      </c>
      <c r="AR76" s="22">
        <v>-0.5</v>
      </c>
      <c r="AS76" s="24">
        <f>$AR76+2</f>
        <v>1.5</v>
      </c>
      <c r="AT76" s="22">
        <v>4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0</v>
      </c>
      <c r="BL76">
        <v>0</v>
      </c>
      <c r="BM76">
        <v>0</v>
      </c>
      <c r="BN76">
        <v>0</v>
      </c>
      <c r="BO76">
        <v>0</v>
      </c>
      <c r="BP76" s="15"/>
    </row>
    <row r="77" spans="1:68" x14ac:dyDescent="0.25">
      <c r="A77" s="19">
        <v>44278.428333333337</v>
      </c>
      <c r="B77">
        <v>46</v>
      </c>
      <c r="C77" t="b">
        <v>1</v>
      </c>
      <c r="D77" t="b">
        <v>0</v>
      </c>
      <c r="E77" t="b">
        <v>1</v>
      </c>
      <c r="F77" s="3" t="str">
        <f>SUBSTITUTE(SUBSTITUTE("offFL_"&amp;$AR77&amp;"_"&amp;($AS77-$AR77),"0.","p"),".","p")</f>
        <v>offFL_0_p5</v>
      </c>
      <c r="G77" s="26" t="str">
        <f>IF(MATCH(F77,F$5:F77,0)=COUNTA(F$5:F77),"-","Dup")</f>
        <v>-</v>
      </c>
      <c r="H77" t="s">
        <v>97</v>
      </c>
      <c r="I77" t="b">
        <v>0</v>
      </c>
      <c r="J77" t="b">
        <v>1</v>
      </c>
      <c r="K77" t="s">
        <v>97</v>
      </c>
      <c r="L77" t="s">
        <v>97</v>
      </c>
      <c r="M77" t="s">
        <v>97</v>
      </c>
      <c r="N77" t="s">
        <v>97</v>
      </c>
      <c r="O77" t="s">
        <v>97</v>
      </c>
      <c r="P77" t="s">
        <v>97</v>
      </c>
      <c r="Q77" t="s">
        <v>97</v>
      </c>
      <c r="R77" t="s">
        <v>97</v>
      </c>
      <c r="S77" t="s">
        <v>97</v>
      </c>
      <c r="T77" t="s">
        <v>97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A77" t="s">
        <v>97</v>
      </c>
      <c r="AB77" t="s">
        <v>97</v>
      </c>
      <c r="AC77" t="s">
        <v>97</v>
      </c>
      <c r="AD77" t="s">
        <v>97</v>
      </c>
      <c r="AE77" t="s">
        <v>97</v>
      </c>
      <c r="AF77" t="s">
        <v>97</v>
      </c>
      <c r="AG77" t="s">
        <v>97</v>
      </c>
      <c r="AH77" s="22" t="b">
        <v>1</v>
      </c>
      <c r="AI77" s="22" t="b">
        <v>1</v>
      </c>
      <c r="AJ77" s="22" t="b">
        <v>1</v>
      </c>
      <c r="AK77" t="s">
        <v>97</v>
      </c>
      <c r="AL77" t="s">
        <v>97</v>
      </c>
      <c r="AM77" t="s">
        <v>97</v>
      </c>
      <c r="AN77" t="s">
        <v>97</v>
      </c>
      <c r="AO77" t="s">
        <v>97</v>
      </c>
      <c r="AP77" t="s">
        <v>97</v>
      </c>
      <c r="AQ77" t="s">
        <v>97</v>
      </c>
      <c r="AR77" s="23">
        <f t="shared" ref="AR77:AT77" si="69">AR74+0.5</f>
        <v>0</v>
      </c>
      <c r="AS77" s="23">
        <f t="shared" si="69"/>
        <v>0.5</v>
      </c>
      <c r="AT77" s="22">
        <v>4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0</v>
      </c>
      <c r="BL77">
        <v>0</v>
      </c>
      <c r="BM77">
        <v>0</v>
      </c>
      <c r="BN77">
        <v>0</v>
      </c>
      <c r="BO77">
        <v>0</v>
      </c>
      <c r="BP77" s="15"/>
    </row>
    <row r="78" spans="1:68" x14ac:dyDescent="0.25">
      <c r="A78" s="19">
        <v>44278.428333333337</v>
      </c>
      <c r="B78">
        <v>46</v>
      </c>
      <c r="C78" t="b">
        <v>1</v>
      </c>
      <c r="D78" t="b">
        <v>0</v>
      </c>
      <c r="E78" t="b">
        <v>1</v>
      </c>
      <c r="F78" s="3" t="str">
        <f>SUBSTITUTE(SUBSTITUTE("offFL_"&amp;$AR78&amp;"_"&amp;($AS78-$AR78),"0.","p"),".","p")</f>
        <v>offFL_0_1</v>
      </c>
      <c r="G78" s="26" t="str">
        <f>IF(MATCH(F78,F$5:F78,0)=COUNTA(F$5:F78),"-","Dup")</f>
        <v>-</v>
      </c>
      <c r="H78" t="s">
        <v>97</v>
      </c>
      <c r="I78" t="b">
        <v>0</v>
      </c>
      <c r="J78" t="b">
        <v>1</v>
      </c>
      <c r="K78" t="s">
        <v>97</v>
      </c>
      <c r="L78" t="s">
        <v>97</v>
      </c>
      <c r="M78" t="s">
        <v>97</v>
      </c>
      <c r="N78" t="s">
        <v>97</v>
      </c>
      <c r="O78" t="s">
        <v>97</v>
      </c>
      <c r="P78" t="s">
        <v>97</v>
      </c>
      <c r="Q78" t="s">
        <v>97</v>
      </c>
      <c r="R78" t="s">
        <v>97</v>
      </c>
      <c r="S78" t="s">
        <v>97</v>
      </c>
      <c r="T78" t="s">
        <v>97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A78" t="s">
        <v>97</v>
      </c>
      <c r="AB78" t="s">
        <v>97</v>
      </c>
      <c r="AC78" t="s">
        <v>97</v>
      </c>
      <c r="AD78" t="s">
        <v>97</v>
      </c>
      <c r="AE78" t="s">
        <v>97</v>
      </c>
      <c r="AF78" t="s">
        <v>97</v>
      </c>
      <c r="AG78" t="s">
        <v>97</v>
      </c>
      <c r="AH78" s="22" t="b">
        <v>1</v>
      </c>
      <c r="AI78" s="22" t="b">
        <v>1</v>
      </c>
      <c r="AJ78" s="22" t="b">
        <v>1</v>
      </c>
      <c r="AK78" t="s">
        <v>97</v>
      </c>
      <c r="AL78" t="s">
        <v>97</v>
      </c>
      <c r="AM78" t="s">
        <v>97</v>
      </c>
      <c r="AN78" t="s">
        <v>97</v>
      </c>
      <c r="AO78" t="s">
        <v>97</v>
      </c>
      <c r="AP78" t="s">
        <v>97</v>
      </c>
      <c r="AQ78" t="s">
        <v>97</v>
      </c>
      <c r="AR78" s="23">
        <f t="shared" ref="AR78:AT78" si="70">AR75+0.5</f>
        <v>0</v>
      </c>
      <c r="AS78" s="23">
        <f t="shared" si="70"/>
        <v>1</v>
      </c>
      <c r="AT78" s="22">
        <v>4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0</v>
      </c>
      <c r="BL78">
        <v>0</v>
      </c>
      <c r="BM78">
        <v>0</v>
      </c>
      <c r="BN78">
        <v>0</v>
      </c>
      <c r="BO78">
        <v>0</v>
      </c>
      <c r="BP78" s="15"/>
    </row>
    <row r="79" spans="1:68" x14ac:dyDescent="0.25">
      <c r="A79" s="19">
        <v>44278.428333333337</v>
      </c>
      <c r="B79">
        <v>46</v>
      </c>
      <c r="C79" t="b">
        <v>1</v>
      </c>
      <c r="D79" t="b">
        <v>0</v>
      </c>
      <c r="E79" t="b">
        <v>1</v>
      </c>
      <c r="F79" s="3" t="str">
        <f>SUBSTITUTE(SUBSTITUTE("offFL_"&amp;$AR79&amp;"_"&amp;($AS79-$AR79),"0.","p"),".","p")</f>
        <v>offFL_0_2</v>
      </c>
      <c r="G79" s="26" t="str">
        <f>IF(MATCH(F79,F$5:F79,0)=COUNTA(F$5:F79),"-","Dup")</f>
        <v>-</v>
      </c>
      <c r="H79" t="s">
        <v>97</v>
      </c>
      <c r="I79" t="b">
        <v>0</v>
      </c>
      <c r="J79" t="b">
        <v>1</v>
      </c>
      <c r="K79" t="s">
        <v>97</v>
      </c>
      <c r="L79" t="s">
        <v>97</v>
      </c>
      <c r="M79" t="s">
        <v>97</v>
      </c>
      <c r="N79" t="s">
        <v>97</v>
      </c>
      <c r="O79" t="s">
        <v>97</v>
      </c>
      <c r="P79" t="s">
        <v>97</v>
      </c>
      <c r="Q79" t="s">
        <v>97</v>
      </c>
      <c r="R79" t="s">
        <v>97</v>
      </c>
      <c r="S79" t="s">
        <v>97</v>
      </c>
      <c r="T79" t="s">
        <v>97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A79" t="s">
        <v>97</v>
      </c>
      <c r="AB79" t="s">
        <v>97</v>
      </c>
      <c r="AC79" t="s">
        <v>97</v>
      </c>
      <c r="AD79" t="s">
        <v>97</v>
      </c>
      <c r="AE79" t="s">
        <v>97</v>
      </c>
      <c r="AF79" t="s">
        <v>97</v>
      </c>
      <c r="AG79" t="s">
        <v>97</v>
      </c>
      <c r="AH79" s="22" t="b">
        <v>1</v>
      </c>
      <c r="AI79" s="22" t="b">
        <v>1</v>
      </c>
      <c r="AJ79" s="22" t="b">
        <v>1</v>
      </c>
      <c r="AK79" t="s">
        <v>97</v>
      </c>
      <c r="AL79" t="s">
        <v>97</v>
      </c>
      <c r="AM79" t="s">
        <v>97</v>
      </c>
      <c r="AN79" t="s">
        <v>97</v>
      </c>
      <c r="AO79" t="s">
        <v>97</v>
      </c>
      <c r="AP79" t="s">
        <v>97</v>
      </c>
      <c r="AQ79" t="s">
        <v>97</v>
      </c>
      <c r="AR79" s="23">
        <f t="shared" ref="AR79:AT79" si="71">AR76+0.5</f>
        <v>0</v>
      </c>
      <c r="AS79" s="23">
        <f t="shared" si="71"/>
        <v>2</v>
      </c>
      <c r="AT79" s="22">
        <v>4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0</v>
      </c>
      <c r="BL79">
        <v>0</v>
      </c>
      <c r="BM79">
        <v>0</v>
      </c>
      <c r="BN79">
        <v>0</v>
      </c>
      <c r="BO79">
        <v>0</v>
      </c>
      <c r="BP79" s="15"/>
    </row>
    <row r="80" spans="1:68" x14ac:dyDescent="0.25">
      <c r="A80" s="19">
        <v>44278.428333333337</v>
      </c>
      <c r="B80">
        <v>46</v>
      </c>
      <c r="C80" t="b">
        <v>1</v>
      </c>
      <c r="D80" t="b">
        <v>0</v>
      </c>
      <c r="E80" t="b">
        <v>1</v>
      </c>
      <c r="F80" s="3" t="str">
        <f>SUBSTITUTE(SUBSTITUTE("offFL_"&amp;$AR80&amp;"_"&amp;($AS80-$AR80),"0.","p"),".","p")</f>
        <v>offFL_p5_p5</v>
      </c>
      <c r="G80" s="26" t="str">
        <f>IF(MATCH(F80,F$5:F80,0)=COUNTA(F$5:F80),"-","Dup")</f>
        <v>-</v>
      </c>
      <c r="H80" t="s">
        <v>97</v>
      </c>
      <c r="I80" t="b">
        <v>0</v>
      </c>
      <c r="J80" t="b">
        <v>1</v>
      </c>
      <c r="K80" t="s">
        <v>97</v>
      </c>
      <c r="L80" t="s">
        <v>97</v>
      </c>
      <c r="M80" t="s">
        <v>97</v>
      </c>
      <c r="N80" t="s">
        <v>97</v>
      </c>
      <c r="O80" t="s">
        <v>97</v>
      </c>
      <c r="P80" t="s">
        <v>97</v>
      </c>
      <c r="Q80" t="s">
        <v>97</v>
      </c>
      <c r="R80" t="s">
        <v>97</v>
      </c>
      <c r="S80" t="s">
        <v>97</v>
      </c>
      <c r="T80" t="s">
        <v>97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A80" t="s">
        <v>97</v>
      </c>
      <c r="AB80" t="s">
        <v>97</v>
      </c>
      <c r="AC80" t="s">
        <v>97</v>
      </c>
      <c r="AD80" t="s">
        <v>97</v>
      </c>
      <c r="AE80" t="s">
        <v>97</v>
      </c>
      <c r="AF80" t="s">
        <v>97</v>
      </c>
      <c r="AG80" t="s">
        <v>97</v>
      </c>
      <c r="AH80" s="22" t="b">
        <v>1</v>
      </c>
      <c r="AI80" s="22" t="b">
        <v>1</v>
      </c>
      <c r="AJ80" s="22" t="b">
        <v>1</v>
      </c>
      <c r="AK80" t="s">
        <v>97</v>
      </c>
      <c r="AL80" t="s">
        <v>97</v>
      </c>
      <c r="AM80" t="s">
        <v>97</v>
      </c>
      <c r="AN80" t="s">
        <v>97</v>
      </c>
      <c r="AO80" t="s">
        <v>97</v>
      </c>
      <c r="AP80" t="s">
        <v>97</v>
      </c>
      <c r="AQ80" t="s">
        <v>97</v>
      </c>
      <c r="AR80" s="23">
        <f t="shared" ref="AR80:AT80" si="72">AR77+0.5</f>
        <v>0.5</v>
      </c>
      <c r="AS80" s="23">
        <f t="shared" si="72"/>
        <v>1</v>
      </c>
      <c r="AT80" s="22">
        <v>4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0</v>
      </c>
      <c r="BL80">
        <v>0</v>
      </c>
      <c r="BM80">
        <v>0</v>
      </c>
      <c r="BN80">
        <v>0</v>
      </c>
      <c r="BO80">
        <v>0</v>
      </c>
      <c r="BP80" s="15"/>
    </row>
    <row r="81" spans="1:68" x14ac:dyDescent="0.25">
      <c r="A81" s="19">
        <v>44278.428333333337</v>
      </c>
      <c r="B81">
        <v>46</v>
      </c>
      <c r="C81" t="b">
        <v>1</v>
      </c>
      <c r="D81" t="b">
        <v>0</v>
      </c>
      <c r="E81" t="b">
        <v>1</v>
      </c>
      <c r="F81" s="3" t="str">
        <f>SUBSTITUTE(SUBSTITUTE("offFL_"&amp;$AR81&amp;"_"&amp;($AS81-$AR81),"0.","p"),".","p")</f>
        <v>offFL_p5_1</v>
      </c>
      <c r="G81" s="26" t="str">
        <f>IF(MATCH(F81,F$5:F81,0)=COUNTA(F$5:F81),"-","Dup")</f>
        <v>-</v>
      </c>
      <c r="H81" t="s">
        <v>97</v>
      </c>
      <c r="I81" t="b">
        <v>0</v>
      </c>
      <c r="J81" t="b">
        <v>1</v>
      </c>
      <c r="K81" t="s">
        <v>97</v>
      </c>
      <c r="L81" t="s">
        <v>97</v>
      </c>
      <c r="M81" t="s">
        <v>97</v>
      </c>
      <c r="N81" t="s">
        <v>97</v>
      </c>
      <c r="O81" t="s">
        <v>97</v>
      </c>
      <c r="P81" t="s">
        <v>97</v>
      </c>
      <c r="Q81" t="s">
        <v>97</v>
      </c>
      <c r="R81" t="s">
        <v>97</v>
      </c>
      <c r="S81" t="s">
        <v>97</v>
      </c>
      <c r="T81" t="s">
        <v>97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A81" t="s">
        <v>97</v>
      </c>
      <c r="AB81" t="s">
        <v>97</v>
      </c>
      <c r="AC81" t="s">
        <v>97</v>
      </c>
      <c r="AD81" t="s">
        <v>97</v>
      </c>
      <c r="AE81" t="s">
        <v>97</v>
      </c>
      <c r="AF81" t="s">
        <v>97</v>
      </c>
      <c r="AG81" t="s">
        <v>97</v>
      </c>
      <c r="AH81" s="22" t="b">
        <v>1</v>
      </c>
      <c r="AI81" s="22" t="b">
        <v>1</v>
      </c>
      <c r="AJ81" s="22" t="b">
        <v>1</v>
      </c>
      <c r="AK81" t="s">
        <v>97</v>
      </c>
      <c r="AL81" t="s">
        <v>97</v>
      </c>
      <c r="AM81" t="s">
        <v>97</v>
      </c>
      <c r="AN81" t="s">
        <v>97</v>
      </c>
      <c r="AO81" t="s">
        <v>97</v>
      </c>
      <c r="AP81" t="s">
        <v>97</v>
      </c>
      <c r="AQ81" t="s">
        <v>97</v>
      </c>
      <c r="AR81" s="23">
        <f t="shared" ref="AR81:AT81" si="73">AR78+0.5</f>
        <v>0.5</v>
      </c>
      <c r="AS81" s="23">
        <f t="shared" si="73"/>
        <v>1.5</v>
      </c>
      <c r="AT81" s="22">
        <v>4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0</v>
      </c>
      <c r="BL81">
        <v>0</v>
      </c>
      <c r="BM81">
        <v>0</v>
      </c>
      <c r="BN81">
        <v>0</v>
      </c>
      <c r="BO81">
        <v>0</v>
      </c>
      <c r="BP81" s="15"/>
    </row>
    <row r="82" spans="1:68" x14ac:dyDescent="0.25">
      <c r="A82" s="19">
        <v>44278.428333333337</v>
      </c>
      <c r="B82">
        <v>46</v>
      </c>
      <c r="C82" t="b">
        <v>1</v>
      </c>
      <c r="D82" t="b">
        <v>0</v>
      </c>
      <c r="E82" t="b">
        <v>1</v>
      </c>
      <c r="F82" s="3" t="str">
        <f>SUBSTITUTE(SUBSTITUTE("offFL_"&amp;$AR82&amp;"_"&amp;($AS82-$AR82),"0.","p"),".","p")</f>
        <v>offFL_p5_2</v>
      </c>
      <c r="G82" s="26" t="str">
        <f>IF(MATCH(F82,F$5:F82,0)=COUNTA(F$5:F82),"-","Dup")</f>
        <v>-</v>
      </c>
      <c r="H82" t="s">
        <v>97</v>
      </c>
      <c r="I82" t="b">
        <v>0</v>
      </c>
      <c r="J82" t="b">
        <v>1</v>
      </c>
      <c r="K82" t="s">
        <v>97</v>
      </c>
      <c r="L82" t="s">
        <v>97</v>
      </c>
      <c r="M82" t="s">
        <v>97</v>
      </c>
      <c r="N82" t="s">
        <v>97</v>
      </c>
      <c r="O82" t="s">
        <v>97</v>
      </c>
      <c r="P82" t="s">
        <v>97</v>
      </c>
      <c r="Q82" t="s">
        <v>97</v>
      </c>
      <c r="R82" t="s">
        <v>97</v>
      </c>
      <c r="S82" t="s">
        <v>97</v>
      </c>
      <c r="T82" t="s">
        <v>97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A82" t="s">
        <v>97</v>
      </c>
      <c r="AB82" t="s">
        <v>97</v>
      </c>
      <c r="AC82" t="s">
        <v>97</v>
      </c>
      <c r="AD82" t="s">
        <v>97</v>
      </c>
      <c r="AE82" t="s">
        <v>97</v>
      </c>
      <c r="AF82" t="s">
        <v>97</v>
      </c>
      <c r="AG82" t="s">
        <v>97</v>
      </c>
      <c r="AH82" s="22" t="b">
        <v>1</v>
      </c>
      <c r="AI82" s="22" t="b">
        <v>1</v>
      </c>
      <c r="AJ82" s="22" t="b">
        <v>1</v>
      </c>
      <c r="AK82" t="s">
        <v>97</v>
      </c>
      <c r="AL82" t="s">
        <v>97</v>
      </c>
      <c r="AM82" t="s">
        <v>97</v>
      </c>
      <c r="AN82" t="s">
        <v>97</v>
      </c>
      <c r="AO82" t="s">
        <v>97</v>
      </c>
      <c r="AP82" t="s">
        <v>97</v>
      </c>
      <c r="AQ82" t="s">
        <v>97</v>
      </c>
      <c r="AR82" s="23">
        <f t="shared" ref="AR82:AT82" si="74">AR79+0.5</f>
        <v>0.5</v>
      </c>
      <c r="AS82" s="23">
        <f t="shared" si="74"/>
        <v>2.5</v>
      </c>
      <c r="AT82" s="22">
        <v>4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0</v>
      </c>
      <c r="BL82">
        <v>0</v>
      </c>
      <c r="BM82">
        <v>0</v>
      </c>
      <c r="BN82">
        <v>0</v>
      </c>
      <c r="BO82">
        <v>0</v>
      </c>
      <c r="BP82" s="15"/>
    </row>
    <row r="83" spans="1:68" x14ac:dyDescent="0.25">
      <c r="A83" s="19">
        <v>44278.428333333337</v>
      </c>
      <c r="B83">
        <v>46</v>
      </c>
      <c r="C83" t="b">
        <v>1</v>
      </c>
      <c r="D83" t="b">
        <v>0</v>
      </c>
      <c r="E83" t="b">
        <v>1</v>
      </c>
      <c r="F83" s="3" t="str">
        <f>SUBSTITUTE(SUBSTITUTE("offFL_"&amp;$AR83&amp;"_"&amp;($AS83-$AR83),"0.","p"),".","p")</f>
        <v>offFL_1_p5</v>
      </c>
      <c r="G83" s="26" t="str">
        <f>IF(MATCH(F83,F$5:F83,0)=COUNTA(F$5:F83),"-","Dup")</f>
        <v>-</v>
      </c>
      <c r="H83" t="s">
        <v>97</v>
      </c>
      <c r="I83" t="b">
        <v>0</v>
      </c>
      <c r="J83" t="b">
        <v>1</v>
      </c>
      <c r="K83" t="s">
        <v>97</v>
      </c>
      <c r="L83" t="s">
        <v>97</v>
      </c>
      <c r="M83" t="s">
        <v>97</v>
      </c>
      <c r="N83" t="s">
        <v>97</v>
      </c>
      <c r="O83" t="s">
        <v>97</v>
      </c>
      <c r="P83" t="s">
        <v>97</v>
      </c>
      <c r="Q83" t="s">
        <v>97</v>
      </c>
      <c r="R83" t="s">
        <v>97</v>
      </c>
      <c r="S83" t="s">
        <v>97</v>
      </c>
      <c r="T83" t="s">
        <v>97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A83" t="s">
        <v>97</v>
      </c>
      <c r="AB83" t="s">
        <v>97</v>
      </c>
      <c r="AC83" t="s">
        <v>97</v>
      </c>
      <c r="AD83" t="s">
        <v>97</v>
      </c>
      <c r="AE83" t="s">
        <v>97</v>
      </c>
      <c r="AF83" t="s">
        <v>97</v>
      </c>
      <c r="AG83" t="s">
        <v>97</v>
      </c>
      <c r="AH83" s="22" t="b">
        <v>1</v>
      </c>
      <c r="AI83" s="22" t="b">
        <v>1</v>
      </c>
      <c r="AJ83" s="22" t="b">
        <v>1</v>
      </c>
      <c r="AK83" t="s">
        <v>97</v>
      </c>
      <c r="AL83" t="s">
        <v>97</v>
      </c>
      <c r="AM83" t="s">
        <v>97</v>
      </c>
      <c r="AN83" t="s">
        <v>97</v>
      </c>
      <c r="AO83" t="s">
        <v>97</v>
      </c>
      <c r="AP83" t="s">
        <v>97</v>
      </c>
      <c r="AQ83" t="s">
        <v>97</v>
      </c>
      <c r="AR83" s="23">
        <f t="shared" ref="AR83:AT83" si="75">AR80+0.5</f>
        <v>1</v>
      </c>
      <c r="AS83" s="23">
        <f t="shared" si="75"/>
        <v>1.5</v>
      </c>
      <c r="AT83" s="22">
        <v>4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0</v>
      </c>
      <c r="BL83">
        <v>0</v>
      </c>
      <c r="BM83">
        <v>0</v>
      </c>
      <c r="BN83">
        <v>0</v>
      </c>
      <c r="BO83">
        <v>0</v>
      </c>
      <c r="BP83" s="15"/>
    </row>
    <row r="84" spans="1:68" x14ac:dyDescent="0.25">
      <c r="A84" s="19">
        <v>44278.428333333337</v>
      </c>
      <c r="B84">
        <v>46</v>
      </c>
      <c r="C84" t="b">
        <v>1</v>
      </c>
      <c r="D84" t="b">
        <v>0</v>
      </c>
      <c r="E84" t="b">
        <v>1</v>
      </c>
      <c r="F84" s="3" t="str">
        <f>SUBSTITUTE(SUBSTITUTE("offFL_"&amp;$AR84&amp;"_"&amp;($AS84-$AR84),"0.","p"),".","p")</f>
        <v>offFL_1_1</v>
      </c>
      <c r="G84" s="26" t="str">
        <f>IF(MATCH(F84,F$5:F84,0)=COUNTA(F$5:F84),"-","Dup")</f>
        <v>-</v>
      </c>
      <c r="H84" t="s">
        <v>97</v>
      </c>
      <c r="I84" t="b">
        <v>0</v>
      </c>
      <c r="J84" t="b">
        <v>1</v>
      </c>
      <c r="K84" t="s">
        <v>97</v>
      </c>
      <c r="L84" t="s">
        <v>97</v>
      </c>
      <c r="M84" t="s">
        <v>97</v>
      </c>
      <c r="N84" t="s">
        <v>97</v>
      </c>
      <c r="O84" t="s">
        <v>97</v>
      </c>
      <c r="P84" t="s">
        <v>97</v>
      </c>
      <c r="Q84" t="s">
        <v>97</v>
      </c>
      <c r="R84" t="s">
        <v>97</v>
      </c>
      <c r="S84" t="s">
        <v>97</v>
      </c>
      <c r="T84" t="s">
        <v>97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A84" t="s">
        <v>97</v>
      </c>
      <c r="AB84" t="s">
        <v>97</v>
      </c>
      <c r="AC84" t="s">
        <v>97</v>
      </c>
      <c r="AD84" t="s">
        <v>97</v>
      </c>
      <c r="AE84" t="s">
        <v>97</v>
      </c>
      <c r="AF84" t="s">
        <v>97</v>
      </c>
      <c r="AG84" t="s">
        <v>97</v>
      </c>
      <c r="AH84" s="22" t="b">
        <v>1</v>
      </c>
      <c r="AI84" s="22" t="b">
        <v>1</v>
      </c>
      <c r="AJ84" s="22" t="b">
        <v>1</v>
      </c>
      <c r="AK84" t="s">
        <v>97</v>
      </c>
      <c r="AL84" t="s">
        <v>97</v>
      </c>
      <c r="AM84" t="s">
        <v>97</v>
      </c>
      <c r="AN84" t="s">
        <v>97</v>
      </c>
      <c r="AO84" t="s">
        <v>97</v>
      </c>
      <c r="AP84" t="s">
        <v>97</v>
      </c>
      <c r="AQ84" t="s">
        <v>97</v>
      </c>
      <c r="AR84" s="23">
        <f t="shared" ref="AR84:AT84" si="76">AR81+0.5</f>
        <v>1</v>
      </c>
      <c r="AS84" s="23">
        <f t="shared" si="76"/>
        <v>2</v>
      </c>
      <c r="AT84" s="22">
        <v>4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0</v>
      </c>
      <c r="BL84">
        <v>0</v>
      </c>
      <c r="BM84">
        <v>0</v>
      </c>
      <c r="BN84">
        <v>0</v>
      </c>
      <c r="BO84">
        <v>0</v>
      </c>
      <c r="BP84" s="15"/>
    </row>
    <row r="85" spans="1:68" x14ac:dyDescent="0.25">
      <c r="A85" s="19">
        <v>44278.428333333337</v>
      </c>
      <c r="B85">
        <v>46</v>
      </c>
      <c r="C85" t="b">
        <v>1</v>
      </c>
      <c r="D85" t="b">
        <v>0</v>
      </c>
      <c r="E85" t="b">
        <v>1</v>
      </c>
      <c r="F85" s="3" t="str">
        <f>SUBSTITUTE(SUBSTITUTE("offFL_"&amp;$AR85&amp;"_"&amp;($AS85-$AR85),"0.","p"),".","p")</f>
        <v>offFL_1_2</v>
      </c>
      <c r="G85" s="26" t="str">
        <f>IF(MATCH(F85,F$5:F85,0)=COUNTA(F$5:F85),"-","Dup")</f>
        <v>-</v>
      </c>
      <c r="H85" t="s">
        <v>97</v>
      </c>
      <c r="I85" t="b">
        <v>0</v>
      </c>
      <c r="J85" t="b">
        <v>1</v>
      </c>
      <c r="K85" t="s">
        <v>97</v>
      </c>
      <c r="L85" t="s">
        <v>97</v>
      </c>
      <c r="M85" t="s">
        <v>97</v>
      </c>
      <c r="N85" t="s">
        <v>97</v>
      </c>
      <c r="O85" t="s">
        <v>97</v>
      </c>
      <c r="P85" t="s">
        <v>97</v>
      </c>
      <c r="Q85" t="s">
        <v>97</v>
      </c>
      <c r="R85" t="s">
        <v>97</v>
      </c>
      <c r="S85" t="s">
        <v>97</v>
      </c>
      <c r="T85" t="s">
        <v>97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A85" t="s">
        <v>97</v>
      </c>
      <c r="AB85" t="s">
        <v>97</v>
      </c>
      <c r="AC85" t="s">
        <v>97</v>
      </c>
      <c r="AD85" t="s">
        <v>97</v>
      </c>
      <c r="AE85" t="s">
        <v>97</v>
      </c>
      <c r="AF85" t="s">
        <v>97</v>
      </c>
      <c r="AG85" t="s">
        <v>97</v>
      </c>
      <c r="AH85" s="22" t="b">
        <v>1</v>
      </c>
      <c r="AI85" s="22" t="b">
        <v>1</v>
      </c>
      <c r="AJ85" s="22" t="b">
        <v>1</v>
      </c>
      <c r="AK85" t="s">
        <v>97</v>
      </c>
      <c r="AL85" t="s">
        <v>97</v>
      </c>
      <c r="AM85" t="s">
        <v>97</v>
      </c>
      <c r="AN85" t="s">
        <v>97</v>
      </c>
      <c r="AO85" t="s">
        <v>97</v>
      </c>
      <c r="AP85" t="s">
        <v>97</v>
      </c>
      <c r="AQ85" t="s">
        <v>97</v>
      </c>
      <c r="AR85" s="23">
        <f t="shared" ref="AR85:AT85" si="77">AR82+0.5</f>
        <v>1</v>
      </c>
      <c r="AS85" s="23">
        <f t="shared" si="77"/>
        <v>3</v>
      </c>
      <c r="AT85" s="22">
        <v>4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0</v>
      </c>
      <c r="BL85">
        <v>0</v>
      </c>
      <c r="BM85">
        <v>0</v>
      </c>
      <c r="BN85">
        <v>0</v>
      </c>
      <c r="BO85">
        <v>0</v>
      </c>
      <c r="BP85" s="15"/>
    </row>
    <row r="86" spans="1:68" x14ac:dyDescent="0.25">
      <c r="A86" s="19">
        <v>44278.432662037034</v>
      </c>
      <c r="C86" t="b">
        <v>0</v>
      </c>
      <c r="F86" s="27"/>
      <c r="G86" s="28" t="s">
        <v>116</v>
      </c>
      <c r="BP86" s="15"/>
    </row>
    <row r="87" spans="1:68" x14ac:dyDescent="0.25">
      <c r="A87" s="19">
        <v>44278.432800925926</v>
      </c>
      <c r="B87">
        <v>46</v>
      </c>
      <c r="C87" t="b">
        <v>0</v>
      </c>
      <c r="D87" t="b">
        <v>0</v>
      </c>
      <c r="E87" t="b">
        <v>1</v>
      </c>
      <c r="F87" s="3" t="str">
        <f t="shared" ref="F87:F90" si="78">SUBSTITUTE(SUBSTITUTE("off_"&amp;$AR87&amp;"_"&amp;($AS87-$AR87),"0.","p"),".","p")</f>
        <v>off_0_2</v>
      </c>
      <c r="G87" s="26" t="str">
        <f>IF(MATCH(F87,F$5:F87,0)=COUNTA(F$5:F87),"-","Dup")</f>
        <v>Dup</v>
      </c>
      <c r="H87" t="s">
        <v>97</v>
      </c>
      <c r="I87" t="b">
        <v>0</v>
      </c>
      <c r="J87" t="b">
        <v>1</v>
      </c>
      <c r="K87" t="s">
        <v>97</v>
      </c>
      <c r="L87" t="s">
        <v>97</v>
      </c>
      <c r="M87" t="s">
        <v>97</v>
      </c>
      <c r="N87" t="s">
        <v>97</v>
      </c>
      <c r="O87" t="s">
        <v>97</v>
      </c>
      <c r="P87" t="s">
        <v>97</v>
      </c>
      <c r="Q87" t="s">
        <v>97</v>
      </c>
      <c r="R87" t="s">
        <v>97</v>
      </c>
      <c r="S87" t="s">
        <v>97</v>
      </c>
      <c r="T87" t="s">
        <v>97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A87" t="s">
        <v>97</v>
      </c>
      <c r="AB87" t="s">
        <v>97</v>
      </c>
      <c r="AC87" t="s">
        <v>97</v>
      </c>
      <c r="AD87" t="s">
        <v>97</v>
      </c>
      <c r="AE87" t="s">
        <v>97</v>
      </c>
      <c r="AF87" t="s">
        <v>97</v>
      </c>
      <c r="AG87" t="s">
        <v>97</v>
      </c>
      <c r="AH87" s="22" t="b">
        <v>1</v>
      </c>
      <c r="AI87" s="22" t="b">
        <v>1</v>
      </c>
      <c r="AJ87" s="22" t="b">
        <v>1</v>
      </c>
      <c r="AK87" t="s">
        <v>97</v>
      </c>
      <c r="AL87" t="s">
        <v>97</v>
      </c>
      <c r="AM87" t="s">
        <v>97</v>
      </c>
      <c r="AN87" t="s">
        <v>97</v>
      </c>
      <c r="AO87" t="s">
        <v>97</v>
      </c>
      <c r="AP87" t="s">
        <v>97</v>
      </c>
      <c r="AQ87" t="s">
        <v>97</v>
      </c>
      <c r="AR87" s="22">
        <v>0</v>
      </c>
      <c r="AS87" s="22">
        <v>2</v>
      </c>
      <c r="AT87" t="s">
        <v>97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0</v>
      </c>
      <c r="BL87">
        <v>0</v>
      </c>
      <c r="BM87">
        <v>0</v>
      </c>
      <c r="BN87">
        <v>0</v>
      </c>
      <c r="BO87">
        <v>0</v>
      </c>
      <c r="BP87" s="15"/>
    </row>
    <row r="88" spans="1:68" x14ac:dyDescent="0.25">
      <c r="A88" s="19">
        <v>44278.432500000003</v>
      </c>
      <c r="B88">
        <v>46</v>
      </c>
      <c r="C88" t="b">
        <v>0</v>
      </c>
      <c r="D88" t="b">
        <v>0</v>
      </c>
      <c r="E88" t="b">
        <v>1</v>
      </c>
      <c r="F88" s="3" t="str">
        <f t="shared" si="78"/>
        <v>off_0_4</v>
      </c>
      <c r="G88" s="26" t="str">
        <f>IF(MATCH(F88,F$5:F88,0)=COUNTA(F$5:F88),"-","Dup")</f>
        <v>Dup</v>
      </c>
      <c r="H88" t="s">
        <v>97</v>
      </c>
      <c r="I88" t="b">
        <v>0</v>
      </c>
      <c r="J88" t="b">
        <v>1</v>
      </c>
      <c r="K88" t="s">
        <v>97</v>
      </c>
      <c r="L88" t="s">
        <v>97</v>
      </c>
      <c r="M88" t="s">
        <v>97</v>
      </c>
      <c r="N88" t="s">
        <v>97</v>
      </c>
      <c r="O88" t="s">
        <v>97</v>
      </c>
      <c r="P88" t="s">
        <v>97</v>
      </c>
      <c r="Q88" t="s">
        <v>97</v>
      </c>
      <c r="R88" t="s">
        <v>97</v>
      </c>
      <c r="S88" t="s">
        <v>97</v>
      </c>
      <c r="T88" t="s">
        <v>97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A88" t="s">
        <v>97</v>
      </c>
      <c r="AB88" t="s">
        <v>97</v>
      </c>
      <c r="AC88" t="s">
        <v>97</v>
      </c>
      <c r="AD88" t="s">
        <v>97</v>
      </c>
      <c r="AE88" t="s">
        <v>97</v>
      </c>
      <c r="AF88" t="s">
        <v>97</v>
      </c>
      <c r="AG88" t="s">
        <v>97</v>
      </c>
      <c r="AH88" s="22" t="b">
        <v>1</v>
      </c>
      <c r="AI88" s="22" t="b">
        <v>1</v>
      </c>
      <c r="AJ88" s="22" t="b">
        <v>1</v>
      </c>
      <c r="AK88" t="s">
        <v>97</v>
      </c>
      <c r="AL88" t="s">
        <v>97</v>
      </c>
      <c r="AM88" t="s">
        <v>97</v>
      </c>
      <c r="AN88" t="s">
        <v>97</v>
      </c>
      <c r="AO88" t="s">
        <v>97</v>
      </c>
      <c r="AP88" t="s">
        <v>97</v>
      </c>
      <c r="AQ88" t="s">
        <v>97</v>
      </c>
      <c r="AR88" s="22">
        <v>0</v>
      </c>
      <c r="AS88" s="22">
        <v>4</v>
      </c>
      <c r="AT88" t="s">
        <v>97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0</v>
      </c>
      <c r="BL88">
        <v>0</v>
      </c>
      <c r="BM88">
        <v>0</v>
      </c>
      <c r="BN88">
        <v>0</v>
      </c>
      <c r="BO88">
        <v>0</v>
      </c>
      <c r="BP88" s="15"/>
    </row>
    <row r="89" spans="1:68" x14ac:dyDescent="0.25">
      <c r="A89" s="19">
        <v>44278.432511574072</v>
      </c>
      <c r="B89">
        <v>46</v>
      </c>
      <c r="C89" t="b">
        <v>0</v>
      </c>
      <c r="D89" t="b">
        <v>0</v>
      </c>
      <c r="E89" t="b">
        <v>1</v>
      </c>
      <c r="F89" s="3" t="str">
        <f t="shared" si="78"/>
        <v>off_1_1</v>
      </c>
      <c r="G89" s="26" t="str">
        <f>IF(MATCH(F89,F$5:F89,0)=COUNTA(F$5:F89),"-","Dup")</f>
        <v>Dup</v>
      </c>
      <c r="H89" t="s">
        <v>97</v>
      </c>
      <c r="I89" t="b">
        <v>0</v>
      </c>
      <c r="J89" t="b">
        <v>1</v>
      </c>
      <c r="K89" t="s">
        <v>97</v>
      </c>
      <c r="L89" t="s">
        <v>97</v>
      </c>
      <c r="M89" t="s">
        <v>97</v>
      </c>
      <c r="N89" t="s">
        <v>97</v>
      </c>
      <c r="O89" t="s">
        <v>97</v>
      </c>
      <c r="P89" t="s">
        <v>97</v>
      </c>
      <c r="Q89" t="s">
        <v>97</v>
      </c>
      <c r="R89" t="s">
        <v>97</v>
      </c>
      <c r="S89" t="s">
        <v>97</v>
      </c>
      <c r="T89" t="s">
        <v>97</v>
      </c>
      <c r="U89" t="s">
        <v>97</v>
      </c>
      <c r="V89" t="s">
        <v>97</v>
      </c>
      <c r="W89" t="s">
        <v>97</v>
      </c>
      <c r="X89" t="s">
        <v>97</v>
      </c>
      <c r="Y89" t="s">
        <v>97</v>
      </c>
      <c r="Z89" t="s">
        <v>97</v>
      </c>
      <c r="AA89" t="s">
        <v>97</v>
      </c>
      <c r="AB89" t="s">
        <v>97</v>
      </c>
      <c r="AC89" t="s">
        <v>97</v>
      </c>
      <c r="AD89" t="s">
        <v>97</v>
      </c>
      <c r="AE89" t="s">
        <v>97</v>
      </c>
      <c r="AF89" t="s">
        <v>97</v>
      </c>
      <c r="AG89" t="s">
        <v>97</v>
      </c>
      <c r="AH89" s="22" t="b">
        <v>1</v>
      </c>
      <c r="AI89" s="22" t="b">
        <v>1</v>
      </c>
      <c r="AJ89" s="22" t="b">
        <v>1</v>
      </c>
      <c r="AK89" t="s">
        <v>97</v>
      </c>
      <c r="AL89" t="s">
        <v>97</v>
      </c>
      <c r="AM89" t="s">
        <v>97</v>
      </c>
      <c r="AN89" t="s">
        <v>97</v>
      </c>
      <c r="AO89" t="s">
        <v>97</v>
      </c>
      <c r="AP89" t="s">
        <v>97</v>
      </c>
      <c r="AQ89" t="s">
        <v>97</v>
      </c>
      <c r="AR89" s="22">
        <v>1</v>
      </c>
      <c r="AS89" s="22">
        <v>2</v>
      </c>
      <c r="AT89" t="s">
        <v>97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  <c r="BE89">
        <v>1</v>
      </c>
      <c r="BF89">
        <v>1</v>
      </c>
      <c r="BG89">
        <v>1</v>
      </c>
      <c r="BH89">
        <v>1</v>
      </c>
      <c r="BI89">
        <v>1</v>
      </c>
      <c r="BJ89">
        <v>1</v>
      </c>
      <c r="BK89">
        <v>0</v>
      </c>
      <c r="BL89">
        <v>0</v>
      </c>
      <c r="BM89">
        <v>0</v>
      </c>
      <c r="BN89">
        <v>0</v>
      </c>
      <c r="BO89">
        <v>0</v>
      </c>
      <c r="BP89" s="15"/>
    </row>
    <row r="90" spans="1:68" x14ac:dyDescent="0.25">
      <c r="A90" s="19">
        <v>44278.432534722226</v>
      </c>
      <c r="B90">
        <v>46</v>
      </c>
      <c r="C90" t="b">
        <v>0</v>
      </c>
      <c r="D90" t="b">
        <v>0</v>
      </c>
      <c r="E90" t="b">
        <v>1</v>
      </c>
      <c r="F90" s="3" t="str">
        <f t="shared" si="78"/>
        <v>off_1_3</v>
      </c>
      <c r="G90" s="26" t="str">
        <f>IF(MATCH(F90,F$5:F90,0)=COUNTA(F$5:F90),"-","Dup")</f>
        <v>Dup</v>
      </c>
      <c r="H90" t="s">
        <v>97</v>
      </c>
      <c r="I90" t="b">
        <v>0</v>
      </c>
      <c r="J90" t="b">
        <v>1</v>
      </c>
      <c r="K90" t="s">
        <v>97</v>
      </c>
      <c r="L90" t="s">
        <v>97</v>
      </c>
      <c r="M90" t="s">
        <v>97</v>
      </c>
      <c r="N90" t="s">
        <v>97</v>
      </c>
      <c r="O90" t="s">
        <v>97</v>
      </c>
      <c r="P90" t="s">
        <v>97</v>
      </c>
      <c r="Q90" t="s">
        <v>97</v>
      </c>
      <c r="R90" t="s">
        <v>97</v>
      </c>
      <c r="S90" t="s">
        <v>97</v>
      </c>
      <c r="T90" t="s">
        <v>97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A90" t="s">
        <v>97</v>
      </c>
      <c r="AB90" t="s">
        <v>97</v>
      </c>
      <c r="AC90" t="s">
        <v>97</v>
      </c>
      <c r="AD90" t="s">
        <v>97</v>
      </c>
      <c r="AE90" t="s">
        <v>97</v>
      </c>
      <c r="AF90" t="s">
        <v>97</v>
      </c>
      <c r="AG90" t="s">
        <v>97</v>
      </c>
      <c r="AH90" s="22" t="b">
        <v>1</v>
      </c>
      <c r="AI90" s="22" t="b">
        <v>1</v>
      </c>
      <c r="AJ90" s="22" t="b">
        <v>1</v>
      </c>
      <c r="AK90" t="s">
        <v>97</v>
      </c>
      <c r="AL90" t="s">
        <v>97</v>
      </c>
      <c r="AM90" t="s">
        <v>97</v>
      </c>
      <c r="AN90" t="s">
        <v>97</v>
      </c>
      <c r="AO90" t="s">
        <v>97</v>
      </c>
      <c r="AP90" t="s">
        <v>97</v>
      </c>
      <c r="AQ90" t="s">
        <v>97</v>
      </c>
      <c r="AR90" s="22">
        <v>1</v>
      </c>
      <c r="AS90" s="22">
        <v>4</v>
      </c>
      <c r="AT90" t="s">
        <v>97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  <c r="BK90">
        <v>0</v>
      </c>
      <c r="BL90">
        <v>0</v>
      </c>
      <c r="BM90">
        <v>0</v>
      </c>
      <c r="BN90">
        <v>0</v>
      </c>
      <c r="BO90">
        <v>0</v>
      </c>
      <c r="BP90" s="15"/>
    </row>
    <row r="91" spans="1:68" ht="6.75" customHeight="1" x14ac:dyDescent="0.25">
      <c r="A91" s="20">
        <v>44278.423518518517</v>
      </c>
      <c r="B91" s="15">
        <f t="shared" si="3"/>
        <v>86</v>
      </c>
      <c r="C91" s="15" t="b">
        <v>0</v>
      </c>
      <c r="D91" s="15" t="b">
        <v>0</v>
      </c>
      <c r="E91" s="15" t="b">
        <v>0</v>
      </c>
      <c r="F91" s="15" t="s">
        <v>80</v>
      </c>
      <c r="G91" s="30">
        <f>G$5</f>
        <v>0</v>
      </c>
      <c r="H91" s="30" t="str">
        <f>H$5</f>
        <v>-</v>
      </c>
      <c r="I91" s="30" t="str">
        <f t="shared" ref="I91:M91" si="79">I$5</f>
        <v>-</v>
      </c>
      <c r="J91" s="30" t="str">
        <f t="shared" si="79"/>
        <v>-</v>
      </c>
      <c r="K91" s="30" t="str">
        <f t="shared" si="79"/>
        <v>-</v>
      </c>
      <c r="L91" s="30" t="str">
        <f t="shared" si="79"/>
        <v>-</v>
      </c>
      <c r="M91" s="30" t="str">
        <f t="shared" si="79"/>
        <v>-</v>
      </c>
      <c r="N91" s="30" t="str">
        <f t="shared" ref="N91:O91" si="80">N$5</f>
        <v>-</v>
      </c>
      <c r="O91" s="30" t="str">
        <f t="shared" si="80"/>
        <v>-</v>
      </c>
      <c r="P91" s="30" t="str">
        <f t="shared" ref="P91:BO91" si="81">P$5</f>
        <v>-</v>
      </c>
      <c r="Q91" s="30" t="str">
        <f t="shared" si="81"/>
        <v>-</v>
      </c>
      <c r="R91" s="30" t="str">
        <f t="shared" si="81"/>
        <v>-</v>
      </c>
      <c r="S91" s="30" t="str">
        <f t="shared" si="81"/>
        <v>-</v>
      </c>
      <c r="T91" s="30" t="str">
        <f t="shared" si="81"/>
        <v>-</v>
      </c>
      <c r="U91" s="30" t="str">
        <f t="shared" si="81"/>
        <v>-</v>
      </c>
      <c r="V91" s="30" t="str">
        <f t="shared" si="81"/>
        <v>-</v>
      </c>
      <c r="W91" s="30" t="str">
        <f t="shared" si="81"/>
        <v>-</v>
      </c>
      <c r="X91" s="30" t="str">
        <f t="shared" si="81"/>
        <v>-</v>
      </c>
      <c r="Y91" s="30" t="str">
        <f t="shared" si="81"/>
        <v>-</v>
      </c>
      <c r="Z91" s="30" t="str">
        <f t="shared" si="81"/>
        <v>-</v>
      </c>
      <c r="AA91" s="30" t="str">
        <f t="shared" si="81"/>
        <v>-</v>
      </c>
      <c r="AB91" s="30" t="str">
        <f t="shared" si="81"/>
        <v>-</v>
      </c>
      <c r="AC91" s="30" t="str">
        <f t="shared" si="81"/>
        <v>-</v>
      </c>
      <c r="AD91" s="30" t="str">
        <f t="shared" si="81"/>
        <v>-</v>
      </c>
      <c r="AE91" s="30" t="str">
        <f t="shared" si="81"/>
        <v>-</v>
      </c>
      <c r="AF91" s="30" t="str">
        <f t="shared" si="81"/>
        <v>-</v>
      </c>
      <c r="AG91" s="30" t="str">
        <f t="shared" si="81"/>
        <v>-</v>
      </c>
      <c r="AH91" s="30" t="str">
        <f t="shared" si="81"/>
        <v>-</v>
      </c>
      <c r="AI91" s="30" t="str">
        <f t="shared" si="81"/>
        <v>-</v>
      </c>
      <c r="AJ91" s="30" t="str">
        <f t="shared" si="81"/>
        <v>-</v>
      </c>
      <c r="AK91" s="30" t="str">
        <f t="shared" si="81"/>
        <v>-</v>
      </c>
      <c r="AL91" s="30" t="str">
        <f t="shared" si="81"/>
        <v>-</v>
      </c>
      <c r="AM91" s="30" t="str">
        <f t="shared" si="81"/>
        <v>-</v>
      </c>
      <c r="AN91" s="30" t="str">
        <f t="shared" si="81"/>
        <v>-</v>
      </c>
      <c r="AO91" s="30" t="str">
        <f t="shared" si="81"/>
        <v>-</v>
      </c>
      <c r="AP91" s="30" t="str">
        <f t="shared" si="81"/>
        <v>-</v>
      </c>
      <c r="AQ91" s="30" t="str">
        <f t="shared" si="81"/>
        <v>-</v>
      </c>
      <c r="AR91" s="15" t="s">
        <v>97</v>
      </c>
      <c r="AS91" s="15" t="s">
        <v>97</v>
      </c>
      <c r="AT91" s="15" t="s">
        <v>97</v>
      </c>
      <c r="AU91" s="30">
        <f t="shared" si="81"/>
        <v>1</v>
      </c>
      <c r="AV91" s="30">
        <f t="shared" si="81"/>
        <v>1</v>
      </c>
      <c r="AW91" s="30">
        <f t="shared" si="81"/>
        <v>1</v>
      </c>
      <c r="AX91" s="30">
        <f t="shared" si="81"/>
        <v>1</v>
      </c>
      <c r="AY91" s="30">
        <f t="shared" si="81"/>
        <v>1</v>
      </c>
      <c r="AZ91" s="30">
        <f t="shared" si="81"/>
        <v>1</v>
      </c>
      <c r="BA91" s="30">
        <f t="shared" si="81"/>
        <v>1</v>
      </c>
      <c r="BB91" s="30">
        <f t="shared" si="81"/>
        <v>1</v>
      </c>
      <c r="BC91" s="30">
        <f t="shared" si="81"/>
        <v>1</v>
      </c>
      <c r="BD91" s="30">
        <f t="shared" si="81"/>
        <v>1</v>
      </c>
      <c r="BE91" s="30">
        <f t="shared" si="81"/>
        <v>1</v>
      </c>
      <c r="BF91" s="30">
        <f t="shared" si="81"/>
        <v>1</v>
      </c>
      <c r="BG91" s="30">
        <f t="shared" si="81"/>
        <v>1</v>
      </c>
      <c r="BH91" s="30">
        <f t="shared" si="81"/>
        <v>1</v>
      </c>
      <c r="BI91" s="30">
        <f t="shared" si="81"/>
        <v>1</v>
      </c>
      <c r="BJ91" s="30">
        <f t="shared" si="81"/>
        <v>1</v>
      </c>
      <c r="BK91" s="30">
        <f t="shared" si="81"/>
        <v>0</v>
      </c>
      <c r="BL91" s="30">
        <f t="shared" si="81"/>
        <v>0</v>
      </c>
      <c r="BM91" s="30">
        <f t="shared" si="81"/>
        <v>0</v>
      </c>
      <c r="BN91" s="30">
        <f t="shared" si="81"/>
        <v>0</v>
      </c>
      <c r="BO91" s="30">
        <f t="shared" si="81"/>
        <v>0</v>
      </c>
      <c r="BP91" s="15">
        <v>0</v>
      </c>
    </row>
  </sheetData>
  <autoFilter ref="F4:BO4" xr:uid="{74BD5C81-DA63-4249-A1B4-6F29577A4105}"/>
  <phoneticPr fontId="4" type="noConversion"/>
  <conditionalFormatting sqref="C1:E1048576">
    <cfRule type="cellIs" dxfId="13" priority="40" operator="equal">
      <formula>TRUE</formula>
    </cfRule>
  </conditionalFormatting>
  <conditionalFormatting sqref="A1:XFD1">
    <cfRule type="cellIs" dxfId="12" priority="73" operator="equal">
      <formula>"sav"</formula>
    </cfRule>
    <cfRule type="containsText" dxfId="11" priority="77" operator="containsText" text="sam">
      <formula>NOT(ISERROR(SEARCH("sam",A1)))</formula>
    </cfRule>
    <cfRule type="containsText" dxfId="10" priority="78" operator="containsText" text="sap">
      <formula>NOT(ISERROR(SEARCH("sap",A1)))</formula>
    </cfRule>
    <cfRule type="containsText" dxfId="9" priority="79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5" x14ac:dyDescent="0.25"/>
  <cols>
    <col min="1" max="1" width="145.140625" customWidth="1"/>
  </cols>
  <sheetData>
    <row r="1" spans="1:1" x14ac:dyDescent="0.25">
      <c r="A1" t="s">
        <v>69</v>
      </c>
    </row>
    <row r="2" spans="1:1" x14ac:dyDescent="0.25">
      <c r="A2" s="10"/>
    </row>
    <row r="3" spans="1:1" x14ac:dyDescent="0.25">
      <c r="A3" s="10"/>
    </row>
    <row r="4" spans="1:1" x14ac:dyDescent="0.25">
      <c r="A4" s="10"/>
    </row>
    <row r="5" spans="1:1" x14ac:dyDescent="0.25">
      <c r="A5" s="10"/>
    </row>
    <row r="6" spans="1:1" x14ac:dyDescent="0.25">
      <c r="A6" s="10"/>
    </row>
    <row r="7" spans="1:1" x14ac:dyDescent="0.25">
      <c r="A7" s="10"/>
    </row>
    <row r="8" spans="1:1" x14ac:dyDescent="0.2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John</cp:lastModifiedBy>
  <dcterms:created xsi:type="dcterms:W3CDTF">2019-11-05T07:30:33Z</dcterms:created>
  <dcterms:modified xsi:type="dcterms:W3CDTF">2021-03-23T02:29:32Z</dcterms:modified>
</cp:coreProperties>
</file>