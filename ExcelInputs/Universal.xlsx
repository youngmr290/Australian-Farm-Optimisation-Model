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7FF478E3-1583-49FE-BB46-181318465973}" xr6:coauthVersionLast="47" xr6:coauthVersionMax="47" xr10:uidLastSave="{00000000-0000-0000-0000-000000000000}"/>
  <bookViews>
    <workbookView xWindow="810" yWindow="-120" windowWidth="28110" windowHeight="16440" tabRatio="625" activeTab="6"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General!$M$65:$M$68</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General!$K$65:$K$69</definedName>
    <definedName name="i_fert_info_n1" localSheetId="0">General!$G$42:$K$52</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0" i="24" l="1"/>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Z974" i="24"/>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978" i="24" l="1"/>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6" i="17" l="1"/>
  <c r="H49" i="17"/>
  <c r="J45" i="17"/>
  <c r="I45" i="17"/>
  <c r="H48" i="17"/>
  <c r="L37" i="20" l="1"/>
  <c r="L53" i="20"/>
  <c r="N52" i="20"/>
  <c r="M52" i="20"/>
  <c r="G60" i="17"/>
  <c r="H52" i="17"/>
  <c r="H51" i="17"/>
  <c r="H50" i="17"/>
  <c r="H47" i="17"/>
  <c r="H43"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X1692" i="24" s="1"/>
  <c r="V1693" i="24"/>
  <c r="Y1693" i="24" s="1"/>
  <c r="V1694" i="24"/>
  <c r="X1694" i="24" s="1"/>
  <c r="V1695" i="24"/>
  <c r="V1696" i="24"/>
  <c r="Y1696" i="24" s="1"/>
  <c r="V1697" i="24"/>
  <c r="V1698" i="24"/>
  <c r="Y1698" i="24" s="1"/>
  <c r="V1699" i="24"/>
  <c r="V1700" i="24"/>
  <c r="X1700" i="24" s="1"/>
  <c r="V1701" i="24"/>
  <c r="X1701" i="24" s="1"/>
  <c r="V1702" i="24"/>
  <c r="V1703" i="24"/>
  <c r="Y1703" i="24" s="1"/>
  <c r="V1704" i="24"/>
  <c r="V1705" i="24"/>
  <c r="V1706" i="24"/>
  <c r="Y1706" i="24" s="1"/>
  <c r="X1702"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Y923" i="24" s="1"/>
  <c r="X922" i="24"/>
  <c r="C1088" i="24"/>
  <c r="C1087" i="24"/>
  <c r="C1086" i="24"/>
  <c r="C1085"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721" i="24"/>
  <c r="V1718" i="24"/>
  <c r="V1717" i="24"/>
  <c r="V1716" i="24"/>
  <c r="V1715" i="24"/>
  <c r="V1713" i="24"/>
  <c r="V1711" i="24"/>
  <c r="V1709" i="24"/>
  <c r="V1708" i="24"/>
  <c r="V1707" i="24"/>
  <c r="AB1706" i="24"/>
  <c r="AC1706" i="24" s="1"/>
  <c r="AD1706" i="24" s="1"/>
  <c r="Z1706" i="24"/>
  <c r="W1706" i="24"/>
  <c r="C1706" i="24"/>
  <c r="AB1703" i="24"/>
  <c r="AC1703" i="24" s="1"/>
  <c r="AD1703" i="24" s="1"/>
  <c r="Z1703" i="24"/>
  <c r="W1703" i="24"/>
  <c r="F1703" i="24"/>
  <c r="C1703" i="24"/>
  <c r="AB1702" i="24"/>
  <c r="AC1702" i="24" s="1"/>
  <c r="AD1702" i="24" s="1"/>
  <c r="Z1702" i="24"/>
  <c r="W1702" i="24"/>
  <c r="F1702" i="24"/>
  <c r="C1702" i="24"/>
  <c r="AB1701" i="24"/>
  <c r="AC1701" i="24" s="1"/>
  <c r="AD1701" i="24" s="1"/>
  <c r="Z1701" i="24"/>
  <c r="W1701" i="24"/>
  <c r="F1701" i="24"/>
  <c r="C1701" i="24"/>
  <c r="AB1700" i="24"/>
  <c r="AC1700" i="24" s="1"/>
  <c r="AD1700" i="24" s="1"/>
  <c r="Z1700" i="24"/>
  <c r="W1700" i="24"/>
  <c r="F1700" i="24"/>
  <c r="C1700" i="24"/>
  <c r="C1699" i="24"/>
  <c r="AB1698" i="24"/>
  <c r="AC1698" i="24" s="1"/>
  <c r="AD1698" i="24" s="1"/>
  <c r="Z1698" i="24"/>
  <c r="W1698" i="24"/>
  <c r="C1698" i="24"/>
  <c r="C1697" i="24"/>
  <c r="AB1696" i="24"/>
  <c r="AC1696" i="24" s="1"/>
  <c r="AD1696" i="24" s="1"/>
  <c r="Z1696" i="24"/>
  <c r="W1696" i="24"/>
  <c r="C1696" i="24"/>
  <c r="C1695" i="24"/>
  <c r="AB1694" i="24"/>
  <c r="AC1694" i="24" s="1"/>
  <c r="AD1694" i="24" s="1"/>
  <c r="Z1694" i="24"/>
  <c r="W1694" i="24"/>
  <c r="C1694" i="24"/>
  <c r="AB1693" i="24"/>
  <c r="AC1693" i="24" s="1"/>
  <c r="AD1693" i="24" s="1"/>
  <c r="Z1693" i="24"/>
  <c r="W1693" i="24"/>
  <c r="C1693" i="24"/>
  <c r="AB1692" i="24"/>
  <c r="AC1692" i="24" s="1"/>
  <c r="AD1692" i="24" s="1"/>
  <c r="Z1692" i="24"/>
  <c r="W1692" i="24"/>
  <c r="C1692" i="24"/>
  <c r="Y922" i="24" l="1"/>
  <c r="X923" i="24"/>
  <c r="Y1692" i="24"/>
  <c r="X1698" i="24"/>
  <c r="X1703" i="24"/>
  <c r="Y1694" i="24"/>
  <c r="X1706" i="24"/>
  <c r="X1693" i="24"/>
  <c r="Y1701" i="24"/>
  <c r="Y1700" i="24"/>
  <c r="Y1702" i="24"/>
  <c r="X1696"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79" i="24"/>
  <c r="V1679" i="24"/>
  <c r="X1679" i="24" s="1"/>
  <c r="W1679" i="24"/>
  <c r="Z1679" i="24"/>
  <c r="AB1679" i="24"/>
  <c r="AC1679" i="24" s="1"/>
  <c r="AD1679" i="24" s="1"/>
  <c r="C1680" i="24"/>
  <c r="U1680" i="24"/>
  <c r="V1680" i="24" s="1"/>
  <c r="X1680" i="24" s="1"/>
  <c r="AA1680" i="24"/>
  <c r="Z1680" i="24" s="1"/>
  <c r="C1681" i="24"/>
  <c r="V1681" i="24"/>
  <c r="X1681" i="24" s="1"/>
  <c r="W1681" i="24"/>
  <c r="Z1681" i="24"/>
  <c r="AB1681" i="24"/>
  <c r="AC1681" i="24" s="1"/>
  <c r="AD1681" i="24" s="1"/>
  <c r="C1682" i="24"/>
  <c r="C1683" i="24"/>
  <c r="V1683" i="24"/>
  <c r="X1683" i="24" s="1"/>
  <c r="W1683" i="24"/>
  <c r="Z1683" i="24"/>
  <c r="AB1683" i="24"/>
  <c r="AC1683" i="24" s="1"/>
  <c r="AD1683" i="24" s="1"/>
  <c r="C1684" i="24"/>
  <c r="C1685" i="24"/>
  <c r="F1685" i="24"/>
  <c r="C1686" i="24"/>
  <c r="F1686" i="24"/>
  <c r="C1687" i="24"/>
  <c r="F1687" i="24"/>
  <c r="C1688" i="24"/>
  <c r="F1688" i="24"/>
  <c r="C1691" i="24"/>
  <c r="U1691" i="24"/>
  <c r="V1691" i="24" s="1"/>
  <c r="Z1691" i="24"/>
  <c r="AB1691" i="24"/>
  <c r="AC1691" i="24" s="1"/>
  <c r="AD1691" i="24" s="1"/>
  <c r="C1707" i="24"/>
  <c r="X1707" i="24"/>
  <c r="W1707" i="24"/>
  <c r="Z1707" i="24"/>
  <c r="AB1707" i="24"/>
  <c r="AC1707" i="24" s="1"/>
  <c r="AD1707" i="24" s="1"/>
  <c r="C1708" i="24"/>
  <c r="X1708" i="24"/>
  <c r="W1708" i="24"/>
  <c r="Z1708" i="24"/>
  <c r="AB1708" i="24"/>
  <c r="AC1708" i="24" s="1"/>
  <c r="AD1708" i="24" s="1"/>
  <c r="C1709" i="24"/>
  <c r="X1709" i="24"/>
  <c r="W1709" i="24"/>
  <c r="Z1709" i="24"/>
  <c r="AB1709" i="24"/>
  <c r="AC1709" i="24" s="1"/>
  <c r="AD1709" i="24" s="1"/>
  <c r="C1710" i="24"/>
  <c r="C1711" i="24"/>
  <c r="Y1711" i="24"/>
  <c r="W1711" i="24"/>
  <c r="Z1711" i="24"/>
  <c r="AB1711" i="24"/>
  <c r="AC1711" i="24" s="1"/>
  <c r="AD1711" i="24" s="1"/>
  <c r="C1712" i="24"/>
  <c r="C1713" i="24"/>
  <c r="X1713" i="24"/>
  <c r="W1713" i="24"/>
  <c r="Z1713" i="24"/>
  <c r="AB1713" i="24"/>
  <c r="AC1713" i="24" s="1"/>
  <c r="AD1713" i="24" s="1"/>
  <c r="C1714" i="24"/>
  <c r="C1715" i="24"/>
  <c r="X1715" i="24"/>
  <c r="W1715" i="24"/>
  <c r="Z1715" i="24"/>
  <c r="AB1715" i="24"/>
  <c r="AC1715" i="24" s="1"/>
  <c r="AD1715" i="24" s="1"/>
  <c r="C1716" i="24"/>
  <c r="Y1716" i="24"/>
  <c r="W1716" i="24"/>
  <c r="Z1716" i="24"/>
  <c r="AB1716" i="24"/>
  <c r="AC1716" i="24" s="1"/>
  <c r="AD1716" i="24" s="1"/>
  <c r="C1717" i="24"/>
  <c r="X1717" i="24"/>
  <c r="W1717" i="24"/>
  <c r="Z1717" i="24"/>
  <c r="AB1717" i="24"/>
  <c r="AC1717" i="24" s="1"/>
  <c r="AD1717" i="24" s="1"/>
  <c r="C1718" i="24"/>
  <c r="Y1718" i="24"/>
  <c r="W1718" i="24"/>
  <c r="Z1718" i="24"/>
  <c r="AB1718" i="24"/>
  <c r="AC1718" i="24" s="1"/>
  <c r="AD1718" i="24" s="1"/>
  <c r="C1721" i="24"/>
  <c r="Y1721" i="24"/>
  <c r="W1721" i="24"/>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11" i="24"/>
  <c r="W1680"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X926" i="24"/>
  <c r="Y772" i="24"/>
  <c r="Z772" i="24" s="1"/>
  <c r="AA772" i="24" s="1"/>
  <c r="AB772" i="24" s="1"/>
  <c r="AC772" i="24" s="1"/>
  <c r="AD772" i="24" s="1"/>
  <c r="AC172" i="24"/>
  <c r="Z172" i="24"/>
  <c r="AC885" i="24"/>
  <c r="AD885" i="24" s="1"/>
  <c r="AD801" i="24" s="1"/>
  <c r="X211" i="24"/>
  <c r="W206" i="24"/>
  <c r="AA797" i="24"/>
  <c r="Z797" i="24"/>
  <c r="X1716" i="24"/>
  <c r="Y810" i="24"/>
  <c r="X204" i="24"/>
  <c r="Y1708" i="24"/>
  <c r="Z540" i="24"/>
  <c r="Z541" i="24" s="1"/>
  <c r="Z542" i="24" s="1"/>
  <c r="W45" i="24"/>
  <c r="Y773" i="24"/>
  <c r="Z773" i="24" s="1"/>
  <c r="AA773" i="24" s="1"/>
  <c r="AB773" i="24" s="1"/>
  <c r="AC773" i="24" s="1"/>
  <c r="AD773" i="24" s="1"/>
  <c r="AA209" i="24"/>
  <c r="Y212" i="24"/>
  <c r="Y69" i="24"/>
  <c r="Z69" i="24" s="1"/>
  <c r="AA69" i="24" s="1"/>
  <c r="AB69" i="24" s="1"/>
  <c r="AC69" i="24" s="1"/>
  <c r="AD69" i="24" s="1"/>
  <c r="X1718" i="24"/>
  <c r="Z623" i="24"/>
  <c r="Y172" i="24"/>
  <c r="W172" i="24"/>
  <c r="V172" i="24"/>
  <c r="Y887" i="24"/>
  <c r="Y805" i="24" s="1"/>
  <c r="X887" i="24"/>
  <c r="X805" i="24" s="1"/>
  <c r="Y814" i="24"/>
  <c r="Z814" i="24" s="1"/>
  <c r="Z815" i="24" s="1"/>
  <c r="X814" i="24"/>
  <c r="X815" i="24" s="1"/>
  <c r="AB800" i="24"/>
  <c r="AB45" i="24"/>
  <c r="Z800" i="24"/>
  <c r="AC196" i="24"/>
  <c r="Y1707" i="24"/>
  <c r="Y1680"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AC799" i="24"/>
  <c r="U811" i="24"/>
  <c r="V811" i="24" s="1"/>
  <c r="Y811" i="24" s="1"/>
  <c r="C38" i="24"/>
  <c r="C5" i="24"/>
  <c r="X774" i="24"/>
  <c r="Y659" i="24"/>
  <c r="Y1681"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0" i="24"/>
  <c r="AC1680" i="24" s="1"/>
  <c r="AD1680"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Y1709"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79" i="24"/>
  <c r="U1676" i="24"/>
  <c r="Y1438" i="24"/>
  <c r="W1302" i="24"/>
  <c r="W1301" i="24" s="1"/>
  <c r="Y885" i="24"/>
  <c r="V796" i="24"/>
  <c r="AA198" i="24"/>
  <c r="Y796" i="24"/>
  <c r="Y1717" i="24"/>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J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N125" i="23" l="1"/>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N156" i="23" s="1"/>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AW221" i="23" l="1"/>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Michael</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42" authorId="1"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2" authorId="2"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2" authorId="1" shapeId="0" xr:uid="{69CED908-95AC-461E-ACCD-5C0772F2866E}">
      <text>
        <r>
          <rPr>
            <b/>
            <sz val="9"/>
            <color indexed="81"/>
            <rFont val="Tahoma"/>
            <family val="2"/>
          </rPr>
          <t>Michael Young:</t>
        </r>
        <r>
          <rPr>
            <sz val="9"/>
            <color indexed="81"/>
            <rFont val="Tahoma"/>
            <family val="2"/>
          </rPr>
          <t xml:space="preserve">
fert density t/m3</t>
        </r>
      </text>
    </comment>
    <comment ref="J42" authorId="3" shapeId="0" xr:uid="{56E3A720-7D39-48C7-BFA3-35741354EC03}">
      <text>
        <r>
          <rPr>
            <sz val="9"/>
            <color indexed="81"/>
            <rFont val="Tahoma"/>
            <family val="2"/>
          </rPr>
          <t>Proportion of nitrogen making up the fertiliser. Required for emission calculations.</t>
        </r>
      </text>
    </comment>
    <comment ref="K42" authorId="0" shapeId="0" xr:uid="{78DB029F-CCF0-4BAC-B875-7B9A3751B986}">
      <text>
        <r>
          <rPr>
            <b/>
            <sz val="9"/>
            <color indexed="81"/>
            <rFont val="Tahoma"/>
            <family val="2"/>
          </rPr>
          <t>Michael Young (21512438):</t>
        </r>
        <r>
          <rPr>
            <sz val="9"/>
            <color indexed="81"/>
            <rFont val="Tahoma"/>
            <family val="2"/>
          </rPr>
          <t xml:space="preserve">
day of yr</t>
        </r>
      </text>
    </comment>
    <comment ref="G62"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family val="2"/>
          </rPr>
          <t>John:</t>
        </r>
        <r>
          <rPr>
            <sz val="9"/>
            <color indexed="81"/>
            <rFont val="Tahoma"/>
            <family val="2"/>
          </rPr>
          <t xml:space="preserve">
Calibrated for 8% dry</t>
        </r>
      </text>
    </comment>
    <comment ref="X920" authorId="0" shapeId="0" xr:uid="{52FBDF70-A0A5-492E-8215-51A97B59AEDE}">
      <text>
        <r>
          <rPr>
            <b/>
            <sz val="9"/>
            <color indexed="81"/>
            <rFont val="Tahoma"/>
            <family val="2"/>
          </rPr>
          <t>John:</t>
        </r>
        <r>
          <rPr>
            <sz val="9"/>
            <color indexed="81"/>
            <rFont val="Tahoma"/>
            <family val="2"/>
          </rPr>
          <t xml:space="preserve">
Calibrated for 8% dry</t>
        </r>
      </text>
    </comment>
    <comment ref="W921" authorId="0" shapeId="0" xr:uid="{70C9DA3D-EE36-45C5-9E41-6B971B5BF984}">
      <text>
        <r>
          <rPr>
            <b/>
            <sz val="9"/>
            <color indexed="81"/>
            <rFont val="Tahoma"/>
            <family val="2"/>
          </rPr>
          <t>John:</t>
        </r>
        <r>
          <rPr>
            <sz val="9"/>
            <color indexed="81"/>
            <rFont val="Tahoma"/>
            <family val="2"/>
          </rPr>
          <t xml:space="preserve">
Adjusted to keep scanning % similar when % drys increased</t>
        </r>
      </text>
    </comment>
    <comment ref="X921" authorId="0" shapeId="0" xr:uid="{DAD34EA9-DAE3-4679-BEDE-ACC11A1895DD}">
      <text>
        <r>
          <rPr>
            <b/>
            <sz val="9"/>
            <color indexed="81"/>
            <rFont val="Tahoma"/>
            <family val="2"/>
          </rPr>
          <t>John:</t>
        </r>
        <r>
          <rPr>
            <sz val="9"/>
            <color indexed="81"/>
            <rFont val="Tahoma"/>
            <family val="2"/>
          </rPr>
          <t xml:space="preserve">
Adjusted to keep scanning % similar when % drys increased</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79"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79"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1864" authorId="0" shapeId="0" xr:uid="{E1388964-B318-4BF0-ACB9-6F93B8DBB84D}">
      <text>
        <r>
          <rPr>
            <b/>
            <sz val="9"/>
            <color indexed="81"/>
            <rFont val="Tahoma"/>
            <family val="2"/>
          </rPr>
          <t>John:</t>
        </r>
        <r>
          <rPr>
            <sz val="9"/>
            <color indexed="81"/>
            <rFont val="Tahoma"/>
            <family val="2"/>
          </rPr>
          <t xml:space="preserve">
FOO is ns in LMAT</t>
        </r>
      </text>
    </comment>
    <comment ref="AA1870" authorId="0" shapeId="0" xr:uid="{15338E32-D1E0-4CA7-88AA-1A7CDD7BE366}">
      <text>
        <r>
          <rPr>
            <b/>
            <sz val="9"/>
            <color indexed="81"/>
            <rFont val="Tahoma"/>
            <family val="2"/>
          </rPr>
          <t>John:</t>
        </r>
        <r>
          <rPr>
            <sz val="9"/>
            <color indexed="81"/>
            <rFont val="Tahoma"/>
            <family val="2"/>
          </rPr>
          <t xml:space="preserve">
From LMAT</t>
        </r>
      </text>
    </comment>
    <comment ref="AA1872" authorId="0" shapeId="0" xr:uid="{46EA3FBB-895C-4D68-A98F-7B22580202F1}">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<sst xmlns="http://schemas.openxmlformats.org/spreadsheetml/2006/main" count="6622" uniqueCount="3795">
  <si>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</si>
  <si>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</si>
  <si>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</si>
  <si>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</si>
  <si>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</si>
  <si>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</si>
  <si>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</si>
  <si>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</si>
  <si>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</si>
  <si>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</si>
  <si>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</si>
  <si>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</si>
  <si>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</si>
  <si>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</si>
  <si>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</si>
  <si>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</si>
  <si>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</si>
  <si>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</si>
  <si>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</si>
  <si>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</si>
  <si>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</si>
  <si>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</si>
  <si>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</si>
  <si>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</si>
  <si>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</si>
  <si>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</si>
  <si>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</si>
  <si>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</si>
  <si>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</si>
  <si>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</si>
  <si>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</si>
  <si>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</si>
  <si>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</si>
  <si>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</si>
  <si>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</si>
  <si>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</si>
  <si>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</si>
  <si>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</si>
  <si>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</si>
  <si>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</si>
  <si>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</si>
  <si>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</si>
  <si>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</si>
  <si>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</si>
  <si>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</si>
  <si>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</si>
  <si>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</si>
  <si>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</si>
  <si>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</si>
  <si>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</si>
  <si>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</si>
  <si>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</si>
  <si>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</si>
  <si>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</si>
  <si>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</si>
  <si>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</si>
  <si>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</si>
  <si>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</si>
  <si>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</si>
  <si>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</si>
  <si>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</si>
  <si>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</si>
  <si>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</si>
  <si>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</si>
  <si>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</si>
  <si>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</si>
  <si>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</si>
  <si>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</si>
  <si>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</si>
  <si>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</si>
  <si>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</si>
  <si>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</si>
  <si>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</si>
  <si>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</si>
  <si>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</si>
  <si>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</si>
  <si>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</si>
  <si>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</si>
  <si>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</si>
  <si>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</si>
  <si>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</si>
  <si>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</si>
  <si>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</si>
  <si>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</si>
  <si>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</si>
  <si>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</si>
  <si>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</si>
  <si>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</si>
  <si>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</si>
  <si>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</si>
  <si>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</si>
  <si>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</si>
  <si>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</si>
  <si>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</si>
  <si>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</si>
  <si>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</si>
  <si>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</si>
  <si>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</si>
  <si>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</si>
  <si>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</si>
  <si>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</si>
  <si>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</si>
  <si>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</si>
  <si>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</si>
  <si>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</si>
  <si>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</si>
  <si>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</si>
  <si>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</si>
  <si>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</si>
  <si>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</si>
  <si>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</si>
  <si>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</si>
  <si>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</si>
  <si>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</si>
  <si>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</si>
  <si>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</si>
  <si>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</si>
  <si>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</si>
  <si>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</si>
  <si>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</si>
  <si>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</si>
  <si>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</si>
  <si>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</si>
  <si>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</si>
  <si>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</si>
  <si>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</si>
  <si>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</si>
  <si>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</si>
  <si>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</si>
  <si>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</si>
  <si>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</si>
  <si>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</si>
  <si>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</si>
  <si>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</si>
  <si>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</si>
  <si>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</si>
  <si>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</si>
  <si>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</si>
  <si>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</si>
  <si>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</si>
  <si>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</si>
  <si>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</si>
  <si>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</si>
  <si>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</si>
  <si>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</si>
  <si>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</si>
  <si>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</si>
  <si>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</si>
  <si>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</si>
  <si>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</si>
  <si>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</si>
  <si>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</si>
  <si>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</si>
  <si>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</si>
  <si>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</si>
  <si>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</si>
  <si>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</si>
  <si>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</si>
  <si>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</si>
  <si>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</si>
  <si>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</si>
  <si>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</si>
  <si>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</si>
  <si>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</si>
  <si>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</si>
  <si>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</si>
  <si>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</si>
  <si>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</si>
  <si>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</si>
  <si>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</si>
  <si>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</si>
  <si>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</si>
  <si>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</si>
  <si>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</si>
  <si>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</si>
  <si>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</si>
  <si>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</si>
  <si>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</si>
  <si>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</si>
  <si>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</si>
  <si>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</si>
  <si>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</si>
  <si>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</si>
  <si>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</si>
  <si>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</si>
  <si>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</si>
  <si>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</si>
  <si>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</si>
  <si>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</si>
  <si>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</si>
  <si>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</si>
  <si>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</si>
  <si>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</si>
  <si>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</si>
  <si>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</si>
  <si>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</si>
  <si>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</si>
  <si>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</si>
  <si>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</si>
  <si>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</si>
  <si>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</si>
  <si>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</si>
  <si>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</si>
  <si>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</si>
  <si>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</si>
  <si>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</si>
  <si>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</si>
  <si>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</si>
  <si>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</si>
  <si>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</si>
  <si>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</si>
  <si>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</si>
  <si>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</si>
  <si>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</si>
  <si>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</si>
  <si>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</si>
  <si>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</si>
  <si>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</si>
  <si>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</si>
  <si>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</si>
  <si>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</si>
  <si>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</si>
  <si>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</si>
  <si>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</si>
  <si>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</si>
  <si>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</si>
  <si>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</si>
  <si>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</si>
  <si>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</si>
  <si>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</si>
  <si>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</si>
  <si>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</si>
  <si>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</si>
  <si>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</si>
  <si>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</si>
  <si>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</si>
  <si>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</si>
  <si>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</si>
  <si>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</si>
  <si>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</si>
  <si>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</si>
  <si>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</si>
  <si>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</si>
  <si>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</si>
  <si>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</si>
  <si>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</si>
  <si>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</si>
  <si>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</si>
  <si>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</si>
  <si>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</si>
  <si>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</si>
  <si>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</si>
  <si>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</si>
  <si>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</si>
  <si>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</si>
  <si>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</si>
  <si>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</si>
  <si>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</si>
  <si>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</si>
  <si>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</si>
  <si>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</si>
  <si>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</si>
  <si>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</si>
  <si>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</si>
  <si>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</si>
  <si>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</si>
  <si>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</si>
  <si>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</si>
  <si>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</si>
  <si>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</si>
  <si>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</si>
  <si>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</si>
  <si>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</si>
  <si>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</si>
  <si>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</si>
  <si>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</si>
  <si>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</si>
  <si>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</si>
  <si>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</si>
  <si>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</si>
  <si>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</si>
  <si>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</si>
  <si>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</si>
  <si>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</si>
  <si>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</si>
  <si>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</si>
  <si>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</si>
  <si>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</si>
  <si>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</si>
  <si>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</si>
  <si>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</si>
  <si>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</si>
  <si>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</si>
  <si>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</si>
  <si>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</si>
  <si>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</si>
  <si>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</si>
  <si>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</si>
  <si>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</si>
  <si>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</si>
  <si>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</si>
  <si>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</si>
  <si>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</si>
  <si>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</si>
  <si>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</si>
  <si>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</si>
  <si>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</si>
  <si>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</si>
  <si>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</si>
  <si>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</si>
  <si>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</si>
  <si>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</si>
  <si>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</si>
  <si>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</si>
  <si>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</si>
  <si>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</si>
  <si>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</si>
  <si>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</si>
  <si>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</si>
  <si>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</si>
  <si>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</si>
  <si>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</si>
  <si>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</si>
  <si>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</si>
  <si>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</si>
  <si>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</si>
  <si>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</si>
  <si>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</si>
  <si>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</si>
  <si>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</si>
  <si>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</si>
  <si>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</si>
  <si>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</si>
  <si>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</si>
  <si>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</si>
  <si>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</si>
  <si>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</si>
  <si>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</si>
  <si>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</si>
  <si>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</si>
  <si>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</si>
  <si>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</si>
  <si>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</si>
  <si>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</si>
  <si>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</si>
  <si>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</si>
  <si>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</si>
  <si>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</si>
  <si>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</si>
  <si>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</si>
  <si>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</si>
  <si>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</si>
  <si>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</si>
  <si>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</si>
  <si>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</si>
  <si>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</si>
  <si>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</si>
  <si>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</si>
  <si>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</si>
  <si>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</si>
  <si>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</si>
  <si>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</si>
  <si>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</si>
  <si>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</si>
  <si>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</si>
  <si>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</si>
  <si>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</si>
  <si>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</si>
  <si>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</si>
  <si>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</si>
  <si>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</si>
  <si>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</si>
  <si>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</si>
  <si>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</si>
  <si>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</si>
  <si>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</si>
  <si>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</si>
  <si>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</si>
  <si>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</si>
  <si>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</si>
  <si>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</si>
  <si>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</si>
  <si>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</si>
  <si>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</si>
  <si>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</si>
  <si>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</si>
  <si>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</si>
  <si>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</si>
  <si>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</si>
  <si>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</si>
  <si>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</si>
  <si>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</si>
  <si>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</si>
  <si>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</si>
  <si>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</si>
  <si>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</si>
  <si>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</si>
  <si>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</si>
  <si>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</si>
  <si>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</si>
  <si>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</si>
  <si>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</si>
  <si>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</si>
  <si>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</si>
  <si>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</si>
  <si>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</si>
  <si>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</si>
  <si>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</si>
  <si>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</si>
  <si>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</si>
  <si>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</si>
  <si>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</si>
  <si>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</si>
  <si>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</si>
  <si>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</si>
  <si>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</si>
  <si>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</si>
  <si>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</si>
  <si>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</si>
  <si>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</si>
  <si>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</si>
  <si>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</si>
  <si>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</si>
  <si>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</si>
  <si>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</si>
  <si>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</si>
  <si>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</si>
  <si>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</si>
  <si>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</si>
  <si>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</si>
  <si>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</si>
  <si>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</si>
  <si>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</si>
  <si>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</si>
  <si>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</si>
  <si>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</si>
  <si>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</si>
  <si>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</si>
  <si>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</si>
  <si>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</si>
  <si>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</si>
  <si>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</si>
  <si>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</si>
  <si>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</si>
  <si>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</si>
  <si>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</si>
  <si>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</si>
  <si>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</si>
  <si>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</si>
  <si>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</si>
  <si>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</si>
  <si>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</si>
  <si>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</si>
  <si>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</si>
  <si>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</si>
  <si>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</si>
  <si>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</si>
  <si>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</si>
  <si>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</si>
  <si>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</si>
  <si>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</si>
  <si>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</si>
  <si>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</si>
  <si>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</si>
  <si>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</si>
  <si>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</si>
  <si>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</si>
  <si>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</si>
  <si>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</si>
  <si>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</si>
  <si>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</si>
  <si>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</si>
  <si>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</si>
  <si>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</si>
  <si>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</si>
  <si>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</si>
  <si>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</si>
  <si>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</si>
  <si>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</si>
  <si>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</si>
  <si>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</si>
  <si>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</si>
  <si>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</si>
  <si>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</si>
  <si>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</si>
  <si>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</si>
  <si>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</si>
  <si>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</si>
  <si>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</si>
  <si>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</si>
  <si>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</si>
  <si>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</si>
  <si>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</si>
  <si>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</si>
  <si>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</si>
  <si>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</si>
  <si>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</si>
  <si>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</si>
  <si>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</si>
  <si>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</si>
  <si>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</si>
  <si>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</si>
  <si>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</si>
  <si>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</si>
  <si>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</si>
  <si>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</si>
  <si>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</si>
  <si>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</si>
  <si>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</si>
  <si>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</si>
  <si>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</si>
  <si>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</si>
  <si>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</si>
  <si>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</si>
  <si>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</si>
  <si>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</si>
  <si>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</si>
  <si>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</si>
  <si>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</si>
  <si>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</si>
  <si>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</si>
  <si>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</si>
  <si>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</si>
  <si>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</si>
  <si>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</si>
  <si>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</si>
  <si>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</si>
  <si>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</si>
  <si>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</si>
  <si>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</si>
  <si>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</si>
  <si>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</si>
  <si>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</si>
  <si>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</si>
  <si>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</si>
  <si>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</si>
  <si>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</si>
  <si>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</si>
  <si>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</si>
  <si>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</si>
  <si>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</si>
  <si>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</si>
  <si>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</si>
  <si>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</si>
  <si>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</si>
  <si>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</si>
  <si>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</si>
  <si>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</si>
  <si>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</si>
  <si>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</si>
  <si>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</si>
  <si>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</si>
  <si>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</si>
  <si>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</si>
  <si>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</si>
  <si>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</si>
  <si>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</si>
  <si>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</si>
  <si>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</si>
  <si>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</si>
  <si>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</si>
  <si>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</si>
  <si>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</si>
  <si>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</si>
  <si>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</si>
  <si>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</si>
  <si>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</si>
  <si>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</si>
  <si>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</si>
  <si>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</si>
  <si>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</si>
  <si>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</si>
  <si>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</si>
  <si>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</si>
  <si>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</si>
  <si>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</si>
  <si>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</si>
  <si>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</si>
  <si>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</si>
  <si>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</si>
  <si>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</si>
  <si>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</si>
  <si>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</si>
  <si>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</si>
  <si>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</si>
  <si>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</si>
  <si>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</si>
  <si>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</si>
  <si>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</si>
  <si>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</si>
  <si>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</si>
  <si>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</si>
  <si>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</si>
  <si>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</si>
  <si>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</si>
  <si>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</si>
  <si>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</si>
  <si>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</si>
  <si>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</si>
  <si>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</si>
  <si>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</si>
  <si>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</si>
  <si>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</si>
  <si>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</si>
  <si>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</si>
  <si>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</si>
  <si>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</si>
  <si>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</si>
  <si>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</si>
  <si>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</si>
  <si>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</si>
  <si>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</si>
  <si>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</si>
  <si>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</si>
  <si>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</si>
  <si>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</si>
  <si>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</si>
  <si>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</si>
  <si>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</si>
  <si>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</si>
  <si>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</si>
  <si>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</si>
  <si>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</si>
  <si>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</si>
  <si>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</si>
  <si>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</si>
  <si>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</si>
  <si>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</si>
  <si>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</si>
  <si>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</si>
  <si>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</si>
  <si>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</si>
  <si>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</si>
  <si>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</si>
  <si>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</si>
  <si>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</si>
  <si>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</si>
  <si>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</si>
  <si>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</si>
  <si>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</si>
  <si>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</si>
  <si>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</si>
  <si>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</si>
  <si>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</si>
  <si>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</si>
  <si>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</si>
  <si>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</si>
  <si>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</si>
  <si>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</si>
  <si>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</si>
  <si>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</si>
  <si>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</si>
  <si>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</si>
  <si>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</si>
  <si>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</si>
  <si>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</si>
  <si>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</si>
  <si>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</si>
  <si>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</si>
  <si>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</si>
  <si>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</si>
  <si>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</si>
  <si>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</si>
  <si>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</si>
  <si>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</si>
  <si>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</si>
  <si>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</si>
  <si>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</si>
  <si>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</si>
  <si>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</si>
  <si>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</si>
  <si>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</si>
  <si>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</si>
  <si>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</si>
  <si>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</si>
  <si>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</si>
  <si>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</si>
  <si>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</si>
  <si>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</si>
  <si>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</si>
  <si>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</si>
  <si>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</si>
  <si>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</si>
  <si>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</si>
  <si>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</si>
  <si>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</si>
  <si>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</si>
  <si>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</si>
  <si>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</si>
  <si>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</si>
  <si>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</si>
  <si>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</si>
  <si>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</si>
  <si>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</si>
  <si>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</si>
  <si>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</si>
  <si>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</si>
  <si>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</si>
  <si>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</si>
  <si>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</si>
  <si>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</si>
  <si>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</si>
  <si>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</si>
  <si>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</si>
  <si>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</si>
  <si>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</si>
  <si>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</si>
  <si>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</si>
  <si>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</si>
  <si>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</si>
  <si>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</si>
  <si>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</si>
  <si>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</si>
  <si>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</si>
  <si>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</si>
  <si>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</si>
  <si>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</si>
  <si>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</si>
  <si>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</si>
  <si>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</si>
  <si>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</si>
  <si>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</si>
  <si>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</si>
  <si>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</si>
  <si>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</si>
  <si>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</si>
  <si>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</si>
  <si>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</si>
  <si>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</si>
  <si>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</si>
  <si>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</si>
  <si>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</si>
  <si>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</si>
  <si>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</si>
  <si>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</si>
  <si>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</si>
  <si>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</si>
  <si>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</si>
  <si>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</si>
  <si>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</si>
  <si>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</si>
  <si>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</si>
  <si>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</si>
  <si>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</si>
  <si>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</si>
  <si>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</si>
  <si>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</si>
  <si>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</si>
  <si>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</si>
  <si>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</si>
  <si>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</si>
  <si>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</si>
  <si>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</si>
  <si>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</si>
  <si>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</si>
  <si>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</si>
  <si>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</si>
  <si>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</si>
  <si>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</si>
  <si>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</si>
  <si>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</si>
  <si>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</si>
  <si>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</si>
  <si>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</si>
  <si>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</si>
  <si>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</si>
  <si>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</si>
  <si>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</si>
  <si>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</si>
  <si>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</si>
  <si>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</si>
  <si>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</si>
  <si>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</si>
  <si>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</si>
  <si>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</si>
  <si>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</si>
  <si>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</si>
  <si>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</si>
  <si>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</si>
  <si>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</si>
  <si>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</si>
  <si>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</si>
  <si>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</si>
  <si>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</si>
  <si>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</si>
  <si>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</si>
  <si>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</si>
  <si>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</si>
  <si>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</si>
  <si>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</si>
  <si>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</si>
  <si>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</si>
  <si>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</si>
  <si>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</si>
  <si>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</si>
  <si>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</si>
  <si>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</si>
  <si>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</si>
  <si>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</si>
  <si>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</si>
  <si>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</si>
  <si>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</si>
  <si>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</si>
  <si>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</si>
  <si>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</si>
  <si>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</si>
  <si>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</si>
  <si>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</si>
  <si>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</si>
  <si>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</si>
  <si>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</si>
  <si>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</si>
  <si>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</si>
  <si>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</si>
  <si>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</si>
  <si>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</si>
  <si>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</si>
  <si>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</si>
  <si>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</si>
  <si>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</si>
  <si>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</si>
  <si>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</si>
  <si>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</si>
  <si>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</si>
  <si>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</si>
  <si>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</si>
  <si>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</si>
  <si>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</si>
  <si>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</si>
  <si>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</si>
  <si>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</si>
  <si>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</si>
  <si>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</si>
  <si>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</si>
  <si>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</si>
  <si>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</si>
  <si>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</si>
  <si>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</si>
  <si>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</si>
  <si>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</si>
  <si>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</si>
  <si>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</si>
  <si>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</si>
  <si>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</si>
  <si>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</si>
  <si>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</si>
  <si>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</si>
  <si>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</si>
  <si>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</si>
  <si>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</si>
  <si>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</si>
  <si>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</si>
  <si>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</si>
  <si>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</si>
  <si>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</si>
  <si>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</si>
  <si>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</si>
  <si>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</si>
  <si>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</si>
  <si>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</si>
  <si>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</si>
  <si>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</si>
  <si>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</si>
  <si>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</si>
  <si>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</si>
  <si>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</si>
  <si>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</si>
  <si>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</si>
  <si>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</si>
  <si>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</si>
  <si>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</si>
  <si>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</si>
  <si>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</si>
  <si>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</si>
  <si>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</si>
  <si>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</si>
  <si>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</si>
  <si>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</si>
  <si>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</si>
  <si>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</si>
  <si>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</si>
  <si>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</si>
  <si>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</si>
  <si>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</si>
  <si>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</si>
  <si>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</si>
  <si>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</si>
  <si>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</si>
  <si>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</si>
  <si>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</si>
  <si>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</si>
  <si>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</si>
  <si>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</si>
  <si>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</si>
  <si>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</si>
  <si>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</si>
  <si>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</si>
  <si>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</si>
  <si>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</si>
  <si>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</si>
  <si>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</si>
  <si>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</si>
  <si>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</si>
  <si>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</si>
  <si>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</si>
  <si>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</si>
  <si>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</si>
  <si>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</si>
  <si>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</si>
  <si>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</si>
  <si>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</si>
  <si>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</si>
  <si>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</si>
  <si>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</si>
  <si>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</si>
  <si>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</si>
  <si>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</si>
  <si>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</si>
  <si>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</si>
  <si>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</si>
  <si>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</si>
  <si>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</si>
  <si>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</si>
  <si>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</si>
  <si>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</si>
  <si>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</si>
  <si>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</si>
  <si>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</si>
  <si>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</si>
  <si>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</si>
  <si>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</si>
  <si>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</si>
  <si>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</si>
  <si>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</si>
  <si>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</si>
  <si>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</si>
  <si>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</si>
  <si>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</si>
  <si>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</si>
  <si>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</si>
  <si>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</si>
  <si>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</si>
  <si>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</si>
  <si>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</si>
  <si>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</si>
  <si>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</si>
  <si>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</si>
  <si>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</si>
  <si>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</si>
  <si>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</si>
  <si>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</si>
  <si>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</si>
  <si>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</si>
  <si>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</si>
  <si>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</si>
  <si>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</si>
  <si>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</si>
  <si>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</si>
  <si>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</si>
  <si>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</si>
  <si>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</si>
  <si>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</si>
  <si>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</si>
  <si>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</si>
  <si>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</si>
  <si>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</si>
  <si>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</si>
  <si>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</si>
  <si>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</si>
  <si>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</si>
  <si>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</si>
  <si>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</si>
  <si>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</si>
  <si>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</si>
  <si>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</si>
  <si>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</si>
  <si>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</si>
  <si>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</si>
  <si>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</si>
  <si>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</si>
  <si>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</si>
  <si>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</si>
  <si>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</si>
  <si>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</si>
  <si>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</si>
  <si>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</si>
  <si>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</si>
  <si>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</si>
  <si>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</si>
  <si>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</si>
  <si>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</si>
  <si>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</si>
  <si>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</si>
  <si>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</si>
  <si>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</si>
  <si>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</si>
  <si>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</si>
  <si>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</si>
  <si>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</si>
  <si>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</si>
  <si>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</si>
  <si>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</si>
  <si>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</si>
  <si>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</si>
  <si>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</si>
  <si>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</si>
  <si>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</si>
  <si>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</si>
  <si>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</si>
  <si>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</si>
  <si>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</si>
  <si>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</si>
  <si>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</si>
  <si>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</si>
  <si>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</si>
  <si>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</si>
  <si>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</si>
  <si>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</si>
  <si>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</si>
  <si>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</si>
  <si>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</si>
  <si>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</si>
  <si>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</si>
  <si>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</si>
  <si>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</si>
  <si>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</si>
  <si>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</si>
  <si>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</si>
  <si>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</si>
  <si>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</si>
  <si>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</si>
  <si>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</si>
  <si>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</si>
  <si>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</si>
  <si>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</si>
  <si>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</si>
  <si>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</si>
  <si>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</si>
  <si>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</si>
  <si>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</si>
  <si>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</si>
  <si>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</si>
  <si>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</si>
  <si>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</si>
  <si>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</si>
  <si>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</si>
  <si>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</si>
  <si>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</si>
  <si>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</si>
  <si>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</si>
  <si>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</si>
  <si>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</si>
  <si>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</si>
  <si>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</si>
  <si>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</si>
  <si>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</si>
  <si>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</si>
  <si>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</si>
  <si>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</si>
  <si>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</si>
  <si>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</si>
  <si>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</si>
  <si>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</si>
  <si>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</si>
  <si>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</si>
  <si>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</si>
  <si>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</si>
  <si>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</si>
  <si>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</si>
  <si>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</si>
  <si>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</si>
  <si>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</si>
  <si>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</si>
  <si>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</si>
  <si>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</si>
  <si>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</si>
  <si>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</si>
  <si>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</si>
  <si>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</si>
  <si>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</si>
  <si>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</si>
  <si>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</si>
  <si>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</si>
  <si>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</si>
  <si>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</si>
  <si>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</si>
  <si>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</si>
  <si>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</si>
  <si>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</si>
  <si>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</si>
  <si>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</si>
  <si>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</si>
  <si>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</si>
  <si>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</si>
  <si>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</si>
  <si>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</si>
  <si>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</si>
  <si>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</si>
  <si>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</si>
  <si>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</si>
  <si>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</si>
  <si>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</si>
  <si>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</si>
  <si>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</si>
  <si>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</si>
  <si>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</si>
  <si>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</si>
  <si>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</si>
  <si>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</si>
  <si>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</si>
  <si>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</si>
  <si>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</si>
  <si>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</si>
  <si>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</si>
  <si>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</si>
  <si>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</si>
  <si>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</si>
  <si>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</si>
  <si>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</si>
  <si>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</si>
  <si>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</si>
  <si>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</si>
  <si>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</si>
  <si>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</si>
  <si>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</si>
  <si>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</si>
  <si>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</si>
  <si>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</si>
  <si>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</si>
  <si>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</si>
  <si>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</si>
  <si>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</si>
  <si>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</si>
  <si>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</si>
  <si>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</si>
  <si>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</si>
  <si>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</si>
  <si>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</si>
  <si>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</si>
  <si>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</si>
  <si>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</si>
  <si>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</si>
  <si>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</si>
  <si>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</si>
  <si>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</si>
  <si>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</si>
  <si>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</si>
  <si>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</si>
  <si>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</si>
  <si>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</si>
  <si>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</si>
  <si>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</si>
  <si>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</si>
  <si>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</si>
  <si>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</si>
  <si>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</si>
  <si>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</si>
  <si>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</si>
  <si>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</si>
  <si>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</si>
  <si>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</si>
  <si>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</si>
  <si>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</si>
  <si>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</si>
  <si>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</si>
  <si>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</si>
  <si>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</si>
  <si>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</si>
  <si>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</si>
  <si>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</si>
  <si>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</si>
  <si>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</si>
  <si>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</si>
  <si>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</si>
  <si>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</si>
  <si>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</si>
  <si>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</si>
  <si>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</si>
  <si>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</si>
  <si>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</si>
  <si>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</si>
  <si>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</si>
  <si>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</si>
  <si>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</si>
  <si>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</si>
  <si>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</si>
  <si>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</si>
  <si>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</si>
  <si>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</si>
  <si>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</si>
  <si>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</si>
  <si>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</si>
  <si>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</si>
  <si>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</si>
  <si>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</si>
  <si>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</si>
  <si>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</si>
  <si>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</si>
  <si>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</si>
  <si>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</si>
  <si>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</si>
  <si>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</si>
  <si>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</si>
  <si>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</si>
  <si>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</si>
  <si>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</si>
  <si>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</si>
  <si>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</si>
  <si>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</si>
  <si>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</si>
  <si>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</si>
  <si>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</si>
  <si>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</si>
  <si>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</si>
  <si>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</si>
  <si>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</si>
  <si>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</si>
  <si>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</si>
  <si>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</si>
  <si>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</si>
  <si>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</si>
  <si>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</si>
  <si>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</si>
  <si>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</si>
  <si>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</si>
  <si>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</si>
  <si>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</si>
  <si>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</si>
  <si>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</si>
  <si>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</si>
  <si>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</si>
  <si>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</si>
  <si>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</si>
  <si>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</si>
  <si>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</si>
  <si>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</si>
  <si>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</si>
  <si>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</si>
  <si>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</si>
  <si>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</si>
  <si>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</si>
  <si>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</si>
  <si>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</si>
  <si>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</si>
  <si>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</si>
  <si>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</si>
  <si>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</si>
  <si>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</si>
  <si>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</si>
  <si>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</si>
  <si>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</si>
  <si>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</si>
  <si>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</si>
  <si>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</si>
  <si>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</si>
  <si>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</si>
  <si>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</si>
  <si>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</si>
  <si>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</si>
  <si>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</si>
  <si>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</si>
  <si>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</si>
  <si>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</si>
  <si>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</si>
  <si>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</si>
  <si>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</si>
  <si>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</si>
  <si>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</si>
  <si>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</si>
  <si>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</si>
  <si>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</si>
  <si>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</si>
  <si>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</si>
  <si>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</si>
  <si>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</si>
  <si>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</si>
  <si>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</si>
  <si>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</si>
  <si>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</si>
  <si>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</si>
  <si>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</si>
  <si>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</si>
  <si>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</si>
  <si>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</si>
  <si>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</si>
  <si>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</si>
  <si>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</si>
  <si>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</si>
  <si>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</si>
  <si>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</si>
  <si>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</si>
  <si>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</si>
  <si>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</si>
  <si>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</si>
  <si>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</si>
  <si>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</si>
  <si>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</si>
  <si>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</si>
  <si>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</si>
  <si>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</si>
  <si>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</si>
  <si>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</si>
  <si>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</si>
  <si>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</si>
  <si>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</si>
  <si>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</si>
  <si>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</si>
  <si>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</si>
  <si>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</si>
  <si>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</si>
  <si>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</si>
  <si>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</si>
  <si>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</si>
  <si>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</si>
  <si>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</si>
  <si>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</si>
  <si>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</si>
  <si>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</si>
  <si>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</si>
  <si>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</si>
  <si>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</si>
  <si>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</si>
  <si>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</si>
  <si>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</si>
  <si>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</si>
  <si>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</si>
  <si>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</si>
  <si>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</si>
  <si>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</si>
  <si>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</si>
  <si>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</si>
  <si>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</si>
  <si>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</si>
  <si>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</si>
  <si>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</si>
  <si>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</si>
  <si>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</si>
  <si>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</si>
  <si>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</si>
  <si>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</si>
  <si>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</si>
  <si>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</si>
  <si>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</si>
  <si>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</si>
  <si>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</si>
  <si>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</si>
  <si>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</si>
  <si>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</si>
  <si>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</si>
  <si>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</si>
  <si>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</si>
  <si>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</si>
  <si>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</si>
  <si>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</si>
  <si>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</si>
  <si>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</si>
  <si>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</si>
  <si>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</si>
  <si>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</si>
  <si>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</si>
  <si>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</si>
  <si>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</si>
  <si>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</si>
  <si>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</si>
  <si>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</si>
  <si>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</si>
  <si>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</si>
  <si>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</si>
  <si>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</si>
  <si>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</si>
  <si>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</si>
  <si>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</si>
  <si>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</si>
  <si>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</si>
  <si>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</si>
  <si>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</si>
  <si>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</si>
  <si>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</si>
  <si>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</si>
  <si>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</si>
  <si>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</si>
  <si>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</si>
  <si>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</si>
  <si>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</si>
  <si>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</si>
  <si>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</si>
  <si>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</si>
  <si>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</si>
  <si>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</si>
  <si>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</si>
  <si>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</si>
  <si>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</si>
  <si>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</si>
  <si>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</si>
  <si>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</si>
  <si>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</si>
  <si>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</si>
  <si>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</si>
  <si>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</si>
  <si>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</si>
  <si>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</si>
  <si>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</si>
  <si>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</si>
  <si>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</si>
  <si>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</si>
  <si>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</si>
  <si>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</si>
  <si>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</si>
  <si>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</si>
  <si>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</si>
  <si>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</si>
  <si>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</si>
  <si>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</si>
  <si>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</si>
  <si>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</si>
  <si>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</si>
  <si>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</si>
  <si>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</si>
  <si>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</si>
  <si>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</si>
  <si>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</si>
  <si>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</si>
  <si>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</si>
  <si>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</si>
  <si>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</si>
  <si>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</si>
  <si>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</si>
  <si>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</si>
  <si>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</si>
  <si>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</si>
  <si>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</si>
  <si>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</si>
  <si>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</si>
  <si>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</si>
  <si>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</si>
  <si>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</si>
  <si>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</si>
  <si>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</si>
  <si>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</si>
  <si>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</si>
  <si>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</si>
  <si>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</si>
  <si>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</si>
  <si>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</si>
  <si>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</si>
  <si>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</si>
  <si>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</si>
  <si>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</si>
  <si>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</si>
  <si>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</si>
  <si>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</si>
  <si>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</si>
  <si>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</si>
  <si>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</si>
  <si>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</si>
  <si>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</si>
  <si>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</si>
  <si>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</si>
  <si>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</si>
  <si>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</si>
  <si>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</si>
  <si>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</si>
  <si>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</si>
  <si>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</si>
  <si>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</si>
  <si>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</si>
  <si>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</si>
  <si>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</si>
  <si>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</si>
  <si>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</si>
  <si>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</si>
  <si>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</si>
  <si>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</si>
  <si>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</si>
  <si>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</si>
  <si>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</si>
  <si>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</si>
  <si>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</si>
  <si>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</si>
  <si>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</si>
  <si>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</si>
  <si>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</si>
  <si>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</si>
  <si>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</si>
  <si>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</si>
  <si>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</si>
  <si>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</si>
  <si>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</si>
  <si>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</si>
  <si>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</si>
  <si>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</si>
  <si>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</si>
  <si>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</si>
  <si>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</si>
  <si>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</si>
  <si>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</si>
  <si>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</si>
  <si>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</si>
  <si>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</si>
  <si>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</si>
  <si>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</si>
  <si>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</si>
  <si>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</si>
  <si>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</si>
  <si>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</si>
  <si>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</si>
  <si>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</si>
  <si>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</si>
  <si>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</si>
  <si>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</si>
  <si>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</si>
  <si>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</si>
  <si>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</si>
  <si>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</si>
  <si>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</si>
  <si>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</si>
  <si>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</si>
  <si>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</si>
  <si>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</si>
  <si>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</si>
  <si>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</si>
  <si>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</si>
  <si>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</si>
  <si>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</si>
  <si>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</si>
  <si>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</si>
  <si>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</si>
  <si>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</si>
  <si>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</si>
  <si>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</si>
  <si>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</si>
  <si>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</si>
  <si>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</si>
  <si>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</si>
  <si>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</si>
  <si>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</si>
  <si>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</si>
  <si>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</si>
  <si>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</si>
  <si>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</si>
  <si>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</si>
  <si>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</si>
  <si>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</si>
  <si>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</si>
  <si>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</si>
  <si>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</si>
  <si>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</si>
  <si>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</si>
  <si>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</si>
  <si>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</si>
  <si>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</si>
  <si>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</si>
  <si>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</si>
  <si>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</si>
  <si>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</si>
  <si>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</si>
  <si>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</si>
  <si>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</si>
  <si>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</si>
  <si>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</si>
  <si>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</si>
  <si>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</si>
  <si>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</si>
  <si>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</si>
  <si>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</si>
  <si>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</si>
  <si>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</si>
  <si>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</si>
  <si>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</si>
  <si>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</si>
  <si>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</si>
  <si>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</si>
  <si>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</si>
  <si>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</si>
  <si>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</si>
  <si>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</si>
  <si>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</si>
  <si>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</si>
  <si>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</si>
  <si>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</si>
  <si>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</si>
  <si>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</si>
  <si>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</si>
  <si>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</si>
  <si>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</si>
  <si>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</si>
  <si>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</si>
  <si>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</si>
  <si>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</si>
  <si>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</si>
  <si>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</si>
  <si>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</si>
  <si>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</si>
  <si>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</si>
  <si>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</si>
  <si>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</si>
  <si>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</si>
  <si>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</si>
  <si>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</si>
  <si>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</si>
  <si>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</si>
  <si>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</si>
  <si>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</si>
  <si>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</si>
  <si>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</si>
  <si>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</si>
  <si>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</si>
  <si>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</si>
  <si>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</si>
  <si>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</si>
  <si>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</si>
  <si>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</si>
  <si>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</si>
  <si>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</si>
  <si>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</si>
  <si>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</si>
  <si>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</si>
  <si>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</si>
  <si>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</si>
  <si>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</si>
  <si>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</si>
  <si>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</si>
  <si>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</si>
  <si>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</si>
  <si>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</si>
  <si>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</si>
  <si>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</si>
  <si>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</si>
  <si>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</si>
  <si>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</si>
  <si>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</si>
  <si>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</si>
  <si>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</si>
  <si>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</si>
  <si>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</si>
  <si>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</si>
  <si>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</si>
  <si>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</si>
  <si>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</si>
  <si>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</si>
  <si>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</si>
  <si>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</si>
  <si>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</si>
  <si>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</si>
  <si>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</si>
  <si>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</si>
  <si>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</si>
  <si>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</si>
  <si>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</si>
  <si>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</si>
  <si>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</si>
  <si>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</si>
  <si>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</si>
  <si>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</si>
  <si>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</si>
  <si>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</si>
  <si>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</si>
  <si>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</si>
  <si>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</si>
  <si>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</si>
  <si>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</si>
  <si>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</si>
  <si>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</si>
  <si>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</si>
  <si>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</si>
  <si>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</si>
  <si>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</si>
  <si>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</si>
  <si>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</si>
  <si>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</si>
  <si>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</si>
  <si>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</si>
  <si>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</si>
  <si>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</si>
  <si>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</si>
  <si>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</si>
  <si>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</si>
  <si>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</si>
  <si>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</si>
  <si>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</si>
  <si>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</si>
  <si>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</si>
  <si>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</si>
  <si>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</si>
  <si>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</si>
  <si>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</si>
  <si>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</si>
  <si>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</si>
  <si>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</si>
  <si>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</si>
  <si>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</si>
  <si>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</si>
  <si>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</si>
  <si>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</si>
  <si>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</si>
  <si>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</si>
  <si>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</si>
  <si>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</si>
  <si>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</si>
  <si>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</si>
  <si>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</si>
  <si>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</si>
  <si>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</si>
  <si>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</si>
  <si>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</si>
  <si>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</si>
  <si>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</si>
  <si>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</si>
  <si>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</si>
  <si>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</si>
  <si>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</si>
  <si>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</si>
  <si>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</si>
  <si>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</si>
  <si>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</si>
  <si>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</si>
  <si>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</si>
  <si>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</si>
  <si>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</si>
  <si>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</si>
  <si>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</si>
  <si>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</si>
  <si>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</si>
  <si>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</si>
  <si>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</si>
  <si>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</si>
  <si>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</si>
  <si>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</si>
  <si>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</si>
  <si>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</si>
  <si>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</si>
  <si>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</si>
  <si>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</si>
  <si>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</si>
  <si>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</si>
  <si>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</si>
  <si>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</si>
  <si>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</si>
  <si>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</si>
  <si>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</si>
  <si>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</si>
  <si>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</si>
  <si>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</si>
  <si>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</si>
  <si>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</si>
  <si>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</si>
  <si>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</si>
  <si>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</si>
  <si>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</si>
  <si>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</si>
  <si>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</si>
  <si>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</si>
  <si>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</si>
  <si>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</si>
  <si>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</si>
  <si>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</si>
  <si>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</si>
  <si>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</si>
  <si>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</si>
  <si>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</si>
  <si>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</si>
  <si>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</si>
  <si>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</si>
  <si>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</si>
  <si>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</si>
  <si>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</si>
  <si>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</si>
  <si>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</si>
  <si>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</si>
  <si>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</si>
  <si>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</si>
  <si>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</si>
  <si>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</si>
  <si>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</si>
  <si>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</si>
  <si>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</si>
  <si>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</si>
  <si>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</si>
  <si>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</si>
  <si>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</si>
  <si>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</si>
  <si>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</si>
  <si>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</si>
  <si>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</si>
  <si>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</si>
  <si>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</si>
  <si>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</si>
  <si>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</si>
  <si>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</si>
  <si>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</si>
  <si>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</si>
  <si>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</si>
  <si>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</si>
  <si>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</si>
  <si>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</si>
  <si>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</si>
  <si>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</si>
  <si>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</si>
  <si>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</si>
  <si>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</si>
  <si>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</si>
  <si>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</si>
  <si>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</si>
  <si>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</si>
  <si>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</si>
  <si>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</si>
  <si>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</si>
  <si>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</si>
  <si>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</si>
  <si>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</si>
  <si>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</si>
  <si>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</si>
  <si>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</si>
  <si>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</si>
  <si>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</si>
  <si>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</si>
  <si>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</si>
  <si>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</si>
  <si>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</si>
  <si>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</si>
  <si>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</si>
  <si>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</si>
  <si>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</si>
  <si>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</si>
  <si>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</si>
  <si>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</si>
  <si>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</si>
  <si>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</si>
  <si>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</si>
  <si>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</si>
  <si>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</si>
  <si>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</si>
  <si>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</si>
  <si>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</si>
  <si>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</si>
  <si>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</si>
  <si>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</si>
  <si>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</si>
  <si>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</si>
  <si>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</si>
  <si>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</si>
  <si>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</si>
  <si>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</si>
  <si>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</si>
  <si>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</si>
  <si>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</si>
  <si>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</si>
  <si>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</si>
  <si>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</si>
  <si>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</si>
  <si>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</si>
  <si>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</si>
  <si>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</si>
  <si>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</si>
  <si>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</si>
  <si>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</si>
  <si>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</si>
  <si>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</si>
  <si>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</si>
  <si>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</si>
  <si>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</si>
  <si>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</si>
  <si>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</si>
  <si>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</si>
  <si>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</si>
  <si>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</si>
  <si>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</si>
  <si>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</si>
  <si>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</si>
  <si>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</si>
  <si>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</si>
  <si>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</si>
  <si>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</si>
  <si>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</si>
  <si>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</si>
  <si>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</si>
  <si>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</si>
  <si>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</si>
  <si>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</si>
  <si>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</si>
  <si>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</si>
  <si>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</si>
  <si>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</si>
  <si>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</si>
  <si>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</si>
  <si>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</si>
  <si>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</si>
  <si>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</si>
  <si>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</si>
  <si>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</si>
  <si>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</si>
  <si>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</si>
  <si>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</si>
  <si>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</si>
  <si>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</si>
  <si>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</si>
  <si>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</si>
  <si>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</si>
  <si>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</si>
  <si>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</si>
  <si>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</si>
  <si>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</si>
  <si>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</si>
  <si>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</si>
  <si>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</si>
  <si>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</si>
  <si>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</si>
  <si>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</si>
  <si>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</si>
  <si>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</si>
  <si>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</si>
  <si>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</si>
  <si>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</si>
  <si>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</si>
  <si>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</si>
  <si>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</si>
  <si>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</si>
  <si>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</si>
  <si>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</si>
  <si>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</si>
  <si>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</si>
  <si>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</si>
  <si>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</si>
  <si>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</si>
  <si>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</si>
  <si>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</si>
  <si>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</si>
  <si>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</si>
  <si>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</si>
  <si>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</si>
  <si>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</si>
  <si>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</si>
  <si>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</si>
  <si>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</si>
  <si>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</si>
  <si>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</si>
  <si>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</si>
  <si>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</si>
  <si>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</si>
  <si>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</si>
  <si>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</si>
  <si>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</si>
  <si>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</si>
  <si>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</si>
  <si>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</si>
  <si>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</si>
  <si>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</si>
  <si>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</si>
  <si>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</si>
  <si>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</si>
  <si>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</si>
  <si>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</si>
  <si>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</si>
  <si>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</si>
  <si>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</si>
  <si>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</si>
  <si>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</si>
  <si>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</si>
  <si>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</si>
  <si>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</si>
  <si>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</si>
  <si>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</si>
  <si>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</si>
  <si>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</si>
  <si>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</si>
  <si>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</si>
  <si>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</si>
  <si>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</si>
  <si>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</si>
  <si>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</si>
  <si>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</si>
  <si>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</si>
  <si>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</si>
  <si>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</si>
  <si>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</si>
  <si>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</si>
  <si>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</si>
  <si>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</si>
  <si>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</si>
  <si>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</si>
  <si>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</si>
  <si>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</si>
  <si>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</si>
  <si>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</si>
  <si>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</si>
  <si>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</si>
  <si>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</si>
  <si>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</si>
  <si>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</si>
  <si>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</si>
  <si>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</si>
  <si>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</si>
  <si>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</si>
  <si>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</si>
  <si>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</si>
  <si>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</si>
  <si>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</si>
  <si>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</si>
  <si>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</si>
  <si>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</si>
  <si>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</si>
  <si>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</si>
  <si>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</si>
  <si>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</si>
  <si>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</si>
  <si>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</si>
  <si>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</si>
  <si>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</si>
  <si>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</si>
  <si>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</si>
  <si>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</si>
  <si>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</si>
  <si>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</si>
  <si>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</si>
  <si>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</si>
  <si>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</si>
  <si>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</si>
  <si>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</si>
  <si>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</si>
  <si>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</si>
  <si>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</si>
  <si>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</si>
  <si>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</si>
  <si>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</si>
  <si>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</si>
  <si>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</si>
  <si>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</si>
  <si>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</si>
  <si>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</si>
  <si>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</si>
  <si>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</si>
  <si>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</si>
  <si>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</si>
  <si>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</si>
  <si>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</si>
  <si>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</si>
  <si>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</si>
  <si>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</si>
  <si>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</si>
  <si>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</si>
  <si>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</si>
  <si>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</si>
  <si>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</si>
  <si>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</si>
  <si>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</si>
  <si>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</si>
  <si>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</si>
  <si>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</si>
  <si>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</si>
  <si>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</si>
  <si>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</si>
  <si>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</si>
  <si>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</si>
  <si>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</si>
  <si>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</si>
  <si>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</si>
  <si>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</si>
  <si>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</si>
  <si>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</si>
  <si>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</si>
  <si>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</si>
  <si>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</si>
  <si>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</si>
  <si>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</si>
  <si>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</si>
  <si>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</si>
  <si>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</si>
  <si>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</si>
  <si>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</si>
  <si>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</si>
  <si>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</si>
  <si>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</si>
  <si>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</si>
  <si>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</si>
  <si>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</si>
  <si>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</si>
  <si>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</si>
  <si>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</si>
  <si>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</si>
  <si>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</si>
  <si>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</si>
  <si>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</si>
  <si>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</si>
  <si>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</si>
  <si>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</si>
  <si>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</si>
  <si>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</si>
  <si>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</si>
  <si>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</si>
  <si>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</si>
  <si>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</si>
  <si>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</si>
  <si>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</si>
  <si>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</si>
  <si>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</si>
  <si>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</si>
  <si>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</si>
  <si>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</si>
  <si>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</si>
  <si>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</si>
  <si>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</si>
  <si>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</si>
  <si>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</si>
  <si>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</si>
  <si>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</si>
  <si>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</si>
  <si>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</si>
  <si>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</si>
  <si>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</si>
  <si>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</si>
  <si>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</si>
  <si>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</si>
  <si>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</si>
  <si>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</si>
  <si>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</si>
  <si>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</si>
  <si>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</si>
  <si>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</si>
  <si>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</si>
  <si>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</si>
  <si>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</si>
  <si>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</si>
  <si>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</si>
  <si>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</si>
  <si>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</si>
  <si>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</si>
  <si>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</si>
  <si>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</si>
  <si>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</si>
  <si>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</si>
  <si>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</si>
  <si>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</si>
  <si>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</si>
  <si>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</si>
  <si>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</si>
  <si>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</si>
  <si>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</si>
  <si>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</si>
  <si>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</si>
  <si>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</si>
  <si>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</si>
  <si>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</si>
  <si>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</si>
  <si>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</si>
  <si>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</si>
  <si>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</si>
  <si>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</si>
  <si>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</si>
  <si>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</si>
  <si>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</si>
  <si>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</si>
  <si>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</si>
  <si>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</si>
  <si>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</si>
  <si>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</si>
  <si>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</si>
  <si>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</si>
  <si>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</si>
  <si>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</si>
  <si>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</si>
  <si>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</si>
  <si>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</si>
  <si>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</si>
  <si>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</si>
  <si>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</si>
  <si>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</si>
  <si>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</si>
  <si>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</si>
  <si>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</si>
  <si>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</si>
  <si>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</si>
  <si>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</si>
  <si>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</si>
  <si>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</si>
  <si>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</si>
  <si>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</si>
  <si>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</si>
  <si>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</si>
  <si>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</si>
  <si>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</si>
  <si>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</si>
  <si>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</si>
  <si>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</si>
  <si>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</si>
  <si>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</si>
  <si>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</si>
  <si>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</si>
  <si>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</si>
  <si>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</si>
  <si>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</si>
  <si>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</si>
  <si>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</si>
  <si>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</si>
  <si>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</si>
  <si>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</si>
  <si>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</si>
  <si>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</si>
  <si>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</si>
  <si>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</si>
  <si>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</si>
  <si>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</si>
  <si>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</si>
  <si>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</si>
  <si>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</si>
  <si>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</si>
  <si>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</si>
  <si>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</si>
  <si>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</si>
  <si>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</si>
  <si>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</si>
  <si>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</si>
  <si>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</si>
  <si>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</si>
  <si>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</si>
  <si>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</si>
  <si>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</si>
  <si>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</si>
  <si>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</si>
  <si>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</si>
  <si>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</si>
  <si>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</si>
  <si>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</si>
  <si>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</si>
  <si>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</si>
  <si>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</si>
  <si>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</si>
  <si>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</si>
  <si>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</si>
  <si>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</si>
  <si>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</si>
  <si>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</si>
  <si>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</si>
  <si>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</si>
  <si>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</si>
  <si>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</si>
  <si>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</si>
  <si>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</si>
  <si>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</si>
  <si>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</si>
  <si>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</si>
  <si>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</si>
  <si>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</si>
  <si>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</si>
  <si>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</si>
  <si>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</si>
  <si>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</si>
  <si>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</si>
  <si>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</si>
  <si>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</si>
  <si>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</si>
  <si>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</si>
  <si>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</si>
  <si>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</si>
  <si>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</si>
  <si>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</si>
  <si>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</si>
  <si>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</si>
  <si>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</si>
  <si>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</si>
  <si>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</si>
  <si>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</si>
  <si>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</si>
  <si>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</si>
  <si>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</si>
  <si>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</si>
  <si>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</si>
  <si>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</si>
  <si>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</si>
  <si>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</si>
  <si>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</si>
  <si>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</si>
  <si>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</si>
  <si>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</si>
  <si>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</si>
  <si>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</si>
  <si>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</si>
  <si>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</si>
  <si>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</si>
  <si>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</si>
  <si>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</si>
  <si>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</si>
  <si>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</si>
  <si>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</si>
  <si>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</si>
  <si>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</si>
  <si>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</si>
  <si>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</si>
  <si>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</si>
  <si>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</si>
  <si>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</si>
  <si>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</si>
  <si>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</si>
  <si>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</si>
  <si>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</si>
  <si>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</si>
  <si>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</si>
  <si>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</si>
  <si>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</si>
  <si>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</si>
  <si>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</si>
  <si>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</si>
  <si>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</si>
  <si>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</si>
  <si>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</si>
  <si>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</si>
  <si>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</si>
  <si>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</si>
  <si>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</si>
  <si>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</si>
  <si>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</si>
  <si>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</si>
  <si>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</si>
  <si>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</si>
  <si>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</si>
  <si>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</si>
  <si>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</si>
  <si>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</si>
  <si>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</si>
  <si>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</si>
  <si>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</si>
  <si>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</si>
  <si>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</si>
  <si>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</si>
  <si>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</si>
  <si>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</si>
  <si>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</si>
  <si>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</si>
  <si>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</si>
  <si>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</si>
  <si>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</si>
  <si>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</si>
  <si>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</si>
  <si>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</si>
  <si>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</si>
  <si>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</si>
  <si>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</si>
  <si>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</si>
  <si>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</si>
  <si>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</si>
  <si>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</si>
  <si>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</si>
  <si>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</si>
  <si>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</si>
  <si>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</si>
  <si>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</si>
  <si>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</si>
  <si>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</si>
  <si>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</si>
  <si>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</si>
  <si>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</si>
  <si>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</si>
  <si>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</si>
  <si>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</si>
  <si>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</si>
  <si>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</si>
  <si>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</si>
  <si>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</si>
  <si>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</si>
  <si>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</si>
  <si>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</si>
  <si>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</si>
  <si>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</si>
  <si>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</si>
  <si>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</si>
  <si>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</si>
  <si>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</si>
  <si>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</si>
  <si>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</si>
  <si>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</si>
  <si>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</si>
  <si>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</si>
  <si>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</si>
  <si>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</si>
  <si>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</si>
  <si>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</si>
  <si>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</si>
  <si>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</si>
  <si>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</si>
  <si>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</si>
  <si>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</si>
  <si>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</si>
  <si>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</si>
  <si>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</si>
  <si>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</si>
  <si>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</si>
  <si>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</si>
  <si>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</si>
  <si>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</si>
  <si>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</si>
  <si>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</si>
  <si>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</si>
  <si>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</si>
  <si>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</si>
  <si>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</si>
  <si>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</si>
  <si>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</si>
  <si>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</si>
  <si>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</si>
  <si>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</si>
  <si>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</si>
  <si>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</si>
  <si>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</si>
  <si>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</si>
  <si>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</si>
  <si>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</si>
  <si>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</si>
  <si>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</si>
  <si>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</si>
  <si>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</si>
  <si>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</si>
  <si>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</si>
  <si>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</si>
  <si>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</si>
  <si>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</si>
  <si>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</si>
  <si>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</si>
  <si>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</si>
  <si>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</si>
  <si>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</si>
  <si>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</si>
  <si>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</si>
  <si>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</si>
  <si>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</si>
  <si>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</si>
  <si>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</si>
  <si>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</si>
  <si>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</si>
  <si>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</si>
  <si>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</si>
  <si>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</si>
  <si>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</si>
  <si>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</si>
  <si>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</si>
  <si>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</si>
  <si>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</si>
  <si>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</si>
  <si>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</si>
  <si>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</si>
  <si>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</si>
  <si>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</si>
  <si>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</si>
  <si>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</si>
  <si>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</si>
  <si>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</si>
  <si>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</si>
  <si>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</si>
  <si>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</si>
  <si>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</si>
  <si>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</si>
  <si>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</si>
  <si>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</si>
  <si>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</si>
  <si>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</si>
  <si>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</si>
  <si>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</si>
  <si>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</si>
  <si>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</si>
  <si>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</si>
  <si>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</si>
  <si>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</si>
  <si>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</si>
  <si>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</si>
  <si>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</si>
  <si>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</si>
  <si>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</si>
  <si>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</si>
  <si>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</si>
  <si>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</si>
  <si>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</si>
  <si>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</si>
  <si>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</si>
  <si>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</si>
  <si>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</si>
  <si>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</si>
  <si>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</si>
  <si>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</si>
  <si>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</si>
  <si>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</si>
  <si>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</si>
  <si>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</si>
  <si>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</si>
  <si>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</si>
  <si>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</si>
  <si>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</si>
  <si>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</si>
  <si>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</si>
  <si>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</si>
  <si>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</si>
  <si>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</si>
  <si>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</si>
  <si>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</si>
  <si>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</si>
  <si>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</si>
  <si>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</si>
  <si>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</si>
  <si>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</si>
  <si>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</si>
  <si>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</si>
  <si>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</si>
  <si>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</si>
  <si>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</si>
  <si>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</si>
  <si>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</si>
  <si>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</si>
  <si>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</si>
  <si>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</si>
  <si>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</si>
  <si>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</si>
  <si>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</si>
  <si>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</si>
  <si>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</si>
  <si>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</si>
  <si>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</si>
  <si>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</si>
  <si>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</si>
  <si>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</si>
  <si>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</si>
  <si>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</si>
  <si>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</si>
  <si>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</si>
  <si>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</si>
  <si>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</si>
  <si>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</si>
  <si>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</si>
  <si>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</si>
  <si>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</si>
  <si>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</si>
  <si>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</si>
  <si>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</si>
  <si>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</si>
  <si>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</si>
  <si>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</si>
  <si>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</si>
  <si>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</si>
  <si>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</si>
  <si>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</si>
  <si>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</si>
  <si>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</si>
  <si>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</si>
  <si>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</si>
  <si>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</si>
  <si>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</si>
  <si>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</si>
  <si>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</si>
  <si>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</si>
  <si>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</si>
  <si>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</si>
  <si>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</si>
  <si>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</si>
  <si>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</si>
  <si>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</si>
  <si>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</si>
  <si>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</si>
  <si>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</si>
  <si>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</si>
  <si>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</si>
  <si>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</si>
  <si>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</si>
  <si>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</si>
  <si>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</si>
  <si>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</si>
  <si>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</si>
  <si>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</si>
  <si>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</si>
  <si>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</si>
  <si>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</si>
  <si>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</si>
  <si>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</si>
  <si>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</si>
  <si>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</si>
  <si>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</si>
  <si>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</si>
  <si>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</si>
  <si>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</si>
  <si>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</si>
  <si>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</si>
  <si>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</si>
  <si>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</si>
  <si>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</si>
  <si>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</si>
  <si>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</si>
  <si>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</si>
  <si>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</si>
  <si>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</si>
  <si>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</si>
  <si>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</si>
  <si>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</si>
  <si>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</si>
  <si>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</si>
  <si>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</si>
  <si>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</si>
  <si>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</si>
  <si>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</si>
  <si>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</si>
  <si>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</si>
  <si>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</si>
  <si>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</si>
  <si>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</si>
  <si>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</si>
  <si>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</si>
  <si>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</si>
  <si>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</si>
  <si>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</si>
  <si>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</si>
  <si>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</si>
  <si>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</si>
  <si>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</si>
  <si>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</si>
  <si>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</si>
  <si>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</si>
  <si>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</si>
  <si>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</si>
  <si>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</si>
  <si>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</si>
  <si>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</si>
  <si>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</si>
  <si>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</si>
  <si>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</si>
  <si>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</si>
  <si>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</si>
  <si>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</si>
  <si>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</si>
  <si>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</si>
  <si>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</si>
  <si>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</si>
  <si>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</si>
  <si>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</si>
  <si>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</si>
  <si>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</si>
  <si>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</si>
  <si>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</si>
  <si>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</si>
  <si>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</si>
  <si>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</si>
  <si>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</si>
  <si>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</si>
  <si>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</si>
  <si>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</si>
  <si>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</si>
  <si>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</si>
  <si>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</si>
  <si>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</si>
  <si>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</si>
  <si>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</si>
  <si>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</si>
  <si>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</si>
  <si>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</si>
  <si>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</si>
  <si>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</si>
  <si>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</si>
  <si>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</si>
  <si>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</si>
  <si>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</si>
  <si>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</si>
  <si>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</si>
  <si>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</si>
  <si>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</si>
  <si>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</si>
  <si>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</si>
  <si>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</si>
  <si>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</si>
  <si>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</si>
  <si>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</si>
  <si>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</si>
  <si>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</si>
  <si>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</si>
  <si>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</si>
  <si>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</si>
  <si>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</si>
  <si>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</si>
  <si>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</si>
  <si>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</si>
  <si>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</si>
  <si>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</si>
  <si>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</si>
  <si>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</si>
  <si>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</si>
  <si>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</si>
  <si>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</si>
  <si>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</si>
  <si>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</si>
  <si>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</si>
  <si>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</si>
  <si>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</si>
  <si>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</si>
  <si>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</si>
  <si>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</si>
  <si>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</si>
  <si>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</si>
  <si>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</si>
  <si>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</si>
  <si>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</si>
  <si>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</si>
  <si>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</si>
  <si>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</si>
  <si>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</si>
  <si>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</si>
  <si>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</si>
  <si>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</si>
  <si>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</si>
  <si>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</si>
  <si>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</si>
  <si>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</si>
  <si>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</si>
  <si>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</si>
  <si>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</si>
  <si>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</si>
  <si>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</si>
  <si>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</si>
  <si>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</si>
  <si>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</si>
  <si>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</si>
  <si>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</si>
  <si>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</si>
  <si>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</si>
  <si>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</si>
  <si>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</si>
  <si>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</si>
  <si>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</si>
  <si>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</si>
  <si>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</si>
  <si>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</si>
  <si>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</si>
  <si>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</si>
  <si>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</si>
  <si>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</si>
  <si>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</si>
  <si>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</si>
  <si>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</si>
  <si>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</si>
  <si>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</si>
  <si>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</si>
  <si>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</si>
  <si>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</si>
  <si>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</si>
  <si>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</si>
  <si>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</si>
  <si>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</si>
  <si>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</si>
  <si>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</si>
  <si>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</si>
  <si>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</si>
  <si>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</si>
  <si>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</si>
  <si>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</si>
  <si>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</si>
  <si>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</si>
  <si>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</si>
  <si>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</si>
  <si>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</si>
  <si>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</si>
  <si>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</si>
  <si>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</si>
  <si>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</si>
  <si>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</si>
  <si>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</si>
  <si>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</si>
  <si>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</si>
  <si>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</si>
  <si>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</si>
  <si>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</si>
  <si>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</si>
  <si>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</si>
  <si>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</si>
  <si>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</si>
  <si>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</si>
  <si>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</si>
  <si>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</si>
  <si>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</si>
  <si>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</si>
  <si>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</si>
  <si>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</si>
  <si>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</si>
  <si>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</si>
  <si>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</si>
  <si>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</si>
  <si>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</si>
  <si>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</si>
  <si>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</si>
  <si>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</si>
  <si>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</si>
  <si>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</si>
  <si>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</si>
  <si>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</si>
  <si>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</si>
  <si>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</si>
  <si>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</si>
  <si>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</si>
  <si>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</si>
  <si>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</si>
  <si>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</si>
  <si>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</si>
  <si>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</si>
  <si>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</si>
  <si>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</si>
  <si>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</si>
  <si>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</si>
  <si>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</si>
  <si>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</si>
  <si>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</si>
  <si>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</si>
  <si>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</si>
  <si>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</si>
  <si>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</si>
  <si>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</si>
  <si>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</si>
  <si>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</si>
  <si>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</si>
  <si>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</si>
  <si>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</si>
  <si>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</si>
  <si>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</si>
  <si>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</si>
  <si>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</si>
  <si>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</si>
  <si>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</si>
  <si>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</si>
  <si>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</si>
  <si>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</si>
  <si>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</si>
  <si>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</si>
  <si>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</si>
  <si>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</si>
  <si>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</si>
  <si>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</si>
  <si>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</si>
  <si>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</si>
  <si>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</si>
  <si>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</si>
  <si>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</si>
  <si>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</si>
  <si>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</si>
  <si>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</si>
  <si>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</si>
  <si>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</si>
  <si>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</si>
  <si>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</si>
  <si>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</si>
  <si>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</si>
  <si>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</si>
  <si>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</si>
  <si>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</si>
  <si>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</si>
  <si>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</si>
  <si>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</si>
  <si>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</si>
  <si>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</si>
  <si>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</si>
  <si>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</si>
  <si>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</si>
  <si>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</si>
  <si>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</si>
  <si>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</si>
  <si>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</si>
  <si>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</si>
  <si>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</si>
  <si>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</si>
  <si>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</si>
  <si>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</si>
  <si>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</si>
  <si>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</si>
  <si>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</si>
  <si>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</si>
  <si>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</si>
  <si>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</si>
  <si>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</si>
  <si>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</si>
  <si>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</si>
  <si>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</si>
  <si>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</si>
  <si>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</si>
  <si>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</si>
  <si>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</si>
  <si>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</si>
  <si>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</si>
  <si>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</si>
  <si>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</si>
  <si>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</si>
  <si>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</si>
  <si>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</si>
  <si>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</si>
  <si>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</si>
  <si>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</si>
  <si>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</si>
  <si>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</si>
  <si>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</si>
  <si>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</si>
  <si>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</si>
  <si>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</si>
  <si>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</si>
  <si>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</si>
  <si>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</si>
  <si>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</si>
  <si>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</si>
  <si>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</si>
  <si>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</si>
  <si>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</si>
  <si>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</si>
  <si>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</si>
  <si>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</si>
  <si>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</si>
  <si>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</si>
  <si>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</si>
  <si>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</si>
  <si>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</si>
  <si>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</si>
  <si>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</si>
  <si>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</si>
  <si>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</si>
  <si>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</si>
  <si>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</si>
  <si>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</si>
  <si>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</si>
  <si>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</si>
  <si>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</si>
  <si>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</si>
  <si>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</si>
  <si>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</si>
  <si>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</si>
  <si>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</si>
  <si>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</si>
  <si>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</si>
  <si>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</si>
  <si>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</si>
  <si>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</si>
  <si>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</si>
  <si>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</si>
  <si>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</si>
  <si>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</si>
  <si>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</si>
  <si>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</si>
  <si>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</si>
  <si>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</si>
  <si>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</si>
  <si>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</si>
  <si>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</si>
  <si>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</si>
  <si>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</si>
  <si>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</si>
  <si>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</si>
  <si>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</si>
  <si>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</si>
  <si>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</si>
  <si>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</si>
  <si>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</si>
  <si>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</si>
  <si>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</si>
  <si>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</si>
  <si>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</si>
  <si>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</si>
  <si>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</si>
  <si>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</si>
  <si>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</si>
  <si>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</si>
  <si>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</si>
  <si>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</si>
  <si>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</si>
  <si>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</si>
  <si>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</si>
  <si>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</si>
  <si>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</si>
  <si>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</si>
  <si>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</si>
  <si>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</si>
  <si>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</si>
  <si>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</si>
  <si>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</si>
  <si>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</si>
  <si>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</si>
  <si>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</si>
  <si>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</si>
  <si>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</si>
  <si>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</si>
  <si>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</si>
  <si>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</si>
  <si>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</si>
  <si>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</si>
  <si>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</si>
  <si>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</si>
  <si>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</si>
  <si>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</si>
  <si>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</si>
  <si>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</si>
  <si>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</si>
  <si>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</si>
  <si>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</si>
  <si>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</si>
  <si>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</si>
  <si>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</si>
  <si>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</si>
  <si>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</si>
  <si>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</si>
  <si>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</si>
  <si>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</si>
  <si>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</si>
  <si>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</si>
  <si>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</si>
  <si>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</si>
  <si>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</si>
  <si>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</si>
  <si>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</si>
  <si>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</si>
  <si>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</si>
  <si>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</si>
  <si>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</si>
  <si>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</si>
  <si>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</si>
  <si>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</si>
  <si>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</si>
  <si>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</si>
  <si>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</si>
  <si>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</si>
  <si>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</si>
  <si>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</si>
  <si>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</si>
  <si>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</si>
  <si>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</si>
  <si>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</si>
  <si>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</si>
  <si>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</si>
  <si>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</si>
  <si>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</si>
  <si>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</si>
  <si>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</si>
  <si>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</si>
  <si>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</si>
  <si>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</si>
  <si>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</si>
  <si>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</si>
  <si>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</si>
  <si>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</si>
  <si>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</si>
  <si>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</si>
  <si>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</si>
  <si>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</si>
  <si>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</si>
  <si>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</si>
  <si>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</si>
  <si>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</si>
  <si>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</si>
  <si>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</si>
  <si>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</si>
  <si>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</si>
  <si>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</si>
  <si>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</si>
  <si>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</si>
  <si>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</si>
  <si>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</si>
  <si>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</si>
  <si>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</si>
  <si>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</si>
  <si>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</si>
  <si>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</si>
  <si>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</si>
  <si>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</si>
  <si>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</si>
  <si>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</si>
  <si>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</si>
  <si>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</si>
  <si>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</si>
  <si>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</si>
  <si>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</si>
  <si>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</si>
  <si>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</si>
  <si>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</si>
  <si>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</si>
  <si>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</si>
  <si>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</si>
  <si>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</si>
  <si>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</si>
  <si>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</si>
  <si>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</si>
  <si>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</si>
  <si>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</si>
  <si>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</si>
  <si>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</si>
  <si>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</si>
  <si>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</si>
  <si>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</si>
  <si>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</si>
  <si>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</si>
  <si>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</si>
  <si>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</si>
  <si>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</si>
  <si>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</si>
  <si>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</si>
  <si>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</si>
  <si>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</si>
  <si>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</si>
  <si>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</si>
  <si>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</si>
  <si>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</si>
  <si>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</si>
  <si>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</si>
  <si>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</si>
  <si>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</si>
  <si>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</si>
  <si>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</si>
  <si>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</si>
  <si>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</si>
  <si>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</si>
  <si>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</si>
  <si>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</si>
  <si>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</si>
  <si>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</si>
  <si>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</si>
  <si>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</si>
  <si>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</si>
  <si>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</si>
  <si>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</si>
  <si>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</si>
  <si>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</si>
  <si>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</si>
  <si>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</si>
  <si>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</si>
  <si>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</si>
  <si>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</si>
  <si>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</si>
  <si>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</si>
  <si>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</si>
  <si>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</si>
  <si>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</si>
  <si>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</si>
  <si>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</si>
  <si>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</si>
  <si>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</si>
  <si>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</si>
  <si>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</si>
  <si>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</si>
  <si>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</si>
  <si>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</si>
  <si>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</si>
  <si>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</si>
  <si>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</si>
  <si>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</si>
  <si>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</si>
  <si>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</si>
  <si>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</si>
  <si>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</si>
  <si>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</si>
  <si>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</si>
  <si>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</si>
  <si>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</si>
  <si>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</si>
  <si>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</si>
  <si>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</si>
  <si>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</si>
  <si>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</si>
  <si>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</si>
  <si>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</si>
  <si>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</si>
  <si>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</si>
  <si>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</si>
  <si>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</si>
  <si>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</si>
  <si>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</si>
  <si>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</si>
  <si>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</si>
  <si>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</si>
  <si>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</si>
  <si>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</si>
  <si>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</si>
  <si>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</si>
  <si>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</si>
  <si>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</si>
  <si>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</si>
  <si>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</si>
  <si>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</si>
  <si>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</si>
  <si>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</si>
  <si>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</si>
  <si>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</si>
  <si>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</si>
  <si>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</si>
  <si>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</si>
  <si>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</si>
  <si>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</si>
  <si>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</si>
  <si>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</si>
  <si>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</si>
  <si>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</si>
  <si>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</si>
  <si>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</si>
  <si>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</si>
  <si>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</si>
  <si>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</si>
  <si>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</si>
  <si>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</si>
  <si>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</si>
  <si>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</si>
  <si>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</si>
  <si>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</si>
  <si>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</si>
  <si>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</si>
  <si>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</si>
  <si>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</si>
  <si>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</si>
  <si>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</si>
  <si>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</si>
  <si>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</si>
  <si>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</si>
  <si>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</si>
  <si>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</si>
  <si>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</si>
  <si>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</si>
  <si>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</si>
  <si>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</si>
  <si>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</si>
  <si>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</si>
  <si>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</si>
  <si>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</si>
  <si>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</si>
  <si>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</si>
  <si>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</si>
  <si>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</si>
  <si>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</si>
  <si>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</si>
  <si>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</si>
  <si>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</si>
  <si>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</si>
  <si>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</si>
  <si>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</si>
  <si>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</si>
  <si>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</si>
  <si>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</si>
  <si>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</si>
  <si>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</si>
  <si>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</si>
  <si>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</si>
  <si>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</si>
  <si>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</si>
  <si>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</si>
  <si>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</si>
  <si>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</si>
  <si>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</si>
  <si>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</si>
  <si>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</si>
  <si>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</si>
  <si>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</si>
  <si>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</si>
  <si>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</si>
  <si>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</si>
  <si>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</si>
  <si>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</si>
  <si>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</si>
  <si>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</si>
  <si>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</si>
  <si>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</si>
  <si>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</si>
  <si>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</si>
  <si>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</si>
  <si>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</si>
  <si>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</si>
  <si>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</si>
  <si>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</si>
  <si>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</si>
  <si>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</si>
  <si>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</si>
  <si>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</si>
  <si>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</si>
  <si>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</si>
  <si>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</si>
  <si>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</si>
  <si>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</si>
  <si>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</si>
  <si>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</si>
  <si>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</si>
  <si>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</si>
  <si>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</si>
  <si>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</si>
  <si>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</si>
  <si>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</si>
  <si>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</si>
  <si>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</si>
  <si>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</si>
  <si>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</si>
  <si>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</si>
  <si>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</si>
  <si>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</si>
  <si>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</si>
  <si>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</si>
  <si>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</si>
  <si>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</si>
  <si>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</si>
  <si>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</si>
  <si>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</si>
  <si>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</si>
  <si>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</si>
  <si>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</si>
  <si>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</si>
  <si>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</si>
  <si>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</si>
  <si>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</si>
  <si>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</si>
  <si>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</si>
  <si>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</si>
  <si>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</si>
  <si>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</si>
  <si>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</si>
  <si>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</si>
  <si>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</si>
  <si>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</si>
  <si>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</si>
  <si>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</si>
  <si>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</si>
  <si>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</si>
  <si>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</si>
  <si>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</si>
  <si>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</si>
  <si>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</si>
  <si>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</si>
  <si>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</si>
  <si>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</si>
  <si>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</si>
  <si>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</si>
  <si>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</si>
  <si>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</si>
  <si>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</si>
  <si>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</si>
  <si>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</si>
  <si>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</si>
  <si>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</si>
  <si>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</si>
  <si>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</si>
  <si>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</si>
  <si>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</si>
  <si>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</si>
  <si>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</si>
  <si>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</si>
  <si>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</si>
  <si>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</si>
  <si>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</si>
  <si>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</si>
  <si>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</si>
  <si>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</si>
  <si>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</si>
  <si>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</si>
  <si>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</si>
  <si>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</si>
  <si>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</si>
  <si>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</si>
  <si>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</si>
  <si>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</si>
  <si>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</si>
  <si>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</si>
  <si>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</si>
  <si>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</si>
  <si>
    <t>Ewe Mortality v5e.xlsx #22</t>
  </si>
  <si>
    <t>See RR v5j.xlsx #24 &amp; #25</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</si>
  <si>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</si>
  <si>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</si>
  <si>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</si>
  <si>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</si>
  <si>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</si>
  <si>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</si>
  <si>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</si>
  <si>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</si>
  <si>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</si>
  <si>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</si>
  <si>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</si>
  <si>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</si>
  <si>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</si>
  <si>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</si>
  <si>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</si>
  <si>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</si>
  <si>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</si>
  <si>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</si>
  <si>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</si>
  <si>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</si>
  <si>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</si>
  <si>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</si>
  <si>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</si>
  <si>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</si>
  <si>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</si>
  <si>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</si>
  <si>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</si>
  <si>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</si>
  <si>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</si>
  <si>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</si>
  <si>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</si>
  <si>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</si>
  <si>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</si>
  <si>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</si>
  <si>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</si>
  <si>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</si>
  <si>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</si>
  <si>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</si>
  <si>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</si>
  <si>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</si>
  <si>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</si>
  <si>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</si>
  <si>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</si>
  <si>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</si>
  <si>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</si>
  <si>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</si>
  <si>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</si>
  <si>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</si>
  <si>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</si>
  <si>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</si>
  <si>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</si>
  <si>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</si>
  <si>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</si>
  <si>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</si>
  <si>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</si>
  <si>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</si>
  <si>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</si>
  <si>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</si>
  <si>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</si>
  <si>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</si>
  <si>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</si>
  <si>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</si>
  <si>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</si>
  <si>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</si>
  <si>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</si>
  <si>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</si>
  <si>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</si>
  <si>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</si>
  <si>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</si>
  <si>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</si>
  <si>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</si>
  <si>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</si>
  <si>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</si>
  <si>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</si>
  <si>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</si>
  <si>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</si>
  <si>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</si>
  <si>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</si>
  <si>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</si>
  <si>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</si>
  <si>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</si>
  <si>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</si>
  <si>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</si>
  <si>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</si>
  <si>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</si>
  <si>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</si>
  <si>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</si>
  <si>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</si>
  <si>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</si>
  <si>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</si>
  <si>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</si>
  <si>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</si>
  <si>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</si>
  <si>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</si>
  <si>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</si>
  <si>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</si>
  <si>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</si>
  <si>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</si>
  <si>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</si>
  <si>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</si>
  <si>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</si>
  <si>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</si>
  <si>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</si>
  <si>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</si>
  <si>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</si>
  <si>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</si>
  <si>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</si>
  <si>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</si>
  <si>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</si>
  <si>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</si>
  <si>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</si>
  <si>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</si>
  <si>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</si>
  <si>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</si>
  <si>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</si>
  <si>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</si>
  <si>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</si>
  <si>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</si>
  <si>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</si>
  <si>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</si>
  <si>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</si>
  <si>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</si>
  <si>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</si>
  <si>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</si>
  <si>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</si>
  <si>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</si>
  <si>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</si>
  <si>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</si>
  <si>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</si>
  <si>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</si>
  <si>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</si>
  <si>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</si>
  <si>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</si>
  <si>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</si>
  <si>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</si>
  <si>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</si>
  <si>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</si>
  <si>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</si>
  <si>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</si>
  <si>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</si>
  <si>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</si>
  <si>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</si>
  <si>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</si>
  <si>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</si>
  <si>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</si>
  <si>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</si>
  <si>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</si>
  <si>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</si>
  <si>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</si>
  <si>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</si>
  <si>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</si>
  <si>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</si>
  <si>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</si>
  <si>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</si>
  <si>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</si>
  <si>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30Sep25: Added EweLamb equation system for progeny survival #2, and activated it in the first p7 period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</si>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</sst>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8">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8">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7"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multiLvlStrRef>
              <c:f>Sheep!$AV$196:$AV$204</c:f>
            </c:multiLvlStrRef>
          </c:cat>
          <c:val>
            <c:numRef>
              <c:f>Sheep!$AW$196:$AW$204</c:f>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multiLvlStrRef>
              <c:f>Sheep!$AV$196:$AV$204</c:f>
            </c:multiLvlStrRef>
          </c:cat>
          <c:val>
            <c:numRef>
              <c:f>Sheep!$AX$196:$AX$204</c:f>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multiLvlStrRef>
              <c:f>Sheep!$AV$196:$AV$204</c:f>
            </c:multiLvlStrRef>
          </c:cat>
          <c:val>
            <c:numRef>
              <c:f>Sheep!$AY$196:$AY$204</c:f>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multiLvlStrRef>
              <c:f>Sheep!$AV$196:$AV$204</c:f>
            </c:multiLvlStrRef>
          </c:cat>
          <c:val>
            <c:numRef>
              <c:f>Sheep!$AZ$196:$AZ$204</c:f>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multiLvlStrRef>
              <c:f>Sheep!$AV$196:$AV$204</c:f>
            </c:multiLvlStrRef>
          </c:cat>
          <c:val>
            <c:numRef>
              <c:f>Sheep!$BA$196:$BA$204</c:f>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multiLvlStrRef>
              <c:f>Sheep!$AV$196:$AV$204</c:f>
            </c:multiLvlStrRef>
          </c:cat>
          <c:val>
            <c:numRef>
              <c:f>Sheep!$BB$196:$BB$204</c:f>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multiLvlStrRef>
              <c:f>Sheep!$AV$196:$AV$204</c:f>
            </c:multiLvlStrRef>
          </c:cat>
          <c:val>
            <c:numRef>
              <c:f>Sheep!$BC$196:$BC$204</c:f>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multiLvlStrRef>
              <c:f>Sheep!$AV$196:$AV$204</c:f>
            </c:multiLvlStrRef>
          </c:cat>
          <c:val>
            <c:numRef>
              <c:f>Sheep!$BD$196:$BD$204</c:f>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marker val="1"/>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6"/>
  <sheetViews>
    <sheetView topLeftCell="A22" workbookViewId="0">
      <selection activeCell="F44" sqref="F4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2326</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2328</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2319</v>
      </c>
      <c r="G21" s="387" t="s">
        <v>2321</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50" t="s">
        <v>2327</v>
      </c>
      <c r="G23" s="94"/>
      <c r="H23" s="94"/>
      <c r="I23" s="94"/>
      <c r="J23" s="94"/>
      <c r="K23" s="350" t="s">
        <v>2321</v>
      </c>
      <c r="L23" s="94"/>
      <c r="M23" s="94"/>
      <c r="N23" s="94"/>
      <c r="O23" s="94"/>
      <c r="P23" s="350" t="s">
        <v>2322</v>
      </c>
      <c r="Q23" s="94"/>
      <c r="R23" s="94"/>
      <c r="S23" s="94"/>
      <c r="T23" s="94"/>
      <c r="U23" s="94"/>
      <c r="V23" s="94"/>
      <c r="W23" s="73"/>
      <c r="X23" s="57"/>
      <c r="Y23" s="45"/>
      <c r="Z23" s="45"/>
      <c r="AA23" s="45"/>
    </row>
    <row r="24" spans="1:27" ht="60" outlineLevel="3" x14ac:dyDescent="0.25">
      <c r="A24" s="45"/>
      <c r="B24" s="54"/>
      <c r="C24" s="73"/>
      <c r="D24" s="73"/>
      <c r="E24" s="76"/>
      <c r="F24" s="354" t="s">
        <v>2320</v>
      </c>
      <c r="G24" s="353" t="s">
        <v>2321</v>
      </c>
      <c r="H24" s="76"/>
      <c r="I24" s="76"/>
      <c r="J24" s="76"/>
      <c r="K24" s="354" t="s">
        <v>2323</v>
      </c>
      <c r="L24" s="351">
        <v>5.0000000000000004E-6</v>
      </c>
      <c r="M24" s="76"/>
      <c r="N24" s="76"/>
      <c r="O24" s="76"/>
      <c r="P24" s="354" t="s">
        <v>2324</v>
      </c>
      <c r="Q24" s="351">
        <v>0.7</v>
      </c>
      <c r="R24" s="76"/>
      <c r="S24" s="76"/>
      <c r="T24" s="76"/>
      <c r="U24" s="76"/>
      <c r="V24" s="76"/>
      <c r="W24" s="73"/>
      <c r="X24" s="57"/>
      <c r="Y24" s="45"/>
      <c r="Z24" s="45"/>
      <c r="AA24" s="45"/>
    </row>
    <row r="25" spans="1:27" outlineLevel="3" x14ac:dyDescent="0.25">
      <c r="A25" s="45"/>
      <c r="B25" s="54"/>
      <c r="C25" s="73"/>
      <c r="D25" s="73"/>
      <c r="E25" s="76"/>
      <c r="F25" s="76"/>
      <c r="G25" s="353" t="s">
        <v>2322</v>
      </c>
      <c r="H25" s="76"/>
      <c r="I25" s="76"/>
      <c r="J25" s="76"/>
      <c r="K25" s="76"/>
      <c r="L25" s="76"/>
      <c r="M25" s="76"/>
      <c r="N25" s="76"/>
      <c r="O25" s="76"/>
      <c r="P25" s="76" t="s">
        <v>2325</v>
      </c>
      <c r="Q25" s="351">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68"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ht="12" customHeight="1" outlineLevel="1" x14ac:dyDescent="0.25">
      <c r="A34" s="7"/>
      <c r="B34" s="8"/>
      <c r="C34" s="8"/>
      <c r="D34" s="8"/>
      <c r="E34" s="8"/>
      <c r="F34" s="8"/>
      <c r="G34" s="8"/>
      <c r="H34" s="9"/>
      <c r="I34" s="9"/>
      <c r="J34" s="9"/>
      <c r="K34" s="9"/>
      <c r="L34" s="9"/>
      <c r="M34" s="9"/>
      <c r="N34" s="9"/>
      <c r="O34" s="9"/>
      <c r="P34" s="9"/>
      <c r="Q34" s="9"/>
      <c r="R34" s="9"/>
      <c r="S34" s="9"/>
      <c r="T34" s="9"/>
      <c r="U34" s="9"/>
      <c r="V34" s="9"/>
      <c r="W34" s="9"/>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row>
    <row r="35" spans="1:68" ht="5.0999999999999996" customHeight="1" outlineLevel="1" thickBot="1" x14ac:dyDescent="0.3">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x14ac:dyDescent="0.25">
      <c r="A36" s="7"/>
      <c r="B36" s="8"/>
      <c r="C36" s="10" t="s">
        <v>86</v>
      </c>
      <c r="D36" s="10"/>
      <c r="E36" s="10"/>
      <c r="F36" s="10"/>
      <c r="G36" s="10"/>
      <c r="H36" s="10"/>
      <c r="I36" s="10"/>
      <c r="J36" s="10"/>
      <c r="K36" s="620"/>
      <c r="L36" s="11"/>
      <c r="M36" s="11"/>
      <c r="N36" s="11"/>
      <c r="O36" s="11"/>
      <c r="P36" s="11"/>
      <c r="Q36" s="11"/>
      <c r="R36" s="11"/>
      <c r="S36" s="11"/>
      <c r="T36" s="11"/>
      <c r="U36" s="11"/>
      <c r="V36" s="11"/>
      <c r="W36" s="12"/>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row>
    <row r="37" spans="1:68" ht="12" customHeight="1" outlineLevel="1" x14ac:dyDescent="0.25">
      <c r="A37" s="7"/>
      <c r="B37" s="8"/>
      <c r="C37" s="13"/>
      <c r="D37" s="13"/>
      <c r="E37" s="13" t="s">
        <v>87</v>
      </c>
      <c r="F37" s="14"/>
      <c r="G37" s="15" t="s">
        <v>3473</v>
      </c>
      <c r="H37" s="14"/>
      <c r="I37" s="14" t="s">
        <v>3474</v>
      </c>
      <c r="J37" s="14"/>
      <c r="K37" s="14"/>
      <c r="L37" s="14"/>
      <c r="M37" s="14"/>
      <c r="N37" s="14"/>
      <c r="O37" s="14"/>
      <c r="P37" s="14"/>
      <c r="Q37" s="14"/>
      <c r="R37" s="14"/>
      <c r="S37" s="16"/>
      <c r="T37" s="14"/>
      <c r="U37" s="16"/>
      <c r="V37" s="16"/>
      <c r="W37" s="17"/>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8"/>
      <c r="F38" s="14"/>
      <c r="G38" s="509"/>
      <c r="H38" s="14"/>
      <c r="I38" s="14"/>
      <c r="J38" s="14"/>
      <c r="K38" s="14"/>
      <c r="L38" s="14"/>
      <c r="M38" s="14"/>
      <c r="N38" s="14"/>
      <c r="O38" s="14"/>
      <c r="P38" s="14"/>
      <c r="Q38" s="14"/>
      <c r="R38" s="14"/>
      <c r="S38" s="16"/>
      <c r="T38" s="19"/>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8"/>
      <c r="D39" s="13"/>
      <c r="E39" s="18"/>
      <c r="F39" s="14"/>
      <c r="G39" s="14"/>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8"/>
      <c r="E40" s="18"/>
      <c r="F40" s="18"/>
      <c r="G40" s="18"/>
      <c r="H40" s="18"/>
      <c r="I40" s="18" t="s">
        <v>3475</v>
      </c>
      <c r="J40" s="18"/>
      <c r="K40" s="18"/>
      <c r="L40" s="18"/>
      <c r="M40" s="18"/>
      <c r="N40" s="18"/>
      <c r="O40" s="18"/>
      <c r="P40" s="18"/>
      <c r="Q40" s="21"/>
      <c r="R40" s="21"/>
      <c r="S40" s="21"/>
      <c r="T40" s="21"/>
      <c r="U40" s="21"/>
      <c r="V40" s="21"/>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c r="J41" s="18"/>
      <c r="K41" s="18"/>
      <c r="L41" s="18"/>
      <c r="M41" s="18"/>
      <c r="N41" s="18"/>
      <c r="O41" s="18"/>
      <c r="P41" s="18"/>
      <c r="Q41" s="23"/>
      <c r="R41" s="23"/>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t="s">
        <v>3476</v>
      </c>
      <c r="H42" s="18" t="s">
        <v>3477</v>
      </c>
      <c r="I42" s="18" t="s">
        <v>3478</v>
      </c>
      <c r="J42" s="18" t="s">
        <v>3479</v>
      </c>
      <c r="K42" s="18" t="s">
        <v>3480</v>
      </c>
      <c r="L42" s="22"/>
      <c r="M42" s="22"/>
      <c r="N42" s="22"/>
      <c r="O42" s="22"/>
      <c r="P42" s="23"/>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547"/>
      <c r="G43" s="523" t="s">
        <v>45</v>
      </c>
      <c r="H43" s="621">
        <f>29+22</f>
        <v>51</v>
      </c>
      <c r="I43" s="621">
        <v>1.3</v>
      </c>
      <c r="J43" s="621">
        <v>0</v>
      </c>
      <c r="K43" s="628">
        <v>0</v>
      </c>
      <c r="L43" s="622"/>
      <c r="M43" s="622"/>
      <c r="N43" s="622"/>
      <c r="O43" s="622"/>
      <c r="P43" s="622"/>
      <c r="Q43" s="623"/>
      <c r="R43" s="623"/>
      <c r="S43" s="623"/>
      <c r="T43" s="623"/>
      <c r="U43" s="623"/>
      <c r="V43" s="624"/>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7"/>
      <c r="G44" s="523" t="s">
        <v>3485</v>
      </c>
      <c r="H44" s="621">
        <v>536</v>
      </c>
      <c r="I44" s="621">
        <v>1.17</v>
      </c>
      <c r="J44" s="621">
        <v>0</v>
      </c>
      <c r="K44" s="628">
        <v>0</v>
      </c>
      <c r="L44" s="622"/>
      <c r="M44" s="622"/>
      <c r="N44" s="622"/>
      <c r="O44" s="622"/>
      <c r="P44" s="622"/>
      <c r="Q44" s="623"/>
      <c r="R44" s="623"/>
      <c r="S44" s="623"/>
      <c r="T44" s="623"/>
      <c r="U44" s="623"/>
      <c r="V44" s="624"/>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7"/>
      <c r="G45" s="523" t="s">
        <v>3486</v>
      </c>
      <c r="H45" s="621">
        <v>1017</v>
      </c>
      <c r="I45" s="621">
        <f>0.6*I48+0.4*I47</f>
        <v>0.99800000000000011</v>
      </c>
      <c r="J45" s="633">
        <f>0.6*J48+0.4*J47</f>
        <v>6.6000000000000003E-2</v>
      </c>
      <c r="K45" s="628">
        <v>0</v>
      </c>
      <c r="L45" s="622"/>
      <c r="M45" s="622"/>
      <c r="N45" s="622"/>
      <c r="O45" s="622"/>
      <c r="P45" s="622"/>
      <c r="Q45" s="623"/>
      <c r="R45" s="623"/>
      <c r="S45" s="623"/>
      <c r="T45" s="623"/>
      <c r="U45" s="623"/>
      <c r="V45" s="624"/>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7"/>
      <c r="G46" s="523" t="s">
        <v>3489</v>
      </c>
      <c r="H46" s="621">
        <f>453+22</f>
        <v>475</v>
      </c>
      <c r="I46" s="621">
        <v>1.08</v>
      </c>
      <c r="J46" s="633">
        <v>0.21</v>
      </c>
      <c r="K46" s="628">
        <v>0</v>
      </c>
      <c r="L46" s="622"/>
      <c r="M46" s="622"/>
      <c r="N46" s="622"/>
      <c r="O46" s="622"/>
      <c r="P46" s="622"/>
      <c r="Q46" s="623"/>
      <c r="R46" s="623"/>
      <c r="S46" s="623"/>
      <c r="T46" s="623"/>
      <c r="U46" s="623"/>
      <c r="V46" s="624"/>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7"/>
      <c r="G47" s="523" t="s">
        <v>44</v>
      </c>
      <c r="H47" s="621">
        <f>676+22</f>
        <v>698</v>
      </c>
      <c r="I47" s="621">
        <v>1.1000000000000001</v>
      </c>
      <c r="J47" s="621">
        <v>0</v>
      </c>
      <c r="K47" s="628">
        <v>0</v>
      </c>
      <c r="L47" s="622"/>
      <c r="M47" s="622"/>
      <c r="N47" s="622"/>
      <c r="O47" s="622"/>
      <c r="P47" s="622"/>
      <c r="Q47" s="623"/>
      <c r="R47" s="623"/>
      <c r="S47" s="623"/>
      <c r="T47" s="623"/>
      <c r="U47" s="623"/>
      <c r="V47" s="624"/>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7"/>
      <c r="G48" s="523" t="s">
        <v>3487</v>
      </c>
      <c r="H48" s="621">
        <f>1209+22</f>
        <v>1231</v>
      </c>
      <c r="I48" s="621">
        <v>0.93</v>
      </c>
      <c r="J48" s="628">
        <v>0.11</v>
      </c>
      <c r="K48" s="628">
        <v>0</v>
      </c>
      <c r="L48" s="622"/>
      <c r="M48" s="622"/>
      <c r="N48" s="622"/>
      <c r="O48" s="622"/>
      <c r="P48" s="622"/>
      <c r="Q48" s="623"/>
      <c r="R48" s="623"/>
      <c r="S48" s="623"/>
      <c r="T48" s="623"/>
      <c r="U48" s="623"/>
      <c r="V48" s="624"/>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7"/>
      <c r="G49" s="523" t="s">
        <v>3488</v>
      </c>
      <c r="H49" s="621">
        <f>674+22</f>
        <v>696</v>
      </c>
      <c r="I49" s="621">
        <v>0.95</v>
      </c>
      <c r="J49" s="628">
        <v>0.34300000000000003</v>
      </c>
      <c r="K49" s="628">
        <v>0.6</v>
      </c>
      <c r="L49" s="622"/>
      <c r="M49" s="622"/>
      <c r="N49" s="622"/>
      <c r="O49" s="622"/>
      <c r="P49" s="622"/>
      <c r="Q49" s="623"/>
      <c r="R49" s="623"/>
      <c r="S49" s="623"/>
      <c r="T49" s="623"/>
      <c r="U49" s="623"/>
      <c r="V49" s="624"/>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7"/>
      <c r="G50" s="625" t="s">
        <v>69</v>
      </c>
      <c r="H50" s="621">
        <f>1083+22</f>
        <v>1105</v>
      </c>
      <c r="I50" s="621">
        <v>0.97</v>
      </c>
      <c r="J50" s="626">
        <v>0.27600000000000002</v>
      </c>
      <c r="K50" s="628">
        <v>0</v>
      </c>
      <c r="L50" s="622"/>
      <c r="M50" s="622"/>
      <c r="N50" s="622"/>
      <c r="O50" s="622"/>
      <c r="P50" s="622"/>
      <c r="Q50" s="623"/>
      <c r="R50" s="623"/>
      <c r="S50" s="623"/>
      <c r="T50" s="623"/>
      <c r="U50" s="623"/>
      <c r="V50" s="624"/>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7"/>
      <c r="G51" s="627" t="s">
        <v>2912</v>
      </c>
      <c r="H51" s="621">
        <f>830+30</f>
        <v>860</v>
      </c>
      <c r="I51" s="621">
        <v>0.7</v>
      </c>
      <c r="J51" s="633">
        <v>0.46</v>
      </c>
      <c r="K51" s="628">
        <v>1</v>
      </c>
      <c r="L51" s="622"/>
      <c r="M51" s="622"/>
      <c r="N51" s="622"/>
      <c r="O51" s="622"/>
      <c r="Q51" s="623"/>
      <c r="R51" s="623"/>
      <c r="S51" s="623"/>
      <c r="T51" s="623"/>
      <c r="U51" s="623"/>
      <c r="V51" s="624"/>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7"/>
      <c r="G52" s="627" t="s">
        <v>2547</v>
      </c>
      <c r="H52" s="621">
        <f>621+22</f>
        <v>643</v>
      </c>
      <c r="I52" s="621">
        <v>1.32</v>
      </c>
      <c r="J52" s="628">
        <v>0.32</v>
      </c>
      <c r="K52" s="628">
        <v>0.35</v>
      </c>
      <c r="L52" s="622"/>
      <c r="M52" s="622"/>
      <c r="N52" s="622"/>
      <c r="O52" s="622"/>
      <c r="P52" s="28"/>
      <c r="Q52" s="623"/>
      <c r="R52" s="623"/>
      <c r="S52" s="623"/>
      <c r="T52" s="623"/>
      <c r="U52" s="623"/>
      <c r="V52" s="624"/>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7"/>
      <c r="R53" s="629"/>
      <c r="S53" s="629"/>
      <c r="T53" s="629"/>
      <c r="U53" s="629"/>
      <c r="V53" s="624"/>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7"/>
      <c r="H54" s="28"/>
      <c r="I54" s="28"/>
      <c r="J54" s="630"/>
      <c r="K54" s="630"/>
      <c r="L54" s="630"/>
      <c r="M54" s="630"/>
      <c r="N54" s="630"/>
      <c r="O54" s="630"/>
      <c r="Q54" s="630"/>
      <c r="R54" s="629"/>
      <c r="S54" s="629"/>
      <c r="T54" s="629"/>
      <c r="U54" s="629"/>
      <c r="V54" s="624"/>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7"/>
      <c r="O55" s="622"/>
      <c r="Q55" s="623"/>
      <c r="R55" s="623"/>
      <c r="S55" s="623"/>
      <c r="T55" s="623"/>
      <c r="U55" s="623"/>
      <c r="V55" s="624"/>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7"/>
      <c r="O56" s="622"/>
      <c r="P56" s="622"/>
      <c r="Q56" s="623"/>
      <c r="R56" s="623"/>
      <c r="S56" s="623"/>
      <c r="T56" s="623"/>
      <c r="U56" s="623"/>
      <c r="V56" s="624"/>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7"/>
      <c r="O57" s="622"/>
      <c r="P57" s="622"/>
      <c r="Q57" s="623"/>
      <c r="R57" s="623"/>
      <c r="S57" s="623"/>
      <c r="T57" s="623"/>
      <c r="U57" s="623"/>
      <c r="V57" s="624"/>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7"/>
      <c r="O58" s="622"/>
      <c r="P58" s="622"/>
      <c r="Q58" s="623"/>
      <c r="R58" s="623"/>
      <c r="S58" s="623"/>
      <c r="T58" s="623"/>
      <c r="U58" s="623"/>
      <c r="V58" s="624"/>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5.0999999999999996" customHeight="1" outlineLevel="1" x14ac:dyDescent="0.25">
      <c r="A59" s="7"/>
      <c r="B59" s="8"/>
      <c r="C59" s="18"/>
      <c r="D59" s="18"/>
      <c r="E59" s="18"/>
      <c r="F59" s="33"/>
      <c r="G59" s="34"/>
      <c r="H59" s="34"/>
      <c r="I59" s="34"/>
      <c r="J59" s="35"/>
      <c r="K59" s="35"/>
      <c r="L59" s="35"/>
      <c r="M59" s="35"/>
      <c r="N59" s="35"/>
      <c r="O59" s="35"/>
      <c r="P59" s="35"/>
      <c r="Q59" s="35"/>
      <c r="R59" s="35"/>
      <c r="S59" s="35"/>
      <c r="T59" s="35"/>
      <c r="U59" s="35"/>
      <c r="V59" s="27"/>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25.35" customHeight="1" outlineLevel="1" x14ac:dyDescent="0.25">
      <c r="A60" s="7"/>
      <c r="B60" s="8"/>
      <c r="C60" s="36"/>
      <c r="D60" s="36"/>
      <c r="E60" s="36"/>
      <c r="F60" s="36"/>
      <c r="G60" s="37" t="str">
        <f>G37</f>
        <v>Fert info</v>
      </c>
      <c r="H60" s="36"/>
      <c r="I60" s="36"/>
      <c r="J60" s="36"/>
      <c r="K60" s="36"/>
      <c r="L60" s="36"/>
      <c r="M60" s="36"/>
      <c r="N60" s="36"/>
      <c r="O60" s="36"/>
      <c r="P60" s="36"/>
      <c r="Q60" s="36"/>
      <c r="R60" s="36"/>
      <c r="S60" s="36"/>
      <c r="T60" s="36"/>
      <c r="U60" s="36"/>
      <c r="V60" s="36"/>
      <c r="W60" s="38" t="s">
        <v>91</v>
      </c>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12" customHeight="1" outlineLevel="1" x14ac:dyDescent="0.25">
      <c r="A61" s="7"/>
      <c r="B61" s="8"/>
      <c r="C61" s="8"/>
      <c r="D61" s="8"/>
      <c r="E61" s="8"/>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x14ac:dyDescent="0.25"/>
    <row r="64" spans="1:68" x14ac:dyDescent="0.25">
      <c r="G64" t="s">
        <v>2296</v>
      </c>
      <c r="I64" t="s">
        <v>2297</v>
      </c>
      <c r="K64" t="s">
        <v>2705</v>
      </c>
      <c r="M64" t="s">
        <v>2706</v>
      </c>
    </row>
    <row r="65" spans="7:13" x14ac:dyDescent="0.25">
      <c r="G65" s="338" t="s">
        <v>4</v>
      </c>
      <c r="I65" s="338" t="s">
        <v>2298</v>
      </c>
      <c r="K65" s="338" t="s">
        <v>45</v>
      </c>
      <c r="M65" s="432" t="s">
        <v>2707</v>
      </c>
    </row>
    <row r="66" spans="7:13" x14ac:dyDescent="0.25">
      <c r="G66" s="339" t="s">
        <v>2290</v>
      </c>
      <c r="I66" s="339" t="s">
        <v>2564</v>
      </c>
      <c r="K66" s="339" t="s">
        <v>2913</v>
      </c>
      <c r="M66" s="433" t="s">
        <v>2708</v>
      </c>
    </row>
    <row r="67" spans="7:13" ht="45" x14ac:dyDescent="0.25">
      <c r="G67" s="339" t="s">
        <v>10</v>
      </c>
      <c r="I67" s="339" t="s">
        <v>4</v>
      </c>
      <c r="K67" s="339" t="s">
        <v>2697</v>
      </c>
      <c r="M67" s="433" t="s">
        <v>2709</v>
      </c>
    </row>
    <row r="68" spans="7:13" ht="30" x14ac:dyDescent="0.25">
      <c r="G68" t="s">
        <v>60</v>
      </c>
      <c r="H68" s="343"/>
      <c r="I68" s="339" t="s">
        <v>2290</v>
      </c>
      <c r="K68" s="339" t="s">
        <v>2698</v>
      </c>
      <c r="M68" s="434" t="s">
        <v>2710</v>
      </c>
    </row>
    <row r="69" spans="7:13" x14ac:dyDescent="0.25">
      <c r="G69" s="339" t="s">
        <v>61</v>
      </c>
      <c r="I69" s="339" t="s">
        <v>10</v>
      </c>
      <c r="K69" s="340" t="s">
        <v>2914</v>
      </c>
    </row>
    <row r="70" spans="7:13" x14ac:dyDescent="0.25">
      <c r="G70" s="339" t="s">
        <v>62</v>
      </c>
      <c r="I70" s="339" t="s">
        <v>60</v>
      </c>
    </row>
    <row r="71" spans="7:13" x14ac:dyDescent="0.25">
      <c r="G71" s="339" t="s">
        <v>7</v>
      </c>
      <c r="I71" s="339" t="s">
        <v>61</v>
      </c>
    </row>
    <row r="72" spans="7:13" x14ac:dyDescent="0.25">
      <c r="G72" s="339" t="s">
        <v>3286</v>
      </c>
      <c r="I72" s="339" t="s">
        <v>2299</v>
      </c>
    </row>
    <row r="73" spans="7:13" x14ac:dyDescent="0.25">
      <c r="G73" s="339" t="s">
        <v>3211</v>
      </c>
      <c r="I73" s="339" t="s">
        <v>107</v>
      </c>
    </row>
    <row r="74" spans="7:13" x14ac:dyDescent="0.25">
      <c r="G74" s="339" t="s">
        <v>6</v>
      </c>
      <c r="I74" s="339" t="s">
        <v>62</v>
      </c>
    </row>
    <row r="75" spans="7:13" x14ac:dyDescent="0.25">
      <c r="G75" s="339" t="s">
        <v>2294</v>
      </c>
      <c r="I75" s="339" t="s">
        <v>7</v>
      </c>
    </row>
    <row r="76" spans="7:13" x14ac:dyDescent="0.25">
      <c r="G76" s="339" t="s">
        <v>72</v>
      </c>
      <c r="I76" s="339" t="s">
        <v>3286</v>
      </c>
    </row>
    <row r="77" spans="7:13" x14ac:dyDescent="0.25">
      <c r="G77" s="339" t="s">
        <v>9</v>
      </c>
      <c r="I77" s="339" t="s">
        <v>113</v>
      </c>
    </row>
    <row r="78" spans="7:13" x14ac:dyDescent="0.25">
      <c r="G78" s="339" t="s">
        <v>2293</v>
      </c>
      <c r="I78" s="339" t="s">
        <v>3211</v>
      </c>
    </row>
    <row r="79" spans="7:13" x14ac:dyDescent="0.25">
      <c r="G79" s="339" t="s">
        <v>63</v>
      </c>
      <c r="I79" s="339" t="s">
        <v>6</v>
      </c>
    </row>
    <row r="80" spans="7:13" x14ac:dyDescent="0.25">
      <c r="G80" s="339" t="s">
        <v>5</v>
      </c>
      <c r="I80" s="339" t="s">
        <v>2294</v>
      </c>
    </row>
    <row r="81" spans="7:9" x14ac:dyDescent="0.25">
      <c r="G81" s="339" t="s">
        <v>2292</v>
      </c>
      <c r="I81" s="339" t="s">
        <v>72</v>
      </c>
    </row>
    <row r="82" spans="7:9" x14ac:dyDescent="0.25">
      <c r="G82" s="339" t="s">
        <v>8</v>
      </c>
      <c r="I82" s="339" t="s">
        <v>9</v>
      </c>
    </row>
    <row r="83" spans="7:9" x14ac:dyDescent="0.25">
      <c r="G83" s="340" t="s">
        <v>2291</v>
      </c>
      <c r="I83" s="339" t="s">
        <v>2293</v>
      </c>
    </row>
    <row r="84" spans="7:9" x14ac:dyDescent="0.25">
      <c r="I84" s="339" t="s">
        <v>2300</v>
      </c>
    </row>
    <row r="85" spans="7:9" x14ac:dyDescent="0.25">
      <c r="I85" s="339" t="s">
        <v>2550</v>
      </c>
    </row>
    <row r="86" spans="7:9" x14ac:dyDescent="0.25">
      <c r="I86" s="339" t="s">
        <v>2301</v>
      </c>
    </row>
    <row r="87" spans="7:9" x14ac:dyDescent="0.25">
      <c r="I87" s="339" t="s">
        <v>106</v>
      </c>
    </row>
    <row r="88" spans="7:9" x14ac:dyDescent="0.25">
      <c r="I88" s="339" t="s">
        <v>2302</v>
      </c>
    </row>
    <row r="89" spans="7:9" x14ac:dyDescent="0.25">
      <c r="I89" s="339" t="s">
        <v>108</v>
      </c>
    </row>
    <row r="90" spans="7:9" x14ac:dyDescent="0.25">
      <c r="I90" s="339" t="s">
        <v>63</v>
      </c>
    </row>
    <row r="91" spans="7:9" x14ac:dyDescent="0.25">
      <c r="I91" s="339" t="s">
        <v>5</v>
      </c>
    </row>
    <row r="92" spans="7:9" x14ac:dyDescent="0.25">
      <c r="I92" s="339" t="s">
        <v>2292</v>
      </c>
    </row>
    <row r="93" spans="7:9" x14ac:dyDescent="0.25">
      <c r="I93" s="339" t="s">
        <v>2303</v>
      </c>
    </row>
    <row r="94" spans="7:9" x14ac:dyDescent="0.25">
      <c r="I94" s="339" t="s">
        <v>109</v>
      </c>
    </row>
    <row r="95" spans="7:9" x14ac:dyDescent="0.25">
      <c r="I95" s="339" t="s">
        <v>8</v>
      </c>
    </row>
    <row r="96" spans="7:9" x14ac:dyDescent="0.25">
      <c r="I96" s="340" t="s">
        <v>2291</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3017</v>
      </c>
    </row>
    <row r="9" spans="1:3" x14ac:dyDescent="0.25">
      <c r="A9" s="341" t="str">
        <f>General!G65</f>
        <v>b</v>
      </c>
      <c r="B9">
        <v>680</v>
      </c>
      <c r="C9" s="1" t="s">
        <v>2891</v>
      </c>
    </row>
    <row r="10" spans="1:3" x14ac:dyDescent="0.25">
      <c r="A10" s="341" t="str">
        <f>General!G66</f>
        <v>bd</v>
      </c>
      <c r="B10">
        <v>680</v>
      </c>
      <c r="C10" s="1" t="s">
        <v>2891</v>
      </c>
    </row>
    <row r="11" spans="1:3" x14ac:dyDescent="0.25">
      <c r="A11" s="341" t="str">
        <f>General!G67</f>
        <v>f</v>
      </c>
      <c r="B11">
        <v>680</v>
      </c>
      <c r="C11" s="1" t="s">
        <v>2891</v>
      </c>
    </row>
    <row r="12" spans="1:3" x14ac:dyDescent="0.25">
      <c r="A12" s="341" t="str">
        <f>General!G68</f>
        <v>h</v>
      </c>
      <c r="B12">
        <v>680</v>
      </c>
      <c r="C12" s="1" t="s">
        <v>2891</v>
      </c>
    </row>
    <row r="13" spans="1:3" x14ac:dyDescent="0.25">
      <c r="A13" s="341" t="str">
        <f>General!G69</f>
        <v>i</v>
      </c>
      <c r="B13">
        <v>680</v>
      </c>
      <c r="C13" s="1" t="s">
        <v>2891</v>
      </c>
    </row>
    <row r="14" spans="1:3" x14ac:dyDescent="0.25">
      <c r="A14" s="341" t="str">
        <f>General!G70</f>
        <v>k</v>
      </c>
      <c r="B14">
        <v>680</v>
      </c>
      <c r="C14" s="1" t="s">
        <v>2891</v>
      </c>
    </row>
    <row r="15" spans="1:3" x14ac:dyDescent="0.25">
      <c r="A15" s="341" t="str">
        <f>General!G71</f>
        <v>l</v>
      </c>
      <c r="B15">
        <v>680</v>
      </c>
      <c r="C15" s="1" t="s">
        <v>2891</v>
      </c>
    </row>
    <row r="16" spans="1:3" x14ac:dyDescent="0.25">
      <c r="A16" s="341" t="str">
        <f>General!G72</f>
        <v>lf</v>
      </c>
      <c r="B16">
        <v>680</v>
      </c>
      <c r="C16" s="1" t="s">
        <v>2891</v>
      </c>
    </row>
    <row r="17" spans="1:3" x14ac:dyDescent="0.25">
      <c r="A17" s="341" t="str">
        <f>General!G73</f>
        <v>ms</v>
      </c>
      <c r="B17">
        <v>680</v>
      </c>
      <c r="C17" s="1" t="s">
        <v>2891</v>
      </c>
    </row>
    <row r="18" spans="1:3" x14ac:dyDescent="0.25">
      <c r="A18" s="341" t="str">
        <f>General!G74</f>
        <v>o</v>
      </c>
      <c r="B18">
        <v>680</v>
      </c>
      <c r="C18" s="1" t="s">
        <v>2891</v>
      </c>
    </row>
    <row r="19" spans="1:3" x14ac:dyDescent="0.25">
      <c r="A19" s="341" t="str">
        <f>General!G75</f>
        <v>od</v>
      </c>
      <c r="B19">
        <v>680</v>
      </c>
      <c r="C19" s="1" t="s">
        <v>2891</v>
      </c>
    </row>
    <row r="20" spans="1:3" x14ac:dyDescent="0.25">
      <c r="A20" s="341" t="str">
        <f>General!G76</f>
        <v>of</v>
      </c>
      <c r="B20">
        <v>680</v>
      </c>
      <c r="C20" s="1" t="s">
        <v>2891</v>
      </c>
    </row>
    <row r="21" spans="1:3" x14ac:dyDescent="0.25">
      <c r="A21" s="341" t="str">
        <f>General!G77</f>
        <v>r</v>
      </c>
      <c r="B21">
        <v>680</v>
      </c>
      <c r="C21" s="1" t="s">
        <v>2891</v>
      </c>
    </row>
    <row r="22" spans="1:3" x14ac:dyDescent="0.25">
      <c r="A22" s="341" t="str">
        <f>General!G78</f>
        <v>rd</v>
      </c>
      <c r="B22">
        <v>680</v>
      </c>
      <c r="C22" s="1" t="s">
        <v>2891</v>
      </c>
    </row>
    <row r="23" spans="1:3" x14ac:dyDescent="0.25">
      <c r="A23" s="341" t="str">
        <f>General!G79</f>
        <v>v</v>
      </c>
      <c r="B23">
        <v>680</v>
      </c>
      <c r="C23" s="1" t="s">
        <v>2891</v>
      </c>
    </row>
    <row r="24" spans="1:3" x14ac:dyDescent="0.25">
      <c r="A24" s="341" t="str">
        <f>General!G80</f>
        <v>w</v>
      </c>
      <c r="B24">
        <v>680</v>
      </c>
      <c r="C24" s="1" t="s">
        <v>2891</v>
      </c>
    </row>
    <row r="25" spans="1:3" x14ac:dyDescent="0.25">
      <c r="A25" s="341" t="str">
        <f>General!G81</f>
        <v>wd</v>
      </c>
      <c r="B25">
        <v>680</v>
      </c>
      <c r="C25" s="1" t="s">
        <v>2891</v>
      </c>
    </row>
    <row r="26" spans="1:3" x14ac:dyDescent="0.25">
      <c r="A26" s="341" t="str">
        <f>General!G82</f>
        <v>z</v>
      </c>
      <c r="B26">
        <v>680</v>
      </c>
      <c r="C26" s="1" t="s">
        <v>2891</v>
      </c>
    </row>
    <row r="27" spans="1:3" x14ac:dyDescent="0.25">
      <c r="A27" s="341" t="str">
        <f>General!G83</f>
        <v>zd</v>
      </c>
      <c r="B27">
        <v>680</v>
      </c>
      <c r="C27" s="1" t="s">
        <v>2891</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5">
        <f>MIN(364,INT((C46 - DATE(YEAR(C46),1,1))))</f>
        <v>226</v>
      </c>
      <c r="C46" s="4">
        <v>43692</v>
      </c>
    </row>
    <row r="48" spans="1:11" x14ac:dyDescent="0.25">
      <c r="A48" s="1" t="s">
        <v>2253</v>
      </c>
      <c r="B48">
        <v>50</v>
      </c>
      <c r="K48" s="1" t="s">
        <v>2254</v>
      </c>
    </row>
    <row r="49" spans="1:27" x14ac:dyDescent="0.25">
      <c r="A49" s="3"/>
      <c r="B49" s="3"/>
      <c r="C49" s="3"/>
      <c r="M49" s="613" t="s">
        <v>2304</v>
      </c>
      <c r="N49" s="613"/>
      <c r="O49" s="613"/>
      <c r="P49" s="613"/>
      <c r="Q49" s="613"/>
      <c r="R49" s="613" t="s">
        <v>2308</v>
      </c>
      <c r="S49" s="613"/>
      <c r="T49" s="613"/>
      <c r="U49" s="613"/>
      <c r="V49" s="613"/>
      <c r="W49" s="613" t="s">
        <v>2309</v>
      </c>
      <c r="X49" s="613"/>
      <c r="Y49" s="613"/>
      <c r="Z49" s="613"/>
      <c r="AA49" s="613"/>
    </row>
    <row r="50" spans="1:27" x14ac:dyDescent="0.2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25">
      <c r="A51" t="s">
        <v>59</v>
      </c>
      <c r="B51" t="s">
        <v>3277</v>
      </c>
      <c r="C51" t="s">
        <v>3279</v>
      </c>
      <c r="D51" t="s">
        <v>2255</v>
      </c>
      <c r="E51" t="s">
        <v>64</v>
      </c>
      <c r="F51" t="s">
        <v>65</v>
      </c>
      <c r="G51" t="s">
        <v>3250</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General!G65</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General!G66</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25">
      <c r="A54" s="341" t="str">
        <f>General!G67</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General!G68</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General!G69</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General!G70</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General!G71</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General!G72</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25">
      <c r="A60" s="341" t="str">
        <f>General!G73</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General!G74</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General!G75</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25">
      <c r="A63" s="341" t="str">
        <f>General!G76</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25">
      <c r="A64" s="341" t="str">
        <f>General!G77</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General!G78</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25">
      <c r="A66" s="341" t="str">
        <f>General!G79</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General!G80</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General!G81</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25">
      <c r="A69" s="341" t="str">
        <f>General!G82</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25">
      <c r="A70" s="341" t="str">
        <f>General!G83</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25">
      <c r="L71"/>
      <c r="M71" t="s">
        <v>3247</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2295</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2201</v>
      </c>
      <c r="B9" s="42">
        <v>0</v>
      </c>
    </row>
    <row r="10" spans="1:2" x14ac:dyDescent="0.25">
      <c r="A10" t="s">
        <v>2202</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3026</v>
      </c>
    </row>
    <row r="19" spans="1:2" ht="30" x14ac:dyDescent="0.25">
      <c r="A19" s="5" t="s">
        <v>3025</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2559</v>
      </c>
      <c r="K9" s="18"/>
      <c r="L9" s="21" t="s">
        <v>2559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2560</v>
      </c>
      <c r="K10" s="22"/>
      <c r="L10" s="21" t="s">
        <v>2561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2685</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2686</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2688</v>
      </c>
      <c r="K22" s="21"/>
      <c r="L22" s="21" t="s">
        <v>2688</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2689</v>
      </c>
      <c r="K23" s="18"/>
      <c r="L23" s="18" t="s">
        <v>2690</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2687</v>
      </c>
      <c r="K24" s="22"/>
      <c r="L24" s="18" t="s">
        <v>2691</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3281</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3278</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TRANSPOSE(General!G65:G83)</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3213</v>
      </c>
      <c r="H54" s="28"/>
      <c r="I54" s="41" t="s">
        <v>3212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3214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3215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3216</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3217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TRANSPOSE(General!G65:G83)</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2313</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2305</v>
      </c>
      <c r="K88" t="s">
        <v>2307</v>
      </c>
      <c r="L88" t="s">
        <v>2306</v>
      </c>
      <c r="AC88" s="27"/>
      <c r="AD88" s="27"/>
      <c r="AE88" s="27"/>
      <c r="AF88" s="17"/>
      <c r="AG88" s="9"/>
      <c r="AH88" s="9"/>
      <c r="AI88" s="9"/>
    </row>
    <row r="89" spans="1:35" ht="12" customHeight="1" x14ac:dyDescent="0.25">
      <c r="A89" s="7"/>
      <c r="B89" s="8"/>
      <c r="C89" s="18"/>
      <c r="D89" s="18"/>
      <c r="E89" s="18"/>
      <c r="F89" s="24"/>
      <c r="I89" s="346" t="str">
        <f>General!G65</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General!G66</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General!G67</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General!G68</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General!G69</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General!G70</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General!G71</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General!G72</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General!G73</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General!G74</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General!G75</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General!G76</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General!G77</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General!G78</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General!G79</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General!G80</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General!G81</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General!G82</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General!G83</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5" t="s">
        <v>3249</v>
      </c>
      <c r="K11" s="636"/>
      <c r="L11" s="636"/>
      <c r="M11" s="636"/>
      <c r="N11" s="636"/>
      <c r="O11" s="636"/>
      <c r="P11" s="636"/>
      <c r="Q11" s="636"/>
      <c r="R11" s="636"/>
      <c r="S11" s="636"/>
      <c r="T11" s="636"/>
      <c r="U11" s="637"/>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8" t="s">
        <v>3248</v>
      </c>
      <c r="K12" s="639"/>
      <c r="L12" s="639"/>
      <c r="M12" s="639"/>
      <c r="N12" s="639"/>
      <c r="O12" s="639"/>
      <c r="P12" s="639"/>
      <c r="Q12" s="639"/>
      <c r="R12" s="639"/>
      <c r="S12" s="639"/>
      <c r="T12" s="639"/>
      <c r="U12" s="640"/>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3028</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3029</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2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25">
      <c r="A32" s="7"/>
      <c r="B32" s="8"/>
      <c r="C32" s="18"/>
      <c r="D32" s="18"/>
      <c r="E32" s="18"/>
      <c r="F32" s="24"/>
      <c r="G32" s="496"/>
      <c r="H32" s="496"/>
      <c r="I32" s="496" t="s">
        <v>3030</v>
      </c>
      <c r="J32" s="497">
        <v>1</v>
      </c>
      <c r="K32" s="496"/>
      <c r="Q32" s="30"/>
      <c r="R32" s="30"/>
      <c r="S32" s="30"/>
      <c r="T32" s="30"/>
      <c r="U32" s="30"/>
      <c r="V32" s="27"/>
      <c r="W32" s="17"/>
      <c r="X32" s="9"/>
      <c r="Y32" s="9"/>
      <c r="Z32" s="9"/>
    </row>
    <row r="33" spans="1:80" customFormat="1" ht="12" customHeight="1" outlineLevel="1" x14ac:dyDescent="0.25">
      <c r="A33" s="7"/>
      <c r="B33" s="8"/>
      <c r="C33" s="18"/>
      <c r="D33" s="18"/>
      <c r="E33" s="18"/>
      <c r="F33" s="24"/>
      <c r="G33" s="496"/>
      <c r="H33" s="496"/>
      <c r="I33" s="498" t="s">
        <v>3031</v>
      </c>
      <c r="J33" s="499">
        <v>0.05</v>
      </c>
      <c r="K33" s="496"/>
      <c r="L33" s="496"/>
      <c r="O33" s="496"/>
      <c r="P33" s="30"/>
      <c r="Q33" s="30"/>
      <c r="R33" s="30"/>
      <c r="S33" s="30"/>
      <c r="T33" s="30"/>
      <c r="U33" s="30"/>
      <c r="V33" s="27"/>
      <c r="W33" s="17"/>
      <c r="X33" s="9"/>
      <c r="Y33" s="9"/>
      <c r="Z33" s="9"/>
    </row>
    <row r="34" spans="1:80" customFormat="1" ht="12" customHeight="1" outlineLevel="1" x14ac:dyDescent="0.2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25">
      <c r="A35" s="7"/>
      <c r="B35" s="8"/>
      <c r="C35" s="18"/>
      <c r="D35" s="18"/>
      <c r="E35" s="18"/>
      <c r="F35" s="24"/>
      <c r="G35" s="500"/>
      <c r="H35" s="500"/>
      <c r="I35" s="28" t="s">
        <v>3032</v>
      </c>
      <c r="J35" s="28"/>
      <c r="K35" s="14" t="s">
        <v>3033</v>
      </c>
      <c r="L35" s="501"/>
      <c r="M35" s="502">
        <v>0.5</v>
      </c>
      <c r="O35" s="496"/>
      <c r="P35" s="30"/>
      <c r="Q35" s="30"/>
      <c r="R35" s="30"/>
      <c r="S35" s="30"/>
      <c r="T35" s="30"/>
      <c r="U35" s="30"/>
      <c r="V35" s="27"/>
      <c r="W35" s="17"/>
      <c r="X35" s="9"/>
      <c r="Y35" s="9"/>
      <c r="Z35" s="9"/>
    </row>
    <row r="36" spans="1:80" customFormat="1" ht="12" customHeight="1" outlineLevel="1" x14ac:dyDescent="0.25">
      <c r="A36" s="7"/>
      <c r="B36" s="8"/>
      <c r="C36" s="18"/>
      <c r="D36" s="18"/>
      <c r="E36" s="18"/>
      <c r="F36" s="24"/>
      <c r="G36" s="500"/>
      <c r="H36" s="500"/>
      <c r="I36" s="503" t="s">
        <v>3034</v>
      </c>
      <c r="J36" s="504"/>
      <c r="K36" s="505"/>
      <c r="L36" s="505"/>
      <c r="M36" s="506"/>
      <c r="O36" s="496"/>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3035</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3036</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10" t="s">
        <v>97</v>
      </c>
      <c r="I54" s="513" t="s">
        <v>3037</v>
      </c>
      <c r="J54" s="513" t="s">
        <v>3038</v>
      </c>
      <c r="K54" s="513" t="s">
        <v>3039</v>
      </c>
      <c r="L54" s="513" t="s">
        <v>3040</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4" t="str">
        <f>General!G65</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4" t="str">
        <f>General!G66</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4" t="str">
        <f>General!G67</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4" t="str">
        <f>General!G68</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4" t="str">
        <f>General!G69</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4" t="str">
        <f>General!G70</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4" t="str">
        <f>General!G71</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4" t="str">
        <f>General!G72</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4" t="str">
        <f>General!G73</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4" t="str">
        <f>General!G74</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4" t="str">
        <f>General!G75</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4" t="str">
        <f>General!G76</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4" t="str">
        <f>General!G77</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4" t="str">
        <f>General!G78</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4" t="str">
        <f>General!G79</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4" t="str">
        <f>General!G80</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4" t="str">
        <f>General!G81</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4" t="str">
        <f>General!G82</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4" t="str">
        <f>General!G83</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3041</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3029</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8"/>
      <c r="D85" s="13"/>
      <c r="E85" s="18"/>
      <c r="F85" s="14"/>
      <c r="G85" s="492"/>
      <c r="H85" s="14"/>
      <c r="I85" s="14" t="s">
        <v>2780</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25">
      <c r="A92" s="7"/>
      <c r="B92" s="8"/>
      <c r="C92" s="18"/>
      <c r="D92" s="18"/>
      <c r="E92" s="18"/>
      <c r="F92" s="24"/>
      <c r="G92" s="345" t="s">
        <v>3042</v>
      </c>
      <c r="I92" s="517"/>
      <c r="K92" s="518"/>
      <c r="L92" s="518"/>
      <c r="M92" s="26"/>
      <c r="O92" s="494"/>
      <c r="P92" s="26"/>
      <c r="Q92" s="26"/>
      <c r="R92" s="26"/>
      <c r="S92" s="26"/>
      <c r="T92" s="26"/>
      <c r="U92" s="26"/>
      <c r="V92" s="27"/>
      <c r="W92" s="17"/>
      <c r="X92" s="9"/>
      <c r="Y92" s="9"/>
      <c r="Z92" s="9"/>
    </row>
    <row r="93" spans="1:26" customFormat="1" outlineLevel="1" x14ac:dyDescent="0.25">
      <c r="A93" s="7"/>
      <c r="B93" s="8"/>
      <c r="C93" s="18"/>
      <c r="D93" s="18"/>
      <c r="E93" s="18"/>
      <c r="F93" s="24"/>
      <c r="G93" s="345"/>
      <c r="H93" s="519" t="s">
        <v>2305</v>
      </c>
      <c r="I93" s="520" t="s">
        <v>2307</v>
      </c>
      <c r="J93" s="521" t="s">
        <v>2306</v>
      </c>
      <c r="K93" s="522"/>
      <c r="L93" s="518"/>
      <c r="M93" s="27"/>
      <c r="O93" s="494"/>
      <c r="P93" s="26"/>
      <c r="Q93" s="26"/>
      <c r="R93" s="26"/>
      <c r="S93" s="27"/>
      <c r="T93" s="26"/>
      <c r="U93" s="26"/>
      <c r="V93" s="27"/>
      <c r="W93" s="17"/>
      <c r="X93" s="9"/>
      <c r="Y93" s="9"/>
      <c r="Z93" s="9"/>
    </row>
    <row r="94" spans="1:26" customFormat="1" outlineLevel="1" x14ac:dyDescent="0.25">
      <c r="A94" s="7"/>
      <c r="B94" s="8"/>
      <c r="C94" s="18"/>
      <c r="D94" s="18"/>
      <c r="E94" s="18"/>
      <c r="F94" s="24"/>
      <c r="H94" s="523" t="s">
        <v>2304</v>
      </c>
      <c r="I94" t="s">
        <v>2308</v>
      </c>
      <c r="J94" t="s">
        <v>2309</v>
      </c>
      <c r="K94" s="518"/>
      <c r="L94" s="518"/>
      <c r="O94" s="507"/>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General!G65</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General!G66</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General!G67</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General!G68</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General!G69</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General!G70</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General!G71</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General!G72</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General!G73</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General!G74</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General!G75</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General!G76</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General!G77</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General!G78</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General!G79</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General!G80</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General!G81</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General!G82</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General!G83</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2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25">
      <c r="A116" s="7"/>
      <c r="B116" s="8"/>
      <c r="C116" s="18"/>
      <c r="D116" s="18"/>
      <c r="E116" s="18"/>
      <c r="F116" s="24"/>
      <c r="G116" s="526" t="s">
        <v>3043</v>
      </c>
      <c r="I116" s="527"/>
      <c r="K116" s="518"/>
      <c r="L116" s="518"/>
      <c r="M116" s="26"/>
      <c r="O116" s="494"/>
      <c r="P116" s="26"/>
      <c r="Q116" s="26"/>
      <c r="R116" s="26"/>
      <c r="S116" s="26"/>
      <c r="T116" s="26"/>
      <c r="U116" s="26"/>
      <c r="V116" s="27"/>
      <c r="W116" s="17"/>
      <c r="X116" s="9"/>
      <c r="Y116" s="9"/>
      <c r="Z116" s="9"/>
    </row>
    <row r="117" spans="1:26" customFormat="1" outlineLevel="1" x14ac:dyDescent="0.25">
      <c r="A117" s="7"/>
      <c r="B117" s="8"/>
      <c r="C117" s="18"/>
      <c r="D117" s="18"/>
      <c r="E117" s="18"/>
      <c r="F117" s="24"/>
      <c r="H117" s="523" t="s">
        <v>2304</v>
      </c>
      <c r="I117" t="s">
        <v>2308</v>
      </c>
      <c r="J117" t="s">
        <v>2309</v>
      </c>
      <c r="K117" s="518"/>
      <c r="L117" s="518"/>
      <c r="O117" s="507"/>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4" t="str">
        <f>General!G65</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4" t="str">
        <f>General!G66</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4" t="str">
        <f>General!G67</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4" t="str">
        <f>General!G68</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4" t="str">
        <f>General!G69</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4" t="str">
        <f>General!G70</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4" t="str">
        <f>General!G71</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4" t="str">
        <f>General!G72</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4" t="str">
        <f>General!G73</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4" t="str">
        <f>General!G74</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4" t="str">
        <f>General!G75</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4" t="str">
        <f>General!G76</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4" t="str">
        <f>General!G77</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4" t="str">
        <f>General!G78</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4" t="str">
        <f>General!G79</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4" t="str">
        <f>General!G80</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4" t="str">
        <f>General!G81</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4" t="str">
        <f>General!G82</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4" t="str">
        <f>General!G83</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25">
      <c r="A138" s="7"/>
      <c r="B138" s="8"/>
      <c r="C138" s="18"/>
      <c r="D138" s="18"/>
      <c r="E138" s="18"/>
      <c r="F138" s="24"/>
      <c r="G138" s="526" t="s">
        <v>3044</v>
      </c>
      <c r="I138" s="527"/>
      <c r="K138" s="518"/>
      <c r="L138" s="518"/>
      <c r="M138" s="26"/>
      <c r="O138" s="494"/>
      <c r="P138" s="26"/>
      <c r="Q138" s="26"/>
      <c r="R138" s="26"/>
      <c r="S138" s="26"/>
      <c r="T138" s="26"/>
      <c r="U138" s="26"/>
      <c r="V138" s="27"/>
      <c r="W138" s="17"/>
      <c r="X138" s="9"/>
      <c r="Y138" s="9"/>
      <c r="Z138" s="9"/>
    </row>
    <row r="139" spans="1:26" customFormat="1" outlineLevel="1" x14ac:dyDescent="0.25">
      <c r="A139" s="7"/>
      <c r="B139" s="8"/>
      <c r="C139" s="18"/>
      <c r="D139" s="18"/>
      <c r="E139" s="18"/>
      <c r="F139" s="24"/>
      <c r="H139" s="523" t="s">
        <v>2304</v>
      </c>
      <c r="I139" t="s">
        <v>2308</v>
      </c>
      <c r="J139" t="s">
        <v>2309</v>
      </c>
      <c r="K139" s="518"/>
      <c r="L139" s="518"/>
      <c r="O139" s="507"/>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General!G65</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General!G66</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General!G67</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General!G68</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General!G69</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General!G70</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General!G71</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General!G72</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General!G73</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General!G74</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General!G75</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General!G76</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General!G77</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General!G78</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General!G79</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General!G80</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General!G81</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General!G82</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General!G83</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25">
      <c r="A160" s="7"/>
      <c r="B160" s="8"/>
      <c r="C160" s="18"/>
      <c r="D160" s="18"/>
      <c r="E160" s="18"/>
      <c r="F160" s="27"/>
      <c r="G160" s="483" t="s">
        <v>3045</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25">
      <c r="A161" s="7"/>
      <c r="B161" s="8"/>
      <c r="C161" s="18"/>
      <c r="D161" s="18"/>
      <c r="E161" s="18"/>
      <c r="F161" s="24"/>
      <c r="H161" s="28" t="s">
        <v>3046</v>
      </c>
      <c r="I161" s="28" t="s">
        <v>3047</v>
      </c>
      <c r="J161" s="28" t="s">
        <v>3048</v>
      </c>
      <c r="L161" s="518"/>
      <c r="O161" s="507"/>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4" t="str">
        <f>General!G65</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4" t="str">
        <f>General!G66</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4" t="str">
        <f>General!G67</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4" t="str">
        <f>General!G68</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4" t="str">
        <f>General!G69</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4" t="str">
        <f>General!G70</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4" t="str">
        <f>General!G71</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4" t="str">
        <f>General!G72</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4" t="str">
        <f>General!G73</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4" t="str">
        <f>General!G74</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4" t="str">
        <f>General!G75</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4" t="str">
        <f>General!G76</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4" t="str">
        <f>General!G77</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4" t="str">
        <f>General!G78</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4" t="str">
        <f>General!G79</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4" t="str">
        <f>General!G80</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4" t="str">
        <f>General!G81</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4" t="str">
        <f>General!G82</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4" t="str">
        <f>General!G83</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2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 customHeight="1" outlineLevel="1" x14ac:dyDescent="0.2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6" t="s">
        <v>3049</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7" t="s">
        <v>2298</v>
      </c>
      <c r="I186" s="538" t="s">
        <v>4</v>
      </c>
      <c r="J186" s="538" t="s">
        <v>3050</v>
      </c>
      <c r="K186" s="538" t="s">
        <v>531</v>
      </c>
      <c r="L186" s="539" t="s">
        <v>3051</v>
      </c>
      <c r="M186" s="540" t="s">
        <v>10</v>
      </c>
      <c r="N186" s="540" t="s">
        <v>3052</v>
      </c>
      <c r="O186" s="540" t="s">
        <v>60</v>
      </c>
      <c r="P186" s="541" t="s">
        <v>61</v>
      </c>
      <c r="Q186" s="542" t="s">
        <v>2299</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3053</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3054</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3055</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3056</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3057</v>
      </c>
      <c r="K205" s="21" t="s">
        <v>3058</v>
      </c>
      <c r="L205" s="21" t="s">
        <v>3059</v>
      </c>
      <c r="M205" s="21" t="s">
        <v>3060</v>
      </c>
      <c r="N205" s="21" t="s">
        <v>3061</v>
      </c>
      <c r="O205" s="21" t="s">
        <v>3062</v>
      </c>
      <c r="P205" s="21" t="s">
        <v>3063</v>
      </c>
      <c r="Q205" s="21" t="s">
        <v>3064</v>
      </c>
      <c r="R205" s="21" t="s">
        <v>3065</v>
      </c>
      <c r="S205" s="21" t="s">
        <v>3066</v>
      </c>
      <c r="T205" s="21" t="s">
        <v>3067</v>
      </c>
      <c r="U205" s="21" t="s">
        <v>3068</v>
      </c>
      <c r="V205" s="21" t="s">
        <v>3069</v>
      </c>
      <c r="W205" s="21" t="s">
        <v>3070</v>
      </c>
      <c r="X205" s="21" t="s">
        <v>3071</v>
      </c>
      <c r="Y205" s="21" t="s">
        <v>3072</v>
      </c>
      <c r="Z205" s="21" t="s">
        <v>3073</v>
      </c>
      <c r="AA205" s="21" t="s">
        <v>3074</v>
      </c>
      <c r="AB205" s="21" t="s">
        <v>3075</v>
      </c>
      <c r="AC205" s="21" t="s">
        <v>3076</v>
      </c>
      <c r="AD205" s="21" t="s">
        <v>3077</v>
      </c>
      <c r="AE205" s="21" t="s">
        <v>3078</v>
      </c>
      <c r="AF205" s="21" t="s">
        <v>3079</v>
      </c>
      <c r="AG205" s="21" t="s">
        <v>3080</v>
      </c>
      <c r="AH205" s="21" t="s">
        <v>3081</v>
      </c>
      <c r="AI205" s="21" t="s">
        <v>3082</v>
      </c>
      <c r="AJ205" s="21" t="s">
        <v>3083</v>
      </c>
      <c r="AK205" s="21" t="s">
        <v>3084</v>
      </c>
      <c r="AL205" s="21" t="s">
        <v>3085</v>
      </c>
      <c r="AM205" s="21" t="s">
        <v>3086</v>
      </c>
      <c r="AN205" s="21"/>
      <c r="AO205" s="17"/>
      <c r="AP205" s="9"/>
      <c r="AQ205" s="9"/>
      <c r="AR205" s="9"/>
    </row>
    <row r="206" spans="1:44" customFormat="1" ht="12" customHeight="1" outlineLevel="1" x14ac:dyDescent="0.25">
      <c r="A206" s="7"/>
      <c r="B206" s="8"/>
      <c r="C206" s="18"/>
      <c r="D206" s="18"/>
      <c r="E206" s="18"/>
      <c r="F206" s="18"/>
      <c r="G206" s="18"/>
      <c r="H206" s="18"/>
      <c r="I206" s="18"/>
      <c r="J206" s="548" t="s">
        <v>399</v>
      </c>
      <c r="K206" s="548"/>
      <c r="L206" s="548"/>
      <c r="M206" s="548"/>
      <c r="N206" s="548"/>
      <c r="O206" s="548"/>
      <c r="P206" s="548"/>
      <c r="Q206" s="548"/>
      <c r="R206" s="548" t="s">
        <v>3087</v>
      </c>
      <c r="S206" s="548"/>
      <c r="T206" s="548"/>
      <c r="U206" s="548"/>
      <c r="V206" s="548"/>
      <c r="W206" s="548"/>
      <c r="X206" s="548"/>
      <c r="Y206" s="548"/>
      <c r="Z206" s="548"/>
      <c r="AA206" s="548"/>
      <c r="AB206" s="548"/>
      <c r="AC206" s="548"/>
      <c r="AD206" s="548" t="s">
        <v>400</v>
      </c>
      <c r="AE206" s="548"/>
      <c r="AF206" s="548"/>
      <c r="AG206" s="548"/>
      <c r="AH206" s="548"/>
      <c r="AI206" s="548"/>
      <c r="AJ206" s="548" t="s">
        <v>3088</v>
      </c>
      <c r="AK206" s="548"/>
      <c r="AL206" s="549"/>
      <c r="AM206" s="549"/>
      <c r="AN206" s="21"/>
      <c r="AO206" s="17"/>
      <c r="AP206" s="9"/>
      <c r="AQ206" s="9"/>
      <c r="AR206" s="9"/>
    </row>
    <row r="207" spans="1:44" customFormat="1" ht="12" customHeight="1" outlineLevel="1" x14ac:dyDescent="0.25">
      <c r="A207" s="7"/>
      <c r="B207" s="8"/>
      <c r="C207" s="18"/>
      <c r="D207" s="18"/>
      <c r="E207" s="18"/>
      <c r="F207" s="18"/>
      <c r="G207" s="18"/>
      <c r="H207" s="18"/>
      <c r="I207" s="18"/>
      <c r="J207" s="550" t="s">
        <v>3089</v>
      </c>
      <c r="K207" s="550" t="s">
        <v>3090</v>
      </c>
      <c r="L207" s="550" t="s">
        <v>3091</v>
      </c>
      <c r="M207" s="550" t="s">
        <v>3091</v>
      </c>
      <c r="N207" s="550" t="s">
        <v>3091</v>
      </c>
      <c r="O207" s="550" t="s">
        <v>3091</v>
      </c>
      <c r="P207" s="550" t="s">
        <v>3091</v>
      </c>
      <c r="Q207" s="550" t="s">
        <v>3092</v>
      </c>
      <c r="R207" s="550" t="s">
        <v>3093</v>
      </c>
      <c r="S207" s="550" t="s">
        <v>3093</v>
      </c>
      <c r="T207" s="550" t="s">
        <v>3094</v>
      </c>
      <c r="U207" s="550" t="s">
        <v>3094</v>
      </c>
      <c r="V207" s="550" t="s">
        <v>3095</v>
      </c>
      <c r="W207" s="550" t="s">
        <v>3095</v>
      </c>
      <c r="X207" s="550" t="s">
        <v>3096</v>
      </c>
      <c r="Y207" s="550" t="s">
        <v>3096</v>
      </c>
      <c r="Z207" s="550" t="s">
        <v>3097</v>
      </c>
      <c r="AA207" s="550" t="s">
        <v>3097</v>
      </c>
      <c r="AB207" s="550" t="s">
        <v>3098</v>
      </c>
      <c r="AC207" s="550" t="s">
        <v>3098</v>
      </c>
      <c r="AD207" s="550" t="s">
        <v>3099</v>
      </c>
      <c r="AE207" s="550" t="s">
        <v>3100</v>
      </c>
      <c r="AF207" s="550" t="s">
        <v>3101</v>
      </c>
      <c r="AG207" s="550" t="s">
        <v>3102</v>
      </c>
      <c r="AH207" s="550" t="s">
        <v>3102</v>
      </c>
      <c r="AI207" s="550" t="s">
        <v>3103</v>
      </c>
      <c r="AJ207" s="549" t="s">
        <v>3104</v>
      </c>
      <c r="AK207" s="549" t="s">
        <v>3104</v>
      </c>
      <c r="AL207" s="549"/>
      <c r="AM207" s="549"/>
      <c r="AN207" s="21"/>
      <c r="AO207" s="17"/>
      <c r="AP207" s="9"/>
      <c r="AQ207" s="9"/>
      <c r="AR207" s="9"/>
    </row>
    <row r="208" spans="1:44" customFormat="1" ht="12" customHeight="1" outlineLevel="1" x14ac:dyDescent="0.25">
      <c r="A208" s="7"/>
      <c r="B208" s="8"/>
      <c r="C208" s="18"/>
      <c r="D208" s="18"/>
      <c r="E208" s="18"/>
      <c r="F208" s="18"/>
      <c r="G208" s="18"/>
      <c r="H208" s="18"/>
      <c r="I208" s="21"/>
      <c r="J208" s="550" t="s">
        <v>3105</v>
      </c>
      <c r="K208" s="550" t="s">
        <v>3105</v>
      </c>
      <c r="L208" s="550" t="s">
        <v>3105</v>
      </c>
      <c r="M208" s="550" t="s">
        <v>3105</v>
      </c>
      <c r="N208" s="550" t="s">
        <v>3105</v>
      </c>
      <c r="O208" s="550" t="s">
        <v>3105</v>
      </c>
      <c r="P208" s="550" t="s">
        <v>3105</v>
      </c>
      <c r="Q208" s="550" t="s">
        <v>3105</v>
      </c>
      <c r="R208" s="550" t="s">
        <v>3106</v>
      </c>
      <c r="S208" s="550" t="s">
        <v>3107</v>
      </c>
      <c r="T208" s="550" t="s">
        <v>3108</v>
      </c>
      <c r="U208" s="550" t="s">
        <v>3109</v>
      </c>
      <c r="V208" s="550" t="s">
        <v>3110</v>
      </c>
      <c r="W208" s="550" t="s">
        <v>3111</v>
      </c>
      <c r="X208" s="550" t="s">
        <v>3112</v>
      </c>
      <c r="Y208" s="550" t="s">
        <v>3113</v>
      </c>
      <c r="Z208" s="550" t="s">
        <v>3114</v>
      </c>
      <c r="AA208" s="550" t="s">
        <v>3105</v>
      </c>
      <c r="AB208" s="550" t="s">
        <v>3114</v>
      </c>
      <c r="AC208" s="550" t="s">
        <v>3105</v>
      </c>
      <c r="AD208" s="550" t="s">
        <v>3115</v>
      </c>
      <c r="AE208" s="550" t="s">
        <v>3115</v>
      </c>
      <c r="AF208" s="550" t="s">
        <v>3115</v>
      </c>
      <c r="AG208" s="550" t="s">
        <v>3115</v>
      </c>
      <c r="AH208" s="550" t="s">
        <v>3116</v>
      </c>
      <c r="AI208" s="550" t="s">
        <v>3115</v>
      </c>
      <c r="AJ208" s="550" t="s">
        <v>3117</v>
      </c>
      <c r="AK208" s="550" t="s">
        <v>3116</v>
      </c>
      <c r="AL208" s="549"/>
      <c r="AM208" s="549"/>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0999999999999996" customHeight="1" outlineLevel="1" x14ac:dyDescent="0.2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25">
      <c r="A211" s="7"/>
      <c r="B211" s="8"/>
      <c r="C211" s="18"/>
      <c r="D211" s="18"/>
      <c r="E211" s="18"/>
      <c r="F211" s="24"/>
      <c r="G211" s="551" t="s">
        <v>3118</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25">
      <c r="A212" s="7"/>
      <c r="B212" s="8"/>
      <c r="C212" s="18"/>
      <c r="D212" s="18"/>
      <c r="E212" s="18"/>
      <c r="F212" s="24"/>
      <c r="G212" s="25"/>
      <c r="H212" s="25" t="s">
        <v>3119</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2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25">
      <c r="A214" s="7"/>
      <c r="B214" s="8"/>
      <c r="C214" s="18"/>
      <c r="D214" s="18"/>
      <c r="E214" s="18"/>
      <c r="F214" s="24"/>
      <c r="G214" s="25"/>
      <c r="H214" s="25" t="s">
        <v>3120</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25">
      <c r="A215" s="7"/>
      <c r="B215" s="8"/>
      <c r="C215" s="18"/>
      <c r="D215" s="18"/>
      <c r="E215" s="18"/>
      <c r="F215" s="24"/>
      <c r="G215" s="25"/>
      <c r="H215" s="25" t="s">
        <v>3120</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25">
      <c r="A216" s="7"/>
      <c r="B216" s="8"/>
      <c r="C216" s="18"/>
      <c r="D216" s="18"/>
      <c r="E216" s="18"/>
      <c r="F216" s="24"/>
      <c r="G216" s="28"/>
      <c r="H216" s="25" t="s">
        <v>3121</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25">
      <c r="A217" s="7"/>
      <c r="B217" s="8"/>
      <c r="C217" s="18"/>
      <c r="D217" s="18"/>
      <c r="E217" s="18"/>
      <c r="F217" s="24"/>
      <c r="G217" s="25"/>
      <c r="H217" s="25" t="s">
        <v>3122</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2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25">
      <c r="A219" s="7"/>
      <c r="B219" s="8"/>
      <c r="C219" s="18"/>
      <c r="D219" s="18"/>
      <c r="E219" s="18"/>
      <c r="F219" s="24"/>
      <c r="G219" s="25"/>
      <c r="H219" s="25" t="s">
        <v>3123</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25">
      <c r="A221" s="7"/>
      <c r="B221" s="8"/>
      <c r="C221" s="18"/>
      <c r="D221" s="18"/>
      <c r="E221" s="18"/>
      <c r="F221" s="24"/>
      <c r="G221" s="25"/>
      <c r="H221" s="25" t="s">
        <v>3124</v>
      </c>
      <c r="I221" s="25"/>
      <c r="J221" s="558" t="s">
        <v>2305</v>
      </c>
      <c r="K221" s="558" t="s">
        <v>2305</v>
      </c>
      <c r="L221" s="558" t="s">
        <v>2305</v>
      </c>
      <c r="M221" s="558" t="s">
        <v>2305</v>
      </c>
      <c r="N221" s="558" t="s">
        <v>2305</v>
      </c>
      <c r="O221" s="558" t="s">
        <v>2305</v>
      </c>
      <c r="P221" s="558" t="s">
        <v>2305</v>
      </c>
      <c r="Q221" s="558" t="s">
        <v>2305</v>
      </c>
      <c r="R221" s="558" t="s">
        <v>3125</v>
      </c>
      <c r="S221" s="558" t="s">
        <v>2305</v>
      </c>
      <c r="T221" s="558" t="s">
        <v>3125</v>
      </c>
      <c r="U221" s="558" t="s">
        <v>2305</v>
      </c>
      <c r="V221" s="558" t="s">
        <v>3125</v>
      </c>
      <c r="W221" s="558" t="s">
        <v>2305</v>
      </c>
      <c r="X221" s="558" t="s">
        <v>3125</v>
      </c>
      <c r="Y221" s="558" t="s">
        <v>2305</v>
      </c>
      <c r="Z221" s="558" t="s">
        <v>3125</v>
      </c>
      <c r="AA221" s="558" t="s">
        <v>2305</v>
      </c>
      <c r="AB221" s="558" t="s">
        <v>3125</v>
      </c>
      <c r="AC221" s="558" t="s">
        <v>2305</v>
      </c>
      <c r="AD221" s="558" t="s">
        <v>2307</v>
      </c>
      <c r="AE221" s="558" t="s">
        <v>2307</v>
      </c>
      <c r="AF221" s="558" t="s">
        <v>2307</v>
      </c>
      <c r="AG221" s="558" t="s">
        <v>2307</v>
      </c>
      <c r="AH221" s="558" t="s">
        <v>2307</v>
      </c>
      <c r="AI221" s="558" t="s">
        <v>2307</v>
      </c>
      <c r="AJ221" s="558" t="s">
        <v>2305</v>
      </c>
      <c r="AK221" s="558" t="s">
        <v>2307</v>
      </c>
      <c r="AL221" s="494"/>
      <c r="AM221" s="494"/>
      <c r="AN221" s="27"/>
      <c r="AO221" s="17"/>
      <c r="AP221" s="9"/>
      <c r="AQ221" s="9"/>
      <c r="AR221" s="9"/>
    </row>
    <row r="222" spans="1:44" customFormat="1" outlineLevel="1" x14ac:dyDescent="0.25">
      <c r="A222" s="7"/>
      <c r="B222" s="8"/>
      <c r="C222" s="18"/>
      <c r="D222" s="18"/>
      <c r="E222" s="18"/>
      <c r="F222" s="24"/>
      <c r="G222" s="25"/>
      <c r="H222" s="25" t="s">
        <v>3126</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45" customHeight="1" outlineLevel="1" x14ac:dyDescent="0.25">
      <c r="A223" s="7"/>
      <c r="B223" s="8"/>
      <c r="C223" s="18"/>
      <c r="D223" s="18"/>
      <c r="E223" s="18"/>
      <c r="F223" s="24"/>
      <c r="G223" s="25"/>
      <c r="H223" s="561" t="s">
        <v>3127</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25">
      <c r="A224" s="7"/>
      <c r="B224" s="8"/>
      <c r="C224" s="18"/>
      <c r="D224" s="18"/>
      <c r="E224" s="18"/>
      <c r="F224" s="24"/>
      <c r="G224" s="25"/>
      <c r="H224" s="563" t="s">
        <v>3128</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25">
      <c r="A225" s="7"/>
      <c r="B225" s="8"/>
      <c r="C225" s="18"/>
      <c r="D225" s="18"/>
      <c r="E225" s="18"/>
      <c r="F225" s="24"/>
      <c r="G225" s="551" t="s">
        <v>3129</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25">
      <c r="A226" s="7"/>
      <c r="B226" s="8"/>
      <c r="C226" s="18"/>
      <c r="D226" s="18"/>
      <c r="E226" s="18"/>
      <c r="F226" s="24"/>
      <c r="G226" s="25"/>
      <c r="H226" s="25" t="s">
        <v>3130</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25">
      <c r="A227" s="7"/>
      <c r="B227" s="8"/>
      <c r="C227" s="18"/>
      <c r="D227" s="18"/>
      <c r="E227" s="18"/>
      <c r="F227" s="24"/>
      <c r="G227" s="25"/>
      <c r="H227" s="25" t="s">
        <v>3131</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25">
      <c r="A228" s="7"/>
      <c r="B228" s="8"/>
      <c r="C228" s="18"/>
      <c r="D228" s="18"/>
      <c r="E228" s="18"/>
      <c r="F228" s="24"/>
      <c r="G228" s="25"/>
      <c r="H228" s="25" t="s">
        <v>3132</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25">
      <c r="A229" s="7"/>
      <c r="B229" s="8"/>
      <c r="C229" s="18"/>
      <c r="D229" s="18"/>
      <c r="E229" s="18"/>
      <c r="F229" s="24"/>
      <c r="G229" s="25"/>
      <c r="H229" s="25" t="s">
        <v>3133</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25">
      <c r="A230" s="7"/>
      <c r="B230" s="8"/>
      <c r="C230" s="18"/>
      <c r="D230" s="18"/>
      <c r="E230" s="18"/>
      <c r="F230" s="24"/>
      <c r="G230" s="25"/>
      <c r="H230" s="25" t="s">
        <v>3134</v>
      </c>
      <c r="I230" s="634" t="s">
        <v>3135</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25">
      <c r="A231" s="7"/>
      <c r="B231" s="8"/>
      <c r="C231" s="18"/>
      <c r="D231" s="18"/>
      <c r="E231" s="18"/>
      <c r="F231" s="24"/>
      <c r="G231" s="25"/>
      <c r="H231" s="25" t="s">
        <v>3136</v>
      </c>
      <c r="I231" s="634"/>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25">
      <c r="A232" s="7"/>
      <c r="B232" s="8"/>
      <c r="C232" s="18"/>
      <c r="D232" s="18"/>
      <c r="E232" s="18"/>
      <c r="F232" s="24"/>
      <c r="G232" s="25"/>
      <c r="H232" s="25" t="s">
        <v>3137</v>
      </c>
      <c r="I232" s="634"/>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25">
      <c r="A233" s="7"/>
      <c r="B233" s="8"/>
      <c r="C233" s="18"/>
      <c r="D233" s="18"/>
      <c r="E233" s="18"/>
      <c r="F233" s="24"/>
      <c r="G233" s="25"/>
      <c r="H233" s="25" t="s">
        <v>3138</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25">
      <c r="A234" s="7"/>
      <c r="B234" s="8"/>
      <c r="C234" s="18"/>
      <c r="D234" s="18"/>
      <c r="E234" s="18"/>
      <c r="F234" s="24"/>
      <c r="G234" s="25"/>
      <c r="H234" s="25" t="s">
        <v>3139</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2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25">
      <c r="A236" s="7"/>
      <c r="B236" s="8"/>
      <c r="C236" s="18"/>
      <c r="D236" s="18"/>
      <c r="E236" s="18"/>
      <c r="F236" s="24"/>
      <c r="G236" s="25"/>
      <c r="H236" s="25" t="s">
        <v>3140</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25">
      <c r="A237" s="7"/>
      <c r="B237" s="8"/>
      <c r="C237" s="18"/>
      <c r="D237" s="18"/>
      <c r="E237" s="18"/>
      <c r="F237" s="24"/>
      <c r="G237" s="25"/>
      <c r="H237" s="25" t="s">
        <v>3141</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2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25">
      <c r="A239" s="7"/>
      <c r="B239" s="8"/>
      <c r="C239" s="18"/>
      <c r="D239" s="18"/>
      <c r="E239" s="18"/>
      <c r="F239" s="24"/>
      <c r="G239" s="25"/>
      <c r="H239" s="25" t="s">
        <v>3142</v>
      </c>
      <c r="I239" s="16" t="s">
        <v>3143</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25">
      <c r="A240" s="7"/>
      <c r="B240" s="8"/>
      <c r="C240" s="18"/>
      <c r="D240" s="18"/>
      <c r="E240" s="18"/>
      <c r="F240" s="24"/>
      <c r="G240" s="25"/>
      <c r="H240" s="25"/>
      <c r="I240" s="570" t="s">
        <v>3144</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25">
      <c r="A241" s="7"/>
      <c r="B241" s="8"/>
      <c r="C241" s="18"/>
      <c r="D241" s="18"/>
      <c r="E241" s="18"/>
      <c r="F241" s="24"/>
      <c r="G241" s="25"/>
      <c r="H241" s="25"/>
      <c r="I241" s="570" t="s">
        <v>3145</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25">
      <c r="A242" s="7"/>
      <c r="B242" s="8"/>
      <c r="C242" s="18"/>
      <c r="D242" s="18"/>
      <c r="E242" s="18"/>
      <c r="F242" s="24"/>
      <c r="G242" s="25"/>
      <c r="H242" s="25"/>
      <c r="I242" s="570" t="s">
        <v>3146</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25">
      <c r="A243" s="7"/>
      <c r="B243" s="8"/>
      <c r="C243" s="18"/>
      <c r="D243" s="18"/>
      <c r="E243" s="18"/>
      <c r="F243" s="24"/>
      <c r="G243" s="25"/>
      <c r="H243" s="25"/>
      <c r="I243" s="570" t="s">
        <v>3147</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25">
      <c r="A244" s="7"/>
      <c r="B244" s="8"/>
      <c r="C244" s="18"/>
      <c r="D244" s="18"/>
      <c r="E244" s="18"/>
      <c r="F244" s="24"/>
      <c r="G244" s="25"/>
      <c r="H244" s="25"/>
      <c r="I244" s="570" t="s">
        <v>3148</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25">
      <c r="A245" s="7"/>
      <c r="B245" s="8"/>
      <c r="C245" s="18"/>
      <c r="D245" s="18"/>
      <c r="E245" s="18"/>
      <c r="F245" s="24"/>
      <c r="G245" s="25"/>
      <c r="H245" s="25"/>
      <c r="I245" s="570" t="s">
        <v>3149</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25">
      <c r="A246" s="7"/>
      <c r="B246" s="8"/>
      <c r="C246" s="18"/>
      <c r="D246" s="18"/>
      <c r="E246" s="18"/>
      <c r="F246" s="24"/>
      <c r="G246" s="25"/>
      <c r="H246" s="25"/>
      <c r="I246" s="570" t="s">
        <v>3150</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25">
      <c r="A247" s="7"/>
      <c r="B247" s="8"/>
      <c r="C247" s="18"/>
      <c r="D247" s="18"/>
      <c r="E247" s="18"/>
      <c r="F247" s="24"/>
      <c r="G247" s="25"/>
      <c r="H247" s="25"/>
      <c r="I247" s="570" t="s">
        <v>3151</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25">
      <c r="A248" s="7"/>
      <c r="B248" s="8"/>
      <c r="C248" s="18"/>
      <c r="D248" s="18"/>
      <c r="E248" s="18"/>
      <c r="F248" s="24"/>
      <c r="G248" s="25"/>
      <c r="H248" s="25"/>
      <c r="I248" s="570" t="s">
        <v>3152</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25">
      <c r="A249" s="7"/>
      <c r="B249" s="8"/>
      <c r="C249" s="18"/>
      <c r="D249" s="18"/>
      <c r="E249" s="18"/>
      <c r="F249" s="24"/>
      <c r="G249" s="25"/>
      <c r="H249" s="25"/>
      <c r="I249" s="570" t="s">
        <v>3153</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2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25">
      <c r="A251" s="7"/>
      <c r="B251" s="8"/>
      <c r="C251" s="18"/>
      <c r="D251" s="18"/>
      <c r="E251" s="18"/>
      <c r="F251" s="24"/>
      <c r="G251" s="25"/>
      <c r="H251" s="25" t="s">
        <v>3154</v>
      </c>
      <c r="I251" s="570" t="s">
        <v>3145</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25">
      <c r="A252" s="7"/>
      <c r="B252" s="8"/>
      <c r="C252" s="18"/>
      <c r="D252" s="18"/>
      <c r="E252" s="18"/>
      <c r="F252" s="24"/>
      <c r="G252" s="25"/>
      <c r="H252" s="25"/>
      <c r="I252" s="570" t="s">
        <v>3146</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25">
      <c r="A253" s="7"/>
      <c r="B253" s="8"/>
      <c r="C253" s="18"/>
      <c r="D253" s="18"/>
      <c r="E253" s="18"/>
      <c r="F253" s="24"/>
      <c r="G253" s="25"/>
      <c r="H253" s="25"/>
      <c r="I253" s="570" t="s">
        <v>3147</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25">
      <c r="A254" s="7"/>
      <c r="B254" s="8"/>
      <c r="C254" s="18"/>
      <c r="D254" s="18"/>
      <c r="E254" s="18"/>
      <c r="F254" s="24"/>
      <c r="G254" s="25"/>
      <c r="H254" s="25"/>
      <c r="I254" s="570" t="s">
        <v>3148</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25">
      <c r="A255" s="7"/>
      <c r="B255" s="8"/>
      <c r="C255" s="18"/>
      <c r="D255" s="18"/>
      <c r="E255" s="18"/>
      <c r="F255" s="24"/>
      <c r="G255" s="25"/>
      <c r="H255" s="25"/>
      <c r="I255" s="570" t="s">
        <v>3149</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25">
      <c r="A256" s="7"/>
      <c r="B256" s="8"/>
      <c r="C256" s="18"/>
      <c r="D256" s="18"/>
      <c r="E256" s="18"/>
      <c r="F256" s="24"/>
      <c r="G256" s="25"/>
      <c r="H256" s="25"/>
      <c r="I256" s="570" t="s">
        <v>3150</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2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25">
      <c r="A258" s="7"/>
      <c r="B258" s="8"/>
      <c r="C258" s="18"/>
      <c r="D258" s="18"/>
      <c r="E258" s="18"/>
      <c r="F258" s="24"/>
      <c r="G258" s="551" t="s">
        <v>3155</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25">
      <c r="A259" s="7"/>
      <c r="B259" s="8"/>
      <c r="C259" s="18"/>
      <c r="D259" s="18"/>
      <c r="E259" s="18"/>
      <c r="F259" s="24"/>
      <c r="G259" s="25"/>
      <c r="H259" s="25" t="s">
        <v>3156</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25">
      <c r="A260" s="7"/>
      <c r="B260" s="8"/>
      <c r="C260" s="18"/>
      <c r="D260" s="18"/>
      <c r="E260" s="18"/>
      <c r="F260" s="24"/>
      <c r="G260" s="25"/>
      <c r="H260" s="25" t="s">
        <v>3131</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25">
      <c r="A261" s="7"/>
      <c r="B261" s="8"/>
      <c r="C261" s="18"/>
      <c r="D261" s="18"/>
      <c r="E261" s="18"/>
      <c r="F261" s="24"/>
      <c r="G261" s="25"/>
      <c r="H261" s="25" t="s">
        <v>3132</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25">
      <c r="A262" s="7"/>
      <c r="B262" s="8"/>
      <c r="C262" s="18"/>
      <c r="D262" s="18"/>
      <c r="E262" s="18"/>
      <c r="F262" s="24"/>
      <c r="G262" s="25"/>
      <c r="H262" s="25" t="s">
        <v>3157</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25">
      <c r="A263" s="7"/>
      <c r="B263" s="8"/>
      <c r="C263" s="18"/>
      <c r="D263" s="18"/>
      <c r="E263" s="18"/>
      <c r="F263" s="24"/>
      <c r="G263" s="25"/>
      <c r="H263" s="25" t="s">
        <v>3134</v>
      </c>
      <c r="I263" s="634" t="s">
        <v>3135</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25">
      <c r="A264" s="7"/>
      <c r="B264" s="8"/>
      <c r="C264" s="18"/>
      <c r="D264" s="18"/>
      <c r="E264" s="18"/>
      <c r="F264" s="24"/>
      <c r="G264" s="25"/>
      <c r="H264" s="25" t="s">
        <v>3136</v>
      </c>
      <c r="I264" s="634"/>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25">
      <c r="A265" s="7"/>
      <c r="B265" s="8"/>
      <c r="C265" s="18"/>
      <c r="D265" s="18"/>
      <c r="E265" s="18"/>
      <c r="F265" s="24"/>
      <c r="G265" s="25"/>
      <c r="H265" s="25" t="s">
        <v>3137</v>
      </c>
      <c r="I265" s="634"/>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2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2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25">
      <c r="A268" s="7"/>
      <c r="B268" s="8"/>
      <c r="C268" s="18"/>
      <c r="D268" s="18"/>
      <c r="E268" s="18"/>
      <c r="F268" s="24"/>
      <c r="G268" s="551" t="s">
        <v>3158</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25">
      <c r="A269" s="7"/>
      <c r="B269" s="8"/>
      <c r="C269" s="18"/>
      <c r="D269" s="18"/>
      <c r="E269" s="18"/>
      <c r="F269" s="24"/>
      <c r="H269" s="507" t="s">
        <v>3159</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25">
      <c r="A270" s="7"/>
      <c r="B270" s="8"/>
      <c r="C270" s="18"/>
      <c r="D270" s="18"/>
      <c r="E270" s="18"/>
      <c r="F270" s="24"/>
      <c r="H270" s="507"/>
      <c r="I270" s="495" t="s">
        <v>3160</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25">
      <c r="A271" s="7"/>
      <c r="B271" s="8"/>
      <c r="C271" s="18"/>
      <c r="D271" s="18"/>
      <c r="E271" s="18"/>
      <c r="F271" s="24"/>
      <c r="H271" s="507"/>
      <c r="I271" s="495" t="s">
        <v>3161</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25">
      <c r="A272" s="7"/>
      <c r="B272" s="8"/>
      <c r="C272" s="18"/>
      <c r="D272" s="18"/>
      <c r="E272" s="18"/>
      <c r="F272" s="24"/>
      <c r="H272" s="507"/>
      <c r="I272" s="495" t="s">
        <v>3162</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2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25">
      <c r="A274" s="7"/>
      <c r="B274" s="8"/>
      <c r="C274" s="18"/>
      <c r="D274" s="18"/>
      <c r="E274" s="18"/>
      <c r="F274" s="24"/>
      <c r="H274" s="507" t="s">
        <v>3163</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25">
      <c r="A275" s="7"/>
      <c r="B275" s="8"/>
      <c r="C275" s="18"/>
      <c r="D275" s="18"/>
      <c r="E275" s="18"/>
      <c r="F275" s="24"/>
      <c r="I275" s="495" t="s">
        <v>2784</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25">
      <c r="A276" s="7"/>
      <c r="B276" s="8"/>
      <c r="C276" s="18"/>
      <c r="D276" s="18"/>
      <c r="E276" s="18"/>
      <c r="F276" s="24"/>
      <c r="G276" s="507"/>
      <c r="H276" s="507"/>
      <c r="I276" s="495" t="s">
        <v>2785</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25">
      <c r="A277" s="7"/>
      <c r="B277" s="8"/>
      <c r="C277" s="18"/>
      <c r="D277" s="18"/>
      <c r="E277" s="18"/>
      <c r="F277" s="24"/>
      <c r="H277" s="507"/>
      <c r="I277" s="495" t="s">
        <v>2786</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25">
      <c r="A278" s="7"/>
      <c r="B278" s="8"/>
      <c r="C278" s="18"/>
      <c r="D278" s="18"/>
      <c r="E278" s="18"/>
      <c r="F278" s="24"/>
      <c r="G278" s="507"/>
      <c r="H278" s="507"/>
      <c r="I278" s="495" t="s">
        <v>2787</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2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25">
      <c r="A280" s="7"/>
      <c r="B280" s="8"/>
      <c r="C280" s="18"/>
      <c r="D280" s="18"/>
      <c r="E280" s="18"/>
      <c r="F280" s="24"/>
      <c r="G280" s="574" t="s">
        <v>3164</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25">
      <c r="A281" s="7"/>
      <c r="B281" s="8"/>
      <c r="C281" s="18"/>
      <c r="D281" s="18"/>
      <c r="E281" s="18"/>
      <c r="F281" s="24"/>
      <c r="G281" s="507"/>
      <c r="H281" s="507" t="s">
        <v>3165</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2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25">
      <c r="A283" s="7"/>
      <c r="B283" s="8"/>
      <c r="C283" s="18"/>
      <c r="D283" s="18"/>
      <c r="E283" s="18"/>
      <c r="F283" s="24"/>
      <c r="G283" s="507"/>
      <c r="H283" s="507" t="s">
        <v>3166</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2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2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2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25">
      <c r="A287" s="7"/>
      <c r="B287" s="8"/>
      <c r="C287" s="18"/>
      <c r="D287" s="18"/>
      <c r="E287" s="18"/>
      <c r="F287" s="24"/>
      <c r="G287" s="574" t="s">
        <v>3167</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25">
      <c r="A288" s="7"/>
      <c r="B288" s="8"/>
      <c r="C288" s="18"/>
      <c r="D288" s="18"/>
      <c r="E288" s="18"/>
      <c r="F288" s="24"/>
      <c r="G288" s="507"/>
      <c r="H288" s="507" t="s">
        <v>3168</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25">
      <c r="A289" s="7"/>
      <c r="B289" s="8"/>
      <c r="C289" s="18"/>
      <c r="D289" s="18"/>
      <c r="E289" s="18"/>
      <c r="F289" s="24"/>
      <c r="G289" s="507"/>
      <c r="H289" s="507" t="s">
        <v>3169</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25">
      <c r="A290" s="7"/>
      <c r="B290" s="8"/>
      <c r="C290" s="18"/>
      <c r="D290" s="18"/>
      <c r="E290" s="18"/>
      <c r="F290" s="24"/>
      <c r="G290" s="507"/>
      <c r="H290" s="507" t="s">
        <v>3170</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25">
      <c r="A291" s="7"/>
      <c r="B291" s="8"/>
      <c r="C291" s="18"/>
      <c r="D291" s="18"/>
      <c r="E291" s="18"/>
      <c r="F291" s="24"/>
      <c r="G291" s="507"/>
      <c r="H291" s="507" t="s">
        <v>3171</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25">
      <c r="A292" s="7"/>
      <c r="B292" s="8"/>
      <c r="C292" s="18"/>
      <c r="D292" s="18"/>
      <c r="E292" s="18"/>
      <c r="F292" s="24"/>
      <c r="G292" s="507"/>
      <c r="H292" s="507" t="s">
        <v>3172</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2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2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25">
      <c r="A295" s="7"/>
      <c r="B295" s="8"/>
      <c r="C295" s="18"/>
      <c r="D295" s="18"/>
      <c r="E295" s="18"/>
      <c r="F295" s="24"/>
      <c r="G295" s="551" t="s">
        <v>3173</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25">
      <c r="A296" s="7"/>
      <c r="B296" s="8"/>
      <c r="C296" s="18"/>
      <c r="D296" s="18"/>
      <c r="E296" s="18"/>
      <c r="F296" s="24"/>
      <c r="G296" s="25"/>
      <c r="H296" s="28" t="s">
        <v>2352</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3174</v>
      </c>
      <c r="AR296" s="9"/>
    </row>
    <row r="297" spans="1:44" customFormat="1" ht="12" customHeight="1" outlineLevel="1" x14ac:dyDescent="0.25">
      <c r="A297" s="7"/>
      <c r="B297" s="8"/>
      <c r="C297" s="18"/>
      <c r="D297" s="18"/>
      <c r="E297" s="18"/>
      <c r="F297" s="24"/>
      <c r="G297" s="25"/>
      <c r="H297" s="41" t="s">
        <v>3175</v>
      </c>
      <c r="I297" s="580" t="s">
        <v>3176</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25">
      <c r="A298" s="7"/>
      <c r="B298" s="8"/>
      <c r="C298" s="18"/>
      <c r="D298" s="18"/>
      <c r="E298" s="18"/>
      <c r="F298" s="24"/>
      <c r="G298" s="25"/>
      <c r="H298" s="28"/>
      <c r="I298" s="580" t="s">
        <v>3177</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25">
      <c r="A299" s="7"/>
      <c r="B299" s="8"/>
      <c r="C299" s="18"/>
      <c r="D299" s="18"/>
      <c r="E299" s="18"/>
      <c r="F299" s="24"/>
      <c r="G299" s="25"/>
      <c r="H299" s="28"/>
      <c r="I299" s="580" t="s">
        <v>3178</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25">
      <c r="A300" s="7"/>
      <c r="B300" s="8"/>
      <c r="C300" s="18"/>
      <c r="D300" s="18"/>
      <c r="E300" s="18"/>
      <c r="F300" s="24"/>
      <c r="G300" s="25"/>
      <c r="H300" s="28"/>
      <c r="I300" s="580" t="s">
        <v>3179</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25">
      <c r="A301" s="7"/>
      <c r="B301" s="8"/>
      <c r="C301" s="18"/>
      <c r="D301" s="18"/>
      <c r="E301" s="18"/>
      <c r="F301" s="24"/>
      <c r="G301" s="25"/>
      <c r="H301" s="28"/>
      <c r="I301" s="580" t="s">
        <v>3180</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25">
      <c r="A302" s="7"/>
      <c r="B302" s="8"/>
      <c r="C302" s="18"/>
      <c r="D302" s="18"/>
      <c r="E302" s="18"/>
      <c r="F302" s="24"/>
      <c r="G302" s="25"/>
      <c r="H302" s="28"/>
      <c r="I302" s="580" t="s">
        <v>3181</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25">
      <c r="A303" s="7"/>
      <c r="B303" s="8"/>
      <c r="C303" s="18"/>
      <c r="D303" s="18"/>
      <c r="E303" s="18"/>
      <c r="F303" s="24"/>
      <c r="G303" s="25"/>
      <c r="H303" s="28"/>
      <c r="I303" s="580" t="s">
        <v>3182</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25">
      <c r="A304" s="7"/>
      <c r="B304" s="8"/>
      <c r="C304" s="18"/>
      <c r="D304" s="18"/>
      <c r="E304" s="18"/>
      <c r="F304" s="24"/>
      <c r="G304" s="25"/>
      <c r="H304" s="28"/>
      <c r="I304" s="580" t="s">
        <v>3183</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25">
      <c r="A305" s="7"/>
      <c r="B305" s="8"/>
      <c r="C305" s="18"/>
      <c r="D305" s="18"/>
      <c r="E305" s="18"/>
      <c r="F305" s="24"/>
      <c r="G305" s="25"/>
      <c r="H305" s="28"/>
      <c r="I305" s="580" t="s">
        <v>3184</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25">
      <c r="A306" s="7"/>
      <c r="B306" s="8"/>
      <c r="C306" s="18"/>
      <c r="D306" s="18"/>
      <c r="E306" s="18"/>
      <c r="F306" s="24"/>
      <c r="G306" s="25"/>
      <c r="H306" s="28"/>
      <c r="I306" s="580" t="s">
        <v>3185</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25">
      <c r="A307" s="7"/>
      <c r="B307" s="8"/>
      <c r="C307" s="18"/>
      <c r="D307" s="18"/>
      <c r="E307" s="18"/>
      <c r="F307" s="24"/>
      <c r="G307" s="25"/>
      <c r="H307" s="28"/>
      <c r="I307" s="580" t="s">
        <v>3186</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25">
      <c r="A308" s="7"/>
      <c r="B308" s="8"/>
      <c r="C308" s="18"/>
      <c r="D308" s="18"/>
      <c r="E308" s="18"/>
      <c r="F308" s="24"/>
      <c r="G308" s="25"/>
      <c r="H308" s="28"/>
      <c r="I308" s="580" t="s">
        <v>3187</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25">
      <c r="A309" s="7"/>
      <c r="B309" s="8"/>
      <c r="C309" s="18"/>
      <c r="D309" s="18"/>
      <c r="E309" s="18"/>
      <c r="F309" s="24"/>
      <c r="G309" s="25"/>
      <c r="H309" s="28"/>
      <c r="I309" s="580" t="s">
        <v>3188</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25">
      <c r="A310" s="7"/>
      <c r="B310" s="8"/>
      <c r="C310" s="18"/>
      <c r="D310" s="18"/>
      <c r="E310" s="18"/>
      <c r="F310" s="24"/>
      <c r="G310" s="25"/>
      <c r="H310" s="28"/>
      <c r="I310" s="580" t="s">
        <v>3189</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25">
      <c r="A311" s="7"/>
      <c r="B311" s="8"/>
      <c r="C311" s="18"/>
      <c r="D311" s="18"/>
      <c r="E311" s="18"/>
      <c r="F311" s="24"/>
      <c r="G311" s="25"/>
      <c r="H311" s="28"/>
      <c r="I311" s="580" t="s">
        <v>3190</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25">
      <c r="A312" s="7"/>
      <c r="B312" s="8"/>
      <c r="C312" s="18"/>
      <c r="D312" s="18"/>
      <c r="E312" s="18"/>
      <c r="F312" s="24"/>
      <c r="G312" s="25"/>
      <c r="H312" s="28"/>
      <c r="I312" s="580" t="s">
        <v>3191</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25">
      <c r="A313" s="7"/>
      <c r="B313" s="8"/>
      <c r="C313" s="18"/>
      <c r="D313" s="18"/>
      <c r="E313" s="18"/>
      <c r="F313" s="24"/>
      <c r="G313" s="25"/>
      <c r="H313" s="28"/>
      <c r="I313" s="580" t="s">
        <v>3192</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25">
      <c r="A314" s="7"/>
      <c r="B314" s="8"/>
      <c r="C314" s="18"/>
      <c r="D314" s="18"/>
      <c r="E314" s="18"/>
      <c r="F314" s="24"/>
      <c r="G314" s="25"/>
      <c r="H314" s="28"/>
      <c r="I314" s="580" t="s">
        <v>3193</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25">
      <c r="A315" s="7"/>
      <c r="B315" s="8"/>
      <c r="C315" s="18"/>
      <c r="D315" s="18"/>
      <c r="E315" s="18"/>
      <c r="F315" s="24"/>
      <c r="G315" s="25"/>
      <c r="H315" s="28"/>
      <c r="I315" s="580" t="s">
        <v>3194</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25">
      <c r="A316" s="7"/>
      <c r="B316" s="8"/>
      <c r="C316" s="18"/>
      <c r="D316" s="18"/>
      <c r="E316" s="18"/>
      <c r="F316" s="24"/>
      <c r="G316" s="25"/>
      <c r="H316" s="28"/>
      <c r="I316" s="580" t="s">
        <v>3195</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2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2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2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25">
      <c r="A320" s="7"/>
      <c r="B320" s="8"/>
      <c r="C320" s="18"/>
      <c r="D320" s="18"/>
      <c r="E320" s="18"/>
      <c r="F320" s="24"/>
      <c r="G320" s="551" t="s">
        <v>3196</v>
      </c>
      <c r="H320" s="28"/>
      <c r="I320" s="583" t="s">
        <v>3197</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25">
      <c r="A321" s="7"/>
      <c r="B321" s="8"/>
      <c r="C321" s="18"/>
      <c r="D321" s="18"/>
      <c r="E321" s="18"/>
      <c r="F321" s="24"/>
      <c r="G321" s="551"/>
      <c r="H321" s="28"/>
      <c r="I321" s="585" t="s">
        <v>2298</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2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25">
      <c r="A323" s="7"/>
      <c r="B323" s="8"/>
      <c r="C323" s="18"/>
      <c r="D323" s="18"/>
      <c r="E323" s="18"/>
      <c r="F323" s="24"/>
      <c r="G323" s="551"/>
      <c r="H323" s="28"/>
      <c r="I323" s="585" t="s">
        <v>3050</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2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25">
      <c r="A325" s="7"/>
      <c r="B325" s="8"/>
      <c r="C325" s="18"/>
      <c r="D325" s="18"/>
      <c r="E325" s="18"/>
      <c r="F325" s="24"/>
      <c r="G325" s="588" t="s">
        <v>3198</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25">
      <c r="A326" s="7"/>
      <c r="B326" s="8"/>
      <c r="C326" s="18">
        <v>0</v>
      </c>
      <c r="D326" s="18"/>
      <c r="E326" s="18"/>
      <c r="F326" s="24"/>
      <c r="G326" s="551"/>
      <c r="H326" s="25" t="s">
        <v>2305</v>
      </c>
      <c r="I326" s="514" t="str">
        <f>General!G65</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25">
      <c r="A327" s="7"/>
      <c r="B327" s="8"/>
      <c r="C327" s="18"/>
      <c r="D327" s="18"/>
      <c r="E327" s="18"/>
      <c r="F327" s="24"/>
      <c r="G327" s="551"/>
      <c r="H327" s="25"/>
      <c r="I327" s="514" t="str">
        <f>General!G66</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51"/>
      <c r="H328" s="25"/>
      <c r="I328" s="514" t="str">
        <f>General!G67</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25">
      <c r="A329" s="7"/>
      <c r="B329" s="8"/>
      <c r="C329" s="18"/>
      <c r="D329" s="18"/>
      <c r="E329" s="18"/>
      <c r="F329" s="24"/>
      <c r="G329" s="551"/>
      <c r="H329" s="25"/>
      <c r="I329" s="514" t="str">
        <f>General!G68</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25">
      <c r="A330" s="7"/>
      <c r="B330" s="8"/>
      <c r="C330" s="18"/>
      <c r="D330" s="18"/>
      <c r="E330" s="18"/>
      <c r="F330" s="24"/>
      <c r="G330" s="551"/>
      <c r="H330" s="25"/>
      <c r="I330" s="514" t="str">
        <f>General!G69</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25">
      <c r="A331" s="7"/>
      <c r="B331" s="8"/>
      <c r="C331" s="18"/>
      <c r="D331" s="18"/>
      <c r="E331" s="18"/>
      <c r="F331" s="24"/>
      <c r="G331" s="551"/>
      <c r="H331" s="25"/>
      <c r="I331" s="514" t="str">
        <f>General!G70</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25">
      <c r="A332" s="7"/>
      <c r="B332" s="8"/>
      <c r="C332" s="18"/>
      <c r="D332" s="18"/>
      <c r="E332" s="18"/>
      <c r="F332" s="24"/>
      <c r="G332" s="551"/>
      <c r="H332" s="25"/>
      <c r="I332" s="514" t="str">
        <f>General!G71</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25">
      <c r="A333" s="7"/>
      <c r="B333" s="8"/>
      <c r="C333" s="18"/>
      <c r="D333" s="18"/>
      <c r="E333" s="18"/>
      <c r="F333" s="24"/>
      <c r="G333" s="551"/>
      <c r="H333" s="25"/>
      <c r="I333" s="514" t="str">
        <f>General!G72</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25">
      <c r="A334" s="7"/>
      <c r="B334" s="8"/>
      <c r="C334" s="18"/>
      <c r="D334" s="18"/>
      <c r="E334" s="18"/>
      <c r="F334" s="24"/>
      <c r="G334" s="551"/>
      <c r="H334" s="25"/>
      <c r="I334" s="514" t="str">
        <f>General!G73</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25">
      <c r="A335" s="7"/>
      <c r="B335" s="8"/>
      <c r="C335" s="18"/>
      <c r="D335" s="18"/>
      <c r="E335" s="18"/>
      <c r="F335" s="24"/>
      <c r="G335" s="551"/>
      <c r="H335" s="25"/>
      <c r="I335" s="514" t="str">
        <f>General!G74</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25">
      <c r="A336" s="7"/>
      <c r="B336" s="8"/>
      <c r="C336" s="18"/>
      <c r="D336" s="18"/>
      <c r="E336" s="18"/>
      <c r="F336" s="24"/>
      <c r="G336" s="551"/>
      <c r="H336" s="25"/>
      <c r="I336" s="514" t="str">
        <f>General!G75</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25">
      <c r="A337" s="7"/>
      <c r="B337" s="8"/>
      <c r="C337" s="18"/>
      <c r="D337" s="18"/>
      <c r="E337" s="18"/>
      <c r="F337" s="24"/>
      <c r="G337" s="551"/>
      <c r="H337" s="25"/>
      <c r="I337" s="514" t="str">
        <f>General!G76</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25">
      <c r="A338" s="7"/>
      <c r="B338" s="8"/>
      <c r="C338" s="18"/>
      <c r="D338" s="18"/>
      <c r="E338" s="18"/>
      <c r="F338" s="24"/>
      <c r="G338" s="551"/>
      <c r="H338" s="25"/>
      <c r="I338" s="514" t="str">
        <f>General!G77</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25">
      <c r="A339" s="7"/>
      <c r="B339" s="8"/>
      <c r="C339" s="18"/>
      <c r="D339" s="18"/>
      <c r="E339" s="18"/>
      <c r="F339" s="24"/>
      <c r="G339" s="551"/>
      <c r="H339" s="25"/>
      <c r="I339" s="514" t="str">
        <f>General!G78</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25">
      <c r="A340" s="7"/>
      <c r="B340" s="8"/>
      <c r="C340" s="18"/>
      <c r="D340" s="18"/>
      <c r="E340" s="18"/>
      <c r="F340" s="24"/>
      <c r="G340" s="551"/>
      <c r="H340" s="25"/>
      <c r="I340" s="514" t="str">
        <f>General!G79</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25">
      <c r="A341" s="7"/>
      <c r="B341" s="8"/>
      <c r="C341" s="18"/>
      <c r="D341" s="18"/>
      <c r="E341" s="18"/>
      <c r="F341" s="24"/>
      <c r="G341" s="551"/>
      <c r="H341" s="25"/>
      <c r="I341" s="514" t="str">
        <f>General!G80</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25">
      <c r="A342" s="7"/>
      <c r="B342" s="8"/>
      <c r="C342" s="18"/>
      <c r="D342" s="18"/>
      <c r="E342" s="18"/>
      <c r="F342" s="24"/>
      <c r="G342" s="551"/>
      <c r="H342" s="25"/>
      <c r="I342" s="514" t="str">
        <f>General!G81</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25">
      <c r="A343" s="7"/>
      <c r="B343" s="8"/>
      <c r="C343" s="18"/>
      <c r="D343" s="18"/>
      <c r="E343" s="18"/>
      <c r="F343" s="24"/>
      <c r="G343" s="551"/>
      <c r="H343" s="24"/>
      <c r="I343" s="514" t="str">
        <f>General!G82</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25">
      <c r="A344" s="7"/>
      <c r="B344" s="8"/>
      <c r="C344" s="18"/>
      <c r="D344" s="18"/>
      <c r="E344" s="18"/>
      <c r="F344" s="24"/>
      <c r="G344" s="551"/>
      <c r="H344" s="24"/>
      <c r="I344" s="514" t="str">
        <f>General!G83</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25">
      <c r="A345" s="7"/>
      <c r="B345" s="8"/>
      <c r="C345" s="18">
        <v>1</v>
      </c>
      <c r="D345" s="18"/>
      <c r="E345" s="18"/>
      <c r="F345" s="24"/>
      <c r="G345" s="551"/>
      <c r="H345" s="25" t="s">
        <v>2307</v>
      </c>
      <c r="I345" s="514" t="str">
        <f>General!G65</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25">
      <c r="A346" s="7"/>
      <c r="B346" s="8"/>
      <c r="C346" s="18"/>
      <c r="D346" s="18"/>
      <c r="E346" s="18"/>
      <c r="F346" s="24"/>
      <c r="G346" s="551"/>
      <c r="H346" s="25"/>
      <c r="I346" s="514" t="str">
        <f>General!G66</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25">
      <c r="A347" s="7"/>
      <c r="B347" s="8"/>
      <c r="C347" s="18"/>
      <c r="D347" s="18"/>
      <c r="E347" s="18"/>
      <c r="F347" s="24"/>
      <c r="G347" s="551"/>
      <c r="H347" s="25"/>
      <c r="I347" s="514" t="str">
        <f>General!G67</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25">
      <c r="A348" s="7"/>
      <c r="B348" s="8"/>
      <c r="C348" s="18"/>
      <c r="D348" s="18"/>
      <c r="E348" s="18"/>
      <c r="F348" s="24"/>
      <c r="G348" s="551"/>
      <c r="H348" s="25"/>
      <c r="I348" s="514" t="str">
        <f>General!G68</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25">
      <c r="A349" s="7"/>
      <c r="B349" s="8"/>
      <c r="C349" s="18"/>
      <c r="D349" s="18"/>
      <c r="E349" s="18"/>
      <c r="F349" s="24"/>
      <c r="G349" s="551"/>
      <c r="H349" s="25"/>
      <c r="I349" s="514" t="str">
        <f>General!G69</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25">
      <c r="A350" s="7"/>
      <c r="B350" s="8"/>
      <c r="C350" s="18"/>
      <c r="D350" s="18"/>
      <c r="E350" s="18"/>
      <c r="F350" s="24"/>
      <c r="G350" s="551"/>
      <c r="H350" s="25"/>
      <c r="I350" s="514" t="str">
        <f>General!G70</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25">
      <c r="A351" s="7"/>
      <c r="B351" s="8"/>
      <c r="C351" s="18"/>
      <c r="D351" s="18"/>
      <c r="E351" s="18"/>
      <c r="F351" s="24"/>
      <c r="G351" s="551"/>
      <c r="H351" s="25"/>
      <c r="I351" s="514" t="str">
        <f>General!G71</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25">
      <c r="A352" s="7"/>
      <c r="B352" s="8"/>
      <c r="C352" s="18"/>
      <c r="D352" s="18"/>
      <c r="E352" s="18"/>
      <c r="F352" s="24"/>
      <c r="G352" s="551"/>
      <c r="H352" s="25"/>
      <c r="I352" s="514" t="str">
        <f>General!G72</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25">
      <c r="A353" s="7"/>
      <c r="B353" s="8"/>
      <c r="C353" s="18"/>
      <c r="D353" s="18"/>
      <c r="E353" s="18"/>
      <c r="F353" s="24"/>
      <c r="G353" s="551"/>
      <c r="H353" s="25"/>
      <c r="I353" s="514" t="str">
        <f>General!G73</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25">
      <c r="A354" s="7"/>
      <c r="B354" s="8"/>
      <c r="C354" s="18"/>
      <c r="D354" s="18"/>
      <c r="E354" s="18"/>
      <c r="F354" s="24"/>
      <c r="G354" s="551"/>
      <c r="H354" s="589"/>
      <c r="I354" s="514" t="str">
        <f>General!G74</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25">
      <c r="A355" s="7"/>
      <c r="B355" s="8"/>
      <c r="C355" s="18"/>
      <c r="D355" s="18"/>
      <c r="E355" s="18"/>
      <c r="F355" s="24"/>
      <c r="G355" s="551"/>
      <c r="H355" s="25"/>
      <c r="I355" s="514" t="str">
        <f>General!G75</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25">
      <c r="A356" s="7"/>
      <c r="B356" s="8"/>
      <c r="C356" s="18"/>
      <c r="D356" s="18"/>
      <c r="E356" s="18"/>
      <c r="F356" s="24"/>
      <c r="G356" s="551"/>
      <c r="H356" s="25"/>
      <c r="I356" s="514" t="str">
        <f>General!G76</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25">
      <c r="A357" s="7"/>
      <c r="B357" s="8"/>
      <c r="C357" s="18"/>
      <c r="D357" s="18"/>
      <c r="E357" s="18"/>
      <c r="F357" s="24"/>
      <c r="G357" s="551"/>
      <c r="H357" s="25"/>
      <c r="I357" s="514" t="str">
        <f>General!G77</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25">
      <c r="A358" s="7"/>
      <c r="B358" s="8"/>
      <c r="C358" s="18"/>
      <c r="D358" s="18"/>
      <c r="E358" s="18"/>
      <c r="F358" s="24"/>
      <c r="G358" s="551"/>
      <c r="H358" s="25"/>
      <c r="I358" s="514" t="str">
        <f>General!G78</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25">
      <c r="A359" s="7"/>
      <c r="B359" s="8"/>
      <c r="C359" s="18"/>
      <c r="D359" s="18"/>
      <c r="E359" s="18"/>
      <c r="F359" s="24"/>
      <c r="G359" s="551"/>
      <c r="H359" s="25"/>
      <c r="I359" s="514" t="str">
        <f>General!G79</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25">
      <c r="A360" s="7"/>
      <c r="B360" s="8"/>
      <c r="C360" s="18"/>
      <c r="D360" s="18"/>
      <c r="E360" s="18"/>
      <c r="F360" s="24"/>
      <c r="G360" s="551"/>
      <c r="H360" s="25"/>
      <c r="I360" s="514" t="str">
        <f>General!G80</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25">
      <c r="A361" s="7"/>
      <c r="B361" s="8"/>
      <c r="C361" s="18"/>
      <c r="D361" s="18"/>
      <c r="E361" s="18"/>
      <c r="F361" s="24"/>
      <c r="G361" s="551"/>
      <c r="H361" s="25"/>
      <c r="I361" s="514" t="str">
        <f>General!G81</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25">
      <c r="A362" s="7"/>
      <c r="B362" s="8"/>
      <c r="C362" s="18"/>
      <c r="D362" s="18"/>
      <c r="E362" s="18"/>
      <c r="F362" s="24"/>
      <c r="G362" s="551"/>
      <c r="H362" s="24"/>
      <c r="I362" s="514" t="str">
        <f>General!G82</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25">
      <c r="A363" s="7"/>
      <c r="B363" s="8"/>
      <c r="C363" s="18"/>
      <c r="D363" s="18"/>
      <c r="E363" s="18"/>
      <c r="F363" s="24"/>
      <c r="G363" s="551"/>
      <c r="H363" s="24"/>
      <c r="I363" s="514" t="str">
        <f>General!G83</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25">
      <c r="A364" s="7"/>
      <c r="B364" s="8"/>
      <c r="C364" s="18">
        <v>2</v>
      </c>
      <c r="D364" s="18"/>
      <c r="E364" s="18"/>
      <c r="F364" s="24"/>
      <c r="G364" s="551"/>
      <c r="H364" s="25" t="s">
        <v>2306</v>
      </c>
      <c r="I364" s="514" t="str">
        <f>General!G65</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25">
      <c r="A365" s="7"/>
      <c r="B365" s="8"/>
      <c r="C365" s="18"/>
      <c r="D365" s="18"/>
      <c r="E365" s="18"/>
      <c r="F365" s="24"/>
      <c r="G365" s="551"/>
      <c r="H365" s="25"/>
      <c r="I365" s="514" t="str">
        <f>General!G66</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25">
      <c r="A366" s="7"/>
      <c r="B366" s="8"/>
      <c r="C366" s="18"/>
      <c r="D366" s="18"/>
      <c r="E366" s="18"/>
      <c r="F366" s="24"/>
      <c r="G366" s="551"/>
      <c r="H366" s="25"/>
      <c r="I366" s="514" t="str">
        <f>General!G67</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25">
      <c r="A367" s="7"/>
      <c r="B367" s="8"/>
      <c r="C367" s="18"/>
      <c r="D367" s="18"/>
      <c r="E367" s="18"/>
      <c r="F367" s="24"/>
      <c r="G367" s="551"/>
      <c r="H367" s="25"/>
      <c r="I367" s="514" t="str">
        <f>General!G68</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25">
      <c r="A368" s="7"/>
      <c r="B368" s="8"/>
      <c r="C368" s="18"/>
      <c r="D368" s="18"/>
      <c r="E368" s="18"/>
      <c r="F368" s="24"/>
      <c r="G368" s="551"/>
      <c r="H368" s="25"/>
      <c r="I368" s="514" t="str">
        <f>General!G69</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25">
      <c r="A369" s="7"/>
      <c r="B369" s="8"/>
      <c r="C369" s="18"/>
      <c r="D369" s="18"/>
      <c r="E369" s="18"/>
      <c r="F369" s="24"/>
      <c r="G369" s="551"/>
      <c r="H369" s="25"/>
      <c r="I369" s="514" t="str">
        <f>General!G70</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25">
      <c r="A370" s="7"/>
      <c r="B370" s="8"/>
      <c r="C370" s="18"/>
      <c r="D370" s="18"/>
      <c r="E370" s="18"/>
      <c r="F370" s="24"/>
      <c r="G370" s="551"/>
      <c r="H370" s="25"/>
      <c r="I370" s="514" t="str">
        <f>General!G71</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25">
      <c r="A371" s="7"/>
      <c r="B371" s="8"/>
      <c r="C371" s="18"/>
      <c r="D371" s="18"/>
      <c r="E371" s="18"/>
      <c r="F371" s="24"/>
      <c r="G371" s="551"/>
      <c r="H371" s="25"/>
      <c r="I371" s="514" t="str">
        <f>General!G72</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25">
      <c r="A372" s="7"/>
      <c r="B372" s="8"/>
      <c r="C372" s="18"/>
      <c r="D372" s="18"/>
      <c r="E372" s="18"/>
      <c r="F372" s="24"/>
      <c r="G372" s="551"/>
      <c r="H372" s="25"/>
      <c r="I372" s="514" t="str">
        <f>General!G73</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25">
      <c r="A373" s="7"/>
      <c r="B373" s="8"/>
      <c r="C373" s="18"/>
      <c r="D373" s="18"/>
      <c r="E373" s="18"/>
      <c r="F373" s="24"/>
      <c r="G373" s="551"/>
      <c r="H373" s="25"/>
      <c r="I373" s="514" t="str">
        <f>General!G74</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25">
      <c r="A374" s="7"/>
      <c r="B374" s="8"/>
      <c r="C374" s="18"/>
      <c r="D374" s="18"/>
      <c r="E374" s="18"/>
      <c r="F374" s="24"/>
      <c r="G374" s="551"/>
      <c r="H374" s="25"/>
      <c r="I374" s="514" t="str">
        <f>General!G75</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25">
      <c r="A375" s="7"/>
      <c r="B375" s="8"/>
      <c r="C375" s="18"/>
      <c r="D375" s="18"/>
      <c r="E375" s="18"/>
      <c r="F375" s="24"/>
      <c r="G375" s="551"/>
      <c r="H375" s="25"/>
      <c r="I375" s="514" t="str">
        <f>General!G76</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25">
      <c r="A376" s="7"/>
      <c r="B376" s="8"/>
      <c r="C376" s="18"/>
      <c r="D376" s="18"/>
      <c r="E376" s="18"/>
      <c r="F376" s="24"/>
      <c r="G376" s="551"/>
      <c r="H376" s="25"/>
      <c r="I376" s="514" t="str">
        <f>General!G77</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25">
      <c r="A377" s="7"/>
      <c r="B377" s="8"/>
      <c r="C377" s="18"/>
      <c r="D377" s="18"/>
      <c r="E377" s="18"/>
      <c r="F377" s="24"/>
      <c r="G377" s="551"/>
      <c r="H377" s="25"/>
      <c r="I377" s="514" t="str">
        <f>General!G78</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25">
      <c r="A378" s="7"/>
      <c r="B378" s="8"/>
      <c r="C378" s="18"/>
      <c r="D378" s="18"/>
      <c r="E378" s="18"/>
      <c r="F378" s="24"/>
      <c r="G378" s="551"/>
      <c r="H378" s="25"/>
      <c r="I378" s="514" t="str">
        <f>General!G79</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25">
      <c r="A379" s="7"/>
      <c r="B379" s="8"/>
      <c r="C379" s="18"/>
      <c r="D379" s="18"/>
      <c r="E379" s="18"/>
      <c r="F379" s="24"/>
      <c r="G379" s="551"/>
      <c r="H379" s="25"/>
      <c r="I379" s="514" t="str">
        <f>General!G80</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25">
      <c r="A380" s="7"/>
      <c r="B380" s="8"/>
      <c r="C380" s="18"/>
      <c r="D380" s="18"/>
      <c r="E380" s="18"/>
      <c r="F380" s="24"/>
      <c r="G380" s="551"/>
      <c r="H380" s="25"/>
      <c r="I380" s="514" t="str">
        <f>General!G81</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25">
      <c r="A381" s="7"/>
      <c r="B381" s="8"/>
      <c r="C381" s="18"/>
      <c r="D381" s="18"/>
      <c r="E381" s="18"/>
      <c r="F381" s="24"/>
      <c r="G381" s="551"/>
      <c r="H381" s="24"/>
      <c r="I381" s="514" t="str">
        <f>General!G82</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25">
      <c r="A382" s="7"/>
      <c r="B382" s="8"/>
      <c r="C382" s="18"/>
      <c r="D382" s="18"/>
      <c r="E382" s="18"/>
      <c r="F382" s="24"/>
      <c r="G382" s="551"/>
      <c r="H382" s="24"/>
      <c r="I382" s="514" t="str">
        <f>General!G83</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2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41" t="s">
        <v>2179</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2" t="s">
        <v>2178</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abSelected="1" zoomScale="85" zoomScaleNormal="85" workbookViewId="0">
      <pane ySplit="22" topLeftCell="A399" activePane="bottomLeft" state="frozen"/>
      <selection pane="bottomLeft" activeCell="S402" sqref="S402"/>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collapsed="1"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25">
      <c r="A11" s="45"/>
      <c r="B11" s="54"/>
      <c r="C11" s="47">
        <f>INT($C$6)+1.045</f>
        <v>2.0449999999999999</v>
      </c>
      <c r="D11" s="73"/>
      <c r="E11" s="70"/>
      <c r="F11" s="70"/>
      <c r="G11" s="73"/>
      <c r="H11" s="76" t="s">
        <v>134</v>
      </c>
      <c r="I11" s="279">
        <v>45930.900759259297</v>
      </c>
      <c r="J11" s="645" t="s">
        <v>3504</v>
      </c>
      <c r="K11" s="641"/>
      <c r="L11" s="641"/>
      <c r="M11" s="641"/>
      <c r="N11" s="641"/>
      <c r="O11" s="641"/>
      <c r="P11" s="641"/>
      <c r="Q11" s="641"/>
      <c r="R11" s="641"/>
      <c r="S11" s="641"/>
      <c r="T11" s="641"/>
      <c r="U11" s="641"/>
      <c r="V11" s="641"/>
      <c r="W11" s="641"/>
      <c r="X11" s="641"/>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25">
      <c r="A12" s="45"/>
      <c r="B12" s="54"/>
      <c r="C12" s="47">
        <f>INT($C$6)+1.045</f>
        <v>2.0449999999999999</v>
      </c>
      <c r="D12" s="73"/>
      <c r="E12" s="70"/>
      <c r="F12" s="70"/>
      <c r="G12" s="73"/>
      <c r="H12" s="76" t="s">
        <v>135</v>
      </c>
      <c r="I12" s="271">
        <v>45931.428264120397</v>
      </c>
      <c r="J12" s="642" t="s">
        <v>3505</v>
      </c>
      <c r="K12" s="643"/>
      <c r="L12" s="643"/>
      <c r="M12" s="643"/>
      <c r="N12" s="643"/>
      <c r="O12" s="643"/>
      <c r="P12" s="643"/>
      <c r="Q12" s="643"/>
      <c r="R12" s="643"/>
      <c r="S12" s="643"/>
      <c r="T12" s="643"/>
      <c r="U12" s="643"/>
      <c r="V12" s="643"/>
      <c r="W12" s="643"/>
      <c r="X12" s="644"/>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hidden="1"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0999999999999996" customHeight="1" outlineLevel="1" collapsed="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hidden="1"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00000000000001" customHeight="1" outlineLevel="1" collapsed="1" x14ac:dyDescent="0.2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0999999999999996" hidden="1"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hidden="1"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hidden="1"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hidden="1"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hidden="1"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45" hidden="1" customHeight="1" outlineLevel="2" collapsed="1"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hidden="1"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hidden="1"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collapsed="1" x14ac:dyDescent="0.2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0999999999999996" hidden="1"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collapsed="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0999999999999996" hidden="1"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hidden="1" outlineLevel="2" x14ac:dyDescent="0.25">
      <c r="A44" s="45"/>
      <c r="B44" s="54"/>
      <c r="C44" s="87">
        <f>INT($C$29)+2</f>
        <v>3</v>
      </c>
      <c r="D44" s="73"/>
      <c r="E44" s="70"/>
      <c r="F44" s="70"/>
      <c r="G44" s="73"/>
      <c r="H44" s="76" t="s">
        <v>2563</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hidden="1"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0999999999999996" hidden="1"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hidden="1" outlineLevel="2" x14ac:dyDescent="0.25">
      <c r="A47" s="45"/>
      <c r="B47" s="54"/>
      <c r="C47" s="87">
        <f>INT($C$29)+2</f>
        <v>3</v>
      </c>
      <c r="D47" s="73"/>
      <c r="E47" s="70"/>
      <c r="F47" s="70"/>
      <c r="G47" s="73"/>
      <c r="H47" s="76"/>
      <c r="I47" s="76"/>
      <c r="J47" s="95" t="s">
        <v>2719</v>
      </c>
      <c r="K47" s="95"/>
      <c r="L47" s="95"/>
      <c r="M47" s="95"/>
      <c r="N47" s="95"/>
      <c r="O47" s="76"/>
      <c r="P47" s="95" t="s">
        <v>2720</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5.5" hidden="1"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3490</v>
      </c>
      <c r="Q48" s="96" t="s">
        <v>3497</v>
      </c>
      <c r="R48" s="96" t="s">
        <v>3491</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hidden="1"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hidden="1"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hidden="1"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hidden="1"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hidden="1"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hidden="1" outlineLevel="2" x14ac:dyDescent="0.2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0999999999999996" hidden="1"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0999999999999996" customHeight="1" collapsed="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hidden="1"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hidden="1"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0999999999999996" customHeight="1" outlineLevel="1" collapsed="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hidden="1"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45" hidden="1" customHeight="1" outlineLevel="2" collapsed="1"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collapsed="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0999999999999996" hidden="1"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hidden="1" outlineLevel="2" x14ac:dyDescent="0.25">
      <c r="A93" s="45"/>
      <c r="B93" s="54"/>
      <c r="C93" s="87">
        <f>INT($C$81)+2</f>
        <v>3</v>
      </c>
      <c r="D93" s="73"/>
      <c r="E93" s="70"/>
      <c r="F93" s="70"/>
      <c r="G93" s="73"/>
      <c r="H93" s="105"/>
      <c r="I93" s="106" t="s">
        <v>2205</v>
      </c>
      <c r="J93" s="107"/>
      <c r="K93" s="76"/>
      <c r="L93" s="76"/>
      <c r="M93" s="107"/>
      <c r="N93" s="106" t="s">
        <v>175</v>
      </c>
      <c r="O93" s="107"/>
      <c r="P93" s="107"/>
      <c r="Q93" s="612" t="s">
        <v>176</v>
      </c>
      <c r="R93" s="611"/>
      <c r="S93" s="611"/>
      <c r="T93" s="611"/>
      <c r="U93" s="611" t="s">
        <v>177</v>
      </c>
      <c r="V93" s="611"/>
      <c r="W93" s="611" t="s">
        <v>178</v>
      </c>
      <c r="X93" s="611"/>
      <c r="Y93" s="106" t="s">
        <v>2693</v>
      </c>
      <c r="Z93" s="107"/>
      <c r="AA93" s="107"/>
      <c r="AB93" s="107"/>
      <c r="AC93" s="107"/>
      <c r="AD93" s="107"/>
      <c r="AE93" s="76"/>
      <c r="AF93" s="76" t="s">
        <v>2692</v>
      </c>
      <c r="AG93" s="76"/>
      <c r="AH93" s="76"/>
      <c r="AI93" s="76"/>
      <c r="AJ93" s="76"/>
      <c r="AK93" s="76"/>
      <c r="AL93" s="76"/>
      <c r="AM93" s="76"/>
      <c r="AN93" s="73"/>
      <c r="AO93" s="57"/>
      <c r="AP93" s="45"/>
      <c r="AQ93" s="45"/>
      <c r="AR93" s="45"/>
      <c r="AS93" s="441"/>
      <c r="AT93" s="441"/>
      <c r="AX93" s="429" t="s">
        <v>2181</v>
      </c>
      <c r="BD93" t="s">
        <v>2234</v>
      </c>
    </row>
    <row r="94" spans="1:65" hidden="1" outlineLevel="2" x14ac:dyDescent="0.25">
      <c r="A94" s="45"/>
      <c r="B94" s="54"/>
      <c r="C94" s="87">
        <f>INT($C$81)+2</f>
        <v>3</v>
      </c>
      <c r="D94" s="73"/>
      <c r="E94" s="70"/>
      <c r="F94" s="70"/>
      <c r="G94" s="73"/>
      <c r="H94" s="76"/>
      <c r="I94" s="95" t="s">
        <v>3282</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3240</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2235</v>
      </c>
    </row>
    <row r="95" spans="1:65" hidden="1" outlineLevel="3" x14ac:dyDescent="0.2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4">AH95</f>
        <v>50</v>
      </c>
      <c r="AZ95">
        <f t="shared" si="4"/>
        <v>70</v>
      </c>
      <c r="BD95" t="s">
        <v>2236</v>
      </c>
      <c r="BE95" s="153">
        <v>50</v>
      </c>
      <c r="BF95">
        <f>IFERROR(MIN(2,MATCH($BE95,i_woolp_mpg_range_w5,1)),1)-1</f>
        <v>1</v>
      </c>
      <c r="BG95" t="s">
        <v>2237</v>
      </c>
      <c r="BH95" s="97">
        <v>50</v>
      </c>
      <c r="BI95">
        <f>IFERROR(MIN(2,MATCH($BH95,i_woolp_fdprem_range_w5,1)),1)-1</f>
        <v>1</v>
      </c>
      <c r="BK95" s="313" t="s">
        <v>2315</v>
      </c>
      <c r="BL95" s="313"/>
      <c r="BM95" s="313"/>
    </row>
    <row r="96" spans="1:65" hidden="1" outlineLevel="3" x14ac:dyDescent="0.25">
      <c r="A96" s="45"/>
      <c r="B96" s="54"/>
      <c r="C96" s="87">
        <f t="shared" si="3"/>
        <v>4</v>
      </c>
      <c r="D96" s="73"/>
      <c r="E96" s="70"/>
      <c r="F96" s="70">
        <f t="shared" ref="F96:F101" si="5">($J99-$J96)/($H99-$H96)</f>
        <v>-3232.0065628113143</v>
      </c>
      <c r="G96" s="73"/>
      <c r="H96" s="79">
        <v>12</v>
      </c>
      <c r="I96" s="604">
        <v>8683.1022294036629</v>
      </c>
      <c r="J96" s="604">
        <v>10165.016407028286</v>
      </c>
      <c r="K96" s="604">
        <v>11506.435536455769</v>
      </c>
      <c r="L96" s="604">
        <v>12777.062587334305</v>
      </c>
      <c r="M96" s="604">
        <v>15594.103265182059</v>
      </c>
      <c r="N96" s="111">
        <f t="shared" ref="N96:W102" si="6">N97</f>
        <v>0</v>
      </c>
      <c r="O96" s="111">
        <f t="shared" si="6"/>
        <v>-1.9178082191780823E-2</v>
      </c>
      <c r="P96" s="111">
        <f t="shared" si="6"/>
        <v>-5.4794520547945202E-2</v>
      </c>
      <c r="Q96" s="608">
        <f t="shared" si="6"/>
        <v>-2.7397260273972601E-2</v>
      </c>
      <c r="R96" s="608">
        <f t="shared" si="6"/>
        <v>-1.0958904109589041E-2</v>
      </c>
      <c r="S96" s="608">
        <f t="shared" si="6"/>
        <v>0</v>
      </c>
      <c r="T96" s="608">
        <f t="shared" si="6"/>
        <v>4.10958904109589E-3</v>
      </c>
      <c r="U96" s="608">
        <f t="shared" si="6"/>
        <v>0</v>
      </c>
      <c r="V96" s="608">
        <f t="shared" si="6"/>
        <v>0</v>
      </c>
      <c r="W96" s="608">
        <f t="shared" si="6"/>
        <v>0</v>
      </c>
      <c r="X96" s="608">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2238</v>
      </c>
      <c r="BD96" s="321" t="s">
        <v>2239</v>
      </c>
      <c r="BE96" s="321" t="s">
        <v>2237</v>
      </c>
      <c r="BF96" s="330" t="s">
        <v>2243</v>
      </c>
      <c r="BG96" s="419" t="s">
        <v>2678</v>
      </c>
      <c r="BK96" s="319" t="s">
        <v>2314</v>
      </c>
      <c r="BL96" s="319" t="s">
        <v>2236</v>
      </c>
      <c r="BM96" s="319" t="s">
        <v>2237</v>
      </c>
    </row>
    <row r="97" spans="1:65" hidden="1" outlineLevel="3" x14ac:dyDescent="0.25">
      <c r="A97" s="45"/>
      <c r="B97" s="54"/>
      <c r="C97" s="87">
        <f t="shared" si="3"/>
        <v>4</v>
      </c>
      <c r="D97" s="73"/>
      <c r="E97" s="70"/>
      <c r="F97" s="70">
        <f t="shared" si="5"/>
        <v>-824.80555555555577</v>
      </c>
      <c r="G97" s="73"/>
      <c r="H97" s="79">
        <v>13.5</v>
      </c>
      <c r="I97" s="604">
        <v>2803</v>
      </c>
      <c r="J97" s="604">
        <v>3100.1750000000002</v>
      </c>
      <c r="K97" s="604">
        <v>5357</v>
      </c>
      <c r="L97" s="604">
        <v>6282.9</v>
      </c>
      <c r="M97" s="604">
        <v>7260.4</v>
      </c>
      <c r="N97" s="287">
        <f t="shared" si="6"/>
        <v>0</v>
      </c>
      <c r="O97" s="287">
        <f t="shared" si="6"/>
        <v>-1.9178082191780823E-2</v>
      </c>
      <c r="P97" s="287">
        <f t="shared" si="6"/>
        <v>-5.4794520547945202E-2</v>
      </c>
      <c r="Q97" s="607">
        <f t="shared" si="6"/>
        <v>-2.7397260273972601E-2</v>
      </c>
      <c r="R97" s="607">
        <f t="shared" si="6"/>
        <v>-1.0958904109589041E-2</v>
      </c>
      <c r="S97" s="607">
        <f t="shared" si="6"/>
        <v>0</v>
      </c>
      <c r="T97" s="607">
        <f t="shared" si="6"/>
        <v>4.10958904109589E-3</v>
      </c>
      <c r="U97" s="607">
        <f t="shared" si="6"/>
        <v>0</v>
      </c>
      <c r="V97" s="607">
        <f t="shared" si="6"/>
        <v>0</v>
      </c>
      <c r="W97" s="607">
        <f t="shared" si="6"/>
        <v>0</v>
      </c>
      <c r="X97" s="607">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43">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hidden="1" outlineLevel="3" x14ac:dyDescent="0.25">
      <c r="A98" s="45"/>
      <c r="B98" s="54"/>
      <c r="C98" s="87">
        <f t="shared" si="3"/>
        <v>4</v>
      </c>
      <c r="D98" s="73"/>
      <c r="E98" s="70"/>
      <c r="F98" s="70">
        <f t="shared" si="5"/>
        <v>-510.12500000000023</v>
      </c>
      <c r="G98" s="73"/>
      <c r="H98" s="79">
        <v>14</v>
      </c>
      <c r="I98" s="604">
        <v>1920.5833333333335</v>
      </c>
      <c r="J98" s="604">
        <v>2623.7500000000005</v>
      </c>
      <c r="K98" s="604">
        <v>3032.5</v>
      </c>
      <c r="L98" s="604">
        <v>3806</v>
      </c>
      <c r="M98" s="604">
        <v>4921</v>
      </c>
      <c r="N98" s="287">
        <f t="shared" si="6"/>
        <v>0</v>
      </c>
      <c r="O98" s="287">
        <f t="shared" si="6"/>
        <v>-1.9178082191780823E-2</v>
      </c>
      <c r="P98" s="287">
        <f t="shared" si="6"/>
        <v>-5.4794520547945202E-2</v>
      </c>
      <c r="Q98" s="607">
        <f t="shared" si="6"/>
        <v>-2.7397260273972601E-2</v>
      </c>
      <c r="R98" s="607">
        <f t="shared" si="6"/>
        <v>-1.0958904109589041E-2</v>
      </c>
      <c r="S98" s="607">
        <f t="shared" si="6"/>
        <v>0</v>
      </c>
      <c r="T98" s="607">
        <f t="shared" si="6"/>
        <v>4.10958904109589E-3</v>
      </c>
      <c r="U98" s="607">
        <f t="shared" si="6"/>
        <v>0</v>
      </c>
      <c r="V98" s="607">
        <f t="shared" si="6"/>
        <v>0</v>
      </c>
      <c r="W98" s="607">
        <f t="shared" si="6"/>
        <v>0</v>
      </c>
      <c r="X98" s="607">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8"/>
        <v>1.017871563475772</v>
      </c>
      <c r="AX98" s="116">
        <f t="shared" si="9"/>
        <v>0.23011496340245774</v>
      </c>
      <c r="AY98" s="116">
        <f t="shared" si="10"/>
        <v>0.59462404032405769</v>
      </c>
      <c r="AZ98" s="116">
        <f t="shared" si="10"/>
        <v>0.40501545452978349</v>
      </c>
      <c r="BC98" s="443">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hidden="1" outlineLevel="3" x14ac:dyDescent="0.25">
      <c r="A99" s="45"/>
      <c r="B99" s="54"/>
      <c r="C99" s="87">
        <f t="shared" si="3"/>
        <v>4</v>
      </c>
      <c r="D99" s="73"/>
      <c r="E99" s="70"/>
      <c r="F99" s="70">
        <f t="shared" si="5"/>
        <v>-213.73999999999987</v>
      </c>
      <c r="G99" s="73"/>
      <c r="H99" s="79">
        <v>14.5</v>
      </c>
      <c r="I99" s="604">
        <v>1726.9924999999998</v>
      </c>
      <c r="J99" s="604">
        <v>2085</v>
      </c>
      <c r="K99" s="604">
        <v>2570.75</v>
      </c>
      <c r="L99" s="604">
        <v>3416.6</v>
      </c>
      <c r="M99" s="604">
        <v>4062.8249999999998</v>
      </c>
      <c r="N99" s="287">
        <f t="shared" si="6"/>
        <v>0</v>
      </c>
      <c r="O99" s="287">
        <f t="shared" si="6"/>
        <v>-1.9178082191780823E-2</v>
      </c>
      <c r="P99" s="287">
        <f t="shared" si="6"/>
        <v>-5.4794520547945202E-2</v>
      </c>
      <c r="Q99" s="607">
        <f t="shared" si="6"/>
        <v>-2.7397260273972601E-2</v>
      </c>
      <c r="R99" s="607">
        <f t="shared" si="6"/>
        <v>-1.0958904109589041E-2</v>
      </c>
      <c r="S99" s="607">
        <f t="shared" si="6"/>
        <v>0</v>
      </c>
      <c r="T99" s="607">
        <f t="shared" si="6"/>
        <v>4.10958904109589E-3</v>
      </c>
      <c r="U99" s="607">
        <f t="shared" si="6"/>
        <v>0</v>
      </c>
      <c r="V99" s="607">
        <f t="shared" si="6"/>
        <v>0</v>
      </c>
      <c r="W99" s="607">
        <f t="shared" si="6"/>
        <v>0</v>
      </c>
      <c r="X99" s="607">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8"/>
        <v>1.0027069468640681</v>
      </c>
      <c r="AX99" s="116">
        <f t="shared" si="9"/>
        <v>9.7042383005294219E-2</v>
      </c>
      <c r="AY99" s="116">
        <f t="shared" si="10"/>
        <v>0.16002820534436513</v>
      </c>
      <c r="AZ99" s="116">
        <f t="shared" si="10"/>
        <v>0.43702152766096458</v>
      </c>
      <c r="BC99" s="443">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hidden="1" outlineLevel="3" x14ac:dyDescent="0.25">
      <c r="A100" s="45"/>
      <c r="B100" s="54"/>
      <c r="C100" s="87">
        <f t="shared" si="3"/>
        <v>4</v>
      </c>
      <c r="D100" s="73"/>
      <c r="E100" s="70"/>
      <c r="F100" s="70">
        <f t="shared" si="5"/>
        <v>-122.36222222222212</v>
      </c>
      <c r="G100" s="73"/>
      <c r="H100" s="79">
        <v>15</v>
      </c>
      <c r="I100" s="604">
        <v>1604.875</v>
      </c>
      <c r="J100" s="604">
        <v>1862.9666666666665</v>
      </c>
      <c r="K100" s="604">
        <v>2423.25</v>
      </c>
      <c r="L100" s="604">
        <v>2865.4</v>
      </c>
      <c r="M100" s="604">
        <v>3540.4458333333328</v>
      </c>
      <c r="N100" s="287">
        <f t="shared" si="6"/>
        <v>0</v>
      </c>
      <c r="O100" s="287">
        <f t="shared" si="6"/>
        <v>-1.9178082191780823E-2</v>
      </c>
      <c r="P100" s="287">
        <f t="shared" si="6"/>
        <v>-5.4794520547945202E-2</v>
      </c>
      <c r="Q100" s="607">
        <f t="shared" si="6"/>
        <v>-2.7397260273972601E-2</v>
      </c>
      <c r="R100" s="607">
        <f t="shared" si="6"/>
        <v>-1.0958904109589041E-2</v>
      </c>
      <c r="S100" s="607">
        <f t="shared" si="6"/>
        <v>0</v>
      </c>
      <c r="T100" s="607">
        <f t="shared" si="6"/>
        <v>4.10958904109589E-3</v>
      </c>
      <c r="U100" s="607">
        <f t="shared" si="6"/>
        <v>0</v>
      </c>
      <c r="V100" s="607">
        <f t="shared" si="6"/>
        <v>0</v>
      </c>
      <c r="W100" s="607">
        <f t="shared" si="6"/>
        <v>0</v>
      </c>
      <c r="X100" s="607">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8"/>
        <v>0.93949365734816614</v>
      </c>
      <c r="AX100" s="116">
        <f t="shared" si="9"/>
        <v>9.1156279973532373E-2</v>
      </c>
      <c r="AY100" s="116">
        <f t="shared" si="10"/>
        <v>0.11097133833206674</v>
      </c>
      <c r="AZ100" s="116">
        <f t="shared" si="10"/>
        <v>0.14393230565930515</v>
      </c>
      <c r="BC100" s="443">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hidden="1" outlineLevel="3" x14ac:dyDescent="0.25">
      <c r="A101" s="45"/>
      <c r="B101" s="54"/>
      <c r="C101" s="87">
        <f t="shared" si="3"/>
        <v>4</v>
      </c>
      <c r="D101" s="73"/>
      <c r="E101" s="70"/>
      <c r="F101" s="70">
        <f t="shared" si="5"/>
        <v>-67.833333333333329</v>
      </c>
      <c r="G101" s="73"/>
      <c r="H101" s="79">
        <v>16</v>
      </c>
      <c r="I101" s="604">
        <v>1446.56</v>
      </c>
      <c r="J101" s="604">
        <v>1603.5</v>
      </c>
      <c r="K101" s="604">
        <v>2149.0666666666666</v>
      </c>
      <c r="L101" s="604">
        <v>2524.7666666666669</v>
      </c>
      <c r="M101" s="604">
        <v>3081.2125000000001</v>
      </c>
      <c r="N101" s="287">
        <f t="shared" si="6"/>
        <v>0</v>
      </c>
      <c r="O101" s="287">
        <f t="shared" si="6"/>
        <v>-1.9178082191780823E-2</v>
      </c>
      <c r="P101" s="287">
        <f t="shared" si="6"/>
        <v>-5.4794520547945202E-2</v>
      </c>
      <c r="Q101" s="607">
        <f t="shared" si="6"/>
        <v>-2.7397260273972601E-2</v>
      </c>
      <c r="R101" s="607">
        <f t="shared" si="6"/>
        <v>-1.0958904109589041E-2</v>
      </c>
      <c r="S101" s="607">
        <f t="shared" si="6"/>
        <v>0</v>
      </c>
      <c r="T101" s="607">
        <f t="shared" si="6"/>
        <v>4.10958904109589E-3</v>
      </c>
      <c r="U101" s="607">
        <f t="shared" si="6"/>
        <v>0</v>
      </c>
      <c r="V101" s="607">
        <f t="shared" si="6"/>
        <v>0</v>
      </c>
      <c r="W101" s="607">
        <f t="shared" si="6"/>
        <v>0</v>
      </c>
      <c r="X101" s="607">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hidden="1" outlineLevel="3" x14ac:dyDescent="0.25">
      <c r="A102" s="45"/>
      <c r="B102" s="54"/>
      <c r="C102" s="87">
        <f t="shared" si="3"/>
        <v>4</v>
      </c>
      <c r="D102" s="73"/>
      <c r="E102" s="70"/>
      <c r="F102" s="70">
        <f t="shared" ref="F102:F109" si="16">($J103-$J102)/($H103-$H102)</f>
        <v>-54.770000000000209</v>
      </c>
      <c r="G102" s="73"/>
      <c r="H102" s="79">
        <v>17</v>
      </c>
      <c r="I102" s="604">
        <v>1313.1</v>
      </c>
      <c r="J102" s="604">
        <v>1550.6500000000003</v>
      </c>
      <c r="K102" s="604">
        <v>1959.2</v>
      </c>
      <c r="L102" s="604">
        <v>2343.35</v>
      </c>
      <c r="M102" s="604">
        <v>2671.9333333333329</v>
      </c>
      <c r="N102" s="287">
        <f t="shared" si="6"/>
        <v>0</v>
      </c>
      <c r="O102" s="287">
        <f t="shared" si="6"/>
        <v>-1.9178082191780823E-2</v>
      </c>
      <c r="P102" s="287">
        <f t="shared" si="6"/>
        <v>-5.4794520547945202E-2</v>
      </c>
      <c r="Q102" s="607">
        <f t="shared" si="6"/>
        <v>-2.7397260273972601E-2</v>
      </c>
      <c r="R102" s="607">
        <f t="shared" si="6"/>
        <v>-1.0958904109589041E-2</v>
      </c>
      <c r="S102" s="607">
        <f t="shared" si="6"/>
        <v>0</v>
      </c>
      <c r="T102" s="607">
        <f t="shared" si="6"/>
        <v>4.10958904109589E-3</v>
      </c>
      <c r="U102" s="607">
        <f t="shared" si="6"/>
        <v>0</v>
      </c>
      <c r="V102" s="607">
        <f t="shared" si="6"/>
        <v>0</v>
      </c>
      <c r="W102" s="607">
        <f t="shared" si="6"/>
        <v>0</v>
      </c>
      <c r="X102" s="607">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hidden="1" outlineLevel="3" x14ac:dyDescent="0.25">
      <c r="A103" s="45"/>
      <c r="B103" s="54"/>
      <c r="C103" s="87">
        <f t="shared" si="3"/>
        <v>4</v>
      </c>
      <c r="D103" s="73"/>
      <c r="E103" s="70"/>
      <c r="F103" s="70">
        <f t="shared" si="16"/>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hidden="1"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5">
        <f t="shared" si="17"/>
        <v>-2.7397260273972601E-2</v>
      </c>
      <c r="R104" s="605">
        <f t="shared" si="17"/>
        <v>-1.0958904109589041E-2</v>
      </c>
      <c r="S104" s="605">
        <f t="shared" si="17"/>
        <v>0</v>
      </c>
      <c r="T104" s="605">
        <f t="shared" si="17"/>
        <v>4.10958904109589E-3</v>
      </c>
      <c r="U104" s="605">
        <f t="shared" si="17"/>
        <v>0</v>
      </c>
      <c r="V104" s="605">
        <f t="shared" si="17"/>
        <v>0</v>
      </c>
      <c r="W104" s="605">
        <f t="shared" si="17"/>
        <v>0</v>
      </c>
      <c r="X104" s="605">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hidden="1" outlineLevel="3" x14ac:dyDescent="0.25">
      <c r="A105" s="45"/>
      <c r="B105" s="54"/>
      <c r="C105" s="87">
        <f t="shared" si="3"/>
        <v>4</v>
      </c>
      <c r="D105" s="73"/>
      <c r="E105" s="70"/>
      <c r="F105" s="70">
        <f t="shared" si="16"/>
        <v>-42</v>
      </c>
      <c r="G105" s="73"/>
      <c r="H105" s="79">
        <v>20</v>
      </c>
      <c r="I105" s="604">
        <v>1165</v>
      </c>
      <c r="J105" s="604">
        <v>1342</v>
      </c>
      <c r="K105" s="604">
        <v>1440</v>
      </c>
      <c r="L105" s="604">
        <v>1627</v>
      </c>
      <c r="M105" s="604">
        <v>2188</v>
      </c>
      <c r="N105" s="289">
        <f t="shared" si="17"/>
        <v>0</v>
      </c>
      <c r="O105" s="289">
        <f t="shared" si="17"/>
        <v>-1.9178082191780823E-2</v>
      </c>
      <c r="P105" s="289">
        <f t="shared" si="17"/>
        <v>-5.4794520547945202E-2</v>
      </c>
      <c r="Q105" s="605">
        <f t="shared" si="17"/>
        <v>-2.7397260273972601E-2</v>
      </c>
      <c r="R105" s="605">
        <f t="shared" si="17"/>
        <v>-1.0958904109589041E-2</v>
      </c>
      <c r="S105" s="605">
        <f t="shared" si="17"/>
        <v>0</v>
      </c>
      <c r="T105" s="605">
        <f t="shared" si="17"/>
        <v>4.10958904109589E-3</v>
      </c>
      <c r="U105" s="605">
        <f t="shared" si="17"/>
        <v>0</v>
      </c>
      <c r="V105" s="605">
        <f t="shared" si="17"/>
        <v>0</v>
      </c>
      <c r="W105" s="605">
        <f t="shared" si="17"/>
        <v>0</v>
      </c>
      <c r="X105" s="605">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hidden="1" outlineLevel="3" x14ac:dyDescent="0.25">
      <c r="A106" s="45"/>
      <c r="B106" s="54"/>
      <c r="C106" s="87">
        <f t="shared" si="3"/>
        <v>4</v>
      </c>
      <c r="D106" s="73"/>
      <c r="E106" s="70"/>
      <c r="F106" s="70">
        <f t="shared" si="16"/>
        <v>-28</v>
      </c>
      <c r="G106" s="73"/>
      <c r="H106" s="79">
        <v>21</v>
      </c>
      <c r="I106" s="604">
        <v>1157</v>
      </c>
      <c r="J106" s="604">
        <v>1300</v>
      </c>
      <c r="K106" s="604">
        <v>1400</v>
      </c>
      <c r="L106" s="604">
        <v>1548</v>
      </c>
      <c r="M106" s="604">
        <v>2178</v>
      </c>
      <c r="N106" s="289">
        <f t="shared" si="17"/>
        <v>0</v>
      </c>
      <c r="O106" s="289">
        <f t="shared" si="17"/>
        <v>-1.9178082191780823E-2</v>
      </c>
      <c r="P106" s="289">
        <f t="shared" si="17"/>
        <v>-5.4794520547945202E-2</v>
      </c>
      <c r="Q106" s="605">
        <f t="shared" si="17"/>
        <v>-2.7397260273972601E-2</v>
      </c>
      <c r="R106" s="605">
        <f t="shared" si="17"/>
        <v>-1.0958904109589041E-2</v>
      </c>
      <c r="S106" s="605">
        <f t="shared" si="17"/>
        <v>0</v>
      </c>
      <c r="T106" s="605">
        <f t="shared" si="17"/>
        <v>4.10958904109589E-3</v>
      </c>
      <c r="U106" s="605">
        <f t="shared" si="17"/>
        <v>0</v>
      </c>
      <c r="V106" s="605">
        <f t="shared" si="17"/>
        <v>0</v>
      </c>
      <c r="W106" s="605">
        <f t="shared" si="17"/>
        <v>0</v>
      </c>
      <c r="X106" s="605">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hidden="1" outlineLevel="3" x14ac:dyDescent="0.25">
      <c r="A107" s="45"/>
      <c r="B107" s="54"/>
      <c r="C107" s="87">
        <f t="shared" si="3"/>
        <v>4</v>
      </c>
      <c r="D107" s="73"/>
      <c r="E107" s="70"/>
      <c r="F107" s="70">
        <f t="shared" si="16"/>
        <v>-65</v>
      </c>
      <c r="G107" s="73"/>
      <c r="H107" s="79">
        <v>22</v>
      </c>
      <c r="I107" s="604">
        <v>1141</v>
      </c>
      <c r="J107" s="604">
        <v>1272</v>
      </c>
      <c r="K107" s="604">
        <v>1375</v>
      </c>
      <c r="L107" s="604">
        <v>1498</v>
      </c>
      <c r="M107" s="604">
        <v>2182</v>
      </c>
      <c r="N107" s="289">
        <f t="shared" si="17"/>
        <v>0</v>
      </c>
      <c r="O107" s="289">
        <f t="shared" si="17"/>
        <v>-1.9178082191780823E-2</v>
      </c>
      <c r="P107" s="289">
        <f t="shared" si="17"/>
        <v>-5.4794520547945202E-2</v>
      </c>
      <c r="Q107" s="605">
        <f t="shared" si="17"/>
        <v>-2.7397260273972601E-2</v>
      </c>
      <c r="R107" s="605">
        <f t="shared" si="17"/>
        <v>-1.0958904109589041E-2</v>
      </c>
      <c r="S107" s="605">
        <f t="shared" si="17"/>
        <v>0</v>
      </c>
      <c r="T107" s="605">
        <f t="shared" si="17"/>
        <v>4.10958904109589E-3</v>
      </c>
      <c r="U107" s="605">
        <f t="shared" si="17"/>
        <v>0</v>
      </c>
      <c r="V107" s="605">
        <f t="shared" si="17"/>
        <v>0</v>
      </c>
      <c r="W107" s="605">
        <f t="shared" si="17"/>
        <v>0</v>
      </c>
      <c r="X107" s="605">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hidden="1" outlineLevel="3" x14ac:dyDescent="0.25">
      <c r="A108" s="45"/>
      <c r="B108" s="54"/>
      <c r="C108" s="87">
        <f t="shared" si="3"/>
        <v>4</v>
      </c>
      <c r="D108" s="73"/>
      <c r="E108" s="70"/>
      <c r="F108" s="70">
        <f t="shared" si="16"/>
        <v>-122.75</v>
      </c>
      <c r="G108" s="73"/>
      <c r="H108" s="79">
        <v>23</v>
      </c>
      <c r="I108" s="604">
        <v>1100.5</v>
      </c>
      <c r="J108" s="604">
        <v>1207</v>
      </c>
      <c r="K108" s="604">
        <v>1264.5</v>
      </c>
      <c r="L108" s="604">
        <v>1419</v>
      </c>
      <c r="M108" s="604">
        <v>2069.5</v>
      </c>
      <c r="N108" s="289">
        <f t="shared" si="17"/>
        <v>0</v>
      </c>
      <c r="O108" s="289">
        <f t="shared" si="17"/>
        <v>-1.9178082191780823E-2</v>
      </c>
      <c r="P108" s="289">
        <f t="shared" si="17"/>
        <v>-5.4794520547945202E-2</v>
      </c>
      <c r="Q108" s="605">
        <f t="shared" si="17"/>
        <v>-2.7397260273972601E-2</v>
      </c>
      <c r="R108" s="605">
        <f t="shared" si="17"/>
        <v>-1.0958904109589041E-2</v>
      </c>
      <c r="S108" s="605">
        <f t="shared" si="17"/>
        <v>0</v>
      </c>
      <c r="T108" s="605">
        <f t="shared" si="17"/>
        <v>4.10958904109589E-3</v>
      </c>
      <c r="U108" s="605">
        <f t="shared" si="17"/>
        <v>0</v>
      </c>
      <c r="V108" s="605">
        <f t="shared" si="17"/>
        <v>0</v>
      </c>
      <c r="W108" s="605">
        <f t="shared" si="17"/>
        <v>0</v>
      </c>
      <c r="X108" s="605">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hidden="1" outlineLevel="3" x14ac:dyDescent="0.25">
      <c r="A109" s="45"/>
      <c r="B109" s="54"/>
      <c r="C109" s="87">
        <f t="shared" si="3"/>
        <v>4</v>
      </c>
      <c r="D109" s="73"/>
      <c r="E109" s="70"/>
      <c r="F109" s="70">
        <f t="shared" si="16"/>
        <v>-93.5</v>
      </c>
      <c r="G109" s="73"/>
      <c r="H109" s="79">
        <v>25</v>
      </c>
      <c r="I109" s="604">
        <v>832.5</v>
      </c>
      <c r="J109" s="604">
        <v>961.5</v>
      </c>
      <c r="K109" s="604">
        <v>1054.5</v>
      </c>
      <c r="L109" s="604">
        <v>1206.5</v>
      </c>
      <c r="M109" s="604">
        <v>1581.5</v>
      </c>
      <c r="N109" s="289">
        <f t="shared" ref="N109:X110" si="24">N108</f>
        <v>0</v>
      </c>
      <c r="O109" s="289">
        <f t="shared" si="24"/>
        <v>-1.9178082191780823E-2</v>
      </c>
      <c r="P109" s="289">
        <f t="shared" si="24"/>
        <v>-5.4794520547945202E-2</v>
      </c>
      <c r="Q109" s="605">
        <f t="shared" si="24"/>
        <v>-2.7397260273972601E-2</v>
      </c>
      <c r="R109" s="605">
        <f t="shared" si="24"/>
        <v>-1.0958904109589041E-2</v>
      </c>
      <c r="S109" s="605">
        <f t="shared" si="24"/>
        <v>0</v>
      </c>
      <c r="T109" s="605">
        <f t="shared" si="24"/>
        <v>4.10958904109589E-3</v>
      </c>
      <c r="U109" s="605">
        <f t="shared" si="24"/>
        <v>0</v>
      </c>
      <c r="V109" s="605">
        <f t="shared" si="24"/>
        <v>0</v>
      </c>
      <c r="W109" s="605">
        <f t="shared" si="24"/>
        <v>0</v>
      </c>
      <c r="X109" s="605">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7">
        <f ca="1">(SUM($BD$99:$BD$112)*(1+$BE109)*$AV109*(1-i_wool_cost_pc)-i_wool_cost_kg*100)*$N$156</f>
        <v>510.82267339850625</v>
      </c>
    </row>
    <row r="110" spans="1:65" hidden="1" outlineLevel="3" x14ac:dyDescent="0.25">
      <c r="A110" s="45"/>
      <c r="B110" s="54"/>
      <c r="C110" s="87">
        <f t="shared" si="3"/>
        <v>4</v>
      </c>
      <c r="D110" s="73"/>
      <c r="E110" s="70"/>
      <c r="F110" s="70">
        <f>($J112-$J110)/($H112-$H110)</f>
        <v>-41.756450994974429</v>
      </c>
      <c r="G110" s="73"/>
      <c r="H110" s="79">
        <v>28</v>
      </c>
      <c r="I110" s="604">
        <v>498</v>
      </c>
      <c r="J110" s="604">
        <v>681</v>
      </c>
      <c r="K110" s="604">
        <v>781</v>
      </c>
      <c r="L110" s="604">
        <v>850</v>
      </c>
      <c r="M110" s="604">
        <v>1191</v>
      </c>
      <c r="N110" s="289">
        <f t="shared" si="24"/>
        <v>0</v>
      </c>
      <c r="O110" s="289">
        <f t="shared" si="24"/>
        <v>-1.9178082191780823E-2</v>
      </c>
      <c r="P110" s="289">
        <f t="shared" si="24"/>
        <v>-5.4794520547945202E-2</v>
      </c>
      <c r="Q110" s="605">
        <f t="shared" si="24"/>
        <v>-2.7397260273972601E-2</v>
      </c>
      <c r="R110" s="605">
        <f t="shared" si="24"/>
        <v>-1.0958904109589041E-2</v>
      </c>
      <c r="S110" s="605">
        <f t="shared" si="24"/>
        <v>0</v>
      </c>
      <c r="T110" s="605">
        <f t="shared" si="24"/>
        <v>4.10958904109589E-3</v>
      </c>
      <c r="U110" s="605">
        <f t="shared" si="24"/>
        <v>0</v>
      </c>
      <c r="V110" s="605">
        <f t="shared" si="24"/>
        <v>0</v>
      </c>
      <c r="W110" s="605">
        <f t="shared" si="24"/>
        <v>0</v>
      </c>
      <c r="X110" s="605">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7">
        <f ca="1">(SUM($BD$99:$BD$112)*(1+$BE110)*$AV110*(1-i_wool_cost_pc)-i_wool_cost_kg*100)*$N$156</f>
        <v>366.16806357600194</v>
      </c>
    </row>
    <row r="111" spans="1:65" hidden="1" outlineLevel="3" x14ac:dyDescent="0.25">
      <c r="A111" s="45"/>
      <c r="B111" s="54"/>
      <c r="C111" s="87">
        <f t="shared" si="3"/>
        <v>4</v>
      </c>
      <c r="D111" s="73"/>
      <c r="E111" s="70"/>
      <c r="F111" s="70"/>
      <c r="G111" s="73"/>
      <c r="H111" s="79">
        <v>32</v>
      </c>
      <c r="I111" s="604">
        <v>425.42270074144187</v>
      </c>
      <c r="J111" s="604">
        <v>498.02808013882316</v>
      </c>
      <c r="K111" s="604">
        <v>563.75</v>
      </c>
      <c r="L111" s="604">
        <v>626.00351001735282</v>
      </c>
      <c r="M111" s="604">
        <v>764.02250617868208</v>
      </c>
      <c r="N111" s="289">
        <f t="shared" ref="N111:AD111" si="25">N109</f>
        <v>0</v>
      </c>
      <c r="O111" s="289">
        <f t="shared" si="25"/>
        <v>-1.9178082191780823E-2</v>
      </c>
      <c r="P111" s="289">
        <f t="shared" si="25"/>
        <v>-5.4794520547945202E-2</v>
      </c>
      <c r="Q111" s="605">
        <f t="shared" si="25"/>
        <v>-2.7397260273972601E-2</v>
      </c>
      <c r="R111" s="605">
        <f t="shared" si="25"/>
        <v>-1.0958904109589041E-2</v>
      </c>
      <c r="S111" s="605">
        <f t="shared" si="25"/>
        <v>0</v>
      </c>
      <c r="T111" s="605">
        <f t="shared" si="25"/>
        <v>4.10958904109589E-3</v>
      </c>
      <c r="U111" s="605">
        <f t="shared" si="25"/>
        <v>0</v>
      </c>
      <c r="V111" s="605">
        <f t="shared" si="25"/>
        <v>0</v>
      </c>
      <c r="W111" s="605">
        <f t="shared" si="25"/>
        <v>0</v>
      </c>
      <c r="X111" s="605">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7">
        <f ca="1">(SUM($BD$99:$BD$112)*(1+$BE111)*$AV111*(1-i_wool_cost_pc)-i_wool_cost_kg*100)*$N$156</f>
        <v>250.89478706389966</v>
      </c>
    </row>
    <row r="112" spans="1:65" hidden="1" outlineLevel="3" x14ac:dyDescent="0.25">
      <c r="A112" s="45"/>
      <c r="B112" s="54"/>
      <c r="C112" s="87">
        <f t="shared" si="3"/>
        <v>4</v>
      </c>
      <c r="D112" s="73"/>
      <c r="E112" s="70"/>
      <c r="F112" s="70"/>
      <c r="G112" s="73"/>
      <c r="H112" s="79">
        <v>35</v>
      </c>
      <c r="I112" s="604">
        <v>332.03722984697902</v>
      </c>
      <c r="J112" s="604">
        <v>388.70484303517901</v>
      </c>
      <c r="K112" s="604">
        <v>440</v>
      </c>
      <c r="L112" s="604">
        <v>488.58810537939735</v>
      </c>
      <c r="M112" s="604">
        <v>596.3102487248251</v>
      </c>
      <c r="N112" s="289">
        <f t="shared" ref="N112:AD112" si="26">N110</f>
        <v>0</v>
      </c>
      <c r="O112" s="289">
        <f t="shared" si="26"/>
        <v>-1.9178082191780823E-2</v>
      </c>
      <c r="P112" s="289">
        <f t="shared" si="26"/>
        <v>-5.4794520547945202E-2</v>
      </c>
      <c r="Q112" s="605">
        <f t="shared" si="26"/>
        <v>-2.7397260273972601E-2</v>
      </c>
      <c r="R112" s="605">
        <f t="shared" si="26"/>
        <v>-1.0958904109589041E-2</v>
      </c>
      <c r="S112" s="605">
        <f t="shared" si="26"/>
        <v>0</v>
      </c>
      <c r="T112" s="605">
        <f t="shared" si="26"/>
        <v>4.10958904109589E-3</v>
      </c>
      <c r="U112" s="605">
        <f t="shared" si="26"/>
        <v>0</v>
      </c>
      <c r="V112" s="605">
        <f t="shared" si="26"/>
        <v>0</v>
      </c>
      <c r="W112" s="605">
        <f t="shared" si="26"/>
        <v>0</v>
      </c>
      <c r="X112" s="605">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7">
        <f ca="1">(SUM($BD$99:$BD$112)*(1+$BE112)*$AV112*(1-i_wool_cost_pc)-i_wool_cost_kg*100)*$N$156</f>
        <v>185.84791428672199</v>
      </c>
    </row>
    <row r="113" spans="1:59" hidden="1" outlineLevel="3" x14ac:dyDescent="0.2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7">N111</f>
        <v>0</v>
      </c>
      <c r="O113" s="293">
        <f t="shared" si="27"/>
        <v>-1.9178082191780823E-2</v>
      </c>
      <c r="P113" s="293">
        <f t="shared" si="27"/>
        <v>-5.4794520547945202E-2</v>
      </c>
      <c r="Q113" s="603">
        <f t="shared" si="27"/>
        <v>-2.7397260273972601E-2</v>
      </c>
      <c r="R113" s="603">
        <f t="shared" si="27"/>
        <v>-1.0958904109589041E-2</v>
      </c>
      <c r="S113" s="603">
        <f t="shared" si="27"/>
        <v>0</v>
      </c>
      <c r="T113" s="603">
        <f t="shared" si="27"/>
        <v>4.10958904109589E-3</v>
      </c>
      <c r="U113" s="603">
        <f t="shared" si="27"/>
        <v>0</v>
      </c>
      <c r="V113" s="603">
        <f t="shared" si="27"/>
        <v>0</v>
      </c>
      <c r="W113" s="603">
        <f t="shared" si="27"/>
        <v>0</v>
      </c>
      <c r="X113" s="603">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6">
        <f t="shared" ca="1" si="14"/>
        <v>272.29124999999993</v>
      </c>
      <c r="BG113" s="418">
        <f ca="1">(SUM($BD$99:$BD$112)*(1+$BE113)*$AV113*(1-i_wool_cost_pc)-i_wool_cost_kg*100)*$N$156</f>
        <v>120.90389340097958</v>
      </c>
    </row>
    <row r="114" spans="1:59" ht="15.75" hidden="1" outlineLevel="3" thickBot="1" x14ac:dyDescent="0.3">
      <c r="A114" s="45"/>
      <c r="B114" s="54"/>
      <c r="C114" s="87">
        <f>INT($C$81+3)</f>
        <v>4</v>
      </c>
      <c r="D114" s="73"/>
      <c r="E114" s="70"/>
      <c r="F114" s="70"/>
      <c r="G114" s="73"/>
      <c r="H114" s="76" t="s">
        <v>196</v>
      </c>
      <c r="I114" s="595" t="s">
        <v>3239</v>
      </c>
      <c r="J114" s="119"/>
      <c r="K114" s="119"/>
      <c r="L114" s="119"/>
      <c r="M114" s="119"/>
      <c r="N114" s="119" t="s">
        <v>197</v>
      </c>
      <c r="O114" s="119"/>
      <c r="P114" s="119"/>
      <c r="Q114" s="602" t="s">
        <v>3238</v>
      </c>
      <c r="R114" s="602"/>
      <c r="S114" s="602"/>
      <c r="T114" s="602"/>
      <c r="U114" s="602"/>
      <c r="V114" s="602"/>
      <c r="W114" s="602"/>
      <c r="X114" s="602"/>
      <c r="Y114" s="119" t="s">
        <v>2183</v>
      </c>
      <c r="Z114" s="119"/>
      <c r="AA114" s="119"/>
      <c r="AB114" s="119"/>
      <c r="AC114" s="119"/>
      <c r="AD114" s="119"/>
      <c r="AE114" s="76"/>
      <c r="AF114" s="119" t="s">
        <v>3237</v>
      </c>
      <c r="AG114" s="119"/>
      <c r="AH114" s="119"/>
      <c r="AI114" s="119"/>
      <c r="AJ114" s="119"/>
      <c r="AK114" s="76"/>
      <c r="AL114" s="76"/>
      <c r="AM114" s="76"/>
      <c r="AN114" s="73"/>
      <c r="AO114" s="57"/>
      <c r="AP114" s="45"/>
      <c r="AQ114" s="45"/>
      <c r="AR114" s="45"/>
      <c r="AS114" s="441"/>
      <c r="AT114" s="441"/>
    </row>
    <row r="115" spans="1:59" ht="16.5" hidden="1" outlineLevel="3" thickTop="1" thickBot="1" x14ac:dyDescent="0.3">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2694</v>
      </c>
    </row>
    <row r="116" spans="1:59" ht="15.75" hidden="1" outlineLevel="3" thickTop="1" x14ac:dyDescent="0.2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2696</v>
      </c>
    </row>
    <row r="117" spans="1:59" hidden="1" outlineLevel="3" x14ac:dyDescent="0.2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2695</v>
      </c>
    </row>
    <row r="118" spans="1:59" hidden="1" outlineLevel="3" x14ac:dyDescent="0.25">
      <c r="A118" s="45"/>
      <c r="B118" s="54"/>
      <c r="C118" s="87">
        <f>INT($C$81+3)</f>
        <v>4</v>
      </c>
      <c r="D118" s="73"/>
      <c r="E118" s="70"/>
      <c r="F118" s="70"/>
      <c r="G118" s="73"/>
      <c r="H118" s="76" t="s">
        <v>202</v>
      </c>
      <c r="I118" s="97">
        <v>50</v>
      </c>
      <c r="J118" s="76" t="s">
        <v>2684</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0999999999999996" hidden="1"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collapsed="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0999999999999996" hidden="1"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hidden="1"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hidden="1" outlineLevel="2" x14ac:dyDescent="0.25">
      <c r="A123" s="45"/>
      <c r="B123" s="54"/>
      <c r="C123" s="87">
        <f>INT($C$81)+2</f>
        <v>3</v>
      </c>
      <c r="D123" s="73"/>
      <c r="E123" s="70"/>
      <c r="F123" s="70"/>
      <c r="G123" s="73"/>
      <c r="H123" s="76" t="s">
        <v>2184</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hidden="1" outlineLevel="3" x14ac:dyDescent="0.2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hidden="1" outlineLevel="3" x14ac:dyDescent="0.25">
      <c r="A125" s="45"/>
      <c r="B125" s="54"/>
      <c r="C125" s="87">
        <f>INT($C$81+3)</f>
        <v>4</v>
      </c>
      <c r="D125" s="73"/>
      <c r="E125" s="70"/>
      <c r="F125" s="70"/>
      <c r="G125" s="73"/>
      <c r="H125" s="76"/>
      <c r="I125" s="78" t="s">
        <v>2188</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hidden="1" outlineLevel="3" x14ac:dyDescent="0.2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hidden="1" outlineLevel="3" x14ac:dyDescent="0.2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hidden="1" outlineLevel="3" x14ac:dyDescent="0.25">
      <c r="A128" s="45"/>
      <c r="B128" s="54"/>
      <c r="C128" s="87">
        <f>INT($C$81+3)</f>
        <v>4</v>
      </c>
      <c r="D128" s="73"/>
      <c r="E128" s="70"/>
      <c r="F128" s="70"/>
      <c r="G128" s="73"/>
      <c r="H128" s="76"/>
      <c r="I128" s="121" t="s">
        <v>2193</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hidden="1" outlineLevel="2" x14ac:dyDescent="0.25">
      <c r="A129" s="45"/>
      <c r="B129" s="54"/>
      <c r="C129" s="87">
        <f>INT($C$81)+2</f>
        <v>3</v>
      </c>
      <c r="D129" s="73"/>
      <c r="E129" s="70"/>
      <c r="F129" s="70"/>
      <c r="G129" s="73"/>
      <c r="H129" s="76" t="s">
        <v>2194</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hidden="1" outlineLevel="3" x14ac:dyDescent="0.25">
      <c r="A130" s="45"/>
      <c r="B130" s="54"/>
      <c r="C130" s="87">
        <f>INT($C$81+3)</f>
        <v>4</v>
      </c>
      <c r="D130" s="73"/>
      <c r="E130" s="70"/>
      <c r="F130" s="70"/>
      <c r="G130" s="73"/>
      <c r="H130" s="76"/>
      <c r="I130" s="78" t="s">
        <v>2188</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hidden="1" outlineLevel="3" x14ac:dyDescent="0.2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hidden="1" outlineLevel="3" x14ac:dyDescent="0.2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hidden="1" outlineLevel="3" x14ac:dyDescent="0.25">
      <c r="A133" s="45"/>
      <c r="B133" s="54"/>
      <c r="C133" s="87">
        <f>INT($C$81+3)</f>
        <v>4</v>
      </c>
      <c r="D133" s="73"/>
      <c r="E133" s="70"/>
      <c r="F133" s="70"/>
      <c r="G133" s="73"/>
      <c r="H133" s="76"/>
      <c r="I133" s="121" t="s">
        <v>2193</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0999999999999996" hidden="1"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collapsed="1" x14ac:dyDescent="0.25">
      <c r="A135" s="45"/>
      <c r="B135" s="54"/>
      <c r="C135" s="87">
        <f>INT($C$81)+1</f>
        <v>2</v>
      </c>
      <c r="D135" s="73"/>
      <c r="E135" s="70"/>
      <c r="F135" s="70"/>
      <c r="G135" s="73"/>
      <c r="H135" s="90" t="s">
        <v>3236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0999999999999996" hidden="1"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hidden="1" customHeight="1" outlineLevel="3" x14ac:dyDescent="0.25">
      <c r="A137" s="45"/>
      <c r="B137" s="54"/>
      <c r="C137" s="87">
        <f t="shared" ref="C137:C146" si="32">INT($C$81+3)</f>
        <v>4</v>
      </c>
      <c r="D137" s="73"/>
      <c r="E137" s="70"/>
      <c r="F137" s="70"/>
      <c r="G137" s="73"/>
      <c r="H137" s="246" t="s">
        <v>3235</v>
      </c>
      <c r="I137" s="76" t="s">
        <v>2782</v>
      </c>
      <c r="J137" s="76" t="s">
        <v>2783</v>
      </c>
      <c r="K137" s="76" t="s">
        <v>3234</v>
      </c>
      <c r="L137" s="76"/>
      <c r="M137" s="76"/>
      <c r="N137" s="76"/>
      <c r="O137" s="76"/>
      <c r="P137" s="246" t="s">
        <v>3233</v>
      </c>
      <c r="Q137" s="76"/>
      <c r="R137" s="76" t="s">
        <v>3232</v>
      </c>
      <c r="S137" s="76" t="s">
        <v>3231</v>
      </c>
      <c r="T137" s="76" t="s">
        <v>3230</v>
      </c>
      <c r="U137" s="76" t="s">
        <v>3229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hidden="1" customHeight="1" outlineLevel="3" x14ac:dyDescent="0.25">
      <c r="A138" s="45"/>
      <c r="B138" s="54"/>
      <c r="C138" s="87">
        <f t="shared" si="32"/>
        <v>4</v>
      </c>
      <c r="D138" s="73"/>
      <c r="E138" s="70"/>
      <c r="F138" s="70"/>
      <c r="G138" s="73"/>
      <c r="H138" s="76" t="s">
        <v>3228</v>
      </c>
      <c r="I138" s="599">
        <v>-0.10100000000000001</v>
      </c>
      <c r="J138" s="599">
        <v>0</v>
      </c>
      <c r="K138" s="598">
        <v>0</v>
      </c>
      <c r="L138" s="76"/>
      <c r="M138" s="76"/>
      <c r="N138" s="76"/>
      <c r="O138" s="76"/>
      <c r="P138" s="76" t="s">
        <v>3228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hidden="1" customHeight="1" outlineLevel="3" x14ac:dyDescent="0.25">
      <c r="A139" s="45"/>
      <c r="B139" s="54"/>
      <c r="C139" s="87">
        <f t="shared" si="32"/>
        <v>4</v>
      </c>
      <c r="D139" s="73"/>
      <c r="E139" s="70"/>
      <c r="F139" s="70"/>
      <c r="G139" s="73"/>
      <c r="H139" s="76" t="s">
        <v>3227</v>
      </c>
      <c r="I139" s="599">
        <v>0</v>
      </c>
      <c r="J139" s="599">
        <v>0.113</v>
      </c>
      <c r="K139" s="598">
        <v>5.9005989731888203E-3</v>
      </c>
      <c r="L139" s="76"/>
      <c r="M139" s="76"/>
      <c r="N139" s="76"/>
      <c r="O139" s="76"/>
      <c r="P139" s="76" t="s">
        <v>3227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hidden="1" customHeight="1" outlineLevel="3" x14ac:dyDescent="0.25">
      <c r="A140" s="45"/>
      <c r="B140" s="54"/>
      <c r="C140" s="87">
        <f t="shared" si="32"/>
        <v>4</v>
      </c>
      <c r="D140" s="73"/>
      <c r="E140" s="70"/>
      <c r="F140" s="70"/>
      <c r="G140" s="73"/>
      <c r="H140" s="76" t="s">
        <v>3226</v>
      </c>
      <c r="I140" s="599">
        <v>-6.0999999999999999E-2</v>
      </c>
      <c r="J140" s="599">
        <v>5.1999999999999998E-2</v>
      </c>
      <c r="K140" s="598">
        <v>3.5107296137339059E-3</v>
      </c>
      <c r="L140" s="76"/>
      <c r="M140" s="76"/>
      <c r="N140" s="76"/>
      <c r="O140" s="76"/>
      <c r="P140" s="76" t="s">
        <v>3226</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hidden="1" customHeight="1" outlineLevel="3" x14ac:dyDescent="0.25">
      <c r="A141" s="45"/>
      <c r="B141" s="54"/>
      <c r="C141" s="87">
        <f t="shared" si="32"/>
        <v>4</v>
      </c>
      <c r="D141" s="73"/>
      <c r="E141" s="70"/>
      <c r="F141" s="70"/>
      <c r="G141" s="73"/>
      <c r="H141" s="76" t="s">
        <v>3225</v>
      </c>
      <c r="I141" s="356">
        <v>47.809731093905945</v>
      </c>
      <c r="J141" s="365">
        <v>4566.4973039173738</v>
      </c>
      <c r="K141" s="356">
        <v>45.892351332455597</v>
      </c>
      <c r="L141" s="76"/>
      <c r="M141" s="76"/>
      <c r="N141" s="76"/>
      <c r="O141" s="76"/>
      <c r="P141" s="76" t="s">
        <v>3225</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hidden="1" customHeight="1" outlineLevel="3" x14ac:dyDescent="0.25">
      <c r="A142" s="45"/>
      <c r="B142" s="54"/>
      <c r="C142" s="87">
        <f t="shared" si="32"/>
        <v>4</v>
      </c>
      <c r="D142" s="73"/>
      <c r="E142" s="70"/>
      <c r="F142" s="70"/>
      <c r="G142" s="73"/>
      <c r="H142" s="76" t="s">
        <v>3224</v>
      </c>
      <c r="I142" s="442">
        <v>-0.22538711253423788</v>
      </c>
      <c r="J142" s="596">
        <v>-0.50483440440253269</v>
      </c>
      <c r="K142" s="596">
        <v>-0.22213692403040283</v>
      </c>
      <c r="L142" s="76"/>
      <c r="M142" s="76"/>
      <c r="N142" s="76"/>
      <c r="O142" s="76"/>
      <c r="P142" s="76" t="s">
        <v>3224</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hidden="1" customHeight="1" outlineLevel="3" x14ac:dyDescent="0.2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hidden="1" customHeight="1" outlineLevel="3" x14ac:dyDescent="0.25">
      <c r="A144" s="45"/>
      <c r="B144" s="54"/>
      <c r="C144" s="87">
        <f t="shared" si="32"/>
        <v>4</v>
      </c>
      <c r="D144" s="73"/>
      <c r="E144" s="70"/>
      <c r="F144" s="70"/>
      <c r="G144" s="73"/>
      <c r="H144" s="76" t="s">
        <v>3223</v>
      </c>
      <c r="I144" s="76">
        <v>35</v>
      </c>
      <c r="J144" s="76"/>
      <c r="K144" s="76"/>
      <c r="L144" s="76"/>
      <c r="M144" s="76"/>
      <c r="N144" s="76"/>
      <c r="O144" s="76"/>
      <c r="P144" s="76" t="s">
        <v>3222</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hidden="1" customHeight="1" outlineLevel="3" x14ac:dyDescent="0.25">
      <c r="A145" s="45"/>
      <c r="B145" s="54"/>
      <c r="C145" s="87">
        <f t="shared" si="32"/>
        <v>4</v>
      </c>
      <c r="D145" s="73"/>
      <c r="E145" s="70"/>
      <c r="F145" s="70"/>
      <c r="G145" s="73"/>
      <c r="H145" s="76"/>
      <c r="I145" s="76"/>
      <c r="J145" s="76"/>
      <c r="K145" s="76"/>
      <c r="L145" s="76"/>
      <c r="M145" s="76"/>
      <c r="N145" s="76"/>
      <c r="O145" s="76"/>
      <c r="P145" s="76" t="s">
        <v>3221</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hidden="1" customHeight="1" outlineLevel="2" x14ac:dyDescent="0.25">
      <c r="A146" s="45"/>
      <c r="B146" s="54"/>
      <c r="C146" s="87">
        <f t="shared" si="32"/>
        <v>4</v>
      </c>
      <c r="D146" s="73"/>
      <c r="E146" s="70"/>
      <c r="F146" s="70"/>
      <c r="G146" s="73"/>
      <c r="H146" s="76" t="s">
        <v>196</v>
      </c>
      <c r="I146" s="595" t="s">
        <v>3220</v>
      </c>
      <c r="J146" s="119"/>
      <c r="K146" s="119"/>
      <c r="L146" s="119"/>
      <c r="M146" s="119"/>
      <c r="N146" s="119"/>
      <c r="O146" s="76"/>
      <c r="P146" s="76" t="s">
        <v>196</v>
      </c>
      <c r="Q146" s="76"/>
      <c r="R146" s="595" t="s">
        <v>3219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0999999999999996" hidden="1"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collapsed="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0999999999999996" hidden="1"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hidden="1"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hidden="1" outlineLevel="3" x14ac:dyDescent="0.2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hidden="1" outlineLevel="3" x14ac:dyDescent="0.25">
      <c r="A152" s="45"/>
      <c r="B152" s="54"/>
      <c r="C152" s="87">
        <f t="shared" si="33"/>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hidden="1" outlineLevel="3" x14ac:dyDescent="0.25">
      <c r="A153" s="45"/>
      <c r="B153" s="54"/>
      <c r="C153" s="87">
        <f t="shared" si="33"/>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hidden="1" outlineLevel="3" x14ac:dyDescent="0.2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hidden="1" outlineLevel="3" x14ac:dyDescent="0.25">
      <c r="A155" s="45"/>
      <c r="B155" s="54"/>
      <c r="C155" s="87">
        <f t="shared" si="33"/>
        <v>4</v>
      </c>
      <c r="D155" s="73"/>
      <c r="E155" s="70"/>
      <c r="F155" s="70"/>
      <c r="G155" s="73"/>
      <c r="H155" s="125" t="s">
        <v>2198</v>
      </c>
      <c r="I155" s="126"/>
      <c r="J155" s="126"/>
      <c r="K155" s="298">
        <f>SUM(K151:K154)</f>
        <v>0.4467741935483871</v>
      </c>
      <c r="L155" s="127"/>
      <c r="M155" s="76"/>
      <c r="N155" s="76" t="s">
        <v>2679</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hidden="1" outlineLevel="3" x14ac:dyDescent="0.25">
      <c r="A156" s="45"/>
      <c r="B156" s="54"/>
      <c r="C156" s="87">
        <f t="shared" si="33"/>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hidden="1" outlineLevel="3" x14ac:dyDescent="0.25">
      <c r="A157" s="45"/>
      <c r="B157" s="54"/>
      <c r="C157" s="87">
        <f t="shared" si="33"/>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0999999999999996" hidden="1"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0999999999999996" hidden="1"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0999999999999996" customHeight="1" collapsed="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hidden="1"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hidden="1"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0999999999999996" customHeight="1" outlineLevel="1" collapsed="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hidden="1"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45" hidden="1" customHeight="1" outlineLevel="2" collapsed="1"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2240</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2781</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2551</v>
      </c>
      <c r="AM181" s="95"/>
      <c r="AN181" s="73"/>
      <c r="AO181" s="57"/>
      <c r="AP181" s="45"/>
      <c r="AQ181" s="45"/>
      <c r="AR181" s="45"/>
      <c r="AS181" s="441"/>
      <c r="AT181" s="441"/>
      <c r="AV181" t="s">
        <v>2683</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2782</v>
      </c>
      <c r="P182" s="134" t="s">
        <v>2783</v>
      </c>
      <c r="Q182" s="134" t="s">
        <v>2784</v>
      </c>
      <c r="R182" s="134" t="s">
        <v>2785</v>
      </c>
      <c r="S182" s="134" t="s">
        <v>2786</v>
      </c>
      <c r="T182" s="134" t="s">
        <v>2787</v>
      </c>
      <c r="U182" s="132" t="s">
        <v>232</v>
      </c>
      <c r="V182" s="132" t="s">
        <v>233</v>
      </c>
      <c r="W182" s="133" t="s">
        <v>234</v>
      </c>
      <c r="X182" s="133" t="s">
        <v>2680</v>
      </c>
      <c r="Y182" s="133" t="s">
        <v>2681</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2241</v>
      </c>
      <c r="AX182" t="s">
        <v>2242</v>
      </c>
      <c r="AY182" t="s">
        <v>1173</v>
      </c>
      <c r="AZ182" s="5" t="s">
        <v>2682</v>
      </c>
      <c r="BA182" s="423" t="s">
        <v>272</v>
      </c>
      <c r="BD182" t="s">
        <v>2286</v>
      </c>
    </row>
    <row r="183" spans="1:58" outlineLevel="3" x14ac:dyDescent="0.25">
      <c r="A183" s="45"/>
      <c r="B183" s="54"/>
      <c r="C183" s="87">
        <f>INT($C$167+3)</f>
        <v>4</v>
      </c>
      <c r="D183" s="73"/>
      <c r="E183" s="70">
        <v>0</v>
      </c>
      <c r="F183" s="70"/>
      <c r="G183" s="73"/>
      <c r="H183" s="135" t="s">
        <v>2777</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41"/>
      <c r="AT183" s="441"/>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outlineLevel="3" x14ac:dyDescent="0.25">
      <c r="A184" s="45"/>
      <c r="B184" s="54"/>
      <c r="C184" s="87">
        <f t="shared" ref="C184:C191" si="39">INT($C$167)+3</f>
        <v>4</v>
      </c>
      <c r="D184" s="73"/>
      <c r="E184" s="70">
        <v>1</v>
      </c>
      <c r="F184" s="70"/>
      <c r="G184" s="73"/>
      <c r="H184" s="76" t="s">
        <v>2778</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41"/>
      <c r="AT184" s="441"/>
      <c r="AV184" s="325" t="str">
        <f t="shared" si="35"/>
        <v>empty grid (1)</v>
      </c>
      <c r="AY184" s="316">
        <f t="shared" ca="1" si="36"/>
        <v>1</v>
      </c>
      <c r="AZ184" s="326">
        <f t="shared" ca="1" si="37"/>
        <v>0</v>
      </c>
      <c r="BA184" s="326">
        <f t="shared" ca="1" si="38"/>
        <v>0</v>
      </c>
    </row>
    <row r="185" spans="1:58" outlineLevel="3" x14ac:dyDescent="0.25">
      <c r="A185" s="45"/>
      <c r="B185" s="54"/>
      <c r="C185" s="87">
        <f t="shared" si="39"/>
        <v>4</v>
      </c>
      <c r="D185" s="73"/>
      <c r="E185" s="70">
        <v>2</v>
      </c>
      <c r="F185" s="70"/>
      <c r="G185" s="73"/>
      <c r="H185" s="76" t="s">
        <v>2779</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41"/>
      <c r="AT185" s="441"/>
      <c r="AV185" s="325" t="str">
        <f t="shared" si="35"/>
        <v>empty grid (2)</v>
      </c>
      <c r="AY185" s="316">
        <f t="shared" ca="1" si="36"/>
        <v>1</v>
      </c>
      <c r="AZ185" s="326">
        <f t="shared" ca="1" si="37"/>
        <v>0</v>
      </c>
      <c r="BA185" s="326">
        <f t="shared" ca="1" si="38"/>
        <v>0</v>
      </c>
    </row>
    <row r="186" spans="1:58" outlineLevel="3" x14ac:dyDescent="0.2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40">Z$189</f>
        <v>0.63909774436090228</v>
      </c>
      <c r="AA186" s="593">
        <f t="shared" si="40"/>
        <v>0.85964912280701755</v>
      </c>
      <c r="AB186" s="96">
        <v>1</v>
      </c>
      <c r="AC186" s="593">
        <f t="shared" si="40"/>
        <v>1.2656641604010026</v>
      </c>
      <c r="AD186" s="593">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41"/>
      <c r="AT186" s="441"/>
      <c r="AV186" s="325" t="str">
        <f t="shared" si="35"/>
        <v>Yearling grid (3)</v>
      </c>
      <c r="AY186" s="316">
        <f t="shared" ca="1" si="36"/>
        <v>1</v>
      </c>
      <c r="AZ186" s="326">
        <f t="shared" ca="1" si="37"/>
        <v>3.6661218629701886</v>
      </c>
      <c r="BA186" s="326">
        <f t="shared" ca="1" si="38"/>
        <v>3.6661218629701886</v>
      </c>
      <c r="BD186" s="326">
        <f ca="1">50*0.44*AZ186</f>
        <v>80.654680985344143</v>
      </c>
      <c r="BE186" t="s">
        <v>2287</v>
      </c>
    </row>
    <row r="187" spans="1:58" outlineLevel="3" x14ac:dyDescent="0.2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41"/>
      <c r="AT187" s="441"/>
      <c r="AV187" s="325" t="str">
        <f t="shared" si="35"/>
        <v>Export wether grid (4)</v>
      </c>
      <c r="AY187" s="316">
        <f t="shared" ca="1" si="36"/>
        <v>1</v>
      </c>
      <c r="AZ187" s="326">
        <f t="shared" ca="1" si="37"/>
        <v>103.34061503440209</v>
      </c>
      <c r="BA187" s="326">
        <f t="shared" ca="1" si="38"/>
        <v>103.34061503440209</v>
      </c>
    </row>
    <row r="188" spans="1:58" outlineLevel="3" x14ac:dyDescent="0.2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41"/>
      <c r="AT188" s="441"/>
      <c r="AV188" s="325" t="str">
        <f t="shared" si="35"/>
        <v>Breeder grid (5)</v>
      </c>
      <c r="AY188" s="316">
        <f t="shared" ca="1" si="36"/>
        <v>1</v>
      </c>
      <c r="AZ188" s="326">
        <f t="shared" ca="1" si="37"/>
        <v>130</v>
      </c>
      <c r="BA188" s="326">
        <f t="shared" ca="1" si="38"/>
        <v>130</v>
      </c>
      <c r="BD188" s="326">
        <f ca="1">AZ188*(1+AVERAGE($J$279:$U$279))*($M$238/$N$238)</f>
        <v>109.45161290322579</v>
      </c>
      <c r="BE188" t="s">
        <v>2288</v>
      </c>
    </row>
    <row r="189" spans="1:58" outlineLevel="3" x14ac:dyDescent="0.2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41"/>
      <c r="AT189" s="441"/>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2775</v>
      </c>
    </row>
    <row r="190" spans="1:58" outlineLevel="3" x14ac:dyDescent="0.2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41"/>
      <c r="AT190" s="441"/>
      <c r="AV190" s="327" t="str">
        <f t="shared" si="35"/>
        <v>Ram grid (7)</v>
      </c>
      <c r="AW190" s="319"/>
      <c r="AX190" s="319"/>
      <c r="AY190" s="320">
        <f t="shared" ca="1" si="36"/>
        <v>1</v>
      </c>
      <c r="AZ190" s="328">
        <f t="shared" ca="1" si="37"/>
        <v>1.9950000000000001</v>
      </c>
      <c r="BA190" s="328">
        <f t="shared" ca="1" si="38"/>
        <v>1.9950000000000001</v>
      </c>
    </row>
    <row r="191" spans="1:58" outlineLevel="3" x14ac:dyDescent="0.2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collapsed="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0999999999999996" hidden="1"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hidden="1"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2780</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hidden="1"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2552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hidden="1"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hidden="1"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hidden="1" outlineLevel="2" x14ac:dyDescent="0.2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hidden="1" outlineLevel="3" x14ac:dyDescent="0.2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hidden="1" outlineLevel="3" x14ac:dyDescent="0.25">
      <c r="A200" s="45"/>
      <c r="B200" s="54"/>
      <c r="C200" s="87">
        <f t="shared" si="41"/>
        <v>4</v>
      </c>
      <c r="D200" s="73"/>
      <c r="E200" s="70">
        <f t="shared" si="42"/>
        <v>0</v>
      </c>
      <c r="F200" s="70">
        <f t="shared" si="42"/>
        <v>0</v>
      </c>
      <c r="G200" s="73"/>
      <c r="H200" s="97" t="s">
        <v>2553</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hidden="1" outlineLevel="3" x14ac:dyDescent="0.25">
      <c r="A201" s="45"/>
      <c r="B201" s="54"/>
      <c r="C201" s="87">
        <f t="shared" si="41"/>
        <v>4</v>
      </c>
      <c r="D201" s="73"/>
      <c r="E201" s="70">
        <f t="shared" si="42"/>
        <v>0</v>
      </c>
      <c r="F201" s="70">
        <f t="shared" si="42"/>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hidden="1" outlineLevel="3" x14ac:dyDescent="0.25">
      <c r="A202" s="45"/>
      <c r="B202" s="54"/>
      <c r="C202" s="87">
        <f t="shared" si="41"/>
        <v>4</v>
      </c>
      <c r="D202" s="73"/>
      <c r="E202" s="70">
        <f t="shared" si="42"/>
        <v>0</v>
      </c>
      <c r="F202" s="70">
        <f t="shared" si="42"/>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hidden="1" outlineLevel="3" x14ac:dyDescent="0.25">
      <c r="A203" s="45"/>
      <c r="B203" s="54"/>
      <c r="C203" s="87">
        <f t="shared" si="41"/>
        <v>4</v>
      </c>
      <c r="D203" s="73"/>
      <c r="E203" s="70">
        <f t="shared" si="42"/>
        <v>0</v>
      </c>
      <c r="F203" s="70">
        <f t="shared" si="42"/>
        <v>0</v>
      </c>
      <c r="G203" s="73"/>
      <c r="H203" s="76"/>
      <c r="I203" s="173">
        <f t="shared" ref="I203:N204" si="43">I202</f>
        <v>31.1</v>
      </c>
      <c r="J203" s="448">
        <f t="shared" si="43"/>
        <v>4</v>
      </c>
      <c r="K203" s="449">
        <f t="shared" si="43"/>
        <v>5</v>
      </c>
      <c r="L203" s="449">
        <f t="shared" si="43"/>
        <v>5</v>
      </c>
      <c r="M203" s="449">
        <f t="shared" si="43"/>
        <v>5</v>
      </c>
      <c r="N203" s="450">
        <f t="shared" si="43"/>
        <v>3.6</v>
      </c>
      <c r="O203" s="447">
        <v>0</v>
      </c>
      <c r="P203" s="174"/>
      <c r="Q203" s="392">
        <f t="shared" ref="Q203:U204" si="44">Q202</f>
        <v>0.87644444444444447</v>
      </c>
      <c r="R203" s="393">
        <f t="shared" si="44"/>
        <v>0.75088954500719218</v>
      </c>
      <c r="S203" s="393">
        <f t="shared" si="44"/>
        <v>0.75088954500719218</v>
      </c>
      <c r="T203" s="393">
        <f t="shared" si="44"/>
        <v>0.75088954500719218</v>
      </c>
      <c r="U203" s="394">
        <f t="shared" si="44"/>
        <v>0.94890510948905105</v>
      </c>
      <c r="V203" s="175">
        <v>0</v>
      </c>
      <c r="W203" s="174"/>
      <c r="X203" s="392">
        <f t="shared" ref="X203:AB204" si="45">X202</f>
        <v>0.8666666666666667</v>
      </c>
      <c r="Y203" s="393">
        <f t="shared" si="45"/>
        <v>1</v>
      </c>
      <c r="Z203" s="393">
        <f t="shared" si="45"/>
        <v>1</v>
      </c>
      <c r="AA203" s="393">
        <f t="shared" si="45"/>
        <v>1</v>
      </c>
      <c r="AB203" s="394">
        <f t="shared" si="45"/>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hidden="1" outlineLevel="3" x14ac:dyDescent="0.25">
      <c r="A204" s="45"/>
      <c r="B204" s="54"/>
      <c r="C204" s="87">
        <f t="shared" si="41"/>
        <v>4</v>
      </c>
      <c r="D204" s="73"/>
      <c r="E204" s="70">
        <f t="shared" si="42"/>
        <v>0</v>
      </c>
      <c r="F204" s="70">
        <f t="shared" si="42"/>
        <v>0</v>
      </c>
      <c r="G204" s="73"/>
      <c r="H204" s="76"/>
      <c r="I204" s="173">
        <f t="shared" si="43"/>
        <v>31.1</v>
      </c>
      <c r="J204" s="451">
        <f t="shared" si="43"/>
        <v>4</v>
      </c>
      <c r="K204" s="452">
        <f t="shared" si="43"/>
        <v>5</v>
      </c>
      <c r="L204" s="452">
        <f t="shared" si="43"/>
        <v>5</v>
      </c>
      <c r="M204" s="452">
        <f t="shared" si="43"/>
        <v>5</v>
      </c>
      <c r="N204" s="453">
        <f t="shared" si="43"/>
        <v>3.6</v>
      </c>
      <c r="O204" s="447">
        <v>0</v>
      </c>
      <c r="P204" s="174"/>
      <c r="Q204" s="395">
        <f t="shared" si="44"/>
        <v>0.87644444444444447</v>
      </c>
      <c r="R204" s="396">
        <f t="shared" si="44"/>
        <v>0.75088954500719218</v>
      </c>
      <c r="S204" s="396">
        <f t="shared" si="44"/>
        <v>0.75088954500719218</v>
      </c>
      <c r="T204" s="396">
        <f t="shared" si="44"/>
        <v>0.75088954500719218</v>
      </c>
      <c r="U204" s="397">
        <f t="shared" si="44"/>
        <v>0.94890510948905105</v>
      </c>
      <c r="V204" s="175">
        <v>0</v>
      </c>
      <c r="W204" s="174"/>
      <c r="X204" s="395">
        <f t="shared" si="45"/>
        <v>0.8666666666666667</v>
      </c>
      <c r="Y204" s="396">
        <f t="shared" si="45"/>
        <v>1</v>
      </c>
      <c r="Z204" s="396">
        <f t="shared" si="45"/>
        <v>1</v>
      </c>
      <c r="AA204" s="396">
        <f t="shared" si="45"/>
        <v>1</v>
      </c>
      <c r="AB204" s="397">
        <f t="shared" si="45"/>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hidden="1" outlineLevel="3" x14ac:dyDescent="0.25">
      <c r="A205" s="45"/>
      <c r="B205" s="54"/>
      <c r="C205" s="87">
        <f t="shared" si="41"/>
        <v>4</v>
      </c>
      <c r="D205" s="73"/>
      <c r="E205" s="70">
        <f t="shared" si="42"/>
        <v>0</v>
      </c>
      <c r="F205" s="70">
        <f t="shared" si="42"/>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hidden="1" outlineLevel="2" x14ac:dyDescent="0.2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hidden="1" outlineLevel="3" x14ac:dyDescent="0.2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hidden="1" outlineLevel="3" x14ac:dyDescent="0.25">
      <c r="A208" s="45"/>
      <c r="B208" s="54"/>
      <c r="C208" s="87">
        <f t="shared" si="46"/>
        <v>4</v>
      </c>
      <c r="D208" s="73"/>
      <c r="E208" s="70"/>
      <c r="F208" s="70">
        <f t="shared" si="47"/>
        <v>1</v>
      </c>
      <c r="G208" s="73"/>
      <c r="H208" s="97" t="s">
        <v>2554</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2776</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hidden="1" outlineLevel="3" x14ac:dyDescent="0.25">
      <c r="A209" s="45"/>
      <c r="B209" s="54"/>
      <c r="C209" s="87">
        <f t="shared" si="46"/>
        <v>4</v>
      </c>
      <c r="D209" s="73"/>
      <c r="E209" s="70"/>
      <c r="F209" s="70">
        <f t="shared" si="47"/>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hidden="1" outlineLevel="3" x14ac:dyDescent="0.25">
      <c r="A210" s="45"/>
      <c r="B210" s="54"/>
      <c r="C210" s="87">
        <f t="shared" si="46"/>
        <v>4</v>
      </c>
      <c r="D210" s="73"/>
      <c r="E210" s="70"/>
      <c r="F210" s="70">
        <f t="shared" si="47"/>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hidden="1" outlineLevel="3" x14ac:dyDescent="0.25">
      <c r="A211" s="45"/>
      <c r="B211" s="54"/>
      <c r="C211" s="87">
        <f t="shared" si="46"/>
        <v>4</v>
      </c>
      <c r="D211" s="73"/>
      <c r="E211" s="70"/>
      <c r="F211" s="70">
        <f t="shared" si="47"/>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hidden="1" outlineLevel="3" x14ac:dyDescent="0.25">
      <c r="A212" s="45"/>
      <c r="B212" s="54"/>
      <c r="C212" s="87">
        <f t="shared" si="46"/>
        <v>4</v>
      </c>
      <c r="D212" s="73"/>
      <c r="E212" s="70"/>
      <c r="F212" s="70">
        <f t="shared" si="47"/>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hidden="1" outlineLevel="3" x14ac:dyDescent="0.25">
      <c r="A213" s="45"/>
      <c r="B213" s="54"/>
      <c r="C213" s="87">
        <f t="shared" si="46"/>
        <v>4</v>
      </c>
      <c r="D213" s="73"/>
      <c r="E213" s="70"/>
      <c r="F213" s="70">
        <f t="shared" si="47"/>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hidden="1" outlineLevel="2" x14ac:dyDescent="0.2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hidden="1" outlineLevel="3" x14ac:dyDescent="0.2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hidden="1" outlineLevel="3" x14ac:dyDescent="0.25">
      <c r="A216" s="45"/>
      <c r="B216" s="54"/>
      <c r="C216" s="87">
        <f t="shared" si="48"/>
        <v>4</v>
      </c>
      <c r="D216" s="73"/>
      <c r="E216" s="70"/>
      <c r="F216" s="70">
        <f t="shared" si="49"/>
        <v>2</v>
      </c>
      <c r="G216" s="73"/>
      <c r="H216" s="97" t="s">
        <v>2554</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hidden="1" outlineLevel="3" x14ac:dyDescent="0.25">
      <c r="A217" s="45"/>
      <c r="B217" s="54"/>
      <c r="C217" s="87">
        <f t="shared" si="48"/>
        <v>4</v>
      </c>
      <c r="D217" s="73"/>
      <c r="E217" s="70"/>
      <c r="F217" s="70">
        <f t="shared" si="49"/>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hidden="1" outlineLevel="3" x14ac:dyDescent="0.25">
      <c r="A218" s="45"/>
      <c r="B218" s="54"/>
      <c r="C218" s="87">
        <f t="shared" si="48"/>
        <v>4</v>
      </c>
      <c r="D218" s="73"/>
      <c r="E218" s="70"/>
      <c r="F218" s="70">
        <f t="shared" si="49"/>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hidden="1" outlineLevel="3" x14ac:dyDescent="0.25">
      <c r="A219" s="45"/>
      <c r="B219" s="54"/>
      <c r="C219" s="87">
        <f t="shared" si="48"/>
        <v>4</v>
      </c>
      <c r="D219" s="73"/>
      <c r="E219" s="70"/>
      <c r="F219" s="70">
        <f t="shared" si="49"/>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hidden="1" outlineLevel="3" x14ac:dyDescent="0.25">
      <c r="A220" s="45"/>
      <c r="B220" s="54"/>
      <c r="C220" s="87">
        <f t="shared" si="48"/>
        <v>4</v>
      </c>
      <c r="D220" s="73"/>
      <c r="E220" s="70"/>
      <c r="F220" s="70">
        <f t="shared" si="49"/>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hidden="1" outlineLevel="3" x14ac:dyDescent="0.25">
      <c r="A221" s="45"/>
      <c r="B221" s="54"/>
      <c r="C221" s="87">
        <f t="shared" si="48"/>
        <v>4</v>
      </c>
      <c r="D221" s="73"/>
      <c r="E221" s="70"/>
      <c r="F221" s="70">
        <f t="shared" si="49"/>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hidden="1" outlineLevel="2" x14ac:dyDescent="0.25">
      <c r="A222" s="45"/>
      <c r="B222" s="54"/>
      <c r="C222" s="87">
        <f>INT($C$167)+2</f>
        <v>3</v>
      </c>
      <c r="D222" s="73"/>
      <c r="E222" s="70">
        <v>3</v>
      </c>
      <c r="F222" s="70">
        <f>E222</f>
        <v>3</v>
      </c>
      <c r="G222" s="73"/>
      <c r="H222" s="96" t="str">
        <f>INDEX($H$183:$H$190,$E222+1,1)</f>
        <v>Yearling grid (3)</v>
      </c>
      <c r="I222" s="173">
        <f t="shared" ref="I222:N228" si="50">I246</f>
        <v>10.1</v>
      </c>
      <c r="J222" s="444">
        <f t="shared" si="50"/>
        <v>3</v>
      </c>
      <c r="K222" s="445">
        <f t="shared" si="50"/>
        <v>3</v>
      </c>
      <c r="L222" s="445">
        <f t="shared" si="50"/>
        <v>3</v>
      </c>
      <c r="M222" s="445">
        <f t="shared" si="50"/>
        <v>3</v>
      </c>
      <c r="N222" s="446">
        <f t="shared" si="50"/>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hidden="1" outlineLevel="3" x14ac:dyDescent="0.2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8">
        <f t="shared" si="50"/>
        <v>4.4000000000000004</v>
      </c>
      <c r="K223" s="449">
        <f t="shared" si="50"/>
        <v>4.4000000000000004</v>
      </c>
      <c r="L223" s="449">
        <f t="shared" si="50"/>
        <v>4.4000000000000004</v>
      </c>
      <c r="M223" s="449">
        <f t="shared" si="50"/>
        <v>4.4000000000000004</v>
      </c>
      <c r="N223" s="450">
        <f t="shared" si="50"/>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hidden="1" outlineLevel="3" x14ac:dyDescent="0.25">
      <c r="A224" s="45"/>
      <c r="B224" s="54"/>
      <c r="C224" s="87">
        <f t="shared" si="51"/>
        <v>4</v>
      </c>
      <c r="D224" s="73"/>
      <c r="E224" s="70"/>
      <c r="F224" s="70">
        <f t="shared" si="52"/>
        <v>3</v>
      </c>
      <c r="G224" s="73"/>
      <c r="H224" s="179" t="s">
        <v>256</v>
      </c>
      <c r="I224" s="173">
        <f t="shared" si="50"/>
        <v>18.100000000000001</v>
      </c>
      <c r="J224" s="448">
        <f t="shared" si="50"/>
        <v>5</v>
      </c>
      <c r="K224" s="449">
        <f t="shared" si="50"/>
        <v>5.2</v>
      </c>
      <c r="L224" s="449">
        <f t="shared" si="50"/>
        <v>5.2</v>
      </c>
      <c r="M224" s="449">
        <f t="shared" si="50"/>
        <v>5.2</v>
      </c>
      <c r="N224" s="450">
        <f t="shared" si="50"/>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hidden="1" outlineLevel="3" x14ac:dyDescent="0.25">
      <c r="A225" s="45"/>
      <c r="B225" s="54"/>
      <c r="C225" s="87">
        <f t="shared" si="51"/>
        <v>4</v>
      </c>
      <c r="D225" s="73"/>
      <c r="E225" s="70"/>
      <c r="F225" s="70">
        <f t="shared" si="52"/>
        <v>3</v>
      </c>
      <c r="G225" s="73"/>
      <c r="H225" s="76"/>
      <c r="I225" s="173">
        <f t="shared" si="50"/>
        <v>35.1</v>
      </c>
      <c r="J225" s="448">
        <f t="shared" si="50"/>
        <v>4.5</v>
      </c>
      <c r="K225" s="449">
        <f t="shared" si="50"/>
        <v>4.9000000000000004</v>
      </c>
      <c r="L225" s="449">
        <f t="shared" si="50"/>
        <v>4.9000000000000004</v>
      </c>
      <c r="M225" s="449">
        <f t="shared" si="50"/>
        <v>4.9000000000000004</v>
      </c>
      <c r="N225" s="450">
        <f t="shared" si="50"/>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hidden="1" outlineLevel="3" x14ac:dyDescent="0.25">
      <c r="A226" s="45"/>
      <c r="B226" s="54"/>
      <c r="C226" s="87">
        <f t="shared" si="51"/>
        <v>4</v>
      </c>
      <c r="D226" s="73"/>
      <c r="E226" s="70"/>
      <c r="F226" s="70">
        <f t="shared" si="52"/>
        <v>3</v>
      </c>
      <c r="G226" s="73"/>
      <c r="H226" s="76"/>
      <c r="I226" s="173">
        <f t="shared" si="50"/>
        <v>40.1</v>
      </c>
      <c r="J226" s="448">
        <f t="shared" si="50"/>
        <v>4.4000000000000004</v>
      </c>
      <c r="K226" s="449">
        <f t="shared" si="50"/>
        <v>4.5999999999999996</v>
      </c>
      <c r="L226" s="449">
        <f t="shared" si="50"/>
        <v>4.5999999999999996</v>
      </c>
      <c r="M226" s="449">
        <f t="shared" si="50"/>
        <v>4.5999999999999996</v>
      </c>
      <c r="N226" s="450">
        <f t="shared" si="50"/>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hidden="1" outlineLevel="3" x14ac:dyDescent="0.25">
      <c r="A227" s="45"/>
      <c r="B227" s="54"/>
      <c r="C227" s="87">
        <f t="shared" si="51"/>
        <v>4</v>
      </c>
      <c r="D227" s="73"/>
      <c r="E227" s="70"/>
      <c r="F227" s="70">
        <f t="shared" si="52"/>
        <v>3</v>
      </c>
      <c r="G227" s="73"/>
      <c r="H227" s="76"/>
      <c r="I227" s="173">
        <f t="shared" si="50"/>
        <v>45.1</v>
      </c>
      <c r="J227" s="448">
        <f t="shared" si="50"/>
        <v>4</v>
      </c>
      <c r="K227" s="449">
        <f t="shared" si="50"/>
        <v>4</v>
      </c>
      <c r="L227" s="449">
        <f t="shared" si="50"/>
        <v>4</v>
      </c>
      <c r="M227" s="449">
        <f t="shared" si="50"/>
        <v>4</v>
      </c>
      <c r="N227" s="450">
        <f t="shared" si="50"/>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hidden="1" outlineLevel="3" x14ac:dyDescent="0.25">
      <c r="A228" s="45"/>
      <c r="B228" s="54"/>
      <c r="C228" s="87">
        <f t="shared" si="51"/>
        <v>4</v>
      </c>
      <c r="D228" s="73"/>
      <c r="E228" s="70"/>
      <c r="F228" s="70">
        <f t="shared" si="52"/>
        <v>3</v>
      </c>
      <c r="G228" s="73"/>
      <c r="H228" s="76"/>
      <c r="I228" s="173">
        <f t="shared" si="50"/>
        <v>45.1</v>
      </c>
      <c r="J228" s="451">
        <f t="shared" si="50"/>
        <v>4</v>
      </c>
      <c r="K228" s="452">
        <f t="shared" si="50"/>
        <v>4</v>
      </c>
      <c r="L228" s="452">
        <f t="shared" si="50"/>
        <v>4</v>
      </c>
      <c r="M228" s="452">
        <f t="shared" si="50"/>
        <v>4</v>
      </c>
      <c r="N228" s="453">
        <f t="shared" si="50"/>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hidden="1" outlineLevel="3" x14ac:dyDescent="0.25">
      <c r="A229" s="45"/>
      <c r="B229" s="54"/>
      <c r="C229" s="87">
        <f t="shared" si="51"/>
        <v>4</v>
      </c>
      <c r="D229" s="73"/>
      <c r="E229" s="70"/>
      <c r="F229" s="70">
        <f t="shared" si="52"/>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hidden="1" outlineLevel="2" x14ac:dyDescent="0.2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3">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hidden="1" outlineLevel="3" x14ac:dyDescent="0.2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3"/>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hidden="1" outlineLevel="3" x14ac:dyDescent="0.25">
      <c r="A232" s="45"/>
      <c r="B232" s="54"/>
      <c r="C232" s="87">
        <f t="shared" si="54"/>
        <v>4</v>
      </c>
      <c r="D232" s="73"/>
      <c r="E232" s="70"/>
      <c r="F232" s="70">
        <f t="shared" si="55"/>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3"/>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hidden="1" outlineLevel="3" x14ac:dyDescent="0.25">
      <c r="A233" s="45"/>
      <c r="B233" s="54"/>
      <c r="C233" s="87">
        <f t="shared" si="54"/>
        <v>4</v>
      </c>
      <c r="D233" s="73"/>
      <c r="E233" s="70"/>
      <c r="F233" s="70">
        <f t="shared" si="55"/>
        <v>4</v>
      </c>
      <c r="G233" s="73"/>
      <c r="H233" s="97" t="s">
        <v>2555</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3"/>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hidden="1" outlineLevel="3" x14ac:dyDescent="0.25">
      <c r="A234" s="45"/>
      <c r="B234" s="54"/>
      <c r="C234" s="87">
        <f t="shared" si="54"/>
        <v>4</v>
      </c>
      <c r="D234" s="73"/>
      <c r="E234" s="70"/>
      <c r="F234" s="70">
        <f t="shared" si="55"/>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3"/>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hidden="1" outlineLevel="3" x14ac:dyDescent="0.25">
      <c r="A235" s="45"/>
      <c r="B235" s="54"/>
      <c r="C235" s="87">
        <f t="shared" si="54"/>
        <v>4</v>
      </c>
      <c r="D235" s="73"/>
      <c r="E235" s="70"/>
      <c r="F235" s="70">
        <f t="shared" si="55"/>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3"/>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hidden="1" outlineLevel="3" x14ac:dyDescent="0.25">
      <c r="A236" s="45"/>
      <c r="B236" s="54"/>
      <c r="C236" s="87">
        <f t="shared" si="54"/>
        <v>4</v>
      </c>
      <c r="D236" s="73"/>
      <c r="E236" s="70"/>
      <c r="F236" s="70">
        <f t="shared" si="55"/>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3"/>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hidden="1" outlineLevel="3" x14ac:dyDescent="0.25">
      <c r="A237" s="45"/>
      <c r="B237" s="54"/>
      <c r="C237" s="87">
        <f t="shared" si="54"/>
        <v>4</v>
      </c>
      <c r="D237" s="73"/>
      <c r="E237" s="70"/>
      <c r="F237" s="70">
        <f t="shared" si="55"/>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hidden="1" outlineLevel="2" x14ac:dyDescent="0.2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hidden="1" outlineLevel="3" x14ac:dyDescent="0.2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hidden="1" outlineLevel="3" x14ac:dyDescent="0.25">
      <c r="A240" s="45"/>
      <c r="B240" s="54"/>
      <c r="C240" s="87">
        <f t="shared" si="56"/>
        <v>4</v>
      </c>
      <c r="D240" s="73"/>
      <c r="E240" s="70"/>
      <c r="F240" s="70">
        <f t="shared" si="57"/>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hidden="1" outlineLevel="3" x14ac:dyDescent="0.25">
      <c r="A241" s="45"/>
      <c r="B241" s="54"/>
      <c r="C241" s="87">
        <f t="shared" si="56"/>
        <v>4</v>
      </c>
      <c r="D241" s="73"/>
      <c r="E241" s="70"/>
      <c r="F241" s="70">
        <f t="shared" si="57"/>
        <v>5</v>
      </c>
      <c r="G241" s="73"/>
      <c r="H241" s="97" t="s">
        <v>2556</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hidden="1" outlineLevel="3" x14ac:dyDescent="0.25">
      <c r="A242" s="45"/>
      <c r="B242" s="54"/>
      <c r="C242" s="87">
        <f t="shared" si="56"/>
        <v>4</v>
      </c>
      <c r="D242" s="73"/>
      <c r="E242" s="70"/>
      <c r="F242" s="70">
        <f t="shared" si="57"/>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hidden="1" outlineLevel="3" x14ac:dyDescent="0.25">
      <c r="A243" s="45"/>
      <c r="B243" s="54"/>
      <c r="C243" s="87">
        <f t="shared" si="56"/>
        <v>4</v>
      </c>
      <c r="D243" s="73"/>
      <c r="E243" s="70"/>
      <c r="F243" s="70">
        <f t="shared" si="57"/>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hidden="1" outlineLevel="3" x14ac:dyDescent="0.25">
      <c r="A244" s="45"/>
      <c r="B244" s="54"/>
      <c r="C244" s="87">
        <f t="shared" si="56"/>
        <v>4</v>
      </c>
      <c r="D244" s="73"/>
      <c r="E244" s="70"/>
      <c r="F244" s="70">
        <f t="shared" si="57"/>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hidden="1" outlineLevel="3" x14ac:dyDescent="0.25">
      <c r="A245" s="45"/>
      <c r="B245" s="54"/>
      <c r="C245" s="87">
        <f t="shared" si="56"/>
        <v>4</v>
      </c>
      <c r="D245" s="73"/>
      <c r="E245" s="70"/>
      <c r="F245" s="70">
        <f t="shared" si="57"/>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hidden="1" outlineLevel="2" x14ac:dyDescent="0.2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hidden="1" outlineLevel="3" x14ac:dyDescent="0.2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hidden="1" outlineLevel="3" x14ac:dyDescent="0.25">
      <c r="A248" s="45"/>
      <c r="B248" s="54"/>
      <c r="C248" s="87">
        <f t="shared" si="58"/>
        <v>4</v>
      </c>
      <c r="D248" s="73"/>
      <c r="E248" s="70"/>
      <c r="F248" s="70">
        <f t="shared" si="59"/>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hidden="1" outlineLevel="3" x14ac:dyDescent="0.25">
      <c r="A249" s="45"/>
      <c r="B249" s="54"/>
      <c r="C249" s="87">
        <f t="shared" si="58"/>
        <v>4</v>
      </c>
      <c r="D249" s="73"/>
      <c r="E249" s="70"/>
      <c r="F249" s="70">
        <f t="shared" si="59"/>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hidden="1" outlineLevel="3" x14ac:dyDescent="0.25">
      <c r="A250" s="45"/>
      <c r="B250" s="54"/>
      <c r="C250" s="87">
        <f t="shared" si="58"/>
        <v>4</v>
      </c>
      <c r="D250" s="73"/>
      <c r="E250" s="70"/>
      <c r="F250" s="70">
        <f t="shared" si="59"/>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hidden="1" outlineLevel="3" x14ac:dyDescent="0.25">
      <c r="A251" s="45"/>
      <c r="B251" s="54"/>
      <c r="C251" s="87">
        <f t="shared" si="58"/>
        <v>4</v>
      </c>
      <c r="D251" s="73"/>
      <c r="E251" s="70"/>
      <c r="F251" s="70">
        <f t="shared" si="59"/>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hidden="1" outlineLevel="3" x14ac:dyDescent="0.25">
      <c r="A252" s="45"/>
      <c r="B252" s="54"/>
      <c r="C252" s="87">
        <f t="shared" si="58"/>
        <v>4</v>
      </c>
      <c r="D252" s="73"/>
      <c r="E252" s="70"/>
      <c r="F252" s="70">
        <f t="shared" si="59"/>
        <v>6</v>
      </c>
      <c r="G252" s="73"/>
      <c r="H252" s="76"/>
      <c r="I252" s="173">
        <f t="shared" ref="I252:N252" si="60">I251</f>
        <v>45.1</v>
      </c>
      <c r="J252" s="465">
        <f t="shared" si="60"/>
        <v>4</v>
      </c>
      <c r="K252" s="466">
        <f t="shared" si="60"/>
        <v>4</v>
      </c>
      <c r="L252" s="466">
        <f t="shared" si="60"/>
        <v>4</v>
      </c>
      <c r="M252" s="466">
        <f t="shared" si="60"/>
        <v>4</v>
      </c>
      <c r="N252" s="467">
        <f t="shared" si="60"/>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hidden="1" outlineLevel="3" x14ac:dyDescent="0.25">
      <c r="A253" s="45"/>
      <c r="B253" s="54"/>
      <c r="C253" s="87">
        <f t="shared" si="58"/>
        <v>4</v>
      </c>
      <c r="D253" s="73"/>
      <c r="E253" s="70"/>
      <c r="F253" s="70">
        <f t="shared" si="59"/>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hidden="1" outlineLevel="2" x14ac:dyDescent="0.2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hidden="1" outlineLevel="3" x14ac:dyDescent="0.2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hidden="1" outlineLevel="3" x14ac:dyDescent="0.25">
      <c r="A256" s="45"/>
      <c r="B256" s="54"/>
      <c r="C256" s="87">
        <f t="shared" si="61"/>
        <v>4</v>
      </c>
      <c r="D256" s="73"/>
      <c r="E256" s="70"/>
      <c r="F256" s="70">
        <f t="shared" si="62"/>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hidden="1" outlineLevel="3" x14ac:dyDescent="0.25">
      <c r="A257" s="45"/>
      <c r="B257" s="54"/>
      <c r="C257" s="87">
        <f t="shared" si="61"/>
        <v>4</v>
      </c>
      <c r="D257" s="73"/>
      <c r="E257" s="70"/>
      <c r="F257" s="70">
        <f t="shared" si="62"/>
        <v>7</v>
      </c>
      <c r="G257" s="73"/>
      <c r="H257" s="76"/>
      <c r="I257" s="173">
        <f t="shared" ref="I257:N260" si="63">I256</f>
        <v>30</v>
      </c>
      <c r="J257" s="468">
        <f t="shared" si="63"/>
        <v>1</v>
      </c>
      <c r="K257" s="469">
        <f t="shared" si="63"/>
        <v>1</v>
      </c>
      <c r="L257" s="469">
        <f t="shared" si="63"/>
        <v>1</v>
      </c>
      <c r="M257" s="469">
        <f t="shared" si="63"/>
        <v>1</v>
      </c>
      <c r="N257" s="470">
        <f t="shared" si="63"/>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hidden="1" outlineLevel="3" x14ac:dyDescent="0.25">
      <c r="A258" s="45"/>
      <c r="B258" s="54"/>
      <c r="C258" s="87">
        <f t="shared" si="61"/>
        <v>4</v>
      </c>
      <c r="D258" s="73"/>
      <c r="E258" s="70"/>
      <c r="F258" s="70">
        <f t="shared" si="62"/>
        <v>7</v>
      </c>
      <c r="G258" s="73"/>
      <c r="H258" s="76"/>
      <c r="I258" s="173">
        <f t="shared" si="63"/>
        <v>30</v>
      </c>
      <c r="J258" s="468">
        <f t="shared" si="63"/>
        <v>1</v>
      </c>
      <c r="K258" s="469">
        <f t="shared" si="63"/>
        <v>1</v>
      </c>
      <c r="L258" s="469">
        <f t="shared" si="63"/>
        <v>1</v>
      </c>
      <c r="M258" s="469">
        <f t="shared" si="63"/>
        <v>1</v>
      </c>
      <c r="N258" s="470">
        <f t="shared" si="63"/>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hidden="1" outlineLevel="3" x14ac:dyDescent="0.25">
      <c r="A259" s="45"/>
      <c r="B259" s="54"/>
      <c r="C259" s="87">
        <f t="shared" si="61"/>
        <v>4</v>
      </c>
      <c r="D259" s="73"/>
      <c r="E259" s="70"/>
      <c r="F259" s="70">
        <f t="shared" si="62"/>
        <v>7</v>
      </c>
      <c r="G259" s="73"/>
      <c r="H259" s="76"/>
      <c r="I259" s="173">
        <f t="shared" si="63"/>
        <v>30</v>
      </c>
      <c r="J259" s="468">
        <f t="shared" si="63"/>
        <v>1</v>
      </c>
      <c r="K259" s="469">
        <f t="shared" si="63"/>
        <v>1</v>
      </c>
      <c r="L259" s="469">
        <f t="shared" si="63"/>
        <v>1</v>
      </c>
      <c r="M259" s="469">
        <f t="shared" si="63"/>
        <v>1</v>
      </c>
      <c r="N259" s="470">
        <f t="shared" si="63"/>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hidden="1" outlineLevel="3" x14ac:dyDescent="0.25">
      <c r="A260" s="45"/>
      <c r="B260" s="54"/>
      <c r="C260" s="87">
        <f t="shared" si="61"/>
        <v>4</v>
      </c>
      <c r="D260" s="73"/>
      <c r="E260" s="70"/>
      <c r="F260" s="70">
        <f t="shared" si="62"/>
        <v>7</v>
      </c>
      <c r="G260" s="73"/>
      <c r="H260" s="76"/>
      <c r="I260" s="173">
        <f t="shared" si="63"/>
        <v>30</v>
      </c>
      <c r="J260" s="465">
        <f t="shared" si="63"/>
        <v>1</v>
      </c>
      <c r="K260" s="466">
        <f t="shared" si="63"/>
        <v>1</v>
      </c>
      <c r="L260" s="466">
        <f t="shared" si="63"/>
        <v>1</v>
      </c>
      <c r="M260" s="466">
        <f t="shared" si="63"/>
        <v>1</v>
      </c>
      <c r="N260" s="467">
        <f t="shared" si="63"/>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hidden="1" outlineLevel="3" x14ac:dyDescent="0.25">
      <c r="A261" s="45"/>
      <c r="B261" s="54"/>
      <c r="C261" s="87">
        <f t="shared" si="61"/>
        <v>4</v>
      </c>
      <c r="D261" s="73"/>
      <c r="E261" s="70"/>
      <c r="F261" s="70">
        <f t="shared" si="62"/>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0999999999999996" hidden="1"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collapsed="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0999999999999996" hidden="1"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hidden="1"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hidden="1"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hidden="1"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hidden="1"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hidden="1"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hidden="1"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hidden="1"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hidden="1"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hidden="1"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hidden="1"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hidden="1"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hidden="1"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hidden="1"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hidden="1"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hidden="1"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hidden="1"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hidden="1"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hidden="1"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hidden="1"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0999999999999996" hidden="1"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0999999999999996" hidden="1"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0999999999999996" customHeight="1" collapsed="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hidden="1"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hidden="1"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0999999999999996" customHeight="1" outlineLevel="1" collapsed="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hidden="1"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00000000000001" customHeight="1" outlineLevel="1" collapsed="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0999999999999996" hidden="1"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hidden="1"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hidden="1"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hidden="1"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hidden="1"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45" hidden="1" customHeight="1" outlineLevel="2" collapsed="1"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hidden="1"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hidden="1"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collapsed="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0999999999999996" hidden="1"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hidden="1" outlineLevel="3" x14ac:dyDescent="0.2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hidden="1" outlineLevel="3" x14ac:dyDescent="0.2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hidden="1" outlineLevel="3" x14ac:dyDescent="0.2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hidden="1" outlineLevel="3" x14ac:dyDescent="0.2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hidden="1" outlineLevel="3" x14ac:dyDescent="0.2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hidden="1" outlineLevel="3" x14ac:dyDescent="0.2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hidden="1" outlineLevel="3" x14ac:dyDescent="0.2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hidden="1" outlineLevel="3" x14ac:dyDescent="0.2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hidden="1" outlineLevel="3" x14ac:dyDescent="0.2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0999999999999996" hidden="1"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collapsed="1" x14ac:dyDescent="0.2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0999999999999996" hidden="1"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5" hidden="1" outlineLevel="3" x14ac:dyDescent="0.25">
      <c r="A317" s="45"/>
      <c r="B317" s="54"/>
      <c r="C317" s="87">
        <f t="shared" ref="C317:C322" si="65">INT($C$293)+3</f>
        <v>4</v>
      </c>
      <c r="D317" s="73"/>
      <c r="E317" s="70"/>
      <c r="F317" s="70"/>
      <c r="G317" s="73"/>
      <c r="H317" s="187"/>
      <c r="I317" s="76"/>
      <c r="J317" s="270" t="s">
        <v>2140</v>
      </c>
      <c r="K317" s="270" t="s">
        <v>2136</v>
      </c>
      <c r="L317" s="270" t="s">
        <v>2137</v>
      </c>
      <c r="M317" s="270" t="s">
        <v>2955</v>
      </c>
      <c r="N317" s="270" t="s">
        <v>2954</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hidden="1" outlineLevel="3" x14ac:dyDescent="0.25">
      <c r="A318" s="45"/>
      <c r="B318" s="54"/>
      <c r="C318" s="87">
        <f t="shared" si="65"/>
        <v>4</v>
      </c>
      <c r="D318" s="73"/>
      <c r="E318" s="70"/>
      <c r="F318" s="70"/>
      <c r="G318" s="73"/>
      <c r="H318" s="76"/>
      <c r="I318" s="76"/>
      <c r="J318" s="96" t="s">
        <v>2141</v>
      </c>
      <c r="K318" s="96" t="s">
        <v>2138</v>
      </c>
      <c r="L318" s="96" t="s">
        <v>2139</v>
      </c>
      <c r="M318" s="96" t="s">
        <v>2952</v>
      </c>
      <c r="N318" s="96" t="s">
        <v>2953</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hidden="1" outlineLevel="3" x14ac:dyDescent="0.25">
      <c r="A319" s="45"/>
      <c r="B319" s="54"/>
      <c r="C319" s="87">
        <f t="shared" si="65"/>
        <v>4</v>
      </c>
      <c r="D319" s="73"/>
      <c r="E319" s="70"/>
      <c r="F319" s="70">
        <v>0</v>
      </c>
      <c r="G319" s="73"/>
      <c r="H319" s="188" t="s">
        <v>2142</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hidden="1" outlineLevel="3" x14ac:dyDescent="0.25">
      <c r="A320" s="45"/>
      <c r="B320" s="54"/>
      <c r="C320" s="87">
        <f t="shared" si="65"/>
        <v>4</v>
      </c>
      <c r="D320" s="73"/>
      <c r="E320" s="70"/>
      <c r="F320" s="70">
        <v>1</v>
      </c>
      <c r="G320" s="73"/>
      <c r="H320" s="188" t="s">
        <v>2134</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hidden="1" outlineLevel="3" x14ac:dyDescent="0.2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hidden="1" outlineLevel="3" x14ac:dyDescent="0.2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0999999999999996" hidden="1"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collapsed="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0999999999999996" hidden="1"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2.5" hidden="1" outlineLevel="2" x14ac:dyDescent="0.25">
      <c r="A326" s="45"/>
      <c r="B326" s="54"/>
      <c r="C326" s="87">
        <f>INT($C$293)+2</f>
        <v>3</v>
      </c>
      <c r="D326" s="73"/>
      <c r="E326" s="70"/>
      <c r="F326" s="70"/>
      <c r="G326" s="73"/>
      <c r="H326" s="109"/>
      <c r="I326" s="109"/>
      <c r="J326" s="109"/>
      <c r="K326" s="109"/>
      <c r="L326" s="109" t="s">
        <v>3016</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hidden="1"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2973</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hidden="1"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2974</v>
      </c>
      <c r="U328" s="191" t="s">
        <v>2972</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hidden="1" outlineLevel="3" x14ac:dyDescent="0.25">
      <c r="A329" s="45"/>
      <c r="B329" s="54"/>
      <c r="C329" s="87">
        <f>INT($C$293)+3</f>
        <v>4</v>
      </c>
      <c r="D329" s="73"/>
      <c r="E329" s="70"/>
      <c r="F329" s="70"/>
      <c r="G329" s="73"/>
      <c r="H329" s="76" t="s">
        <v>2971</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hidden="1" outlineLevel="3" x14ac:dyDescent="0.2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hidden="1" outlineLevel="3" x14ac:dyDescent="0.2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hidden="1" outlineLevel="3" x14ac:dyDescent="0.2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hidden="1" outlineLevel="3" x14ac:dyDescent="0.2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41"/>
      <c r="AT333" s="441"/>
    </row>
    <row r="334" spans="1:46" hidden="1" outlineLevel="3" x14ac:dyDescent="0.2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hidden="1" outlineLevel="3" x14ac:dyDescent="0.2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41"/>
      <c r="AT335" s="441"/>
    </row>
    <row r="336" spans="1:46" ht="33.75" hidden="1" outlineLevel="3" x14ac:dyDescent="0.2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2975</v>
      </c>
      <c r="U336" s="194" t="s">
        <v>2975</v>
      </c>
      <c r="V336" s="194"/>
      <c r="W336" s="194"/>
      <c r="X336" s="194" t="s">
        <v>2977</v>
      </c>
      <c r="Y336" s="194" t="s">
        <v>346</v>
      </c>
      <c r="Z336" s="194" t="s">
        <v>347</v>
      </c>
      <c r="AA336" s="194" t="s">
        <v>2977</v>
      </c>
      <c r="AB336" s="194" t="s">
        <v>2976</v>
      </c>
      <c r="AC336" s="194"/>
      <c r="AD336" s="194"/>
      <c r="AE336" s="194"/>
      <c r="AF336" s="194" t="s">
        <v>2978</v>
      </c>
      <c r="AG336" s="194"/>
      <c r="AH336" s="474"/>
      <c r="AI336" s="474"/>
      <c r="AJ336" s="474"/>
      <c r="AK336" s="474"/>
      <c r="AL336" s="474"/>
      <c r="AM336" s="474"/>
      <c r="AN336" s="73"/>
      <c r="AO336" s="57"/>
      <c r="AP336" s="45"/>
      <c r="AQ336" s="45"/>
      <c r="AR336" s="45"/>
      <c r="AS336" s="441"/>
      <c r="AT336" s="441"/>
    </row>
    <row r="337" spans="1:46" ht="5.0999999999999996" hidden="1" customHeight="1" outlineLevel="2" collapsed="1"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hidden="1"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collapsed="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0999999999999996" hidden="1"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hidden="1"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hidden="1"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41"/>
      <c r="AT342" s="441"/>
    </row>
    <row r="343" spans="1:46" hidden="1"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5"/>
      <c r="AI343" s="475"/>
      <c r="AJ343" s="475"/>
      <c r="AK343" s="475"/>
      <c r="AL343" s="475"/>
      <c r="AM343" s="475"/>
      <c r="AN343" s="73"/>
      <c r="AO343" s="57"/>
      <c r="AP343" s="45"/>
      <c r="AQ343" s="45"/>
      <c r="AR343" s="45"/>
      <c r="AS343" s="441"/>
      <c r="AT343" s="441"/>
    </row>
    <row r="344" spans="1:46" hidden="1" outlineLevel="3" x14ac:dyDescent="0.2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hidden="1" outlineLevel="3" x14ac:dyDescent="0.2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hidden="1" outlineLevel="3" x14ac:dyDescent="0.2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hidden="1" outlineLevel="3" x14ac:dyDescent="0.2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hidden="1" outlineLevel="3" x14ac:dyDescent="0.2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hidden="1" outlineLevel="3" x14ac:dyDescent="0.2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hidden="1" outlineLevel="3" x14ac:dyDescent="0.2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hidden="1" outlineLevel="3" x14ac:dyDescent="0.2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hidden="1" outlineLevel="3" x14ac:dyDescent="0.2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hidden="1" outlineLevel="3" x14ac:dyDescent="0.2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hidden="1" outlineLevel="3" x14ac:dyDescent="0.2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hidden="1" outlineLevel="3" x14ac:dyDescent="0.2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hidden="1" outlineLevel="3" x14ac:dyDescent="0.2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hidden="1" outlineLevel="3" x14ac:dyDescent="0.2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hidden="1" outlineLevel="3" x14ac:dyDescent="0.2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hidden="1" outlineLevel="3" x14ac:dyDescent="0.2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hidden="1" outlineLevel="3" x14ac:dyDescent="0.2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hidden="1" outlineLevel="3" x14ac:dyDescent="0.2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hidden="1" outlineLevel="3" x14ac:dyDescent="0.2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hidden="1" outlineLevel="3" x14ac:dyDescent="0.2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hidden="1" outlineLevel="3" x14ac:dyDescent="0.2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hidden="1" outlineLevel="3" x14ac:dyDescent="0.2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hidden="1" outlineLevel="3" x14ac:dyDescent="0.2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hidden="1" outlineLevel="3" x14ac:dyDescent="0.2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hidden="1" outlineLevel="3" x14ac:dyDescent="0.2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hidden="1" outlineLevel="3" x14ac:dyDescent="0.25">
      <c r="A369" s="45"/>
      <c r="B369" s="54"/>
      <c r="C369" s="87">
        <f t="shared" si="71"/>
        <v>4</v>
      </c>
      <c r="D369" s="73"/>
      <c r="E369" s="70"/>
      <c r="F369" s="70"/>
      <c r="G369" s="73"/>
      <c r="H369" s="76" t="s">
        <v>2330</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hidden="1" outlineLevel="3" x14ac:dyDescent="0.25">
      <c r="A370" s="45"/>
      <c r="B370" s="54"/>
      <c r="C370" s="87">
        <f t="shared" si="71"/>
        <v>4</v>
      </c>
      <c r="D370" s="73"/>
      <c r="E370" s="70"/>
      <c r="F370" s="70"/>
      <c r="G370" s="73"/>
      <c r="H370" s="76" t="s">
        <v>2331</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0999999999999996" hidden="1"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hidden="1"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hidden="1"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0999999999999996" hidden="1"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hidden="1"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hidden="1"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hidden="1"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0999999999999996" hidden="1"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0999999999999996" hidden="1"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0999999999999996" customHeight="1" collapsed="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hidden="1"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hidden="1"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0999999999999996" customHeight="1" outlineLevel="1" collapsed="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hidden="1"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00000000000001" customHeight="1" outlineLevel="1" collapsed="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0999999999999996" hidden="1"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hidden="1"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hidden="1" customHeight="1" outlineLevel="2" x14ac:dyDescent="0.2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hidden="1"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hidden="1" outlineLevel="2" x14ac:dyDescent="0.2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45" hidden="1" customHeight="1" outlineLevel="2" collapsed="1"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hidden="1"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hidden="1"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2676</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25">
      <c r="A400" s="45"/>
      <c r="B400" s="54"/>
      <c r="C400" s="87">
        <f>INT($C$387)+2</f>
        <v>3</v>
      </c>
      <c r="D400" s="73"/>
      <c r="E400" s="70"/>
      <c r="F400" s="70"/>
      <c r="G400" s="73"/>
      <c r="H400" s="76"/>
      <c r="I400" s="231" t="s">
        <v>128</v>
      </c>
      <c r="J400" s="96">
        <v>0</v>
      </c>
      <c r="K400" s="96">
        <v>1</v>
      </c>
      <c r="L400" s="96">
        <v>2</v>
      </c>
      <c r="M400" s="96" t="s">
        <v>2816</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2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25">
      <c r="A404" s="45"/>
      <c r="B404" s="54"/>
      <c r="C404" s="87">
        <f t="shared" si="73"/>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2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2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2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25">
      <c r="A408" s="45"/>
      <c r="B408" s="54"/>
      <c r="C408" s="87">
        <f t="shared" si="73"/>
        <v>4</v>
      </c>
      <c r="D408" s="73"/>
      <c r="E408" s="70"/>
      <c r="F408" s="70"/>
      <c r="G408" s="73"/>
      <c r="H408" s="284" t="s">
        <v>3253</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2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2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2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2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2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25">
      <c r="A414" s="45"/>
      <c r="B414" s="54"/>
      <c r="C414" s="87">
        <f t="shared" si="73"/>
        <v>4</v>
      </c>
      <c r="D414" s="73"/>
      <c r="E414" s="70"/>
      <c r="F414" s="70"/>
      <c r="G414" s="73"/>
      <c r="H414" s="284" t="s">
        <v>2880</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25">
      <c r="A415" s="45"/>
      <c r="B415" s="54"/>
      <c r="C415" s="87">
        <f t="shared" si="73"/>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25">
      <c r="A416" s="45"/>
      <c r="B416" s="54"/>
      <c r="C416" s="87">
        <f t="shared" si="73"/>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25">
      <c r="A417" s="45"/>
      <c r="B417" s="54"/>
      <c r="C417" s="87">
        <f t="shared" si="73"/>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2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2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2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2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0999999999999996" customHeight="1" collapsed="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hidden="1"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hidden="1"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2884</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2881</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2885</v>
      </c>
      <c r="J10" s="18"/>
      <c r="K10" s="18" t="s">
        <v>2886</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2887</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2882</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2883</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2992</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3" t="s">
        <v>2993</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2888</v>
      </c>
      <c r="J33" s="24"/>
      <c r="L33" s="632">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4" t="s">
        <v>2889</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4" t="s">
        <v>2890</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5" t="s">
        <v>2982</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5" t="s">
        <v>2981</v>
      </c>
      <c r="J37" s="24"/>
      <c r="L37" s="631">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2994</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4" t="s">
        <v>2995</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4" t="s">
        <v>2997</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4" t="s">
        <v>2996</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4" t="s">
        <v>3013</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4" t="s">
        <v>3014</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4" t="s">
        <v>3015</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2705</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4" t="s">
        <v>3481</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4" t="s">
        <v>3482</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4" t="s">
        <v>3483</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4" t="s">
        <v>3484</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4" t="s">
        <v>3018</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4" t="s">
        <v>3019</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4" t="s">
        <v>3020</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3003</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3008</v>
      </c>
      <c r="X68" s="21"/>
      <c r="Y68" s="18" t="s">
        <v>3008</v>
      </c>
      <c r="Z68" s="18"/>
      <c r="AA68" s="18"/>
      <c r="AB68" s="21"/>
      <c r="AC68" s="21"/>
      <c r="AD68" s="21"/>
      <c r="AE68" s="17"/>
      <c r="AF68" s="9"/>
      <c r="AG68" s="9"/>
      <c r="AH68" s="9"/>
    </row>
    <row r="69" spans="1:34" ht="12" customHeight="1" x14ac:dyDescent="0.25">
      <c r="A69" s="7"/>
      <c r="B69" s="8"/>
      <c r="C69" s="18"/>
      <c r="D69" s="18"/>
      <c r="E69" s="18"/>
      <c r="F69" s="18"/>
      <c r="G69" s="18" t="s">
        <v>3000</v>
      </c>
      <c r="H69" s="18"/>
      <c r="I69" s="18" t="s">
        <v>3002</v>
      </c>
      <c r="J69" s="18"/>
      <c r="K69" s="18"/>
      <c r="L69" s="18" t="s">
        <v>3001</v>
      </c>
      <c r="M69" s="18"/>
      <c r="N69" s="18" t="s">
        <v>2998</v>
      </c>
      <c r="O69" s="18"/>
      <c r="P69" s="18" t="s">
        <v>2999</v>
      </c>
      <c r="Q69" s="18"/>
      <c r="R69" s="18"/>
      <c r="S69" s="18"/>
      <c r="T69" s="18"/>
      <c r="U69" s="18" t="s">
        <v>3005</v>
      </c>
      <c r="V69" s="21"/>
      <c r="W69" s="18" t="s">
        <v>3006</v>
      </c>
      <c r="X69" s="21"/>
      <c r="Y69" s="18" t="s">
        <v>3007</v>
      </c>
      <c r="Z69" s="18"/>
      <c r="AA69" s="18" t="s">
        <v>3004</v>
      </c>
      <c r="AB69" s="21"/>
      <c r="AC69" s="21"/>
      <c r="AD69" s="21"/>
      <c r="AE69" s="17"/>
      <c r="AF69" s="9"/>
      <c r="AG69" s="9"/>
      <c r="AH69" s="9"/>
    </row>
    <row r="70" spans="1:34" ht="12" customHeight="1" x14ac:dyDescent="0.25">
      <c r="A70" s="7"/>
      <c r="B70" s="8"/>
      <c r="C70" s="18"/>
      <c r="D70" s="18"/>
      <c r="E70" s="18"/>
      <c r="F70" s="24"/>
      <c r="G70" s="384">
        <v>0.01</v>
      </c>
      <c r="H70" s="24"/>
      <c r="I70" s="384">
        <v>6.0000000000000001E-3</v>
      </c>
      <c r="J70" s="24"/>
      <c r="K70" s="24"/>
      <c r="L70" s="384">
        <v>0.4</v>
      </c>
      <c r="N70" s="384">
        <v>0.96</v>
      </c>
      <c r="O70" s="24"/>
      <c r="P70" s="514" t="str">
        <f>General!G65</f>
        <v>b</v>
      </c>
      <c r="Q70" s="384">
        <v>0.32</v>
      </c>
      <c r="R70" s="24"/>
      <c r="S70" s="24"/>
      <c r="T70" t="s">
        <v>3009</v>
      </c>
      <c r="U70" s="477">
        <v>0.4</v>
      </c>
      <c r="V70" s="24"/>
      <c r="W70" s="478">
        <v>1.4999999999999999E-2</v>
      </c>
      <c r="X70" s="488"/>
      <c r="Y70" s="478">
        <v>1.2E-2</v>
      </c>
      <c r="Z70" s="24"/>
      <c r="AA70" s="384">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4" t="str">
        <f>General!G66</f>
        <v>bd</v>
      </c>
      <c r="Q71" s="384">
        <v>0.32</v>
      </c>
      <c r="R71" s="24"/>
      <c r="S71" s="24"/>
      <c r="T71" t="s">
        <v>3010</v>
      </c>
      <c r="U71" s="477">
        <v>0.4</v>
      </c>
      <c r="V71" s="24"/>
      <c r="W71" s="478">
        <v>2.7E-2</v>
      </c>
      <c r="X71" s="488"/>
      <c r="Y71" s="478">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4" t="str">
        <f>General!G67</f>
        <v>f</v>
      </c>
      <c r="Q72" s="384">
        <v>0.51</v>
      </c>
      <c r="R72" s="24"/>
      <c r="S72" s="24"/>
      <c r="T72" t="s">
        <v>3011</v>
      </c>
      <c r="U72" s="477">
        <v>0.8</v>
      </c>
      <c r="V72" s="24"/>
      <c r="W72" s="478">
        <v>1.4999999999999999E-2</v>
      </c>
      <c r="X72" s="488"/>
      <c r="Y72" s="478">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4" t="str">
        <f>General!G68</f>
        <v>h</v>
      </c>
      <c r="Q73" s="384">
        <v>0.43</v>
      </c>
      <c r="R73" s="24"/>
      <c r="S73" s="24"/>
      <c r="T73" t="s">
        <v>3012</v>
      </c>
      <c r="U73" s="477">
        <v>0.4</v>
      </c>
      <c r="V73" s="24"/>
      <c r="W73" s="478">
        <v>1.4999999999999999E-2</v>
      </c>
      <c r="X73" s="488"/>
      <c r="Y73" s="478">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4" t="str">
        <f>General!G69</f>
        <v>i</v>
      </c>
      <c r="Q74" s="384">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4" t="str">
        <f>General!G70</f>
        <v>k</v>
      </c>
      <c r="Q75" s="384">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4" t="str">
        <f>General!G71</f>
        <v>l</v>
      </c>
      <c r="Q76" s="384">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4" t="str">
        <f>General!G72</f>
        <v>lf</v>
      </c>
      <c r="Q77" s="384">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4" t="str">
        <f>General!G73</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4" t="str">
        <f>General!G74</f>
        <v>o</v>
      </c>
      <c r="Q79" s="384">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4" t="str">
        <f>General!G75</f>
        <v>od</v>
      </c>
      <c r="Q80" s="384">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4" t="str">
        <f>General!G76</f>
        <v>of</v>
      </c>
      <c r="Q81" s="384">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4" t="str">
        <f>General!G77</f>
        <v>r</v>
      </c>
      <c r="Q82" s="384">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4" t="str">
        <f>General!G78</f>
        <v>rd</v>
      </c>
      <c r="Q83" s="384">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4" t="str">
        <f>General!G79</f>
        <v>v</v>
      </c>
      <c r="Q84" s="384">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4" t="str">
        <f>General!G80</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4" t="str">
        <f>General!G81</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4" t="str">
        <f>General!G82</f>
        <v>z</v>
      </c>
      <c r="Q87" s="384">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4"/>
      <c r="I88" s="484"/>
      <c r="J88" s="24"/>
      <c r="K88" s="484"/>
      <c r="N88" s="484"/>
      <c r="O88" s="24"/>
      <c r="P88" s="514" t="str">
        <f>General!G83</f>
        <v>zd</v>
      </c>
      <c r="Q88" s="384">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2983</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2990</v>
      </c>
      <c r="M101" s="18"/>
      <c r="N101" s="18" t="s">
        <v>2989</v>
      </c>
      <c r="O101" s="18"/>
      <c r="P101" s="18" t="s">
        <v>2991</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83" t="s">
        <v>2985</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4" t="s">
        <v>2986</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3" t="s">
        <v>2984</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4"/>
      <c r="I106" s="484" t="s">
        <v>2987</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4"/>
      <c r="I107" s="484" t="s">
        <v>2988</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4"/>
      <c r="I110" s="345" t="s">
        <v>3021</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4"/>
      <c r="I111" s="325" t="s">
        <v>3022</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4"/>
      <c r="I112" s="325" t="s">
        <v>3023</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4"/>
      <c r="I113" s="325" t="s">
        <v>3024</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opLeftCell="A3" zoomScale="85" zoomScaleNormal="85" workbookViewId="0">
      <pane xSplit="9" ySplit="36" topLeftCell="J1316" activePane="bottomRight" state="frozen"/>
      <selection activeCell="A3" sqref="A3"/>
      <selection pane="topRight" activeCell="J3" sqref="J3"/>
      <selection pane="bottomLeft" activeCell="A39" sqref="A39"/>
      <selection pane="bottomRight" activeCell="U984" sqref="U984"/>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45932.5419644676</v>
      </c>
      <c r="J11" s="635" t="s">
        <v>3610</v>
      </c>
      <c r="K11" s="636"/>
      <c r="L11" s="636"/>
      <c r="M11" s="636"/>
      <c r="N11" s="636"/>
      <c r="O11" s="636"/>
      <c r="P11" s="636"/>
      <c r="Q11" s="636"/>
      <c r="R11" s="636"/>
      <c r="S11" s="636"/>
      <c r="T11" s="636"/>
      <c r="U11" s="636"/>
      <c r="V11" s="636"/>
      <c r="W11" s="636"/>
      <c r="X11" s="636"/>
      <c r="Y11" s="636"/>
      <c r="Z11" s="636"/>
      <c r="AA11" s="636"/>
      <c r="AB11" s="373"/>
      <c r="AC11" s="373"/>
      <c r="AD11" s="37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45933.569819097203</v>
      </c>
      <c r="J12" s="646" t="s">
        <v>3767</v>
      </c>
      <c r="K12" s="647"/>
      <c r="L12" s="647"/>
      <c r="M12" s="647"/>
      <c r="N12" s="647"/>
      <c r="O12" s="647"/>
      <c r="P12" s="647"/>
      <c r="Q12" s="647"/>
      <c r="R12" s="647"/>
      <c r="S12" s="647"/>
      <c r="T12" s="647"/>
      <c r="U12" s="647"/>
      <c r="V12" s="647"/>
      <c r="W12" s="647"/>
      <c r="X12" s="647"/>
      <c r="Y12" s="647"/>
      <c r="Z12" s="647"/>
      <c r="AA12" s="647"/>
      <c r="AB12" s="375"/>
      <c r="AC12" s="375"/>
      <c r="AD12" s="376"/>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2949</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3310</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3292</v>
      </c>
      <c r="X35" s="617" t="s">
        <v>3293</v>
      </c>
      <c r="Y35" s="72" t="s">
        <v>3291</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3303</v>
      </c>
      <c r="G44" s="73"/>
      <c r="H44" s="129" t="s">
        <v>2969</v>
      </c>
      <c r="I44" s="96" t="s">
        <v>692</v>
      </c>
      <c r="J44" s="96"/>
      <c r="K44" s="76"/>
      <c r="L44" s="76"/>
      <c r="M44" s="76"/>
      <c r="N44" s="76"/>
      <c r="O44" s="76"/>
      <c r="P44" s="76"/>
      <c r="Q44" s="76"/>
      <c r="R44" s="76"/>
      <c r="S44" s="76"/>
      <c r="T44" s="76" t="s">
        <v>3300</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2951</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2968</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3302</v>
      </c>
      <c r="G50" s="73"/>
      <c r="H50" s="129" t="s">
        <v>464</v>
      </c>
      <c r="I50" s="96" t="s">
        <v>465</v>
      </c>
      <c r="J50" s="96"/>
      <c r="K50" s="76"/>
      <c r="L50" s="76"/>
      <c r="M50" s="76"/>
      <c r="N50" s="76"/>
      <c r="O50" s="76"/>
      <c r="P50" s="76"/>
      <c r="Q50" s="76"/>
      <c r="R50" s="76"/>
      <c r="S50" s="76"/>
      <c r="T50" s="76" t="s">
        <v>3300</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3301</v>
      </c>
      <c r="G51" s="73"/>
      <c r="H51" s="129" t="s">
        <v>466</v>
      </c>
      <c r="I51" s="96" t="s">
        <v>1403</v>
      </c>
      <c r="J51" s="96"/>
      <c r="K51" s="76"/>
      <c r="L51" s="76"/>
      <c r="M51" s="76"/>
      <c r="N51" s="76"/>
      <c r="O51" s="76"/>
      <c r="P51" s="76"/>
      <c r="Q51" s="76"/>
      <c r="R51" s="76"/>
      <c r="S51" s="76"/>
      <c r="T51" s="76" t="s">
        <v>3300</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2959</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2960</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2961</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2962</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2963</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2964</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2522</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2548</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2549</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2724</v>
      </c>
      <c r="I60" s="96" t="s">
        <v>2366</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2519</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2723</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2722</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2723</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2723</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2742</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2571</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2950</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2764</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2915</v>
      </c>
      <c r="G111" s="73"/>
      <c r="H111" s="76" t="s">
        <v>2916</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2917</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2918</v>
      </c>
      <c r="G112" s="73" t="s">
        <v>131</v>
      </c>
      <c r="H112" s="76" t="s">
        <v>2919</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2917</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2920</v>
      </c>
      <c r="G113" s="73" t="s">
        <v>131</v>
      </c>
      <c r="H113" s="76" t="s">
        <v>2921</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2922</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2923</v>
      </c>
      <c r="G114" s="73" t="s">
        <v>131</v>
      </c>
      <c r="H114" s="76" t="s">
        <v>2924</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2925</v>
      </c>
      <c r="G115" s="73" t="s">
        <v>131</v>
      </c>
      <c r="H115" s="76" t="s">
        <v>2926</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2927</v>
      </c>
      <c r="G116" s="73" t="s">
        <v>131</v>
      </c>
      <c r="H116" s="76" t="s">
        <v>2928</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2929</v>
      </c>
      <c r="G117" s="73" t="s">
        <v>131</v>
      </c>
      <c r="H117" s="76" t="s">
        <v>2930</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2931</v>
      </c>
      <c r="G118" s="73" t="s">
        <v>131</v>
      </c>
      <c r="H118" s="76" t="s">
        <v>2932</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2933</v>
      </c>
      <c r="G119" s="73" t="s">
        <v>131</v>
      </c>
      <c r="H119" s="76" t="s">
        <v>2934</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2935</v>
      </c>
      <c r="G120" s="73" t="s">
        <v>131</v>
      </c>
      <c r="H120" s="76" t="s">
        <v>2936</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2937</v>
      </c>
      <c r="G121" s="73" t="s">
        <v>131</v>
      </c>
      <c r="H121" s="76" t="s">
        <v>2938</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2939</v>
      </c>
      <c r="G122" s="73" t="s">
        <v>131</v>
      </c>
      <c r="H122" s="76" t="s">
        <v>2940</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2941</v>
      </c>
      <c r="G123" s="73" t="s">
        <v>131</v>
      </c>
      <c r="H123" s="76" t="s">
        <v>2942</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2943</v>
      </c>
      <c r="G124" s="73" t="s">
        <v>131</v>
      </c>
      <c r="H124" s="76" t="s">
        <v>2944</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2945</v>
      </c>
      <c r="G125" s="73" t="s">
        <v>131</v>
      </c>
      <c r="H125" s="76" t="s">
        <v>2946</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3300</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2835</v>
      </c>
      <c r="S175" s="76" t="s">
        <v>2835</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2835</v>
      </c>
      <c r="S176" s="76" t="s">
        <v>2835</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2834</v>
      </c>
      <c r="I177" s="96" t="s">
        <v>502</v>
      </c>
      <c r="J177" s="96"/>
      <c r="K177" s="97">
        <v>0.85</v>
      </c>
      <c r="L177" s="97">
        <v>0.85</v>
      </c>
      <c r="M177" s="97">
        <v>0.85</v>
      </c>
      <c r="N177" s="97">
        <v>0.85</v>
      </c>
      <c r="O177" s="97">
        <v>0.85</v>
      </c>
      <c r="P177" s="97">
        <v>0.85</v>
      </c>
      <c r="Q177" s="76"/>
      <c r="R177" s="76" t="s">
        <v>2835</v>
      </c>
      <c r="S177" s="76" t="s">
        <v>2835</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2837</v>
      </c>
      <c r="S178" s="76" t="s">
        <v>2837</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2835</v>
      </c>
      <c r="S179" s="76" t="s">
        <v>2835</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2835</v>
      </c>
      <c r="S180" s="76" t="s">
        <v>2835</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2838</v>
      </c>
      <c r="S181" s="76" t="s">
        <v>2838</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2835</v>
      </c>
      <c r="S182" s="76" t="s">
        <v>2835</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2835</v>
      </c>
      <c r="S183" s="76" t="s">
        <v>2835</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2835</v>
      </c>
      <c r="S184" s="76" t="s">
        <v>2835</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2835</v>
      </c>
      <c r="S185" s="76" t="s">
        <v>2835</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2836</v>
      </c>
      <c r="I186" s="96" t="s">
        <v>502</v>
      </c>
      <c r="J186" s="96"/>
      <c r="K186" s="97">
        <v>0.7</v>
      </c>
      <c r="L186" s="97">
        <v>0.7</v>
      </c>
      <c r="M186" s="97">
        <v>0.7</v>
      </c>
      <c r="N186" s="97">
        <v>0.7</v>
      </c>
      <c r="O186" s="97">
        <v>0.7</v>
      </c>
      <c r="P186" s="97">
        <v>0.7</v>
      </c>
      <c r="Q186" s="76"/>
      <c r="R186" s="76" t="s">
        <v>2835</v>
      </c>
      <c r="S186" s="76" t="s">
        <v>2835</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2835</v>
      </c>
      <c r="S187" s="76" t="s">
        <v>2835</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2835</v>
      </c>
      <c r="S188" s="76" t="s">
        <v>2835</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2835</v>
      </c>
      <c r="S189" s="76" t="s">
        <v>2835</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2835</v>
      </c>
      <c r="S190" s="76" t="s">
        <v>2835</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3254</v>
      </c>
      <c r="I191" s="96" t="s">
        <v>626</v>
      </c>
      <c r="J191" s="96"/>
      <c r="K191" s="97">
        <v>0.43</v>
      </c>
      <c r="L191" s="97">
        <v>0.43</v>
      </c>
      <c r="M191" s="76"/>
      <c r="N191" s="76"/>
      <c r="O191" s="76"/>
      <c r="P191" s="76"/>
      <c r="Q191" s="76"/>
      <c r="R191" s="76" t="s">
        <v>2835</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2821</v>
      </c>
      <c r="G192" s="73"/>
      <c r="H192" s="76" t="s">
        <v>3202</v>
      </c>
      <c r="I192" s="96" t="s">
        <v>2833</v>
      </c>
      <c r="J192" s="96"/>
      <c r="K192" s="97">
        <v>8.9999999999999993E-3</v>
      </c>
      <c r="L192" s="97">
        <v>8.9999999999999993E-3</v>
      </c>
      <c r="M192" s="97">
        <v>8.9999999999999993E-3</v>
      </c>
      <c r="N192" s="97">
        <v>8.9999999999999993E-3</v>
      </c>
      <c r="O192" s="97">
        <v>8.9999999999999993E-3</v>
      </c>
      <c r="P192" s="97">
        <v>8.9999999999999993E-3</v>
      </c>
      <c r="Q192" s="76"/>
      <c r="R192" s="76" t="s">
        <v>3199</v>
      </c>
      <c r="S192" s="76" t="s">
        <v>3199</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2822</v>
      </c>
      <c r="G193" s="73"/>
      <c r="H193" s="76" t="s">
        <v>3203</v>
      </c>
      <c r="I193" s="96" t="s">
        <v>2833</v>
      </c>
      <c r="J193" s="96"/>
      <c r="K193" s="97">
        <v>7.6536</v>
      </c>
      <c r="L193" s="97">
        <v>7.6536</v>
      </c>
      <c r="M193" s="97">
        <v>7.6536</v>
      </c>
      <c r="N193" s="97">
        <v>7.6536</v>
      </c>
      <c r="O193" s="97">
        <v>7.6536</v>
      </c>
      <c r="P193" s="97">
        <v>7.6536</v>
      </c>
      <c r="Q193" s="76"/>
      <c r="R193" s="76" t="s">
        <v>3199</v>
      </c>
      <c r="S193" s="76" t="s">
        <v>3199</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2826</v>
      </c>
      <c r="G194" s="73"/>
      <c r="H194" s="76" t="s">
        <v>2873</v>
      </c>
      <c r="I194" s="96" t="s">
        <v>2833</v>
      </c>
      <c r="J194" s="96"/>
      <c r="K194" s="97">
        <v>0.43</v>
      </c>
      <c r="L194" s="97">
        <v>0.43</v>
      </c>
      <c r="M194" s="97">
        <v>0.43</v>
      </c>
      <c r="N194" s="97">
        <v>0.43</v>
      </c>
      <c r="O194" s="97">
        <v>0.43</v>
      </c>
      <c r="P194" s="97">
        <v>0.43</v>
      </c>
      <c r="Q194" s="76"/>
      <c r="R194" s="76" t="s">
        <v>2832</v>
      </c>
      <c r="S194" s="76" t="s">
        <v>2832</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2827</v>
      </c>
      <c r="G195" s="73"/>
      <c r="H195" s="76" t="s">
        <v>2874</v>
      </c>
      <c r="I195" s="96" t="s">
        <v>2833</v>
      </c>
      <c r="J195" s="96"/>
      <c r="K195" s="97">
        <f>1/0.4-1</f>
        <v>1.5</v>
      </c>
      <c r="L195" s="97">
        <f t="shared" ref="L195:P196" si="31">K195</f>
        <v>1.5</v>
      </c>
      <c r="M195" s="97">
        <f t="shared" si="31"/>
        <v>1.5</v>
      </c>
      <c r="N195" s="97">
        <f t="shared" si="31"/>
        <v>1.5</v>
      </c>
      <c r="O195" s="97">
        <f t="shared" si="31"/>
        <v>1.5</v>
      </c>
      <c r="P195" s="97">
        <f t="shared" si="31"/>
        <v>1.5</v>
      </c>
      <c r="Q195" s="76"/>
      <c r="R195" s="76" t="s">
        <v>2832</v>
      </c>
      <c r="S195" s="76" t="s">
        <v>2832</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2823</v>
      </c>
      <c r="G196" s="73"/>
      <c r="H196" s="76" t="s">
        <v>2875</v>
      </c>
      <c r="I196" s="96" t="s">
        <v>2833</v>
      </c>
      <c r="J196" s="96"/>
      <c r="K196" s="97">
        <f>1/0.4-1</f>
        <v>1.5</v>
      </c>
      <c r="L196" s="97">
        <f t="shared" si="31"/>
        <v>1.5</v>
      </c>
      <c r="M196" s="97">
        <f t="shared" si="31"/>
        <v>1.5</v>
      </c>
      <c r="N196" s="97">
        <f t="shared" si="31"/>
        <v>1.5</v>
      </c>
      <c r="O196" s="97">
        <f t="shared" si="31"/>
        <v>1.5</v>
      </c>
      <c r="P196" s="97">
        <f t="shared" si="31"/>
        <v>1.5</v>
      </c>
      <c r="Q196" s="76"/>
      <c r="R196" s="76" t="s">
        <v>2832</v>
      </c>
      <c r="S196" s="76" t="s">
        <v>2832</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2824</v>
      </c>
      <c r="G197" s="73"/>
      <c r="H197" s="76" t="s">
        <v>2876</v>
      </c>
      <c r="I197" s="96" t="s">
        <v>2833</v>
      </c>
      <c r="J197" s="96"/>
      <c r="K197" s="97">
        <f>1/0.4-1</f>
        <v>1.5</v>
      </c>
      <c r="L197" s="334">
        <f>K197</f>
        <v>1.5</v>
      </c>
      <c r="M197" s="76"/>
      <c r="N197" s="76"/>
      <c r="O197" s="76"/>
      <c r="P197" s="76"/>
      <c r="Q197" s="76"/>
      <c r="R197" s="76" t="s">
        <v>2832</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2825</v>
      </c>
      <c r="G198" s="73"/>
      <c r="H198" s="76" t="s">
        <v>3200</v>
      </c>
      <c r="I198" s="96" t="s">
        <v>2833</v>
      </c>
      <c r="J198" s="96"/>
      <c r="K198" s="97">
        <f t="shared" ref="K198:P198" si="33">1/0.2-1</f>
        <v>4</v>
      </c>
      <c r="L198" s="97">
        <f t="shared" si="33"/>
        <v>4</v>
      </c>
      <c r="M198" s="97">
        <f t="shared" si="33"/>
        <v>4</v>
      </c>
      <c r="N198" s="97">
        <f t="shared" si="33"/>
        <v>4</v>
      </c>
      <c r="O198" s="97">
        <f t="shared" si="33"/>
        <v>4</v>
      </c>
      <c r="P198" s="97">
        <f t="shared" si="33"/>
        <v>4</v>
      </c>
      <c r="Q198" s="76"/>
      <c r="R198" s="76" t="s">
        <v>3199</v>
      </c>
      <c r="S198" s="76" t="s">
        <v>3199</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2828</v>
      </c>
      <c r="G199" s="73"/>
      <c r="H199" s="76" t="s">
        <v>3201</v>
      </c>
      <c r="I199" s="96" t="s">
        <v>2833</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3199</v>
      </c>
      <c r="S199" s="76" t="s">
        <v>3199</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2829</v>
      </c>
      <c r="G200" s="73"/>
      <c r="H200" s="76" t="s">
        <v>2877</v>
      </c>
      <c r="I200" s="96" t="s">
        <v>2833</v>
      </c>
      <c r="J200" s="96"/>
      <c r="K200" s="97">
        <v>0</v>
      </c>
      <c r="L200" s="97">
        <v>0</v>
      </c>
      <c r="M200" s="97">
        <v>0</v>
      </c>
      <c r="N200" s="97">
        <v>0</v>
      </c>
      <c r="O200" s="97">
        <v>0</v>
      </c>
      <c r="P200" s="97">
        <v>0</v>
      </c>
      <c r="Q200" s="76"/>
      <c r="R200" s="76" t="s">
        <v>2832</v>
      </c>
      <c r="S200" s="76" t="s">
        <v>2832</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2830</v>
      </c>
      <c r="G201" s="73"/>
      <c r="H201" s="76" t="s">
        <v>2878</v>
      </c>
      <c r="I201" s="96" t="s">
        <v>2833</v>
      </c>
      <c r="J201" s="96"/>
      <c r="K201" s="97">
        <v>0</v>
      </c>
      <c r="L201" s="97">
        <v>0</v>
      </c>
      <c r="M201" s="97">
        <v>0</v>
      </c>
      <c r="N201" s="97">
        <v>0</v>
      </c>
      <c r="O201" s="97">
        <v>0</v>
      </c>
      <c r="P201" s="97">
        <v>0</v>
      </c>
      <c r="Q201" s="76"/>
      <c r="R201" s="76" t="s">
        <v>2832</v>
      </c>
      <c r="S201" s="76" t="s">
        <v>2832</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2831</v>
      </c>
      <c r="G202" s="73"/>
      <c r="H202" s="76" t="s">
        <v>2879</v>
      </c>
      <c r="I202" s="96" t="s">
        <v>2833</v>
      </c>
      <c r="J202" s="96"/>
      <c r="K202" s="97">
        <v>0</v>
      </c>
      <c r="L202" s="97">
        <v>0</v>
      </c>
      <c r="M202" s="97">
        <v>0</v>
      </c>
      <c r="N202" s="97">
        <v>0</v>
      </c>
      <c r="O202" s="97">
        <v>0</v>
      </c>
      <c r="P202" s="97">
        <v>0</v>
      </c>
      <c r="Q202" s="76"/>
      <c r="R202" s="76" t="s">
        <v>2832</v>
      </c>
      <c r="S202" s="76" t="s">
        <v>2832</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3255</v>
      </c>
      <c r="G203" s="73"/>
      <c r="H203" s="76" t="s">
        <v>3263</v>
      </c>
      <c r="I203" s="96" t="s">
        <v>626</v>
      </c>
      <c r="J203" s="96"/>
      <c r="K203" s="281">
        <f>K$179 / 0.7</f>
        <v>0.57142857142857151</v>
      </c>
      <c r="L203" s="281">
        <f t="shared" ref="L203:L209" si="35">K203</f>
        <v>0.57142857142857151</v>
      </c>
      <c r="M203" s="76"/>
      <c r="N203" s="76"/>
      <c r="O203" s="76"/>
      <c r="P203" s="76"/>
      <c r="Q203" s="76"/>
      <c r="R203" s="76" t="s">
        <v>2835</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3256</v>
      </c>
      <c r="G204" s="73"/>
      <c r="H204" s="76" t="s">
        <v>3264</v>
      </c>
      <c r="I204" s="96" t="s">
        <v>626</v>
      </c>
      <c r="J204" s="96"/>
      <c r="K204" s="281">
        <f>K$180 / 0.7</f>
        <v>2.8571428571428574E-2</v>
      </c>
      <c r="L204" s="281">
        <f t="shared" si="35"/>
        <v>2.8571428571428574E-2</v>
      </c>
      <c r="M204" s="76"/>
      <c r="N204" s="76"/>
      <c r="O204" s="76"/>
      <c r="P204" s="76"/>
      <c r="Q204" s="76"/>
      <c r="R204" s="76" t="s">
        <v>2835</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3257</v>
      </c>
      <c r="G205" s="73"/>
      <c r="H205" s="76" t="s">
        <v>3265</v>
      </c>
      <c r="I205" s="96" t="s">
        <v>626</v>
      </c>
      <c r="J205" s="96"/>
      <c r="K205" s="281">
        <f>K$182 / 0.7</f>
        <v>0.19000000000000003</v>
      </c>
      <c r="L205" s="281">
        <f t="shared" si="35"/>
        <v>0.19000000000000003</v>
      </c>
      <c r="M205" s="76"/>
      <c r="N205" s="76"/>
      <c r="O205" s="76"/>
      <c r="P205" s="76"/>
      <c r="Q205" s="76"/>
      <c r="R205" s="76" t="s">
        <v>2835</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3258</v>
      </c>
      <c r="G206" s="73"/>
      <c r="H206" s="76" t="s">
        <v>3266</v>
      </c>
      <c r="I206" s="96" t="s">
        <v>626</v>
      </c>
      <c r="J206" s="96"/>
      <c r="K206" s="281">
        <f>1/(1+K$194)</f>
        <v>0.69930069930069938</v>
      </c>
      <c r="L206" s="281">
        <f t="shared" si="35"/>
        <v>0.69930069930069938</v>
      </c>
      <c r="M206" s="76"/>
      <c r="N206" s="76"/>
      <c r="O206" s="76"/>
      <c r="P206" s="76"/>
      <c r="Q206" s="76"/>
      <c r="R206" s="76" t="s">
        <v>3270</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3260</v>
      </c>
      <c r="G207" s="73"/>
      <c r="H207" s="76" t="s">
        <v>3267</v>
      </c>
      <c r="I207" s="96" t="s">
        <v>626</v>
      </c>
      <c r="J207" s="96"/>
      <c r="K207" s="258">
        <v>1</v>
      </c>
      <c r="L207" s="258">
        <f t="shared" si="35"/>
        <v>1</v>
      </c>
      <c r="M207" s="76"/>
      <c r="N207" s="76"/>
      <c r="O207" s="76"/>
      <c r="P207" s="76"/>
      <c r="Q207" s="76"/>
      <c r="R207" s="76" t="s">
        <v>3270</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3259</v>
      </c>
      <c r="G208" s="73"/>
      <c r="H208" s="76" t="s">
        <v>3268</v>
      </c>
      <c r="I208" s="96" t="s">
        <v>626</v>
      </c>
      <c r="J208" s="96"/>
      <c r="K208" s="281">
        <f>1/(1+K$195)</f>
        <v>0.4</v>
      </c>
      <c r="L208" s="281">
        <f t="shared" si="35"/>
        <v>0.4</v>
      </c>
      <c r="M208" s="76"/>
      <c r="N208" s="76"/>
      <c r="O208" s="76"/>
      <c r="P208" s="76"/>
      <c r="Q208" s="76"/>
      <c r="R208" s="76" t="s">
        <v>3270</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3261</v>
      </c>
      <c r="G209" s="73"/>
      <c r="H209" s="76" t="s">
        <v>3269</v>
      </c>
      <c r="I209" s="96" t="s">
        <v>626</v>
      </c>
      <c r="J209" s="96"/>
      <c r="K209" s="258">
        <v>1</v>
      </c>
      <c r="L209" s="258">
        <f t="shared" si="35"/>
        <v>1</v>
      </c>
      <c r="M209" s="76"/>
      <c r="N209" s="76"/>
      <c r="O209" s="76"/>
      <c r="P209" s="76"/>
      <c r="Q209" s="76"/>
      <c r="R209" s="76" t="s">
        <v>3270</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3262</v>
      </c>
      <c r="G210" s="73"/>
      <c r="H210" s="76" t="s">
        <v>3272</v>
      </c>
      <c r="I210" s="96" t="s">
        <v>502</v>
      </c>
      <c r="J210" s="96"/>
      <c r="K210" s="97">
        <v>0.7</v>
      </c>
      <c r="L210" s="97">
        <v>0.7</v>
      </c>
      <c r="M210" s="97">
        <v>0.7</v>
      </c>
      <c r="N210" s="97">
        <v>0.7</v>
      </c>
      <c r="O210" s="97">
        <v>0.7</v>
      </c>
      <c r="P210" s="97">
        <v>0.7</v>
      </c>
      <c r="Q210" s="76"/>
      <c r="R210" s="76" t="s">
        <v>2835</v>
      </c>
      <c r="S210" s="76" t="s">
        <v>2835</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3271</v>
      </c>
      <c r="G211" s="73"/>
      <c r="H211" s="76" t="s">
        <v>3288</v>
      </c>
      <c r="I211" s="96" t="s">
        <v>626</v>
      </c>
      <c r="J211" s="96"/>
      <c r="K211" s="281">
        <f>0.448*K$175</f>
        <v>0.224</v>
      </c>
      <c r="L211" s="281">
        <f>K211</f>
        <v>0.224</v>
      </c>
      <c r="M211" s="76"/>
      <c r="N211" s="76"/>
      <c r="O211" s="76"/>
      <c r="P211" s="76"/>
      <c r="Q211" s="76"/>
      <c r="R211" s="76" t="s">
        <v>3290</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3287</v>
      </c>
      <c r="G212" s="73"/>
      <c r="H212" s="76" t="s">
        <v>3289</v>
      </c>
      <c r="I212" s="96" t="s">
        <v>626</v>
      </c>
      <c r="J212" s="96"/>
      <c r="K212" s="281">
        <f>0.448*K$176</f>
        <v>8.9600000000000009E-3</v>
      </c>
      <c r="L212" s="281">
        <f>K212</f>
        <v>8.9600000000000009E-3</v>
      </c>
      <c r="M212" s="76"/>
      <c r="N212" s="76"/>
      <c r="O212" s="76"/>
      <c r="P212" s="76"/>
      <c r="Q212" s="76"/>
      <c r="R212" s="76" t="s">
        <v>3290</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2839</v>
      </c>
      <c r="G234" s="73"/>
      <c r="H234" s="76" t="s">
        <v>3204</v>
      </c>
      <c r="I234" s="96" t="s">
        <v>2842</v>
      </c>
      <c r="J234" s="96"/>
      <c r="K234" s="97">
        <v>0</v>
      </c>
      <c r="L234" s="97">
        <v>0</v>
      </c>
      <c r="M234" s="97">
        <v>0</v>
      </c>
      <c r="N234" s="97">
        <v>0</v>
      </c>
      <c r="O234" s="97">
        <v>0</v>
      </c>
      <c r="P234" s="97">
        <v>0</v>
      </c>
      <c r="Q234" s="76"/>
      <c r="R234" s="76" t="s">
        <v>3210</v>
      </c>
      <c r="S234" s="76" t="s">
        <v>3210</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2840</v>
      </c>
      <c r="G235" s="73"/>
      <c r="H235" s="76" t="s">
        <v>2843</v>
      </c>
      <c r="I235" s="96" t="s">
        <v>2842</v>
      </c>
      <c r="J235" s="96"/>
      <c r="K235" s="97">
        <v>1.9E-2</v>
      </c>
      <c r="L235" s="97">
        <v>1.9E-2</v>
      </c>
      <c r="M235" s="97">
        <v>1.9E-2</v>
      </c>
      <c r="N235" s="97">
        <v>1.9E-2</v>
      </c>
      <c r="O235" s="97">
        <v>1.9E-2</v>
      </c>
      <c r="P235" s="97">
        <v>1.9E-2</v>
      </c>
      <c r="Q235" s="76"/>
      <c r="R235" s="76" t="s">
        <v>3210</v>
      </c>
      <c r="S235" s="76" t="s">
        <v>3210</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2841</v>
      </c>
      <c r="G236" s="73"/>
      <c r="H236" s="76" t="s">
        <v>2844</v>
      </c>
      <c r="I236" s="96" t="s">
        <v>2842</v>
      </c>
      <c r="J236" s="96"/>
      <c r="K236" s="97">
        <v>0.185</v>
      </c>
      <c r="L236" s="97">
        <v>0.185</v>
      </c>
      <c r="M236" s="97">
        <v>0.185</v>
      </c>
      <c r="N236" s="97">
        <v>0.185</v>
      </c>
      <c r="O236" s="97">
        <v>0.185</v>
      </c>
      <c r="P236" s="97">
        <v>0.185</v>
      </c>
      <c r="Q236" s="76"/>
      <c r="R236" s="76" t="s">
        <v>3210</v>
      </c>
      <c r="S236" s="76" t="s">
        <v>3210</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3205</v>
      </c>
      <c r="G237" s="73"/>
      <c r="H237" s="76" t="s">
        <v>662</v>
      </c>
      <c r="I237" s="96" t="s">
        <v>502</v>
      </c>
      <c r="J237" s="96"/>
      <c r="K237" s="97">
        <v>0.106</v>
      </c>
      <c r="L237" s="97">
        <v>0.106</v>
      </c>
      <c r="M237" s="97">
        <v>0.106</v>
      </c>
      <c r="N237" s="97">
        <v>0.106</v>
      </c>
      <c r="O237" s="97">
        <v>0.106</v>
      </c>
      <c r="P237" s="97">
        <v>0.106</v>
      </c>
      <c r="Q237" s="76"/>
      <c r="R237" s="76" t="s">
        <v>3209</v>
      </c>
      <c r="S237" s="76" t="s">
        <v>3209</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3206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3209</v>
      </c>
      <c r="S238" s="76" t="s">
        <v>3209</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3208</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3209</v>
      </c>
      <c r="S239" s="76" t="s">
        <v>3209</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3207</v>
      </c>
      <c r="G240" s="73"/>
      <c r="H240" s="76" t="s">
        <v>671</v>
      </c>
      <c r="I240" s="96" t="s">
        <v>502</v>
      </c>
      <c r="J240" s="96"/>
      <c r="K240" s="97">
        <v>0.39</v>
      </c>
      <c r="L240" s="97">
        <v>0.39</v>
      </c>
      <c r="M240" s="97">
        <v>0.39</v>
      </c>
      <c r="N240" s="97">
        <v>0.39</v>
      </c>
      <c r="O240" s="97">
        <v>0.39</v>
      </c>
      <c r="P240" s="97">
        <v>0.39</v>
      </c>
      <c r="Q240" s="76"/>
      <c r="R240" s="76" t="s">
        <v>3209</v>
      </c>
      <c r="S240" s="76" t="s">
        <v>3209</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3283</v>
      </c>
      <c r="G277" s="73"/>
      <c r="H277" s="76" t="s">
        <v>3284</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3285</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2860</v>
      </c>
      <c r="G278" s="73"/>
      <c r="H278" s="76" t="s">
        <v>2863</v>
      </c>
      <c r="I278" s="96"/>
      <c r="J278" s="96"/>
      <c r="K278" s="97">
        <v>5.9630000000000001</v>
      </c>
      <c r="L278" s="97">
        <v>5.9630000000000001</v>
      </c>
      <c r="M278" s="97"/>
      <c r="N278" s="97"/>
      <c r="O278" s="97"/>
      <c r="P278" s="97"/>
      <c r="Q278" s="76"/>
      <c r="R278" s="76" t="s">
        <v>2866</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2861</v>
      </c>
      <c r="G279" s="73"/>
      <c r="H279" s="76" t="s">
        <v>2864</v>
      </c>
      <c r="I279" s="96"/>
      <c r="J279" s="96"/>
      <c r="K279" s="97">
        <v>11.2</v>
      </c>
      <c r="L279" s="97">
        <v>11.2</v>
      </c>
      <c r="M279" s="97"/>
      <c r="N279" s="97"/>
      <c r="O279" s="97"/>
      <c r="P279" s="97"/>
      <c r="Q279" s="76"/>
      <c r="R279" s="76" t="s">
        <v>2866</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2862</v>
      </c>
      <c r="G280" s="73"/>
      <c r="H280" s="76" t="s">
        <v>2865</v>
      </c>
      <c r="I280" s="96"/>
      <c r="J280" s="96"/>
      <c r="K280" s="97">
        <v>9.4500000000000001E-3</v>
      </c>
      <c r="L280" s="97">
        <v>9.4500000000000001E-3</v>
      </c>
      <c r="M280" s="97"/>
      <c r="N280" s="97"/>
      <c r="O280" s="97"/>
      <c r="P280" s="97"/>
      <c r="Q280" s="76"/>
      <c r="R280" s="76" t="s">
        <v>2866</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2867</v>
      </c>
      <c r="G281" s="73"/>
      <c r="H281" s="76" t="s">
        <v>2868</v>
      </c>
      <c r="I281" s="96"/>
      <c r="J281" s="96"/>
      <c r="K281" s="97">
        <v>0</v>
      </c>
      <c r="L281" s="97">
        <v>0</v>
      </c>
      <c r="M281" s="97"/>
      <c r="N281" s="97"/>
      <c r="O281" s="97"/>
      <c r="P281" s="97"/>
      <c r="Q281" s="76"/>
      <c r="R281" s="76" t="s">
        <v>2866</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2577</v>
      </c>
      <c r="G283" s="73"/>
      <c r="H283" s="76" t="s">
        <v>791</v>
      </c>
      <c r="I283" s="96" t="s">
        <v>665</v>
      </c>
      <c r="J283" s="96"/>
      <c r="K283" s="76"/>
      <c r="L283" s="76"/>
      <c r="M283" s="76"/>
      <c r="N283" s="76"/>
      <c r="O283" s="76"/>
      <c r="P283" s="76"/>
      <c r="Q283" s="76"/>
      <c r="R283" s="76"/>
      <c r="S283" s="76"/>
      <c r="T283" s="76" t="s">
        <v>3300</v>
      </c>
      <c r="U283" s="97">
        <v>1</v>
      </c>
      <c r="V283" s="97">
        <v>1</v>
      </c>
      <c r="W283" s="97">
        <v>0.92001599999999994</v>
      </c>
      <c r="X283" s="97">
        <v>1.06843</v>
      </c>
      <c r="Y283" s="97">
        <v>1</v>
      </c>
      <c r="Z283" s="97">
        <v>1.25</v>
      </c>
      <c r="AA283" s="97">
        <v>1.25</v>
      </c>
      <c r="AB283" s="97">
        <v>1.25</v>
      </c>
      <c r="AC283" s="97">
        <v>1.25</v>
      </c>
      <c r="AD283" s="97">
        <v>1.25</v>
      </c>
      <c r="AE283" s="76"/>
      <c r="AF283" s="97" t="s">
        <v>2576</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3241</v>
      </c>
      <c r="I310" s="96" t="s">
        <v>3243</v>
      </c>
      <c r="J310" s="96"/>
      <c r="K310" s="97">
        <v>31.7</v>
      </c>
      <c r="L310" s="97">
        <v>31.7</v>
      </c>
      <c r="M310" s="76"/>
      <c r="N310" s="76"/>
      <c r="O310" s="76"/>
      <c r="P310" s="76"/>
      <c r="Q310" s="76"/>
      <c r="R310" s="76" t="s">
        <v>3242</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2835</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3300</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2316</v>
      </c>
      <c r="I322" s="96" t="s">
        <v>2870</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3300</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2859</v>
      </c>
      <c r="G330" s="73"/>
      <c r="H330" s="76" t="s">
        <v>2967</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2869</v>
      </c>
      <c r="G331" s="73"/>
      <c r="H331" s="76" t="s">
        <v>2316</v>
      </c>
      <c r="I331" s="96" t="s">
        <v>2870</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2871</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3244</v>
      </c>
      <c r="G332" s="73"/>
      <c r="H332" s="76" t="s">
        <v>3245</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3246</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3304</v>
      </c>
      <c r="G333" s="73"/>
      <c r="H333" s="76" t="s">
        <v>3307</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3306</v>
      </c>
      <c r="G334" s="73"/>
      <c r="H334" s="76" t="s">
        <v>3309</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3308</v>
      </c>
      <c r="G335" s="73"/>
      <c r="H335" s="76" t="s">
        <v>3312</v>
      </c>
      <c r="I335" s="96"/>
      <c r="J335" s="96"/>
      <c r="K335" s="76"/>
      <c r="L335" s="76"/>
      <c r="M335" s="76"/>
      <c r="N335" s="76"/>
      <c r="O335" s="76"/>
      <c r="P335" s="76"/>
      <c r="Q335" s="76"/>
      <c r="R335" s="76"/>
      <c r="S335" s="76"/>
      <c r="T335" s="76" t="s">
        <v>3300</v>
      </c>
      <c r="U335" s="97">
        <v>0.85</v>
      </c>
      <c r="V335" s="97">
        <v>0.85</v>
      </c>
      <c r="W335" s="97">
        <v>0.85</v>
      </c>
      <c r="X335" s="97">
        <v>0.85</v>
      </c>
      <c r="Y335" s="97">
        <v>0.85</v>
      </c>
      <c r="Z335" s="97">
        <v>0.85</v>
      </c>
      <c r="AA335" s="97">
        <v>0.85</v>
      </c>
      <c r="AB335" s="97">
        <v>0.85</v>
      </c>
      <c r="AC335" s="97">
        <v>0.85</v>
      </c>
      <c r="AD335" s="97">
        <v>0.85</v>
      </c>
      <c r="AE335" s="76"/>
      <c r="AF335" s="97" t="s">
        <v>3305</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3311</v>
      </c>
      <c r="G336" s="73"/>
      <c r="H336" s="76" t="s">
        <v>3313</v>
      </c>
      <c r="I336" s="96"/>
      <c r="J336" s="96"/>
      <c r="K336" s="76"/>
      <c r="L336" s="76"/>
      <c r="M336" s="76"/>
      <c r="N336" s="76"/>
      <c r="O336" s="76"/>
      <c r="P336" s="76"/>
      <c r="Q336" s="76"/>
      <c r="R336" s="76"/>
      <c r="S336" s="76"/>
      <c r="T336" s="76" t="s">
        <v>3300</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2872</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3300</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2357</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3300</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2357</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2970</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2810</v>
      </c>
      <c r="I377" s="96" t="s">
        <v>2970</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2811</v>
      </c>
      <c r="I378" s="96" t="s">
        <v>2970</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2804</v>
      </c>
      <c r="G379" s="73"/>
      <c r="H379" s="76" t="s">
        <v>2812</v>
      </c>
      <c r="I379" s="96" t="s">
        <v>2970</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2805</v>
      </c>
      <c r="G380" s="73"/>
      <c r="H380" s="76" t="s">
        <v>2819</v>
      </c>
      <c r="I380" s="96" t="s">
        <v>2970</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2806</v>
      </c>
      <c r="G381" s="73"/>
      <c r="H381" s="76" t="s">
        <v>2820</v>
      </c>
      <c r="I381" s="96" t="s">
        <v>2970</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2807</v>
      </c>
      <c r="G382" s="73"/>
      <c r="H382" s="76" t="s">
        <v>971</v>
      </c>
      <c r="I382" s="96" t="s">
        <v>502</v>
      </c>
      <c r="J382" s="96"/>
      <c r="K382" s="97">
        <v>1</v>
      </c>
      <c r="L382" s="97">
        <v>1</v>
      </c>
      <c r="M382" s="97">
        <v>1</v>
      </c>
      <c r="N382" s="97">
        <v>1</v>
      </c>
      <c r="O382" s="97">
        <v>1</v>
      </c>
      <c r="P382" s="97">
        <v>1</v>
      </c>
      <c r="Q382" s="76"/>
      <c r="R382" s="76" t="s">
        <v>2965</v>
      </c>
      <c r="S382" s="76" t="s">
        <v>2966</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2808</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2809</v>
      </c>
      <c r="G384" s="73"/>
      <c r="H384" s="76" t="s">
        <v>2814</v>
      </c>
      <c r="I384" s="96" t="s">
        <v>502</v>
      </c>
      <c r="J384" s="96"/>
      <c r="K384" s="97">
        <v>0.157</v>
      </c>
      <c r="L384" s="97">
        <v>0.157</v>
      </c>
      <c r="M384" s="97">
        <v>0.157</v>
      </c>
      <c r="N384" s="97">
        <v>0.157</v>
      </c>
      <c r="O384" s="97">
        <v>0.157</v>
      </c>
      <c r="P384" s="97">
        <v>0.157</v>
      </c>
      <c r="Q384" s="76"/>
      <c r="R384" s="76" t="s">
        <v>2815</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2818</v>
      </c>
      <c r="G385" s="73"/>
      <c r="H385" s="76" t="s">
        <v>2813</v>
      </c>
      <c r="I385" s="96" t="s">
        <v>502</v>
      </c>
      <c r="J385" s="96"/>
      <c r="K385" s="97">
        <v>0.85</v>
      </c>
      <c r="L385" s="97">
        <v>0.85</v>
      </c>
      <c r="M385" s="97"/>
      <c r="N385" s="97"/>
      <c r="O385" s="97"/>
      <c r="P385" s="97"/>
      <c r="Q385" s="76"/>
      <c r="R385" s="76" t="s">
        <v>2817</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2845</v>
      </c>
      <c r="G386" s="73"/>
      <c r="H386" s="76" t="s">
        <v>2819</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2846</v>
      </c>
      <c r="G387" s="73"/>
      <c r="H387" s="76" t="s">
        <v>2820</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2847</v>
      </c>
      <c r="G388" s="73"/>
      <c r="H388" s="76" t="s">
        <v>2855</v>
      </c>
      <c r="I388" s="96" t="s">
        <v>502</v>
      </c>
      <c r="J388" s="96"/>
      <c r="K388" s="97">
        <v>0.22600000000000001</v>
      </c>
      <c r="L388" s="97">
        <v>0.22600000000000001</v>
      </c>
      <c r="M388" s="97">
        <v>0.22600000000000001</v>
      </c>
      <c r="N388" s="97">
        <v>0.22600000000000001</v>
      </c>
      <c r="O388" s="97">
        <v>0.22600000000000001</v>
      </c>
      <c r="P388" s="97">
        <v>0.22600000000000001</v>
      </c>
      <c r="Q388" s="76"/>
      <c r="R388" s="76" t="s">
        <v>2832</v>
      </c>
      <c r="S388" s="76" t="s">
        <v>2832</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2848</v>
      </c>
      <c r="G389" s="73"/>
      <c r="H389" s="76" t="s">
        <v>2853</v>
      </c>
      <c r="I389" s="96" t="s">
        <v>502</v>
      </c>
      <c r="J389" s="96"/>
      <c r="K389" s="97">
        <v>0.05</v>
      </c>
      <c r="L389" s="97">
        <v>0.05</v>
      </c>
      <c r="M389" s="97">
        <v>0.05</v>
      </c>
      <c r="N389" s="97">
        <v>0.05</v>
      </c>
      <c r="O389" s="97">
        <v>0.05</v>
      </c>
      <c r="P389" s="97">
        <v>0.05</v>
      </c>
      <c r="Q389" s="76"/>
      <c r="R389" s="76" t="s">
        <v>2832</v>
      </c>
      <c r="S389" s="76" t="s">
        <v>2832</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2849</v>
      </c>
      <c r="G390" s="73"/>
      <c r="H390" s="76" t="s">
        <v>2854</v>
      </c>
      <c r="I390" s="96" t="s">
        <v>502</v>
      </c>
      <c r="J390" s="96"/>
      <c r="K390" s="97">
        <v>0.24859999999999999</v>
      </c>
      <c r="L390" s="97">
        <v>0.24859999999999999</v>
      </c>
      <c r="M390" s="97">
        <v>0.24859999999999999</v>
      </c>
      <c r="N390" s="97">
        <v>0.24859999999999999</v>
      </c>
      <c r="O390" s="97">
        <v>0.24859999999999999</v>
      </c>
      <c r="P390" s="97">
        <v>0.24859999999999999</v>
      </c>
      <c r="Q390" s="76"/>
      <c r="R390" s="76" t="s">
        <v>2832</v>
      </c>
      <c r="S390" s="76" t="s">
        <v>2832</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2850</v>
      </c>
      <c r="G391" s="73"/>
      <c r="H391" s="76" t="s">
        <v>2856</v>
      </c>
      <c r="I391" s="96" t="s">
        <v>502</v>
      </c>
      <c r="J391" s="96"/>
      <c r="K391" s="97">
        <v>0.67600000000000005</v>
      </c>
      <c r="L391" s="97">
        <v>0.67600000000000005</v>
      </c>
      <c r="M391" s="97">
        <v>0.67600000000000005</v>
      </c>
      <c r="N391" s="97">
        <v>0.67600000000000005</v>
      </c>
      <c r="O391" s="97">
        <v>0.67600000000000005</v>
      </c>
      <c r="P391" s="97">
        <v>0.67600000000000005</v>
      </c>
      <c r="Q391" s="76"/>
      <c r="R391" s="76" t="s">
        <v>2832</v>
      </c>
      <c r="S391" s="76" t="s">
        <v>2832</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2851</v>
      </c>
      <c r="G392" s="73"/>
      <c r="H392" s="76" t="s">
        <v>2857</v>
      </c>
      <c r="I392" s="96" t="s">
        <v>502</v>
      </c>
      <c r="J392" s="96"/>
      <c r="K392" s="97">
        <v>2.0609999999999999</v>
      </c>
      <c r="L392" s="97">
        <v>2.0609999999999999</v>
      </c>
      <c r="M392" s="97">
        <v>2.0609999999999999</v>
      </c>
      <c r="N392" s="97">
        <v>2.0609999999999999</v>
      </c>
      <c r="O392" s="97">
        <v>2.0609999999999999</v>
      </c>
      <c r="P392" s="97">
        <v>2.0609999999999999</v>
      </c>
      <c r="Q392" s="76"/>
      <c r="R392" s="76" t="s">
        <v>2832</v>
      </c>
      <c r="S392" s="76" t="s">
        <v>2832</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2852</v>
      </c>
      <c r="G393" s="73"/>
      <c r="H393" s="76" t="s">
        <v>2858</v>
      </c>
      <c r="I393" s="96" t="s">
        <v>502</v>
      </c>
      <c r="J393" s="96"/>
      <c r="K393" s="97">
        <v>-0.53</v>
      </c>
      <c r="L393" s="97">
        <v>-0.53</v>
      </c>
      <c r="M393" s="97">
        <v>-0.53</v>
      </c>
      <c r="N393" s="97">
        <v>-0.53</v>
      </c>
      <c r="O393" s="97">
        <v>-0.53</v>
      </c>
      <c r="P393" s="97">
        <v>-0.53</v>
      </c>
      <c r="Q393" s="76"/>
      <c r="R393" s="76" t="s">
        <v>2832</v>
      </c>
      <c r="S393" s="76" t="s">
        <v>2832</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3251</v>
      </c>
      <c r="G394" s="73"/>
      <c r="H394" s="76" t="s">
        <v>3274</v>
      </c>
      <c r="I394" s="96" t="s">
        <v>502</v>
      </c>
      <c r="J394" s="96"/>
      <c r="K394" s="281">
        <v>0.1</v>
      </c>
      <c r="L394" s="281">
        <v>0.1</v>
      </c>
      <c r="M394" s="281">
        <v>0.1</v>
      </c>
      <c r="N394" s="281">
        <v>0.1</v>
      </c>
      <c r="O394" s="281">
        <v>0.1</v>
      </c>
      <c r="P394" s="281">
        <v>0.1</v>
      </c>
      <c r="Q394" s="76"/>
      <c r="R394" s="76" t="s">
        <v>3252</v>
      </c>
      <c r="S394" s="76" t="s">
        <v>3252</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3276</v>
      </c>
      <c r="G395" s="73"/>
      <c r="H395" s="76" t="s">
        <v>3273</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3275</v>
      </c>
      <c r="S395" s="76" t="s">
        <v>3252</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2358</v>
      </c>
      <c r="I398" s="96" t="s">
        <v>2980</v>
      </c>
      <c r="J398" s="96"/>
      <c r="K398" s="97">
        <v>1.84E-2</v>
      </c>
      <c r="L398" s="97">
        <v>1.84E-2</v>
      </c>
      <c r="M398" s="97">
        <v>1.84E-2</v>
      </c>
      <c r="N398" s="97">
        <v>1.84E-2</v>
      </c>
      <c r="O398" s="97">
        <v>1.84E-2</v>
      </c>
      <c r="P398" s="97">
        <v>1.84E-2</v>
      </c>
      <c r="Q398" s="76"/>
      <c r="R398" s="76" t="s">
        <v>2979</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2362</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2359</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2360</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2361</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2575</v>
      </c>
      <c r="G405" s="73"/>
      <c r="H405" s="76" t="s">
        <v>2365</v>
      </c>
      <c r="I405" s="96" t="s">
        <v>502</v>
      </c>
      <c r="J405" s="96"/>
      <c r="K405" s="97">
        <v>9.375E-2</v>
      </c>
      <c r="L405" s="97">
        <v>0.20499999999999999</v>
      </c>
      <c r="M405" s="97">
        <v>0</v>
      </c>
      <c r="N405" s="97">
        <v>0</v>
      </c>
      <c r="O405" s="97">
        <v>0</v>
      </c>
      <c r="P405" s="97">
        <v>0</v>
      </c>
      <c r="Q405" s="76"/>
      <c r="R405" s="97" t="s">
        <v>2569</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2740</v>
      </c>
      <c r="S412" s="76" t="s">
        <v>550</v>
      </c>
      <c r="T412" s="76" t="s">
        <v>3300</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8" t="s">
        <v>2741</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2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25">
      <c r="A440" s="45"/>
      <c r="B440" s="54"/>
      <c r="C440" s="47">
        <f t="shared" si="89"/>
        <v>3</v>
      </c>
      <c r="D440" s="73"/>
      <c r="E440" s="70"/>
      <c r="F440" s="70" t="s">
        <v>1047</v>
      </c>
      <c r="G440" s="73"/>
      <c r="H440" s="76" t="s">
        <v>2572</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2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2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2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2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2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2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25">
      <c r="A447" s="45"/>
      <c r="B447" s="54"/>
      <c r="C447" s="47">
        <f t="shared" si="89"/>
        <v>3</v>
      </c>
      <c r="D447" s="73"/>
      <c r="E447" s="70"/>
      <c r="F447" s="70" t="s">
        <v>1054</v>
      </c>
      <c r="G447" s="73"/>
      <c r="H447" s="76" t="s">
        <v>3492</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t="s">
        <v>2572</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1062</v>
      </c>
      <c r="G455" s="73"/>
      <c r="H455" s="76" t="s">
        <v>3496</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1063</v>
      </c>
      <c r="G456" s="73"/>
      <c r="H456" s="76" t="s">
        <v>2572</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2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3493</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t="s">
        <v>2572</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6">INT($C$29)+2</f>
        <v>3</v>
      </c>
      <c r="D471" s="73"/>
      <c r="E471" s="70"/>
      <c r="F471" s="70" t="s">
        <v>1078</v>
      </c>
      <c r="G471" s="73"/>
      <c r="H471" s="76" t="s">
        <v>3494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6"/>
        <v>3</v>
      </c>
      <c r="D472" s="73"/>
      <c r="E472" s="70"/>
      <c r="F472" s="70" t="s">
        <v>1079</v>
      </c>
      <c r="G472" s="73"/>
      <c r="H472" s="76" t="s">
        <v>2572</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1086</v>
      </c>
      <c r="G479" s="73"/>
      <c r="H479" s="76" t="s">
        <v>3495</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1087</v>
      </c>
      <c r="G480" s="73"/>
      <c r="H480" s="76" t="s">
        <v>2572</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2568</v>
      </c>
      <c r="AG503" s="76"/>
      <c r="AH503" s="97">
        <v>1</v>
      </c>
      <c r="AI503" s="97">
        <v>1</v>
      </c>
      <c r="AJ503" s="73"/>
      <c r="AK503" s="57"/>
      <c r="AL503" s="45"/>
      <c r="AM503" s="45"/>
      <c r="AN503" s="45"/>
    </row>
    <row r="504" spans="1:40" hidden="1" outlineLevel="2" x14ac:dyDescent="0.25">
      <c r="A504" s="45"/>
      <c r="B504" s="54"/>
      <c r="C504" s="47">
        <f t="shared" si="97"/>
        <v>3</v>
      </c>
      <c r="D504" s="73"/>
      <c r="E504" s="70"/>
      <c r="F504" s="70" t="s">
        <v>1111</v>
      </c>
      <c r="G504" s="73"/>
      <c r="H504" s="76" t="s">
        <v>2578</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25">
      <c r="A505" s="45"/>
      <c r="B505" s="54"/>
      <c r="C505" s="47">
        <f t="shared" si="97"/>
        <v>3</v>
      </c>
      <c r="D505" s="73"/>
      <c r="E505" s="70"/>
      <c r="F505" s="70" t="s">
        <v>1112</v>
      </c>
      <c r="G505" s="73"/>
      <c r="H505" s="76" t="s">
        <v>2579</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7"/>
        <v>3</v>
      </c>
      <c r="D506" s="73"/>
      <c r="E506" s="70"/>
      <c r="F506" s="70" t="s">
        <v>1113</v>
      </c>
      <c r="G506" s="73"/>
      <c r="H506" s="76" t="s">
        <v>2580</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7"/>
        <v>3</v>
      </c>
      <c r="D507" s="73"/>
      <c r="E507" s="70"/>
      <c r="F507" s="70" t="s">
        <v>1114</v>
      </c>
      <c r="G507" s="73"/>
      <c r="H507" s="76" t="s">
        <v>2581</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1115</v>
      </c>
      <c r="G508" s="73"/>
      <c r="H508" s="76" t="s">
        <v>2582</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1116</v>
      </c>
      <c r="G509" s="73"/>
      <c r="H509" s="76" t="s">
        <v>2583</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7"/>
        <v>3</v>
      </c>
      <c r="D510" s="73"/>
      <c r="E510" s="70"/>
      <c r="F510" s="70" t="s">
        <v>1117</v>
      </c>
      <c r="G510" s="73"/>
      <c r="H510" s="76" t="s">
        <v>2584</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25">
      <c r="A536" s="45"/>
      <c r="B536" s="54"/>
      <c r="C536" s="47">
        <f t="shared" si="98"/>
        <v>3</v>
      </c>
      <c r="D536" s="73"/>
      <c r="E536" s="70"/>
      <c r="F536" s="70" t="s">
        <v>1147</v>
      </c>
      <c r="G536" s="73"/>
      <c r="H536" s="76" t="s">
        <v>2585</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2573</v>
      </c>
      <c r="AG536" s="76"/>
      <c r="AH536" s="97">
        <v>1</v>
      </c>
      <c r="AI536" s="97">
        <v>1</v>
      </c>
      <c r="AJ536" s="73"/>
      <c r="AK536" s="57"/>
      <c r="AL536" s="45"/>
      <c r="AM536" s="45"/>
      <c r="AN536" s="45"/>
    </row>
    <row r="537" spans="1:40" hidden="1" outlineLevel="2" x14ac:dyDescent="0.25">
      <c r="A537" s="45"/>
      <c r="B537" s="54"/>
      <c r="C537" s="47">
        <f t="shared" si="98"/>
        <v>3</v>
      </c>
      <c r="D537" s="73"/>
      <c r="E537" s="70"/>
      <c r="F537" s="70" t="s">
        <v>1148</v>
      </c>
      <c r="G537" s="73"/>
      <c r="H537" s="76" t="s">
        <v>2586</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25">
      <c r="A538" s="45"/>
      <c r="B538" s="54"/>
      <c r="C538" s="47">
        <f t="shared" si="98"/>
        <v>3</v>
      </c>
      <c r="D538" s="73"/>
      <c r="E538" s="70"/>
      <c r="F538" s="70" t="s">
        <v>1149</v>
      </c>
      <c r="G538" s="73"/>
      <c r="H538" s="76" t="s">
        <v>2587</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25">
      <c r="A539" s="45"/>
      <c r="B539" s="54"/>
      <c r="C539" s="47">
        <f t="shared" si="98"/>
        <v>3</v>
      </c>
      <c r="D539" s="73"/>
      <c r="E539" s="70"/>
      <c r="F539" s="70" t="s">
        <v>1150</v>
      </c>
      <c r="G539" s="73"/>
      <c r="H539" s="76" t="s">
        <v>2588</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25">
      <c r="A540" s="45"/>
      <c r="B540" s="54"/>
      <c r="C540" s="47">
        <f t="shared" si="98"/>
        <v>3</v>
      </c>
      <c r="D540" s="73"/>
      <c r="E540" s="70"/>
      <c r="F540" s="70" t="s">
        <v>1151</v>
      </c>
      <c r="G540" s="73"/>
      <c r="H540" s="76" t="s">
        <v>2589</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1152</v>
      </c>
      <c r="G541" s="73"/>
      <c r="H541" s="76" t="s">
        <v>2590</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1153</v>
      </c>
      <c r="G542" s="73"/>
      <c r="H542" s="76" t="s">
        <v>2591</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2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25">
      <c r="A544" s="45"/>
      <c r="B544" s="54"/>
      <c r="C544" s="47">
        <f t="shared" si="98"/>
        <v>3</v>
      </c>
      <c r="D544" s="73"/>
      <c r="E544" s="70"/>
      <c r="F544" s="70" t="s">
        <v>1156</v>
      </c>
      <c r="G544" s="73"/>
      <c r="H544" s="76" t="s">
        <v>2592</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1157</v>
      </c>
      <c r="G545" s="73"/>
      <c r="H545" s="76" t="s">
        <v>2593</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1158</v>
      </c>
      <c r="G546" s="73"/>
      <c r="H546" s="76" t="s">
        <v>2594</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25">
      <c r="A547" s="45"/>
      <c r="B547" s="54"/>
      <c r="C547" s="47">
        <f t="shared" si="98"/>
        <v>3</v>
      </c>
      <c r="D547" s="73"/>
      <c r="E547" s="70"/>
      <c r="F547" s="70" t="s">
        <v>1159</v>
      </c>
      <c r="G547" s="73"/>
      <c r="H547" s="76" t="s">
        <v>2595</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25">
      <c r="A548" s="45"/>
      <c r="B548" s="54"/>
      <c r="C548" s="47">
        <f t="shared" si="98"/>
        <v>3</v>
      </c>
      <c r="D548" s="73"/>
      <c r="E548" s="70"/>
      <c r="F548" s="70" t="s">
        <v>1160</v>
      </c>
      <c r="G548" s="73"/>
      <c r="H548" s="76" t="s">
        <v>2596</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1161</v>
      </c>
      <c r="G549" s="73"/>
      <c r="H549" s="76" t="s">
        <v>2597</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25">
      <c r="A550" s="45"/>
      <c r="B550" s="54"/>
      <c r="C550" s="47">
        <f t="shared" si="98"/>
        <v>3</v>
      </c>
      <c r="D550" s="73"/>
      <c r="E550" s="70"/>
      <c r="F550" s="70" t="s">
        <v>1162</v>
      </c>
      <c r="G550" s="73"/>
      <c r="H550" s="76" t="s">
        <v>2598</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2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25">
      <c r="A560" s="45"/>
      <c r="B560" s="54"/>
      <c r="C560" s="47">
        <f t="shared" si="98"/>
        <v>3</v>
      </c>
      <c r="D560" s="73"/>
      <c r="E560" s="70"/>
      <c r="F560" s="70" t="s">
        <v>1175</v>
      </c>
      <c r="G560" s="73"/>
      <c r="H560" s="76" t="s">
        <v>2599</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98"/>
        <v>3</v>
      </c>
      <c r="D561" s="73"/>
      <c r="E561" s="70"/>
      <c r="F561" s="70" t="s">
        <v>1176</v>
      </c>
      <c r="G561" s="73"/>
      <c r="H561" s="76" t="s">
        <v>2600</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8"/>
        <v>3</v>
      </c>
      <c r="D562" s="73"/>
      <c r="E562" s="70"/>
      <c r="F562" s="70" t="s">
        <v>1177</v>
      </c>
      <c r="G562" s="73"/>
      <c r="H562" s="76" t="s">
        <v>2601</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1178</v>
      </c>
      <c r="G563" s="73"/>
      <c r="H563" s="76" t="s">
        <v>2602</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1179</v>
      </c>
      <c r="G564" s="73"/>
      <c r="H564" s="76" t="s">
        <v>2603</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1180</v>
      </c>
      <c r="G565" s="73"/>
      <c r="H565" s="76" t="s">
        <v>2604</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1181</v>
      </c>
      <c r="G566" s="73"/>
      <c r="H566" s="76" t="s">
        <v>2605</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2677</v>
      </c>
      <c r="AG567" s="76"/>
      <c r="AH567" s="97">
        <v>1</v>
      </c>
      <c r="AI567" s="97">
        <v>1</v>
      </c>
      <c r="AJ567" s="73"/>
      <c r="AK567" s="57"/>
      <c r="AL567" s="45"/>
      <c r="AM567" s="45"/>
      <c r="AN567" s="45"/>
    </row>
    <row r="568" spans="1:40" hidden="1" outlineLevel="2" x14ac:dyDescent="0.25">
      <c r="A568" s="45"/>
      <c r="B568" s="54"/>
      <c r="C568" s="47">
        <f t="shared" si="103"/>
        <v>3</v>
      </c>
      <c r="D568" s="73"/>
      <c r="E568" s="70"/>
      <c r="F568" s="70" t="s">
        <v>1183</v>
      </c>
      <c r="G568" s="73"/>
      <c r="H568" s="76" t="s">
        <v>2606</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2704</v>
      </c>
      <c r="AG568" s="76"/>
      <c r="AH568" s="97">
        <v>1</v>
      </c>
      <c r="AI568" s="97">
        <v>1</v>
      </c>
      <c r="AJ568" s="73"/>
      <c r="AK568" s="57"/>
      <c r="AL568" s="45"/>
      <c r="AM568" s="45"/>
      <c r="AN568" s="45"/>
    </row>
    <row r="569" spans="1:40" hidden="1" outlineLevel="2" x14ac:dyDescent="0.25">
      <c r="A569" s="45"/>
      <c r="B569" s="54"/>
      <c r="C569" s="47">
        <f t="shared" si="103"/>
        <v>3</v>
      </c>
      <c r="D569" s="73"/>
      <c r="E569" s="70"/>
      <c r="F569" s="70" t="s">
        <v>1184</v>
      </c>
      <c r="G569" s="73"/>
      <c r="H569" s="76" t="s">
        <v>2607</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1185</v>
      </c>
      <c r="G570" s="73"/>
      <c r="H570" s="76" t="s">
        <v>2608</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1186</v>
      </c>
      <c r="G571" s="73"/>
      <c r="H571" s="76" t="s">
        <v>2609</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1187</v>
      </c>
      <c r="G572" s="73"/>
      <c r="H572" s="76" t="s">
        <v>2610</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1188</v>
      </c>
      <c r="G573" s="73"/>
      <c r="H573" s="76" t="s">
        <v>2611</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1189</v>
      </c>
      <c r="G574" s="73"/>
      <c r="H574" s="76" t="s">
        <v>2612</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1192</v>
      </c>
      <c r="G576" s="73"/>
      <c r="H576" s="76" t="s">
        <v>2613</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25">
      <c r="A577" s="45"/>
      <c r="B577" s="54"/>
      <c r="C577" s="47">
        <f t="shared" si="103"/>
        <v>3</v>
      </c>
      <c r="D577" s="73"/>
      <c r="E577" s="70"/>
      <c r="F577" s="70" t="s">
        <v>1193</v>
      </c>
      <c r="G577" s="73"/>
      <c r="H577" s="76" t="s">
        <v>2614</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25">
      <c r="A578" s="45"/>
      <c r="B578" s="54"/>
      <c r="C578" s="47">
        <f t="shared" si="103"/>
        <v>3</v>
      </c>
      <c r="D578" s="73"/>
      <c r="E578" s="70"/>
      <c r="F578" s="70" t="s">
        <v>1194</v>
      </c>
      <c r="G578" s="73"/>
      <c r="H578" s="76" t="s">
        <v>2615</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1195</v>
      </c>
      <c r="G579" s="73"/>
      <c r="H579" s="76" t="s">
        <v>2616</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1196</v>
      </c>
      <c r="G580" s="73"/>
      <c r="H580" s="76" t="s">
        <v>2617</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1197</v>
      </c>
      <c r="G581" s="73"/>
      <c r="H581" s="76" t="s">
        <v>2618</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1198</v>
      </c>
      <c r="G582" s="73"/>
      <c r="H582" s="76" t="s">
        <v>2619</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2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25">
      <c r="A584" s="45"/>
      <c r="B584" s="54"/>
      <c r="C584" s="47">
        <f t="shared" si="103"/>
        <v>3</v>
      </c>
      <c r="D584" s="73"/>
      <c r="E584" s="70"/>
      <c r="F584" s="70" t="s">
        <v>1201</v>
      </c>
      <c r="G584" s="73"/>
      <c r="H584" s="76" t="s">
        <v>2620</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25">
      <c r="A585" s="45"/>
      <c r="B585" s="54"/>
      <c r="C585" s="47">
        <f t="shared" si="103"/>
        <v>3</v>
      </c>
      <c r="D585" s="73"/>
      <c r="E585" s="70"/>
      <c r="F585" s="70" t="s">
        <v>1202</v>
      </c>
      <c r="G585" s="73"/>
      <c r="H585" s="76" t="s">
        <v>2621</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25">
      <c r="A586" s="45"/>
      <c r="B586" s="54"/>
      <c r="C586" s="47">
        <f t="shared" si="103"/>
        <v>3</v>
      </c>
      <c r="D586" s="73"/>
      <c r="E586" s="70"/>
      <c r="F586" s="70" t="s">
        <v>1203</v>
      </c>
      <c r="G586" s="73"/>
      <c r="H586" s="76" t="s">
        <v>2622</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1204</v>
      </c>
      <c r="G587" s="73"/>
      <c r="H587" s="76" t="s">
        <v>2623</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1205</v>
      </c>
      <c r="G588" s="73"/>
      <c r="H588" s="76" t="s">
        <v>2624</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1206</v>
      </c>
      <c r="G589" s="73"/>
      <c r="H589" s="76" t="s">
        <v>2625</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1207</v>
      </c>
      <c r="G590" s="73"/>
      <c r="H590" s="76" t="s">
        <v>2626</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2636</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103"/>
        <v>3</v>
      </c>
      <c r="D592" s="73"/>
      <c r="E592" s="70"/>
      <c r="F592" s="70" t="s">
        <v>2637</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2638</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2639</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2640</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2641</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2642</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2643</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107">INT($C$29)+2</f>
        <v>3</v>
      </c>
      <c r="D599" s="73"/>
      <c r="E599" s="70"/>
      <c r="F599" s="70" t="s">
        <v>2644</v>
      </c>
      <c r="G599" s="73"/>
      <c r="H599" s="76" t="s">
        <v>2668</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107"/>
        <v>3</v>
      </c>
      <c r="D600" s="73"/>
      <c r="E600" s="70"/>
      <c r="F600" s="70" t="s">
        <v>2645</v>
      </c>
      <c r="G600" s="73"/>
      <c r="H600" s="76" t="s">
        <v>2669</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7"/>
        <v>3</v>
      </c>
      <c r="D601" s="73"/>
      <c r="E601" s="70"/>
      <c r="F601" s="70" t="s">
        <v>2646</v>
      </c>
      <c r="G601" s="73"/>
      <c r="H601" s="76" t="s">
        <v>2670</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2647</v>
      </c>
      <c r="G602" s="73"/>
      <c r="H602" s="76" t="s">
        <v>2671</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2648</v>
      </c>
      <c r="G603" s="73"/>
      <c r="H603" s="76" t="s">
        <v>2672</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2649</v>
      </c>
      <c r="G604" s="73"/>
      <c r="H604" s="76" t="s">
        <v>2673</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2650</v>
      </c>
      <c r="G605" s="73"/>
      <c r="H605" s="76" t="s">
        <v>2674</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2651</v>
      </c>
      <c r="G606" s="73"/>
      <c r="H606" s="76" t="s">
        <v>2675</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2652</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7"/>
        <v>3</v>
      </c>
      <c r="D608" s="73"/>
      <c r="E608" s="70"/>
      <c r="F608" s="70" t="s">
        <v>2653</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2654</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2655</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2656</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2657</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2658</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2659</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107"/>
        <v>3</v>
      </c>
      <c r="D615" s="73"/>
      <c r="E615" s="70"/>
      <c r="F615" s="70" t="s">
        <v>2660</v>
      </c>
      <c r="G615" s="73"/>
      <c r="H615" s="76" t="s">
        <v>2753</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107"/>
        <v>3</v>
      </c>
      <c r="D616" s="73"/>
      <c r="E616" s="70"/>
      <c r="F616" s="70" t="s">
        <v>2661</v>
      </c>
      <c r="G616" s="73"/>
      <c r="H616" s="76" t="s">
        <v>2669</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7"/>
        <v>3</v>
      </c>
      <c r="D617" s="73"/>
      <c r="E617" s="70"/>
      <c r="F617" s="70" t="s">
        <v>2662</v>
      </c>
      <c r="G617" s="73"/>
      <c r="H617" s="76" t="s">
        <v>2670</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2663</v>
      </c>
      <c r="G618" s="73"/>
      <c r="H618" s="76" t="s">
        <v>2671</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2664</v>
      </c>
      <c r="G619" s="73"/>
      <c r="H619" s="76" t="s">
        <v>2672</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2665</v>
      </c>
      <c r="G620" s="73"/>
      <c r="H620" s="76" t="s">
        <v>2673</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2666</v>
      </c>
      <c r="G621" s="73"/>
      <c r="H621" s="76" t="s">
        <v>2674</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2667</v>
      </c>
      <c r="G622" s="73"/>
      <c r="H622" s="76" t="s">
        <v>2675</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107"/>
        <v>3</v>
      </c>
      <c r="D623" s="73"/>
      <c r="E623" s="70"/>
      <c r="F623" s="70" t="s">
        <v>2755</v>
      </c>
      <c r="G623" s="73"/>
      <c r="H623" s="76" t="s">
        <v>2754</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3503</v>
      </c>
      <c r="AG623" s="76"/>
      <c r="AH623" s="97">
        <v>1</v>
      </c>
      <c r="AI623" s="97">
        <v>1</v>
      </c>
      <c r="AJ623" s="73"/>
      <c r="AK623" s="57"/>
      <c r="AL623" s="45"/>
      <c r="AM623" s="45"/>
      <c r="AN623" s="45"/>
    </row>
    <row r="624" spans="1:40" hidden="1" outlineLevel="2" x14ac:dyDescent="0.25">
      <c r="A624" s="45"/>
      <c r="B624" s="54"/>
      <c r="C624" s="47">
        <f t="shared" si="107"/>
        <v>3</v>
      </c>
      <c r="D624" s="73"/>
      <c r="E624" s="70"/>
      <c r="F624" s="70" t="s">
        <v>2756</v>
      </c>
      <c r="G624" s="73"/>
      <c r="H624" s="76" t="s">
        <v>2669</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3502</v>
      </c>
      <c r="AG624" s="76"/>
      <c r="AH624" s="97">
        <v>1</v>
      </c>
      <c r="AI624" s="97">
        <v>1</v>
      </c>
      <c r="AJ624" s="73"/>
      <c r="AK624" s="57"/>
      <c r="AL624" s="45"/>
      <c r="AM624" s="45"/>
      <c r="AN624" s="45"/>
    </row>
    <row r="625" spans="1:40" hidden="1" outlineLevel="2" x14ac:dyDescent="0.25">
      <c r="A625" s="45"/>
      <c r="B625" s="54"/>
      <c r="C625" s="47">
        <f t="shared" si="107"/>
        <v>3</v>
      </c>
      <c r="D625" s="73"/>
      <c r="E625" s="70"/>
      <c r="F625" s="70" t="s">
        <v>2757</v>
      </c>
      <c r="G625" s="73"/>
      <c r="H625" s="76" t="s">
        <v>2670</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25">
      <c r="A626" s="45"/>
      <c r="B626" s="54"/>
      <c r="C626" s="47">
        <f t="shared" si="107"/>
        <v>3</v>
      </c>
      <c r="D626" s="73"/>
      <c r="E626" s="70"/>
      <c r="F626" s="70" t="s">
        <v>2758</v>
      </c>
      <c r="G626" s="73"/>
      <c r="H626" s="76" t="s">
        <v>2671</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2759</v>
      </c>
      <c r="G627" s="73"/>
      <c r="H627" s="76" t="s">
        <v>2672</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2760</v>
      </c>
      <c r="G628" s="73"/>
      <c r="H628" s="76" t="s">
        <v>2673</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2761</v>
      </c>
      <c r="G629" s="73"/>
      <c r="H629" s="76" t="s">
        <v>2674</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2762</v>
      </c>
      <c r="G630" s="73"/>
      <c r="H630" s="76" t="s">
        <v>2675</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2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5"/>
        <v>3</v>
      </c>
      <c r="D636" s="73"/>
      <c r="E636" s="70"/>
      <c r="F636" s="70" t="s">
        <v>1214</v>
      </c>
      <c r="G636" s="73"/>
      <c r="H636" s="76" t="s">
        <v>2627</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25">
      <c r="A637" s="45"/>
      <c r="B637" s="54"/>
      <c r="C637" s="47">
        <f t="shared" si="115"/>
        <v>3</v>
      </c>
      <c r="D637" s="73"/>
      <c r="E637" s="70"/>
      <c r="F637" s="70" t="s">
        <v>1215</v>
      </c>
      <c r="G637" s="73"/>
      <c r="H637" s="76" t="s">
        <v>2628</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7"/>
        <v>3</v>
      </c>
      <c r="D657" s="73"/>
      <c r="E657" s="70"/>
      <c r="F657" s="70" t="s">
        <v>1237</v>
      </c>
      <c r="G657" s="73"/>
      <c r="H657" s="76" t="s">
        <v>2627</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2565</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1238</v>
      </c>
      <c r="G658" s="73"/>
      <c r="H658" s="76" t="s">
        <v>2628</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25">
      <c r="A660" s="45"/>
      <c r="B660" s="54"/>
      <c r="C660" s="47">
        <f t="shared" si="117"/>
        <v>3</v>
      </c>
      <c r="D660" s="73"/>
      <c r="E660" s="70"/>
      <c r="F660" s="70" t="s">
        <v>1241</v>
      </c>
      <c r="G660" s="73"/>
      <c r="H660" s="76" t="s">
        <v>2629</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1242</v>
      </c>
      <c r="G661" s="73"/>
      <c r="H661" s="76" t="s">
        <v>2630</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1245</v>
      </c>
      <c r="G663" s="73"/>
      <c r="H663" s="76" t="s">
        <v>2631</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1246</v>
      </c>
      <c r="G664" s="73"/>
      <c r="H664" s="76" t="s">
        <v>2632</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1247</v>
      </c>
      <c r="G665" s="73"/>
      <c r="H665" s="76" t="s">
        <v>2956</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1248</v>
      </c>
      <c r="G666" s="73"/>
      <c r="H666" s="76" t="s">
        <v>2957</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1249</v>
      </c>
      <c r="G667" s="73"/>
      <c r="H667" s="76" t="s">
        <v>2958</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1252</v>
      </c>
      <c r="G669" s="73"/>
      <c r="H669" s="76" t="s">
        <v>2631</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1253</v>
      </c>
      <c r="G670" s="73"/>
      <c r="H670" s="76" t="s">
        <v>2632</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1256</v>
      </c>
      <c r="G672" s="73"/>
      <c r="H672" s="76" t="s">
        <v>2631</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25">
      <c r="A673" s="45"/>
      <c r="B673" s="54"/>
      <c r="C673" s="47">
        <f t="shared" si="117"/>
        <v>3</v>
      </c>
      <c r="D673" s="73"/>
      <c r="E673" s="70"/>
      <c r="F673" s="70" t="s">
        <v>1258</v>
      </c>
      <c r="G673" s="73"/>
      <c r="H673" s="76" t="s">
        <v>2632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2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2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1268</v>
      </c>
      <c r="G679" s="73"/>
      <c r="H679" s="76" t="s">
        <v>2329</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25">
      <c r="A681" s="45"/>
      <c r="B681" s="54"/>
      <c r="C681" s="47">
        <f t="shared" si="117"/>
        <v>3</v>
      </c>
      <c r="D681" s="73"/>
      <c r="E681" s="70"/>
      <c r="F681" s="70" t="s">
        <v>1271</v>
      </c>
      <c r="G681" s="73"/>
      <c r="H681" s="76" t="s">
        <v>2631</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1272</v>
      </c>
      <c r="G682" s="73"/>
      <c r="H682" s="76" t="s">
        <v>2632</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1275</v>
      </c>
      <c r="G684" s="73"/>
      <c r="H684" s="76" t="s">
        <v>2631</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1277</v>
      </c>
      <c r="G685" s="73"/>
      <c r="H685" s="76" t="s">
        <v>2632</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1280</v>
      </c>
      <c r="G687" s="73"/>
      <c r="H687" s="76" t="s">
        <v>2631</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25">
      <c r="A688" s="45"/>
      <c r="B688" s="54"/>
      <c r="C688" s="47">
        <f t="shared" si="117"/>
        <v>3</v>
      </c>
      <c r="D688" s="73"/>
      <c r="E688" s="70"/>
      <c r="F688" s="70" t="s">
        <v>1282</v>
      </c>
      <c r="G688" s="73"/>
      <c r="H688" s="76" t="s">
        <v>2632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2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25">
      <c r="A693" s="45"/>
      <c r="B693" s="54"/>
      <c r="C693" s="47">
        <f t="shared" si="117"/>
        <v>3</v>
      </c>
      <c r="D693" s="73"/>
      <c r="E693" s="70"/>
      <c r="F693" s="70" t="s">
        <v>1289</v>
      </c>
      <c r="G693" s="73"/>
      <c r="H693" s="76" t="s">
        <v>2629</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1291</v>
      </c>
      <c r="G694" s="73"/>
      <c r="H694" s="76" t="s">
        <v>2630</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1294</v>
      </c>
      <c r="G696" s="73"/>
      <c r="H696" s="76" t="s">
        <v>2629</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1295</v>
      </c>
      <c r="G697" s="73"/>
      <c r="H697" s="76" t="s">
        <v>2630</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1296</v>
      </c>
      <c r="G698" s="73"/>
      <c r="H698" s="76" t="s">
        <v>2947</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2948</v>
      </c>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1297</v>
      </c>
      <c r="G699" s="73"/>
      <c r="H699" s="76" t="s">
        <v>2629</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x14ac:dyDescent="0.25">
      <c r="A700" s="45"/>
      <c r="B700" s="54"/>
      <c r="C700" s="47">
        <f t="shared" si="117"/>
        <v>3</v>
      </c>
      <c r="D700" s="73"/>
      <c r="E700" s="70"/>
      <c r="F700" s="70" t="s">
        <v>1298</v>
      </c>
      <c r="G700" s="73"/>
      <c r="H700" s="76" t="s">
        <v>2630</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2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2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7"/>
        <v>4</v>
      </c>
      <c r="D771" s="73"/>
      <c r="E771" s="70"/>
      <c r="F771" s="70" t="s">
        <v>1379</v>
      </c>
      <c r="G771" s="73"/>
      <c r="H771" s="76" t="s">
        <v>2711</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2717</v>
      </c>
      <c r="AG771" s="76"/>
      <c r="AH771" s="97">
        <v>1</v>
      </c>
      <c r="AI771" s="97">
        <v>1</v>
      </c>
      <c r="AJ771" s="73"/>
      <c r="AK771" s="57"/>
      <c r="AL771" s="45"/>
      <c r="AM771" s="45"/>
      <c r="AN771" s="45"/>
    </row>
    <row r="772" spans="1:40" hidden="1" outlineLevel="2" x14ac:dyDescent="0.25">
      <c r="A772" s="45"/>
      <c r="B772" s="54"/>
      <c r="C772" s="47">
        <f t="shared" si="137"/>
        <v>4</v>
      </c>
      <c r="D772" s="73"/>
      <c r="E772" s="70"/>
      <c r="F772" s="70" t="s">
        <v>1380</v>
      </c>
      <c r="G772" s="73"/>
      <c r="H772" s="76" t="s">
        <v>2712</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25">
      <c r="A773" s="45"/>
      <c r="B773" s="54"/>
      <c r="C773" s="47">
        <f t="shared" si="137"/>
        <v>4</v>
      </c>
      <c r="D773" s="73"/>
      <c r="E773" s="70"/>
      <c r="F773" s="70" t="s">
        <v>1381</v>
      </c>
      <c r="G773" s="73"/>
      <c r="H773" s="76" t="s">
        <v>2713</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1382</v>
      </c>
      <c r="G774" s="73"/>
      <c r="H774" s="76" t="s">
        <v>2714</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25">
      <c r="A775" s="45">
        <v>4</v>
      </c>
      <c r="B775" s="54"/>
      <c r="C775" s="47">
        <f t="shared" si="137"/>
        <v>4</v>
      </c>
      <c r="D775" s="73"/>
      <c r="E775" s="70"/>
      <c r="F775" s="70" t="s">
        <v>1383</v>
      </c>
      <c r="G775" s="73"/>
      <c r="H775" s="76" t="s">
        <v>2715</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7"/>
        <v>4</v>
      </c>
      <c r="D776" s="73"/>
      <c r="E776" s="70"/>
      <c r="F776" s="70" t="s">
        <v>1384</v>
      </c>
      <c r="G776" s="73"/>
      <c r="H776" s="76" t="s">
        <v>2716</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2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2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2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2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2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2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2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2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2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2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2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2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2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collapsed="1" x14ac:dyDescent="0.2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hidden="1" outlineLevel="2" collapsed="1" x14ac:dyDescent="0.2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2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hidden="1" outlineLevel="2" x14ac:dyDescent="0.2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2570</v>
      </c>
      <c r="AG825" s="76"/>
      <c r="AH825" s="97">
        <v>1</v>
      </c>
      <c r="AI825" s="97">
        <v>1</v>
      </c>
      <c r="AJ825" s="73"/>
      <c r="AK825" s="57"/>
      <c r="AL825" s="45"/>
      <c r="AM825" s="45"/>
      <c r="AN825" s="45"/>
    </row>
    <row r="826" spans="1:40" hidden="1" outlineLevel="2" x14ac:dyDescent="0.2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hidden="1" outlineLevel="2" x14ac:dyDescent="0.2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hidden="1" outlineLevel="2" x14ac:dyDescent="0.2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hidden="1" outlineLevel="2" x14ac:dyDescent="0.2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hidden="1" outlineLevel="2" x14ac:dyDescent="0.2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hidden="1" outlineLevel="2" x14ac:dyDescent="0.2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hidden="1" outlineLevel="2" x14ac:dyDescent="0.2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hidden="1" outlineLevel="2" x14ac:dyDescent="0.2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hidden="1" outlineLevel="2" x14ac:dyDescent="0.2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hidden="1" outlineLevel="2" x14ac:dyDescent="0.2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hidden="1" outlineLevel="2" x14ac:dyDescent="0.2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hidden="1" outlineLevel="2" x14ac:dyDescent="0.2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hidden="1" outlineLevel="2" x14ac:dyDescent="0.2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hidden="1" outlineLevel="2" x14ac:dyDescent="0.2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hidden="1" outlineLevel="2" x14ac:dyDescent="0.2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hidden="1" outlineLevel="2" x14ac:dyDescent="0.2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hidden="1" outlineLevel="2" x14ac:dyDescent="0.2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hidden="1" outlineLevel="2" x14ac:dyDescent="0.2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hidden="1" outlineLevel="2" x14ac:dyDescent="0.2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hidden="1" outlineLevel="2" x14ac:dyDescent="0.2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hidden="1" outlineLevel="2" x14ac:dyDescent="0.2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hidden="1" outlineLevel="2" x14ac:dyDescent="0.2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hidden="1" outlineLevel="2" x14ac:dyDescent="0.2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hidden="1" outlineLevel="2" x14ac:dyDescent="0.2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hidden="1" outlineLevel="2" x14ac:dyDescent="0.2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hidden="1" outlineLevel="2" x14ac:dyDescent="0.2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hidden="1" outlineLevel="2" x14ac:dyDescent="0.2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hidden="1" outlineLevel="2" x14ac:dyDescent="0.2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2566</v>
      </c>
      <c r="AG853" s="76"/>
      <c r="AH853" s="97">
        <v>1</v>
      </c>
      <c r="AI853" s="97">
        <v>1</v>
      </c>
      <c r="AJ853" s="73"/>
      <c r="AK853" s="57"/>
      <c r="AL853" s="45"/>
      <c r="AM853" s="45"/>
      <c r="AN853" s="45"/>
    </row>
    <row r="854" spans="1:40" hidden="1" outlineLevel="2" x14ac:dyDescent="0.2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hidden="1" outlineLevel="2" x14ac:dyDescent="0.2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hidden="1" outlineLevel="2" x14ac:dyDescent="0.25">
      <c r="A856" s="45"/>
      <c r="B856" s="54"/>
      <c r="C856" s="47">
        <f t="shared" si="160"/>
        <v>3</v>
      </c>
      <c r="D856" s="73"/>
      <c r="E856" s="70"/>
      <c r="F856" s="70" t="s">
        <v>1546</v>
      </c>
      <c r="G856" s="73"/>
      <c r="H856" s="76" t="s">
        <v>2721</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hidden="1" outlineLevel="2" x14ac:dyDescent="0.2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2718</v>
      </c>
      <c r="AG857" s="76"/>
      <c r="AH857" s="76">
        <v>1</v>
      </c>
      <c r="AI857" s="76">
        <v>1</v>
      </c>
      <c r="AJ857" s="73"/>
      <c r="AK857" s="57"/>
      <c r="AL857" s="45"/>
      <c r="AM857" s="45"/>
      <c r="AN857" s="45"/>
    </row>
    <row r="858" spans="1:40" hidden="1" outlineLevel="2" x14ac:dyDescent="0.2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hidden="1" outlineLevel="2" x14ac:dyDescent="0.2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hidden="1" outlineLevel="2" x14ac:dyDescent="0.2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hidden="1" outlineLevel="2" x14ac:dyDescent="0.2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hidden="1" outlineLevel="2" x14ac:dyDescent="0.2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hidden="1" outlineLevel="2" collapsed="1" x14ac:dyDescent="0.2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2703</v>
      </c>
      <c r="AG863" s="76"/>
      <c r="AH863" s="97">
        <v>1</v>
      </c>
      <c r="AI863" s="97">
        <v>1</v>
      </c>
      <c r="AJ863" s="73"/>
      <c r="AK863" s="57"/>
      <c r="AL863" s="45"/>
      <c r="AM863" s="45"/>
      <c r="AN863" s="45"/>
    </row>
    <row r="864" spans="1:40" hidden="1" outlineLevel="3" x14ac:dyDescent="0.2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hidden="1" outlineLevel="2" x14ac:dyDescent="0.2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hidden="1" outlineLevel="2" x14ac:dyDescent="0.2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hidden="1" outlineLevel="2" x14ac:dyDescent="0.2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hidden="1" outlineLevel="2" x14ac:dyDescent="0.2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2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hidden="1" outlineLevel="2" x14ac:dyDescent="0.2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hidden="1" outlineLevel="2" x14ac:dyDescent="0.2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hidden="1" outlineLevel="2" x14ac:dyDescent="0.2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2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hidden="1" outlineLevel="2" x14ac:dyDescent="0.2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hidden="1" outlineLevel="2" collapsed="1" x14ac:dyDescent="0.2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2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2489</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2490</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2491</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2492</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2493</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2494</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2495</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2496</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25">
      <c r="A908" s="45"/>
      <c r="B908" s="54"/>
      <c r="C908" s="47">
        <f t="shared" si="171"/>
        <v>3</v>
      </c>
      <c r="D908" s="73"/>
      <c r="E908" s="70"/>
      <c r="F908" s="70" t="s">
        <v>2497</v>
      </c>
      <c r="G908" s="73"/>
      <c r="H908" s="76" t="s">
        <v>2699</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25">
      <c r="A909" s="45"/>
      <c r="B909" s="54"/>
      <c r="C909" s="47">
        <f t="shared" si="171"/>
        <v>3</v>
      </c>
      <c r="D909" s="73"/>
      <c r="E909" s="70"/>
      <c r="F909" s="70" t="s">
        <v>2498</v>
      </c>
      <c r="G909" s="73"/>
      <c r="H909" s="76" t="s">
        <v>2701</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hidden="1" outlineLevel="2" x14ac:dyDescent="0.25">
      <c r="A910" s="45"/>
      <c r="B910" s="54"/>
      <c r="C910" s="47">
        <f t="shared" si="171"/>
        <v>3</v>
      </c>
      <c r="D910" s="73"/>
      <c r="E910" s="70"/>
      <c r="F910" s="70" t="s">
        <v>2499</v>
      </c>
      <c r="G910" s="73"/>
      <c r="H910" s="76" t="s">
        <v>2700</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hidden="1" outlineLevel="2" x14ac:dyDescent="0.25">
      <c r="A911" s="45"/>
      <c r="B911" s="54"/>
      <c r="C911" s="47">
        <f t="shared" si="171"/>
        <v>3</v>
      </c>
      <c r="D911" s="73"/>
      <c r="E911" s="70"/>
      <c r="F911" s="70" t="s">
        <v>2500</v>
      </c>
      <c r="G911" s="73"/>
      <c r="H911" s="76" t="s">
        <v>2702</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25">
      <c r="A912" s="45"/>
      <c r="B912" s="54"/>
      <c r="C912" s="47">
        <f t="shared" si="171"/>
        <v>3</v>
      </c>
      <c r="D912" s="73"/>
      <c r="E912" s="70"/>
      <c r="F912" s="70" t="s">
        <v>2501</v>
      </c>
      <c r="G912" s="73"/>
      <c r="H912" s="76" t="s">
        <v>2752</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2763</v>
      </c>
      <c r="AG912" s="76"/>
      <c r="AH912" s="76">
        <v>1</v>
      </c>
      <c r="AI912" s="76">
        <v>1</v>
      </c>
      <c r="AJ912" s="73"/>
      <c r="AK912" s="57"/>
      <c r="AL912" s="45"/>
      <c r="AM912" s="45"/>
      <c r="AN912" s="45"/>
    </row>
    <row r="913" spans="1:40" hidden="1" outlineLevel="2" x14ac:dyDescent="0.25">
      <c r="A913" s="45"/>
      <c r="B913" s="54"/>
      <c r="C913" s="47">
        <f t="shared" si="171"/>
        <v>3</v>
      </c>
      <c r="D913" s="73"/>
      <c r="E913" s="70"/>
      <c r="F913" s="70" t="s">
        <v>2502</v>
      </c>
      <c r="G913" s="73"/>
      <c r="H913" s="76" t="s">
        <v>2701</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2803</v>
      </c>
      <c r="AG913" s="76"/>
      <c r="AH913" s="97">
        <v>1</v>
      </c>
      <c r="AI913" s="97">
        <v>1</v>
      </c>
      <c r="AJ913" s="73"/>
      <c r="AK913" s="57"/>
      <c r="AL913" s="45"/>
      <c r="AM913" s="45"/>
      <c r="AN913" s="45"/>
    </row>
    <row r="914" spans="1:40" hidden="1" outlineLevel="2" x14ac:dyDescent="0.25">
      <c r="A914" s="45"/>
      <c r="B914" s="54"/>
      <c r="C914" s="47">
        <f t="shared" si="171"/>
        <v>3</v>
      </c>
      <c r="D914" s="73"/>
      <c r="E914" s="70"/>
      <c r="F914" s="70" t="s">
        <v>2503</v>
      </c>
      <c r="G914" s="73"/>
      <c r="H914" s="76" t="s">
        <v>2700</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hidden="1" outlineLevel="2" x14ac:dyDescent="0.25">
      <c r="A915" s="45"/>
      <c r="B915" s="54"/>
      <c r="C915" s="47">
        <f t="shared" si="171"/>
        <v>3</v>
      </c>
      <c r="D915" s="73"/>
      <c r="E915" s="70"/>
      <c r="F915" s="70" t="s">
        <v>2504</v>
      </c>
      <c r="G915" s="73"/>
      <c r="H915" s="76" t="s">
        <v>2702</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hidden="1" outlineLevel="2" x14ac:dyDescent="0.25">
      <c r="A916" s="45"/>
      <c r="B916" s="54"/>
      <c r="C916" s="47">
        <f t="shared" si="171"/>
        <v>3</v>
      </c>
      <c r="D916" s="73"/>
      <c r="E916" s="70"/>
      <c r="F916" s="70" t="s">
        <v>2505</v>
      </c>
      <c r="G916" s="73"/>
      <c r="H916" s="76" t="s">
        <v>2513</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2521</v>
      </c>
      <c r="AG916" s="76"/>
      <c r="AH916" s="76">
        <v>1</v>
      </c>
      <c r="AI916" s="76">
        <v>1</v>
      </c>
      <c r="AJ916" s="73"/>
      <c r="AK916" s="57"/>
      <c r="AL916" s="45"/>
      <c r="AM916" s="45"/>
      <c r="AN916" s="45"/>
    </row>
    <row r="917" spans="1:40" hidden="1" outlineLevel="2" x14ac:dyDescent="0.25">
      <c r="A917" s="45"/>
      <c r="B917" s="54"/>
      <c r="C917" s="47">
        <f t="shared" si="171"/>
        <v>3</v>
      </c>
      <c r="D917" s="73"/>
      <c r="E917" s="70"/>
      <c r="F917" s="70" t="s">
        <v>2506</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2517</v>
      </c>
      <c r="AG917" s="76"/>
      <c r="AH917" s="97">
        <v>1</v>
      </c>
      <c r="AI917" s="97">
        <v>1</v>
      </c>
      <c r="AJ917" s="73"/>
      <c r="AK917" s="57"/>
      <c r="AL917" s="45"/>
      <c r="AM917" s="45"/>
      <c r="AN917" s="45"/>
    </row>
    <row r="918" spans="1:40" hidden="1" outlineLevel="2" x14ac:dyDescent="0.25">
      <c r="A918" s="45"/>
      <c r="B918" s="54"/>
      <c r="C918" s="47">
        <f t="shared" si="171"/>
        <v>3</v>
      </c>
      <c r="D918" s="73"/>
      <c r="E918" s="70"/>
      <c r="F918" s="70" t="s">
        <v>2507</v>
      </c>
      <c r="G918" s="73"/>
      <c r="H918" s="76" t="s">
        <v>1488</v>
      </c>
      <c r="I918" s="96" t="s">
        <v>502</v>
      </c>
      <c r="J918" s="96"/>
      <c r="K918" s="76"/>
      <c r="L918" s="76"/>
      <c r="M918" s="76"/>
      <c r="N918" s="76"/>
      <c r="O918" s="76"/>
      <c r="P918" s="76"/>
      <c r="Q918" s="76"/>
      <c r="R918" s="76"/>
      <c r="S918" s="76"/>
      <c r="T918" s="76"/>
      <c r="U918" s="97">
        <v>6</v>
      </c>
      <c r="V918" s="255">
        <f t="shared" si="179"/>
        <v>6</v>
      </c>
      <c r="W918" s="255">
        <f t="shared" si="180"/>
        <v>6</v>
      </c>
      <c r="X918" s="255">
        <f t="shared" si="180"/>
        <v>6</v>
      </c>
      <c r="Y918" s="255">
        <f>V918</f>
        <v>6</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hidden="1" outlineLevel="2" x14ac:dyDescent="0.25">
      <c r="A919" s="45"/>
      <c r="B919" s="54"/>
      <c r="C919" s="47">
        <f t="shared" si="171"/>
        <v>3</v>
      </c>
      <c r="D919" s="73"/>
      <c r="E919" s="70"/>
      <c r="F919" s="70" t="s">
        <v>2508</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2520</v>
      </c>
      <c r="AG919" s="76"/>
      <c r="AH919" s="76">
        <v>1</v>
      </c>
      <c r="AI919" s="76">
        <v>1</v>
      </c>
      <c r="AJ919" s="73"/>
      <c r="AK919" s="57"/>
      <c r="AL919" s="45"/>
      <c r="AM919" s="45"/>
      <c r="AN919" s="45"/>
    </row>
    <row r="920" spans="1:40" hidden="1" outlineLevel="2" x14ac:dyDescent="0.25">
      <c r="A920" s="45"/>
      <c r="B920" s="54"/>
      <c r="C920" s="47">
        <f t="shared" si="171"/>
        <v>3</v>
      </c>
      <c r="D920" s="73"/>
      <c r="E920" s="70"/>
      <c r="F920" s="70" t="s">
        <v>2509</v>
      </c>
      <c r="G920" s="73"/>
      <c r="H920" s="76" t="s">
        <v>3327</v>
      </c>
      <c r="I920" s="96" t="s">
        <v>502</v>
      </c>
      <c r="J920" s="96"/>
      <c r="K920" s="76"/>
      <c r="L920" s="76"/>
      <c r="M920" s="76"/>
      <c r="N920" s="76"/>
      <c r="O920" s="76"/>
      <c r="P920" s="76"/>
      <c r="Q920" s="76"/>
      <c r="R920" s="76"/>
      <c r="S920" s="76"/>
      <c r="T920" s="76" t="s">
        <v>3300</v>
      </c>
      <c r="U920" s="97">
        <v>1.302</v>
      </c>
      <c r="V920" s="255">
        <f>U920</f>
        <v>1.302</v>
      </c>
      <c r="W920" s="97">
        <v>1.80097</v>
      </c>
      <c r="X920" s="97">
        <v>1.9570099999999999</v>
      </c>
      <c r="Y920" s="97">
        <v>1.7747839999999999</v>
      </c>
      <c r="Z920" s="255">
        <f t="shared" ref="Z920:Z923" si="183">AA920</f>
        <v>0.64400000000000002</v>
      </c>
      <c r="AA920" s="97">
        <v>0.64400000000000002</v>
      </c>
      <c r="AB920" s="255">
        <f t="shared" ref="AB920:AB923" si="184">AA920</f>
        <v>0.64400000000000002</v>
      </c>
      <c r="AC920" s="255">
        <f t="shared" ref="AC920:AC923" si="185">AB920</f>
        <v>0.64400000000000002</v>
      </c>
      <c r="AD920" s="255">
        <f t="shared" ref="AD920:AD923" si="186">AC920</f>
        <v>0.64400000000000002</v>
      </c>
      <c r="AE920" s="76"/>
      <c r="AF920" s="97" t="s">
        <v>2734</v>
      </c>
      <c r="AG920" s="76"/>
      <c r="AH920" s="76">
        <v>1</v>
      </c>
      <c r="AI920" s="76">
        <v>1</v>
      </c>
      <c r="AJ920" s="73"/>
      <c r="AK920" s="57"/>
      <c r="AL920" s="45"/>
      <c r="AM920" s="45"/>
      <c r="AN920" s="45"/>
    </row>
    <row r="921" spans="1:40" hidden="1" outlineLevel="2" x14ac:dyDescent="0.25">
      <c r="A921" s="45"/>
      <c r="B921" s="54"/>
      <c r="C921" s="47">
        <f t="shared" si="171"/>
        <v>3</v>
      </c>
      <c r="D921" s="73"/>
      <c r="E921" s="70"/>
      <c r="F921" s="70" t="s">
        <v>2510</v>
      </c>
      <c r="G921" s="73"/>
      <c r="H921" s="76" t="s">
        <v>2514</v>
      </c>
      <c r="I921" s="96" t="s">
        <v>502</v>
      </c>
      <c r="J921" s="96"/>
      <c r="K921" s="76"/>
      <c r="L921" s="76"/>
      <c r="M921" s="76"/>
      <c r="N921" s="76"/>
      <c r="O921" s="76"/>
      <c r="P921" s="76"/>
      <c r="Q921" s="76"/>
      <c r="R921" s="76"/>
      <c r="S921" s="76"/>
      <c r="T921" s="76" t="s">
        <v>3300</v>
      </c>
      <c r="U921" s="97">
        <v>4.9800000000000004</v>
      </c>
      <c r="V921" s="255">
        <f>U921</f>
        <v>4.9800000000000004</v>
      </c>
      <c r="W921" s="97">
        <v>5.2321099999999996</v>
      </c>
      <c r="X921" s="97">
        <v>5.3830999999999998</v>
      </c>
      <c r="Y921" s="97">
        <v>5.2835130000000001</v>
      </c>
      <c r="Z921" s="255">
        <f t="shared" si="183"/>
        <v>3.1459999999999999</v>
      </c>
      <c r="AA921" s="97">
        <v>3.1459999999999999</v>
      </c>
      <c r="AB921" s="255">
        <f t="shared" si="184"/>
        <v>3.1459999999999999</v>
      </c>
      <c r="AC921" s="255">
        <f t="shared" si="185"/>
        <v>3.1459999999999999</v>
      </c>
      <c r="AD921" s="255">
        <f t="shared" si="186"/>
        <v>3.1459999999999999</v>
      </c>
      <c r="AE921" s="76"/>
      <c r="AF921" s="76"/>
      <c r="AG921" s="76"/>
      <c r="AH921" s="97">
        <v>1</v>
      </c>
      <c r="AI921" s="97">
        <v>1</v>
      </c>
      <c r="AJ921" s="73"/>
      <c r="AK921" s="57"/>
      <c r="AL921" s="45"/>
      <c r="AM921" s="45"/>
      <c r="AN921" s="45"/>
    </row>
    <row r="922" spans="1:40" hidden="1" outlineLevel="2" x14ac:dyDescent="0.25">
      <c r="A922" s="45"/>
      <c r="B922" s="54"/>
      <c r="C922" s="47">
        <f t="shared" si="171"/>
        <v>3</v>
      </c>
      <c r="D922" s="73"/>
      <c r="E922" s="70"/>
      <c r="F922" s="70" t="s">
        <v>2511</v>
      </c>
      <c r="G922" s="73"/>
      <c r="H922" s="76" t="s">
        <v>2515</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83"/>
        <v>6.0309999999999997</v>
      </c>
      <c r="AA922" s="97">
        <v>6.0309999999999997</v>
      </c>
      <c r="AB922" s="255">
        <f t="shared" si="184"/>
        <v>6.0309999999999997</v>
      </c>
      <c r="AC922" s="255">
        <f t="shared" si="185"/>
        <v>6.0309999999999997</v>
      </c>
      <c r="AD922" s="255">
        <f t="shared" si="186"/>
        <v>6.0309999999999997</v>
      </c>
      <c r="AE922" s="76"/>
      <c r="AF922" s="97" t="s">
        <v>2766</v>
      </c>
      <c r="AG922" s="76"/>
      <c r="AH922" s="97">
        <v>1</v>
      </c>
      <c r="AI922" s="97">
        <v>1</v>
      </c>
      <c r="AJ922" s="73"/>
      <c r="AK922" s="57"/>
      <c r="AL922" s="45"/>
      <c r="AM922" s="45"/>
      <c r="AN922" s="45"/>
    </row>
    <row r="923" spans="1:40" hidden="1" outlineLevel="2" x14ac:dyDescent="0.25">
      <c r="A923" s="45"/>
      <c r="B923" s="54"/>
      <c r="C923" s="47">
        <f t="shared" si="171"/>
        <v>3</v>
      </c>
      <c r="D923" s="73"/>
      <c r="E923" s="70"/>
      <c r="F923" s="70" t="s">
        <v>2512</v>
      </c>
      <c r="G923" s="73"/>
      <c r="H923" s="76" t="s">
        <v>2516</v>
      </c>
      <c r="I923" s="96" t="s">
        <v>502</v>
      </c>
      <c r="J923" s="96"/>
      <c r="K923" s="76"/>
      <c r="L923" s="76"/>
      <c r="M923" s="76"/>
      <c r="N923" s="76"/>
      <c r="O923" s="76"/>
      <c r="P923" s="76"/>
      <c r="Q923" s="76"/>
      <c r="R923" s="76"/>
      <c r="S923" s="76"/>
      <c r="T923" s="76"/>
      <c r="U923" s="76">
        <v>100</v>
      </c>
      <c r="V923" s="76">
        <f t="shared" si="179"/>
        <v>100</v>
      </c>
      <c r="W923" s="76">
        <f>U923</f>
        <v>100</v>
      </c>
      <c r="X923" s="76">
        <f>V923</f>
        <v>100</v>
      </c>
      <c r="Y923" s="76">
        <f>V923</f>
        <v>100</v>
      </c>
      <c r="Z923" s="76">
        <f t="shared" si="183"/>
        <v>100</v>
      </c>
      <c r="AA923" s="76">
        <v>100</v>
      </c>
      <c r="AB923" s="76">
        <f t="shared" si="184"/>
        <v>100</v>
      </c>
      <c r="AC923" s="76">
        <f t="shared" si="185"/>
        <v>100</v>
      </c>
      <c r="AD923" s="76">
        <f t="shared" si="186"/>
        <v>100</v>
      </c>
      <c r="AE923" s="76"/>
      <c r="AF923" s="264" t="s">
        <v>2520</v>
      </c>
      <c r="AG923" s="76"/>
      <c r="AH923" s="76">
        <v>1</v>
      </c>
      <c r="AI923" s="76">
        <v>1</v>
      </c>
      <c r="AJ923" s="73"/>
      <c r="AK923" s="57"/>
      <c r="AL923" s="45"/>
      <c r="AM923" s="45"/>
      <c r="AN923" s="45"/>
    </row>
    <row r="924" spans="1:40" hidden="1" outlineLevel="2" x14ac:dyDescent="0.25">
      <c r="A924" s="45"/>
      <c r="B924" s="54"/>
      <c r="C924" s="47">
        <f t="shared" si="171"/>
        <v>3</v>
      </c>
      <c r="D924" s="73"/>
      <c r="E924" s="70"/>
      <c r="F924" s="70" t="s">
        <v>3332</v>
      </c>
      <c r="G924" s="73"/>
      <c r="H924" s="76" t="s">
        <v>2574</v>
      </c>
      <c r="I924" s="96" t="s">
        <v>502</v>
      </c>
      <c r="J924" s="96"/>
      <c r="K924" s="76"/>
      <c r="L924" s="76"/>
      <c r="M924" s="76"/>
      <c r="N924" s="76"/>
      <c r="O924" s="76"/>
      <c r="P924" s="76"/>
      <c r="Q924" s="76"/>
      <c r="R924" s="76"/>
      <c r="S924" s="76"/>
      <c r="T924" s="76" t="s">
        <v>3300</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2734</v>
      </c>
      <c r="AG924" s="76"/>
      <c r="AH924" s="76">
        <v>1</v>
      </c>
      <c r="AI924" s="76">
        <v>1</v>
      </c>
      <c r="AJ924" s="73"/>
      <c r="AK924" s="57"/>
      <c r="AL924" s="45"/>
      <c r="AM924" s="45"/>
      <c r="AN924" s="45"/>
    </row>
    <row r="925" spans="1:40" hidden="1" outlineLevel="2" x14ac:dyDescent="0.25">
      <c r="A925" s="45"/>
      <c r="B925" s="54"/>
      <c r="C925" s="47">
        <f t="shared" si="171"/>
        <v>3</v>
      </c>
      <c r="D925" s="73"/>
      <c r="E925" s="70"/>
      <c r="F925" s="70" t="s">
        <v>3333</v>
      </c>
      <c r="G925" s="73"/>
      <c r="H925" s="76" t="s">
        <v>2514</v>
      </c>
      <c r="I925" s="96" t="s">
        <v>502</v>
      </c>
      <c r="J925" s="96"/>
      <c r="K925" s="76"/>
      <c r="L925" s="76"/>
      <c r="M925" s="76"/>
      <c r="N925" s="76"/>
      <c r="O925" s="76"/>
      <c r="P925" s="76"/>
      <c r="Q925" s="76"/>
      <c r="R925" s="76"/>
      <c r="S925" s="76"/>
      <c r="T925" s="76" t="s">
        <v>3300</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hidden="1" outlineLevel="2" x14ac:dyDescent="0.25">
      <c r="A926" s="45"/>
      <c r="B926" s="54"/>
      <c r="C926" s="47">
        <f t="shared" si="171"/>
        <v>3</v>
      </c>
      <c r="D926" s="73"/>
      <c r="E926" s="70"/>
      <c r="F926" s="70" t="s">
        <v>3334</v>
      </c>
      <c r="G926" s="73"/>
      <c r="H926" s="76" t="s">
        <v>2515</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2766</v>
      </c>
      <c r="AG926" s="76"/>
      <c r="AH926" s="97">
        <v>1</v>
      </c>
      <c r="AI926" s="97">
        <v>1</v>
      </c>
      <c r="AJ926" s="73"/>
      <c r="AK926" s="57"/>
      <c r="AL926" s="45"/>
      <c r="AM926" s="45"/>
      <c r="AN926" s="45"/>
    </row>
    <row r="927" spans="1:40" hidden="1" outlineLevel="2" x14ac:dyDescent="0.25">
      <c r="A927" s="45"/>
      <c r="B927" s="54"/>
      <c r="C927" s="47">
        <f t="shared" si="171"/>
        <v>3</v>
      </c>
      <c r="D927" s="73"/>
      <c r="E927" s="70"/>
      <c r="F927" s="70" t="s">
        <v>3335</v>
      </c>
      <c r="G927" s="73"/>
      <c r="H927" s="76" t="s">
        <v>2516</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2520</v>
      </c>
      <c r="AG927" s="76"/>
      <c r="AH927" s="76">
        <v>1</v>
      </c>
      <c r="AI927" s="76">
        <v>1</v>
      </c>
      <c r="AJ927" s="73"/>
      <c r="AK927" s="57"/>
      <c r="AL927" s="45"/>
      <c r="AM927" s="45"/>
      <c r="AN927" s="45"/>
    </row>
    <row r="928" spans="1:40" hidden="1" outlineLevel="2" x14ac:dyDescent="0.25">
      <c r="A928" s="45"/>
      <c r="B928" s="54"/>
      <c r="C928" s="47">
        <f t="shared" si="171"/>
        <v>3</v>
      </c>
      <c r="D928" s="73"/>
      <c r="E928" s="70"/>
      <c r="F928" s="70" t="s">
        <v>3384</v>
      </c>
      <c r="G928" s="73"/>
      <c r="H928" s="76" t="s">
        <v>3760</v>
      </c>
      <c r="I928" s="96" t="s">
        <v>502</v>
      </c>
      <c r="J928" s="96"/>
      <c r="K928" s="76"/>
      <c r="L928" s="76"/>
      <c r="M928" s="76"/>
      <c r="N928" s="76"/>
      <c r="O928" s="76"/>
      <c r="P928" s="76"/>
      <c r="Q928" s="76"/>
      <c r="R928" s="76"/>
      <c r="S928" s="76"/>
      <c r="T928" s="76"/>
      <c r="U928" s="97">
        <v>0</v>
      </c>
      <c r="V928" s="255">
        <f t="shared" ref="V928:V931" si="187">U928</f>
        <v>0</v>
      </c>
      <c r="W928" s="255">
        <f t="shared" ref="W928:W929" si="188">U928</f>
        <v>0</v>
      </c>
      <c r="X928" s="255">
        <f t="shared" ref="X928:X929" si="189">V928</f>
        <v>0</v>
      </c>
      <c r="Y928" s="255">
        <f t="shared" ref="Y928:Y929" si="190">V928</f>
        <v>0</v>
      </c>
      <c r="Z928" s="255">
        <f t="shared" ref="Z928:Z931" si="191">AA928</f>
        <v>0</v>
      </c>
      <c r="AA928" s="97">
        <f>U928</f>
        <v>0</v>
      </c>
      <c r="AB928" s="255">
        <f t="shared" ref="AB928:AB931" si="192">AA928</f>
        <v>0</v>
      </c>
      <c r="AC928" s="255">
        <f t="shared" ref="AC928:AC931" si="193">AB928</f>
        <v>0</v>
      </c>
      <c r="AD928" s="255">
        <f t="shared" ref="AD928:AD931" si="194">AC928</f>
        <v>0</v>
      </c>
      <c r="AE928" s="76"/>
      <c r="AF928" s="97" t="s">
        <v>3383</v>
      </c>
      <c r="AG928" s="76"/>
      <c r="AH928" s="76">
        <v>1</v>
      </c>
      <c r="AI928" s="76">
        <v>1</v>
      </c>
      <c r="AJ928" s="73"/>
      <c r="AK928" s="57"/>
      <c r="AL928" s="45"/>
      <c r="AM928" s="45"/>
      <c r="AN928" s="45"/>
    </row>
    <row r="929" spans="1:40" hidden="1" outlineLevel="2" x14ac:dyDescent="0.25">
      <c r="A929" s="45"/>
      <c r="B929" s="54"/>
      <c r="C929" s="47">
        <f t="shared" si="171"/>
        <v>3</v>
      </c>
      <c r="D929" s="73"/>
      <c r="E929" s="70"/>
      <c r="F929" s="70" t="s">
        <v>3385</v>
      </c>
      <c r="G929" s="73"/>
      <c r="H929" s="76" t="s">
        <v>2514</v>
      </c>
      <c r="I929" s="96" t="s">
        <v>502</v>
      </c>
      <c r="J929" s="96"/>
      <c r="K929" s="76"/>
      <c r="L929" s="76"/>
      <c r="M929" s="76"/>
      <c r="N929" s="76"/>
      <c r="O929" s="76"/>
      <c r="P929" s="76"/>
      <c r="Q929" s="76"/>
      <c r="R929" s="76"/>
      <c r="S929" s="76"/>
      <c r="T929" s="76"/>
      <c r="U929" s="97">
        <v>0</v>
      </c>
      <c r="V929" s="255">
        <f t="shared" si="187"/>
        <v>0</v>
      </c>
      <c r="W929" s="255">
        <f t="shared" si="188"/>
        <v>0</v>
      </c>
      <c r="X929" s="255">
        <f t="shared" si="189"/>
        <v>0</v>
      </c>
      <c r="Y929" s="255">
        <f t="shared" si="190"/>
        <v>0</v>
      </c>
      <c r="Z929" s="255">
        <f t="shared" si="191"/>
        <v>0</v>
      </c>
      <c r="AA929" s="97">
        <f t="shared" ref="AA929:AA930" si="195">U929</f>
        <v>0</v>
      </c>
      <c r="AB929" s="255">
        <f t="shared" si="192"/>
        <v>0</v>
      </c>
      <c r="AC929" s="255">
        <f t="shared" si="193"/>
        <v>0</v>
      </c>
      <c r="AD929" s="255">
        <f t="shared" si="194"/>
        <v>0</v>
      </c>
      <c r="AE929" s="76"/>
      <c r="AF929" s="97" t="s">
        <v>3765</v>
      </c>
      <c r="AG929" s="76"/>
      <c r="AH929" s="97">
        <v>1</v>
      </c>
      <c r="AI929" s="97">
        <v>1</v>
      </c>
      <c r="AJ929" s="73"/>
      <c r="AK929" s="57"/>
      <c r="AL929" s="45"/>
      <c r="AM929" s="45"/>
      <c r="AN929" s="45"/>
    </row>
    <row r="930" spans="1:40" hidden="1" outlineLevel="2" x14ac:dyDescent="0.25">
      <c r="A930" s="45"/>
      <c r="B930" s="54"/>
      <c r="C930" s="47">
        <f t="shared" si="171"/>
        <v>3</v>
      </c>
      <c r="D930" s="73"/>
      <c r="E930" s="70"/>
      <c r="F930" s="70" t="s">
        <v>3386</v>
      </c>
      <c r="G930" s="73"/>
      <c r="H930" s="76" t="s">
        <v>2515</v>
      </c>
      <c r="I930" s="96" t="s">
        <v>502</v>
      </c>
      <c r="J930" s="96"/>
      <c r="K930" s="76"/>
      <c r="L930" s="76"/>
      <c r="M930" s="76"/>
      <c r="N930" s="76"/>
      <c r="O930" s="76"/>
      <c r="P930" s="76"/>
      <c r="Q930" s="76"/>
      <c r="R930" s="76"/>
      <c r="S930" s="76"/>
      <c r="T930" s="76"/>
      <c r="U930" s="97">
        <v>-3.3000000000000002E-2</v>
      </c>
      <c r="V930" s="255">
        <f t="shared" si="187"/>
        <v>-3.3000000000000002E-2</v>
      </c>
      <c r="W930" s="255">
        <f>U930</f>
        <v>-3.3000000000000002E-2</v>
      </c>
      <c r="X930" s="255">
        <f>V930</f>
        <v>-3.3000000000000002E-2</v>
      </c>
      <c r="Y930" s="255">
        <f>V930</f>
        <v>-3.3000000000000002E-2</v>
      </c>
      <c r="Z930" s="255">
        <f t="shared" si="191"/>
        <v>-3.3000000000000002E-2</v>
      </c>
      <c r="AA930" s="97">
        <f t="shared" si="195"/>
        <v>-3.3000000000000002E-2</v>
      </c>
      <c r="AB930" s="255">
        <f t="shared" si="192"/>
        <v>-3.3000000000000002E-2</v>
      </c>
      <c r="AC930" s="255">
        <f t="shared" si="193"/>
        <v>-3.3000000000000002E-2</v>
      </c>
      <c r="AD930" s="255">
        <f t="shared" si="194"/>
        <v>-3.3000000000000002E-2</v>
      </c>
      <c r="AE930" s="76"/>
      <c r="AF930" s="97"/>
      <c r="AG930" s="76"/>
      <c r="AH930" s="97">
        <v>1</v>
      </c>
      <c r="AI930" s="97">
        <v>1</v>
      </c>
      <c r="AJ930" s="73"/>
      <c r="AK930" s="57"/>
      <c r="AL930" s="45"/>
      <c r="AM930" s="45"/>
      <c r="AN930" s="45"/>
    </row>
    <row r="931" spans="1:40" hidden="1" outlineLevel="2" x14ac:dyDescent="0.25">
      <c r="A931" s="45"/>
      <c r="B931" s="54"/>
      <c r="C931" s="47">
        <f t="shared" si="171"/>
        <v>3</v>
      </c>
      <c r="D931" s="73"/>
      <c r="E931" s="70"/>
      <c r="F931" s="70" t="s">
        <v>3387</v>
      </c>
      <c r="G931" s="73"/>
      <c r="H931" s="76" t="s">
        <v>2516</v>
      </c>
      <c r="I931" s="96" t="s">
        <v>502</v>
      </c>
      <c r="J931" s="96"/>
      <c r="K931" s="76"/>
      <c r="L931" s="76"/>
      <c r="M931" s="76"/>
      <c r="N931" s="76"/>
      <c r="O931" s="76"/>
      <c r="P931" s="76"/>
      <c r="Q931" s="76"/>
      <c r="R931" s="76"/>
      <c r="S931" s="76"/>
      <c r="T931" s="76"/>
      <c r="U931" s="253">
        <f>U930</f>
        <v>-3.3000000000000002E-2</v>
      </c>
      <c r="V931" s="76">
        <f t="shared" si="187"/>
        <v>-3.3000000000000002E-2</v>
      </c>
      <c r="W931" s="76">
        <f>U931</f>
        <v>-3.3000000000000002E-2</v>
      </c>
      <c r="X931" s="76">
        <f>V931</f>
        <v>-3.3000000000000002E-2</v>
      </c>
      <c r="Y931" s="76">
        <f>V931</f>
        <v>-3.3000000000000002E-2</v>
      </c>
      <c r="Z931" s="76">
        <f t="shared" si="191"/>
        <v>-3.3000000000000002E-2</v>
      </c>
      <c r="AA931" s="253">
        <f>AA930</f>
        <v>-3.3000000000000002E-2</v>
      </c>
      <c r="AB931" s="76">
        <f t="shared" si="192"/>
        <v>-3.3000000000000002E-2</v>
      </c>
      <c r="AC931" s="76">
        <f t="shared" si="193"/>
        <v>-3.3000000000000002E-2</v>
      </c>
      <c r="AD931" s="76">
        <f t="shared" si="194"/>
        <v>-3.3000000000000002E-2</v>
      </c>
      <c r="AE931" s="76"/>
      <c r="AF931" s="264" t="s">
        <v>3382</v>
      </c>
      <c r="AG931" s="76"/>
      <c r="AH931" s="76">
        <v>1</v>
      </c>
      <c r="AI931" s="76">
        <v>1</v>
      </c>
      <c r="AJ931" s="73"/>
      <c r="AK931" s="57"/>
      <c r="AL931" s="45"/>
      <c r="AM931" s="45"/>
      <c r="AN931" s="45"/>
    </row>
    <row r="932" spans="1:40" hidden="1" outlineLevel="2" x14ac:dyDescent="0.25">
      <c r="A932" s="45"/>
      <c r="B932" s="54"/>
      <c r="C932" s="47">
        <f t="shared" si="171"/>
        <v>3</v>
      </c>
      <c r="D932" s="73"/>
      <c r="E932" s="70"/>
      <c r="F932" s="70" t="s">
        <v>3388</v>
      </c>
      <c r="G932" s="73"/>
      <c r="H932" s="76" t="s">
        <v>3761</v>
      </c>
      <c r="I932" s="96" t="s">
        <v>502</v>
      </c>
      <c r="J932" s="96"/>
      <c r="K932" s="76"/>
      <c r="L932" s="76"/>
      <c r="M932" s="76"/>
      <c r="N932" s="76"/>
      <c r="O932" s="76"/>
      <c r="P932" s="76"/>
      <c r="Q932" s="76"/>
      <c r="R932" s="76"/>
      <c r="S932" s="76"/>
      <c r="T932" s="76"/>
      <c r="U932" s="97">
        <v>0</v>
      </c>
      <c r="V932" s="255">
        <f t="shared" ref="V932:V935" si="196">U932</f>
        <v>0</v>
      </c>
      <c r="W932" s="255">
        <f t="shared" ref="W932:W933" si="197">U932</f>
        <v>0</v>
      </c>
      <c r="X932" s="255">
        <f t="shared" ref="X932:X933" si="198">V932</f>
        <v>0</v>
      </c>
      <c r="Y932" s="255">
        <f t="shared" ref="Y932:Y933" si="199">V932</f>
        <v>0</v>
      </c>
      <c r="Z932" s="255">
        <f t="shared" ref="Z932:Z935" si="200">AA932</f>
        <v>0</v>
      </c>
      <c r="AA932" s="97">
        <f>U932</f>
        <v>0</v>
      </c>
      <c r="AB932" s="255">
        <f t="shared" ref="AB932:AB935" si="201">AA932</f>
        <v>0</v>
      </c>
      <c r="AC932" s="255">
        <f t="shared" ref="AC932:AC935" si="202">AB932</f>
        <v>0</v>
      </c>
      <c r="AD932" s="255">
        <f t="shared" ref="AD932:AD935" si="203">AC932</f>
        <v>0</v>
      </c>
      <c r="AE932" s="76"/>
      <c r="AF932" s="97" t="s">
        <v>3383</v>
      </c>
      <c r="AG932" s="76"/>
      <c r="AH932" s="76">
        <v>1</v>
      </c>
      <c r="AI932" s="76">
        <v>1</v>
      </c>
      <c r="AJ932" s="73"/>
      <c r="AK932" s="57"/>
      <c r="AL932" s="45"/>
      <c r="AM932" s="45"/>
      <c r="AN932" s="45"/>
    </row>
    <row r="933" spans="1:40" hidden="1" outlineLevel="2" x14ac:dyDescent="0.25">
      <c r="A933" s="45"/>
      <c r="B933" s="54"/>
      <c r="C933" s="47">
        <f t="shared" si="171"/>
        <v>3</v>
      </c>
      <c r="D933" s="73"/>
      <c r="E933" s="70"/>
      <c r="F933" s="70" t="s">
        <v>3389</v>
      </c>
      <c r="G933" s="73"/>
      <c r="H933" s="76" t="s">
        <v>2514</v>
      </c>
      <c r="I933" s="96" t="s">
        <v>502</v>
      </c>
      <c r="J933" s="96"/>
      <c r="K933" s="76"/>
      <c r="L933" s="76"/>
      <c r="M933" s="76"/>
      <c r="N933" s="76"/>
      <c r="O933" s="76"/>
      <c r="P933" s="76"/>
      <c r="Q933" s="76"/>
      <c r="R933" s="76"/>
      <c r="S933" s="76"/>
      <c r="T933" s="76"/>
      <c r="U933" s="97">
        <v>0</v>
      </c>
      <c r="V933" s="255">
        <f t="shared" si="196"/>
        <v>0</v>
      </c>
      <c r="W933" s="255">
        <f t="shared" si="197"/>
        <v>0</v>
      </c>
      <c r="X933" s="255">
        <f t="shared" si="198"/>
        <v>0</v>
      </c>
      <c r="Y933" s="255">
        <f t="shared" si="199"/>
        <v>0</v>
      </c>
      <c r="Z933" s="255">
        <f t="shared" si="200"/>
        <v>0</v>
      </c>
      <c r="AA933" s="97">
        <f t="shared" ref="AA933:AA934" si="204">U933</f>
        <v>0</v>
      </c>
      <c r="AB933" s="255">
        <f t="shared" si="201"/>
        <v>0</v>
      </c>
      <c r="AC933" s="255">
        <f t="shared" si="202"/>
        <v>0</v>
      </c>
      <c r="AD933" s="255">
        <f t="shared" si="203"/>
        <v>0</v>
      </c>
      <c r="AE933" s="76"/>
      <c r="AF933" s="97" t="s">
        <v>3765</v>
      </c>
      <c r="AG933" s="76"/>
      <c r="AH933" s="97">
        <v>1</v>
      </c>
      <c r="AI933" s="97">
        <v>1</v>
      </c>
      <c r="AJ933" s="73"/>
      <c r="AK933" s="57"/>
      <c r="AL933" s="45"/>
      <c r="AM933" s="45"/>
      <c r="AN933" s="45"/>
    </row>
    <row r="934" spans="1:40" hidden="1" outlineLevel="2" x14ac:dyDescent="0.25">
      <c r="A934" s="45"/>
      <c r="B934" s="54"/>
      <c r="C934" s="47">
        <f t="shared" si="171"/>
        <v>3</v>
      </c>
      <c r="D934" s="73"/>
      <c r="E934" s="70"/>
      <c r="F934" s="70" t="s">
        <v>3390</v>
      </c>
      <c r="G934" s="73"/>
      <c r="H934" s="76" t="s">
        <v>2515</v>
      </c>
      <c r="I934" s="96" t="s">
        <v>502</v>
      </c>
      <c r="J934" s="96"/>
      <c r="K934" s="76"/>
      <c r="L934" s="76"/>
      <c r="M934" s="76"/>
      <c r="N934" s="76"/>
      <c r="O934" s="76"/>
      <c r="P934" s="76"/>
      <c r="Q934" s="76"/>
      <c r="R934" s="76"/>
      <c r="S934" s="76"/>
      <c r="T934" s="76"/>
      <c r="U934" s="97">
        <v>1.0269999999999999E-3</v>
      </c>
      <c r="V934" s="255">
        <f t="shared" si="196"/>
        <v>1.0269999999999999E-3</v>
      </c>
      <c r="W934" s="255">
        <f>U934</f>
        <v>1.0269999999999999E-3</v>
      </c>
      <c r="X934" s="255">
        <f>V934</f>
        <v>1.0269999999999999E-3</v>
      </c>
      <c r="Y934" s="255">
        <f>V934</f>
        <v>1.0269999999999999E-3</v>
      </c>
      <c r="Z934" s="255">
        <f t="shared" si="200"/>
        <v>1.0269999999999999E-3</v>
      </c>
      <c r="AA934" s="97">
        <f t="shared" si="204"/>
        <v>1.0269999999999999E-3</v>
      </c>
      <c r="AB934" s="255">
        <f t="shared" si="201"/>
        <v>1.0269999999999999E-3</v>
      </c>
      <c r="AC934" s="255">
        <f t="shared" si="202"/>
        <v>1.0269999999999999E-3</v>
      </c>
      <c r="AD934" s="255">
        <f t="shared" si="203"/>
        <v>1.0269999999999999E-3</v>
      </c>
      <c r="AE934" s="76"/>
      <c r="AF934" s="97"/>
      <c r="AG934" s="76"/>
      <c r="AH934" s="97">
        <v>1</v>
      </c>
      <c r="AI934" s="97">
        <v>1</v>
      </c>
      <c r="AJ934" s="73"/>
      <c r="AK934" s="57"/>
      <c r="AL934" s="45"/>
      <c r="AM934" s="45"/>
      <c r="AN934" s="45"/>
    </row>
    <row r="935" spans="1:40" hidden="1" outlineLevel="2" x14ac:dyDescent="0.25">
      <c r="A935" s="45"/>
      <c r="B935" s="54"/>
      <c r="C935" s="47">
        <f t="shared" si="171"/>
        <v>3</v>
      </c>
      <c r="D935" s="73"/>
      <c r="E935" s="70"/>
      <c r="F935" s="70" t="s">
        <v>3391</v>
      </c>
      <c r="G935" s="73"/>
      <c r="H935" s="76" t="s">
        <v>2516</v>
      </c>
      <c r="I935" s="96" t="s">
        <v>502</v>
      </c>
      <c r="J935" s="96"/>
      <c r="K935" s="76"/>
      <c r="L935" s="76"/>
      <c r="M935" s="76"/>
      <c r="N935" s="76"/>
      <c r="O935" s="76"/>
      <c r="P935" s="76"/>
      <c r="Q935" s="76"/>
      <c r="R935" s="76"/>
      <c r="S935" s="76"/>
      <c r="T935" s="76"/>
      <c r="U935" s="253">
        <f>U934</f>
        <v>1.0269999999999999E-3</v>
      </c>
      <c r="V935" s="76">
        <f t="shared" si="196"/>
        <v>1.0269999999999999E-3</v>
      </c>
      <c r="W935" s="76">
        <f>U935</f>
        <v>1.0269999999999999E-3</v>
      </c>
      <c r="X935" s="76">
        <f>V935</f>
        <v>1.0269999999999999E-3</v>
      </c>
      <c r="Y935" s="76">
        <f>V935</f>
        <v>1.0269999999999999E-3</v>
      </c>
      <c r="Z935" s="76">
        <f t="shared" si="200"/>
        <v>1.0269999999999999E-3</v>
      </c>
      <c r="AA935" s="253">
        <f>AA934</f>
        <v>1.0269999999999999E-3</v>
      </c>
      <c r="AB935" s="76">
        <f t="shared" si="201"/>
        <v>1.0269999999999999E-3</v>
      </c>
      <c r="AC935" s="76">
        <f t="shared" si="202"/>
        <v>1.0269999999999999E-3</v>
      </c>
      <c r="AD935" s="76">
        <f t="shared" si="203"/>
        <v>1.0269999999999999E-3</v>
      </c>
      <c r="AE935" s="76"/>
      <c r="AF935" s="264" t="s">
        <v>3382</v>
      </c>
      <c r="AG935" s="76"/>
      <c r="AH935" s="76">
        <v>1</v>
      </c>
      <c r="AI935" s="76">
        <v>1</v>
      </c>
      <c r="AJ935" s="73"/>
      <c r="AK935" s="57"/>
      <c r="AL935" s="45"/>
      <c r="AM935" s="45"/>
      <c r="AN935" s="45"/>
    </row>
    <row r="936" spans="1:40" hidden="1" outlineLevel="2" x14ac:dyDescent="0.25">
      <c r="A936" s="45"/>
      <c r="B936" s="54"/>
      <c r="C936" s="47">
        <f t="shared" si="171"/>
        <v>3</v>
      </c>
      <c r="D936" s="73"/>
      <c r="E936" s="70"/>
      <c r="F936" s="70" t="s">
        <v>3392</v>
      </c>
      <c r="G936" s="73"/>
      <c r="H936" s="76" t="s">
        <v>3762</v>
      </c>
      <c r="I936" s="96" t="s">
        <v>502</v>
      </c>
      <c r="J936" s="96"/>
      <c r="K936" s="76"/>
      <c r="L936" s="76"/>
      <c r="M936" s="76"/>
      <c r="N936" s="76"/>
      <c r="O936" s="76"/>
      <c r="P936" s="76"/>
      <c r="Q936" s="76"/>
      <c r="R936" s="76"/>
      <c r="S936" s="76"/>
      <c r="T936" s="76"/>
      <c r="U936" s="97">
        <v>0</v>
      </c>
      <c r="V936" s="255">
        <f t="shared" ref="V936:V939" si="205">U936</f>
        <v>0</v>
      </c>
      <c r="W936" s="255">
        <f t="shared" ref="W936:W937" si="206">U936</f>
        <v>0</v>
      </c>
      <c r="X936" s="255">
        <f t="shared" ref="X936:X937" si="207">V936</f>
        <v>0</v>
      </c>
      <c r="Y936" s="255">
        <f t="shared" ref="Y936:Y937" si="208">V936</f>
        <v>0</v>
      </c>
      <c r="Z936" s="255">
        <f t="shared" ref="Z936:Z939" si="209">AA936</f>
        <v>0</v>
      </c>
      <c r="AA936" s="97">
        <f>U936</f>
        <v>0</v>
      </c>
      <c r="AB936" s="255">
        <f t="shared" ref="AB936:AB939" si="210">AA936</f>
        <v>0</v>
      </c>
      <c r="AC936" s="255">
        <f t="shared" ref="AC936:AC939" si="211">AB936</f>
        <v>0</v>
      </c>
      <c r="AD936" s="255">
        <f t="shared" ref="AD936:AD939" si="212">AC936</f>
        <v>0</v>
      </c>
      <c r="AE936" s="76"/>
      <c r="AF936" s="97" t="s">
        <v>3383</v>
      </c>
      <c r="AG936" s="76"/>
      <c r="AH936" s="76">
        <v>1</v>
      </c>
      <c r="AI936" s="76">
        <v>1</v>
      </c>
      <c r="AJ936" s="73"/>
      <c r="AK936" s="57"/>
      <c r="AL936" s="45"/>
      <c r="AM936" s="45"/>
      <c r="AN936" s="45"/>
    </row>
    <row r="937" spans="1:40" hidden="1" outlineLevel="2" x14ac:dyDescent="0.25">
      <c r="A937" s="45"/>
      <c r="B937" s="54"/>
      <c r="C937" s="47">
        <f t="shared" si="171"/>
        <v>3</v>
      </c>
      <c r="D937" s="73"/>
      <c r="E937" s="70"/>
      <c r="F937" s="70" t="s">
        <v>3393</v>
      </c>
      <c r="G937" s="73"/>
      <c r="H937" s="76" t="s">
        <v>2514</v>
      </c>
      <c r="I937" s="96" t="s">
        <v>502</v>
      </c>
      <c r="J937" s="96"/>
      <c r="K937" s="76"/>
      <c r="L937" s="76"/>
      <c r="M937" s="76"/>
      <c r="N937" s="76"/>
      <c r="O937" s="76"/>
      <c r="P937" s="76"/>
      <c r="Q937" s="76"/>
      <c r="R937" s="76"/>
      <c r="S937" s="76"/>
      <c r="T937" s="76"/>
      <c r="U937" s="97">
        <v>0</v>
      </c>
      <c r="V937" s="255">
        <f t="shared" si="205"/>
        <v>0</v>
      </c>
      <c r="W937" s="255">
        <f t="shared" si="206"/>
        <v>0</v>
      </c>
      <c r="X937" s="255">
        <f t="shared" si="207"/>
        <v>0</v>
      </c>
      <c r="Y937" s="255">
        <f t="shared" si="208"/>
        <v>0</v>
      </c>
      <c r="Z937" s="255">
        <f t="shared" si="209"/>
        <v>0</v>
      </c>
      <c r="AA937" s="97">
        <f t="shared" ref="AA937:AA938" si="213">U937</f>
        <v>0</v>
      </c>
      <c r="AB937" s="255">
        <f t="shared" si="210"/>
        <v>0</v>
      </c>
      <c r="AC937" s="255">
        <f t="shared" si="211"/>
        <v>0</v>
      </c>
      <c r="AD937" s="255">
        <f t="shared" si="212"/>
        <v>0</v>
      </c>
      <c r="AE937" s="76"/>
      <c r="AF937" s="97" t="s">
        <v>3765</v>
      </c>
      <c r="AG937" s="76"/>
      <c r="AH937" s="97">
        <v>1</v>
      </c>
      <c r="AI937" s="97">
        <v>1</v>
      </c>
      <c r="AJ937" s="73"/>
      <c r="AK937" s="57"/>
      <c r="AL937" s="45"/>
      <c r="AM937" s="45"/>
      <c r="AN937" s="45"/>
    </row>
    <row r="938" spans="1:40" hidden="1" outlineLevel="2" x14ac:dyDescent="0.25">
      <c r="A938" s="45"/>
      <c r="B938" s="54"/>
      <c r="C938" s="47">
        <f t="shared" si="171"/>
        <v>3</v>
      </c>
      <c r="D938" s="73"/>
      <c r="E938" s="70"/>
      <c r="F938" s="70" t="s">
        <v>3394</v>
      </c>
      <c r="G938" s="73"/>
      <c r="H938" s="76" t="s">
        <v>2515</v>
      </c>
      <c r="I938" s="96" t="s">
        <v>502</v>
      </c>
      <c r="J938" s="96"/>
      <c r="K938" s="76"/>
      <c r="L938" s="76"/>
      <c r="M938" s="76"/>
      <c r="N938" s="76"/>
      <c r="O938" s="76"/>
      <c r="P938" s="76"/>
      <c r="Q938" s="76"/>
      <c r="R938" s="76"/>
      <c r="S938" s="76"/>
      <c r="T938" s="76"/>
      <c r="U938" s="97">
        <v>7.0199999999999999E-2</v>
      </c>
      <c r="V938" s="255">
        <f t="shared" si="205"/>
        <v>7.0199999999999999E-2</v>
      </c>
      <c r="W938" s="255">
        <f>U938</f>
        <v>7.0199999999999999E-2</v>
      </c>
      <c r="X938" s="255">
        <f>V938</f>
        <v>7.0199999999999999E-2</v>
      </c>
      <c r="Y938" s="255">
        <f>V938</f>
        <v>7.0199999999999999E-2</v>
      </c>
      <c r="Z938" s="255">
        <f t="shared" si="209"/>
        <v>7.0199999999999999E-2</v>
      </c>
      <c r="AA938" s="97">
        <f t="shared" si="213"/>
        <v>7.0199999999999999E-2</v>
      </c>
      <c r="AB938" s="255">
        <f t="shared" si="210"/>
        <v>7.0199999999999999E-2</v>
      </c>
      <c r="AC938" s="255">
        <f t="shared" si="211"/>
        <v>7.0199999999999999E-2</v>
      </c>
      <c r="AD938" s="255">
        <f t="shared" si="212"/>
        <v>7.0199999999999999E-2</v>
      </c>
      <c r="AE938" s="76"/>
      <c r="AF938" s="97"/>
      <c r="AG938" s="76"/>
      <c r="AH938" s="97">
        <v>1</v>
      </c>
      <c r="AI938" s="97">
        <v>1</v>
      </c>
      <c r="AJ938" s="73"/>
      <c r="AK938" s="57"/>
      <c r="AL938" s="45"/>
      <c r="AM938" s="45"/>
      <c r="AN938" s="45"/>
    </row>
    <row r="939" spans="1:40" hidden="1" outlineLevel="2" x14ac:dyDescent="0.25">
      <c r="A939" s="45"/>
      <c r="B939" s="54"/>
      <c r="C939" s="47">
        <f t="shared" si="171"/>
        <v>3</v>
      </c>
      <c r="D939" s="73"/>
      <c r="E939" s="70"/>
      <c r="F939" s="70" t="s">
        <v>3395</v>
      </c>
      <c r="G939" s="73"/>
      <c r="H939" s="76" t="s">
        <v>2516</v>
      </c>
      <c r="I939" s="96" t="s">
        <v>502</v>
      </c>
      <c r="J939" s="96"/>
      <c r="K939" s="76"/>
      <c r="L939" s="76"/>
      <c r="M939" s="76"/>
      <c r="N939" s="76"/>
      <c r="O939" s="76"/>
      <c r="P939" s="76"/>
      <c r="Q939" s="76"/>
      <c r="R939" s="76"/>
      <c r="S939" s="76"/>
      <c r="T939" s="76"/>
      <c r="U939" s="253">
        <f>U938</f>
        <v>7.0199999999999999E-2</v>
      </c>
      <c r="V939" s="76">
        <f t="shared" si="205"/>
        <v>7.0199999999999999E-2</v>
      </c>
      <c r="W939" s="76">
        <f>U939</f>
        <v>7.0199999999999999E-2</v>
      </c>
      <c r="X939" s="76">
        <f>V939</f>
        <v>7.0199999999999999E-2</v>
      </c>
      <c r="Y939" s="76">
        <f>V939</f>
        <v>7.0199999999999999E-2</v>
      </c>
      <c r="Z939" s="76">
        <f t="shared" si="209"/>
        <v>7.0199999999999999E-2</v>
      </c>
      <c r="AA939" s="253">
        <f>AA938</f>
        <v>7.0199999999999999E-2</v>
      </c>
      <c r="AB939" s="76">
        <f t="shared" si="210"/>
        <v>7.0199999999999999E-2</v>
      </c>
      <c r="AC939" s="76">
        <f t="shared" si="211"/>
        <v>7.0199999999999999E-2</v>
      </c>
      <c r="AD939" s="76">
        <f t="shared" si="212"/>
        <v>7.0199999999999999E-2</v>
      </c>
      <c r="AE939" s="76"/>
      <c r="AF939" s="264" t="s">
        <v>3382</v>
      </c>
      <c r="AG939" s="76"/>
      <c r="AH939" s="76">
        <v>1</v>
      </c>
      <c r="AI939" s="76">
        <v>1</v>
      </c>
      <c r="AJ939" s="73"/>
      <c r="AK939" s="57"/>
      <c r="AL939" s="45"/>
      <c r="AM939" s="45"/>
      <c r="AN939" s="45"/>
    </row>
    <row r="940" spans="1:40" hidden="1" outlineLevel="2" x14ac:dyDescent="0.25">
      <c r="A940" s="45"/>
      <c r="B940" s="54"/>
      <c r="C940" s="47">
        <f t="shared" si="171"/>
        <v>3</v>
      </c>
      <c r="D940" s="73"/>
      <c r="E940" s="70"/>
      <c r="F940" s="70" t="s">
        <v>3396</v>
      </c>
      <c r="G940" s="73"/>
      <c r="H940" s="76" t="s">
        <v>3763</v>
      </c>
      <c r="I940" s="96" t="s">
        <v>502</v>
      </c>
      <c r="J940" s="96"/>
      <c r="K940" s="76"/>
      <c r="L940" s="76"/>
      <c r="M940" s="76"/>
      <c r="N940" s="76"/>
      <c r="O940" s="76"/>
      <c r="P940" s="76"/>
      <c r="Q940" s="76"/>
      <c r="R940" s="76"/>
      <c r="S940" s="76"/>
      <c r="T940" s="76"/>
      <c r="U940" s="97">
        <v>0</v>
      </c>
      <c r="V940" s="255">
        <f t="shared" ref="V940:V943" si="214">U940</f>
        <v>0</v>
      </c>
      <c r="W940" s="255">
        <f t="shared" ref="W940:W941" si="215">U940</f>
        <v>0</v>
      </c>
      <c r="X940" s="255">
        <f t="shared" ref="X940:X941" si="216">V940</f>
        <v>0</v>
      </c>
      <c r="Y940" s="255">
        <f t="shared" ref="Y940:Y941" si="217">V940</f>
        <v>0</v>
      </c>
      <c r="Z940" s="255">
        <f t="shared" ref="Z940:Z943" si="218">AA940</f>
        <v>0</v>
      </c>
      <c r="AA940" s="97">
        <f>U940</f>
        <v>0</v>
      </c>
      <c r="AB940" s="255">
        <f t="shared" ref="AB940:AB943" si="219">AA940</f>
        <v>0</v>
      </c>
      <c r="AC940" s="255">
        <f t="shared" ref="AC940:AC943" si="220">AB940</f>
        <v>0</v>
      </c>
      <c r="AD940" s="255">
        <f t="shared" ref="AD940:AD943" si="221">AC940</f>
        <v>0</v>
      </c>
      <c r="AE940" s="76"/>
      <c r="AF940" s="97" t="s">
        <v>3383</v>
      </c>
      <c r="AG940" s="76"/>
      <c r="AH940" s="76">
        <v>1</v>
      </c>
      <c r="AI940" s="76">
        <v>1</v>
      </c>
      <c r="AJ940" s="73"/>
      <c r="AK940" s="57"/>
      <c r="AL940" s="45"/>
      <c r="AM940" s="45"/>
      <c r="AN940" s="45"/>
    </row>
    <row r="941" spans="1:40" hidden="1" outlineLevel="2" x14ac:dyDescent="0.25">
      <c r="A941" s="45"/>
      <c r="B941" s="54"/>
      <c r="C941" s="47">
        <f t="shared" si="171"/>
        <v>3</v>
      </c>
      <c r="D941" s="73"/>
      <c r="E941" s="70"/>
      <c r="F941" s="70" t="s">
        <v>3397</v>
      </c>
      <c r="G941" s="73"/>
      <c r="H941" s="76" t="s">
        <v>2514</v>
      </c>
      <c r="I941" s="96" t="s">
        <v>502</v>
      </c>
      <c r="J941" s="96"/>
      <c r="K941" s="76"/>
      <c r="L941" s="76"/>
      <c r="M941" s="76"/>
      <c r="N941" s="76"/>
      <c r="O941" s="76"/>
      <c r="P941" s="76"/>
      <c r="Q941" s="76"/>
      <c r="R941" s="76"/>
      <c r="S941" s="76"/>
      <c r="T941" s="76"/>
      <c r="U941" s="97">
        <v>0</v>
      </c>
      <c r="V941" s="255">
        <f t="shared" si="214"/>
        <v>0</v>
      </c>
      <c r="W941" s="255">
        <f t="shared" si="215"/>
        <v>0</v>
      </c>
      <c r="X941" s="255">
        <f t="shared" si="216"/>
        <v>0</v>
      </c>
      <c r="Y941" s="255">
        <f t="shared" si="217"/>
        <v>0</v>
      </c>
      <c r="Z941" s="255">
        <f t="shared" si="218"/>
        <v>0</v>
      </c>
      <c r="AA941" s="97">
        <f t="shared" ref="AA941:AA942" si="222">U941</f>
        <v>0</v>
      </c>
      <c r="AB941" s="255">
        <f t="shared" si="219"/>
        <v>0</v>
      </c>
      <c r="AC941" s="255">
        <f t="shared" si="220"/>
        <v>0</v>
      </c>
      <c r="AD941" s="255">
        <f t="shared" si="221"/>
        <v>0</v>
      </c>
      <c r="AE941" s="76"/>
      <c r="AF941" s="97" t="s">
        <v>3765</v>
      </c>
      <c r="AG941" s="76"/>
      <c r="AH941" s="97">
        <v>1</v>
      </c>
      <c r="AI941" s="97">
        <v>1</v>
      </c>
      <c r="AJ941" s="73"/>
      <c r="AK941" s="57"/>
      <c r="AL941" s="45"/>
      <c r="AM941" s="45"/>
      <c r="AN941" s="45"/>
    </row>
    <row r="942" spans="1:40" hidden="1" outlineLevel="2" x14ac:dyDescent="0.25">
      <c r="A942" s="45"/>
      <c r="B942" s="54"/>
      <c r="C942" s="47">
        <f t="shared" si="171"/>
        <v>3</v>
      </c>
      <c r="D942" s="73"/>
      <c r="E942" s="70"/>
      <c r="F942" s="70" t="s">
        <v>3398</v>
      </c>
      <c r="G942" s="73"/>
      <c r="H942" s="76" t="s">
        <v>2515</v>
      </c>
      <c r="I942" s="96" t="s">
        <v>502</v>
      </c>
      <c r="J942" s="96"/>
      <c r="K942" s="76"/>
      <c r="L942" s="76"/>
      <c r="M942" s="76"/>
      <c r="N942" s="76"/>
      <c r="O942" s="76"/>
      <c r="P942" s="76"/>
      <c r="Q942" s="76"/>
      <c r="R942" s="76"/>
      <c r="S942" s="76"/>
      <c r="T942" s="76"/>
      <c r="U942" s="97">
        <v>4.4400000000000002E-2</v>
      </c>
      <c r="V942" s="255">
        <f t="shared" si="214"/>
        <v>4.4400000000000002E-2</v>
      </c>
      <c r="W942" s="255">
        <f>U942</f>
        <v>4.4400000000000002E-2</v>
      </c>
      <c r="X942" s="255">
        <f>V942</f>
        <v>4.4400000000000002E-2</v>
      </c>
      <c r="Y942" s="255">
        <f>V942</f>
        <v>4.4400000000000002E-2</v>
      </c>
      <c r="Z942" s="255">
        <f t="shared" si="218"/>
        <v>4.4400000000000002E-2</v>
      </c>
      <c r="AA942" s="97">
        <f t="shared" si="222"/>
        <v>4.4400000000000002E-2</v>
      </c>
      <c r="AB942" s="255">
        <f t="shared" si="219"/>
        <v>4.4400000000000002E-2</v>
      </c>
      <c r="AC942" s="255">
        <f t="shared" si="220"/>
        <v>4.4400000000000002E-2</v>
      </c>
      <c r="AD942" s="255">
        <f t="shared" si="221"/>
        <v>4.4400000000000002E-2</v>
      </c>
      <c r="AE942" s="76"/>
      <c r="AF942" s="97"/>
      <c r="AG942" s="76"/>
      <c r="AH942" s="97">
        <v>1</v>
      </c>
      <c r="AI942" s="97">
        <v>1</v>
      </c>
      <c r="AJ942" s="73"/>
      <c r="AK942" s="57"/>
      <c r="AL942" s="45"/>
      <c r="AM942" s="45"/>
      <c r="AN942" s="45"/>
    </row>
    <row r="943" spans="1:40" hidden="1" outlineLevel="2" x14ac:dyDescent="0.25">
      <c r="A943" s="45"/>
      <c r="B943" s="54"/>
      <c r="C943" s="47">
        <f t="shared" si="171"/>
        <v>3</v>
      </c>
      <c r="D943" s="73"/>
      <c r="E943" s="70"/>
      <c r="F943" s="70" t="s">
        <v>3399</v>
      </c>
      <c r="G943" s="73"/>
      <c r="H943" s="76" t="s">
        <v>2516</v>
      </c>
      <c r="I943" s="96" t="s">
        <v>502</v>
      </c>
      <c r="J943" s="96"/>
      <c r="K943" s="76"/>
      <c r="L943" s="76"/>
      <c r="M943" s="76"/>
      <c r="N943" s="76"/>
      <c r="O943" s="76"/>
      <c r="P943" s="76"/>
      <c r="Q943" s="76"/>
      <c r="R943" s="76"/>
      <c r="S943" s="76"/>
      <c r="T943" s="76"/>
      <c r="U943" s="253">
        <f>U942</f>
        <v>4.4400000000000002E-2</v>
      </c>
      <c r="V943" s="76">
        <f t="shared" si="214"/>
        <v>4.4400000000000002E-2</v>
      </c>
      <c r="W943" s="76">
        <f>U943</f>
        <v>4.4400000000000002E-2</v>
      </c>
      <c r="X943" s="76">
        <f>V943</f>
        <v>4.4400000000000002E-2</v>
      </c>
      <c r="Y943" s="76">
        <f>V943</f>
        <v>4.4400000000000002E-2</v>
      </c>
      <c r="Z943" s="76">
        <f t="shared" si="218"/>
        <v>4.4400000000000002E-2</v>
      </c>
      <c r="AA943" s="253">
        <f>AA942</f>
        <v>4.4400000000000002E-2</v>
      </c>
      <c r="AB943" s="76">
        <f t="shared" si="219"/>
        <v>4.4400000000000002E-2</v>
      </c>
      <c r="AC943" s="76">
        <f t="shared" si="220"/>
        <v>4.4400000000000002E-2</v>
      </c>
      <c r="AD943" s="76">
        <f t="shared" si="221"/>
        <v>4.4400000000000002E-2</v>
      </c>
      <c r="AE943" s="76"/>
      <c r="AF943" s="264" t="s">
        <v>3382</v>
      </c>
      <c r="AG943" s="76"/>
      <c r="AH943" s="76">
        <v>1</v>
      </c>
      <c r="AI943" s="76">
        <v>1</v>
      </c>
      <c r="AJ943" s="73"/>
      <c r="AK943" s="57"/>
      <c r="AL943" s="45"/>
      <c r="AM943" s="45"/>
      <c r="AN943" s="45"/>
    </row>
    <row r="944" spans="1:40" hidden="1" outlineLevel="2" x14ac:dyDescent="0.25">
      <c r="A944" s="45"/>
      <c r="B944" s="54"/>
      <c r="C944" s="47">
        <f t="shared" si="171"/>
        <v>3</v>
      </c>
      <c r="D944" s="73"/>
      <c r="E944" s="70"/>
      <c r="F944" s="70" t="s">
        <v>3401</v>
      </c>
      <c r="G944" s="73"/>
      <c r="H944" s="76" t="s">
        <v>3764</v>
      </c>
      <c r="I944" s="96" t="s">
        <v>502</v>
      </c>
      <c r="J944" s="96"/>
      <c r="K944" s="76"/>
      <c r="L944" s="76"/>
      <c r="M944" s="76"/>
      <c r="N944" s="76"/>
      <c r="O944" s="76"/>
      <c r="P944" s="76"/>
      <c r="Q944" s="76"/>
      <c r="R944" s="76"/>
      <c r="S944" s="76"/>
      <c r="T944" s="76"/>
      <c r="U944" s="97">
        <v>0</v>
      </c>
      <c r="V944" s="255">
        <f t="shared" ref="V944:V947" si="223">U944</f>
        <v>0</v>
      </c>
      <c r="W944" s="255">
        <f t="shared" ref="W944:W945" si="224">U944</f>
        <v>0</v>
      </c>
      <c r="X944" s="255">
        <f t="shared" ref="X944:X945" si="225">V944</f>
        <v>0</v>
      </c>
      <c r="Y944" s="255">
        <f t="shared" ref="Y944:Y945" si="226">V944</f>
        <v>0</v>
      </c>
      <c r="Z944" s="255">
        <f t="shared" ref="Z944:Z947" si="227">AA944</f>
        <v>0</v>
      </c>
      <c r="AA944" s="97">
        <f>U944</f>
        <v>0</v>
      </c>
      <c r="AB944" s="255">
        <f t="shared" ref="AB944:AB947" si="228">AA944</f>
        <v>0</v>
      </c>
      <c r="AC944" s="255">
        <f t="shared" ref="AC944:AC947" si="229">AB944</f>
        <v>0</v>
      </c>
      <c r="AD944" s="255">
        <f t="shared" ref="AD944:AD947" si="230">AC944</f>
        <v>0</v>
      </c>
      <c r="AE944" s="76"/>
      <c r="AF944" s="97" t="s">
        <v>3383</v>
      </c>
      <c r="AG944" s="76"/>
      <c r="AH944" s="76">
        <v>1</v>
      </c>
      <c r="AI944" s="76">
        <v>1</v>
      </c>
      <c r="AJ944" s="73"/>
      <c r="AK944" s="57"/>
      <c r="AL944" s="45"/>
      <c r="AM944" s="45"/>
      <c r="AN944" s="45"/>
    </row>
    <row r="945" spans="1:40" hidden="1" outlineLevel="2" x14ac:dyDescent="0.25">
      <c r="A945" s="45"/>
      <c r="B945" s="54"/>
      <c r="C945" s="47">
        <f t="shared" ref="C945:C983" si="231">INT($C$29)+2</f>
        <v>3</v>
      </c>
      <c r="D945" s="73"/>
      <c r="E945" s="70"/>
      <c r="F945" s="70" t="s">
        <v>3402</v>
      </c>
      <c r="G945" s="73"/>
      <c r="H945" s="76" t="s">
        <v>2514</v>
      </c>
      <c r="I945" s="96" t="s">
        <v>502</v>
      </c>
      <c r="J945" s="96"/>
      <c r="K945" s="76"/>
      <c r="L945" s="76"/>
      <c r="M945" s="76"/>
      <c r="N945" s="76"/>
      <c r="O945" s="76"/>
      <c r="P945" s="76"/>
      <c r="Q945" s="76"/>
      <c r="R945" s="76"/>
      <c r="S945" s="76"/>
      <c r="T945" s="76"/>
      <c r="U945" s="97">
        <v>0</v>
      </c>
      <c r="V945" s="255">
        <f t="shared" si="223"/>
        <v>0</v>
      </c>
      <c r="W945" s="255">
        <f t="shared" si="224"/>
        <v>0</v>
      </c>
      <c r="X945" s="255">
        <f t="shared" si="225"/>
        <v>0</v>
      </c>
      <c r="Y945" s="255">
        <f t="shared" si="226"/>
        <v>0</v>
      </c>
      <c r="Z945" s="255">
        <f t="shared" si="227"/>
        <v>0</v>
      </c>
      <c r="AA945" s="97">
        <f t="shared" ref="AA945:AA947" si="232">U945</f>
        <v>0</v>
      </c>
      <c r="AB945" s="255">
        <f t="shared" si="228"/>
        <v>0</v>
      </c>
      <c r="AC945" s="255">
        <f t="shared" si="229"/>
        <v>0</v>
      </c>
      <c r="AD945" s="255">
        <f t="shared" si="230"/>
        <v>0</v>
      </c>
      <c r="AE945" s="76"/>
      <c r="AF945" s="97" t="s">
        <v>3765</v>
      </c>
      <c r="AG945" s="76"/>
      <c r="AH945" s="97">
        <v>1</v>
      </c>
      <c r="AI945" s="97">
        <v>1</v>
      </c>
      <c r="AJ945" s="73"/>
      <c r="AK945" s="57"/>
      <c r="AL945" s="45"/>
      <c r="AM945" s="45"/>
      <c r="AN945" s="45"/>
    </row>
    <row r="946" spans="1:40" hidden="1" outlineLevel="2" x14ac:dyDescent="0.25">
      <c r="A946" s="45"/>
      <c r="B946" s="54"/>
      <c r="C946" s="47">
        <f t="shared" si="231"/>
        <v>3</v>
      </c>
      <c r="D946" s="73"/>
      <c r="E946" s="70"/>
      <c r="F946" s="70" t="s">
        <v>3403</v>
      </c>
      <c r="G946" s="73"/>
      <c r="H946" s="76" t="s">
        <v>2515</v>
      </c>
      <c r="I946" s="96" t="s">
        <v>502</v>
      </c>
      <c r="J946" s="96"/>
      <c r="K946" s="76"/>
      <c r="L946" s="76"/>
      <c r="M946" s="76"/>
      <c r="N946" s="76"/>
      <c r="O946" s="76"/>
      <c r="P946" s="76"/>
      <c r="Q946" s="76"/>
      <c r="R946" s="76"/>
      <c r="S946" s="76"/>
      <c r="T946" s="76"/>
      <c r="U946" s="97">
        <v>0.95</v>
      </c>
      <c r="V946" s="255">
        <f t="shared" si="223"/>
        <v>0.95</v>
      </c>
      <c r="W946" s="255">
        <f>U946</f>
        <v>0.95</v>
      </c>
      <c r="X946" s="255">
        <f>V946</f>
        <v>0.95</v>
      </c>
      <c r="Y946" s="255">
        <f>V946</f>
        <v>0.95</v>
      </c>
      <c r="Z946" s="255">
        <f t="shared" si="227"/>
        <v>0.95</v>
      </c>
      <c r="AA946" s="97">
        <f t="shared" si="232"/>
        <v>0.95</v>
      </c>
      <c r="AB946" s="255">
        <f t="shared" si="228"/>
        <v>0.95</v>
      </c>
      <c r="AC946" s="255">
        <f t="shared" si="229"/>
        <v>0.95</v>
      </c>
      <c r="AD946" s="255">
        <f t="shared" si="230"/>
        <v>0.95</v>
      </c>
      <c r="AE946" s="76"/>
      <c r="AF946" s="97"/>
      <c r="AG946" s="76"/>
      <c r="AH946" s="97">
        <v>1</v>
      </c>
      <c r="AI946" s="97">
        <v>1</v>
      </c>
      <c r="AJ946" s="73"/>
      <c r="AK946" s="57"/>
      <c r="AL946" s="45"/>
      <c r="AM946" s="45"/>
      <c r="AN946" s="45"/>
    </row>
    <row r="947" spans="1:40" hidden="1" outlineLevel="2" x14ac:dyDescent="0.25">
      <c r="A947" s="45"/>
      <c r="B947" s="54"/>
      <c r="C947" s="47">
        <f t="shared" si="231"/>
        <v>3</v>
      </c>
      <c r="D947" s="73"/>
      <c r="E947" s="70"/>
      <c r="F947" s="70" t="s">
        <v>3404</v>
      </c>
      <c r="G947" s="73"/>
      <c r="H947" s="76" t="s">
        <v>2516</v>
      </c>
      <c r="I947" s="96" t="s">
        <v>502</v>
      </c>
      <c r="J947" s="96"/>
      <c r="K947" s="76"/>
      <c r="L947" s="76"/>
      <c r="M947" s="76"/>
      <c r="N947" s="76"/>
      <c r="O947" s="76"/>
      <c r="P947" s="76"/>
      <c r="Q947" s="76"/>
      <c r="R947" s="76"/>
      <c r="S947" s="76"/>
      <c r="T947" s="76"/>
      <c r="U947" s="97">
        <v>1.6046</v>
      </c>
      <c r="V947" s="76">
        <f t="shared" si="223"/>
        <v>1.6046</v>
      </c>
      <c r="W947" s="76">
        <f>U947</f>
        <v>1.6046</v>
      </c>
      <c r="X947" s="76">
        <f>V947</f>
        <v>1.6046</v>
      </c>
      <c r="Y947" s="76">
        <f>V947</f>
        <v>1.6046</v>
      </c>
      <c r="Z947" s="76">
        <f t="shared" si="227"/>
        <v>1.6046</v>
      </c>
      <c r="AA947" s="97">
        <f t="shared" si="232"/>
        <v>1.6046</v>
      </c>
      <c r="AB947" s="76">
        <f t="shared" si="228"/>
        <v>1.6046</v>
      </c>
      <c r="AC947" s="76">
        <f t="shared" si="229"/>
        <v>1.6046</v>
      </c>
      <c r="AD947" s="76">
        <f t="shared" si="230"/>
        <v>1.6046</v>
      </c>
      <c r="AE947" s="76"/>
      <c r="AF947" s="264"/>
      <c r="AG947" s="76"/>
      <c r="AH947" s="76">
        <v>1</v>
      </c>
      <c r="AI947" s="76">
        <v>1</v>
      </c>
      <c r="AJ947" s="73"/>
      <c r="AK947" s="57"/>
      <c r="AL947" s="45"/>
      <c r="AM947" s="45"/>
      <c r="AN947" s="45"/>
    </row>
    <row r="948" spans="1:40" hidden="1" outlineLevel="2" x14ac:dyDescent="0.25">
      <c r="A948" s="45"/>
      <c r="B948" s="54"/>
      <c r="C948" s="47">
        <f t="shared" si="231"/>
        <v>3</v>
      </c>
      <c r="D948" s="73"/>
      <c r="E948" s="70"/>
      <c r="F948" s="70" t="s">
        <v>3405</v>
      </c>
      <c r="G948" s="73"/>
      <c r="H948" s="76" t="s">
        <v>3768</v>
      </c>
      <c r="I948" s="96" t="s">
        <v>502</v>
      </c>
      <c r="J948" s="96"/>
      <c r="K948" s="76"/>
      <c r="L948" s="76"/>
      <c r="M948" s="76"/>
      <c r="N948" s="76"/>
      <c r="O948" s="76"/>
      <c r="P948" s="76"/>
      <c r="Q948" s="76"/>
      <c r="R948" s="76"/>
      <c r="S948" s="76"/>
      <c r="T948" s="76"/>
      <c r="U948" s="97">
        <v>0</v>
      </c>
      <c r="V948" s="255">
        <f t="shared" ref="V948:V951" si="233">U948</f>
        <v>0</v>
      </c>
      <c r="W948" s="255">
        <f t="shared" ref="W948:W949" si="234">U948</f>
        <v>0</v>
      </c>
      <c r="X948" s="255">
        <f t="shared" ref="X948:X949" si="235">V948</f>
        <v>0</v>
      </c>
      <c r="Y948" s="255">
        <f t="shared" ref="Y948:Y949" si="236">V948</f>
        <v>0</v>
      </c>
      <c r="Z948" s="255">
        <f t="shared" ref="Z948:Z951" si="237">AA948</f>
        <v>0</v>
      </c>
      <c r="AA948" s="97">
        <f>U948</f>
        <v>0</v>
      </c>
      <c r="AB948" s="255">
        <f t="shared" ref="AB948:AB951" si="238">AA948</f>
        <v>0</v>
      </c>
      <c r="AC948" s="255">
        <f t="shared" ref="AC948:AC951" si="239">AB948</f>
        <v>0</v>
      </c>
      <c r="AD948" s="255">
        <f t="shared" ref="AD948:AD951" si="240">AC948</f>
        <v>0</v>
      </c>
      <c r="AE948" s="76"/>
      <c r="AF948" s="97" t="s">
        <v>3383</v>
      </c>
      <c r="AG948" s="76"/>
      <c r="AH948" s="76">
        <v>1</v>
      </c>
      <c r="AI948" s="76">
        <v>1</v>
      </c>
      <c r="AJ948" s="73"/>
      <c r="AK948" s="57"/>
      <c r="AL948" s="45"/>
      <c r="AM948" s="45"/>
      <c r="AN948" s="45"/>
    </row>
    <row r="949" spans="1:40" hidden="1" outlineLevel="2" x14ac:dyDescent="0.25">
      <c r="A949" s="45"/>
      <c r="B949" s="54"/>
      <c r="C949" s="47">
        <f t="shared" si="231"/>
        <v>3</v>
      </c>
      <c r="D949" s="73"/>
      <c r="E949" s="70"/>
      <c r="F949" s="70" t="s">
        <v>3406</v>
      </c>
      <c r="G949" s="73"/>
      <c r="H949" s="76" t="s">
        <v>2514</v>
      </c>
      <c r="I949" s="96" t="s">
        <v>502</v>
      </c>
      <c r="J949" s="96"/>
      <c r="K949" s="76"/>
      <c r="L949" s="76"/>
      <c r="M949" s="76"/>
      <c r="N949" s="76"/>
      <c r="O949" s="76"/>
      <c r="P949" s="76"/>
      <c r="Q949" s="76"/>
      <c r="R949" s="76"/>
      <c r="S949" s="76"/>
      <c r="T949" s="76"/>
      <c r="U949" s="97">
        <v>0</v>
      </c>
      <c r="V949" s="255">
        <f t="shared" si="233"/>
        <v>0</v>
      </c>
      <c r="W949" s="255">
        <f t="shared" si="234"/>
        <v>0</v>
      </c>
      <c r="X949" s="255">
        <f t="shared" si="235"/>
        <v>0</v>
      </c>
      <c r="Y949" s="255">
        <f t="shared" si="236"/>
        <v>0</v>
      </c>
      <c r="Z949" s="255">
        <f t="shared" si="237"/>
        <v>0</v>
      </c>
      <c r="AA949" s="97">
        <f t="shared" ref="AA949:AA950" si="241">U949</f>
        <v>0</v>
      </c>
      <c r="AB949" s="255">
        <f t="shared" si="238"/>
        <v>0</v>
      </c>
      <c r="AC949" s="255">
        <f t="shared" si="239"/>
        <v>0</v>
      </c>
      <c r="AD949" s="255">
        <f t="shared" si="240"/>
        <v>0</v>
      </c>
      <c r="AE949" s="76"/>
      <c r="AF949" s="97" t="s">
        <v>3400</v>
      </c>
      <c r="AG949" s="76"/>
      <c r="AH949" s="97">
        <v>1</v>
      </c>
      <c r="AI949" s="97">
        <v>1</v>
      </c>
      <c r="AJ949" s="73"/>
      <c r="AK949" s="57"/>
      <c r="AL949" s="45"/>
      <c r="AM949" s="45"/>
      <c r="AN949" s="45"/>
    </row>
    <row r="950" spans="1:40" hidden="1" outlineLevel="2" x14ac:dyDescent="0.25">
      <c r="A950" s="45"/>
      <c r="B950" s="54"/>
      <c r="C950" s="47">
        <f t="shared" si="231"/>
        <v>3</v>
      </c>
      <c r="D950" s="73"/>
      <c r="E950" s="70"/>
      <c r="F950" s="70" t="s">
        <v>3407</v>
      </c>
      <c r="G950" s="73"/>
      <c r="H950" s="76" t="s">
        <v>2515</v>
      </c>
      <c r="I950" s="96" t="s">
        <v>502</v>
      </c>
      <c r="J950" s="96"/>
      <c r="K950" s="76"/>
      <c r="L950" s="76"/>
      <c r="M950" s="76"/>
      <c r="N950" s="76"/>
      <c r="O950" s="76"/>
      <c r="P950" s="76"/>
      <c r="Q950" s="76"/>
      <c r="R950" s="76"/>
      <c r="S950" s="76"/>
      <c r="T950" s="76"/>
      <c r="U950" s="97">
        <v>0.1779</v>
      </c>
      <c r="V950" s="255">
        <f t="shared" si="233"/>
        <v>0.1779</v>
      </c>
      <c r="W950" s="255">
        <f>U950</f>
        <v>0.1779</v>
      </c>
      <c r="X950" s="255">
        <f>V950</f>
        <v>0.1779</v>
      </c>
      <c r="Y950" s="255">
        <f>V950</f>
        <v>0.1779</v>
      </c>
      <c r="Z950" s="255">
        <f t="shared" si="237"/>
        <v>0.1779</v>
      </c>
      <c r="AA950" s="97">
        <f t="shared" si="241"/>
        <v>0.1779</v>
      </c>
      <c r="AB950" s="255">
        <f t="shared" si="238"/>
        <v>0.1779</v>
      </c>
      <c r="AC950" s="255">
        <f t="shared" si="239"/>
        <v>0.1779</v>
      </c>
      <c r="AD950" s="255">
        <f t="shared" si="240"/>
        <v>0.1779</v>
      </c>
      <c r="AE950" s="76"/>
      <c r="AF950" s="97"/>
      <c r="AG950" s="76"/>
      <c r="AH950" s="97">
        <v>1</v>
      </c>
      <c r="AI950" s="97">
        <v>1</v>
      </c>
      <c r="AJ950" s="73"/>
      <c r="AK950" s="57"/>
      <c r="AL950" s="45"/>
      <c r="AM950" s="45"/>
      <c r="AN950" s="45"/>
    </row>
    <row r="951" spans="1:40" hidden="1" outlineLevel="2" x14ac:dyDescent="0.25">
      <c r="A951" s="45"/>
      <c r="B951" s="54"/>
      <c r="C951" s="47">
        <f t="shared" si="231"/>
        <v>3</v>
      </c>
      <c r="D951" s="73"/>
      <c r="E951" s="70"/>
      <c r="F951" s="70" t="s">
        <v>3408</v>
      </c>
      <c r="G951" s="73"/>
      <c r="H951" s="76" t="s">
        <v>2516</v>
      </c>
      <c r="I951" s="96" t="s">
        <v>502</v>
      </c>
      <c r="J951" s="96"/>
      <c r="K951" s="76"/>
      <c r="L951" s="76"/>
      <c r="M951" s="76"/>
      <c r="N951" s="76"/>
      <c r="O951" s="76"/>
      <c r="P951" s="76"/>
      <c r="Q951" s="76"/>
      <c r="R951" s="76"/>
      <c r="S951" s="76"/>
      <c r="T951" s="76"/>
      <c r="U951" s="253">
        <f>U950</f>
        <v>0.1779</v>
      </c>
      <c r="V951" s="76">
        <f t="shared" si="233"/>
        <v>0.1779</v>
      </c>
      <c r="W951" s="76">
        <f>U951</f>
        <v>0.1779</v>
      </c>
      <c r="X951" s="76">
        <f>V951</f>
        <v>0.1779</v>
      </c>
      <c r="Y951" s="76">
        <f>V951</f>
        <v>0.1779</v>
      </c>
      <c r="Z951" s="76">
        <f t="shared" si="237"/>
        <v>0.1779</v>
      </c>
      <c r="AA951" s="253">
        <f>AA950</f>
        <v>0.1779</v>
      </c>
      <c r="AB951" s="76">
        <f t="shared" si="238"/>
        <v>0.1779</v>
      </c>
      <c r="AC951" s="76">
        <f t="shared" si="239"/>
        <v>0.1779</v>
      </c>
      <c r="AD951" s="76">
        <f t="shared" si="240"/>
        <v>0.1779</v>
      </c>
      <c r="AE951" s="76"/>
      <c r="AF951" s="264" t="s">
        <v>3382</v>
      </c>
      <c r="AG951" s="76"/>
      <c r="AH951" s="76">
        <v>1</v>
      </c>
      <c r="AI951" s="76">
        <v>1</v>
      </c>
      <c r="AJ951" s="73"/>
      <c r="AK951" s="57"/>
      <c r="AL951" s="45"/>
      <c r="AM951" s="45"/>
      <c r="AN951" s="45"/>
    </row>
    <row r="952" spans="1:40" hidden="1" outlineLevel="2" x14ac:dyDescent="0.25">
      <c r="A952" s="45"/>
      <c r="B952" s="54"/>
      <c r="C952" s="47">
        <f t="shared" si="231"/>
        <v>3</v>
      </c>
      <c r="D952" s="73"/>
      <c r="E952" s="70"/>
      <c r="F952" s="70" t="s">
        <v>3409</v>
      </c>
      <c r="G952" s="73"/>
      <c r="H952" s="76" t="s">
        <v>3769</v>
      </c>
      <c r="I952" s="96" t="s">
        <v>502</v>
      </c>
      <c r="J952" s="96"/>
      <c r="K952" s="76"/>
      <c r="L952" s="76"/>
      <c r="M952" s="76"/>
      <c r="N952" s="76"/>
      <c r="O952" s="76"/>
      <c r="P952" s="76"/>
      <c r="Q952" s="76"/>
      <c r="R952" s="76"/>
      <c r="S952" s="76"/>
      <c r="T952" s="76"/>
      <c r="U952" s="97">
        <v>0</v>
      </c>
      <c r="V952" s="255">
        <f t="shared" ref="V952:V967" si="242">U952</f>
        <v>0</v>
      </c>
      <c r="W952" s="255">
        <f t="shared" ref="W952:W953" si="243">U952</f>
        <v>0</v>
      </c>
      <c r="X952" s="255">
        <f t="shared" ref="X952:X953" si="244">V952</f>
        <v>0</v>
      </c>
      <c r="Y952" s="255">
        <f t="shared" ref="Y952:Y953" si="245">V952</f>
        <v>0</v>
      </c>
      <c r="Z952" s="255">
        <f t="shared" ref="Z952:Z967" si="246">AA952</f>
        <v>0</v>
      </c>
      <c r="AA952" s="97">
        <f>U952</f>
        <v>0</v>
      </c>
      <c r="AB952" s="255">
        <f t="shared" ref="AB952:AB967" si="247">AA952</f>
        <v>0</v>
      </c>
      <c r="AC952" s="255">
        <f t="shared" ref="AC952:AC967" si="248">AB952</f>
        <v>0</v>
      </c>
      <c r="AD952" s="255">
        <f t="shared" ref="AD952:AD967" si="249">AC952</f>
        <v>0</v>
      </c>
      <c r="AE952" s="76"/>
      <c r="AF952" s="97" t="s">
        <v>3383</v>
      </c>
      <c r="AG952" s="76"/>
      <c r="AH952" s="76">
        <v>1</v>
      </c>
      <c r="AI952" s="76">
        <v>1</v>
      </c>
      <c r="AJ952" s="73"/>
      <c r="AK952" s="57"/>
      <c r="AL952" s="45"/>
      <c r="AM952" s="45"/>
      <c r="AN952" s="45"/>
    </row>
    <row r="953" spans="1:40" hidden="1" outlineLevel="2" x14ac:dyDescent="0.25">
      <c r="A953" s="45"/>
      <c r="B953" s="54"/>
      <c r="C953" s="47">
        <f t="shared" si="231"/>
        <v>3</v>
      </c>
      <c r="D953" s="73"/>
      <c r="E953" s="70"/>
      <c r="F953" s="70" t="s">
        <v>3410</v>
      </c>
      <c r="G953" s="73"/>
      <c r="H953" s="76" t="s">
        <v>2514</v>
      </c>
      <c r="I953" s="96" t="s">
        <v>502</v>
      </c>
      <c r="J953" s="96"/>
      <c r="K953" s="76"/>
      <c r="L953" s="76"/>
      <c r="M953" s="76"/>
      <c r="N953" s="76"/>
      <c r="O953" s="76"/>
      <c r="P953" s="76"/>
      <c r="Q953" s="76"/>
      <c r="R953" s="76"/>
      <c r="S953" s="76"/>
      <c r="T953" s="76"/>
      <c r="U953" s="97">
        <v>0</v>
      </c>
      <c r="V953" s="255">
        <f t="shared" si="242"/>
        <v>0</v>
      </c>
      <c r="W953" s="255">
        <f t="shared" si="243"/>
        <v>0</v>
      </c>
      <c r="X953" s="255">
        <f t="shared" si="244"/>
        <v>0</v>
      </c>
      <c r="Y953" s="255">
        <f t="shared" si="245"/>
        <v>0</v>
      </c>
      <c r="Z953" s="255">
        <f t="shared" si="246"/>
        <v>0</v>
      </c>
      <c r="AA953" s="97">
        <f t="shared" ref="AA953:AA954" si="250">U953</f>
        <v>0</v>
      </c>
      <c r="AB953" s="255">
        <f t="shared" si="247"/>
        <v>0</v>
      </c>
      <c r="AC953" s="255">
        <f t="shared" si="248"/>
        <v>0</v>
      </c>
      <c r="AD953" s="255">
        <f t="shared" si="249"/>
        <v>0</v>
      </c>
      <c r="AE953" s="76"/>
      <c r="AF953" s="97" t="s">
        <v>3400</v>
      </c>
      <c r="AG953" s="76"/>
      <c r="AH953" s="97">
        <v>1</v>
      </c>
      <c r="AI953" s="97">
        <v>1</v>
      </c>
      <c r="AJ953" s="73"/>
      <c r="AK953" s="57"/>
      <c r="AL953" s="45"/>
      <c r="AM953" s="45"/>
      <c r="AN953" s="45"/>
    </row>
    <row r="954" spans="1:40" hidden="1" outlineLevel="2" x14ac:dyDescent="0.25">
      <c r="A954" s="45"/>
      <c r="B954" s="54"/>
      <c r="C954" s="47">
        <f t="shared" si="231"/>
        <v>3</v>
      </c>
      <c r="D954" s="73"/>
      <c r="E954" s="70"/>
      <c r="F954" s="70" t="s">
        <v>3411</v>
      </c>
      <c r="G954" s="73"/>
      <c r="H954" s="76" t="s">
        <v>2515</v>
      </c>
      <c r="I954" s="96" t="s">
        <v>502</v>
      </c>
      <c r="J954" s="96"/>
      <c r="K954" s="76"/>
      <c r="L954" s="76"/>
      <c r="M954" s="76"/>
      <c r="N954" s="76"/>
      <c r="O954" s="76"/>
      <c r="P954" s="76"/>
      <c r="Q954" s="76"/>
      <c r="R954" s="76"/>
      <c r="S954" s="76"/>
      <c r="T954" s="76"/>
      <c r="U954" s="97">
        <v>-1.312E-3</v>
      </c>
      <c r="V954" s="255">
        <f t="shared" si="242"/>
        <v>-1.312E-3</v>
      </c>
      <c r="W954" s="255">
        <f>U954</f>
        <v>-1.312E-3</v>
      </c>
      <c r="X954" s="255">
        <f>V954</f>
        <v>-1.312E-3</v>
      </c>
      <c r="Y954" s="255">
        <f>V954</f>
        <v>-1.312E-3</v>
      </c>
      <c r="Z954" s="255">
        <f t="shared" si="246"/>
        <v>-1.312E-3</v>
      </c>
      <c r="AA954" s="97">
        <f t="shared" si="250"/>
        <v>-1.312E-3</v>
      </c>
      <c r="AB954" s="255">
        <f t="shared" si="247"/>
        <v>-1.312E-3</v>
      </c>
      <c r="AC954" s="255">
        <f t="shared" si="248"/>
        <v>-1.312E-3</v>
      </c>
      <c r="AD954" s="255">
        <f t="shared" si="249"/>
        <v>-1.312E-3</v>
      </c>
      <c r="AE954" s="76"/>
      <c r="AF954" s="97"/>
      <c r="AG954" s="76"/>
      <c r="AH954" s="97">
        <v>1</v>
      </c>
      <c r="AI954" s="97">
        <v>1</v>
      </c>
      <c r="AJ954" s="73"/>
      <c r="AK954" s="57"/>
      <c r="AL954" s="45"/>
      <c r="AM954" s="45"/>
      <c r="AN954" s="45"/>
    </row>
    <row r="955" spans="1:40" hidden="1" outlineLevel="2" x14ac:dyDescent="0.25">
      <c r="A955" s="45"/>
      <c r="B955" s="54"/>
      <c r="C955" s="47">
        <f t="shared" si="231"/>
        <v>3</v>
      </c>
      <c r="D955" s="73"/>
      <c r="E955" s="70"/>
      <c r="F955" s="70" t="s">
        <v>3412</v>
      </c>
      <c r="G955" s="73"/>
      <c r="H955" s="76" t="s">
        <v>2516</v>
      </c>
      <c r="I955" s="96" t="s">
        <v>502</v>
      </c>
      <c r="J955" s="96"/>
      <c r="K955" s="76"/>
      <c r="L955" s="76"/>
      <c r="M955" s="76"/>
      <c r="N955" s="76"/>
      <c r="O955" s="76"/>
      <c r="P955" s="76"/>
      <c r="Q955" s="76"/>
      <c r="R955" s="76"/>
      <c r="S955" s="76"/>
      <c r="T955" s="76"/>
      <c r="U955" s="253">
        <f>U954</f>
        <v>-1.312E-3</v>
      </c>
      <c r="V955" s="76">
        <f t="shared" si="242"/>
        <v>-1.312E-3</v>
      </c>
      <c r="W955" s="76">
        <f>U955</f>
        <v>-1.312E-3</v>
      </c>
      <c r="X955" s="76">
        <f>V955</f>
        <v>-1.312E-3</v>
      </c>
      <c r="Y955" s="76">
        <f>V955</f>
        <v>-1.312E-3</v>
      </c>
      <c r="Z955" s="76">
        <f t="shared" si="246"/>
        <v>-1.312E-3</v>
      </c>
      <c r="AA955" s="253">
        <f>AA954</f>
        <v>-1.312E-3</v>
      </c>
      <c r="AB955" s="76">
        <f t="shared" si="247"/>
        <v>-1.312E-3</v>
      </c>
      <c r="AC955" s="76">
        <f t="shared" si="248"/>
        <v>-1.312E-3</v>
      </c>
      <c r="AD955" s="76">
        <f t="shared" si="249"/>
        <v>-1.312E-3</v>
      </c>
      <c r="AE955" s="76"/>
      <c r="AF955" s="264" t="s">
        <v>3382</v>
      </c>
      <c r="AG955" s="76"/>
      <c r="AH955" s="76">
        <v>1</v>
      </c>
      <c r="AI955" s="76">
        <v>1</v>
      </c>
      <c r="AJ955" s="73"/>
      <c r="AK955" s="57"/>
      <c r="AL955" s="45"/>
      <c r="AM955" s="45"/>
      <c r="AN955" s="45"/>
    </row>
    <row r="956" spans="1:40" hidden="1" outlineLevel="2" x14ac:dyDescent="0.25">
      <c r="A956" s="45"/>
      <c r="B956" s="54"/>
      <c r="C956" s="47">
        <f t="shared" si="231"/>
        <v>3</v>
      </c>
      <c r="D956" s="73"/>
      <c r="E956" s="70"/>
      <c r="F956" s="70" t="s">
        <v>3413</v>
      </c>
      <c r="G956" s="73"/>
      <c r="H956" s="76" t="s">
        <v>3770</v>
      </c>
      <c r="I956" s="96" t="s">
        <v>502</v>
      </c>
      <c r="J956" s="96"/>
      <c r="K956" s="76"/>
      <c r="L956" s="76"/>
      <c r="M956" s="76"/>
      <c r="N956" s="76"/>
      <c r="O956" s="76"/>
      <c r="P956" s="76"/>
      <c r="Q956" s="76"/>
      <c r="R956" s="76"/>
      <c r="S956" s="76"/>
      <c r="T956" s="76"/>
      <c r="U956" s="97">
        <v>0</v>
      </c>
      <c r="V956" s="255">
        <f t="shared" si="242"/>
        <v>0</v>
      </c>
      <c r="W956" s="255">
        <f t="shared" ref="W956:W957" si="251">U956</f>
        <v>0</v>
      </c>
      <c r="X956" s="255">
        <f t="shared" ref="X956:X957" si="252">V956</f>
        <v>0</v>
      </c>
      <c r="Y956" s="255">
        <f t="shared" ref="Y956:Y957" si="253">V956</f>
        <v>0</v>
      </c>
      <c r="Z956" s="255">
        <f t="shared" si="246"/>
        <v>0</v>
      </c>
      <c r="AA956" s="97">
        <f>U956</f>
        <v>0</v>
      </c>
      <c r="AB956" s="255">
        <f t="shared" si="247"/>
        <v>0</v>
      </c>
      <c r="AC956" s="255">
        <f t="shared" si="248"/>
        <v>0</v>
      </c>
      <c r="AD956" s="255">
        <f t="shared" si="249"/>
        <v>0</v>
      </c>
      <c r="AE956" s="76"/>
      <c r="AF956" s="97" t="s">
        <v>3383</v>
      </c>
      <c r="AG956" s="76"/>
      <c r="AH956" s="76">
        <v>1</v>
      </c>
      <c r="AI956" s="76">
        <v>1</v>
      </c>
      <c r="AJ956" s="73"/>
      <c r="AK956" s="57"/>
      <c r="AL956" s="45"/>
      <c r="AM956" s="45"/>
      <c r="AN956" s="45"/>
    </row>
    <row r="957" spans="1:40" hidden="1" outlineLevel="2" x14ac:dyDescent="0.25">
      <c r="A957" s="45"/>
      <c r="B957" s="54"/>
      <c r="C957" s="47">
        <f t="shared" si="231"/>
        <v>3</v>
      </c>
      <c r="D957" s="73"/>
      <c r="E957" s="70"/>
      <c r="F957" s="70" t="s">
        <v>3414</v>
      </c>
      <c r="G957" s="73"/>
      <c r="H957" s="76" t="s">
        <v>2514</v>
      </c>
      <c r="I957" s="96" t="s">
        <v>502</v>
      </c>
      <c r="J957" s="96"/>
      <c r="K957" s="76"/>
      <c r="L957" s="76"/>
      <c r="M957" s="76"/>
      <c r="N957" s="76"/>
      <c r="O957" s="76"/>
      <c r="P957" s="76"/>
      <c r="Q957" s="76"/>
      <c r="R957" s="76"/>
      <c r="S957" s="76"/>
      <c r="T957" s="76"/>
      <c r="U957" s="97">
        <v>0</v>
      </c>
      <c r="V957" s="255">
        <f t="shared" si="242"/>
        <v>0</v>
      </c>
      <c r="W957" s="255">
        <f t="shared" si="251"/>
        <v>0</v>
      </c>
      <c r="X957" s="255">
        <f t="shared" si="252"/>
        <v>0</v>
      </c>
      <c r="Y957" s="255">
        <f t="shared" si="253"/>
        <v>0</v>
      </c>
      <c r="Z957" s="255">
        <f t="shared" si="246"/>
        <v>0</v>
      </c>
      <c r="AA957" s="97">
        <f t="shared" ref="AA957:AA958" si="254">U957</f>
        <v>0</v>
      </c>
      <c r="AB957" s="255">
        <f t="shared" si="247"/>
        <v>0</v>
      </c>
      <c r="AC957" s="255">
        <f t="shared" si="248"/>
        <v>0</v>
      </c>
      <c r="AD957" s="255">
        <f t="shared" si="249"/>
        <v>0</v>
      </c>
      <c r="AE957" s="76"/>
      <c r="AF957" s="97" t="s">
        <v>3400</v>
      </c>
      <c r="AG957" s="76"/>
      <c r="AH957" s="97">
        <v>1</v>
      </c>
      <c r="AI957" s="97">
        <v>1</v>
      </c>
      <c r="AJ957" s="73"/>
      <c r="AK957" s="57"/>
      <c r="AL957" s="45"/>
      <c r="AM957" s="45"/>
      <c r="AN957" s="45"/>
    </row>
    <row r="958" spans="1:40" hidden="1" outlineLevel="2" x14ac:dyDescent="0.25">
      <c r="A958" s="45"/>
      <c r="B958" s="54"/>
      <c r="C958" s="47">
        <f t="shared" si="231"/>
        <v>3</v>
      </c>
      <c r="D958" s="73"/>
      <c r="E958" s="70"/>
      <c r="F958" s="70" t="s">
        <v>3415</v>
      </c>
      <c r="G958" s="73"/>
      <c r="H958" s="76" t="s">
        <v>2515</v>
      </c>
      <c r="I958" s="96" t="s">
        <v>502</v>
      </c>
      <c r="J958" s="96"/>
      <c r="K958" s="76"/>
      <c r="L958" s="76"/>
      <c r="M958" s="76"/>
      <c r="N958" s="76"/>
      <c r="O958" s="76"/>
      <c r="P958" s="76"/>
      <c r="Q958" s="76"/>
      <c r="R958" s="76"/>
      <c r="S958" s="76"/>
      <c r="T958" s="76"/>
      <c r="U958" s="97">
        <v>-5.5010000000000003E-2</v>
      </c>
      <c r="V958" s="255">
        <f t="shared" si="242"/>
        <v>-5.5010000000000003E-2</v>
      </c>
      <c r="W958" s="255">
        <f>U958</f>
        <v>-5.5010000000000003E-2</v>
      </c>
      <c r="X958" s="255">
        <f>V958</f>
        <v>-5.5010000000000003E-2</v>
      </c>
      <c r="Y958" s="255">
        <f>V958</f>
        <v>-5.5010000000000003E-2</v>
      </c>
      <c r="Z958" s="255">
        <f t="shared" si="246"/>
        <v>-5.5010000000000003E-2</v>
      </c>
      <c r="AA958" s="97">
        <f t="shared" si="254"/>
        <v>-5.5010000000000003E-2</v>
      </c>
      <c r="AB958" s="255">
        <f t="shared" si="247"/>
        <v>-5.5010000000000003E-2</v>
      </c>
      <c r="AC958" s="255">
        <f t="shared" si="248"/>
        <v>-5.5010000000000003E-2</v>
      </c>
      <c r="AD958" s="255">
        <f t="shared" si="249"/>
        <v>-5.5010000000000003E-2</v>
      </c>
      <c r="AE958" s="76"/>
      <c r="AF958" s="97"/>
      <c r="AG958" s="76"/>
      <c r="AH958" s="97">
        <v>1</v>
      </c>
      <c r="AI958" s="97">
        <v>1</v>
      </c>
      <c r="AJ958" s="73"/>
      <c r="AK958" s="57"/>
      <c r="AL958" s="45"/>
      <c r="AM958" s="45"/>
      <c r="AN958" s="45"/>
    </row>
    <row r="959" spans="1:40" hidden="1" outlineLevel="2" x14ac:dyDescent="0.25">
      <c r="A959" s="45"/>
      <c r="B959" s="54"/>
      <c r="C959" s="47">
        <f t="shared" si="231"/>
        <v>3</v>
      </c>
      <c r="D959" s="73"/>
      <c r="E959" s="70"/>
      <c r="F959" s="70" t="s">
        <v>3416</v>
      </c>
      <c r="G959" s="73"/>
      <c r="H959" s="76" t="s">
        <v>2516</v>
      </c>
      <c r="I959" s="96" t="s">
        <v>502</v>
      </c>
      <c r="J959" s="96"/>
      <c r="K959" s="76"/>
      <c r="L959" s="76"/>
      <c r="M959" s="76"/>
      <c r="N959" s="76"/>
      <c r="O959" s="76"/>
      <c r="P959" s="76"/>
      <c r="Q959" s="76"/>
      <c r="R959" s="76"/>
      <c r="S959" s="76"/>
      <c r="T959" s="76"/>
      <c r="U959" s="253">
        <f>U958</f>
        <v>-5.5010000000000003E-2</v>
      </c>
      <c r="V959" s="76">
        <f t="shared" si="242"/>
        <v>-5.5010000000000003E-2</v>
      </c>
      <c r="W959" s="76">
        <f>U959</f>
        <v>-5.5010000000000003E-2</v>
      </c>
      <c r="X959" s="76">
        <f>V959</f>
        <v>-5.5010000000000003E-2</v>
      </c>
      <c r="Y959" s="76">
        <f>V959</f>
        <v>-5.5010000000000003E-2</v>
      </c>
      <c r="Z959" s="76">
        <f t="shared" si="246"/>
        <v>-5.5010000000000003E-2</v>
      </c>
      <c r="AA959" s="253">
        <f>AA958</f>
        <v>-5.5010000000000003E-2</v>
      </c>
      <c r="AB959" s="76">
        <f t="shared" si="247"/>
        <v>-5.5010000000000003E-2</v>
      </c>
      <c r="AC959" s="76">
        <f t="shared" si="248"/>
        <v>-5.5010000000000003E-2</v>
      </c>
      <c r="AD959" s="76">
        <f t="shared" si="249"/>
        <v>-5.5010000000000003E-2</v>
      </c>
      <c r="AE959" s="76"/>
      <c r="AF959" s="264" t="s">
        <v>3382</v>
      </c>
      <c r="AG959" s="76"/>
      <c r="AH959" s="76">
        <v>1</v>
      </c>
      <c r="AI959" s="76">
        <v>1</v>
      </c>
      <c r="AJ959" s="73"/>
      <c r="AK959" s="57"/>
      <c r="AL959" s="45"/>
      <c r="AM959" s="45"/>
      <c r="AN959" s="45"/>
    </row>
    <row r="960" spans="1:40" hidden="1" outlineLevel="2" x14ac:dyDescent="0.25">
      <c r="A960" s="45"/>
      <c r="B960" s="54"/>
      <c r="C960" s="47">
        <f t="shared" si="231"/>
        <v>3</v>
      </c>
      <c r="D960" s="73"/>
      <c r="E960" s="70"/>
      <c r="F960" s="70" t="s">
        <v>3417</v>
      </c>
      <c r="G960" s="73"/>
      <c r="H960" s="76" t="s">
        <v>3771</v>
      </c>
      <c r="I960" s="96" t="s">
        <v>502</v>
      </c>
      <c r="J960" s="96"/>
      <c r="K960" s="76"/>
      <c r="L960" s="76"/>
      <c r="M960" s="76"/>
      <c r="N960" s="76"/>
      <c r="O960" s="76"/>
      <c r="P960" s="76"/>
      <c r="Q960" s="76"/>
      <c r="R960" s="76"/>
      <c r="S960" s="76"/>
      <c r="T960" s="76"/>
      <c r="U960" s="97">
        <v>0</v>
      </c>
      <c r="V960" s="255">
        <f t="shared" ref="V960:V963" si="255">U960</f>
        <v>0</v>
      </c>
      <c r="W960" s="255">
        <f t="shared" ref="W960:W961" si="256">U960</f>
        <v>0</v>
      </c>
      <c r="X960" s="255">
        <f t="shared" ref="X960:X961" si="257">V960</f>
        <v>0</v>
      </c>
      <c r="Y960" s="255">
        <f t="shared" ref="Y960:Y961" si="258">V960</f>
        <v>0</v>
      </c>
      <c r="Z960" s="255">
        <f t="shared" ref="Z960:Z963" si="259">AA960</f>
        <v>0</v>
      </c>
      <c r="AA960" s="97">
        <f>U960</f>
        <v>0</v>
      </c>
      <c r="AB960" s="255">
        <f t="shared" ref="AB960:AB963" si="260">AA960</f>
        <v>0</v>
      </c>
      <c r="AC960" s="255">
        <f t="shared" ref="AC960:AC963" si="261">AB960</f>
        <v>0</v>
      </c>
      <c r="AD960" s="255">
        <f t="shared" ref="AD960:AD963" si="262">AC960</f>
        <v>0</v>
      </c>
      <c r="AE960" s="76"/>
      <c r="AF960" s="97" t="s">
        <v>3383</v>
      </c>
      <c r="AG960" s="76"/>
      <c r="AH960" s="76">
        <v>1</v>
      </c>
      <c r="AI960" s="76">
        <v>1</v>
      </c>
      <c r="AJ960" s="73"/>
      <c r="AK960" s="57"/>
      <c r="AL960" s="45"/>
      <c r="AM960" s="45"/>
      <c r="AN960" s="45"/>
    </row>
    <row r="961" spans="1:40" hidden="1" outlineLevel="2" x14ac:dyDescent="0.25">
      <c r="A961" s="45"/>
      <c r="B961" s="54"/>
      <c r="C961" s="47">
        <f t="shared" si="231"/>
        <v>3</v>
      </c>
      <c r="D961" s="73"/>
      <c r="E961" s="70"/>
      <c r="F961" s="70" t="s">
        <v>3418</v>
      </c>
      <c r="G961" s="73"/>
      <c r="H961" s="76" t="s">
        <v>2514</v>
      </c>
      <c r="I961" s="96" t="s">
        <v>502</v>
      </c>
      <c r="J961" s="96"/>
      <c r="K961" s="76"/>
      <c r="L961" s="76"/>
      <c r="M961" s="76"/>
      <c r="N961" s="76"/>
      <c r="O961" s="76"/>
      <c r="P961" s="76"/>
      <c r="Q961" s="76"/>
      <c r="R961" s="76"/>
      <c r="S961" s="76"/>
      <c r="T961" s="76"/>
      <c r="U961" s="97">
        <v>0</v>
      </c>
      <c r="V961" s="255">
        <f t="shared" si="255"/>
        <v>0</v>
      </c>
      <c r="W961" s="255">
        <f t="shared" si="256"/>
        <v>0</v>
      </c>
      <c r="X961" s="255">
        <f t="shared" si="257"/>
        <v>0</v>
      </c>
      <c r="Y961" s="255">
        <f t="shared" si="258"/>
        <v>0</v>
      </c>
      <c r="Z961" s="255">
        <f t="shared" si="259"/>
        <v>0</v>
      </c>
      <c r="AA961" s="97">
        <f t="shared" ref="AA961:AA962" si="263">U961</f>
        <v>0</v>
      </c>
      <c r="AB961" s="255">
        <f t="shared" si="260"/>
        <v>0</v>
      </c>
      <c r="AC961" s="255">
        <f t="shared" si="261"/>
        <v>0</v>
      </c>
      <c r="AD961" s="255">
        <f t="shared" si="262"/>
        <v>0</v>
      </c>
      <c r="AE961" s="76"/>
      <c r="AF961" s="97" t="s">
        <v>3400</v>
      </c>
      <c r="AG961" s="76"/>
      <c r="AH961" s="97">
        <v>1</v>
      </c>
      <c r="AI961" s="97">
        <v>1</v>
      </c>
      <c r="AJ961" s="73"/>
      <c r="AK961" s="57"/>
      <c r="AL961" s="45"/>
      <c r="AM961" s="45"/>
      <c r="AN961" s="45"/>
    </row>
    <row r="962" spans="1:40" hidden="1" outlineLevel="2" x14ac:dyDescent="0.25">
      <c r="A962" s="45"/>
      <c r="B962" s="54"/>
      <c r="C962" s="47">
        <f t="shared" si="231"/>
        <v>3</v>
      </c>
      <c r="D962" s="73"/>
      <c r="E962" s="70"/>
      <c r="F962" s="70" t="s">
        <v>3419</v>
      </c>
      <c r="G962" s="73"/>
      <c r="H962" s="76" t="s">
        <v>2515</v>
      </c>
      <c r="I962" s="96" t="s">
        <v>502</v>
      </c>
      <c r="J962" s="96"/>
      <c r="K962" s="76"/>
      <c r="L962" s="76"/>
      <c r="M962" s="76"/>
      <c r="N962" s="76"/>
      <c r="O962" s="76"/>
      <c r="P962" s="76"/>
      <c r="Q962" s="76"/>
      <c r="R962" s="76"/>
      <c r="S962" s="76"/>
      <c r="T962" s="76"/>
      <c r="U962" s="97">
        <v>0</v>
      </c>
      <c r="V962" s="255">
        <f t="shared" si="255"/>
        <v>0</v>
      </c>
      <c r="W962" s="255">
        <f>U962</f>
        <v>0</v>
      </c>
      <c r="X962" s="255">
        <f>V962</f>
        <v>0</v>
      </c>
      <c r="Y962" s="255">
        <f>V962</f>
        <v>0</v>
      </c>
      <c r="Z962" s="255">
        <f t="shared" si="259"/>
        <v>0</v>
      </c>
      <c r="AA962" s="97">
        <f t="shared" si="263"/>
        <v>0</v>
      </c>
      <c r="AB962" s="255">
        <f t="shared" si="260"/>
        <v>0</v>
      </c>
      <c r="AC962" s="255">
        <f t="shared" si="261"/>
        <v>0</v>
      </c>
      <c r="AD962" s="255">
        <f t="shared" si="262"/>
        <v>0</v>
      </c>
      <c r="AE962" s="76"/>
      <c r="AF962" s="97"/>
      <c r="AG962" s="76"/>
      <c r="AH962" s="97">
        <v>1</v>
      </c>
      <c r="AI962" s="97">
        <v>1</v>
      </c>
      <c r="AJ962" s="73"/>
      <c r="AK962" s="57"/>
      <c r="AL962" s="45"/>
      <c r="AM962" s="45"/>
      <c r="AN962" s="45"/>
    </row>
    <row r="963" spans="1:40" hidden="1" outlineLevel="2" x14ac:dyDescent="0.25">
      <c r="A963" s="45"/>
      <c r="B963" s="54"/>
      <c r="C963" s="47">
        <f t="shared" si="231"/>
        <v>3</v>
      </c>
      <c r="D963" s="73"/>
      <c r="E963" s="70"/>
      <c r="F963" s="70" t="s">
        <v>3420</v>
      </c>
      <c r="G963" s="73"/>
      <c r="H963" s="76" t="s">
        <v>2516</v>
      </c>
      <c r="I963" s="96" t="s">
        <v>502</v>
      </c>
      <c r="J963" s="96"/>
      <c r="K963" s="76"/>
      <c r="L963" s="76"/>
      <c r="M963" s="76"/>
      <c r="N963" s="76"/>
      <c r="O963" s="76"/>
      <c r="P963" s="76"/>
      <c r="Q963" s="76"/>
      <c r="R963" s="76"/>
      <c r="S963" s="76"/>
      <c r="T963" s="76"/>
      <c r="U963" s="253">
        <f>U962</f>
        <v>0</v>
      </c>
      <c r="V963" s="76">
        <f t="shared" si="255"/>
        <v>0</v>
      </c>
      <c r="W963" s="76">
        <f>U963</f>
        <v>0</v>
      </c>
      <c r="X963" s="76">
        <f>V963</f>
        <v>0</v>
      </c>
      <c r="Y963" s="76">
        <f>V963</f>
        <v>0</v>
      </c>
      <c r="Z963" s="76">
        <f t="shared" si="259"/>
        <v>0</v>
      </c>
      <c r="AA963" s="253">
        <f>AA962</f>
        <v>0</v>
      </c>
      <c r="AB963" s="76">
        <f t="shared" si="260"/>
        <v>0</v>
      </c>
      <c r="AC963" s="76">
        <f t="shared" si="261"/>
        <v>0</v>
      </c>
      <c r="AD963" s="76">
        <f t="shared" si="262"/>
        <v>0</v>
      </c>
      <c r="AE963" s="76"/>
      <c r="AF963" s="264" t="s">
        <v>3382</v>
      </c>
      <c r="AG963" s="76"/>
      <c r="AH963" s="76">
        <v>1</v>
      </c>
      <c r="AI963" s="76">
        <v>1</v>
      </c>
      <c r="AJ963" s="73"/>
      <c r="AK963" s="57"/>
      <c r="AL963" s="45"/>
      <c r="AM963" s="45"/>
      <c r="AN963" s="45"/>
    </row>
    <row r="964" spans="1:40" hidden="1" outlineLevel="2" x14ac:dyDescent="0.25">
      <c r="A964" s="45"/>
      <c r="B964" s="54"/>
      <c r="C964" s="47">
        <f t="shared" si="231"/>
        <v>3</v>
      </c>
      <c r="D964" s="73"/>
      <c r="E964" s="70"/>
      <c r="F964" s="70" t="s">
        <v>3421</v>
      </c>
      <c r="G964" s="73"/>
      <c r="H964" s="76" t="s">
        <v>3772</v>
      </c>
      <c r="I964" s="96" t="s">
        <v>502</v>
      </c>
      <c r="J964" s="96"/>
      <c r="K964" s="76"/>
      <c r="L964" s="76"/>
      <c r="M964" s="76"/>
      <c r="N964" s="76"/>
      <c r="O964" s="76"/>
      <c r="P964" s="76"/>
      <c r="Q964" s="76"/>
      <c r="R964" s="76"/>
      <c r="S964" s="76"/>
      <c r="T964" s="76"/>
      <c r="U964" s="97">
        <v>0</v>
      </c>
      <c r="V964" s="255">
        <f t="shared" si="242"/>
        <v>0</v>
      </c>
      <c r="W964" s="255">
        <f t="shared" ref="W964:W965" si="264">U964</f>
        <v>0</v>
      </c>
      <c r="X964" s="255">
        <f t="shared" ref="X964:X965" si="265">V964</f>
        <v>0</v>
      </c>
      <c r="Y964" s="255">
        <f t="shared" ref="Y964:Y965" si="266">V964</f>
        <v>0</v>
      </c>
      <c r="Z964" s="255">
        <f t="shared" si="246"/>
        <v>0</v>
      </c>
      <c r="AA964" s="97">
        <f>U964</f>
        <v>0</v>
      </c>
      <c r="AB964" s="255">
        <f t="shared" si="247"/>
        <v>0</v>
      </c>
      <c r="AC964" s="255">
        <f t="shared" si="248"/>
        <v>0</v>
      </c>
      <c r="AD964" s="255">
        <f t="shared" si="249"/>
        <v>0</v>
      </c>
      <c r="AE964" s="76"/>
      <c r="AF964" s="97" t="s">
        <v>3383</v>
      </c>
      <c r="AG964" s="76"/>
      <c r="AH964" s="76">
        <v>1</v>
      </c>
      <c r="AI964" s="76">
        <v>1</v>
      </c>
      <c r="AJ964" s="73"/>
      <c r="AK964" s="57"/>
      <c r="AL964" s="45"/>
      <c r="AM964" s="45"/>
      <c r="AN964" s="45"/>
    </row>
    <row r="965" spans="1:40" hidden="1" outlineLevel="2" x14ac:dyDescent="0.25">
      <c r="A965" s="45"/>
      <c r="B965" s="54"/>
      <c r="C965" s="47">
        <f t="shared" si="231"/>
        <v>3</v>
      </c>
      <c r="D965" s="73"/>
      <c r="E965" s="70"/>
      <c r="F965" s="70" t="s">
        <v>3422</v>
      </c>
      <c r="G965" s="73"/>
      <c r="H965" s="76" t="s">
        <v>2514</v>
      </c>
      <c r="I965" s="96" t="s">
        <v>502</v>
      </c>
      <c r="J965" s="96"/>
      <c r="K965" s="76"/>
      <c r="L965" s="76"/>
      <c r="M965" s="76"/>
      <c r="N965" s="76"/>
      <c r="O965" s="76"/>
      <c r="P965" s="76"/>
      <c r="Q965" s="76"/>
      <c r="R965" s="76"/>
      <c r="S965" s="76"/>
      <c r="T965" s="76"/>
      <c r="U965" s="97">
        <v>0</v>
      </c>
      <c r="V965" s="255">
        <f t="shared" si="242"/>
        <v>0</v>
      </c>
      <c r="W965" s="255">
        <f t="shared" si="264"/>
        <v>0</v>
      </c>
      <c r="X965" s="255">
        <f t="shared" si="265"/>
        <v>0</v>
      </c>
      <c r="Y965" s="255">
        <f t="shared" si="266"/>
        <v>0</v>
      </c>
      <c r="Z965" s="255">
        <f t="shared" si="246"/>
        <v>0</v>
      </c>
      <c r="AA965" s="97">
        <f t="shared" ref="AA965:AA966" si="267">U965</f>
        <v>0</v>
      </c>
      <c r="AB965" s="255">
        <f t="shared" si="247"/>
        <v>0</v>
      </c>
      <c r="AC965" s="255">
        <f t="shared" si="248"/>
        <v>0</v>
      </c>
      <c r="AD965" s="255">
        <f t="shared" si="249"/>
        <v>0</v>
      </c>
      <c r="AE965" s="76"/>
      <c r="AF965" s="97" t="s">
        <v>3400</v>
      </c>
      <c r="AG965" s="76"/>
      <c r="AH965" s="97">
        <v>1</v>
      </c>
      <c r="AI965" s="97">
        <v>1</v>
      </c>
      <c r="AJ965" s="73"/>
      <c r="AK965" s="57"/>
      <c r="AL965" s="45"/>
      <c r="AM965" s="45"/>
      <c r="AN965" s="45"/>
    </row>
    <row r="966" spans="1:40" hidden="1" outlineLevel="2" x14ac:dyDescent="0.25">
      <c r="A966" s="45"/>
      <c r="B966" s="54"/>
      <c r="C966" s="47">
        <f t="shared" si="231"/>
        <v>3</v>
      </c>
      <c r="D966" s="73"/>
      <c r="E966" s="70"/>
      <c r="F966" s="70" t="s">
        <v>3423</v>
      </c>
      <c r="G966" s="73"/>
      <c r="H966" s="76" t="s">
        <v>2515</v>
      </c>
      <c r="I966" s="96" t="s">
        <v>502</v>
      </c>
      <c r="J966" s="96"/>
      <c r="K966" s="76"/>
      <c r="L966" s="76"/>
      <c r="M966" s="76"/>
      <c r="N966" s="76"/>
      <c r="O966" s="76"/>
      <c r="P966" s="76"/>
      <c r="Q966" s="76"/>
      <c r="R966" s="76"/>
      <c r="S966" s="76"/>
      <c r="T966" s="76"/>
      <c r="U966" s="97">
        <v>9.2600000000000002E-2</v>
      </c>
      <c r="V966" s="255">
        <f t="shared" si="242"/>
        <v>9.2600000000000002E-2</v>
      </c>
      <c r="W966" s="255">
        <f>U966</f>
        <v>9.2600000000000002E-2</v>
      </c>
      <c r="X966" s="255">
        <f>V966</f>
        <v>9.2600000000000002E-2</v>
      </c>
      <c r="Y966" s="255">
        <f>V966</f>
        <v>9.2600000000000002E-2</v>
      </c>
      <c r="Z966" s="255">
        <f t="shared" si="246"/>
        <v>9.2600000000000002E-2</v>
      </c>
      <c r="AA966" s="97">
        <f t="shared" si="267"/>
        <v>9.2600000000000002E-2</v>
      </c>
      <c r="AB966" s="255">
        <f t="shared" si="247"/>
        <v>9.2600000000000002E-2</v>
      </c>
      <c r="AC966" s="255">
        <f t="shared" si="248"/>
        <v>9.2600000000000002E-2</v>
      </c>
      <c r="AD966" s="255">
        <f t="shared" si="249"/>
        <v>9.2600000000000002E-2</v>
      </c>
      <c r="AE966" s="76"/>
      <c r="AF966" s="97"/>
      <c r="AG966" s="76"/>
      <c r="AH966" s="97">
        <v>1</v>
      </c>
      <c r="AI966" s="97">
        <v>1</v>
      </c>
      <c r="AJ966" s="73"/>
      <c r="AK966" s="57"/>
      <c r="AL966" s="45"/>
      <c r="AM966" s="45"/>
      <c r="AN966" s="45"/>
    </row>
    <row r="967" spans="1:40" hidden="1" outlineLevel="2" x14ac:dyDescent="0.25">
      <c r="A967" s="45"/>
      <c r="B967" s="54"/>
      <c r="C967" s="47">
        <f t="shared" si="231"/>
        <v>3</v>
      </c>
      <c r="D967" s="73"/>
      <c r="E967" s="70"/>
      <c r="F967" s="70" t="s">
        <v>3424</v>
      </c>
      <c r="G967" s="73"/>
      <c r="H967" s="76" t="s">
        <v>2516</v>
      </c>
      <c r="I967" s="96" t="s">
        <v>502</v>
      </c>
      <c r="J967" s="96"/>
      <c r="K967" s="76"/>
      <c r="L967" s="76"/>
      <c r="M967" s="76"/>
      <c r="N967" s="76"/>
      <c r="O967" s="76"/>
      <c r="P967" s="76"/>
      <c r="Q967" s="76"/>
      <c r="R967" s="76"/>
      <c r="S967" s="76"/>
      <c r="T967" s="76"/>
      <c r="U967" s="253">
        <f>U966</f>
        <v>9.2600000000000002E-2</v>
      </c>
      <c r="V967" s="76">
        <f t="shared" si="242"/>
        <v>9.2600000000000002E-2</v>
      </c>
      <c r="W967" s="76">
        <f>U967</f>
        <v>9.2600000000000002E-2</v>
      </c>
      <c r="X967" s="76">
        <f>V967</f>
        <v>9.2600000000000002E-2</v>
      </c>
      <c r="Y967" s="76">
        <f>V967</f>
        <v>9.2600000000000002E-2</v>
      </c>
      <c r="Z967" s="76">
        <f t="shared" si="246"/>
        <v>9.2600000000000002E-2</v>
      </c>
      <c r="AA967" s="253">
        <f>AA966</f>
        <v>9.2600000000000002E-2</v>
      </c>
      <c r="AB967" s="76">
        <f t="shared" si="247"/>
        <v>9.2600000000000002E-2</v>
      </c>
      <c r="AC967" s="76">
        <f t="shared" si="248"/>
        <v>9.2600000000000002E-2</v>
      </c>
      <c r="AD967" s="76">
        <f t="shared" si="249"/>
        <v>9.2600000000000002E-2</v>
      </c>
      <c r="AE967" s="76"/>
      <c r="AF967" s="264" t="s">
        <v>3382</v>
      </c>
      <c r="AG967" s="76"/>
      <c r="AH967" s="76">
        <v>1</v>
      </c>
      <c r="AI967" s="76">
        <v>1</v>
      </c>
      <c r="AJ967" s="73"/>
      <c r="AK967" s="57"/>
      <c r="AL967" s="45"/>
      <c r="AM967" s="45"/>
      <c r="AN967" s="45"/>
    </row>
    <row r="968" spans="1:40" hidden="1" outlineLevel="2" x14ac:dyDescent="0.25">
      <c r="A968" s="45"/>
      <c r="B968" s="54"/>
      <c r="C968" s="47">
        <f t="shared" si="231"/>
        <v>3</v>
      </c>
      <c r="D968" s="73"/>
      <c r="E968" s="70"/>
      <c r="F968" s="70" t="s">
        <v>3425</v>
      </c>
      <c r="G968" s="73"/>
      <c r="H968" s="76" t="s">
        <v>3773</v>
      </c>
      <c r="I968" s="96" t="s">
        <v>502</v>
      </c>
      <c r="J968" s="96"/>
      <c r="K968" s="76"/>
      <c r="L968" s="76"/>
      <c r="M968" s="76"/>
      <c r="N968" s="76"/>
      <c r="O968" s="76"/>
      <c r="P968" s="76"/>
      <c r="Q968" s="76"/>
      <c r="R968" s="76"/>
      <c r="S968" s="76"/>
      <c r="T968" s="76"/>
      <c r="U968" s="97">
        <v>0</v>
      </c>
      <c r="V968" s="255">
        <f t="shared" ref="V968:V975" si="268">U968</f>
        <v>0</v>
      </c>
      <c r="W968" s="255">
        <f t="shared" ref="W968:W969" si="269">U968</f>
        <v>0</v>
      </c>
      <c r="X968" s="255">
        <f t="shared" ref="X968:X969" si="270">V968</f>
        <v>0</v>
      </c>
      <c r="Y968" s="255">
        <f t="shared" ref="Y968:Y969" si="271">V968</f>
        <v>0</v>
      </c>
      <c r="Z968" s="255">
        <f t="shared" ref="Z968:Z975" si="272">AA968</f>
        <v>0</v>
      </c>
      <c r="AA968" s="97">
        <f>U968</f>
        <v>0</v>
      </c>
      <c r="AB968" s="255">
        <f t="shared" ref="AB968:AB975" si="273">AA968</f>
        <v>0</v>
      </c>
      <c r="AC968" s="255">
        <f t="shared" ref="AC968:AC975" si="274">AB968</f>
        <v>0</v>
      </c>
      <c r="AD968" s="255">
        <f t="shared" ref="AD968:AD975" si="275">AC968</f>
        <v>0</v>
      </c>
      <c r="AE968" s="76"/>
      <c r="AF968" s="97" t="s">
        <v>3383</v>
      </c>
      <c r="AG968" s="76"/>
      <c r="AH968" s="76">
        <v>1</v>
      </c>
      <c r="AI968" s="76">
        <v>1</v>
      </c>
      <c r="AJ968" s="73"/>
      <c r="AK968" s="57"/>
      <c r="AL968" s="45"/>
      <c r="AM968" s="45"/>
      <c r="AN968" s="45"/>
    </row>
    <row r="969" spans="1:40" hidden="1" outlineLevel="2" x14ac:dyDescent="0.25">
      <c r="A969" s="45"/>
      <c r="B969" s="54"/>
      <c r="C969" s="47">
        <f t="shared" si="231"/>
        <v>3</v>
      </c>
      <c r="D969" s="73"/>
      <c r="E969" s="70"/>
      <c r="F969" s="70" t="s">
        <v>3426</v>
      </c>
      <c r="G969" s="73"/>
      <c r="H969" s="76" t="s">
        <v>2514</v>
      </c>
      <c r="I969" s="96" t="s">
        <v>502</v>
      </c>
      <c r="J969" s="96"/>
      <c r="K969" s="76"/>
      <c r="L969" s="76"/>
      <c r="M969" s="76"/>
      <c r="N969" s="76"/>
      <c r="O969" s="76"/>
      <c r="P969" s="76"/>
      <c r="Q969" s="76"/>
      <c r="R969" s="76"/>
      <c r="S969" s="76"/>
      <c r="T969" s="76"/>
      <c r="U969" s="97">
        <v>0</v>
      </c>
      <c r="V969" s="255">
        <f t="shared" si="268"/>
        <v>0</v>
      </c>
      <c r="W969" s="255">
        <f t="shared" si="269"/>
        <v>0</v>
      </c>
      <c r="X969" s="255">
        <f t="shared" si="270"/>
        <v>0</v>
      </c>
      <c r="Y969" s="255">
        <f t="shared" si="271"/>
        <v>0</v>
      </c>
      <c r="Z969" s="255">
        <f t="shared" si="272"/>
        <v>0</v>
      </c>
      <c r="AA969" s="97">
        <f t="shared" ref="AA969:AA970" si="276">U969</f>
        <v>0</v>
      </c>
      <c r="AB969" s="255">
        <f t="shared" si="273"/>
        <v>0</v>
      </c>
      <c r="AC969" s="255">
        <f t="shared" si="274"/>
        <v>0</v>
      </c>
      <c r="AD969" s="255">
        <f t="shared" si="275"/>
        <v>0</v>
      </c>
      <c r="AE969" s="76"/>
      <c r="AF969" s="97" t="s">
        <v>3400</v>
      </c>
      <c r="AG969" s="76"/>
      <c r="AH969" s="97">
        <v>1</v>
      </c>
      <c r="AI969" s="97">
        <v>1</v>
      </c>
      <c r="AJ969" s="73"/>
      <c r="AK969" s="57"/>
      <c r="AL969" s="45"/>
      <c r="AM969" s="45"/>
      <c r="AN969" s="45"/>
    </row>
    <row r="970" spans="1:40" hidden="1" outlineLevel="2" x14ac:dyDescent="0.25">
      <c r="A970" s="45"/>
      <c r="B970" s="54"/>
      <c r="C970" s="47">
        <f t="shared" si="231"/>
        <v>3</v>
      </c>
      <c r="D970" s="73"/>
      <c r="E970" s="70"/>
      <c r="F970" s="70" t="s">
        <v>3427</v>
      </c>
      <c r="G970" s="73"/>
      <c r="H970" s="76" t="s">
        <v>2515</v>
      </c>
      <c r="I970" s="96" t="s">
        <v>502</v>
      </c>
      <c r="J970" s="96"/>
      <c r="K970" s="76"/>
      <c r="L970" s="76"/>
      <c r="M970" s="76"/>
      <c r="N970" s="76"/>
      <c r="O970" s="76"/>
      <c r="P970" s="76"/>
      <c r="Q970" s="76"/>
      <c r="R970" s="76"/>
      <c r="S970" s="76"/>
      <c r="T970" s="76"/>
      <c r="U970" s="97">
        <v>-2.2100000000000001E-4</v>
      </c>
      <c r="V970" s="255">
        <f t="shared" si="268"/>
        <v>-2.2100000000000001E-4</v>
      </c>
      <c r="W970" s="255">
        <f>U970</f>
        <v>-2.2100000000000001E-4</v>
      </c>
      <c r="X970" s="255">
        <f>V970</f>
        <v>-2.2100000000000001E-4</v>
      </c>
      <c r="Y970" s="255">
        <f>V970</f>
        <v>-2.2100000000000001E-4</v>
      </c>
      <c r="Z970" s="255">
        <f t="shared" si="272"/>
        <v>-2.2100000000000001E-4</v>
      </c>
      <c r="AA970" s="97">
        <f t="shared" si="276"/>
        <v>-2.2100000000000001E-4</v>
      </c>
      <c r="AB970" s="255">
        <f t="shared" si="273"/>
        <v>-2.2100000000000001E-4</v>
      </c>
      <c r="AC970" s="255">
        <f t="shared" si="274"/>
        <v>-2.2100000000000001E-4</v>
      </c>
      <c r="AD970" s="255">
        <f t="shared" si="275"/>
        <v>-2.2100000000000001E-4</v>
      </c>
      <c r="AE970" s="76"/>
      <c r="AF970" s="97"/>
      <c r="AG970" s="76"/>
      <c r="AH970" s="97">
        <v>1</v>
      </c>
      <c r="AI970" s="97">
        <v>1</v>
      </c>
      <c r="AJ970" s="73"/>
      <c r="AK970" s="57"/>
      <c r="AL970" s="45"/>
      <c r="AM970" s="45"/>
      <c r="AN970" s="45"/>
    </row>
    <row r="971" spans="1:40" hidden="1" outlineLevel="2" x14ac:dyDescent="0.25">
      <c r="A971" s="45"/>
      <c r="B971" s="54"/>
      <c r="C971" s="47">
        <f t="shared" si="231"/>
        <v>3</v>
      </c>
      <c r="D971" s="73"/>
      <c r="E971" s="70"/>
      <c r="F971" s="70" t="s">
        <v>3428</v>
      </c>
      <c r="G971" s="73"/>
      <c r="H971" s="76" t="s">
        <v>2516</v>
      </c>
      <c r="I971" s="96" t="s">
        <v>502</v>
      </c>
      <c r="J971" s="96"/>
      <c r="K971" s="76"/>
      <c r="L971" s="76"/>
      <c r="M971" s="76"/>
      <c r="N971" s="76"/>
      <c r="O971" s="76"/>
      <c r="P971" s="76"/>
      <c r="Q971" s="76"/>
      <c r="R971" s="76"/>
      <c r="S971" s="76"/>
      <c r="T971" s="76"/>
      <c r="U971" s="253">
        <f>U970</f>
        <v>-2.2100000000000001E-4</v>
      </c>
      <c r="V971" s="76">
        <f t="shared" si="268"/>
        <v>-2.2100000000000001E-4</v>
      </c>
      <c r="W971" s="76">
        <f>U971</f>
        <v>-2.2100000000000001E-4</v>
      </c>
      <c r="X971" s="76">
        <f>V971</f>
        <v>-2.2100000000000001E-4</v>
      </c>
      <c r="Y971" s="76">
        <f>V971</f>
        <v>-2.2100000000000001E-4</v>
      </c>
      <c r="Z971" s="76">
        <f t="shared" si="272"/>
        <v>-2.2100000000000001E-4</v>
      </c>
      <c r="AA971" s="253">
        <f>AA970</f>
        <v>-2.2100000000000001E-4</v>
      </c>
      <c r="AB971" s="76">
        <f t="shared" si="273"/>
        <v>-2.2100000000000001E-4</v>
      </c>
      <c r="AC971" s="76">
        <f t="shared" si="274"/>
        <v>-2.2100000000000001E-4</v>
      </c>
      <c r="AD971" s="76">
        <f t="shared" si="275"/>
        <v>-2.2100000000000001E-4</v>
      </c>
      <c r="AE971" s="76"/>
      <c r="AF971" s="264" t="s">
        <v>3382</v>
      </c>
      <c r="AG971" s="76"/>
      <c r="AH971" s="76">
        <v>1</v>
      </c>
      <c r="AI971" s="76">
        <v>1</v>
      </c>
      <c r="AJ971" s="73"/>
      <c r="AK971" s="57"/>
      <c r="AL971" s="45"/>
      <c r="AM971" s="45"/>
      <c r="AN971" s="45"/>
    </row>
    <row r="972" spans="1:40" hidden="1" outlineLevel="2" x14ac:dyDescent="0.25">
      <c r="A972" s="45"/>
      <c r="B972" s="54"/>
      <c r="C972" s="47">
        <f t="shared" si="231"/>
        <v>3</v>
      </c>
      <c r="D972" s="73"/>
      <c r="E972" s="70"/>
      <c r="F972" s="70" t="s">
        <v>3751</v>
      </c>
      <c r="G972" s="73"/>
      <c r="H972" s="76" t="s">
        <v>3774</v>
      </c>
      <c r="I972" s="96" t="s">
        <v>502</v>
      </c>
      <c r="J972" s="96"/>
      <c r="K972" s="76"/>
      <c r="L972" s="76"/>
      <c r="M972" s="76"/>
      <c r="N972" s="76"/>
      <c r="O972" s="76"/>
      <c r="P972" s="76"/>
      <c r="Q972" s="76"/>
      <c r="R972" s="76"/>
      <c r="S972" s="76"/>
      <c r="T972" s="76"/>
      <c r="U972" s="97">
        <v>0</v>
      </c>
      <c r="V972" s="255">
        <f t="shared" si="268"/>
        <v>0</v>
      </c>
      <c r="W972" s="255">
        <f t="shared" ref="W972:W973" si="277">U972</f>
        <v>0</v>
      </c>
      <c r="X972" s="255">
        <f t="shared" ref="X972:X973" si="278">V972</f>
        <v>0</v>
      </c>
      <c r="Y972" s="255">
        <f t="shared" ref="Y972:Y973" si="279">V972</f>
        <v>0</v>
      </c>
      <c r="Z972" s="255">
        <f t="shared" si="272"/>
        <v>0</v>
      </c>
      <c r="AA972" s="97">
        <f>U972</f>
        <v>0</v>
      </c>
      <c r="AB972" s="255">
        <f t="shared" si="273"/>
        <v>0</v>
      </c>
      <c r="AC972" s="255">
        <f t="shared" si="274"/>
        <v>0</v>
      </c>
      <c r="AD972" s="255">
        <f t="shared" si="275"/>
        <v>0</v>
      </c>
      <c r="AE972" s="76"/>
      <c r="AF972" s="97" t="s">
        <v>3383</v>
      </c>
      <c r="AG972" s="76"/>
      <c r="AH972" s="76">
        <v>1</v>
      </c>
      <c r="AI972" s="76">
        <v>1</v>
      </c>
      <c r="AJ972" s="73"/>
      <c r="AK972" s="57"/>
      <c r="AL972" s="45"/>
      <c r="AM972" s="45"/>
      <c r="AN972" s="45"/>
    </row>
    <row r="973" spans="1:40" hidden="1" outlineLevel="2" x14ac:dyDescent="0.25">
      <c r="A973" s="45"/>
      <c r="B973" s="54"/>
      <c r="C973" s="47">
        <f t="shared" si="231"/>
        <v>3</v>
      </c>
      <c r="D973" s="73"/>
      <c r="E973" s="70"/>
      <c r="F973" s="70" t="s">
        <v>3752</v>
      </c>
      <c r="G973" s="73"/>
      <c r="H973" s="76" t="s">
        <v>2514</v>
      </c>
      <c r="I973" s="96" t="s">
        <v>502</v>
      </c>
      <c r="J973" s="96"/>
      <c r="K973" s="76"/>
      <c r="L973" s="76"/>
      <c r="M973" s="76"/>
      <c r="N973" s="76"/>
      <c r="O973" s="76"/>
      <c r="P973" s="76"/>
      <c r="Q973" s="76"/>
      <c r="R973" s="76"/>
      <c r="S973" s="76"/>
      <c r="T973" s="76"/>
      <c r="U973" s="97">
        <v>0</v>
      </c>
      <c r="V973" s="255">
        <f t="shared" si="268"/>
        <v>0</v>
      </c>
      <c r="W973" s="255">
        <f t="shared" si="277"/>
        <v>0</v>
      </c>
      <c r="X973" s="255">
        <f t="shared" si="278"/>
        <v>0</v>
      </c>
      <c r="Y973" s="255">
        <f t="shared" si="279"/>
        <v>0</v>
      </c>
      <c r="Z973" s="255">
        <f t="shared" si="272"/>
        <v>0</v>
      </c>
      <c r="AA973" s="97">
        <f t="shared" ref="AA973:AA974" si="280">U973</f>
        <v>0</v>
      </c>
      <c r="AB973" s="255">
        <f t="shared" si="273"/>
        <v>0</v>
      </c>
      <c r="AC973" s="255">
        <f t="shared" si="274"/>
        <v>0</v>
      </c>
      <c r="AD973" s="255">
        <f t="shared" si="275"/>
        <v>0</v>
      </c>
      <c r="AE973" s="76"/>
      <c r="AF973" s="97" t="s">
        <v>3400</v>
      </c>
      <c r="AG973" s="76"/>
      <c r="AH973" s="97">
        <v>1</v>
      </c>
      <c r="AI973" s="97">
        <v>1</v>
      </c>
      <c r="AJ973" s="73"/>
      <c r="AK973" s="57"/>
      <c r="AL973" s="45"/>
      <c r="AM973" s="45"/>
      <c r="AN973" s="45"/>
    </row>
    <row r="974" spans="1:40" hidden="1" outlineLevel="2" x14ac:dyDescent="0.25">
      <c r="A974" s="45"/>
      <c r="B974" s="54"/>
      <c r="C974" s="47">
        <f t="shared" si="231"/>
        <v>3</v>
      </c>
      <c r="D974" s="73"/>
      <c r="E974" s="70"/>
      <c r="F974" s="70" t="s">
        <v>3753</v>
      </c>
      <c r="G974" s="73"/>
      <c r="H974" s="76" t="s">
        <v>2515</v>
      </c>
      <c r="I974" s="96" t="s">
        <v>502</v>
      </c>
      <c r="J974" s="96"/>
      <c r="K974" s="76"/>
      <c r="L974" s="76"/>
      <c r="M974" s="76"/>
      <c r="N974" s="76"/>
      <c r="O974" s="76"/>
      <c r="P974" s="76"/>
      <c r="Q974" s="76"/>
      <c r="R974" s="76"/>
      <c r="S974" s="76"/>
      <c r="T974" s="76"/>
      <c r="U974" s="97">
        <v>-6.34</v>
      </c>
      <c r="V974" s="255">
        <f t="shared" si="268"/>
        <v>-6.34</v>
      </c>
      <c r="W974" s="255">
        <f>U974</f>
        <v>-6.34</v>
      </c>
      <c r="X974" s="255">
        <f>V974</f>
        <v>-6.34</v>
      </c>
      <c r="Y974" s="255">
        <f>V974</f>
        <v>-6.34</v>
      </c>
      <c r="Z974" s="255">
        <f t="shared" si="272"/>
        <v>-6.34</v>
      </c>
      <c r="AA974" s="97">
        <f t="shared" si="280"/>
        <v>-6.34</v>
      </c>
      <c r="AB974" s="255">
        <f t="shared" si="273"/>
        <v>-6.34</v>
      </c>
      <c r="AC974" s="255">
        <f t="shared" si="274"/>
        <v>-6.34</v>
      </c>
      <c r="AD974" s="255">
        <f t="shared" si="275"/>
        <v>-6.34</v>
      </c>
      <c r="AE974" s="76"/>
      <c r="AF974" s="97"/>
      <c r="AG974" s="76"/>
      <c r="AH974" s="97">
        <v>1</v>
      </c>
      <c r="AI974" s="97">
        <v>1</v>
      </c>
      <c r="AJ974" s="73"/>
      <c r="AK974" s="57"/>
      <c r="AL974" s="45"/>
      <c r="AM974" s="45"/>
      <c r="AN974" s="45"/>
    </row>
    <row r="975" spans="1:40" hidden="1" outlineLevel="2" x14ac:dyDescent="0.25">
      <c r="A975" s="45"/>
      <c r="B975" s="54"/>
      <c r="C975" s="47">
        <f t="shared" si="231"/>
        <v>3</v>
      </c>
      <c r="D975" s="73"/>
      <c r="E975" s="70"/>
      <c r="F975" s="70" t="s">
        <v>3754</v>
      </c>
      <c r="G975" s="73"/>
      <c r="H975" s="76" t="s">
        <v>2516</v>
      </c>
      <c r="I975" s="96" t="s">
        <v>502</v>
      </c>
      <c r="J975" s="96"/>
      <c r="K975" s="76"/>
      <c r="L975" s="76"/>
      <c r="M975" s="76"/>
      <c r="N975" s="76"/>
      <c r="O975" s="76"/>
      <c r="P975" s="76"/>
      <c r="Q975" s="76"/>
      <c r="R975" s="76"/>
      <c r="S975" s="76"/>
      <c r="T975" s="76"/>
      <c r="U975" s="253">
        <f>U974</f>
        <v>-6.34</v>
      </c>
      <c r="V975" s="76">
        <f t="shared" si="268"/>
        <v>-6.34</v>
      </c>
      <c r="W975" s="76">
        <f>U975</f>
        <v>-6.34</v>
      </c>
      <c r="X975" s="76">
        <f>V975</f>
        <v>-6.34</v>
      </c>
      <c r="Y975" s="76">
        <f>V975</f>
        <v>-6.34</v>
      </c>
      <c r="Z975" s="76">
        <f t="shared" si="272"/>
        <v>-6.34</v>
      </c>
      <c r="AA975" s="253">
        <f>AA974</f>
        <v>-6.34</v>
      </c>
      <c r="AB975" s="76">
        <f t="shared" si="273"/>
        <v>-6.34</v>
      </c>
      <c r="AC975" s="76">
        <f t="shared" si="274"/>
        <v>-6.34</v>
      </c>
      <c r="AD975" s="76">
        <f t="shared" si="275"/>
        <v>-6.34</v>
      </c>
      <c r="AE975" s="76"/>
      <c r="AF975" s="264" t="s">
        <v>3382</v>
      </c>
      <c r="AG975" s="76"/>
      <c r="AH975" s="76">
        <v>1</v>
      </c>
      <c r="AI975" s="76">
        <v>1</v>
      </c>
      <c r="AJ975" s="73"/>
      <c r="AK975" s="57"/>
      <c r="AL975" s="45"/>
      <c r="AM975" s="45"/>
      <c r="AN975" s="45"/>
    </row>
    <row r="976" spans="1:40" hidden="1" outlineLevel="2" x14ac:dyDescent="0.25">
      <c r="A976" s="45"/>
      <c r="B976" s="54"/>
      <c r="C976" s="47">
        <f t="shared" si="231"/>
        <v>3</v>
      </c>
      <c r="D976" s="73"/>
      <c r="E976" s="70"/>
      <c r="F976" s="70" t="s">
        <v>3775</v>
      </c>
      <c r="G976" s="73"/>
      <c r="H976" s="76" t="s">
        <v>3785</v>
      </c>
      <c r="I976" s="96" t="s">
        <v>502</v>
      </c>
      <c r="J976" s="96"/>
      <c r="K976" s="76"/>
      <c r="L976" s="76"/>
      <c r="M976" s="76"/>
      <c r="N976" s="76"/>
      <c r="O976" s="76"/>
      <c r="P976" s="76"/>
      <c r="Q976" s="76"/>
      <c r="R976" s="76"/>
      <c r="S976" s="76"/>
      <c r="T976" s="76"/>
      <c r="U976" s="97">
        <v>0</v>
      </c>
      <c r="V976" s="255">
        <f t="shared" ref="V976:V979" si="281">U976</f>
        <v>0</v>
      </c>
      <c r="W976" s="255">
        <f t="shared" ref="W976:W977" si="282">U976</f>
        <v>0</v>
      </c>
      <c r="X976" s="255">
        <f t="shared" ref="X976:X977" si="283">V976</f>
        <v>0</v>
      </c>
      <c r="Y976" s="255">
        <f t="shared" ref="Y976:Y977" si="284">V976</f>
        <v>0</v>
      </c>
      <c r="Z976" s="255">
        <f t="shared" ref="Z976:Z979" si="285">AA976</f>
        <v>0</v>
      </c>
      <c r="AA976" s="97">
        <f>U976</f>
        <v>0</v>
      </c>
      <c r="AB976" s="255">
        <f t="shared" ref="AB976:AB979" si="286">AA976</f>
        <v>0</v>
      </c>
      <c r="AC976" s="255">
        <f t="shared" ref="AC976:AC979" si="287">AB976</f>
        <v>0</v>
      </c>
      <c r="AD976" s="255">
        <f t="shared" ref="AD976:AD979" si="288">AC976</f>
        <v>0</v>
      </c>
      <c r="AE976" s="76"/>
      <c r="AF976" s="97" t="s">
        <v>3783</v>
      </c>
      <c r="AG976" s="76"/>
      <c r="AH976" s="76">
        <v>1</v>
      </c>
      <c r="AI976" s="76">
        <v>1</v>
      </c>
      <c r="AJ976" s="73"/>
      <c r="AK976" s="57"/>
      <c r="AL976" s="45"/>
      <c r="AM976" s="45"/>
      <c r="AN976" s="45"/>
    </row>
    <row r="977" spans="1:40" hidden="1" outlineLevel="2" x14ac:dyDescent="0.25">
      <c r="A977" s="45"/>
      <c r="B977" s="54"/>
      <c r="C977" s="47">
        <f t="shared" si="231"/>
        <v>3</v>
      </c>
      <c r="D977" s="73"/>
      <c r="E977" s="70"/>
      <c r="F977" s="70" t="s">
        <v>3776</v>
      </c>
      <c r="G977" s="73"/>
      <c r="H977" s="76" t="s">
        <v>2514</v>
      </c>
      <c r="I977" s="96" t="s">
        <v>502</v>
      </c>
      <c r="J977" s="96"/>
      <c r="K977" s="76"/>
      <c r="L977" s="76"/>
      <c r="M977" s="76"/>
      <c r="N977" s="76"/>
      <c r="O977" s="76"/>
      <c r="P977" s="76"/>
      <c r="Q977" s="76"/>
      <c r="R977" s="76"/>
      <c r="S977" s="76"/>
      <c r="T977" s="76"/>
      <c r="U977" s="97">
        <v>0</v>
      </c>
      <c r="V977" s="255">
        <f t="shared" si="281"/>
        <v>0</v>
      </c>
      <c r="W977" s="255">
        <f t="shared" si="282"/>
        <v>0</v>
      </c>
      <c r="X977" s="255">
        <f t="shared" si="283"/>
        <v>0</v>
      </c>
      <c r="Y977" s="255">
        <f t="shared" si="284"/>
        <v>0</v>
      </c>
      <c r="Z977" s="255">
        <f t="shared" si="285"/>
        <v>0</v>
      </c>
      <c r="AA977" s="97">
        <f t="shared" ref="AA977:AA978" si="289">U977</f>
        <v>0</v>
      </c>
      <c r="AB977" s="255">
        <f t="shared" si="286"/>
        <v>0</v>
      </c>
      <c r="AC977" s="255">
        <f t="shared" si="287"/>
        <v>0</v>
      </c>
      <c r="AD977" s="255">
        <f t="shared" si="288"/>
        <v>0</v>
      </c>
      <c r="AE977" s="76"/>
      <c r="AF977" s="97" t="s">
        <v>3784</v>
      </c>
      <c r="AG977" s="76"/>
      <c r="AH977" s="97">
        <v>1</v>
      </c>
      <c r="AI977" s="97">
        <v>1</v>
      </c>
      <c r="AJ977" s="73"/>
      <c r="AK977" s="57"/>
      <c r="AL977" s="45"/>
      <c r="AM977" s="45"/>
      <c r="AN977" s="45"/>
    </row>
    <row r="978" spans="1:40" hidden="1" outlineLevel="2" x14ac:dyDescent="0.25">
      <c r="A978" s="45"/>
      <c r="B978" s="54"/>
      <c r="C978" s="47">
        <f t="shared" si="231"/>
        <v>3</v>
      </c>
      <c r="D978" s="73"/>
      <c r="E978" s="70"/>
      <c r="F978" s="70" t="s">
        <v>3777</v>
      </c>
      <c r="G978" s="73"/>
      <c r="H978" s="76" t="s">
        <v>2515</v>
      </c>
      <c r="I978" s="96" t="s">
        <v>502</v>
      </c>
      <c r="J978" s="96"/>
      <c r="K978" s="76"/>
      <c r="L978" s="76"/>
      <c r="M978" s="76"/>
      <c r="N978" s="76"/>
      <c r="O978" s="76"/>
      <c r="P978" s="76"/>
      <c r="Q978" s="76"/>
      <c r="R978" s="76"/>
      <c r="S978" s="76"/>
      <c r="T978" s="76"/>
      <c r="U978" s="97">
        <v>4.4000000000000004</v>
      </c>
      <c r="V978" s="255">
        <f t="shared" si="281"/>
        <v>4.4000000000000004</v>
      </c>
      <c r="W978" s="255">
        <f>U978</f>
        <v>4.4000000000000004</v>
      </c>
      <c r="X978" s="255">
        <f>V978</f>
        <v>4.4000000000000004</v>
      </c>
      <c r="Y978" s="255">
        <f>V978</f>
        <v>4.4000000000000004</v>
      </c>
      <c r="Z978" s="255">
        <f t="shared" si="285"/>
        <v>4.4000000000000004</v>
      </c>
      <c r="AA978" s="97">
        <f t="shared" si="289"/>
        <v>4.4000000000000004</v>
      </c>
      <c r="AB978" s="255">
        <f t="shared" si="286"/>
        <v>4.4000000000000004</v>
      </c>
      <c r="AC978" s="255">
        <f t="shared" si="287"/>
        <v>4.4000000000000004</v>
      </c>
      <c r="AD978" s="255">
        <f t="shared" si="288"/>
        <v>4.4000000000000004</v>
      </c>
      <c r="AE978" s="76"/>
      <c r="AF978" s="97"/>
      <c r="AG978" s="76"/>
      <c r="AH978" s="97">
        <v>1</v>
      </c>
      <c r="AI978" s="97">
        <v>1</v>
      </c>
      <c r="AJ978" s="73"/>
      <c r="AK978" s="57"/>
      <c r="AL978" s="45"/>
      <c r="AM978" s="45"/>
      <c r="AN978" s="45"/>
    </row>
    <row r="979" spans="1:40" hidden="1" outlineLevel="2" x14ac:dyDescent="0.25">
      <c r="A979" s="45"/>
      <c r="B979" s="54"/>
      <c r="C979" s="47">
        <f t="shared" si="231"/>
        <v>3</v>
      </c>
      <c r="D979" s="73"/>
      <c r="E979" s="70"/>
      <c r="F979" s="70" t="s">
        <v>3778</v>
      </c>
      <c r="G979" s="73"/>
      <c r="H979" s="76" t="s">
        <v>2516</v>
      </c>
      <c r="I979" s="96" t="s">
        <v>502</v>
      </c>
      <c r="J979" s="96"/>
      <c r="K979" s="76"/>
      <c r="L979" s="76"/>
      <c r="M979" s="76"/>
      <c r="N979" s="76"/>
      <c r="O979" s="76"/>
      <c r="P979" s="76"/>
      <c r="Q979" s="76"/>
      <c r="R979" s="76"/>
      <c r="S979" s="76"/>
      <c r="T979" s="76"/>
      <c r="U979" s="253">
        <f>U978</f>
        <v>4.4000000000000004</v>
      </c>
      <c r="V979" s="76">
        <f t="shared" si="281"/>
        <v>4.4000000000000004</v>
      </c>
      <c r="W979" s="76">
        <f>U979</f>
        <v>4.4000000000000004</v>
      </c>
      <c r="X979" s="76">
        <f>V979</f>
        <v>4.4000000000000004</v>
      </c>
      <c r="Y979" s="76">
        <f>V979</f>
        <v>4.4000000000000004</v>
      </c>
      <c r="Z979" s="76">
        <f t="shared" si="285"/>
        <v>4.4000000000000004</v>
      </c>
      <c r="AA979" s="253">
        <f>AA978</f>
        <v>4.4000000000000004</v>
      </c>
      <c r="AB979" s="76">
        <f t="shared" si="286"/>
        <v>4.4000000000000004</v>
      </c>
      <c r="AC979" s="76">
        <f t="shared" si="287"/>
        <v>4.4000000000000004</v>
      </c>
      <c r="AD979" s="76">
        <f t="shared" si="288"/>
        <v>4.4000000000000004</v>
      </c>
      <c r="AE979" s="76"/>
      <c r="AF979" s="264" t="s">
        <v>3382</v>
      </c>
      <c r="AG979" s="76"/>
      <c r="AH979" s="76">
        <v>1</v>
      </c>
      <c r="AI979" s="76">
        <v>1</v>
      </c>
      <c r="AJ979" s="73"/>
      <c r="AK979" s="57"/>
      <c r="AL979" s="45"/>
      <c r="AM979" s="45"/>
      <c r="AN979" s="45"/>
    </row>
    <row r="980" spans="1:40" hidden="1" outlineLevel="2" x14ac:dyDescent="0.25">
      <c r="A980" s="45"/>
      <c r="B980" s="54"/>
      <c r="C980" s="47">
        <f t="shared" si="231"/>
        <v>3</v>
      </c>
      <c r="D980" s="73"/>
      <c r="E980" s="70"/>
      <c r="F980" s="70" t="s">
        <v>3779</v>
      </c>
      <c r="G980" s="73"/>
      <c r="H980" s="76" t="s">
        <v>3786</v>
      </c>
      <c r="I980" s="96" t="s">
        <v>502</v>
      </c>
      <c r="J980" s="96"/>
      <c r="K980" s="76"/>
      <c r="L980" s="76"/>
      <c r="M980" s="76"/>
      <c r="N980" s="76"/>
      <c r="O980" s="76"/>
      <c r="P980" s="76"/>
      <c r="Q980" s="76"/>
      <c r="R980" s="76"/>
      <c r="S980" s="76"/>
      <c r="T980" s="76"/>
      <c r="U980" s="97">
        <v>1</v>
      </c>
      <c r="V980" s="255">
        <f t="shared" ref="V980:V983" si="290">U980</f>
        <v>1</v>
      </c>
      <c r="W980" s="255">
        <f t="shared" ref="W980:W981" si="291">U980</f>
        <v>1</v>
      </c>
      <c r="X980" s="255">
        <f t="shared" ref="X980:X981" si="292">V980</f>
        <v>1</v>
      </c>
      <c r="Y980" s="255">
        <f t="shared" ref="Y980:Y981" si="293">V980</f>
        <v>1</v>
      </c>
      <c r="Z980" s="255">
        <f t="shared" ref="Z980:Z983" si="294">AA980</f>
        <v>1</v>
      </c>
      <c r="AA980" s="97">
        <f>U980</f>
        <v>1</v>
      </c>
      <c r="AB980" s="255">
        <f t="shared" ref="AB980:AB983" si="295">AA980</f>
        <v>1</v>
      </c>
      <c r="AC980" s="255">
        <f t="shared" ref="AC980:AC983" si="296">AB980</f>
        <v>1</v>
      </c>
      <c r="AD980" s="255">
        <f t="shared" ref="AD980:AD983" si="297">AC980</f>
        <v>1</v>
      </c>
      <c r="AE980" s="76"/>
      <c r="AF980" s="97" t="s">
        <v>3783</v>
      </c>
      <c r="AG980" s="76"/>
      <c r="AH980" s="76">
        <v>1</v>
      </c>
      <c r="AI980" s="76">
        <v>1</v>
      </c>
      <c r="AJ980" s="73"/>
      <c r="AK980" s="57"/>
      <c r="AL980" s="45"/>
      <c r="AM980" s="45"/>
      <c r="AN980" s="45"/>
    </row>
    <row r="981" spans="1:40" hidden="1" outlineLevel="2" x14ac:dyDescent="0.25">
      <c r="A981" s="45"/>
      <c r="B981" s="54"/>
      <c r="C981" s="47">
        <f t="shared" si="231"/>
        <v>3</v>
      </c>
      <c r="D981" s="73"/>
      <c r="E981" s="70"/>
      <c r="F981" s="70" t="s">
        <v>3780</v>
      </c>
      <c r="G981" s="73"/>
      <c r="H981" s="76" t="s">
        <v>2514</v>
      </c>
      <c r="I981" s="96" t="s">
        <v>502</v>
      </c>
      <c r="J981" s="96"/>
      <c r="K981" s="76"/>
      <c r="L981" s="76"/>
      <c r="M981" s="76"/>
      <c r="N981" s="76"/>
      <c r="O981" s="76"/>
      <c r="P981" s="76"/>
      <c r="Q981" s="76"/>
      <c r="R981" s="76"/>
      <c r="S981" s="76"/>
      <c r="T981" s="76"/>
      <c r="U981" s="97">
        <v>1</v>
      </c>
      <c r="V981" s="255">
        <f t="shared" si="290"/>
        <v>1</v>
      </c>
      <c r="W981" s="255">
        <f t="shared" si="291"/>
        <v>1</v>
      </c>
      <c r="X981" s="255">
        <f t="shared" si="292"/>
        <v>1</v>
      </c>
      <c r="Y981" s="255">
        <f t="shared" si="293"/>
        <v>1</v>
      </c>
      <c r="Z981" s="255">
        <f t="shared" si="294"/>
        <v>1</v>
      </c>
      <c r="AA981" s="97">
        <f t="shared" ref="AA981:AA982" si="298">U981</f>
        <v>1</v>
      </c>
      <c r="AB981" s="255">
        <f t="shared" si="295"/>
        <v>1</v>
      </c>
      <c r="AC981" s="255">
        <f t="shared" si="296"/>
        <v>1</v>
      </c>
      <c r="AD981" s="255">
        <f t="shared" si="297"/>
        <v>1</v>
      </c>
      <c r="AE981" s="76"/>
      <c r="AF981" s="97" t="s">
        <v>3784</v>
      </c>
      <c r="AG981" s="76"/>
      <c r="AH981" s="97">
        <v>1</v>
      </c>
      <c r="AI981" s="97">
        <v>1</v>
      </c>
      <c r="AJ981" s="73"/>
      <c r="AK981" s="57"/>
      <c r="AL981" s="45"/>
      <c r="AM981" s="45"/>
      <c r="AN981" s="45"/>
    </row>
    <row r="982" spans="1:40" hidden="1" outlineLevel="2" x14ac:dyDescent="0.25">
      <c r="A982" s="45"/>
      <c r="B982" s="54"/>
      <c r="C982" s="47">
        <f t="shared" si="231"/>
        <v>3</v>
      </c>
      <c r="D982" s="73"/>
      <c r="E982" s="70"/>
      <c r="F982" s="70" t="s">
        <v>3781</v>
      </c>
      <c r="G982" s="73"/>
      <c r="H982" s="76" t="s">
        <v>2515</v>
      </c>
      <c r="I982" s="96" t="s">
        <v>502</v>
      </c>
      <c r="J982" s="96"/>
      <c r="K982" s="76"/>
      <c r="L982" s="76"/>
      <c r="M982" s="76"/>
      <c r="N982" s="76"/>
      <c r="O982" s="76"/>
      <c r="P982" s="76"/>
      <c r="Q982" s="76"/>
      <c r="R982" s="76"/>
      <c r="S982" s="76"/>
      <c r="T982" s="76"/>
      <c r="U982" s="97">
        <v>0.75</v>
      </c>
      <c r="V982" s="255">
        <f t="shared" si="290"/>
        <v>0.75</v>
      </c>
      <c r="W982" s="255">
        <f>U982</f>
        <v>0.75</v>
      </c>
      <c r="X982" s="255">
        <f>V982</f>
        <v>0.75</v>
      </c>
      <c r="Y982" s="255">
        <f>V982</f>
        <v>0.75</v>
      </c>
      <c r="Z982" s="255">
        <f t="shared" si="294"/>
        <v>0.75</v>
      </c>
      <c r="AA982" s="97">
        <f t="shared" si="298"/>
        <v>0.75</v>
      </c>
      <c r="AB982" s="255">
        <f t="shared" si="295"/>
        <v>0.75</v>
      </c>
      <c r="AC982" s="255">
        <f t="shared" si="296"/>
        <v>0.75</v>
      </c>
      <c r="AD982" s="255">
        <f t="shared" si="297"/>
        <v>0.75</v>
      </c>
      <c r="AE982" s="76"/>
      <c r="AF982" s="97"/>
      <c r="AG982" s="76"/>
      <c r="AH982" s="97">
        <v>1</v>
      </c>
      <c r="AI982" s="97">
        <v>1</v>
      </c>
      <c r="AJ982" s="73"/>
      <c r="AK982" s="57"/>
      <c r="AL982" s="45"/>
      <c r="AM982" s="45"/>
      <c r="AN982" s="45"/>
    </row>
    <row r="983" spans="1:40" hidden="1" outlineLevel="2" x14ac:dyDescent="0.25">
      <c r="A983" s="45"/>
      <c r="B983" s="54"/>
      <c r="C983" s="47">
        <f t="shared" si="231"/>
        <v>3</v>
      </c>
      <c r="D983" s="73"/>
      <c r="E983" s="70"/>
      <c r="F983" s="70" t="s">
        <v>3782</v>
      </c>
      <c r="G983" s="73"/>
      <c r="H983" s="76" t="s">
        <v>2516</v>
      </c>
      <c r="I983" s="96" t="s">
        <v>502</v>
      </c>
      <c r="J983" s="96"/>
      <c r="K983" s="76"/>
      <c r="L983" s="76"/>
      <c r="M983" s="76"/>
      <c r="N983" s="76"/>
      <c r="O983" s="76"/>
      <c r="P983" s="76"/>
      <c r="Q983" s="76"/>
      <c r="R983" s="76"/>
      <c r="S983" s="76"/>
      <c r="T983" s="76"/>
      <c r="U983" s="253">
        <f>U982</f>
        <v>0.75</v>
      </c>
      <c r="V983" s="76">
        <f t="shared" si="290"/>
        <v>0.75</v>
      </c>
      <c r="W983" s="76">
        <f>U983</f>
        <v>0.75</v>
      </c>
      <c r="X983" s="76">
        <f>V983</f>
        <v>0.75</v>
      </c>
      <c r="Y983" s="76">
        <f>V983</f>
        <v>0.75</v>
      </c>
      <c r="Z983" s="76">
        <f t="shared" si="294"/>
        <v>0.75</v>
      </c>
      <c r="AA983" s="253">
        <f>AA982</f>
        <v>0.75</v>
      </c>
      <c r="AB983" s="76">
        <f t="shared" si="295"/>
        <v>0.75</v>
      </c>
      <c r="AC983" s="76">
        <f t="shared" si="296"/>
        <v>0.75</v>
      </c>
      <c r="AD983" s="76">
        <f t="shared" si="297"/>
        <v>0.75</v>
      </c>
      <c r="AE983" s="76"/>
      <c r="AF983" s="264" t="s">
        <v>3382</v>
      </c>
      <c r="AG983" s="76"/>
      <c r="AH983" s="76">
        <v>1</v>
      </c>
      <c r="AI983" s="76">
        <v>1</v>
      </c>
      <c r="AJ983" s="73"/>
      <c r="AK983" s="57"/>
      <c r="AL983" s="45"/>
      <c r="AM983" s="45"/>
      <c r="AN983" s="45"/>
    </row>
    <row r="984" spans="1:40" outlineLevel="1" collapsed="1" x14ac:dyDescent="0.2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2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2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299">INDEX($K986:$Q986,1,U$43)</f>
        <v>0.38900000000000001</v>
      </c>
      <c r="V986" s="253">
        <f t="shared" si="299"/>
        <v>0.38900000000000001</v>
      </c>
      <c r="W986" s="253">
        <f t="shared" si="299"/>
        <v>0.38900000000000001</v>
      </c>
      <c r="X986" s="253">
        <f t="shared" si="299"/>
        <v>0.38900000000000001</v>
      </c>
      <c r="Y986" s="253">
        <f t="shared" si="299"/>
        <v>0.38900000000000001</v>
      </c>
      <c r="Z986" s="253">
        <f t="shared" si="299"/>
        <v>0.48599999999999999</v>
      </c>
      <c r="AA986" s="253">
        <f t="shared" si="299"/>
        <v>0.48599999999999999</v>
      </c>
      <c r="AB986" s="253">
        <f t="shared" si="299"/>
        <v>0.48599999999999999</v>
      </c>
      <c r="AC986" s="253">
        <f t="shared" si="299"/>
        <v>0.48599999999999999</v>
      </c>
      <c r="AD986" s="253">
        <f t="shared" si="299"/>
        <v>0.48599999999999999</v>
      </c>
      <c r="AE986" s="76"/>
      <c r="AF986" s="76"/>
      <c r="AG986" s="76"/>
      <c r="AH986" s="97">
        <v>1</v>
      </c>
      <c r="AI986" s="97">
        <v>1</v>
      </c>
      <c r="AJ986" s="73"/>
      <c r="AK986" s="57"/>
      <c r="AL986" s="45"/>
      <c r="AM986" s="45"/>
      <c r="AN986" s="45"/>
    </row>
    <row r="987" spans="1:40" hidden="1" outlineLevel="2" x14ac:dyDescent="0.2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299"/>
        <v>0.622</v>
      </c>
      <c r="V987" s="253">
        <f t="shared" si="299"/>
        <v>0.622</v>
      </c>
      <c r="W987" s="253">
        <f t="shared" si="299"/>
        <v>0.622</v>
      </c>
      <c r="X987" s="253">
        <f t="shared" si="299"/>
        <v>0.622</v>
      </c>
      <c r="Y987" s="253">
        <f t="shared" si="299"/>
        <v>0.622</v>
      </c>
      <c r="Z987" s="253">
        <f t="shared" si="299"/>
        <v>0.77800000000000002</v>
      </c>
      <c r="AA987" s="253">
        <f t="shared" si="299"/>
        <v>0.77800000000000002</v>
      </c>
      <c r="AB987" s="253">
        <f t="shared" si="299"/>
        <v>0.77800000000000002</v>
      </c>
      <c r="AC987" s="253">
        <f t="shared" si="299"/>
        <v>0.77800000000000002</v>
      </c>
      <c r="AD987" s="253">
        <f t="shared" si="299"/>
        <v>0.77800000000000002</v>
      </c>
      <c r="AE987" s="76"/>
      <c r="AF987" s="76"/>
      <c r="AG987" s="76"/>
      <c r="AH987" s="97">
        <v>1</v>
      </c>
      <c r="AI987" s="97">
        <v>1</v>
      </c>
      <c r="AJ987" s="73"/>
      <c r="AK987" s="57"/>
      <c r="AL987" s="45"/>
      <c r="AM987" s="45"/>
      <c r="AN987" s="45"/>
    </row>
    <row r="988" spans="1:40" hidden="1" outlineLevel="2" collapsed="1" x14ac:dyDescent="0.2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299"/>
        <v>0.746</v>
      </c>
      <c r="V988" s="253">
        <f t="shared" si="299"/>
        <v>0.746</v>
      </c>
      <c r="W988" s="253">
        <f t="shared" si="299"/>
        <v>0.746</v>
      </c>
      <c r="X988" s="253">
        <f t="shared" si="299"/>
        <v>0.746</v>
      </c>
      <c r="Y988" s="253">
        <f t="shared" si="299"/>
        <v>0.746</v>
      </c>
      <c r="Z988" s="253">
        <f t="shared" si="299"/>
        <v>0.93400000000000005</v>
      </c>
      <c r="AA988" s="253">
        <f t="shared" si="299"/>
        <v>0.93400000000000005</v>
      </c>
      <c r="AB988" s="253">
        <f t="shared" si="299"/>
        <v>0.93400000000000005</v>
      </c>
      <c r="AC988" s="253">
        <f t="shared" si="299"/>
        <v>0.93400000000000005</v>
      </c>
      <c r="AD988" s="253">
        <f t="shared" si="299"/>
        <v>0.93400000000000005</v>
      </c>
      <c r="AE988" s="76"/>
      <c r="AF988" s="76"/>
      <c r="AG988" s="76"/>
      <c r="AH988" s="97">
        <v>1</v>
      </c>
      <c r="AI988" s="97">
        <v>1</v>
      </c>
      <c r="AJ988" s="73"/>
      <c r="AK988" s="57"/>
      <c r="AL988" s="45"/>
      <c r="AM988" s="45"/>
      <c r="AN988" s="45"/>
    </row>
    <row r="989" spans="1:40" hidden="1" outlineLevel="3" x14ac:dyDescent="0.25">
      <c r="A989" s="45"/>
      <c r="B989" s="54"/>
      <c r="C989" s="47">
        <f t="shared" ref="C989:C1020" si="300">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300"/>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0"/>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0"/>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0"/>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0"/>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0"/>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0"/>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0"/>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0"/>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0"/>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0"/>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0"/>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0"/>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0"/>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0"/>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0"/>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0"/>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0"/>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0"/>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0"/>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0"/>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0"/>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0"/>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0"/>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0"/>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0"/>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0"/>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0"/>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0"/>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0"/>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0"/>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ref="C1021:C1052" si="301">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01"/>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1"/>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1"/>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1"/>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1"/>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1"/>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1"/>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1"/>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01"/>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301"/>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301"/>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301"/>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301"/>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301"/>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301"/>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301"/>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301"/>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301"/>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301"/>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si="301"/>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1"/>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1"/>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1"/>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1"/>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1"/>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1"/>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1"/>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1"/>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1"/>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1"/>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1"/>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ref="C1053:C1060" si="302">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02"/>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302"/>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302"/>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302"/>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302"/>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302"/>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302"/>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2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3">INDEX($K1062:$Q1062,1,U$43)</f>
        <v>0.52400000000000002</v>
      </c>
      <c r="V1062" s="253">
        <f t="shared" si="303"/>
        <v>0.52400000000000002</v>
      </c>
      <c r="W1062" s="253">
        <f t="shared" si="303"/>
        <v>0.52400000000000002</v>
      </c>
      <c r="X1062" s="253">
        <f t="shared" si="303"/>
        <v>0.52400000000000002</v>
      </c>
      <c r="Y1062" s="253">
        <f t="shared" si="303"/>
        <v>0.52400000000000002</v>
      </c>
      <c r="Z1062" s="253">
        <f t="shared" si="303"/>
        <v>0.65500000000000003</v>
      </c>
      <c r="AA1062" s="253">
        <f t="shared" si="303"/>
        <v>0.65500000000000003</v>
      </c>
      <c r="AB1062" s="253">
        <f t="shared" si="303"/>
        <v>0.65500000000000003</v>
      </c>
      <c r="AC1062" s="253">
        <f t="shared" si="303"/>
        <v>0.65500000000000003</v>
      </c>
      <c r="AD1062" s="253">
        <f t="shared" si="303"/>
        <v>0.65500000000000003</v>
      </c>
      <c r="AE1062" s="76"/>
      <c r="AF1062" s="76"/>
      <c r="AG1062" s="76"/>
      <c r="AH1062" s="97">
        <v>1</v>
      </c>
      <c r="AI1062" s="97">
        <v>1</v>
      </c>
      <c r="AJ1062" s="73"/>
      <c r="AK1062" s="57"/>
      <c r="AL1062" s="45"/>
      <c r="AM1062" s="45"/>
      <c r="AN1062" s="45"/>
    </row>
    <row r="1063" spans="1:40" hidden="1" outlineLevel="2" x14ac:dyDescent="0.2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3"/>
        <v>0.70699999999999996</v>
      </c>
      <c r="V1063" s="253">
        <f t="shared" si="303"/>
        <v>0.70699999999999996</v>
      </c>
      <c r="W1063" s="253">
        <f t="shared" si="303"/>
        <v>0.70699999999999996</v>
      </c>
      <c r="X1063" s="253">
        <f t="shared" si="303"/>
        <v>0.70699999999999996</v>
      </c>
      <c r="Y1063" s="253">
        <f t="shared" si="303"/>
        <v>0.70699999999999996</v>
      </c>
      <c r="Z1063" s="253">
        <f t="shared" si="303"/>
        <v>0.88400000000000001</v>
      </c>
      <c r="AA1063" s="253">
        <f t="shared" si="303"/>
        <v>0.88400000000000001</v>
      </c>
      <c r="AB1063" s="253">
        <f t="shared" si="303"/>
        <v>0.88400000000000001</v>
      </c>
      <c r="AC1063" s="253">
        <f t="shared" si="303"/>
        <v>0.88400000000000001</v>
      </c>
      <c r="AD1063" s="253">
        <f t="shared" si="303"/>
        <v>0.88400000000000001</v>
      </c>
      <c r="AE1063" s="76"/>
      <c r="AF1063" s="76"/>
      <c r="AG1063" s="76"/>
      <c r="AH1063" s="97">
        <v>1</v>
      </c>
      <c r="AI1063" s="97">
        <v>1</v>
      </c>
      <c r="AJ1063" s="73"/>
      <c r="AK1063" s="57"/>
      <c r="AL1063" s="45"/>
      <c r="AM1063" s="45"/>
      <c r="AN1063" s="45"/>
    </row>
    <row r="1064" spans="1:40" hidden="1" outlineLevel="2" collapsed="1" x14ac:dyDescent="0.2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3"/>
        <v>0.89100000000000001</v>
      </c>
      <c r="V1064" s="253">
        <f t="shared" si="303"/>
        <v>0.89100000000000001</v>
      </c>
      <c r="W1064" s="253">
        <f t="shared" si="303"/>
        <v>0.89100000000000001</v>
      </c>
      <c r="X1064" s="253">
        <f t="shared" si="303"/>
        <v>0.89100000000000001</v>
      </c>
      <c r="Y1064" s="253">
        <f t="shared" si="303"/>
        <v>0.89100000000000001</v>
      </c>
      <c r="Z1064" s="253">
        <f t="shared" si="303"/>
        <v>1.1140000000000001</v>
      </c>
      <c r="AA1064" s="253">
        <f t="shared" si="303"/>
        <v>1.1140000000000001</v>
      </c>
      <c r="AB1064" s="253">
        <f t="shared" si="303"/>
        <v>1.1140000000000001</v>
      </c>
      <c r="AC1064" s="253">
        <f t="shared" si="303"/>
        <v>1.1140000000000001</v>
      </c>
      <c r="AD1064" s="253">
        <f t="shared" si="303"/>
        <v>1.1140000000000001</v>
      </c>
      <c r="AE1064" s="76"/>
      <c r="AF1064" s="76"/>
      <c r="AG1064" s="76"/>
      <c r="AH1064" s="97">
        <v>1</v>
      </c>
      <c r="AI1064" s="97">
        <v>1</v>
      </c>
      <c r="AJ1064" s="73"/>
      <c r="AK1064" s="57"/>
      <c r="AL1064" s="45"/>
      <c r="AM1064" s="45"/>
      <c r="AN1064" s="45"/>
    </row>
    <row r="1065" spans="1:40" hidden="1" outlineLevel="3" x14ac:dyDescent="0.25">
      <c r="A1065" s="45"/>
      <c r="B1065" s="54"/>
      <c r="C1065" s="47">
        <f t="shared" ref="C1065:C1128" si="304">INT($C$29)+3</f>
        <v>4</v>
      </c>
      <c r="D1065" s="73"/>
      <c r="E1065" s="70"/>
      <c r="F1065" s="70" t="s">
        <v>2523</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304"/>
        <v>4</v>
      </c>
      <c r="D1066" s="73"/>
      <c r="E1066" s="70"/>
      <c r="F1066" s="70" t="s">
        <v>2524</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04"/>
        <v>4</v>
      </c>
      <c r="D1067" s="73"/>
      <c r="E1067" s="70"/>
      <c r="F1067" s="70" t="s">
        <v>2525</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04"/>
        <v>4</v>
      </c>
      <c r="D1068" s="73"/>
      <c r="E1068" s="70"/>
      <c r="F1068" s="70" t="s">
        <v>2526</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04"/>
        <v>4</v>
      </c>
      <c r="D1069" s="73"/>
      <c r="E1069" s="70"/>
      <c r="F1069" s="70" t="s">
        <v>2527</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04"/>
        <v>4</v>
      </c>
      <c r="D1070" s="73"/>
      <c r="E1070" s="70"/>
      <c r="F1070" s="70" t="s">
        <v>2528</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04"/>
        <v>4</v>
      </c>
      <c r="D1071" s="73"/>
      <c r="E1071" s="70"/>
      <c r="F1071" s="70" t="s">
        <v>2529</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04"/>
        <v>4</v>
      </c>
      <c r="D1072" s="73"/>
      <c r="E1072" s="70"/>
      <c r="F1072" s="70" t="s">
        <v>2530</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04"/>
        <v>4</v>
      </c>
      <c r="D1073" s="73"/>
      <c r="E1073" s="70"/>
      <c r="F1073" s="70" t="s">
        <v>2531</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04"/>
        <v>4</v>
      </c>
      <c r="D1074" s="73"/>
      <c r="E1074" s="70"/>
      <c r="F1074" s="70" t="s">
        <v>2532</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04"/>
        <v>4</v>
      </c>
      <c r="D1075" s="73"/>
      <c r="E1075" s="70"/>
      <c r="F1075" s="70" t="s">
        <v>2533</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04"/>
        <v>4</v>
      </c>
      <c r="D1076" s="73"/>
      <c r="E1076" s="70"/>
      <c r="F1076" s="70" t="s">
        <v>2534</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04"/>
        <v>4</v>
      </c>
      <c r="D1077" s="73"/>
      <c r="E1077" s="70"/>
      <c r="F1077" s="70" t="s">
        <v>2535</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04"/>
        <v>4</v>
      </c>
      <c r="D1078" s="73"/>
      <c r="E1078" s="70"/>
      <c r="F1078" s="70" t="s">
        <v>2536</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04"/>
        <v>4</v>
      </c>
      <c r="D1079" s="73"/>
      <c r="E1079" s="70"/>
      <c r="F1079" s="70" t="s">
        <v>2537</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04"/>
        <v>4</v>
      </c>
      <c r="D1080" s="73"/>
      <c r="E1080" s="70"/>
      <c r="F1080" s="70" t="s">
        <v>2538</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04"/>
        <v>4</v>
      </c>
      <c r="D1081" s="73"/>
      <c r="E1081" s="70"/>
      <c r="F1081" s="70" t="s">
        <v>2539</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04"/>
        <v>4</v>
      </c>
      <c r="D1082" s="73"/>
      <c r="E1082" s="70"/>
      <c r="F1082" s="70" t="s">
        <v>2540</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04"/>
        <v>4</v>
      </c>
      <c r="D1083" s="73"/>
      <c r="E1083" s="70"/>
      <c r="F1083" s="70" t="s">
        <v>2541</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04"/>
        <v>4</v>
      </c>
      <c r="D1084" s="73"/>
      <c r="E1084" s="70"/>
      <c r="F1084" s="70" t="s">
        <v>2542</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04"/>
        <v>4</v>
      </c>
      <c r="D1085" s="73"/>
      <c r="E1085" s="70"/>
      <c r="F1085" s="70" t="s">
        <v>2543</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04"/>
        <v>4</v>
      </c>
      <c r="D1086" s="73"/>
      <c r="E1086" s="70"/>
      <c r="F1086" s="70" t="s">
        <v>2544</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04"/>
        <v>4</v>
      </c>
      <c r="D1087" s="73"/>
      <c r="E1087" s="70"/>
      <c r="F1087" s="70" t="s">
        <v>2545</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04"/>
        <v>4</v>
      </c>
      <c r="D1088" s="73"/>
      <c r="E1088" s="70"/>
      <c r="F1088" s="70" t="s">
        <v>2546</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04"/>
        <v>4</v>
      </c>
      <c r="D1089" s="73"/>
      <c r="E1089" s="70"/>
      <c r="F1089" s="70" t="s">
        <v>3328</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04"/>
        <v>4</v>
      </c>
      <c r="D1090" s="73"/>
      <c r="E1090" s="70"/>
      <c r="F1090" s="70" t="s">
        <v>3329</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04"/>
        <v>4</v>
      </c>
      <c r="D1091" s="73"/>
      <c r="E1091" s="70"/>
      <c r="F1091" s="70" t="s">
        <v>3330</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04"/>
        <v>4</v>
      </c>
      <c r="D1092" s="73"/>
      <c r="E1092" s="70"/>
      <c r="F1092" s="70" t="s">
        <v>3331</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04"/>
        <v>4</v>
      </c>
      <c r="D1093" s="73"/>
      <c r="E1093" s="70"/>
      <c r="F1093" s="70" t="s">
        <v>3429</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04"/>
        <v>4</v>
      </c>
      <c r="D1094" s="73"/>
      <c r="E1094" s="70"/>
      <c r="F1094" s="70" t="s">
        <v>3430</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04"/>
        <v>4</v>
      </c>
      <c r="D1095" s="73"/>
      <c r="E1095" s="70"/>
      <c r="F1095" s="70" t="s">
        <v>3431</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04"/>
        <v>4</v>
      </c>
      <c r="D1096" s="73"/>
      <c r="E1096" s="70"/>
      <c r="F1096" s="70" t="s">
        <v>3432</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04"/>
        <v>4</v>
      </c>
      <c r="D1097" s="73"/>
      <c r="E1097" s="70"/>
      <c r="F1097" s="70" t="s">
        <v>3433</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04"/>
        <v>4</v>
      </c>
      <c r="D1098" s="73"/>
      <c r="E1098" s="70"/>
      <c r="F1098" s="70" t="s">
        <v>3434</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04"/>
        <v>4</v>
      </c>
      <c r="D1099" s="73"/>
      <c r="E1099" s="70"/>
      <c r="F1099" s="70" t="s">
        <v>3435</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04"/>
        <v>4</v>
      </c>
      <c r="D1100" s="73"/>
      <c r="E1100" s="70"/>
      <c r="F1100" s="70" t="s">
        <v>3436</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04"/>
        <v>4</v>
      </c>
      <c r="D1101" s="73"/>
      <c r="E1101" s="70"/>
      <c r="F1101" s="70" t="s">
        <v>3437</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04"/>
        <v>4</v>
      </c>
      <c r="D1102" s="73"/>
      <c r="E1102" s="70"/>
      <c r="F1102" s="70" t="s">
        <v>3438</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04"/>
        <v>4</v>
      </c>
      <c r="D1103" s="73"/>
      <c r="E1103" s="70"/>
      <c r="F1103" s="70" t="s">
        <v>3439</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04"/>
        <v>4</v>
      </c>
      <c r="D1104" s="73"/>
      <c r="E1104" s="70"/>
      <c r="F1104" s="70" t="s">
        <v>3440</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04"/>
        <v>4</v>
      </c>
      <c r="D1105" s="73"/>
      <c r="E1105" s="70"/>
      <c r="F1105" s="70" t="s">
        <v>3441</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04"/>
        <v>4</v>
      </c>
      <c r="D1106" s="73"/>
      <c r="E1106" s="70"/>
      <c r="F1106" s="70" t="s">
        <v>3442</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04"/>
        <v>4</v>
      </c>
      <c r="D1107" s="73"/>
      <c r="E1107" s="70"/>
      <c r="F1107" s="70" t="s">
        <v>3443</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04"/>
        <v>4</v>
      </c>
      <c r="D1108" s="73"/>
      <c r="E1108" s="70"/>
      <c r="F1108" s="70" t="s">
        <v>3444</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04"/>
        <v>4</v>
      </c>
      <c r="D1109" s="73"/>
      <c r="E1109" s="70"/>
      <c r="F1109" s="70" t="s">
        <v>3445</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04"/>
        <v>4</v>
      </c>
      <c r="D1110" s="73"/>
      <c r="E1110" s="70"/>
      <c r="F1110" s="70" t="s">
        <v>3446</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04"/>
        <v>4</v>
      </c>
      <c r="D1111" s="73"/>
      <c r="E1111" s="70"/>
      <c r="F1111" s="70" t="s">
        <v>3447</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04"/>
        <v>4</v>
      </c>
      <c r="D1112" s="73"/>
      <c r="E1112" s="70"/>
      <c r="F1112" s="70" t="s">
        <v>3448</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04"/>
        <v>4</v>
      </c>
      <c r="D1113" s="73"/>
      <c r="E1113" s="70"/>
      <c r="F1113" s="70" t="s">
        <v>3449</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04"/>
        <v>4</v>
      </c>
      <c r="D1114" s="73"/>
      <c r="E1114" s="70"/>
      <c r="F1114" s="70" t="s">
        <v>3450</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04"/>
        <v>4</v>
      </c>
      <c r="D1115" s="73"/>
      <c r="E1115" s="70"/>
      <c r="F1115" s="70" t="s">
        <v>3451</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04"/>
        <v>4</v>
      </c>
      <c r="D1116" s="73"/>
      <c r="E1116" s="70"/>
      <c r="F1116" s="70" t="s">
        <v>3452</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04"/>
        <v>4</v>
      </c>
      <c r="D1117" s="73"/>
      <c r="E1117" s="70"/>
      <c r="F1117" s="70" t="s">
        <v>3453</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04"/>
        <v>4</v>
      </c>
      <c r="D1118" s="73"/>
      <c r="E1118" s="70"/>
      <c r="F1118" s="70" t="s">
        <v>3454</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04"/>
        <v>4</v>
      </c>
      <c r="D1119" s="73"/>
      <c r="E1119" s="70"/>
      <c r="F1119" s="70" t="s">
        <v>3455</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04"/>
        <v>4</v>
      </c>
      <c r="D1120" s="73"/>
      <c r="E1120" s="70"/>
      <c r="F1120" s="70" t="s">
        <v>3456</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04"/>
        <v>4</v>
      </c>
      <c r="D1121" s="73"/>
      <c r="E1121" s="70"/>
      <c r="F1121" s="70" t="s">
        <v>3457</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04"/>
        <v>4</v>
      </c>
      <c r="D1122" s="73"/>
      <c r="E1122" s="70"/>
      <c r="F1122" s="70" t="s">
        <v>3458</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04"/>
        <v>4</v>
      </c>
      <c r="D1123" s="73"/>
      <c r="E1123" s="70"/>
      <c r="F1123" s="70" t="s">
        <v>3459</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04"/>
        <v>4</v>
      </c>
      <c r="D1124" s="73"/>
      <c r="E1124" s="70"/>
      <c r="F1124" s="70" t="s">
        <v>3460</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04"/>
        <v>4</v>
      </c>
      <c r="D1125" s="73"/>
      <c r="E1125" s="70"/>
      <c r="F1125" s="70" t="s">
        <v>3461</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04"/>
        <v>4</v>
      </c>
      <c r="D1126" s="73"/>
      <c r="E1126" s="70"/>
      <c r="F1126" s="70" t="s">
        <v>3462</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04"/>
        <v>4</v>
      </c>
      <c r="D1127" s="73"/>
      <c r="E1127" s="70"/>
      <c r="F1127" s="70" t="s">
        <v>3463</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04"/>
        <v>4</v>
      </c>
      <c r="D1128" s="73"/>
      <c r="E1128" s="70"/>
      <c r="F1128" s="70" t="s">
        <v>3464</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ref="C1129:C1148" si="305">INT($C$29)+3</f>
        <v>4</v>
      </c>
      <c r="D1129" s="73"/>
      <c r="E1129" s="70"/>
      <c r="F1129" s="70" t="s">
        <v>3465</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05"/>
        <v>4</v>
      </c>
      <c r="D1130" s="73"/>
      <c r="E1130" s="70"/>
      <c r="F1130" s="70" t="s">
        <v>3466</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05"/>
        <v>4</v>
      </c>
      <c r="D1131" s="73"/>
      <c r="E1131" s="70"/>
      <c r="F1131" s="70" t="s">
        <v>3467</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05"/>
        <v>4</v>
      </c>
      <c r="D1132" s="73"/>
      <c r="E1132" s="70"/>
      <c r="F1132" s="70" t="s">
        <v>3468</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05"/>
        <v>4</v>
      </c>
      <c r="D1133" s="73"/>
      <c r="E1133" s="70"/>
      <c r="F1133" s="70" t="s">
        <v>3469</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05"/>
        <v>4</v>
      </c>
      <c r="D1134" s="73"/>
      <c r="E1134" s="70"/>
      <c r="F1134" s="70" t="s">
        <v>3470</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05"/>
        <v>4</v>
      </c>
      <c r="D1135" s="73"/>
      <c r="E1135" s="70"/>
      <c r="F1135" s="70" t="s">
        <v>3471</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05"/>
        <v>4</v>
      </c>
      <c r="D1136" s="73"/>
      <c r="E1136" s="70"/>
      <c r="F1136" s="70" t="s">
        <v>3472</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05"/>
        <v>4</v>
      </c>
      <c r="D1137" s="73"/>
      <c r="E1137" s="70"/>
      <c r="F1137" s="70" t="s">
        <v>3755</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05"/>
        <v>4</v>
      </c>
      <c r="D1138" s="73"/>
      <c r="E1138" s="70"/>
      <c r="F1138" s="70" t="s">
        <v>3756</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05"/>
        <v>4</v>
      </c>
      <c r="D1139" s="73"/>
      <c r="E1139" s="70"/>
      <c r="F1139" s="70" t="s">
        <v>3757</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05"/>
        <v>4</v>
      </c>
      <c r="D1140" s="73"/>
      <c r="E1140" s="70"/>
      <c r="F1140" s="70" t="s">
        <v>3758</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05"/>
        <v>4</v>
      </c>
      <c r="D1141" s="73"/>
      <c r="E1141" s="70"/>
      <c r="F1141" s="70" t="s">
        <v>3791</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05"/>
        <v>4</v>
      </c>
      <c r="D1142" s="73"/>
      <c r="E1142" s="70"/>
      <c r="F1142" s="70" t="s">
        <v>3792</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05"/>
        <v>4</v>
      </c>
      <c r="D1143" s="73"/>
      <c r="E1143" s="70"/>
      <c r="F1143" s="70" t="s">
        <v>3793</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05"/>
        <v>4</v>
      </c>
      <c r="D1144" s="73"/>
      <c r="E1144" s="70"/>
      <c r="F1144" s="70" t="s">
        <v>3794</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05"/>
        <v>4</v>
      </c>
      <c r="D1145" s="73"/>
      <c r="E1145" s="70"/>
      <c r="F1145" s="70" t="s">
        <v>3787</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05"/>
        <v>4</v>
      </c>
      <c r="D1146" s="73"/>
      <c r="E1146" s="70"/>
      <c r="F1146" s="70" t="s">
        <v>3788</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05"/>
        <v>4</v>
      </c>
      <c r="D1147" s="73"/>
      <c r="E1147" s="70"/>
      <c r="F1147" s="70" t="s">
        <v>3789</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05"/>
        <v>4</v>
      </c>
      <c r="D1148" s="73"/>
      <c r="E1148" s="70"/>
      <c r="F1148" s="70" t="s">
        <v>3790</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2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2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06">INDEX($K1150:$Q1150,1,U$43)</f>
        <v>0.99704199999999998</v>
      </c>
      <c r="V1150" s="253">
        <f t="shared" si="306"/>
        <v>0.99704199999999998</v>
      </c>
      <c r="W1150" s="253">
        <f t="shared" si="306"/>
        <v>0.99704199999999998</v>
      </c>
      <c r="X1150" s="253">
        <f t="shared" si="306"/>
        <v>0.99704199999999998</v>
      </c>
      <c r="Y1150" s="253">
        <f t="shared" si="306"/>
        <v>0.99704199999999998</v>
      </c>
      <c r="Z1150" s="253">
        <f t="shared" si="306"/>
        <v>0.99704199999999998</v>
      </c>
      <c r="AA1150" s="253">
        <f t="shared" si="306"/>
        <v>0.99704199999999998</v>
      </c>
      <c r="AB1150" s="253">
        <f t="shared" si="306"/>
        <v>0.99704199999999998</v>
      </c>
      <c r="AC1150" s="253">
        <f t="shared" si="306"/>
        <v>0.99704199999999998</v>
      </c>
      <c r="AD1150" s="253">
        <f t="shared" si="306"/>
        <v>0.99704199999999998</v>
      </c>
      <c r="AE1150" s="76"/>
      <c r="AF1150" s="76"/>
      <c r="AG1150" s="76"/>
      <c r="AH1150" s="97">
        <v>1</v>
      </c>
      <c r="AI1150" s="97">
        <v>1</v>
      </c>
      <c r="AJ1150" s="73"/>
      <c r="AK1150" s="57"/>
      <c r="AL1150" s="45"/>
      <c r="AM1150" s="45"/>
      <c r="AN1150" s="45"/>
    </row>
    <row r="1151" spans="1:40" hidden="1" outlineLevel="2" x14ac:dyDescent="0.25">
      <c r="A1151" s="45"/>
      <c r="B1151" s="54"/>
      <c r="C1151" s="47">
        <f>INT($C$29)+2</f>
        <v>3</v>
      </c>
      <c r="D1151" s="73"/>
      <c r="E1151" s="70"/>
      <c r="F1151" s="70" t="s">
        <v>1708</v>
      </c>
      <c r="G1151" s="73"/>
      <c r="H1151" s="129" t="s">
        <v>2765</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07">Y1152</f>
        <v>0.13739999999999999</v>
      </c>
      <c r="AA1152" s="255">
        <f t="shared" si="307"/>
        <v>0.13739999999999999</v>
      </c>
      <c r="AB1152" s="255">
        <f t="shared" si="307"/>
        <v>0.13739999999999999</v>
      </c>
      <c r="AC1152" s="255">
        <f t="shared" si="307"/>
        <v>0.13739999999999999</v>
      </c>
      <c r="AD1152" s="255">
        <f t="shared" si="307"/>
        <v>0.13739999999999999</v>
      </c>
      <c r="AE1152" s="76"/>
      <c r="AF1152" s="76"/>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07"/>
        <v>0.16700000000000001</v>
      </c>
      <c r="AA1153" s="255">
        <f t="shared" si="307"/>
        <v>0.16700000000000001</v>
      </c>
      <c r="AB1153" s="255">
        <f t="shared" si="307"/>
        <v>0.16700000000000001</v>
      </c>
      <c r="AC1153" s="255">
        <f t="shared" si="307"/>
        <v>0.16700000000000001</v>
      </c>
      <c r="AD1153" s="255">
        <f t="shared" si="307"/>
        <v>0.16700000000000001</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07"/>
        <v>0.08</v>
      </c>
      <c r="AA1154" s="255">
        <f t="shared" si="307"/>
        <v>0.08</v>
      </c>
      <c r="AB1154" s="255">
        <f t="shared" si="307"/>
        <v>0.08</v>
      </c>
      <c r="AC1154" s="255">
        <f t="shared" si="307"/>
        <v>0.08</v>
      </c>
      <c r="AD1154" s="255">
        <f t="shared" si="307"/>
        <v>0.08</v>
      </c>
      <c r="AE1154" s="76"/>
      <c r="AF1154" s="76"/>
      <c r="AG1154" s="76"/>
      <c r="AH1154" s="97">
        <v>1</v>
      </c>
      <c r="AI1154" s="97">
        <v>1</v>
      </c>
      <c r="AJ1154" s="73"/>
      <c r="AK1154" s="57"/>
      <c r="AL1154" s="45"/>
      <c r="AM1154" s="45"/>
      <c r="AN1154" s="45"/>
    </row>
    <row r="1155" spans="1:40" outlineLevel="1" collapsed="1" x14ac:dyDescent="0.2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25">
      <c r="A1156" s="45"/>
      <c r="B1156" s="54"/>
      <c r="C1156" s="47">
        <f t="shared" ref="C1156:C1163" si="308">INT($C$29)+2</f>
        <v>3</v>
      </c>
      <c r="D1156" s="73"/>
      <c r="E1156" s="70"/>
      <c r="F1156" s="70" t="s">
        <v>1718</v>
      </c>
      <c r="G1156" s="73"/>
      <c r="H1156" s="76" t="s">
        <v>3498</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308"/>
        <v>3</v>
      </c>
      <c r="D1157" s="73"/>
      <c r="E1157" s="70"/>
      <c r="F1157" s="70" t="s">
        <v>3510</v>
      </c>
      <c r="G1157" s="73"/>
      <c r="H1157" s="76" t="s">
        <v>3506</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08"/>
        <v>3</v>
      </c>
      <c r="D1158" s="73"/>
      <c r="E1158" s="70"/>
      <c r="F1158" s="70" t="s">
        <v>1719</v>
      </c>
      <c r="G1158" s="73"/>
      <c r="H1158" s="76" t="s">
        <v>3507</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08"/>
        <v>3</v>
      </c>
      <c r="D1159" s="73"/>
      <c r="E1159" s="70"/>
      <c r="F1159" s="70" t="s">
        <v>3511</v>
      </c>
      <c r="G1159" s="73"/>
      <c r="H1159" s="76" t="s">
        <v>3508</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08"/>
        <v>3</v>
      </c>
      <c r="D1160" s="73"/>
      <c r="E1160" s="70"/>
      <c r="F1160" s="70" t="s">
        <v>1722</v>
      </c>
      <c r="G1160" s="73"/>
      <c r="H1160" s="76" t="s">
        <v>3509</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08"/>
        <v>3</v>
      </c>
      <c r="D1161" s="73"/>
      <c r="E1161" s="70"/>
      <c r="F1161" s="70" t="s">
        <v>3512</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08"/>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08"/>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ref="C1164:C1195" si="309">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09"/>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09"/>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09"/>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09"/>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09"/>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09"/>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09"/>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09"/>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09"/>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09"/>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09"/>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09"/>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09"/>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09"/>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09"/>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09"/>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09"/>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09"/>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09"/>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09"/>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09"/>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09"/>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09"/>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09"/>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09"/>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09"/>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09"/>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09"/>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09"/>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09"/>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09"/>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ref="C1196:C1227" si="310">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10"/>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0"/>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0"/>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0"/>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0"/>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0"/>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0"/>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0"/>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0"/>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0"/>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0"/>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0"/>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0"/>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0"/>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0"/>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0"/>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0"/>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0"/>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0"/>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0"/>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0"/>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0"/>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0"/>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0"/>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0"/>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0"/>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0"/>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0"/>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0"/>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0"/>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0"/>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ref="C1228:C1251" si="311">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11"/>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1"/>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1"/>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1"/>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1"/>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1"/>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1"/>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1"/>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1"/>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1"/>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1"/>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1"/>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1"/>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1"/>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1"/>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1"/>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1"/>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1"/>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1"/>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1"/>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1"/>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1"/>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1"/>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2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2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2">U1254</f>
        <v>9.9999999999999985E-3</v>
      </c>
      <c r="V1253" s="253">
        <f t="shared" si="312"/>
        <v>9.9999999999999985E-3</v>
      </c>
      <c r="W1253" s="253">
        <f t="shared" si="312"/>
        <v>9.9999999999999985E-3</v>
      </c>
      <c r="X1253" s="253">
        <f t="shared" si="312"/>
        <v>9.9999999999999985E-3</v>
      </c>
      <c r="Y1253" s="253">
        <f t="shared" si="312"/>
        <v>9.9999999999999985E-3</v>
      </c>
      <c r="Z1253" s="253">
        <f t="shared" si="312"/>
        <v>9.9999999999999985E-3</v>
      </c>
      <c r="AA1253" s="253">
        <f t="shared" si="312"/>
        <v>9.9999999999999985E-3</v>
      </c>
      <c r="AB1253" s="253">
        <f t="shared" si="312"/>
        <v>9.9999999999999985E-3</v>
      </c>
      <c r="AC1253" s="253">
        <f t="shared" si="312"/>
        <v>9.9999999999999985E-3</v>
      </c>
      <c r="AD1253" s="253">
        <f t="shared" si="312"/>
        <v>9.9999999999999985E-3</v>
      </c>
      <c r="AE1253" s="76"/>
      <c r="AF1253" s="76"/>
      <c r="AG1253" s="76"/>
      <c r="AH1253" s="253">
        <f>AH1254</f>
        <v>1</v>
      </c>
      <c r="AI1253" s="253">
        <f>AI1254</f>
        <v>1</v>
      </c>
      <c r="AJ1253" s="73"/>
      <c r="AK1253" s="57"/>
      <c r="AL1253" s="45"/>
      <c r="AM1253" s="45"/>
      <c r="AN1253" s="45"/>
    </row>
    <row r="1254" spans="1:40" hidden="1" outlineLevel="2" x14ac:dyDescent="0.2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3">Y1254</f>
        <v>9.9999999999999985E-3</v>
      </c>
      <c r="AA1254" s="255">
        <f t="shared" si="313"/>
        <v>9.9999999999999985E-3</v>
      </c>
      <c r="AB1254" s="255">
        <f t="shared" si="313"/>
        <v>9.9999999999999985E-3</v>
      </c>
      <c r="AC1254" s="255">
        <f t="shared" si="313"/>
        <v>9.9999999999999985E-3</v>
      </c>
      <c r="AD1254" s="255">
        <f t="shared" si="313"/>
        <v>9.9999999999999985E-3</v>
      </c>
      <c r="AE1254" s="76"/>
      <c r="AF1254" s="76"/>
      <c r="AG1254" s="76"/>
      <c r="AH1254" s="97">
        <v>1</v>
      </c>
      <c r="AI1254" s="97">
        <v>1</v>
      </c>
      <c r="AJ1254" s="73"/>
      <c r="AK1254" s="57"/>
      <c r="AL1254" s="45"/>
      <c r="AM1254" s="45"/>
      <c r="AN1254" s="45"/>
    </row>
    <row r="1255" spans="1:40" hidden="1" outlineLevel="2" collapsed="1" x14ac:dyDescent="0.2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3"/>
        <v>9.0000000000000011E-3</v>
      </c>
      <c r="AA1255" s="255">
        <f t="shared" si="313"/>
        <v>9.0000000000000011E-3</v>
      </c>
      <c r="AB1255" s="255">
        <f t="shared" si="313"/>
        <v>9.0000000000000011E-3</v>
      </c>
      <c r="AC1255" s="255">
        <f t="shared" si="313"/>
        <v>9.0000000000000011E-3</v>
      </c>
      <c r="AD1255" s="255">
        <f t="shared" si="313"/>
        <v>9.0000000000000011E-3</v>
      </c>
      <c r="AE1255" s="76"/>
      <c r="AF1255" s="76"/>
      <c r="AG1255" s="76"/>
      <c r="AH1255" s="97">
        <v>1</v>
      </c>
      <c r="AI1255" s="97">
        <v>1</v>
      </c>
      <c r="AJ1255" s="73"/>
      <c r="AK1255" s="57"/>
      <c r="AL1255" s="45"/>
      <c r="AM1255" s="45"/>
      <c r="AN1255" s="45"/>
    </row>
    <row r="1256" spans="1:40" hidden="1" outlineLevel="3" x14ac:dyDescent="0.2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2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2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4">Y1259</f>
        <v>0</v>
      </c>
      <c r="AA1259" s="255">
        <f t="shared" si="314"/>
        <v>0</v>
      </c>
      <c r="AB1259" s="255">
        <f t="shared" si="314"/>
        <v>0</v>
      </c>
      <c r="AC1259" s="255">
        <f t="shared" si="314"/>
        <v>0</v>
      </c>
      <c r="AD1259" s="255">
        <f t="shared" si="314"/>
        <v>0</v>
      </c>
      <c r="AE1259" s="76"/>
      <c r="AF1259" s="97" t="s">
        <v>2147</v>
      </c>
      <c r="AG1259" s="76"/>
      <c r="AH1259" s="97">
        <v>1</v>
      </c>
      <c r="AI1259" s="97">
        <v>1</v>
      </c>
      <c r="AJ1259" s="73"/>
      <c r="AK1259" s="57"/>
      <c r="AL1259" s="45"/>
      <c r="AM1259" s="45"/>
      <c r="AN1259" s="45"/>
    </row>
    <row r="1260" spans="1:40" hidden="1" outlineLevel="2" x14ac:dyDescent="0.2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4"/>
        <v>0</v>
      </c>
      <c r="AA1260" s="255">
        <f t="shared" si="314"/>
        <v>0</v>
      </c>
      <c r="AB1260" s="255">
        <f t="shared" si="314"/>
        <v>0</v>
      </c>
      <c r="AC1260" s="255">
        <f t="shared" si="314"/>
        <v>0</v>
      </c>
      <c r="AD1260" s="255">
        <f t="shared" si="314"/>
        <v>0</v>
      </c>
      <c r="AE1260" s="76"/>
      <c r="AF1260" s="97" t="s">
        <v>1836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5">U1262</f>
        <v>-1.9E-2</v>
      </c>
      <c r="V1261" s="253">
        <f t="shared" si="315"/>
        <v>-1.9E-2</v>
      </c>
      <c r="W1261" s="253">
        <f t="shared" si="315"/>
        <v>-1.9E-2</v>
      </c>
      <c r="X1261" s="253">
        <f t="shared" si="315"/>
        <v>-1.9E-2</v>
      </c>
      <c r="Y1261" s="253">
        <f t="shared" si="315"/>
        <v>-1.9E-2</v>
      </c>
      <c r="Z1261" s="253">
        <f t="shared" si="315"/>
        <v>-1.9E-2</v>
      </c>
      <c r="AA1261" s="253">
        <f t="shared" si="315"/>
        <v>-1.9E-2</v>
      </c>
      <c r="AB1261" s="253">
        <f t="shared" si="315"/>
        <v>-1.9E-2</v>
      </c>
      <c r="AC1261" s="253">
        <f t="shared" si="315"/>
        <v>-1.9E-2</v>
      </c>
      <c r="AD1261" s="253">
        <f t="shared" si="315"/>
        <v>-1.9E-2</v>
      </c>
      <c r="AE1261" s="76"/>
      <c r="AF1261" s="76"/>
      <c r="AG1261" s="76"/>
      <c r="AH1261" s="253">
        <f>AH1262</f>
        <v>1</v>
      </c>
      <c r="AI1261" s="253">
        <f>AI1262</f>
        <v>1</v>
      </c>
      <c r="AJ1261" s="73"/>
      <c r="AK1261" s="57"/>
      <c r="AL1261" s="45"/>
      <c r="AM1261" s="45"/>
      <c r="AN1261" s="45"/>
    </row>
    <row r="1262" spans="1:40" hidden="1" outlineLevel="2" x14ac:dyDescent="0.2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16">Y1262</f>
        <v>-1.9E-2</v>
      </c>
      <c r="AA1262" s="255">
        <f t="shared" si="316"/>
        <v>-1.9E-2</v>
      </c>
      <c r="AB1262" s="255">
        <f t="shared" si="316"/>
        <v>-1.9E-2</v>
      </c>
      <c r="AC1262" s="255">
        <f t="shared" si="316"/>
        <v>-1.9E-2</v>
      </c>
      <c r="AD1262" s="255">
        <f t="shared" si="316"/>
        <v>-1.9E-2</v>
      </c>
      <c r="AE1262" s="76"/>
      <c r="AF1262" s="76"/>
      <c r="AG1262" s="76"/>
      <c r="AH1262" s="97">
        <v>1</v>
      </c>
      <c r="AI1262" s="97">
        <v>1</v>
      </c>
      <c r="AJ1262" s="73"/>
      <c r="AK1262" s="57"/>
      <c r="AL1262" s="45"/>
      <c r="AM1262" s="45"/>
      <c r="AN1262" s="45"/>
    </row>
    <row r="1263" spans="1:40" hidden="1" outlineLevel="2" collapsed="1" x14ac:dyDescent="0.2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16"/>
        <v>-3.1E-2</v>
      </c>
      <c r="AA1263" s="255">
        <f t="shared" si="316"/>
        <v>-3.1E-2</v>
      </c>
      <c r="AB1263" s="255">
        <f t="shared" si="316"/>
        <v>-3.1E-2</v>
      </c>
      <c r="AC1263" s="255">
        <f t="shared" si="316"/>
        <v>-3.1E-2</v>
      </c>
      <c r="AD1263" s="255">
        <f t="shared" si="316"/>
        <v>-3.1E-2</v>
      </c>
      <c r="AE1263" s="76"/>
      <c r="AF1263" s="76"/>
      <c r="AG1263" s="76"/>
      <c r="AH1263" s="97">
        <v>1</v>
      </c>
      <c r="AI1263" s="97">
        <v>1</v>
      </c>
      <c r="AJ1263" s="73"/>
      <c r="AK1263" s="57"/>
      <c r="AL1263" s="45"/>
      <c r="AM1263" s="45"/>
      <c r="AN1263" s="45"/>
    </row>
    <row r="1264" spans="1:40" hidden="1" outlineLevel="3" x14ac:dyDescent="0.2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2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2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25">
      <c r="A1268" s="45"/>
      <c r="B1268" s="54"/>
      <c r="C1268" s="47">
        <f t="shared" ref="C1268:C1283" si="317">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25">
      <c r="A1269" s="45"/>
      <c r="B1269" s="54"/>
      <c r="C1269" s="47">
        <f t="shared" si="317"/>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17"/>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17"/>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17"/>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17"/>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17"/>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17"/>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17"/>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17"/>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17"/>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17"/>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17"/>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17"/>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17"/>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17"/>
        <v>4</v>
      </c>
      <c r="D1283" s="73"/>
      <c r="E1283" s="402"/>
      <c r="F1283" s="402"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25">
      <c r="A1284" s="45"/>
      <c r="B1284" s="54"/>
      <c r="C1284" s="47">
        <f>INT($C$29)+2</f>
        <v>3</v>
      </c>
      <c r="D1284" s="73"/>
      <c r="E1284" s="406"/>
      <c r="F1284" s="406" t="s">
        <v>1866</v>
      </c>
      <c r="G1284" s="407"/>
      <c r="H1284" s="181" t="s">
        <v>1867</v>
      </c>
      <c r="I1284" s="151"/>
      <c r="J1284" s="151"/>
      <c r="K1284" s="181"/>
      <c r="L1284" s="181"/>
      <c r="M1284" s="181"/>
      <c r="N1284" s="181"/>
      <c r="O1284" s="181"/>
      <c r="P1284" s="181"/>
      <c r="Q1284" s="181"/>
      <c r="R1284" s="181"/>
      <c r="S1284" s="181"/>
      <c r="T1284" s="181"/>
      <c r="U1284" s="408">
        <v>3.024E-2</v>
      </c>
      <c r="V1284" s="409">
        <f>U1284</f>
        <v>3.024E-2</v>
      </c>
      <c r="W1284" s="409">
        <f>U1284</f>
        <v>3.024E-2</v>
      </c>
      <c r="X1284" s="409">
        <f>V1284</f>
        <v>3.024E-2</v>
      </c>
      <c r="Y1284" s="409">
        <f>V1284</f>
        <v>3.024E-2</v>
      </c>
      <c r="Z1284" s="409">
        <f>AA1284</f>
        <v>2.248E-2</v>
      </c>
      <c r="AA1284" s="408">
        <v>2.248E-2</v>
      </c>
      <c r="AB1284" s="409">
        <f>AA1284</f>
        <v>2.248E-2</v>
      </c>
      <c r="AC1284" s="409">
        <f>AB1284</f>
        <v>2.248E-2</v>
      </c>
      <c r="AD1284" s="409">
        <f>AC1284</f>
        <v>2.248E-2</v>
      </c>
      <c r="AE1284" s="181"/>
      <c r="AF1284" s="408" t="s">
        <v>1868</v>
      </c>
      <c r="AG1284" s="181"/>
      <c r="AH1284" s="408">
        <v>1</v>
      </c>
      <c r="AI1284" s="408">
        <v>1</v>
      </c>
      <c r="AJ1284" s="73"/>
      <c r="AK1284" s="57"/>
      <c r="AL1284" s="45"/>
      <c r="AM1284" s="45"/>
      <c r="AN1284" s="45"/>
    </row>
    <row r="1285" spans="1:40" hidden="1" outlineLevel="2" x14ac:dyDescent="0.2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18">U1286</f>
        <v>8.5699999999999995E-3</v>
      </c>
      <c r="V1285" s="253">
        <f t="shared" si="318"/>
        <v>8.5699999999999995E-3</v>
      </c>
      <c r="W1285" s="253">
        <f t="shared" si="318"/>
        <v>8.5699999999999995E-3</v>
      </c>
      <c r="X1285" s="253">
        <f t="shared" si="318"/>
        <v>8.5699999999999995E-3</v>
      </c>
      <c r="Y1285" s="253">
        <f t="shared" si="318"/>
        <v>8.5699999999999995E-3</v>
      </c>
      <c r="Z1285" s="253">
        <f t="shared" si="318"/>
        <v>2.7799999999999999E-3</v>
      </c>
      <c r="AA1285" s="253">
        <f t="shared" si="318"/>
        <v>2.7799999999999999E-3</v>
      </c>
      <c r="AB1285" s="253">
        <f t="shared" si="318"/>
        <v>2.7799999999999999E-3</v>
      </c>
      <c r="AC1285" s="253">
        <f t="shared" si="318"/>
        <v>2.7799999999999999E-3</v>
      </c>
      <c r="AD1285" s="253">
        <f t="shared" si="318"/>
        <v>2.7799999999999999E-3</v>
      </c>
      <c r="AE1285" s="76"/>
      <c r="AF1285" s="97" t="s">
        <v>2160</v>
      </c>
      <c r="AG1285" s="76"/>
      <c r="AH1285" s="253">
        <f>AH1286</f>
        <v>1</v>
      </c>
      <c r="AI1285" s="253">
        <f>AI1286</f>
        <v>1</v>
      </c>
      <c r="AJ1285" s="73"/>
      <c r="AK1285" s="57"/>
      <c r="AL1285" s="45"/>
      <c r="AM1285" s="45"/>
      <c r="AN1285" s="45"/>
    </row>
    <row r="1286" spans="1:40" hidden="1" outlineLevel="2" x14ac:dyDescent="0.2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4">
        <f>U1286</f>
        <v>8.5699999999999995E-3</v>
      </c>
      <c r="W1286" s="404">
        <f>U1286</f>
        <v>8.5699999999999995E-3</v>
      </c>
      <c r="X1286" s="404">
        <f>V1286</f>
        <v>8.5699999999999995E-3</v>
      </c>
      <c r="Y1286" s="404">
        <f>V1286</f>
        <v>8.5699999999999995E-3</v>
      </c>
      <c r="Z1286" s="404">
        <f>AA1286</f>
        <v>2.7799999999999999E-3</v>
      </c>
      <c r="AA1286" s="97">
        <v>2.7799999999999999E-3</v>
      </c>
      <c r="AB1286" s="404">
        <f t="shared" ref="AB1286:AD1287" si="319">AA1286</f>
        <v>2.7799999999999999E-3</v>
      </c>
      <c r="AC1286" s="404">
        <f t="shared" si="319"/>
        <v>2.7799999999999999E-3</v>
      </c>
      <c r="AD1286" s="404">
        <f t="shared" si="319"/>
        <v>2.7799999999999999E-3</v>
      </c>
      <c r="AE1286" s="76"/>
      <c r="AF1286" s="76"/>
      <c r="AG1286" s="76"/>
      <c r="AH1286" s="97">
        <v>1</v>
      </c>
      <c r="AI1286" s="97">
        <v>1</v>
      </c>
      <c r="AJ1286" s="73"/>
      <c r="AK1286" s="57"/>
      <c r="AL1286" s="45"/>
      <c r="AM1286" s="45"/>
      <c r="AN1286" s="45"/>
    </row>
    <row r="1287" spans="1:40" hidden="1" outlineLevel="2" collapsed="1" x14ac:dyDescent="0.2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4">
        <f>U1287</f>
        <v>1.626E-2</v>
      </c>
      <c r="W1287" s="404">
        <f>U1287</f>
        <v>1.626E-2</v>
      </c>
      <c r="X1287" s="404">
        <f>V1287</f>
        <v>1.626E-2</v>
      </c>
      <c r="Y1287" s="404">
        <f>V1287</f>
        <v>1.626E-2</v>
      </c>
      <c r="Z1287" s="404">
        <f>AA1287</f>
        <v>1.6129999999999999E-2</v>
      </c>
      <c r="AA1287" s="97">
        <v>1.6129999999999999E-2</v>
      </c>
      <c r="AB1287" s="404">
        <f t="shared" si="319"/>
        <v>1.6129999999999999E-2</v>
      </c>
      <c r="AC1287" s="404">
        <f t="shared" si="319"/>
        <v>1.6129999999999999E-2</v>
      </c>
      <c r="AD1287" s="404">
        <f t="shared" si="319"/>
        <v>1.6129999999999999E-2</v>
      </c>
      <c r="AE1287" s="76"/>
      <c r="AF1287" s="76"/>
      <c r="AG1287" s="76"/>
      <c r="AH1287" s="97">
        <v>1</v>
      </c>
      <c r="AI1287" s="97">
        <v>1</v>
      </c>
      <c r="AJ1287" s="73"/>
      <c r="AK1287" s="57"/>
      <c r="AL1287" s="45"/>
      <c r="AM1287" s="45"/>
      <c r="AN1287" s="45"/>
    </row>
    <row r="1288" spans="1:40" hidden="1" outlineLevel="3" x14ac:dyDescent="0.2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2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25">
      <c r="A1291" s="45"/>
      <c r="B1291" s="54"/>
      <c r="C1291" s="47">
        <f t="shared" ref="C1291:C1307" si="320">INT($C$29)+2</f>
        <v>3</v>
      </c>
      <c r="D1291" s="73"/>
      <c r="E1291" s="410"/>
      <c r="F1291" s="410" t="s">
        <v>1881</v>
      </c>
      <c r="G1291" s="411"/>
      <c r="H1291" s="184" t="s">
        <v>1882</v>
      </c>
      <c r="I1291" s="184"/>
      <c r="J1291" s="184"/>
      <c r="K1291" s="184"/>
      <c r="L1291" s="184"/>
      <c r="M1291" s="184"/>
      <c r="N1291" s="184"/>
      <c r="O1291" s="184"/>
      <c r="P1291" s="184"/>
      <c r="Q1291" s="184"/>
      <c r="R1291" s="184"/>
      <c r="S1291" s="184"/>
      <c r="T1291" s="184"/>
      <c r="U1291" s="412">
        <v>3.496</v>
      </c>
      <c r="V1291" s="412">
        <v>3.496</v>
      </c>
      <c r="W1291" s="412">
        <v>3.496</v>
      </c>
      <c r="X1291" s="412">
        <v>3.496</v>
      </c>
      <c r="Y1291" s="412">
        <v>3.496</v>
      </c>
      <c r="Z1291" s="415">
        <f>AA1291</f>
        <v>4.2411000000000003</v>
      </c>
      <c r="AA1291" s="416">
        <v>4.2411000000000003</v>
      </c>
      <c r="AB1291" s="415">
        <f t="shared" ref="AB1291:AD1292" si="321">AA1291</f>
        <v>4.2411000000000003</v>
      </c>
      <c r="AC1291" s="415">
        <f t="shared" si="321"/>
        <v>4.2411000000000003</v>
      </c>
      <c r="AD1291" s="415">
        <f t="shared" si="321"/>
        <v>4.2411000000000003</v>
      </c>
      <c r="AE1291" s="184"/>
      <c r="AF1291" s="184"/>
      <c r="AG1291" s="184"/>
      <c r="AH1291" s="413">
        <v>1</v>
      </c>
      <c r="AI1291" s="413">
        <v>1</v>
      </c>
      <c r="AJ1291" s="73"/>
      <c r="AK1291" s="57"/>
      <c r="AL1291" s="45"/>
      <c r="AM1291" s="45"/>
      <c r="AN1291" s="45"/>
    </row>
    <row r="1292" spans="1:40" hidden="1" outlineLevel="2" x14ac:dyDescent="0.25">
      <c r="A1292" s="45"/>
      <c r="B1292" s="54"/>
      <c r="C1292" s="47">
        <f t="shared" si="320"/>
        <v>3</v>
      </c>
      <c r="D1292" s="73"/>
      <c r="E1292" s="403"/>
      <c r="F1292" s="403"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5">
        <f>AA1292</f>
        <v>0.13919999999999999</v>
      </c>
      <c r="AA1292" s="119">
        <v>0.13919999999999999</v>
      </c>
      <c r="AB1292" s="405">
        <f t="shared" si="321"/>
        <v>0.13919999999999999</v>
      </c>
      <c r="AC1292" s="405">
        <f t="shared" si="321"/>
        <v>0.13919999999999999</v>
      </c>
      <c r="AD1292" s="405">
        <f t="shared" si="321"/>
        <v>0.13919999999999999</v>
      </c>
      <c r="AE1292" s="105"/>
      <c r="AF1292" s="119" t="s">
        <v>1276</v>
      </c>
      <c r="AG1292" s="105"/>
      <c r="AH1292" s="119">
        <v>1</v>
      </c>
      <c r="AI1292" s="119">
        <v>1</v>
      </c>
      <c r="AJ1292" s="73"/>
      <c r="AK1292" s="57"/>
      <c r="AL1292" s="45"/>
      <c r="AM1292" s="45"/>
      <c r="AN1292" s="45"/>
    </row>
    <row r="1293" spans="1:40" hidden="1" outlineLevel="2" x14ac:dyDescent="0.25">
      <c r="A1293" s="45"/>
      <c r="B1293" s="54"/>
      <c r="C1293" s="47">
        <f t="shared" si="320"/>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2">U1294</f>
        <v>0.03</v>
      </c>
      <c r="V1293" s="253">
        <f t="shared" si="322"/>
        <v>0.03</v>
      </c>
      <c r="W1293" s="253">
        <f t="shared" si="322"/>
        <v>0.03</v>
      </c>
      <c r="X1293" s="253">
        <f t="shared" si="322"/>
        <v>0.03</v>
      </c>
      <c r="Y1293" s="253">
        <f t="shared" si="322"/>
        <v>0.03</v>
      </c>
      <c r="Z1293" s="253">
        <f t="shared" si="322"/>
        <v>7.0000000000000062E-3</v>
      </c>
      <c r="AA1293" s="253">
        <f t="shared" si="322"/>
        <v>7.0000000000000062E-3</v>
      </c>
      <c r="AB1293" s="253">
        <f t="shared" si="322"/>
        <v>7.0000000000000062E-3</v>
      </c>
      <c r="AC1293" s="253">
        <f t="shared" si="322"/>
        <v>7.0000000000000062E-3</v>
      </c>
      <c r="AD1293" s="253">
        <f t="shared" si="322"/>
        <v>7.0000000000000062E-3</v>
      </c>
      <c r="AE1293" s="76"/>
      <c r="AF1293" s="97" t="s">
        <v>2160</v>
      </c>
      <c r="AG1293" s="76"/>
      <c r="AH1293" s="253">
        <f>AH1294</f>
        <v>1</v>
      </c>
      <c r="AI1293" s="253">
        <f>AI1294</f>
        <v>1</v>
      </c>
      <c r="AJ1293" s="73"/>
      <c r="AK1293" s="57"/>
      <c r="AL1293" s="45"/>
      <c r="AM1293" s="45"/>
      <c r="AN1293" s="45"/>
    </row>
    <row r="1294" spans="1:40" hidden="1" outlineLevel="2" x14ac:dyDescent="0.25">
      <c r="A1294" s="45"/>
      <c r="B1294" s="54"/>
      <c r="C1294" s="47">
        <f t="shared" si="320"/>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3">AA1294</f>
        <v>7.0000000000000062E-3</v>
      </c>
      <c r="AA1294" s="97">
        <f>0.1462-AA$1292</f>
        <v>7.0000000000000062E-3</v>
      </c>
      <c r="AB1294" s="255">
        <f t="shared" ref="AB1294:AD1300" si="324">AA1294</f>
        <v>7.0000000000000062E-3</v>
      </c>
      <c r="AC1294" s="255">
        <f t="shared" si="324"/>
        <v>7.0000000000000062E-3</v>
      </c>
      <c r="AD1294" s="255">
        <f t="shared" si="324"/>
        <v>7.0000000000000062E-3</v>
      </c>
      <c r="AE1294" s="76"/>
      <c r="AF1294" s="76"/>
      <c r="AG1294" s="76"/>
      <c r="AH1294" s="97">
        <v>1</v>
      </c>
      <c r="AI1294" s="97">
        <v>1</v>
      </c>
      <c r="AJ1294" s="73"/>
      <c r="AK1294" s="57"/>
      <c r="AL1294" s="45"/>
      <c r="AM1294" s="45"/>
      <c r="AN1294" s="45"/>
    </row>
    <row r="1295" spans="1:40" hidden="1" outlineLevel="2" x14ac:dyDescent="0.25">
      <c r="A1295" s="45"/>
      <c r="B1295" s="54"/>
      <c r="C1295" s="47">
        <f t="shared" si="320"/>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3"/>
        <v>-3.0299999999999994E-2</v>
      </c>
      <c r="AA1295" s="97">
        <f>0.1089-AA$1292</f>
        <v>-3.0299999999999994E-2</v>
      </c>
      <c r="AB1295" s="255">
        <f t="shared" si="324"/>
        <v>-3.0299999999999994E-2</v>
      </c>
      <c r="AC1295" s="255">
        <f t="shared" si="324"/>
        <v>-3.0299999999999994E-2</v>
      </c>
      <c r="AD1295" s="255">
        <f t="shared" si="324"/>
        <v>-3.0299999999999994E-2</v>
      </c>
      <c r="AE1295" s="76"/>
      <c r="AF1295" s="76"/>
      <c r="AG1295" s="76"/>
      <c r="AH1295" s="97">
        <v>1</v>
      </c>
      <c r="AI1295" s="97">
        <v>1</v>
      </c>
      <c r="AJ1295" s="73"/>
      <c r="AK1295" s="57"/>
      <c r="AL1295" s="45"/>
      <c r="AM1295" s="45"/>
      <c r="AN1295" s="45"/>
    </row>
    <row r="1296" spans="1:40" hidden="1" outlineLevel="2" x14ac:dyDescent="0.25">
      <c r="A1296" s="45"/>
      <c r="B1296" s="54"/>
      <c r="C1296" s="47">
        <f t="shared" si="320"/>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3"/>
        <v>-0.13919999999999999</v>
      </c>
      <c r="AA1296" s="97">
        <f>0-AA$1292</f>
        <v>-0.13919999999999999</v>
      </c>
      <c r="AB1296" s="255">
        <f t="shared" si="324"/>
        <v>-0.13919999999999999</v>
      </c>
      <c r="AC1296" s="255">
        <f t="shared" si="324"/>
        <v>-0.13919999999999999</v>
      </c>
      <c r="AD1296" s="255">
        <f t="shared" si="324"/>
        <v>-0.13919999999999999</v>
      </c>
      <c r="AE1296" s="76"/>
      <c r="AF1296" s="76"/>
      <c r="AG1296" s="76"/>
      <c r="AH1296" s="97">
        <v>1</v>
      </c>
      <c r="AI1296" s="97">
        <v>1</v>
      </c>
      <c r="AJ1296" s="73"/>
      <c r="AK1296" s="57"/>
      <c r="AL1296" s="45"/>
      <c r="AM1296" s="45"/>
      <c r="AN1296" s="45"/>
    </row>
    <row r="1297" spans="1:40" hidden="1" outlineLevel="2" x14ac:dyDescent="0.25">
      <c r="A1297" s="45"/>
      <c r="B1297" s="54"/>
      <c r="C1297" s="47">
        <f t="shared" si="320"/>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3"/>
        <v>0</v>
      </c>
      <c r="AA1297" s="76">
        <v>0</v>
      </c>
      <c r="AB1297" s="255">
        <f t="shared" si="324"/>
        <v>0</v>
      </c>
      <c r="AC1297" s="255">
        <f t="shared" si="324"/>
        <v>0</v>
      </c>
      <c r="AD1297" s="255">
        <f t="shared" si="324"/>
        <v>0</v>
      </c>
      <c r="AE1297" s="76"/>
      <c r="AF1297" s="76"/>
      <c r="AG1297" s="76"/>
      <c r="AH1297" s="97">
        <v>1</v>
      </c>
      <c r="AI1297" s="97">
        <v>1</v>
      </c>
      <c r="AJ1297" s="73"/>
      <c r="AK1297" s="57"/>
      <c r="AL1297" s="45"/>
      <c r="AM1297" s="45"/>
      <c r="AN1297" s="45"/>
    </row>
    <row r="1298" spans="1:40" hidden="1" outlineLevel="2" x14ac:dyDescent="0.25">
      <c r="A1298" s="45"/>
      <c r="B1298" s="54"/>
      <c r="C1298" s="47">
        <f t="shared" si="320"/>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3"/>
        <v>0</v>
      </c>
      <c r="AA1298" s="76">
        <v>0</v>
      </c>
      <c r="AB1298" s="255">
        <f t="shared" si="324"/>
        <v>0</v>
      </c>
      <c r="AC1298" s="255">
        <f t="shared" si="324"/>
        <v>0</v>
      </c>
      <c r="AD1298" s="255">
        <f t="shared" si="324"/>
        <v>0</v>
      </c>
      <c r="AE1298" s="76"/>
      <c r="AF1298" s="76"/>
      <c r="AG1298" s="76"/>
      <c r="AH1298" s="97">
        <v>1</v>
      </c>
      <c r="AI1298" s="97">
        <v>1</v>
      </c>
      <c r="AJ1298" s="73"/>
      <c r="AK1298" s="57"/>
      <c r="AL1298" s="45"/>
      <c r="AM1298" s="45"/>
      <c r="AN1298" s="45"/>
    </row>
    <row r="1299" spans="1:40" hidden="1" outlineLevel="2" x14ac:dyDescent="0.25">
      <c r="A1299" s="45"/>
      <c r="B1299" s="54"/>
      <c r="C1299" s="47">
        <f t="shared" si="320"/>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3"/>
        <v>24.748000000000001</v>
      </c>
      <c r="AA1299" s="97">
        <f>27.01-0.2262*10</f>
        <v>24.748000000000001</v>
      </c>
      <c r="AB1299" s="255">
        <f t="shared" si="324"/>
        <v>24.748000000000001</v>
      </c>
      <c r="AC1299" s="255">
        <f t="shared" si="324"/>
        <v>24.748000000000001</v>
      </c>
      <c r="AD1299" s="255">
        <f t="shared" si="324"/>
        <v>24.748000000000001</v>
      </c>
      <c r="AE1299" s="76"/>
      <c r="AF1299" s="76"/>
      <c r="AG1299" s="76"/>
      <c r="AH1299" s="97">
        <v>1</v>
      </c>
      <c r="AI1299" s="97">
        <v>1</v>
      </c>
      <c r="AJ1299" s="73"/>
      <c r="AK1299" s="57"/>
      <c r="AL1299" s="45"/>
      <c r="AM1299" s="45"/>
      <c r="AN1299" s="45"/>
    </row>
    <row r="1300" spans="1:40" hidden="1" outlineLevel="2" x14ac:dyDescent="0.25">
      <c r="A1300" s="45"/>
      <c r="B1300" s="54"/>
      <c r="C1300" s="47">
        <f t="shared" si="320"/>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3"/>
        <v>2.0499999999999997E-3</v>
      </c>
      <c r="AA1300" s="97">
        <f>2.05/1000</f>
        <v>2.0499999999999997E-3</v>
      </c>
      <c r="AB1300" s="255">
        <f t="shared" si="324"/>
        <v>2.0499999999999997E-3</v>
      </c>
      <c r="AC1300" s="255">
        <f t="shared" si="324"/>
        <v>2.0499999999999997E-3</v>
      </c>
      <c r="AD1300" s="255">
        <f t="shared" si="324"/>
        <v>2.0499999999999997E-3</v>
      </c>
      <c r="AE1300" s="76"/>
      <c r="AF1300" s="97" t="s">
        <v>1281</v>
      </c>
      <c r="AG1300" s="76"/>
      <c r="AH1300" s="97">
        <v>1</v>
      </c>
      <c r="AI1300" s="97">
        <v>1</v>
      </c>
      <c r="AJ1300" s="73"/>
      <c r="AK1300" s="57"/>
      <c r="AL1300" s="45"/>
      <c r="AM1300" s="45"/>
      <c r="AN1300" s="45"/>
    </row>
    <row r="1301" spans="1:40" hidden="1" outlineLevel="2" x14ac:dyDescent="0.25">
      <c r="A1301" s="45"/>
      <c r="B1301" s="54"/>
      <c r="C1301" s="47">
        <f t="shared" si="320"/>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5">U1302</f>
        <v>-5.9999999999999724E-5</v>
      </c>
      <c r="V1301" s="253">
        <f t="shared" si="325"/>
        <v>-5.9999999999999724E-5</v>
      </c>
      <c r="W1301" s="253">
        <f t="shared" si="325"/>
        <v>-5.9999999999999724E-5</v>
      </c>
      <c r="X1301" s="253">
        <f t="shared" si="325"/>
        <v>-5.9999999999999724E-5</v>
      </c>
      <c r="Y1301" s="253">
        <f t="shared" si="325"/>
        <v>-5.9999999999999724E-5</v>
      </c>
      <c r="Z1301" s="253">
        <f t="shared" si="325"/>
        <v>-5.9999999999999724E-5</v>
      </c>
      <c r="AA1301" s="253">
        <f t="shared" si="325"/>
        <v>-5.9999999999999724E-5</v>
      </c>
      <c r="AB1301" s="253">
        <f t="shared" si="325"/>
        <v>-5.9999999999999724E-5</v>
      </c>
      <c r="AC1301" s="253">
        <f t="shared" si="325"/>
        <v>-5.9999999999999724E-5</v>
      </c>
      <c r="AD1301" s="253">
        <f t="shared" si="325"/>
        <v>-5.9999999999999724E-5</v>
      </c>
      <c r="AE1301" s="76"/>
      <c r="AF1301" s="76"/>
      <c r="AG1301" s="76"/>
      <c r="AH1301" s="253">
        <f>AH1302</f>
        <v>1</v>
      </c>
      <c r="AI1301" s="253">
        <f>AI1302</f>
        <v>1</v>
      </c>
      <c r="AJ1301" s="73"/>
      <c r="AK1301" s="57"/>
      <c r="AL1301" s="45"/>
      <c r="AM1301" s="45"/>
      <c r="AN1301" s="45"/>
    </row>
    <row r="1302" spans="1:40" hidden="1" outlineLevel="2" x14ac:dyDescent="0.25">
      <c r="A1302" s="45"/>
      <c r="B1302" s="54"/>
      <c r="C1302" s="47">
        <f t="shared" si="320"/>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26">AA1302</f>
        <v>-5.9999999999999724E-5</v>
      </c>
      <c r="AA1302" s="97">
        <f>1.99/1000-AA$1300</f>
        <v>-5.9999999999999724E-5</v>
      </c>
      <c r="AB1302" s="255">
        <f t="shared" ref="AB1302:AD1307" si="327">AA1302</f>
        <v>-5.9999999999999724E-5</v>
      </c>
      <c r="AC1302" s="255">
        <f t="shared" si="327"/>
        <v>-5.9999999999999724E-5</v>
      </c>
      <c r="AD1302" s="255">
        <f t="shared" si="327"/>
        <v>-5.9999999999999724E-5</v>
      </c>
      <c r="AE1302" s="76"/>
      <c r="AF1302" s="76"/>
      <c r="AG1302" s="76"/>
      <c r="AH1302" s="97">
        <v>1</v>
      </c>
      <c r="AI1302" s="97">
        <v>1</v>
      </c>
      <c r="AJ1302" s="73"/>
      <c r="AK1302" s="57"/>
      <c r="AL1302" s="45"/>
      <c r="AM1302" s="45"/>
      <c r="AN1302" s="45"/>
    </row>
    <row r="1303" spans="1:40" hidden="1" outlineLevel="2" x14ac:dyDescent="0.25">
      <c r="A1303" s="45"/>
      <c r="B1303" s="54"/>
      <c r="C1303" s="47">
        <f t="shared" si="320"/>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26"/>
        <v>-6.4999999999999975E-4</v>
      </c>
      <c r="AA1303" s="97">
        <f>1.4/1000-AA$1300</f>
        <v>-6.4999999999999975E-4</v>
      </c>
      <c r="AB1303" s="255">
        <f t="shared" si="327"/>
        <v>-6.4999999999999975E-4</v>
      </c>
      <c r="AC1303" s="255">
        <f t="shared" si="327"/>
        <v>-6.4999999999999975E-4</v>
      </c>
      <c r="AD1303" s="255">
        <f t="shared" si="327"/>
        <v>-6.4999999999999975E-4</v>
      </c>
      <c r="AE1303" s="76"/>
      <c r="AF1303" s="76"/>
      <c r="AG1303" s="76"/>
      <c r="AH1303" s="97">
        <v>1</v>
      </c>
      <c r="AI1303" s="97">
        <v>1</v>
      </c>
      <c r="AJ1303" s="73"/>
      <c r="AK1303" s="57"/>
      <c r="AL1303" s="45"/>
      <c r="AM1303" s="45"/>
      <c r="AN1303" s="45"/>
    </row>
    <row r="1304" spans="1:40" hidden="1" outlineLevel="2" x14ac:dyDescent="0.25">
      <c r="A1304" s="45"/>
      <c r="B1304" s="54"/>
      <c r="C1304" s="47">
        <f t="shared" si="320"/>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26"/>
        <v>-2.0499999999999997E-3</v>
      </c>
      <c r="AA1304" s="97">
        <f>0-AA$1300</f>
        <v>-2.0499999999999997E-3</v>
      </c>
      <c r="AB1304" s="255">
        <f t="shared" si="327"/>
        <v>-2.0499999999999997E-3</v>
      </c>
      <c r="AC1304" s="255">
        <f t="shared" si="327"/>
        <v>-2.0499999999999997E-3</v>
      </c>
      <c r="AD1304" s="255">
        <f t="shared" si="327"/>
        <v>-2.0499999999999997E-3</v>
      </c>
      <c r="AE1304" s="76"/>
      <c r="AF1304" s="76"/>
      <c r="AG1304" s="76"/>
      <c r="AH1304" s="97">
        <v>1</v>
      </c>
      <c r="AI1304" s="97">
        <v>1</v>
      </c>
      <c r="AJ1304" s="73"/>
      <c r="AK1304" s="57"/>
      <c r="AL1304" s="45"/>
      <c r="AM1304" s="45"/>
      <c r="AN1304" s="45"/>
    </row>
    <row r="1305" spans="1:40" hidden="1" outlineLevel="2" x14ac:dyDescent="0.25">
      <c r="A1305" s="45"/>
      <c r="B1305" s="54"/>
      <c r="C1305" s="47">
        <f t="shared" si="320"/>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26"/>
        <v>1.02E-4</v>
      </c>
      <c r="AA1305" s="97">
        <f>0.102/1000</f>
        <v>1.02E-4</v>
      </c>
      <c r="AB1305" s="255">
        <f t="shared" si="327"/>
        <v>1.02E-4</v>
      </c>
      <c r="AC1305" s="255">
        <f t="shared" si="327"/>
        <v>1.02E-4</v>
      </c>
      <c r="AD1305" s="255">
        <f t="shared" si="327"/>
        <v>1.02E-4</v>
      </c>
      <c r="AE1305" s="76"/>
      <c r="AF1305" s="76"/>
      <c r="AG1305" s="76"/>
      <c r="AH1305" s="97">
        <v>1</v>
      </c>
      <c r="AI1305" s="97">
        <v>1</v>
      </c>
      <c r="AJ1305" s="73"/>
      <c r="AK1305" s="57"/>
      <c r="AL1305" s="45"/>
      <c r="AM1305" s="45"/>
      <c r="AN1305" s="45"/>
    </row>
    <row r="1306" spans="1:40" hidden="1" outlineLevel="2" x14ac:dyDescent="0.25">
      <c r="A1306" s="45"/>
      <c r="B1306" s="54"/>
      <c r="C1306" s="47">
        <f t="shared" si="320"/>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26"/>
        <v>-1.9000000000000001E-8</v>
      </c>
      <c r="AA1306" s="97">
        <f>-0.000019/1000</f>
        <v>-1.9000000000000001E-8</v>
      </c>
      <c r="AB1306" s="255">
        <f t="shared" si="327"/>
        <v>-1.9000000000000001E-8</v>
      </c>
      <c r="AC1306" s="255">
        <f t="shared" si="327"/>
        <v>-1.9000000000000001E-8</v>
      </c>
      <c r="AD1306" s="255">
        <f t="shared" si="327"/>
        <v>-1.9000000000000001E-8</v>
      </c>
      <c r="AE1306" s="76"/>
      <c r="AF1306" s="76"/>
      <c r="AG1306" s="76"/>
      <c r="AH1306" s="97">
        <v>1</v>
      </c>
      <c r="AI1306" s="97">
        <v>1</v>
      </c>
      <c r="AJ1306" s="73"/>
      <c r="AK1306" s="57"/>
      <c r="AL1306" s="45"/>
      <c r="AM1306" s="45"/>
      <c r="AN1306" s="45"/>
    </row>
    <row r="1307" spans="1:40" hidden="1" outlineLevel="2" x14ac:dyDescent="0.25">
      <c r="A1307" s="45"/>
      <c r="B1307" s="54"/>
      <c r="C1307" s="47">
        <f t="shared" si="320"/>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26"/>
        <v>1.49E-2</v>
      </c>
      <c r="AA1307" s="97">
        <f>14.9/1000</f>
        <v>1.49E-2</v>
      </c>
      <c r="AB1307" s="255">
        <f t="shared" si="327"/>
        <v>1.49E-2</v>
      </c>
      <c r="AC1307" s="255">
        <f t="shared" si="327"/>
        <v>1.49E-2</v>
      </c>
      <c r="AD1307" s="255">
        <f t="shared" si="327"/>
        <v>1.49E-2</v>
      </c>
      <c r="AE1307" s="76"/>
      <c r="AF1307" s="76"/>
      <c r="AG1307" s="76"/>
      <c r="AH1307" s="97">
        <v>1</v>
      </c>
      <c r="AI1307" s="97">
        <v>1</v>
      </c>
      <c r="AJ1307" s="73"/>
      <c r="AK1307" s="57"/>
      <c r="AL1307" s="45"/>
      <c r="AM1307" s="45"/>
      <c r="AN1307" s="45"/>
    </row>
    <row r="1308" spans="1:40" hidden="1" outlineLevel="2" x14ac:dyDescent="0.25">
      <c r="A1308" s="45"/>
      <c r="B1308" s="54"/>
      <c r="C1308" s="47">
        <f>INT($C$29)+2</f>
        <v>3</v>
      </c>
      <c r="D1308" s="73"/>
      <c r="E1308" s="406"/>
      <c r="F1308" s="406" t="s">
        <v>3352</v>
      </c>
      <c r="G1308" s="407"/>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25">
      <c r="A1309" s="45"/>
      <c r="B1309" s="54"/>
      <c r="C1309" s="47">
        <f>INT($C$29)+2</f>
        <v>3</v>
      </c>
      <c r="D1309" s="73"/>
      <c r="E1309" s="70"/>
      <c r="F1309" s="70" t="s">
        <v>3353</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3354</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3355</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INT($C$29)+3</f>
        <v>4</v>
      </c>
      <c r="D1312" s="73"/>
      <c r="E1312" s="70"/>
      <c r="F1312" s="70" t="s">
        <v>3356</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25">
      <c r="A1313" s="45"/>
      <c r="B1313" s="54"/>
      <c r="C1313" s="47">
        <f>INT($C$29)+3</f>
        <v>4</v>
      </c>
      <c r="D1313" s="73"/>
      <c r="E1313" s="70"/>
      <c r="F1313" s="70" t="s">
        <v>3357</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f>INT($C$29)+3</f>
        <v>4</v>
      </c>
      <c r="D1314" s="73"/>
      <c r="E1314" s="70"/>
      <c r="F1314" s="70" t="s">
        <v>3358</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25">
      <c r="A1315" s="45"/>
      <c r="B1315" s="54"/>
      <c r="C1315" s="47">
        <f t="shared" ref="C1315" si="328">INT($C$29)+2</f>
        <v>3</v>
      </c>
      <c r="D1315" s="73"/>
      <c r="E1315" s="410"/>
      <c r="F1315" s="410" t="s">
        <v>3359</v>
      </c>
      <c r="G1315" s="411"/>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25">
      <c r="A1316" s="45"/>
      <c r="B1316" s="54"/>
      <c r="C1316" s="47">
        <f>INT($C$29)+1</f>
        <v>2</v>
      </c>
      <c r="D1316" s="73"/>
      <c r="E1316" s="70"/>
      <c r="F1316" s="265" t="s">
        <v>1703</v>
      </c>
      <c r="G1316" s="73"/>
      <c r="H1316" s="267" t="s">
        <v>2633</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25">
      <c r="A1317" s="45"/>
      <c r="B1317" s="54"/>
      <c r="C1317" s="47">
        <f t="shared" ref="C1317:C1336" si="329">INT($C$29)+3</f>
        <v>4</v>
      </c>
      <c r="D1317" s="73"/>
      <c r="E1317" s="70"/>
      <c r="F1317" s="70" t="s">
        <v>1910</v>
      </c>
      <c r="G1317" s="73"/>
      <c r="H1317" s="76" t="s">
        <v>3499</v>
      </c>
      <c r="I1317" s="96" t="s">
        <v>2332</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329"/>
        <v>4</v>
      </c>
      <c r="D1318" s="73"/>
      <c r="E1318" s="70"/>
      <c r="F1318" s="70" t="s">
        <v>1911</v>
      </c>
      <c r="G1318" s="73"/>
      <c r="H1318" s="76" t="s">
        <v>1912</v>
      </c>
      <c r="I1318" s="96" t="s">
        <v>2333</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29"/>
        <v>4</v>
      </c>
      <c r="D1319" s="73"/>
      <c r="E1319" s="70"/>
      <c r="F1319" s="70" t="s">
        <v>1913</v>
      </c>
      <c r="G1319" s="73"/>
      <c r="H1319" s="76" t="s">
        <v>1914</v>
      </c>
      <c r="I1319" s="96" t="s">
        <v>2334</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29"/>
        <v>4</v>
      </c>
      <c r="D1320" s="73"/>
      <c r="E1320" s="70"/>
      <c r="F1320" s="70" t="s">
        <v>1915</v>
      </c>
      <c r="G1320" s="73"/>
      <c r="H1320" s="76" t="s">
        <v>2367</v>
      </c>
      <c r="I1320" s="96" t="s">
        <v>2368</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29"/>
        <v>4</v>
      </c>
      <c r="D1321" s="73"/>
      <c r="E1321" s="70"/>
      <c r="F1321" s="70" t="s">
        <v>1917</v>
      </c>
      <c r="G1321" s="73"/>
      <c r="H1321" s="76" t="s">
        <v>1916</v>
      </c>
      <c r="I1321" s="96" t="s">
        <v>2335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29"/>
        <v>4</v>
      </c>
      <c r="D1322" s="73"/>
      <c r="E1322" s="70"/>
      <c r="F1322" s="70" t="s">
        <v>2373</v>
      </c>
      <c r="G1322" s="73"/>
      <c r="H1322" s="76" t="s">
        <v>1918</v>
      </c>
      <c r="I1322" s="96" t="s">
        <v>2336</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29"/>
        <v>4</v>
      </c>
      <c r="D1323" s="73"/>
      <c r="E1323" s="70"/>
      <c r="F1323" s="70" t="s">
        <v>2374</v>
      </c>
      <c r="G1323" s="73"/>
      <c r="H1323" s="76" t="s">
        <v>2369</v>
      </c>
      <c r="I1323" s="96" t="s">
        <v>2370</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29"/>
        <v>4</v>
      </c>
      <c r="D1324" s="73"/>
      <c r="E1324" s="70"/>
      <c r="F1324" s="70" t="s">
        <v>2375</v>
      </c>
      <c r="G1324" s="73"/>
      <c r="H1324" s="76" t="s">
        <v>2371</v>
      </c>
      <c r="I1324" s="96" t="s">
        <v>2372</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29"/>
        <v>4</v>
      </c>
      <c r="D1325" s="73"/>
      <c r="E1325" s="70"/>
      <c r="F1325" s="70" t="str">
        <f>SUBSTITUTE(F1321,",4)",",8)")</f>
        <v>C(U2,0,8)</v>
      </c>
      <c r="G1325" s="73"/>
      <c r="H1325" s="76" t="s">
        <v>2725</v>
      </c>
      <c r="I1325" s="96" t="s">
        <v>2729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29"/>
        <v>4</v>
      </c>
      <c r="D1326" s="73"/>
      <c r="E1326" s="70"/>
      <c r="F1326" s="70" t="str">
        <f>SUBSTITUTE(F1322,",5)",",9)")</f>
        <v>C(U2,0,9)</v>
      </c>
      <c r="G1326" s="73"/>
      <c r="H1326" s="76" t="s">
        <v>2726</v>
      </c>
      <c r="I1326" s="96" t="s">
        <v>2730</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29"/>
        <v>4</v>
      </c>
      <c r="D1327" s="73"/>
      <c r="E1327" s="70"/>
      <c r="F1327" s="70" t="str">
        <f>SUBSTITUTE(F1323,",6)",",10)")</f>
        <v>C(U2,0,10)</v>
      </c>
      <c r="G1327" s="73"/>
      <c r="H1327" s="76" t="s">
        <v>2727</v>
      </c>
      <c r="I1327" s="96" t="s">
        <v>2731</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29"/>
        <v>4</v>
      </c>
      <c r="D1328" s="73"/>
      <c r="E1328" s="70"/>
      <c r="F1328" s="70" t="str">
        <f>SUBSTITUTE(F1324,",7)",",11)")</f>
        <v>C(U2,0,11)</v>
      </c>
      <c r="G1328" s="73"/>
      <c r="H1328" s="76" t="s">
        <v>2728</v>
      </c>
      <c r="I1328" s="96" t="s">
        <v>2732</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29"/>
        <v>4</v>
      </c>
      <c r="D1329" s="73"/>
      <c r="E1329" s="70"/>
      <c r="F1329" s="70" t="str">
        <f>SUBSTITUTE(F1324,",7)",",12)")</f>
        <v>C(U2,0,12)</v>
      </c>
      <c r="G1329" s="73"/>
      <c r="H1329" s="76" t="s">
        <v>3345</v>
      </c>
      <c r="I1329" s="96" t="s">
        <v>2731</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29"/>
        <v>4</v>
      </c>
      <c r="D1330" s="73"/>
      <c r="E1330" s="70"/>
      <c r="F1330" s="70" t="str">
        <f>SUBSTITUTE(F1324,",7)",",13)")</f>
        <v>C(U2,0,13)</v>
      </c>
      <c r="G1330" s="73"/>
      <c r="H1330" s="76" t="s">
        <v>3346</v>
      </c>
      <c r="I1330" s="96" t="s">
        <v>2732</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29"/>
        <v>4</v>
      </c>
      <c r="D1331" s="73"/>
      <c r="E1331" s="70"/>
      <c r="F1331" s="70" t="s">
        <v>1919</v>
      </c>
      <c r="G1331" s="73"/>
      <c r="H1331" s="76" t="s">
        <v>1920</v>
      </c>
      <c r="I1331" s="96" t="s">
        <v>2337</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29"/>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29"/>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29"/>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29"/>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29"/>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c r="D1337" s="73"/>
      <c r="E1337" s="70"/>
      <c r="F1337" s="70" t="s">
        <v>2376</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2377</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2378</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ref="C1340:C1351" si="330">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330"/>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0"/>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0"/>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0"/>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0"/>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0"/>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0"/>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0"/>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0"/>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0"/>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0"/>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c r="D1352" s="73"/>
      <c r="E1352" s="70"/>
      <c r="F1352" s="70" t="s">
        <v>2379</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2380</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2381</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ref="C1355:C1366" si="331">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331"/>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1"/>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1"/>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1"/>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1"/>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1"/>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1"/>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1"/>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1"/>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1"/>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1"/>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c r="D1367" s="73"/>
      <c r="E1367" s="70"/>
      <c r="F1367" s="70" t="s">
        <v>2382</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2383</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2384</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ref="C1370:C1381" si="332">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332"/>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2"/>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2"/>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2"/>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2"/>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2"/>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2"/>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2"/>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2"/>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2"/>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2"/>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c r="D1382" s="73"/>
      <c r="E1382" s="70"/>
      <c r="F1382" s="70" t="s">
        <v>2406</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2407</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2408</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ref="C1385:C1396" si="333">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333"/>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3"/>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33"/>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33"/>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33"/>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33"/>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3"/>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3"/>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3"/>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3"/>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3"/>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c r="D1397" s="73"/>
      <c r="E1397" s="70"/>
      <c r="F1397" s="70" t="s">
        <v>2409</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2410</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2411</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ref="C1400:C1411" si="334">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334"/>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34"/>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34"/>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34"/>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34"/>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34"/>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34"/>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34"/>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34"/>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34"/>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4"/>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c r="D1412" s="73"/>
      <c r="E1412" s="70"/>
      <c r="F1412" s="70" t="s">
        <v>2412</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2413</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2414</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f t="shared" ref="C1415:C1426" si="335">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si="335"/>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35"/>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35"/>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35"/>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5"/>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5"/>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5"/>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5"/>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5"/>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5"/>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5"/>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c r="D1427" s="73"/>
      <c r="E1427" s="70"/>
      <c r="F1427" s="70" t="s">
        <v>2415</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2416</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2417</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 t="shared" ref="C1434:C1435" si="336">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si="336"/>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INT($C$29)+3</f>
        <v>4</v>
      </c>
      <c r="D1436" s="73"/>
      <c r="E1436" s="402"/>
      <c r="F1436" s="402"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25">
      <c r="A1437" s="45"/>
      <c r="B1437" s="54"/>
      <c r="C1437" s="47">
        <f>INT($C$29)+2</f>
        <v>3</v>
      </c>
      <c r="D1437" s="73"/>
      <c r="E1437" s="406"/>
      <c r="F1437" s="406" t="s">
        <v>1963</v>
      </c>
      <c r="G1437" s="407"/>
      <c r="H1437" s="181" t="s">
        <v>1964</v>
      </c>
      <c r="I1437" s="181"/>
      <c r="J1437" s="181"/>
      <c r="K1437" s="181"/>
      <c r="L1437" s="181"/>
      <c r="M1437" s="181"/>
      <c r="N1437" s="181"/>
      <c r="O1437" s="181"/>
      <c r="P1437" s="181"/>
      <c r="Q1437" s="181"/>
      <c r="R1437" s="181"/>
      <c r="S1437" s="181"/>
      <c r="T1437" s="181"/>
      <c r="U1437" s="408">
        <v>3.157</v>
      </c>
      <c r="V1437" s="409">
        <f>U1437</f>
        <v>3.157</v>
      </c>
      <c r="W1437" s="409">
        <f t="shared" ref="W1437:X1439" si="337">U1437</f>
        <v>3.157</v>
      </c>
      <c r="X1437" s="409">
        <f t="shared" si="337"/>
        <v>3.157</v>
      </c>
      <c r="Y1437" s="409">
        <f>V1437</f>
        <v>3.157</v>
      </c>
      <c r="Z1437" s="409">
        <f>AA1437</f>
        <v>2.9750000000000001</v>
      </c>
      <c r="AA1437" s="408">
        <v>2.9750000000000001</v>
      </c>
      <c r="AB1437" s="409">
        <f t="shared" ref="AB1437:AD1439" si="338">AA1437</f>
        <v>2.9750000000000001</v>
      </c>
      <c r="AC1437" s="409">
        <f t="shared" si="338"/>
        <v>2.9750000000000001</v>
      </c>
      <c r="AD1437" s="409">
        <f t="shared" si="338"/>
        <v>2.9750000000000001</v>
      </c>
      <c r="AE1437" s="181"/>
      <c r="AF1437" s="408" t="s">
        <v>2567</v>
      </c>
      <c r="AG1437" s="181"/>
      <c r="AH1437" s="408">
        <v>1</v>
      </c>
      <c r="AI1437" s="408">
        <v>1</v>
      </c>
      <c r="AJ1437" s="73"/>
      <c r="AK1437" s="57"/>
      <c r="AL1437" s="45"/>
      <c r="AM1437" s="45"/>
      <c r="AN1437" s="45"/>
    </row>
    <row r="1438" spans="1:40" outlineLevel="2" x14ac:dyDescent="0.2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37"/>
        <v>-0.28570000000000001</v>
      </c>
      <c r="X1438" s="255">
        <f t="shared" si="337"/>
        <v>-0.28570000000000001</v>
      </c>
      <c r="Y1438" s="255">
        <f>V1438</f>
        <v>-0.28570000000000001</v>
      </c>
      <c r="Z1438" s="404">
        <f>AA1438</f>
        <v>-0.23649999999999999</v>
      </c>
      <c r="AA1438" s="97">
        <v>-0.23649999999999999</v>
      </c>
      <c r="AB1438" s="404">
        <f t="shared" si="338"/>
        <v>-0.23649999999999999</v>
      </c>
      <c r="AC1438" s="404">
        <f t="shared" si="338"/>
        <v>-0.23649999999999999</v>
      </c>
      <c r="AD1438" s="404">
        <f t="shared" si="338"/>
        <v>-0.23649999999999999</v>
      </c>
      <c r="AE1438" s="76"/>
      <c r="AF1438" s="76"/>
      <c r="AG1438" s="76"/>
      <c r="AH1438" s="97">
        <v>1</v>
      </c>
      <c r="AI1438" s="97">
        <v>1</v>
      </c>
      <c r="AJ1438" s="73"/>
      <c r="AK1438" s="57"/>
      <c r="AL1438" s="45"/>
      <c r="AM1438" s="45"/>
      <c r="AN1438" s="45"/>
    </row>
    <row r="1439" spans="1:40" outlineLevel="2" collapsed="1" x14ac:dyDescent="0.2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37"/>
        <v>-7.9950000000000004E-3</v>
      </c>
      <c r="X1439" s="255">
        <f t="shared" si="337"/>
        <v>-7.9950000000000004E-3</v>
      </c>
      <c r="Y1439" s="255">
        <f>V1439</f>
        <v>-7.9950000000000004E-3</v>
      </c>
      <c r="Z1439" s="404">
        <f>AA1439</f>
        <v>-1.761E-3</v>
      </c>
      <c r="AA1439" s="97">
        <v>-1.761E-3</v>
      </c>
      <c r="AB1439" s="404">
        <f t="shared" si="338"/>
        <v>-1.761E-3</v>
      </c>
      <c r="AC1439" s="404">
        <f t="shared" si="338"/>
        <v>-1.761E-3</v>
      </c>
      <c r="AD1439" s="404">
        <f t="shared" si="338"/>
        <v>-1.761E-3</v>
      </c>
      <c r="AE1439" s="76"/>
      <c r="AF1439" s="76"/>
      <c r="AG1439" s="76"/>
      <c r="AH1439" s="97">
        <v>1</v>
      </c>
      <c r="AI1439" s="97">
        <v>1</v>
      </c>
      <c r="AJ1439" s="73"/>
      <c r="AK1439" s="57"/>
      <c r="AL1439" s="45"/>
      <c r="AM1439" s="45"/>
      <c r="AN1439" s="45"/>
    </row>
    <row r="1440" spans="1:40" hidden="1" outlineLevel="3" x14ac:dyDescent="0.25">
      <c r="A1440" s="45"/>
      <c r="B1440" s="54"/>
      <c r="C1440" s="47">
        <f>INT($C$29)+3</f>
        <v>4</v>
      </c>
      <c r="D1440" s="73"/>
      <c r="E1440" s="70"/>
      <c r="F1440" s="70" t="s">
        <v>1969</v>
      </c>
      <c r="G1440" s="234"/>
      <c r="H1440" s="76" t="s">
        <v>2470</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2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4">
        <f>AA1441</f>
        <v>0</v>
      </c>
      <c r="AA1441" s="97">
        <v>0</v>
      </c>
      <c r="AB1441" s="404">
        <f t="shared" ref="AB1441:AD1442" si="339">AA1441</f>
        <v>0</v>
      </c>
      <c r="AC1441" s="404">
        <f t="shared" si="339"/>
        <v>0</v>
      </c>
      <c r="AD1441" s="404">
        <f t="shared" si="339"/>
        <v>0</v>
      </c>
      <c r="AE1441" s="76"/>
      <c r="AF1441" s="76"/>
      <c r="AG1441" s="76"/>
      <c r="AH1441" s="97">
        <v>1</v>
      </c>
      <c r="AI1441" s="97">
        <v>1</v>
      </c>
      <c r="AJ1441" s="73"/>
      <c r="AK1441" s="57"/>
      <c r="AL1441" s="45"/>
      <c r="AM1441" s="45"/>
      <c r="AN1441" s="45"/>
    </row>
    <row r="1442" spans="1:40" outlineLevel="2" collapsed="1" x14ac:dyDescent="0.25">
      <c r="A1442" s="45"/>
      <c r="B1442" s="54"/>
      <c r="C1442" s="47">
        <f>INT($C$29)+2</f>
        <v>3</v>
      </c>
      <c r="D1442" s="73"/>
      <c r="E1442" s="70"/>
      <c r="F1442" s="70" t="s">
        <v>2473</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4">
        <f>AA1442</f>
        <v>0</v>
      </c>
      <c r="AA1442" s="97">
        <v>0</v>
      </c>
      <c r="AB1442" s="404">
        <f t="shared" si="339"/>
        <v>0</v>
      </c>
      <c r="AC1442" s="404">
        <f t="shared" si="339"/>
        <v>0</v>
      </c>
      <c r="AD1442" s="404">
        <f t="shared" si="339"/>
        <v>0</v>
      </c>
      <c r="AE1442" s="76"/>
      <c r="AF1442" s="76"/>
      <c r="AG1442" s="76"/>
      <c r="AH1442" s="97">
        <v>1</v>
      </c>
      <c r="AI1442" s="97">
        <v>1</v>
      </c>
      <c r="AJ1442" s="73"/>
      <c r="AK1442" s="57"/>
      <c r="AL1442" s="45"/>
      <c r="AM1442" s="45"/>
      <c r="AN1442" s="45"/>
    </row>
    <row r="1443" spans="1:40" hidden="1" outlineLevel="3" x14ac:dyDescent="0.25">
      <c r="A1443" s="45"/>
      <c r="B1443" s="54"/>
      <c r="C1443" s="47">
        <f t="shared" ref="C1443:C1450" si="340">INT($C$29)+3</f>
        <v>4</v>
      </c>
      <c r="D1443" s="73"/>
      <c r="E1443" s="70"/>
      <c r="F1443" s="70" t="s">
        <v>2474</v>
      </c>
      <c r="G1443" s="234"/>
      <c r="H1443" s="76" t="s">
        <v>2471</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si="340"/>
        <v>4</v>
      </c>
      <c r="D1444" s="73"/>
      <c r="E1444" s="70"/>
      <c r="F1444" s="70" t="s">
        <v>2475</v>
      </c>
      <c r="G1444" s="234"/>
      <c r="H1444" s="76" t="s">
        <v>2472</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0"/>
        <v>4</v>
      </c>
      <c r="D1445" s="73"/>
      <c r="E1445" s="70"/>
      <c r="F1445" s="70" t="str">
        <f>SUBSTITUTE(F1441,",4)",",8)")</f>
        <v>C(U2,8,8)</v>
      </c>
      <c r="G1445" s="73"/>
      <c r="H1445" s="76" t="s">
        <v>2725</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0"/>
        <v>4</v>
      </c>
      <c r="D1446" s="73"/>
      <c r="E1446" s="70"/>
      <c r="F1446" s="70" t="str">
        <f>SUBSTITUTE(F1442,",5)",",9)")</f>
        <v>C(U2,8,9)</v>
      </c>
      <c r="G1446" s="73"/>
      <c r="H1446" s="76" t="s">
        <v>2726</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0"/>
        <v>4</v>
      </c>
      <c r="D1447" s="73"/>
      <c r="E1447" s="70"/>
      <c r="F1447" s="70" t="str">
        <f>SUBSTITUTE(F1443,",6)",",10)")</f>
        <v>C(U2,8,10)</v>
      </c>
      <c r="G1447" s="73"/>
      <c r="H1447" s="76" t="s">
        <v>2727</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0"/>
        <v>4</v>
      </c>
      <c r="D1448" s="73"/>
      <c r="E1448" s="70"/>
      <c r="F1448" s="70" t="str">
        <f>SUBSTITUTE(F1444,",7)",",11)")</f>
        <v>C(U2,8,11)</v>
      </c>
      <c r="G1448" s="73"/>
      <c r="H1448" s="76" t="s">
        <v>2728</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0"/>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0"/>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25">
      <c r="A1451" s="45"/>
      <c r="B1451" s="54"/>
      <c r="C1451" s="47">
        <f>INT($C$29)+2</f>
        <v>3</v>
      </c>
      <c r="D1451" s="73"/>
      <c r="E1451" s="410"/>
      <c r="F1451" s="410" t="s">
        <v>1973</v>
      </c>
      <c r="G1451" s="411"/>
      <c r="H1451" s="184" t="s">
        <v>2634</v>
      </c>
      <c r="I1451" s="184"/>
      <c r="J1451" s="184"/>
      <c r="K1451" s="184"/>
      <c r="L1451" s="184"/>
      <c r="M1451" s="184"/>
      <c r="N1451" s="184"/>
      <c r="O1451" s="184"/>
      <c r="P1451" s="184"/>
      <c r="Q1451" s="184"/>
      <c r="R1451" s="184"/>
      <c r="S1451" s="184"/>
      <c r="T1451" s="184" t="s">
        <v>3300</v>
      </c>
      <c r="U1451" s="413">
        <v>1.7397800000000001</v>
      </c>
      <c r="V1451" s="414">
        <f>U1451</f>
        <v>1.7397800000000001</v>
      </c>
      <c r="W1451" s="413">
        <v>1.88365</v>
      </c>
      <c r="X1451" s="413">
        <v>1.74003</v>
      </c>
      <c r="Y1451" s="413">
        <v>1.966477</v>
      </c>
      <c r="Z1451" s="414">
        <f>AA1451</f>
        <v>-4.3544999999999998</v>
      </c>
      <c r="AA1451" s="413">
        <v>-4.3544999999999998</v>
      </c>
      <c r="AB1451" s="414">
        <f>AA1451</f>
        <v>-4.3544999999999998</v>
      </c>
      <c r="AC1451" s="414">
        <f>AB1451</f>
        <v>-4.3544999999999998</v>
      </c>
      <c r="AD1451" s="414">
        <f>AC1451</f>
        <v>-4.3544999999999998</v>
      </c>
      <c r="AE1451" s="184"/>
      <c r="AF1451" s="184"/>
      <c r="AG1451" s="184"/>
      <c r="AH1451" s="413">
        <v>1</v>
      </c>
      <c r="AI1451" s="413">
        <v>1</v>
      </c>
      <c r="AJ1451" s="73"/>
      <c r="AK1451" s="57"/>
      <c r="AL1451" s="45"/>
      <c r="AM1451" s="45"/>
      <c r="AN1451" s="45"/>
    </row>
    <row r="1452" spans="1:40" hidden="1" outlineLevel="3" x14ac:dyDescent="0.25">
      <c r="A1452" s="45"/>
      <c r="B1452" s="54"/>
      <c r="C1452" s="47">
        <f>INT($C$29)+3</f>
        <v>4</v>
      </c>
      <c r="D1452" s="73"/>
      <c r="E1452" s="403"/>
      <c r="F1452" s="403"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2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c r="D1457" s="73"/>
      <c r="E1457" s="70"/>
      <c r="F1457" s="70" t="s">
        <v>2418</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2419</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2420</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ref="C1460:C1471" si="341">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41"/>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1"/>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1"/>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1"/>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1"/>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1"/>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1"/>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1"/>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1"/>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1"/>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1"/>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c r="D1472" s="73"/>
      <c r="E1472" s="70"/>
      <c r="F1472" s="70" t="s">
        <v>2421</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2422</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2423</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ref="C1475:C1486" si="342">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42"/>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2"/>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2"/>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2"/>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2"/>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2"/>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2"/>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2"/>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2"/>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2"/>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2"/>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c r="D1487" s="73"/>
      <c r="E1487" s="70"/>
      <c r="F1487" s="70" t="s">
        <v>2424</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2425</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2426</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ref="C1490:C1501" si="343">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43"/>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3"/>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43"/>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43"/>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43"/>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43"/>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3"/>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3"/>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3"/>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3"/>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3"/>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c r="D1502" s="73"/>
      <c r="E1502" s="70"/>
      <c r="F1502" s="70" t="s">
        <v>2427</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2428</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2429</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ref="C1505:C1516" si="344">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44"/>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44"/>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44"/>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44"/>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44"/>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44"/>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4"/>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4"/>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4"/>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4"/>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4"/>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c r="D1517" s="73"/>
      <c r="E1517" s="70"/>
      <c r="F1517" s="70" t="s">
        <v>2430</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2431</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2432</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ref="C1520:C1531" si="345">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45"/>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45"/>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45"/>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45"/>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45"/>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45"/>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5"/>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5"/>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5"/>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5"/>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5"/>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c r="D1532" s="73"/>
      <c r="E1532" s="70"/>
      <c r="F1532" s="70" t="s">
        <v>2433</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2434</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2435</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ref="C1535:C1546" si="346">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46"/>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46"/>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46"/>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46"/>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46"/>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46"/>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46"/>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46"/>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46"/>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46"/>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46"/>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c r="D1547" s="73"/>
      <c r="E1547" s="70"/>
      <c r="F1547" s="70" t="s">
        <v>2436</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2437</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2438</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ref="C1550:C1561" si="347">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47"/>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47"/>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47"/>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47"/>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47"/>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47"/>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47"/>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47"/>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47"/>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47"/>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47"/>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c r="D1562" s="73"/>
      <c r="E1562" s="70"/>
      <c r="F1562" s="70" t="s">
        <v>2439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2440</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2441</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ref="C1565:C1576" si="348">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48"/>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48"/>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48"/>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48"/>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48"/>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48"/>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48"/>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48"/>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48"/>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48"/>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48"/>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c r="D1577" s="73"/>
      <c r="E1577" s="70"/>
      <c r="F1577" s="70" t="s">
        <v>2442</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2443</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2444</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ref="C1580:C1591" si="349">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49"/>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49"/>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49"/>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49"/>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49"/>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49"/>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49"/>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49"/>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49"/>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49"/>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49"/>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c r="D1592" s="73"/>
      <c r="E1592" s="70"/>
      <c r="F1592" s="70" t="s">
        <v>2445</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2446</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2447</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f t="shared" ref="C1595:C1606" si="350">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si="350"/>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0"/>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0"/>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0"/>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0"/>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0"/>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0"/>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0"/>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0"/>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0"/>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0"/>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c r="D1607" s="73"/>
      <c r="E1607" s="70"/>
      <c r="F1607" s="70" t="s">
        <v>2448</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2449</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2450</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 t="shared" ref="C1614:C1615" si="351">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si="351"/>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2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2">Y1617</f>
        <v>0.57699999999999996</v>
      </c>
      <c r="AA1617" s="255">
        <f t="shared" si="352"/>
        <v>0.57699999999999996</v>
      </c>
      <c r="AB1617" s="255">
        <f t="shared" si="352"/>
        <v>0.57699999999999996</v>
      </c>
      <c r="AC1617" s="255">
        <f t="shared" si="352"/>
        <v>0.57699999999999996</v>
      </c>
      <c r="AD1617" s="255">
        <f t="shared" si="352"/>
        <v>0.57699999999999996</v>
      </c>
      <c r="AE1617" s="76"/>
      <c r="AF1617" s="97" t="s">
        <v>2042</v>
      </c>
      <c r="AG1617" s="76"/>
      <c r="AH1617" s="97">
        <v>1</v>
      </c>
      <c r="AI1617" s="97">
        <v>1</v>
      </c>
      <c r="AJ1617" s="73"/>
      <c r="AK1617" s="57"/>
      <c r="AL1617" s="45"/>
      <c r="AM1617" s="45"/>
      <c r="AN1617" s="45"/>
    </row>
    <row r="1618" spans="1:40" outlineLevel="2" collapsed="1" x14ac:dyDescent="0.2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2"/>
        <v>-1.2E-2</v>
      </c>
      <c r="AA1618" s="255">
        <f t="shared" si="352"/>
        <v>-1.2E-2</v>
      </c>
      <c r="AB1618" s="255">
        <f t="shared" si="352"/>
        <v>-1.2E-2</v>
      </c>
      <c r="AC1618" s="255">
        <f t="shared" si="352"/>
        <v>-1.2E-2</v>
      </c>
      <c r="AD1618" s="255">
        <f t="shared" si="352"/>
        <v>-1.2E-2</v>
      </c>
      <c r="AE1618" s="76"/>
      <c r="AF1618" s="76"/>
      <c r="AG1618" s="76"/>
      <c r="AH1618" s="97">
        <v>1</v>
      </c>
      <c r="AI1618" s="97">
        <v>1</v>
      </c>
      <c r="AJ1618" s="73"/>
      <c r="AK1618" s="57"/>
      <c r="AL1618" s="45"/>
      <c r="AM1618" s="45"/>
      <c r="AN1618" s="45"/>
    </row>
    <row r="1619" spans="1:40" hidden="1" outlineLevel="3" x14ac:dyDescent="0.2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25">
      <c r="A1620" s="45"/>
      <c r="B1620" s="54"/>
      <c r="C1620" s="47">
        <f>INT($C$29)+3</f>
        <v>4</v>
      </c>
      <c r="D1620" s="73"/>
      <c r="E1620" s="70"/>
      <c r="F1620" s="70" t="s">
        <v>2047</v>
      </c>
      <c r="G1620" s="73"/>
      <c r="H1620" s="377" t="s">
        <v>2464</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2469</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 t="shared" ref="C1623:C1630" si="353">INT($C$29)+3</f>
        <v>4</v>
      </c>
      <c r="D1623" s="73"/>
      <c r="E1623" s="70"/>
      <c r="F1623" s="70" t="s">
        <v>2467</v>
      </c>
      <c r="G1623" s="73"/>
      <c r="H1623" s="377" t="s">
        <v>2465</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si="353"/>
        <v>4</v>
      </c>
      <c r="D1624" s="73"/>
      <c r="E1624" s="70"/>
      <c r="F1624" s="70" t="s">
        <v>2468</v>
      </c>
      <c r="G1624" s="73"/>
      <c r="H1624" s="377" t="s">
        <v>2466</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53"/>
        <v>4</v>
      </c>
      <c r="D1625" s="73"/>
      <c r="E1625" s="70"/>
      <c r="F1625" s="70" t="str">
        <f>SUBSTITUTE(F1621,",4)",",8)")</f>
        <v>C(U2,20,8)</v>
      </c>
      <c r="G1625" s="73"/>
      <c r="H1625" s="76" t="s">
        <v>2725</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25">
      <c r="A1626" s="45"/>
      <c r="B1626" s="54"/>
      <c r="C1626" s="47">
        <f t="shared" si="353"/>
        <v>4</v>
      </c>
      <c r="D1626" s="73"/>
      <c r="E1626" s="70"/>
      <c r="F1626" s="70" t="str">
        <f>SUBSTITUTE(F1622,",5)",",9)")</f>
        <v>C(U2,20,9)</v>
      </c>
      <c r="G1626" s="73"/>
      <c r="H1626" s="76" t="s">
        <v>2726</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53"/>
        <v>4</v>
      </c>
      <c r="D1627" s="73"/>
      <c r="E1627" s="70"/>
      <c r="F1627" s="70" t="str">
        <f>SUBSTITUTE(F1623,",6)",",10)")</f>
        <v>C(U2,20,10)</v>
      </c>
      <c r="G1627" s="73"/>
      <c r="H1627" s="76" t="s">
        <v>2727</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53"/>
        <v>4</v>
      </c>
      <c r="D1628" s="73"/>
      <c r="E1628" s="70"/>
      <c r="F1628" s="70" t="str">
        <f>SUBSTITUTE(F1624,",7)",",11)")</f>
        <v>C(U2,20,11)</v>
      </c>
      <c r="G1628" s="73"/>
      <c r="H1628" s="76" t="s">
        <v>2728</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53"/>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53"/>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2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2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c r="D1637" s="73"/>
      <c r="E1637" s="70"/>
      <c r="F1637" s="70" t="s">
        <v>2451</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2452</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2453</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 t="shared" ref="C1644:C1645" si="354">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si="354"/>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25">
      <c r="A1647" s="45"/>
      <c r="B1647" s="54"/>
      <c r="C1647" s="47">
        <f>INT($C$29)+2</f>
        <v>3</v>
      </c>
      <c r="D1647" s="73"/>
      <c r="E1647" s="70"/>
      <c r="F1647" s="70" t="s">
        <v>2059</v>
      </c>
      <c r="G1647" s="73"/>
      <c r="H1647" s="76" t="s">
        <v>2743</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5">Y1647</f>
        <v>-8.4959000000000007</v>
      </c>
      <c r="AA1647" s="261">
        <f t="shared" si="355"/>
        <v>-8.4959000000000007</v>
      </c>
      <c r="AB1647" s="261">
        <f t="shared" si="355"/>
        <v>-8.4959000000000007</v>
      </c>
      <c r="AC1647" s="261">
        <f t="shared" si="355"/>
        <v>-8.4959000000000007</v>
      </c>
      <c r="AD1647" s="261">
        <f t="shared" si="355"/>
        <v>-8.4959000000000007</v>
      </c>
      <c r="AE1647" s="76"/>
      <c r="AF1647" s="97" t="s">
        <v>2744</v>
      </c>
      <c r="AG1647" s="76"/>
      <c r="AH1647" s="97">
        <v>1</v>
      </c>
      <c r="AI1647" s="97">
        <v>1</v>
      </c>
      <c r="AJ1647" s="73"/>
      <c r="AK1647" s="57"/>
      <c r="AL1647" s="45"/>
      <c r="AM1647" s="45"/>
      <c r="AN1647" s="45"/>
    </row>
    <row r="1648" spans="1:40" outlineLevel="2" collapsed="1" x14ac:dyDescent="0.25">
      <c r="A1648" s="45"/>
      <c r="B1648" s="54"/>
      <c r="C1648" s="47">
        <f>INT($C$29)+2</f>
        <v>3</v>
      </c>
      <c r="D1648" s="73"/>
      <c r="E1648" s="70"/>
      <c r="F1648" s="70" t="s">
        <v>2060</v>
      </c>
      <c r="G1648" s="73"/>
      <c r="H1648" s="76" t="s">
        <v>2476</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5"/>
        <v>1.38185</v>
      </c>
      <c r="AA1648" s="261">
        <f t="shared" si="355"/>
        <v>1.38185</v>
      </c>
      <c r="AB1648" s="261">
        <f t="shared" si="355"/>
        <v>1.38185</v>
      </c>
      <c r="AC1648" s="261">
        <f t="shared" si="355"/>
        <v>1.38185</v>
      </c>
      <c r="AD1648" s="261">
        <f t="shared" si="355"/>
        <v>1.38185</v>
      </c>
      <c r="AE1648" s="76"/>
      <c r="AF1648" s="76"/>
      <c r="AG1648" s="76"/>
      <c r="AH1648" s="97">
        <v>1</v>
      </c>
      <c r="AI1648" s="97">
        <v>1</v>
      </c>
      <c r="AJ1648" s="73"/>
      <c r="AK1648" s="57"/>
      <c r="AL1648" s="45"/>
      <c r="AM1648" s="45"/>
      <c r="AN1648" s="45"/>
    </row>
    <row r="1649" spans="1:40" hidden="1" outlineLevel="3" x14ac:dyDescent="0.25">
      <c r="A1649" s="45"/>
      <c r="B1649" s="54"/>
      <c r="C1649" s="47">
        <f t="shared" ref="C1649:C1660" si="356">INT($C$29)+3</f>
        <v>4</v>
      </c>
      <c r="D1649" s="73"/>
      <c r="E1649" s="70"/>
      <c r="F1649" s="70" t="s">
        <v>2061</v>
      </c>
      <c r="G1649" s="73"/>
      <c r="H1649" s="377" t="s">
        <v>2483</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25">
      <c r="A1650" s="45"/>
      <c r="B1650" s="54"/>
      <c r="C1650" s="47">
        <f t="shared" si="356"/>
        <v>4</v>
      </c>
      <c r="D1650" s="73"/>
      <c r="E1650" s="70"/>
      <c r="F1650" s="70" t="s">
        <v>2062</v>
      </c>
      <c r="G1650" s="73"/>
      <c r="H1650" s="377" t="s">
        <v>2484</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56"/>
        <v>4</v>
      </c>
      <c r="D1651" s="73"/>
      <c r="E1651" s="70"/>
      <c r="F1651" s="70" t="s">
        <v>2063</v>
      </c>
      <c r="G1651" s="73"/>
      <c r="H1651" s="377" t="s">
        <v>2485</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56"/>
        <v>4</v>
      </c>
      <c r="D1652" s="73"/>
      <c r="E1652" s="70"/>
      <c r="F1652" s="70" t="s">
        <v>2385</v>
      </c>
      <c r="G1652" s="73"/>
      <c r="H1652" s="377" t="s">
        <v>2486</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56"/>
        <v>4</v>
      </c>
      <c r="D1653" s="73"/>
      <c r="E1653" s="70"/>
      <c r="F1653" s="70" t="s">
        <v>2386</v>
      </c>
      <c r="G1653" s="73"/>
      <c r="H1653" s="377" t="s">
        <v>2487</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56"/>
        <v>4</v>
      </c>
      <c r="D1654" s="73"/>
      <c r="E1654" s="70"/>
      <c r="F1654" s="70" t="s">
        <v>2387</v>
      </c>
      <c r="G1654" s="73"/>
      <c r="H1654" s="377" t="s">
        <v>2488</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56"/>
        <v>4</v>
      </c>
      <c r="D1655" s="73"/>
      <c r="E1655" s="70"/>
      <c r="F1655" s="70" t="str">
        <f>SUBSTITUTE(F1651,",4)",",8)")</f>
        <v>C(U2,22,8)</v>
      </c>
      <c r="G1655" s="73"/>
      <c r="H1655" s="377" t="s">
        <v>2749</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25">
      <c r="A1656" s="45"/>
      <c r="B1656" s="54"/>
      <c r="C1656" s="47">
        <f t="shared" si="356"/>
        <v>4</v>
      </c>
      <c r="D1656" s="73"/>
      <c r="E1656" s="70"/>
      <c r="F1656" s="70" t="str">
        <f>SUBSTITUTE(F1652,",5)",",9)")</f>
        <v>C(U2,22,9)</v>
      </c>
      <c r="G1656" s="73"/>
      <c r="H1656" s="377" t="s">
        <v>2750</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56"/>
        <v>4</v>
      </c>
      <c r="D1657" s="73"/>
      <c r="E1657" s="70"/>
      <c r="F1657" s="70" t="str">
        <f>SUBSTITUTE(F1653,",6)",",10)")</f>
        <v>C(U2,22,10)</v>
      </c>
      <c r="G1657" s="73"/>
      <c r="H1657" s="377" t="s">
        <v>2751</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56"/>
        <v>4</v>
      </c>
      <c r="D1658" s="73"/>
      <c r="E1658" s="70"/>
      <c r="F1658" s="70" t="str">
        <f>SUBSTITUTE(F1654,",7)",",11)")</f>
        <v>C(U2,22,11)</v>
      </c>
      <c r="G1658" s="73"/>
      <c r="H1658" s="377" t="s">
        <v>3349</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56"/>
        <v>4</v>
      </c>
      <c r="D1659" s="73"/>
      <c r="E1659" s="70"/>
      <c r="F1659" s="70" t="str">
        <f>SUBSTITUTE(F1653,",6)",",12)")</f>
        <v>C(U2,22,12)</v>
      </c>
      <c r="G1659" s="73"/>
      <c r="H1659" s="377" t="s">
        <v>3350</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56"/>
        <v>4</v>
      </c>
      <c r="D1660" s="73"/>
      <c r="E1660" s="70"/>
      <c r="F1660" s="70" t="str">
        <f>SUBSTITUTE(F1654,",7)",",13)")</f>
        <v>C(U2,22,13)</v>
      </c>
      <c r="G1660" s="73"/>
      <c r="H1660" s="377" t="s">
        <v>3351</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25">
      <c r="A1661" s="45"/>
      <c r="B1661" s="54"/>
      <c r="C1661" s="47">
        <f>INT($C$29)+2</f>
        <v>3</v>
      </c>
      <c r="D1661" s="73"/>
      <c r="E1661" s="70"/>
      <c r="F1661" s="70" t="s">
        <v>2064</v>
      </c>
      <c r="G1661" s="73"/>
      <c r="H1661" s="76" t="s">
        <v>2635</v>
      </c>
      <c r="I1661" s="76"/>
      <c r="J1661" s="76"/>
      <c r="K1661" s="76"/>
      <c r="L1661" s="76"/>
      <c r="M1661" s="76"/>
      <c r="N1661" s="76"/>
      <c r="O1661" s="76"/>
      <c r="P1661" s="76"/>
      <c r="Q1661" s="76"/>
      <c r="R1661" s="76"/>
      <c r="S1661" s="76"/>
      <c r="T1661" s="76"/>
      <c r="U1661" s="97">
        <v>7.50061</v>
      </c>
      <c r="V1661" s="261">
        <f>U1661</f>
        <v>7.50061</v>
      </c>
      <c r="W1661" s="261">
        <f t="shared" ref="W1661:X1664" si="357">U1661</f>
        <v>7.50061</v>
      </c>
      <c r="X1661" s="261">
        <f t="shared" si="357"/>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25">
      <c r="A1662" s="45"/>
      <c r="B1662" s="54"/>
      <c r="C1662" s="47">
        <f>INT($C$29)+2</f>
        <v>3</v>
      </c>
      <c r="D1662" s="73"/>
      <c r="E1662" s="70"/>
      <c r="F1662" s="70" t="s">
        <v>2388</v>
      </c>
      <c r="G1662" s="73"/>
      <c r="H1662" s="76" t="s">
        <v>2745</v>
      </c>
      <c r="I1662" s="76"/>
      <c r="J1662" s="76"/>
      <c r="K1662" s="76"/>
      <c r="L1662" s="76"/>
      <c r="M1662" s="76"/>
      <c r="N1662" s="76"/>
      <c r="O1662" s="76"/>
      <c r="P1662" s="76"/>
      <c r="Q1662" s="76"/>
      <c r="R1662" s="76"/>
      <c r="S1662" s="76"/>
      <c r="T1662" s="76"/>
      <c r="U1662" s="97">
        <f>AA1662</f>
        <v>-4.5568499999999998</v>
      </c>
      <c r="V1662" s="255">
        <f>U1662</f>
        <v>-4.5568499999999998</v>
      </c>
      <c r="W1662" s="255">
        <f t="shared" si="357"/>
        <v>-4.5568499999999998</v>
      </c>
      <c r="X1662" s="255">
        <f t="shared" si="357"/>
        <v>-4.5568499999999998</v>
      </c>
      <c r="Y1662" s="255">
        <f>V1662</f>
        <v>-4.5568499999999998</v>
      </c>
      <c r="Z1662" s="255">
        <f>AA1662</f>
        <v>-4.5568499999999998</v>
      </c>
      <c r="AA1662" s="97">
        <f>-(4.55685)</f>
        <v>-4.5568499999999998</v>
      </c>
      <c r="AB1662" s="255">
        <f t="shared" ref="AB1662:AD1664" si="358">AA1662</f>
        <v>-4.5568499999999998</v>
      </c>
      <c r="AC1662" s="255">
        <f t="shared" si="358"/>
        <v>-4.5568499999999998</v>
      </c>
      <c r="AD1662" s="255">
        <f t="shared" si="358"/>
        <v>-4.5568499999999998</v>
      </c>
      <c r="AE1662" s="76"/>
      <c r="AF1662" s="97" t="s">
        <v>3347</v>
      </c>
      <c r="AG1662" s="76"/>
      <c r="AH1662" s="76">
        <v>1</v>
      </c>
      <c r="AI1662" s="76">
        <v>1</v>
      </c>
      <c r="AJ1662" s="73"/>
      <c r="AK1662" s="57"/>
      <c r="AL1662" s="45"/>
      <c r="AM1662" s="45"/>
      <c r="AN1662" s="45"/>
    </row>
    <row r="1663" spans="1:40" outlineLevel="2" x14ac:dyDescent="0.25">
      <c r="A1663" s="45"/>
      <c r="B1663" s="54"/>
      <c r="C1663" s="47">
        <f>INT($C$29)+2</f>
        <v>3</v>
      </c>
      <c r="D1663" s="73"/>
      <c r="E1663" s="70"/>
      <c r="F1663" s="70" t="s">
        <v>2389</v>
      </c>
      <c r="G1663" s="73"/>
      <c r="H1663" s="76" t="s">
        <v>2476</v>
      </c>
      <c r="I1663" s="76"/>
      <c r="J1663" s="76"/>
      <c r="K1663" s="76"/>
      <c r="L1663" s="76"/>
      <c r="M1663" s="76"/>
      <c r="N1663" s="76"/>
      <c r="O1663" s="76"/>
      <c r="P1663" s="76"/>
      <c r="Q1663" s="76"/>
      <c r="R1663" s="76"/>
      <c r="S1663" s="76"/>
      <c r="T1663" s="76"/>
      <c r="U1663" s="97">
        <f>AA1663</f>
        <v>0.69092500000000001</v>
      </c>
      <c r="V1663" s="255">
        <f>U1663</f>
        <v>0.69092500000000001</v>
      </c>
      <c r="W1663" s="255">
        <f t="shared" si="357"/>
        <v>0.69092500000000001</v>
      </c>
      <c r="X1663" s="255">
        <f t="shared" si="357"/>
        <v>0.69092500000000001</v>
      </c>
      <c r="Y1663" s="255">
        <f>V1663</f>
        <v>0.69092500000000001</v>
      </c>
      <c r="Z1663" s="255">
        <f>AA1663</f>
        <v>0.69092500000000001</v>
      </c>
      <c r="AA1663" s="97">
        <f>-(-0.690925)</f>
        <v>0.69092500000000001</v>
      </c>
      <c r="AB1663" s="255">
        <f t="shared" si="358"/>
        <v>0.69092500000000001</v>
      </c>
      <c r="AC1663" s="255">
        <f t="shared" si="358"/>
        <v>0.69092500000000001</v>
      </c>
      <c r="AD1663" s="255">
        <f t="shared" si="358"/>
        <v>0.69092500000000001</v>
      </c>
      <c r="AE1663" s="76"/>
      <c r="AF1663" s="76"/>
      <c r="AG1663" s="76"/>
      <c r="AH1663" s="76">
        <v>1</v>
      </c>
      <c r="AI1663" s="76">
        <v>1</v>
      </c>
      <c r="AJ1663" s="73"/>
      <c r="AK1663" s="57"/>
      <c r="AL1663" s="45"/>
      <c r="AM1663" s="45"/>
      <c r="AN1663" s="45"/>
    </row>
    <row r="1664" spans="1:40" outlineLevel="2" collapsed="1" x14ac:dyDescent="0.25">
      <c r="A1664" s="45"/>
      <c r="B1664" s="54"/>
      <c r="C1664" s="47">
        <f t="shared" ref="C1664:C1675" si="359">INT($C$29)+3</f>
        <v>4</v>
      </c>
      <c r="D1664" s="73"/>
      <c r="E1664" s="70"/>
      <c r="F1664" s="70" t="s">
        <v>2390</v>
      </c>
      <c r="G1664" s="73"/>
      <c r="H1664" s="378" t="s">
        <v>2746</v>
      </c>
      <c r="I1664" s="76"/>
      <c r="J1664" s="76"/>
      <c r="K1664" s="76"/>
      <c r="L1664" s="76"/>
      <c r="M1664" s="76"/>
      <c r="N1664" s="76"/>
      <c r="O1664" s="76"/>
      <c r="P1664" s="76"/>
      <c r="Q1664" s="76"/>
      <c r="R1664" s="76"/>
      <c r="S1664" s="76"/>
      <c r="T1664" s="76"/>
      <c r="U1664" s="97">
        <f>AA1664</f>
        <v>-0.15570000000000001</v>
      </c>
      <c r="V1664" s="255">
        <f>U1664</f>
        <v>-0.15570000000000001</v>
      </c>
      <c r="W1664" s="255">
        <f t="shared" si="357"/>
        <v>-0.15570000000000001</v>
      </c>
      <c r="X1664" s="255">
        <f t="shared" si="357"/>
        <v>-0.15570000000000001</v>
      </c>
      <c r="Y1664" s="255">
        <f>V1664</f>
        <v>-0.15570000000000001</v>
      </c>
      <c r="Z1664" s="255">
        <f>AA1664</f>
        <v>-0.15570000000000001</v>
      </c>
      <c r="AA1664" s="97">
        <f>-(0.1557)</f>
        <v>-0.15570000000000001</v>
      </c>
      <c r="AB1664" s="255">
        <f t="shared" si="358"/>
        <v>-0.15570000000000001</v>
      </c>
      <c r="AC1664" s="255">
        <f t="shared" si="358"/>
        <v>-0.15570000000000001</v>
      </c>
      <c r="AD1664" s="255">
        <f t="shared" si="358"/>
        <v>-0.15570000000000001</v>
      </c>
      <c r="AE1664" s="76"/>
      <c r="AF1664" s="97"/>
      <c r="AG1664" s="76"/>
      <c r="AH1664" s="97">
        <v>1</v>
      </c>
      <c r="AI1664" s="97">
        <v>1</v>
      </c>
      <c r="AJ1664" s="73"/>
      <c r="AK1664" s="57"/>
      <c r="AL1664" s="45"/>
      <c r="AM1664" s="45"/>
      <c r="AN1664" s="45"/>
    </row>
    <row r="1665" spans="1:40" hidden="1" outlineLevel="3" collapsed="1" x14ac:dyDescent="0.25">
      <c r="A1665" s="45"/>
      <c r="B1665" s="54"/>
      <c r="C1665" s="47">
        <f t="shared" si="359"/>
        <v>4</v>
      </c>
      <c r="D1665" s="73"/>
      <c r="E1665" s="70"/>
      <c r="F1665" s="70" t="s">
        <v>2391</v>
      </c>
      <c r="G1665" s="73"/>
      <c r="H1665" s="378" t="s">
        <v>2747</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25">
      <c r="A1666" s="45"/>
      <c r="B1666" s="54"/>
      <c r="C1666" s="47">
        <f t="shared" si="359"/>
        <v>4</v>
      </c>
      <c r="D1666" s="73"/>
      <c r="E1666" s="70"/>
      <c r="F1666" s="70" t="s">
        <v>2392</v>
      </c>
      <c r="G1666" s="73"/>
      <c r="H1666" s="377" t="s">
        <v>2485</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59"/>
        <v>4</v>
      </c>
      <c r="D1667" s="73"/>
      <c r="E1667" s="70"/>
      <c r="F1667" s="70" t="s">
        <v>2393</v>
      </c>
      <c r="G1667" s="73"/>
      <c r="H1667" s="377" t="s">
        <v>2486</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59"/>
        <v>4</v>
      </c>
      <c r="D1668" s="73"/>
      <c r="E1668" s="70"/>
      <c r="F1668" s="70" t="s">
        <v>2394</v>
      </c>
      <c r="G1668" s="73"/>
      <c r="H1668" s="377" t="s">
        <v>2487</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59"/>
        <v>4</v>
      </c>
      <c r="D1669" s="73"/>
      <c r="E1669" s="70"/>
      <c r="F1669" s="70" t="s">
        <v>2395</v>
      </c>
      <c r="G1669" s="73"/>
      <c r="H1669" s="377" t="s">
        <v>2488</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59"/>
        <v>4</v>
      </c>
      <c r="D1670" s="73"/>
      <c r="E1670" s="70"/>
      <c r="F1670" s="70" t="str">
        <f>SUBSTITUTE(F1666,",4)",",8)")</f>
        <v>C(U2,23,8)</v>
      </c>
      <c r="G1670" s="73"/>
      <c r="H1670" s="377" t="s">
        <v>2749</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59"/>
        <v>4</v>
      </c>
      <c r="D1671" s="73"/>
      <c r="E1671" s="70"/>
      <c r="F1671" s="70" t="str">
        <f>SUBSTITUTE(F1667,",5)",",9)")</f>
        <v>C(U2,23,9)</v>
      </c>
      <c r="G1671" s="73"/>
      <c r="H1671" s="377" t="s">
        <v>2750</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59"/>
        <v>4</v>
      </c>
      <c r="D1672" s="73"/>
      <c r="E1672" s="70"/>
      <c r="F1672" s="70" t="str">
        <f>SUBSTITUTE(F1668,",6)",",10)")</f>
        <v>C(U2,23,10)</v>
      </c>
      <c r="G1672" s="73"/>
      <c r="H1672" s="377" t="s">
        <v>2751</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outlineLevel="2" collapsed="1" x14ac:dyDescent="0.25">
      <c r="A1673" s="45"/>
      <c r="B1673" s="54"/>
      <c r="C1673" s="47">
        <f t="shared" si="359"/>
        <v>4</v>
      </c>
      <c r="D1673" s="73"/>
      <c r="E1673" s="70"/>
      <c r="F1673" s="70" t="str">
        <f>SUBSTITUTE(F1669,",7)",",11)")</f>
        <v>C(U2,23,11)</v>
      </c>
      <c r="G1673" s="73"/>
      <c r="H1673" s="377" t="s">
        <v>3349</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59"/>
        <v>4</v>
      </c>
      <c r="D1674" s="73"/>
      <c r="E1674" s="70"/>
      <c r="F1674" s="70" t="str">
        <f>SUBSTITUTE(F1668,",6)",",12)")</f>
        <v>C(U2,23,12)</v>
      </c>
      <c r="G1674" s="73"/>
      <c r="H1674" s="377" t="s">
        <v>3500</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59"/>
        <v>4</v>
      </c>
      <c r="D1675" s="73"/>
      <c r="E1675" s="70"/>
      <c r="F1675" s="70" t="s">
        <v>3501</v>
      </c>
      <c r="G1675" s="73"/>
      <c r="H1675" s="378" t="s">
        <v>2802</v>
      </c>
      <c r="I1675" s="96"/>
      <c r="J1675" s="76"/>
      <c r="K1675" s="76"/>
      <c r="L1675" s="76"/>
      <c r="M1675" s="76"/>
      <c r="N1675" s="76"/>
      <c r="O1675" s="76"/>
      <c r="P1675" s="76"/>
      <c r="Q1675" s="76"/>
      <c r="R1675" s="76"/>
      <c r="S1675" s="76"/>
      <c r="T1675" s="76"/>
      <c r="U1675" s="337">
        <f t="shared" ref="U1675:AD1675" si="360">-U$1662/(2*U$1663)</f>
        <v>3.2976444621340955</v>
      </c>
      <c r="V1675" s="337">
        <f t="shared" si="360"/>
        <v>3.2976444621340955</v>
      </c>
      <c r="W1675" s="337">
        <f t="shared" si="360"/>
        <v>3.2976444621340955</v>
      </c>
      <c r="X1675" s="337">
        <f t="shared" si="360"/>
        <v>3.2976444621340955</v>
      </c>
      <c r="Y1675" s="337">
        <f t="shared" si="360"/>
        <v>3.2976444621340955</v>
      </c>
      <c r="Z1675" s="337">
        <f t="shared" si="360"/>
        <v>3.2976444621340955</v>
      </c>
      <c r="AA1675" s="337">
        <f t="shared" si="360"/>
        <v>3.2976444621340955</v>
      </c>
      <c r="AB1675" s="337">
        <f t="shared" si="360"/>
        <v>3.2976444621340955</v>
      </c>
      <c r="AC1675" s="337">
        <f t="shared" si="360"/>
        <v>3.2976444621340955</v>
      </c>
      <c r="AD1675" s="337">
        <f t="shared" si="360"/>
        <v>3.2976444621340955</v>
      </c>
      <c r="AE1675" s="76"/>
      <c r="AF1675" s="76"/>
      <c r="AG1675" s="76"/>
      <c r="AH1675" s="76">
        <v>1</v>
      </c>
      <c r="AI1675" s="76">
        <v>1</v>
      </c>
      <c r="AJ1675" s="73"/>
      <c r="AK1675" s="57"/>
      <c r="AL1675" s="45"/>
      <c r="AM1675" s="45"/>
      <c r="AN1675" s="45"/>
    </row>
    <row r="1676" spans="1:40" outlineLevel="2" x14ac:dyDescent="0.25">
      <c r="A1676" s="45"/>
      <c r="B1676" s="54"/>
      <c r="C1676" s="47">
        <f>INT($C$29)+2</f>
        <v>3</v>
      </c>
      <c r="D1676" s="73"/>
      <c r="E1676" s="70"/>
      <c r="F1676" s="70" t="s">
        <v>2396</v>
      </c>
      <c r="G1676" s="73"/>
      <c r="H1676" s="76" t="s">
        <v>2748</v>
      </c>
      <c r="I1676" s="76"/>
      <c r="J1676" s="76"/>
      <c r="K1676" s="76"/>
      <c r="L1676" s="76"/>
      <c r="M1676" s="76"/>
      <c r="N1676" s="76"/>
      <c r="O1676" s="76"/>
      <c r="P1676" s="76"/>
      <c r="Q1676" s="76"/>
      <c r="R1676" s="76"/>
      <c r="S1676" s="76"/>
      <c r="T1676" s="76"/>
      <c r="U1676" s="97">
        <f>AA1676-(1.61859)</f>
        <v>2.0276899999999998</v>
      </c>
      <c r="V1676" s="255">
        <f t="shared" ref="V1676:V1681" si="361">U1676</f>
        <v>2.0276899999999998</v>
      </c>
      <c r="W1676" s="255">
        <f t="shared" ref="W1676:X1681" si="362">U1676</f>
        <v>2.0276899999999998</v>
      </c>
      <c r="X1676" s="255">
        <f t="shared" si="362"/>
        <v>2.0276899999999998</v>
      </c>
      <c r="Y1676" s="255">
        <f t="shared" ref="Y1676:Y1681" si="363">V1676</f>
        <v>2.0276899999999998</v>
      </c>
      <c r="Z1676" s="255">
        <f t="shared" ref="Z1676:Z1681" si="364">AA1676</f>
        <v>3.64628</v>
      </c>
      <c r="AA1676" s="97">
        <f>-(-3.64628)</f>
        <v>3.64628</v>
      </c>
      <c r="AB1676" s="255">
        <f t="shared" ref="AB1676:AD1681" si="365">AA1676</f>
        <v>3.64628</v>
      </c>
      <c r="AC1676" s="255">
        <f t="shared" si="365"/>
        <v>3.64628</v>
      </c>
      <c r="AD1676" s="255">
        <f t="shared" si="365"/>
        <v>3.64628</v>
      </c>
      <c r="AE1676" s="76"/>
      <c r="AF1676" s="97"/>
      <c r="AG1676" s="76"/>
      <c r="AH1676" s="97">
        <v>1</v>
      </c>
      <c r="AI1676" s="97">
        <v>1</v>
      </c>
      <c r="AJ1676" s="73"/>
      <c r="AK1676" s="57"/>
      <c r="AL1676" s="45"/>
      <c r="AM1676" s="45"/>
      <c r="AN1676" s="45"/>
    </row>
    <row r="1677" spans="1:40" outlineLevel="2" x14ac:dyDescent="0.25">
      <c r="A1677" s="45"/>
      <c r="B1677" s="54"/>
      <c r="C1677" s="47">
        <f>INT($C$29)+2</f>
        <v>3</v>
      </c>
      <c r="D1677" s="73"/>
      <c r="E1677" s="70"/>
      <c r="F1677" s="70" t="s">
        <v>2397</v>
      </c>
      <c r="G1677" s="73"/>
      <c r="H1677" s="76" t="s">
        <v>2463</v>
      </c>
      <c r="I1677" s="76"/>
      <c r="J1677" s="76"/>
      <c r="K1677" s="76"/>
      <c r="L1677" s="76"/>
      <c r="M1677" s="76"/>
      <c r="N1677" s="76"/>
      <c r="O1677" s="76"/>
      <c r="P1677" s="76"/>
      <c r="Q1677" s="76"/>
      <c r="R1677" s="76"/>
      <c r="S1677" s="76"/>
      <c r="T1677" s="76"/>
      <c r="U1677" s="97">
        <v>-0.43659999999999999</v>
      </c>
      <c r="V1677" s="255">
        <f t="shared" si="361"/>
        <v>-0.43659999999999999</v>
      </c>
      <c r="W1677" s="255">
        <f t="shared" si="362"/>
        <v>-0.43659999999999999</v>
      </c>
      <c r="X1677" s="255">
        <f t="shared" si="362"/>
        <v>-0.43659999999999999</v>
      </c>
      <c r="Y1677" s="255">
        <f t="shared" si="363"/>
        <v>-0.43659999999999999</v>
      </c>
      <c r="Z1677" s="255">
        <f t="shared" si="364"/>
        <v>-0.54688000000000003</v>
      </c>
      <c r="AA1677" s="97">
        <v>-0.54688000000000003</v>
      </c>
      <c r="AB1677" s="255">
        <f t="shared" si="365"/>
        <v>-0.54688000000000003</v>
      </c>
      <c r="AC1677" s="255">
        <f t="shared" si="365"/>
        <v>-0.54688000000000003</v>
      </c>
      <c r="AD1677" s="255">
        <f t="shared" si="365"/>
        <v>-0.54688000000000003</v>
      </c>
      <c r="AE1677" s="76"/>
      <c r="AF1677" s="97" t="s">
        <v>2562</v>
      </c>
      <c r="AG1677" s="76"/>
      <c r="AH1677" s="97">
        <v>1</v>
      </c>
      <c r="AI1677" s="97">
        <v>1</v>
      </c>
      <c r="AJ1677" s="73"/>
      <c r="AK1677" s="57"/>
      <c r="AL1677" s="45"/>
      <c r="AM1677" s="45"/>
      <c r="AN1677" s="45"/>
    </row>
    <row r="1678" spans="1:40" outlineLevel="2" x14ac:dyDescent="0.25">
      <c r="A1678" s="45"/>
      <c r="B1678" s="54"/>
      <c r="C1678" s="47">
        <f>INT($C$29)+2</f>
        <v>3</v>
      </c>
      <c r="D1678" s="73"/>
      <c r="E1678" s="70"/>
      <c r="F1678" s="70" t="s">
        <v>2398</v>
      </c>
      <c r="G1678" s="73"/>
      <c r="H1678" s="76" t="s">
        <v>2477</v>
      </c>
      <c r="I1678" s="76"/>
      <c r="J1678" s="76"/>
      <c r="K1678" s="76"/>
      <c r="L1678" s="76"/>
      <c r="M1678" s="76"/>
      <c r="N1678" s="76"/>
      <c r="O1678" s="76"/>
      <c r="P1678" s="76"/>
      <c r="Q1678" s="76"/>
      <c r="R1678" s="76"/>
      <c r="S1678" s="76"/>
      <c r="T1678" s="76"/>
      <c r="U1678" s="97">
        <v>3.7200000000000002E-3</v>
      </c>
      <c r="V1678" s="255">
        <f t="shared" si="361"/>
        <v>3.7200000000000002E-3</v>
      </c>
      <c r="W1678" s="255">
        <f t="shared" si="362"/>
        <v>3.7200000000000002E-3</v>
      </c>
      <c r="X1678" s="255">
        <f t="shared" si="362"/>
        <v>3.7200000000000002E-3</v>
      </c>
      <c r="Y1678" s="255">
        <f t="shared" si="363"/>
        <v>3.7200000000000002E-3</v>
      </c>
      <c r="Z1678" s="255">
        <f t="shared" si="364"/>
        <v>5.4739999999999997E-3</v>
      </c>
      <c r="AA1678" s="97">
        <v>5.4739999999999997E-3</v>
      </c>
      <c r="AB1678" s="255">
        <f t="shared" si="365"/>
        <v>5.4739999999999997E-3</v>
      </c>
      <c r="AC1678" s="255">
        <f t="shared" si="365"/>
        <v>5.4739999999999997E-3</v>
      </c>
      <c r="AD1678" s="255">
        <f t="shared" si="365"/>
        <v>5.4739999999999997E-3</v>
      </c>
      <c r="AE1678" s="76"/>
      <c r="AF1678" s="97" t="s">
        <v>3348</v>
      </c>
      <c r="AG1678" s="76"/>
      <c r="AH1678" s="97">
        <v>1</v>
      </c>
      <c r="AI1678" s="97">
        <v>1</v>
      </c>
      <c r="AJ1678" s="73"/>
      <c r="AK1678" s="57"/>
      <c r="AL1678" s="45"/>
      <c r="AM1678" s="45"/>
      <c r="AN1678" s="45"/>
    </row>
    <row r="1679" spans="1:40" outlineLevel="2" x14ac:dyDescent="0.25">
      <c r="A1679" s="45"/>
      <c r="B1679" s="54"/>
      <c r="C1679" s="47">
        <f t="shared" ref="C1679:C1690" si="366">INT($C$29)+3</f>
        <v>4</v>
      </c>
      <c r="D1679" s="73"/>
      <c r="E1679" s="70"/>
      <c r="F1679" s="70" t="s">
        <v>2399</v>
      </c>
      <c r="G1679" s="73"/>
      <c r="H1679" s="378" t="s">
        <v>2794</v>
      </c>
      <c r="I1679" s="76"/>
      <c r="J1679" s="76"/>
      <c r="K1679" s="76"/>
      <c r="L1679" s="76"/>
      <c r="M1679" s="76"/>
      <c r="N1679" s="76"/>
      <c r="O1679" s="76"/>
      <c r="P1679" s="76"/>
      <c r="Q1679" s="76"/>
      <c r="R1679" s="76"/>
      <c r="S1679" s="76"/>
      <c r="T1679" s="76"/>
      <c r="U1679" s="97">
        <v>-5.1499999999999997E-2</v>
      </c>
      <c r="V1679" s="255">
        <f t="shared" si="361"/>
        <v>-5.1499999999999997E-2</v>
      </c>
      <c r="W1679" s="255">
        <f t="shared" si="362"/>
        <v>-5.1499999999999997E-2</v>
      </c>
      <c r="X1679" s="255">
        <f t="shared" si="362"/>
        <v>-5.1499999999999997E-2</v>
      </c>
      <c r="Y1679" s="255">
        <f t="shared" si="363"/>
        <v>-5.1499999999999997E-2</v>
      </c>
      <c r="Z1679" s="255">
        <f t="shared" si="364"/>
        <v>-2.75E-2</v>
      </c>
      <c r="AA1679" s="97">
        <v>-2.75E-2</v>
      </c>
      <c r="AB1679" s="255">
        <f t="shared" si="365"/>
        <v>-2.75E-2</v>
      </c>
      <c r="AC1679" s="255">
        <f t="shared" si="365"/>
        <v>-2.75E-2</v>
      </c>
      <c r="AD1679" s="255">
        <f t="shared" si="365"/>
        <v>-2.75E-2</v>
      </c>
      <c r="AE1679" s="76"/>
      <c r="AF1679" s="76"/>
      <c r="AG1679" s="76"/>
      <c r="AH1679" s="97">
        <v>1</v>
      </c>
      <c r="AI1679" s="97">
        <v>1</v>
      </c>
      <c r="AJ1679" s="73"/>
      <c r="AK1679" s="57"/>
      <c r="AL1679" s="45"/>
      <c r="AM1679" s="45"/>
      <c r="AN1679" s="45"/>
    </row>
    <row r="1680" spans="1:40" outlineLevel="2" x14ac:dyDescent="0.25">
      <c r="A1680" s="45"/>
      <c r="B1680" s="54"/>
      <c r="C1680" s="47">
        <f t="shared" si="366"/>
        <v>4</v>
      </c>
      <c r="D1680" s="73"/>
      <c r="E1680" s="70"/>
      <c r="F1680" s="70" t="s">
        <v>2400</v>
      </c>
      <c r="G1680" s="73"/>
      <c r="H1680" s="378" t="s">
        <v>2795</v>
      </c>
      <c r="I1680" s="76"/>
      <c r="J1680" s="76"/>
      <c r="K1680" s="76"/>
      <c r="L1680" s="76"/>
      <c r="M1680" s="76"/>
      <c r="N1680" s="76"/>
      <c r="O1680" s="76"/>
      <c r="P1680" s="76"/>
      <c r="Q1680" s="76"/>
      <c r="R1680" s="76"/>
      <c r="S1680" s="76"/>
      <c r="T1680" s="76"/>
      <c r="U1680" s="97">
        <f>-U1679/(2*9.5*30.4)</f>
        <v>8.916204986149583E-5</v>
      </c>
      <c r="V1680" s="255">
        <f t="shared" si="361"/>
        <v>8.916204986149583E-5</v>
      </c>
      <c r="W1680" s="255">
        <f t="shared" si="362"/>
        <v>8.916204986149583E-5</v>
      </c>
      <c r="X1680" s="255">
        <f t="shared" si="362"/>
        <v>8.916204986149583E-5</v>
      </c>
      <c r="Y1680" s="255">
        <f t="shared" si="363"/>
        <v>8.916204986149583E-5</v>
      </c>
      <c r="Z1680" s="255">
        <f t="shared" si="364"/>
        <v>4.7610803324099718E-5</v>
      </c>
      <c r="AA1680" s="97">
        <f>-AA1679/(2*9.5*30.4)</f>
        <v>4.7610803324099718E-5</v>
      </c>
      <c r="AB1680" s="255">
        <f t="shared" si="365"/>
        <v>4.7610803324099718E-5</v>
      </c>
      <c r="AC1680" s="255">
        <f t="shared" si="365"/>
        <v>4.7610803324099718E-5</v>
      </c>
      <c r="AD1680" s="255">
        <f t="shared" si="365"/>
        <v>4.7610803324099718E-5</v>
      </c>
      <c r="AE1680" s="76"/>
      <c r="AF1680" s="76"/>
      <c r="AG1680" s="76"/>
      <c r="AH1680" s="76">
        <v>1</v>
      </c>
      <c r="AI1680" s="76">
        <v>1</v>
      </c>
      <c r="AJ1680" s="73"/>
      <c r="AK1680" s="57"/>
      <c r="AL1680" s="45"/>
      <c r="AM1680" s="45"/>
      <c r="AN1680" s="45"/>
    </row>
    <row r="1681" spans="1:40" outlineLevel="2" collapsed="1" x14ac:dyDescent="0.25">
      <c r="A1681" s="45"/>
      <c r="B1681" s="54"/>
      <c r="C1681" s="47">
        <f t="shared" si="366"/>
        <v>4</v>
      </c>
      <c r="D1681" s="73"/>
      <c r="E1681" s="70"/>
      <c r="F1681" s="70" t="s">
        <v>2401</v>
      </c>
      <c r="G1681" s="73"/>
      <c r="H1681" s="378" t="s">
        <v>2796</v>
      </c>
      <c r="I1681" s="76"/>
      <c r="J1681" s="76"/>
      <c r="K1681" s="76"/>
      <c r="L1681" s="76"/>
      <c r="M1681" s="76"/>
      <c r="N1681" s="76"/>
      <c r="O1681" s="76"/>
      <c r="P1681" s="76"/>
      <c r="Q1681" s="76"/>
      <c r="R1681" s="76"/>
      <c r="S1681" s="76"/>
      <c r="T1681" s="76"/>
      <c r="U1681" s="97">
        <v>-4.0000000000000001E-3</v>
      </c>
      <c r="V1681" s="255">
        <f t="shared" si="361"/>
        <v>-4.0000000000000001E-3</v>
      </c>
      <c r="W1681" s="255">
        <f t="shared" si="362"/>
        <v>-4.0000000000000001E-3</v>
      </c>
      <c r="X1681" s="255">
        <f t="shared" si="362"/>
        <v>-4.0000000000000001E-3</v>
      </c>
      <c r="Y1681" s="255">
        <f t="shared" si="363"/>
        <v>-4.0000000000000001E-3</v>
      </c>
      <c r="Z1681" s="255">
        <f t="shared" si="364"/>
        <v>-4.0000000000000001E-3</v>
      </c>
      <c r="AA1681" s="97">
        <v>-4.0000000000000001E-3</v>
      </c>
      <c r="AB1681" s="255">
        <f t="shared" si="365"/>
        <v>-4.0000000000000001E-3</v>
      </c>
      <c r="AC1681" s="255">
        <f t="shared" si="365"/>
        <v>-4.0000000000000001E-3</v>
      </c>
      <c r="AD1681" s="255">
        <f t="shared" si="365"/>
        <v>-4.0000000000000001E-3</v>
      </c>
      <c r="AE1681" s="76"/>
      <c r="AF1681" s="76"/>
      <c r="AG1681" s="76"/>
      <c r="AH1681" s="97">
        <v>1</v>
      </c>
      <c r="AI1681" s="97">
        <v>1</v>
      </c>
      <c r="AJ1681" s="73"/>
      <c r="AK1681" s="57"/>
      <c r="AL1681" s="45"/>
      <c r="AM1681" s="45"/>
      <c r="AN1681" s="45"/>
    </row>
    <row r="1682" spans="1:40" hidden="1" outlineLevel="3" x14ac:dyDescent="0.25">
      <c r="A1682" s="45"/>
      <c r="B1682" s="54"/>
      <c r="C1682" s="47">
        <f t="shared" si="366"/>
        <v>4</v>
      </c>
      <c r="D1682" s="73"/>
      <c r="E1682" s="70"/>
      <c r="F1682" s="70" t="s">
        <v>2402</v>
      </c>
      <c r="G1682" s="73"/>
      <c r="H1682" s="377" t="s">
        <v>2797</v>
      </c>
      <c r="I1682" s="76"/>
      <c r="J1682" s="76"/>
      <c r="K1682" s="76"/>
      <c r="L1682" s="76"/>
      <c r="M1682" s="76"/>
      <c r="N1682" s="76"/>
      <c r="O1682" s="76"/>
      <c r="P1682" s="76"/>
      <c r="Q1682" s="76"/>
      <c r="R1682" s="76"/>
      <c r="S1682" s="76"/>
      <c r="T1682" s="76"/>
      <c r="U1682" s="76">
        <v>0</v>
      </c>
      <c r="V1682" s="76">
        <v>0</v>
      </c>
      <c r="W1682" s="76">
        <v>0</v>
      </c>
      <c r="X1682" s="76">
        <v>0</v>
      </c>
      <c r="Y1682" s="76">
        <v>0</v>
      </c>
      <c r="Z1682" s="76">
        <v>0</v>
      </c>
      <c r="AA1682" s="76">
        <v>0</v>
      </c>
      <c r="AB1682" s="76">
        <v>0</v>
      </c>
      <c r="AC1682" s="76">
        <v>0</v>
      </c>
      <c r="AD1682" s="76">
        <v>0</v>
      </c>
      <c r="AE1682" s="76"/>
      <c r="AF1682" s="76"/>
      <c r="AG1682" s="76"/>
      <c r="AH1682" s="76">
        <v>1</v>
      </c>
      <c r="AI1682" s="76">
        <v>1</v>
      </c>
      <c r="AJ1682" s="73"/>
      <c r="AK1682" s="57"/>
      <c r="AL1682" s="45"/>
      <c r="AM1682" s="45"/>
      <c r="AN1682" s="45"/>
    </row>
    <row r="1683" spans="1:40" outlineLevel="2" collapsed="1" x14ac:dyDescent="0.25">
      <c r="A1683" s="45"/>
      <c r="B1683" s="54"/>
      <c r="C1683" s="47">
        <f t="shared" si="366"/>
        <v>4</v>
      </c>
      <c r="D1683" s="73"/>
      <c r="E1683" s="70"/>
      <c r="F1683" s="70" t="s">
        <v>2403</v>
      </c>
      <c r="G1683" s="73"/>
      <c r="H1683" s="378" t="s">
        <v>2798</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25">
      <c r="A1684" s="45"/>
      <c r="B1684" s="54"/>
      <c r="C1684" s="47">
        <f t="shared" si="366"/>
        <v>4</v>
      </c>
      <c r="D1684" s="73"/>
      <c r="E1684" s="70"/>
      <c r="F1684" s="70" t="s">
        <v>2404</v>
      </c>
      <c r="G1684" s="73"/>
      <c r="H1684" s="377" t="s">
        <v>2799</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25">
      <c r="A1685" s="45"/>
      <c r="B1685" s="54"/>
      <c r="C1685" s="47">
        <f t="shared" si="366"/>
        <v>4</v>
      </c>
      <c r="D1685" s="73"/>
      <c r="E1685" s="70"/>
      <c r="F1685" s="70" t="str">
        <f>SUBSTITUTE(F1681,",4)",",8)")</f>
        <v>C(U2,24,8)</v>
      </c>
      <c r="G1685" s="73"/>
      <c r="H1685" s="378" t="s">
        <v>2793</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outlineLevel="2" x14ac:dyDescent="0.25">
      <c r="A1686" s="45"/>
      <c r="B1686" s="54"/>
      <c r="C1686" s="47">
        <f t="shared" si="366"/>
        <v>4</v>
      </c>
      <c r="D1686" s="73"/>
      <c r="E1686" s="70"/>
      <c r="F1686" s="70" t="str">
        <f>SUBSTITUTE(F1682,",5)",",9)")</f>
        <v>C(U2,24,9)</v>
      </c>
      <c r="G1686" s="73"/>
      <c r="H1686" s="378" t="s">
        <v>2790</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outlineLevel="2" x14ac:dyDescent="0.25">
      <c r="A1687" s="45"/>
      <c r="B1687" s="54"/>
      <c r="C1687" s="47">
        <f t="shared" si="366"/>
        <v>4</v>
      </c>
      <c r="D1687" s="73"/>
      <c r="E1687" s="70"/>
      <c r="F1687" s="70" t="str">
        <f>SUBSTITUTE(F1683,",6)",",10)")</f>
        <v>C(U2,24,10)</v>
      </c>
      <c r="G1687" s="73"/>
      <c r="H1687" s="378" t="s">
        <v>2791</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outlineLevel="2" x14ac:dyDescent="0.25">
      <c r="A1688" s="45"/>
      <c r="B1688" s="54"/>
      <c r="C1688" s="47">
        <f t="shared" si="366"/>
        <v>4</v>
      </c>
      <c r="D1688" s="73"/>
      <c r="E1688" s="70"/>
      <c r="F1688" s="70" t="str">
        <f>SUBSTITUTE(F1684,",7)",",11)")</f>
        <v>C(U2,24,11)</v>
      </c>
      <c r="G1688" s="73"/>
      <c r="H1688" s="378" t="s">
        <v>2792</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25">
      <c r="A1689" s="45"/>
      <c r="B1689" s="54"/>
      <c r="C1689" s="47">
        <f t="shared" si="366"/>
        <v>4</v>
      </c>
      <c r="D1689" s="73"/>
      <c r="E1689" s="70"/>
      <c r="F1689" s="70" t="s">
        <v>3341</v>
      </c>
      <c r="G1689" s="73"/>
      <c r="H1689" s="378" t="s">
        <v>3340</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25">
      <c r="A1690" s="45"/>
      <c r="B1690" s="54"/>
      <c r="C1690" s="47">
        <f t="shared" si="366"/>
        <v>4</v>
      </c>
      <c r="D1690" s="73"/>
      <c r="E1690" s="70"/>
      <c r="F1690" s="70" t="s">
        <v>3342</v>
      </c>
      <c r="G1690" s="73"/>
      <c r="H1690" s="378" t="s">
        <v>3339</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25">
      <c r="A1691" s="45"/>
      <c r="B1691" s="54"/>
      <c r="C1691" s="47">
        <f>INT($C$29)+2</f>
        <v>3</v>
      </c>
      <c r="D1691" s="73"/>
      <c r="E1691" s="70"/>
      <c r="F1691" s="70" t="s">
        <v>2405</v>
      </c>
      <c r="G1691" s="73"/>
      <c r="H1691" s="76" t="s">
        <v>2800</v>
      </c>
      <c r="I1691" s="76"/>
      <c r="J1691" s="76"/>
      <c r="K1691" s="76"/>
      <c r="L1691" s="76"/>
      <c r="M1691" s="76"/>
      <c r="N1691" s="76"/>
      <c r="O1691" s="76"/>
      <c r="P1691" s="76"/>
      <c r="Q1691" s="76"/>
      <c r="R1691" s="76"/>
      <c r="S1691" s="76"/>
      <c r="T1691" s="76"/>
      <c r="U1691" s="97">
        <f>19.4829</f>
        <v>19.482900000000001</v>
      </c>
      <c r="V1691" s="255">
        <f>U1691</f>
        <v>19.482900000000001</v>
      </c>
      <c r="W1691" s="255">
        <f t="shared" ref="W1691:X1709" si="367">U1691</f>
        <v>19.482900000000001</v>
      </c>
      <c r="X1691" s="255">
        <f t="shared" si="367"/>
        <v>19.482900000000001</v>
      </c>
      <c r="Y1691" s="255">
        <f>V1691</f>
        <v>19.482900000000001</v>
      </c>
      <c r="Z1691" s="255">
        <f>AA1691</f>
        <v>16.702999999999999</v>
      </c>
      <c r="AA1691" s="97">
        <v>16.702999999999999</v>
      </c>
      <c r="AB1691" s="255">
        <f t="shared" ref="AB1691:AD1709" si="368">AA1691</f>
        <v>16.702999999999999</v>
      </c>
      <c r="AC1691" s="255">
        <f t="shared" si="368"/>
        <v>16.702999999999999</v>
      </c>
      <c r="AD1691" s="255">
        <f t="shared" si="368"/>
        <v>16.702999999999999</v>
      </c>
      <c r="AE1691" s="76"/>
      <c r="AF1691" s="76"/>
      <c r="AG1691" s="76"/>
      <c r="AH1691" s="97">
        <v>1</v>
      </c>
      <c r="AI1691" s="97">
        <v>1</v>
      </c>
      <c r="AJ1691" s="73"/>
      <c r="AK1691" s="57"/>
      <c r="AL1691" s="45"/>
      <c r="AM1691" s="45"/>
      <c r="AN1691" s="45"/>
    </row>
    <row r="1692" spans="1:40" outlineLevel="2" x14ac:dyDescent="0.25">
      <c r="A1692" s="45"/>
      <c r="B1692" s="54"/>
      <c r="C1692" s="47">
        <f>INT($C$29)+2</f>
        <v>3</v>
      </c>
      <c r="D1692" s="73"/>
      <c r="E1692" s="70"/>
      <c r="F1692" s="70" t="s">
        <v>2454</v>
      </c>
      <c r="G1692" s="73"/>
      <c r="H1692" s="76" t="s">
        <v>3336</v>
      </c>
      <c r="I1692" s="76"/>
      <c r="J1692" s="76"/>
      <c r="K1692" s="76"/>
      <c r="L1692" s="76"/>
      <c r="M1692" s="76"/>
      <c r="N1692" s="76"/>
      <c r="O1692" s="76"/>
      <c r="P1692" s="76"/>
      <c r="Q1692" s="76"/>
      <c r="R1692" s="76"/>
      <c r="S1692" s="76"/>
      <c r="T1692" s="76"/>
      <c r="U1692" s="97">
        <v>-9.8000000000000004E-2</v>
      </c>
      <c r="V1692" s="255">
        <f t="shared" ref="V1692:V1706" si="369">U1692</f>
        <v>-9.8000000000000004E-2</v>
      </c>
      <c r="W1692" s="255">
        <f t="shared" si="367"/>
        <v>-9.8000000000000004E-2</v>
      </c>
      <c r="X1692" s="255">
        <f t="shared" si="367"/>
        <v>-9.8000000000000004E-2</v>
      </c>
      <c r="Y1692" s="255">
        <f>V1692</f>
        <v>-9.8000000000000004E-2</v>
      </c>
      <c r="Z1692" s="255">
        <f>AA1692</f>
        <v>-3.9480000000000001E-2</v>
      </c>
      <c r="AA1692" s="97">
        <v>-3.9480000000000001E-2</v>
      </c>
      <c r="AB1692" s="255">
        <f t="shared" si="368"/>
        <v>-3.9480000000000001E-2</v>
      </c>
      <c r="AC1692" s="255">
        <f t="shared" si="368"/>
        <v>-3.9480000000000001E-2</v>
      </c>
      <c r="AD1692" s="255">
        <f t="shared" si="368"/>
        <v>-3.9480000000000001E-2</v>
      </c>
      <c r="AE1692" s="76"/>
      <c r="AF1692" s="97" t="s">
        <v>2801</v>
      </c>
      <c r="AG1692" s="76"/>
      <c r="AH1692" s="97">
        <v>1</v>
      </c>
      <c r="AI1692" s="97">
        <v>1</v>
      </c>
      <c r="AJ1692" s="73"/>
      <c r="AK1692" s="57"/>
      <c r="AL1692" s="45"/>
      <c r="AM1692" s="45"/>
      <c r="AN1692" s="45"/>
    </row>
    <row r="1693" spans="1:40" outlineLevel="2" collapsed="1" x14ac:dyDescent="0.25">
      <c r="A1693" s="45"/>
      <c r="B1693" s="54"/>
      <c r="C1693" s="47">
        <f>INT($C$29)+2</f>
        <v>3</v>
      </c>
      <c r="D1693" s="73"/>
      <c r="E1693" s="70"/>
      <c r="F1693" s="70" t="s">
        <v>2455</v>
      </c>
      <c r="G1693" s="73"/>
      <c r="H1693" s="76" t="s">
        <v>2478</v>
      </c>
      <c r="I1693" s="76"/>
      <c r="J1693" s="76"/>
      <c r="K1693" s="76"/>
      <c r="L1693" s="76"/>
      <c r="M1693" s="76"/>
      <c r="N1693" s="76"/>
      <c r="O1693" s="76"/>
      <c r="P1693" s="76"/>
      <c r="Q1693" s="76"/>
      <c r="R1693" s="76"/>
      <c r="S1693" s="76"/>
      <c r="T1693" s="76"/>
      <c r="U1693" s="97">
        <v>0</v>
      </c>
      <c r="V1693" s="255">
        <f t="shared" si="369"/>
        <v>0</v>
      </c>
      <c r="W1693" s="255">
        <f t="shared" si="367"/>
        <v>0</v>
      </c>
      <c r="X1693" s="255">
        <f t="shared" si="367"/>
        <v>0</v>
      </c>
      <c r="Y1693" s="255">
        <f>V1693</f>
        <v>0</v>
      </c>
      <c r="Z1693" s="255">
        <f>AA1693</f>
        <v>0</v>
      </c>
      <c r="AA1693" s="97">
        <v>0</v>
      </c>
      <c r="AB1693" s="255">
        <f t="shared" si="368"/>
        <v>0</v>
      </c>
      <c r="AC1693" s="255">
        <f t="shared" si="368"/>
        <v>0</v>
      </c>
      <c r="AD1693" s="255">
        <f t="shared" si="368"/>
        <v>0</v>
      </c>
      <c r="AE1693" s="76"/>
      <c r="AF1693" s="76"/>
      <c r="AG1693" s="76"/>
      <c r="AH1693" s="97">
        <v>1</v>
      </c>
      <c r="AI1693" s="97">
        <v>1</v>
      </c>
      <c r="AJ1693" s="73"/>
      <c r="AK1693" s="57"/>
      <c r="AL1693" s="45"/>
      <c r="AM1693" s="45"/>
      <c r="AN1693" s="45"/>
    </row>
    <row r="1694" spans="1:40" hidden="1" outlineLevel="3" collapsed="1" x14ac:dyDescent="0.25">
      <c r="A1694" s="45"/>
      <c r="B1694" s="54"/>
      <c r="C1694" s="47">
        <f t="shared" ref="C1694:C1705" si="370">INT($C$29)+3</f>
        <v>4</v>
      </c>
      <c r="D1694" s="73"/>
      <c r="E1694" s="70"/>
      <c r="F1694" s="70" t="s">
        <v>2456</v>
      </c>
      <c r="G1694" s="73"/>
      <c r="H1694" s="378" t="s">
        <v>2479</v>
      </c>
      <c r="I1694" s="76"/>
      <c r="J1694" s="76"/>
      <c r="K1694" s="76"/>
      <c r="L1694" s="76"/>
      <c r="M1694" s="76"/>
      <c r="N1694" s="76"/>
      <c r="O1694" s="76"/>
      <c r="P1694" s="76"/>
      <c r="Q1694" s="76"/>
      <c r="R1694" s="76"/>
      <c r="S1694" s="76"/>
      <c r="T1694" s="76"/>
      <c r="U1694" s="97">
        <v>0</v>
      </c>
      <c r="V1694" s="255">
        <f t="shared" si="369"/>
        <v>0</v>
      </c>
      <c r="W1694" s="255">
        <f t="shared" si="367"/>
        <v>0</v>
      </c>
      <c r="X1694" s="255">
        <f t="shared" si="367"/>
        <v>0</v>
      </c>
      <c r="Y1694" s="255">
        <f>V1694</f>
        <v>0</v>
      </c>
      <c r="Z1694" s="255">
        <f>AA1694</f>
        <v>0</v>
      </c>
      <c r="AA1694" s="97">
        <v>0</v>
      </c>
      <c r="AB1694" s="255">
        <f t="shared" si="368"/>
        <v>0</v>
      </c>
      <c r="AC1694" s="255">
        <f t="shared" si="368"/>
        <v>0</v>
      </c>
      <c r="AD1694" s="255">
        <f t="shared" si="368"/>
        <v>0</v>
      </c>
      <c r="AE1694" s="76"/>
      <c r="AF1694" s="76"/>
      <c r="AG1694" s="76"/>
      <c r="AH1694" s="97">
        <v>1</v>
      </c>
      <c r="AI1694" s="97">
        <v>1</v>
      </c>
      <c r="AJ1694" s="73"/>
      <c r="AK1694" s="57"/>
      <c r="AL1694" s="45"/>
      <c r="AM1694" s="45"/>
      <c r="AN1694" s="45"/>
    </row>
    <row r="1695" spans="1:40" hidden="1" outlineLevel="3" x14ac:dyDescent="0.25">
      <c r="A1695" s="45"/>
      <c r="B1695" s="54"/>
      <c r="C1695" s="47">
        <f t="shared" si="370"/>
        <v>4</v>
      </c>
      <c r="D1695" s="73"/>
      <c r="E1695" s="70"/>
      <c r="F1695" s="70" t="s">
        <v>2457</v>
      </c>
      <c r="G1695" s="73"/>
      <c r="H1695" s="378" t="s">
        <v>2737</v>
      </c>
      <c r="I1695" s="76"/>
      <c r="J1695" s="76"/>
      <c r="K1695" s="76"/>
      <c r="L1695" s="76"/>
      <c r="M1695" s="76"/>
      <c r="N1695" s="76"/>
      <c r="O1695" s="76"/>
      <c r="P1695" s="76"/>
      <c r="Q1695" s="76"/>
      <c r="R1695" s="76"/>
      <c r="S1695" s="76"/>
      <c r="T1695" s="76"/>
      <c r="U1695" s="76">
        <v>0</v>
      </c>
      <c r="V1695" s="255">
        <f t="shared" si="369"/>
        <v>0</v>
      </c>
      <c r="W1695" s="76">
        <v>0</v>
      </c>
      <c r="X1695" s="76">
        <v>0</v>
      </c>
      <c r="Y1695" s="76">
        <v>0</v>
      </c>
      <c r="Z1695" s="76">
        <v>0</v>
      </c>
      <c r="AA1695" s="76">
        <v>0</v>
      </c>
      <c r="AB1695" s="76">
        <v>0</v>
      </c>
      <c r="AC1695" s="76">
        <v>0</v>
      </c>
      <c r="AD1695" s="76">
        <v>0</v>
      </c>
      <c r="AE1695" s="76"/>
      <c r="AF1695" s="76"/>
      <c r="AG1695" s="76"/>
      <c r="AH1695" s="76">
        <v>1</v>
      </c>
      <c r="AI1695" s="76">
        <v>1</v>
      </c>
      <c r="AJ1695" s="73"/>
      <c r="AK1695" s="57"/>
      <c r="AL1695" s="45"/>
      <c r="AM1695" s="45"/>
      <c r="AN1695" s="45"/>
    </row>
    <row r="1696" spans="1:40" outlineLevel="2" collapsed="1" x14ac:dyDescent="0.25">
      <c r="A1696" s="45"/>
      <c r="B1696" s="54"/>
      <c r="C1696" s="47">
        <f t="shared" si="370"/>
        <v>4</v>
      </c>
      <c r="D1696" s="73"/>
      <c r="E1696" s="70"/>
      <c r="F1696" s="70" t="s">
        <v>2458</v>
      </c>
      <c r="G1696" s="73"/>
      <c r="H1696" s="378" t="s">
        <v>2480</v>
      </c>
      <c r="I1696" s="76"/>
      <c r="J1696" s="76"/>
      <c r="K1696" s="76"/>
      <c r="L1696" s="76"/>
      <c r="M1696" s="76"/>
      <c r="N1696" s="76"/>
      <c r="O1696" s="76"/>
      <c r="P1696" s="76"/>
      <c r="Q1696" s="76"/>
      <c r="R1696" s="76"/>
      <c r="S1696" s="76"/>
      <c r="T1696" s="76"/>
      <c r="U1696" s="97">
        <v>0</v>
      </c>
      <c r="V1696" s="255">
        <f t="shared" si="369"/>
        <v>0</v>
      </c>
      <c r="W1696" s="255">
        <f>U1696</f>
        <v>0</v>
      </c>
      <c r="X1696" s="255">
        <f>V1696</f>
        <v>0</v>
      </c>
      <c r="Y1696" s="255">
        <f>V1696</f>
        <v>0</v>
      </c>
      <c r="Z1696" s="255">
        <f>AA1696</f>
        <v>0</v>
      </c>
      <c r="AA1696" s="97">
        <v>0</v>
      </c>
      <c r="AB1696" s="255">
        <f>AA1696</f>
        <v>0</v>
      </c>
      <c r="AC1696" s="255">
        <f>AB1696</f>
        <v>0</v>
      </c>
      <c r="AD1696" s="255">
        <f>AC1696</f>
        <v>0</v>
      </c>
      <c r="AE1696" s="76"/>
      <c r="AF1696" s="76"/>
      <c r="AG1696" s="76"/>
      <c r="AH1696" s="97">
        <v>1</v>
      </c>
      <c r="AI1696" s="97">
        <v>1</v>
      </c>
      <c r="AJ1696" s="73"/>
      <c r="AK1696" s="57"/>
      <c r="AL1696" s="45"/>
      <c r="AM1696" s="45"/>
      <c r="AN1696" s="45"/>
    </row>
    <row r="1697" spans="1:40" hidden="1" outlineLevel="3" x14ac:dyDescent="0.25">
      <c r="A1697" s="45"/>
      <c r="B1697" s="54"/>
      <c r="C1697" s="47">
        <f t="shared" si="370"/>
        <v>4</v>
      </c>
      <c r="D1697" s="73"/>
      <c r="E1697" s="70"/>
      <c r="F1697" s="70" t="s">
        <v>2459</v>
      </c>
      <c r="G1697" s="73"/>
      <c r="H1697" s="377" t="s">
        <v>2736</v>
      </c>
      <c r="I1697" s="76"/>
      <c r="J1697" s="76"/>
      <c r="K1697" s="76"/>
      <c r="L1697" s="76"/>
      <c r="M1697" s="76"/>
      <c r="N1697" s="76"/>
      <c r="O1697" s="76"/>
      <c r="P1697" s="76"/>
      <c r="Q1697" s="76"/>
      <c r="R1697" s="76"/>
      <c r="S1697" s="76"/>
      <c r="T1697" s="76"/>
      <c r="U1697" s="76">
        <v>0</v>
      </c>
      <c r="V1697" s="255">
        <f t="shared" si="369"/>
        <v>0</v>
      </c>
      <c r="W1697" s="76">
        <v>0</v>
      </c>
      <c r="X1697" s="76">
        <v>0</v>
      </c>
      <c r="Y1697" s="76">
        <v>0</v>
      </c>
      <c r="Z1697" s="76">
        <v>0</v>
      </c>
      <c r="AA1697" s="76">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25">
      <c r="A1698" s="45"/>
      <c r="B1698" s="54"/>
      <c r="C1698" s="47">
        <f t="shared" si="370"/>
        <v>4</v>
      </c>
      <c r="D1698" s="73"/>
      <c r="E1698" s="70"/>
      <c r="F1698" s="70" t="s">
        <v>2460</v>
      </c>
      <c r="G1698" s="73"/>
      <c r="H1698" s="378" t="s">
        <v>2481</v>
      </c>
      <c r="I1698" s="76"/>
      <c r="J1698" s="76"/>
      <c r="K1698" s="76"/>
      <c r="L1698" s="76"/>
      <c r="M1698" s="76"/>
      <c r="N1698" s="76"/>
      <c r="O1698" s="76"/>
      <c r="P1698" s="76"/>
      <c r="Q1698" s="76"/>
      <c r="R1698" s="76"/>
      <c r="S1698" s="76"/>
      <c r="T1698" s="76"/>
      <c r="U1698" s="97">
        <v>-3.7749999999999999E-2</v>
      </c>
      <c r="V1698" s="255">
        <f t="shared" si="369"/>
        <v>-3.7749999999999999E-2</v>
      </c>
      <c r="W1698" s="255">
        <f>U1698</f>
        <v>-3.7749999999999999E-2</v>
      </c>
      <c r="X1698" s="255">
        <f>V1698</f>
        <v>-3.7749999999999999E-2</v>
      </c>
      <c r="Y1698" s="255">
        <f>V1698</f>
        <v>-3.7749999999999999E-2</v>
      </c>
      <c r="Z1698" s="255">
        <f>AA1698</f>
        <v>-2.775E-2</v>
      </c>
      <c r="AA1698" s="97">
        <v>-2.775E-2</v>
      </c>
      <c r="AB1698" s="255">
        <f>AA1698</f>
        <v>-2.775E-2</v>
      </c>
      <c r="AC1698" s="255">
        <f>AB1698</f>
        <v>-2.775E-2</v>
      </c>
      <c r="AD1698" s="255">
        <f>AC1698</f>
        <v>-2.775E-2</v>
      </c>
      <c r="AE1698" s="76"/>
      <c r="AF1698" s="76"/>
      <c r="AG1698" s="76"/>
      <c r="AH1698" s="97">
        <v>1</v>
      </c>
      <c r="AI1698" s="97">
        <v>1</v>
      </c>
      <c r="AJ1698" s="73"/>
      <c r="AK1698" s="57"/>
      <c r="AL1698" s="45"/>
      <c r="AM1698" s="45"/>
      <c r="AN1698" s="45"/>
    </row>
    <row r="1699" spans="1:40" hidden="1" outlineLevel="3" x14ac:dyDescent="0.25">
      <c r="A1699" s="45"/>
      <c r="B1699" s="54"/>
      <c r="C1699" s="47">
        <f t="shared" si="370"/>
        <v>4</v>
      </c>
      <c r="D1699" s="73"/>
      <c r="E1699" s="70"/>
      <c r="F1699" s="70" t="s">
        <v>2461</v>
      </c>
      <c r="G1699" s="73"/>
      <c r="H1699" s="377" t="s">
        <v>2738</v>
      </c>
      <c r="I1699" s="76"/>
      <c r="J1699" s="76"/>
      <c r="K1699" s="76"/>
      <c r="L1699" s="76"/>
      <c r="M1699" s="76"/>
      <c r="N1699" s="76"/>
      <c r="O1699" s="76"/>
      <c r="P1699" s="76"/>
      <c r="Q1699" s="76"/>
      <c r="R1699" s="76"/>
      <c r="S1699" s="76"/>
      <c r="T1699" s="76"/>
      <c r="U1699" s="76">
        <v>0</v>
      </c>
      <c r="V1699" s="255">
        <f t="shared" si="369"/>
        <v>0</v>
      </c>
      <c r="W1699" s="76">
        <v>0</v>
      </c>
      <c r="X1699" s="76">
        <v>0</v>
      </c>
      <c r="Y1699" s="76">
        <v>0</v>
      </c>
      <c r="Z1699" s="76">
        <v>0</v>
      </c>
      <c r="AA1699" s="76">
        <v>0</v>
      </c>
      <c r="AB1699" s="76">
        <v>0</v>
      </c>
      <c r="AC1699" s="76">
        <v>0</v>
      </c>
      <c r="AD1699" s="76">
        <v>0</v>
      </c>
      <c r="AE1699" s="76"/>
      <c r="AF1699" s="76"/>
      <c r="AG1699" s="76"/>
      <c r="AH1699" s="76">
        <v>1</v>
      </c>
      <c r="AI1699" s="76">
        <v>1</v>
      </c>
      <c r="AJ1699" s="73"/>
      <c r="AK1699" s="57"/>
      <c r="AL1699" s="45"/>
      <c r="AM1699" s="45"/>
      <c r="AN1699" s="45"/>
    </row>
    <row r="1700" spans="1:40" outlineLevel="2" x14ac:dyDescent="0.25">
      <c r="A1700" s="45"/>
      <c r="B1700" s="54"/>
      <c r="C1700" s="47">
        <f t="shared" si="370"/>
        <v>4</v>
      </c>
      <c r="D1700" s="73"/>
      <c r="E1700" s="70"/>
      <c r="F1700" s="70" t="str">
        <f>SUBSTITUTE(F1696,",4)",",8)")</f>
        <v>C(U2,25,8)</v>
      </c>
      <c r="G1700" s="73"/>
      <c r="H1700" s="378" t="s">
        <v>2733</v>
      </c>
      <c r="I1700" s="96"/>
      <c r="J1700" s="76"/>
      <c r="K1700" s="76"/>
      <c r="L1700" s="76"/>
      <c r="M1700" s="76"/>
      <c r="N1700" s="76"/>
      <c r="O1700" s="76"/>
      <c r="P1700" s="76"/>
      <c r="Q1700" s="76"/>
      <c r="R1700" s="76"/>
      <c r="S1700" s="76"/>
      <c r="T1700" s="76"/>
      <c r="U1700" s="97">
        <v>0.05</v>
      </c>
      <c r="V1700" s="255">
        <f t="shared" si="369"/>
        <v>0.05</v>
      </c>
      <c r="W1700" s="255">
        <f t="shared" ref="W1700:W1706" si="371">U1700</f>
        <v>0.05</v>
      </c>
      <c r="X1700" s="255">
        <f t="shared" ref="X1700:X1706" si="372">V1700</f>
        <v>0.05</v>
      </c>
      <c r="Y1700" s="255">
        <f>V1700</f>
        <v>0.05</v>
      </c>
      <c r="Z1700" s="255">
        <f>AA1700</f>
        <v>0</v>
      </c>
      <c r="AA1700" s="97">
        <v>0</v>
      </c>
      <c r="AB1700" s="255">
        <f t="shared" ref="AB1700:AB1706" si="373">AA1700</f>
        <v>0</v>
      </c>
      <c r="AC1700" s="255">
        <f t="shared" ref="AC1700:AC1706" si="374">AB1700</f>
        <v>0</v>
      </c>
      <c r="AD1700" s="255">
        <f t="shared" ref="AD1700:AD1706" si="375">AC1700</f>
        <v>0</v>
      </c>
      <c r="AE1700" s="76"/>
      <c r="AF1700" s="76"/>
      <c r="AG1700" s="76"/>
      <c r="AH1700" s="76">
        <v>1</v>
      </c>
      <c r="AI1700" s="76">
        <v>1</v>
      </c>
      <c r="AJ1700" s="73"/>
      <c r="AK1700" s="57"/>
      <c r="AL1700" s="45"/>
      <c r="AM1700" s="45"/>
      <c r="AN1700" s="45"/>
    </row>
    <row r="1701" spans="1:40" outlineLevel="2" x14ac:dyDescent="0.25">
      <c r="A1701" s="45"/>
      <c r="B1701" s="54"/>
      <c r="C1701" s="47">
        <f t="shared" si="370"/>
        <v>4</v>
      </c>
      <c r="D1701" s="73"/>
      <c r="E1701" s="70"/>
      <c r="F1701" s="70" t="str">
        <f>SUBSTITUTE(F1697,",5)",",9)")</f>
        <v>C(U2,25,9)</v>
      </c>
      <c r="G1701" s="73"/>
      <c r="H1701" s="378" t="s">
        <v>2789</v>
      </c>
      <c r="I1701" s="96"/>
      <c r="J1701" s="76"/>
      <c r="K1701" s="76"/>
      <c r="L1701" s="76"/>
      <c r="M1701" s="76"/>
      <c r="N1701" s="76"/>
      <c r="O1701" s="76"/>
      <c r="P1701" s="76"/>
      <c r="Q1701" s="76"/>
      <c r="R1701" s="76"/>
      <c r="S1701" s="76"/>
      <c r="T1701" s="76"/>
      <c r="U1701" s="97">
        <v>-9.3500000000000007E-3</v>
      </c>
      <c r="V1701" s="255">
        <f t="shared" si="369"/>
        <v>-9.3500000000000007E-3</v>
      </c>
      <c r="W1701" s="255">
        <f t="shared" si="371"/>
        <v>-9.3500000000000007E-3</v>
      </c>
      <c r="X1701" s="255">
        <f t="shared" si="372"/>
        <v>-9.3500000000000007E-3</v>
      </c>
      <c r="Y1701" s="255">
        <f>V1701</f>
        <v>-9.3500000000000007E-3</v>
      </c>
      <c r="Z1701" s="255">
        <f>AA1701</f>
        <v>-9.3500000000000007E-3</v>
      </c>
      <c r="AA1701" s="97">
        <v>-9.3500000000000007E-3</v>
      </c>
      <c r="AB1701" s="255">
        <f t="shared" si="373"/>
        <v>-9.3500000000000007E-3</v>
      </c>
      <c r="AC1701" s="255">
        <f t="shared" si="374"/>
        <v>-9.3500000000000007E-3</v>
      </c>
      <c r="AD1701" s="255">
        <f t="shared" si="375"/>
        <v>-9.3500000000000007E-3</v>
      </c>
      <c r="AE1701" s="76"/>
      <c r="AF1701" s="76"/>
      <c r="AG1701" s="76"/>
      <c r="AH1701" s="76">
        <v>1</v>
      </c>
      <c r="AI1701" s="76">
        <v>1</v>
      </c>
      <c r="AJ1701" s="73"/>
      <c r="AK1701" s="57"/>
      <c r="AL1701" s="45"/>
      <c r="AM1701" s="45"/>
      <c r="AN1701" s="45"/>
    </row>
    <row r="1702" spans="1:40" outlineLevel="2" x14ac:dyDescent="0.25">
      <c r="A1702" s="45"/>
      <c r="B1702" s="54"/>
      <c r="C1702" s="47">
        <f t="shared" si="370"/>
        <v>4</v>
      </c>
      <c r="D1702" s="73"/>
      <c r="E1702" s="70"/>
      <c r="F1702" s="70" t="str">
        <f>SUBSTITUTE(F1698,",6)",",10)")</f>
        <v>C(U2,25,10)</v>
      </c>
      <c r="G1702" s="73"/>
      <c r="H1702" s="378" t="s">
        <v>2788</v>
      </c>
      <c r="I1702" s="96"/>
      <c r="J1702" s="76"/>
      <c r="K1702" s="76"/>
      <c r="L1702" s="76"/>
      <c r="M1702" s="76"/>
      <c r="N1702" s="76"/>
      <c r="O1702" s="76"/>
      <c r="P1702" s="76"/>
      <c r="Q1702" s="76"/>
      <c r="R1702" s="76"/>
      <c r="S1702" s="76"/>
      <c r="T1702" s="76"/>
      <c r="U1702" s="97">
        <v>-7.0369200000000003E-3</v>
      </c>
      <c r="V1702" s="255">
        <f t="shared" si="369"/>
        <v>-7.0369200000000003E-3</v>
      </c>
      <c r="W1702" s="255">
        <f t="shared" si="371"/>
        <v>-7.0369200000000003E-3</v>
      </c>
      <c r="X1702" s="255">
        <f t="shared" si="372"/>
        <v>-7.0369200000000003E-3</v>
      </c>
      <c r="Y1702" s="255">
        <f>V1702</f>
        <v>-7.0369200000000003E-3</v>
      </c>
      <c r="Z1702" s="255">
        <f>AA1702</f>
        <v>-7.0369200000000003E-3</v>
      </c>
      <c r="AA1702" s="97">
        <v>-7.0369200000000003E-3</v>
      </c>
      <c r="AB1702" s="255">
        <f t="shared" si="373"/>
        <v>-7.0369200000000003E-3</v>
      </c>
      <c r="AC1702" s="255">
        <f t="shared" si="374"/>
        <v>-7.0369200000000003E-3</v>
      </c>
      <c r="AD1702" s="255">
        <f t="shared" si="375"/>
        <v>-7.0369200000000003E-3</v>
      </c>
      <c r="AE1702" s="76"/>
      <c r="AF1702" s="76"/>
      <c r="AG1702" s="76"/>
      <c r="AH1702" s="76">
        <v>1</v>
      </c>
      <c r="AI1702" s="76">
        <v>1</v>
      </c>
      <c r="AJ1702" s="73"/>
      <c r="AK1702" s="57"/>
      <c r="AL1702" s="45"/>
      <c r="AM1702" s="45"/>
      <c r="AN1702" s="45"/>
    </row>
    <row r="1703" spans="1:40" outlineLevel="2" x14ac:dyDescent="0.25">
      <c r="A1703" s="45"/>
      <c r="B1703" s="54"/>
      <c r="C1703" s="47">
        <f t="shared" si="370"/>
        <v>4</v>
      </c>
      <c r="D1703" s="73"/>
      <c r="E1703" s="70"/>
      <c r="F1703" s="70" t="str">
        <f>SUBSTITUTE(F1699,",7)",",11)")</f>
        <v>C(U2,25,11)</v>
      </c>
      <c r="G1703" s="73"/>
      <c r="H1703" s="378" t="s">
        <v>2739</v>
      </c>
      <c r="I1703" s="96"/>
      <c r="J1703" s="76"/>
      <c r="K1703" s="76"/>
      <c r="L1703" s="76"/>
      <c r="M1703" s="76"/>
      <c r="N1703" s="76"/>
      <c r="O1703" s="76"/>
      <c r="P1703" s="76"/>
      <c r="Q1703" s="76"/>
      <c r="R1703" s="76"/>
      <c r="S1703" s="76"/>
      <c r="T1703" s="76"/>
      <c r="U1703" s="97">
        <v>7.4569999999999999E-5</v>
      </c>
      <c r="V1703" s="255">
        <f t="shared" si="369"/>
        <v>7.4569999999999999E-5</v>
      </c>
      <c r="W1703" s="255">
        <f t="shared" si="371"/>
        <v>7.4569999999999999E-5</v>
      </c>
      <c r="X1703" s="255">
        <f t="shared" si="372"/>
        <v>7.4569999999999999E-5</v>
      </c>
      <c r="Y1703" s="255">
        <f>V1703</f>
        <v>7.4569999999999999E-5</v>
      </c>
      <c r="Z1703" s="255">
        <f>AA1703</f>
        <v>7.4569999999999999E-5</v>
      </c>
      <c r="AA1703" s="97">
        <v>7.4569999999999999E-5</v>
      </c>
      <c r="AB1703" s="255">
        <f t="shared" si="373"/>
        <v>7.4569999999999999E-5</v>
      </c>
      <c r="AC1703" s="255">
        <f t="shared" si="374"/>
        <v>7.4569999999999999E-5</v>
      </c>
      <c r="AD1703" s="255">
        <f t="shared" si="375"/>
        <v>7.4569999999999999E-5</v>
      </c>
      <c r="AE1703" s="76"/>
      <c r="AF1703" s="76"/>
      <c r="AG1703" s="76"/>
      <c r="AH1703" s="76">
        <v>1</v>
      </c>
      <c r="AI1703" s="76">
        <v>1</v>
      </c>
      <c r="AJ1703" s="73"/>
      <c r="AK1703" s="57"/>
      <c r="AL1703" s="45"/>
      <c r="AM1703" s="45"/>
      <c r="AN1703" s="45"/>
    </row>
    <row r="1704" spans="1:40" outlineLevel="2" x14ac:dyDescent="0.25">
      <c r="A1704" s="45"/>
      <c r="B1704" s="54"/>
      <c r="C1704" s="47">
        <f t="shared" si="370"/>
        <v>4</v>
      </c>
      <c r="D1704" s="73"/>
      <c r="E1704" s="70"/>
      <c r="F1704" s="70" t="s">
        <v>3343</v>
      </c>
      <c r="G1704" s="73"/>
      <c r="H1704" s="378" t="s">
        <v>3340</v>
      </c>
      <c r="I1704" s="96"/>
      <c r="J1704" s="76"/>
      <c r="K1704" s="76"/>
      <c r="L1704" s="76"/>
      <c r="M1704" s="76"/>
      <c r="N1704" s="76"/>
      <c r="O1704" s="76"/>
      <c r="P1704" s="76"/>
      <c r="Q1704" s="76"/>
      <c r="R1704" s="76"/>
      <c r="S1704" s="76"/>
      <c r="T1704" s="76"/>
      <c r="U1704" s="97">
        <v>0</v>
      </c>
      <c r="V1704" s="255">
        <f t="shared" si="369"/>
        <v>0</v>
      </c>
      <c r="W1704" s="97">
        <v>0</v>
      </c>
      <c r="X1704" s="97">
        <v>0</v>
      </c>
      <c r="Y1704" s="97">
        <v>0</v>
      </c>
      <c r="Z1704" s="97">
        <v>0</v>
      </c>
      <c r="AA1704" s="97">
        <v>0</v>
      </c>
      <c r="AB1704" s="97">
        <v>0</v>
      </c>
      <c r="AC1704" s="97">
        <v>0</v>
      </c>
      <c r="AD1704" s="97">
        <v>0</v>
      </c>
      <c r="AE1704" s="76"/>
      <c r="AF1704" s="76"/>
      <c r="AG1704" s="76"/>
      <c r="AH1704" s="76">
        <v>1</v>
      </c>
      <c r="AI1704" s="76">
        <v>1</v>
      </c>
      <c r="AJ1704" s="73"/>
      <c r="AK1704" s="57"/>
      <c r="AL1704" s="45"/>
      <c r="AM1704" s="45"/>
      <c r="AN1704" s="45"/>
    </row>
    <row r="1705" spans="1:40" outlineLevel="2" x14ac:dyDescent="0.25">
      <c r="A1705" s="45"/>
      <c r="B1705" s="54"/>
      <c r="C1705" s="47">
        <f t="shared" si="370"/>
        <v>4</v>
      </c>
      <c r="D1705" s="73"/>
      <c r="E1705" s="70"/>
      <c r="F1705" s="70" t="s">
        <v>3344</v>
      </c>
      <c r="G1705" s="73"/>
      <c r="H1705" s="378" t="s">
        <v>3339</v>
      </c>
      <c r="I1705" s="96"/>
      <c r="J1705" s="76"/>
      <c r="K1705" s="76"/>
      <c r="L1705" s="76"/>
      <c r="M1705" s="76"/>
      <c r="N1705" s="76"/>
      <c r="O1705" s="76"/>
      <c r="P1705" s="76"/>
      <c r="Q1705" s="76"/>
      <c r="R1705" s="76"/>
      <c r="S1705" s="76"/>
      <c r="T1705" s="76"/>
      <c r="U1705" s="97">
        <v>0</v>
      </c>
      <c r="V1705" s="255">
        <f t="shared" si="369"/>
        <v>0</v>
      </c>
      <c r="W1705" s="97">
        <v>0</v>
      </c>
      <c r="X1705" s="97">
        <v>0</v>
      </c>
      <c r="Y1705" s="97">
        <v>0</v>
      </c>
      <c r="Z1705" s="97">
        <v>0</v>
      </c>
      <c r="AA1705" s="97">
        <v>0</v>
      </c>
      <c r="AB1705" s="97">
        <v>0</v>
      </c>
      <c r="AC1705" s="97">
        <v>0</v>
      </c>
      <c r="AD1705" s="97">
        <v>0</v>
      </c>
      <c r="AE1705" s="76"/>
      <c r="AF1705" s="76"/>
      <c r="AG1705" s="76"/>
      <c r="AH1705" s="76">
        <v>1</v>
      </c>
      <c r="AI1705" s="76">
        <v>1</v>
      </c>
      <c r="AJ1705" s="73"/>
      <c r="AK1705" s="57"/>
      <c r="AL1705" s="45"/>
      <c r="AM1705" s="45"/>
      <c r="AN1705" s="45"/>
    </row>
    <row r="1706" spans="1:40" outlineLevel="2" x14ac:dyDescent="0.25">
      <c r="A1706" s="45"/>
      <c r="B1706" s="54"/>
      <c r="C1706" s="47">
        <f>INT($C$29)+2</f>
        <v>3</v>
      </c>
      <c r="D1706" s="73"/>
      <c r="E1706" s="70"/>
      <c r="F1706" s="70" t="s">
        <v>2462</v>
      </c>
      <c r="G1706" s="73"/>
      <c r="H1706" s="76" t="s">
        <v>2482</v>
      </c>
      <c r="I1706" s="76"/>
      <c r="J1706" s="76"/>
      <c r="K1706" s="76"/>
      <c r="L1706" s="76"/>
      <c r="M1706" s="76"/>
      <c r="N1706" s="76"/>
      <c r="O1706" s="76"/>
      <c r="P1706" s="76"/>
      <c r="Q1706" s="76"/>
      <c r="R1706" s="76"/>
      <c r="S1706" s="76"/>
      <c r="T1706" s="76"/>
      <c r="U1706" s="97">
        <v>-1.8110552</v>
      </c>
      <c r="V1706" s="255">
        <f t="shared" si="369"/>
        <v>-1.8110552</v>
      </c>
      <c r="W1706" s="255">
        <f t="shared" si="371"/>
        <v>-1.8110552</v>
      </c>
      <c r="X1706" s="255">
        <f t="shared" si="372"/>
        <v>-1.8110552</v>
      </c>
      <c r="Y1706" s="255">
        <f>V1706</f>
        <v>-1.8110552</v>
      </c>
      <c r="Z1706" s="255">
        <f>AA1706</f>
        <v>-0.49941732500000002</v>
      </c>
      <c r="AA1706" s="97">
        <v>-0.49941732500000002</v>
      </c>
      <c r="AB1706" s="255">
        <f t="shared" si="373"/>
        <v>-0.49941732500000002</v>
      </c>
      <c r="AC1706" s="255">
        <f t="shared" si="374"/>
        <v>-0.49941732500000002</v>
      </c>
      <c r="AD1706" s="255">
        <f t="shared" si="375"/>
        <v>-0.49941732500000002</v>
      </c>
      <c r="AE1706" s="76"/>
      <c r="AF1706" s="97" t="s">
        <v>2735</v>
      </c>
      <c r="AG1706" s="76"/>
      <c r="AH1706" s="97">
        <v>1</v>
      </c>
      <c r="AI1706" s="97">
        <v>1</v>
      </c>
      <c r="AJ1706" s="73"/>
      <c r="AK1706" s="57"/>
      <c r="AL1706" s="45"/>
      <c r="AM1706" s="45"/>
      <c r="AN1706" s="45"/>
    </row>
    <row r="1707" spans="1:40" outlineLevel="2" x14ac:dyDescent="0.25">
      <c r="A1707" s="45"/>
      <c r="B1707" s="54"/>
      <c r="C1707" s="47">
        <f>INT($C$29)+2</f>
        <v>3</v>
      </c>
      <c r="D1707" s="73"/>
      <c r="E1707" s="70"/>
      <c r="F1707" s="70" t="s">
        <v>3314</v>
      </c>
      <c r="G1707" s="73"/>
      <c r="H1707" s="76" t="s">
        <v>2518</v>
      </c>
      <c r="I1707" s="76"/>
      <c r="J1707" s="76"/>
      <c r="K1707" s="76"/>
      <c r="L1707" s="76"/>
      <c r="M1707" s="76"/>
      <c r="N1707" s="76"/>
      <c r="O1707" s="76"/>
      <c r="P1707" s="76"/>
      <c r="Q1707" s="76"/>
      <c r="R1707" s="76"/>
      <c r="S1707" s="76"/>
      <c r="T1707" s="76"/>
      <c r="U1707" s="97">
        <v>-9.8000000000000004E-2</v>
      </c>
      <c r="V1707" s="255">
        <f>U1707</f>
        <v>-9.8000000000000004E-2</v>
      </c>
      <c r="W1707" s="255">
        <f t="shared" si="367"/>
        <v>-9.8000000000000004E-2</v>
      </c>
      <c r="X1707" s="255">
        <f t="shared" si="367"/>
        <v>-9.8000000000000004E-2</v>
      </c>
      <c r="Y1707" s="255">
        <f>V1707</f>
        <v>-9.8000000000000004E-2</v>
      </c>
      <c r="Z1707" s="255">
        <f>AA1707</f>
        <v>-3.9480000000000001E-2</v>
      </c>
      <c r="AA1707" s="97">
        <v>-3.9480000000000001E-2</v>
      </c>
      <c r="AB1707" s="255">
        <f t="shared" si="368"/>
        <v>-3.9480000000000001E-2</v>
      </c>
      <c r="AC1707" s="255">
        <f t="shared" si="368"/>
        <v>-3.9480000000000001E-2</v>
      </c>
      <c r="AD1707" s="255">
        <f t="shared" si="368"/>
        <v>-3.9480000000000001E-2</v>
      </c>
      <c r="AE1707" s="76"/>
      <c r="AF1707" s="97" t="s">
        <v>2801</v>
      </c>
      <c r="AG1707" s="76"/>
      <c r="AH1707" s="97">
        <v>1</v>
      </c>
      <c r="AI1707" s="97">
        <v>1</v>
      </c>
      <c r="AJ1707" s="73"/>
      <c r="AK1707" s="57"/>
      <c r="AL1707" s="45"/>
      <c r="AM1707" s="45"/>
      <c r="AN1707" s="45"/>
    </row>
    <row r="1708" spans="1:40" outlineLevel="2" collapsed="1" x14ac:dyDescent="0.25">
      <c r="A1708" s="45"/>
      <c r="B1708" s="54"/>
      <c r="C1708" s="47">
        <f>INT($C$29)+2</f>
        <v>3</v>
      </c>
      <c r="D1708" s="73"/>
      <c r="E1708" s="70"/>
      <c r="F1708" s="70" t="s">
        <v>3316</v>
      </c>
      <c r="G1708" s="73"/>
      <c r="H1708" s="76" t="s">
        <v>2478</v>
      </c>
      <c r="I1708" s="76"/>
      <c r="J1708" s="76"/>
      <c r="K1708" s="76"/>
      <c r="L1708" s="76"/>
      <c r="M1708" s="76"/>
      <c r="N1708" s="76"/>
      <c r="O1708" s="76"/>
      <c r="P1708" s="76"/>
      <c r="Q1708" s="76"/>
      <c r="R1708" s="76"/>
      <c r="S1708" s="76"/>
      <c r="T1708" s="76"/>
      <c r="U1708" s="97">
        <v>0</v>
      </c>
      <c r="V1708" s="255">
        <f>U1708</f>
        <v>0</v>
      </c>
      <c r="W1708" s="255">
        <f t="shared" si="367"/>
        <v>0</v>
      </c>
      <c r="X1708" s="255">
        <f t="shared" si="367"/>
        <v>0</v>
      </c>
      <c r="Y1708" s="255">
        <f>V1708</f>
        <v>0</v>
      </c>
      <c r="Z1708" s="255">
        <f>AA1708</f>
        <v>0</v>
      </c>
      <c r="AA1708" s="97">
        <v>0</v>
      </c>
      <c r="AB1708" s="255">
        <f t="shared" si="368"/>
        <v>0</v>
      </c>
      <c r="AC1708" s="255">
        <f t="shared" si="368"/>
        <v>0</v>
      </c>
      <c r="AD1708" s="255">
        <f t="shared" si="368"/>
        <v>0</v>
      </c>
      <c r="AE1708" s="76"/>
      <c r="AF1708" s="76"/>
      <c r="AG1708" s="76"/>
      <c r="AH1708" s="97">
        <v>1</v>
      </c>
      <c r="AI1708" s="97">
        <v>1</v>
      </c>
      <c r="AJ1708" s="73"/>
      <c r="AK1708" s="57"/>
      <c r="AL1708" s="45"/>
      <c r="AM1708" s="45"/>
      <c r="AN1708" s="45"/>
    </row>
    <row r="1709" spans="1:40" hidden="1" outlineLevel="3" collapsed="1" x14ac:dyDescent="0.25">
      <c r="A1709" s="45"/>
      <c r="B1709" s="54"/>
      <c r="C1709" s="47">
        <f t="shared" ref="C1709:C1720" si="376">INT($C$29)+3</f>
        <v>4</v>
      </c>
      <c r="D1709" s="73"/>
      <c r="E1709" s="70"/>
      <c r="F1709" s="70" t="s">
        <v>3315</v>
      </c>
      <c r="G1709" s="73"/>
      <c r="H1709" s="378" t="s">
        <v>2479</v>
      </c>
      <c r="I1709" s="76"/>
      <c r="J1709" s="76"/>
      <c r="K1709" s="76"/>
      <c r="L1709" s="76"/>
      <c r="M1709" s="76"/>
      <c r="N1709" s="76"/>
      <c r="O1709" s="76"/>
      <c r="P1709" s="76"/>
      <c r="Q1709" s="76"/>
      <c r="R1709" s="76"/>
      <c r="S1709" s="76"/>
      <c r="T1709" s="76"/>
      <c r="U1709" s="97">
        <v>0</v>
      </c>
      <c r="V1709" s="255">
        <f>U1709</f>
        <v>0</v>
      </c>
      <c r="W1709" s="255">
        <f t="shared" si="367"/>
        <v>0</v>
      </c>
      <c r="X1709" s="255">
        <f t="shared" si="367"/>
        <v>0</v>
      </c>
      <c r="Y1709" s="255">
        <f>V1709</f>
        <v>0</v>
      </c>
      <c r="Z1709" s="255">
        <f>AA1709</f>
        <v>0</v>
      </c>
      <c r="AA1709" s="97">
        <v>0</v>
      </c>
      <c r="AB1709" s="255">
        <f t="shared" si="368"/>
        <v>0</v>
      </c>
      <c r="AC1709" s="255">
        <f t="shared" si="368"/>
        <v>0</v>
      </c>
      <c r="AD1709" s="255">
        <f t="shared" si="368"/>
        <v>0</v>
      </c>
      <c r="AE1709" s="76"/>
      <c r="AF1709" s="76"/>
      <c r="AG1709" s="76"/>
      <c r="AH1709" s="97">
        <v>1</v>
      </c>
      <c r="AI1709" s="97">
        <v>1</v>
      </c>
      <c r="AJ1709" s="73"/>
      <c r="AK1709" s="57"/>
      <c r="AL1709" s="45"/>
      <c r="AM1709" s="45"/>
      <c r="AN1709" s="45"/>
    </row>
    <row r="1710" spans="1:40" hidden="1" outlineLevel="3" x14ac:dyDescent="0.25">
      <c r="A1710" s="45"/>
      <c r="B1710" s="54"/>
      <c r="C1710" s="47">
        <f t="shared" si="376"/>
        <v>4</v>
      </c>
      <c r="D1710" s="73"/>
      <c r="E1710" s="70"/>
      <c r="F1710" s="70" t="s">
        <v>3317</v>
      </c>
      <c r="G1710" s="73"/>
      <c r="H1710" s="378" t="s">
        <v>2737</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outlineLevel="2" collapsed="1" x14ac:dyDescent="0.25">
      <c r="A1711" s="45"/>
      <c r="B1711" s="54"/>
      <c r="C1711" s="47">
        <f t="shared" si="376"/>
        <v>4</v>
      </c>
      <c r="D1711" s="73"/>
      <c r="E1711" s="70"/>
      <c r="F1711" s="70" t="s">
        <v>3318</v>
      </c>
      <c r="G1711" s="73"/>
      <c r="H1711" s="378" t="s">
        <v>2480</v>
      </c>
      <c r="I1711" s="76"/>
      <c r="J1711" s="76"/>
      <c r="K1711" s="76"/>
      <c r="L1711" s="76"/>
      <c r="M1711" s="76"/>
      <c r="N1711" s="76"/>
      <c r="O1711" s="76"/>
      <c r="P1711" s="76"/>
      <c r="Q1711" s="76"/>
      <c r="R1711" s="76"/>
      <c r="S1711" s="76"/>
      <c r="T1711" s="76"/>
      <c r="U1711" s="97">
        <v>0</v>
      </c>
      <c r="V1711" s="255">
        <f>U1711</f>
        <v>0</v>
      </c>
      <c r="W1711" s="255">
        <f>U1711</f>
        <v>0</v>
      </c>
      <c r="X1711" s="255">
        <f>V1711</f>
        <v>0</v>
      </c>
      <c r="Y1711" s="255">
        <f>V1711</f>
        <v>0</v>
      </c>
      <c r="Z1711" s="255">
        <f>AA1711</f>
        <v>0</v>
      </c>
      <c r="AA1711" s="97">
        <v>0</v>
      </c>
      <c r="AB1711" s="255">
        <f>AA1711</f>
        <v>0</v>
      </c>
      <c r="AC1711" s="255">
        <f>AB1711</f>
        <v>0</v>
      </c>
      <c r="AD1711" s="255">
        <f>AC1711</f>
        <v>0</v>
      </c>
      <c r="AE1711" s="76"/>
      <c r="AF1711" s="76"/>
      <c r="AG1711" s="76"/>
      <c r="AH1711" s="97">
        <v>1</v>
      </c>
      <c r="AI1711" s="97">
        <v>1</v>
      </c>
      <c r="AJ1711" s="73"/>
      <c r="AK1711" s="57"/>
      <c r="AL1711" s="45"/>
      <c r="AM1711" s="45"/>
      <c r="AN1711" s="45"/>
    </row>
    <row r="1712" spans="1:40" hidden="1" outlineLevel="3" x14ac:dyDescent="0.25">
      <c r="A1712" s="45"/>
      <c r="B1712" s="54"/>
      <c r="C1712" s="47">
        <f t="shared" si="376"/>
        <v>4</v>
      </c>
      <c r="D1712" s="73"/>
      <c r="E1712" s="70"/>
      <c r="F1712" s="70" t="s">
        <v>3319</v>
      </c>
      <c r="G1712" s="73"/>
      <c r="H1712" s="377" t="s">
        <v>2736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25">
      <c r="A1713" s="45"/>
      <c r="B1713" s="54"/>
      <c r="C1713" s="47">
        <f t="shared" si="376"/>
        <v>4</v>
      </c>
      <c r="D1713" s="73"/>
      <c r="E1713" s="70"/>
      <c r="F1713" s="70" t="s">
        <v>3320</v>
      </c>
      <c r="G1713" s="73"/>
      <c r="H1713" s="378" t="s">
        <v>2481</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25">
      <c r="A1714" s="45"/>
      <c r="B1714" s="54"/>
      <c r="C1714" s="47">
        <f t="shared" si="376"/>
        <v>4</v>
      </c>
      <c r="D1714" s="73"/>
      <c r="E1714" s="70"/>
      <c r="F1714" s="70" t="s">
        <v>3321</v>
      </c>
      <c r="G1714" s="73"/>
      <c r="H1714" s="377" t="s">
        <v>2738</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25">
      <c r="A1715" s="45"/>
      <c r="B1715" s="54"/>
      <c r="C1715" s="47">
        <f t="shared" si="376"/>
        <v>4</v>
      </c>
      <c r="D1715" s="73"/>
      <c r="E1715" s="70"/>
      <c r="F1715" s="70" t="s">
        <v>3322</v>
      </c>
      <c r="G1715" s="73"/>
      <c r="H1715" s="378" t="s">
        <v>2733</v>
      </c>
      <c r="I1715" s="96"/>
      <c r="J1715" s="76"/>
      <c r="K1715" s="76"/>
      <c r="L1715" s="76"/>
      <c r="M1715" s="76"/>
      <c r="N1715" s="76"/>
      <c r="O1715" s="76"/>
      <c r="P1715" s="76"/>
      <c r="Q1715" s="76"/>
      <c r="R1715" s="76"/>
      <c r="S1715" s="76"/>
      <c r="T1715" s="76"/>
      <c r="U1715" s="97">
        <v>0.05</v>
      </c>
      <c r="V1715" s="255">
        <f>U1715</f>
        <v>0.05</v>
      </c>
      <c r="W1715" s="255">
        <f t="shared" ref="W1715:X1724" si="377">U1715</f>
        <v>0.05</v>
      </c>
      <c r="X1715" s="255">
        <f t="shared" si="377"/>
        <v>0.05</v>
      </c>
      <c r="Y1715" s="255">
        <f>V1715</f>
        <v>0.05</v>
      </c>
      <c r="Z1715" s="255">
        <f>AA1715</f>
        <v>0</v>
      </c>
      <c r="AA1715" s="97">
        <v>0</v>
      </c>
      <c r="AB1715" s="255">
        <f t="shared" ref="AB1715:AD1724" si="378">AA1715</f>
        <v>0</v>
      </c>
      <c r="AC1715" s="255">
        <f t="shared" si="378"/>
        <v>0</v>
      </c>
      <c r="AD1715" s="255">
        <f t="shared" si="378"/>
        <v>0</v>
      </c>
      <c r="AE1715" s="76"/>
      <c r="AF1715" s="76"/>
      <c r="AG1715" s="76"/>
      <c r="AH1715" s="76">
        <v>1</v>
      </c>
      <c r="AI1715" s="76">
        <v>1</v>
      </c>
      <c r="AJ1715" s="73"/>
      <c r="AK1715" s="57"/>
      <c r="AL1715" s="45"/>
      <c r="AM1715" s="45"/>
      <c r="AN1715" s="45"/>
    </row>
    <row r="1716" spans="1:40" outlineLevel="2" x14ac:dyDescent="0.25">
      <c r="A1716" s="45"/>
      <c r="B1716" s="54"/>
      <c r="C1716" s="47">
        <f t="shared" si="376"/>
        <v>4</v>
      </c>
      <c r="D1716" s="73"/>
      <c r="E1716" s="70"/>
      <c r="F1716" s="70" t="s">
        <v>3323</v>
      </c>
      <c r="G1716" s="73"/>
      <c r="H1716" s="378" t="s">
        <v>2789</v>
      </c>
      <c r="I1716" s="96"/>
      <c r="J1716" s="76"/>
      <c r="K1716" s="76"/>
      <c r="L1716" s="76"/>
      <c r="M1716" s="76"/>
      <c r="N1716" s="76"/>
      <c r="O1716" s="76"/>
      <c r="P1716" s="76"/>
      <c r="Q1716" s="76"/>
      <c r="R1716" s="76"/>
      <c r="S1716" s="76"/>
      <c r="T1716" s="76"/>
      <c r="U1716" s="97">
        <v>-9.3500000000000007E-3</v>
      </c>
      <c r="V1716" s="255">
        <f>U1716</f>
        <v>-9.3500000000000007E-3</v>
      </c>
      <c r="W1716" s="255">
        <f t="shared" si="377"/>
        <v>-9.3500000000000007E-3</v>
      </c>
      <c r="X1716" s="255">
        <f t="shared" si="377"/>
        <v>-9.3500000000000007E-3</v>
      </c>
      <c r="Y1716" s="255">
        <f>V1716</f>
        <v>-9.3500000000000007E-3</v>
      </c>
      <c r="Z1716" s="255">
        <f>AA1716</f>
        <v>-9.3500000000000007E-3</v>
      </c>
      <c r="AA1716" s="97">
        <v>-9.3500000000000007E-3</v>
      </c>
      <c r="AB1716" s="255">
        <f t="shared" si="378"/>
        <v>-9.3500000000000007E-3</v>
      </c>
      <c r="AC1716" s="255">
        <f t="shared" si="378"/>
        <v>-9.3500000000000007E-3</v>
      </c>
      <c r="AD1716" s="255">
        <f t="shared" si="378"/>
        <v>-9.3500000000000007E-3</v>
      </c>
      <c r="AE1716" s="76"/>
      <c r="AF1716" s="76"/>
      <c r="AG1716" s="76"/>
      <c r="AH1716" s="76">
        <v>1</v>
      </c>
      <c r="AI1716" s="76">
        <v>1</v>
      </c>
      <c r="AJ1716" s="73"/>
      <c r="AK1716" s="57"/>
      <c r="AL1716" s="45"/>
      <c r="AM1716" s="45"/>
      <c r="AN1716" s="45"/>
    </row>
    <row r="1717" spans="1:40" outlineLevel="2" x14ac:dyDescent="0.25">
      <c r="A1717" s="45"/>
      <c r="B1717" s="54"/>
      <c r="C1717" s="47">
        <f t="shared" si="376"/>
        <v>4</v>
      </c>
      <c r="D1717" s="73"/>
      <c r="E1717" s="70"/>
      <c r="F1717" s="70" t="s">
        <v>3324</v>
      </c>
      <c r="G1717" s="73"/>
      <c r="H1717" s="378" t="s">
        <v>2788</v>
      </c>
      <c r="I1717" s="96"/>
      <c r="J1717" s="76"/>
      <c r="K1717" s="76"/>
      <c r="L1717" s="76"/>
      <c r="M1717" s="76"/>
      <c r="N1717" s="76"/>
      <c r="O1717" s="76"/>
      <c r="P1717" s="76"/>
      <c r="Q1717" s="76"/>
      <c r="R1717" s="76"/>
      <c r="S1717" s="76"/>
      <c r="T1717" s="76"/>
      <c r="U1717" s="97">
        <v>-7.0369200000000003E-3</v>
      </c>
      <c r="V1717" s="255">
        <f>U1717</f>
        <v>-7.0369200000000003E-3</v>
      </c>
      <c r="W1717" s="255">
        <f t="shared" si="377"/>
        <v>-7.0369200000000003E-3</v>
      </c>
      <c r="X1717" s="255">
        <f t="shared" si="377"/>
        <v>-7.0369200000000003E-3</v>
      </c>
      <c r="Y1717" s="255">
        <f>V1717</f>
        <v>-7.0369200000000003E-3</v>
      </c>
      <c r="Z1717" s="255">
        <f>AA1717</f>
        <v>-7.0369200000000003E-3</v>
      </c>
      <c r="AA1717" s="97">
        <v>-7.0369200000000003E-3</v>
      </c>
      <c r="AB1717" s="255">
        <f t="shared" si="378"/>
        <v>-7.0369200000000003E-3</v>
      </c>
      <c r="AC1717" s="255">
        <f t="shared" si="378"/>
        <v>-7.0369200000000003E-3</v>
      </c>
      <c r="AD1717" s="255">
        <f t="shared" si="378"/>
        <v>-7.0369200000000003E-3</v>
      </c>
      <c r="AE1717" s="76"/>
      <c r="AF1717" s="76"/>
      <c r="AG1717" s="76"/>
      <c r="AH1717" s="76">
        <v>1</v>
      </c>
      <c r="AI1717" s="76">
        <v>1</v>
      </c>
      <c r="AJ1717" s="73"/>
      <c r="AK1717" s="57"/>
      <c r="AL1717" s="45"/>
      <c r="AM1717" s="45"/>
      <c r="AN1717" s="45"/>
    </row>
    <row r="1718" spans="1:40" outlineLevel="2" x14ac:dyDescent="0.25">
      <c r="A1718" s="45"/>
      <c r="B1718" s="54"/>
      <c r="C1718" s="47">
        <f t="shared" si="376"/>
        <v>4</v>
      </c>
      <c r="D1718" s="73"/>
      <c r="E1718" s="70"/>
      <c r="F1718" s="70" t="s">
        <v>3325</v>
      </c>
      <c r="G1718" s="73"/>
      <c r="H1718" s="378" t="s">
        <v>2739</v>
      </c>
      <c r="I1718" s="96"/>
      <c r="J1718" s="76"/>
      <c r="K1718" s="76"/>
      <c r="L1718" s="76"/>
      <c r="M1718" s="76"/>
      <c r="N1718" s="76"/>
      <c r="O1718" s="76"/>
      <c r="P1718" s="76"/>
      <c r="Q1718" s="76"/>
      <c r="R1718" s="76"/>
      <c r="S1718" s="76"/>
      <c r="T1718" s="76"/>
      <c r="U1718" s="97">
        <v>7.4569999999999999E-5</v>
      </c>
      <c r="V1718" s="255">
        <f>U1718</f>
        <v>7.4569999999999999E-5</v>
      </c>
      <c r="W1718" s="255">
        <f t="shared" si="377"/>
        <v>7.4569999999999999E-5</v>
      </c>
      <c r="X1718" s="255">
        <f t="shared" si="377"/>
        <v>7.4569999999999999E-5</v>
      </c>
      <c r="Y1718" s="255">
        <f>V1718</f>
        <v>7.4569999999999999E-5</v>
      </c>
      <c r="Z1718" s="255">
        <f>AA1718</f>
        <v>7.4569999999999999E-5</v>
      </c>
      <c r="AA1718" s="97">
        <v>7.4569999999999999E-5</v>
      </c>
      <c r="AB1718" s="255">
        <f t="shared" si="378"/>
        <v>7.4569999999999999E-5</v>
      </c>
      <c r="AC1718" s="255">
        <f t="shared" si="378"/>
        <v>7.4569999999999999E-5</v>
      </c>
      <c r="AD1718" s="255">
        <f t="shared" si="378"/>
        <v>7.4569999999999999E-5</v>
      </c>
      <c r="AE1718" s="76"/>
      <c r="AF1718" s="76"/>
      <c r="AG1718" s="76"/>
      <c r="AH1718" s="76">
        <v>1</v>
      </c>
      <c r="AI1718" s="76">
        <v>1</v>
      </c>
      <c r="AJ1718" s="73"/>
      <c r="AK1718" s="57"/>
      <c r="AL1718" s="45"/>
      <c r="AM1718" s="45"/>
      <c r="AN1718" s="45"/>
    </row>
    <row r="1719" spans="1:40" outlineLevel="2" x14ac:dyDescent="0.25">
      <c r="A1719" s="45"/>
      <c r="B1719" s="54"/>
      <c r="C1719" s="47">
        <f t="shared" si="376"/>
        <v>4</v>
      </c>
      <c r="D1719" s="73"/>
      <c r="E1719" s="70"/>
      <c r="F1719" s="70" t="s">
        <v>3337</v>
      </c>
      <c r="G1719" s="73"/>
      <c r="H1719" s="378" t="s">
        <v>3340</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outlineLevel="2" x14ac:dyDescent="0.25">
      <c r="A1720" s="45"/>
      <c r="B1720" s="54"/>
      <c r="C1720" s="47">
        <f t="shared" si="376"/>
        <v>4</v>
      </c>
      <c r="D1720" s="73"/>
      <c r="E1720" s="70"/>
      <c r="F1720" s="70" t="s">
        <v>3338</v>
      </c>
      <c r="G1720" s="73"/>
      <c r="H1720" s="378" t="s">
        <v>3339</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25">
      <c r="A1721" s="45"/>
      <c r="B1721" s="54"/>
      <c r="C1721" s="47">
        <f>INT($C$29)+2</f>
        <v>3</v>
      </c>
      <c r="D1721" s="73"/>
      <c r="E1721" s="70"/>
      <c r="F1721" s="70" t="s">
        <v>3326</v>
      </c>
      <c r="G1721" s="73"/>
      <c r="H1721" s="76" t="s">
        <v>2482</v>
      </c>
      <c r="I1721" s="76"/>
      <c r="J1721" s="76"/>
      <c r="K1721" s="155"/>
      <c r="L1721" s="76"/>
      <c r="M1721" s="76"/>
      <c r="N1721" s="76"/>
      <c r="O1721" s="76"/>
      <c r="P1721" s="76"/>
      <c r="Q1721" s="76"/>
      <c r="R1721" s="76"/>
      <c r="S1721" s="76"/>
      <c r="T1721" s="76"/>
      <c r="U1721" s="97">
        <v>-1.8110552</v>
      </c>
      <c r="V1721" s="255">
        <f>U1721</f>
        <v>-1.8110552</v>
      </c>
      <c r="W1721" s="255">
        <f t="shared" si="377"/>
        <v>-1.8110552</v>
      </c>
      <c r="X1721" s="255">
        <f t="shared" si="377"/>
        <v>-1.8110552</v>
      </c>
      <c r="Y1721" s="255">
        <f>V1721</f>
        <v>-1.8110552</v>
      </c>
      <c r="Z1721" s="255">
        <f>AA1721</f>
        <v>-0.49941732500000002</v>
      </c>
      <c r="AA1721" s="97">
        <v>-0.49941732500000002</v>
      </c>
      <c r="AB1721" s="255">
        <f t="shared" si="378"/>
        <v>-0.49941732500000002</v>
      </c>
      <c r="AC1721" s="255">
        <f t="shared" si="378"/>
        <v>-0.49941732500000002</v>
      </c>
      <c r="AD1721" s="255">
        <f t="shared" si="378"/>
        <v>-0.49941732500000002</v>
      </c>
      <c r="AE1721" s="76"/>
      <c r="AF1721" s="76"/>
      <c r="AG1721" s="76"/>
      <c r="AH1721" s="97">
        <v>1</v>
      </c>
      <c r="AI1721" s="97">
        <v>1</v>
      </c>
      <c r="AJ1721" s="73"/>
      <c r="AK1721" s="57"/>
      <c r="AL1721" s="45"/>
      <c r="AM1721" s="45"/>
      <c r="AN1721" s="45"/>
    </row>
    <row r="1722" spans="1:40" outlineLevel="2" x14ac:dyDescent="0.25">
      <c r="A1722" s="45"/>
      <c r="B1722" s="54"/>
      <c r="C1722" s="47">
        <f>INT($C$29)+2</f>
        <v>3</v>
      </c>
      <c r="D1722" s="73"/>
      <c r="E1722" s="70"/>
      <c r="F1722" s="70" t="s">
        <v>3360</v>
      </c>
      <c r="G1722" s="73"/>
      <c r="H1722" s="76" t="s">
        <v>3369</v>
      </c>
      <c r="I1722" s="76"/>
      <c r="J1722" s="76"/>
      <c r="K1722" s="76"/>
      <c r="L1722" s="76"/>
      <c r="M1722" s="76"/>
      <c r="N1722" s="76"/>
      <c r="O1722" s="76"/>
      <c r="P1722" s="76"/>
      <c r="Q1722" s="76"/>
      <c r="R1722" s="76"/>
      <c r="S1722" s="76"/>
      <c r="T1722" s="76"/>
      <c r="U1722" s="97">
        <v>-1.0469999999999999</v>
      </c>
      <c r="V1722" s="255">
        <f>U1722</f>
        <v>-1.0469999999999999</v>
      </c>
      <c r="W1722" s="255">
        <f t="shared" si="377"/>
        <v>-1.0469999999999999</v>
      </c>
      <c r="X1722" s="255">
        <f t="shared" si="377"/>
        <v>-1.0469999999999999</v>
      </c>
      <c r="Y1722" s="255">
        <f>V1722</f>
        <v>-1.0469999999999999</v>
      </c>
      <c r="Z1722" s="255">
        <f>AA1722</f>
        <v>-1.0469999999999999</v>
      </c>
      <c r="AA1722" s="97">
        <f>U1722</f>
        <v>-1.0469999999999999</v>
      </c>
      <c r="AB1722" s="255">
        <f t="shared" si="378"/>
        <v>-1.0469999999999999</v>
      </c>
      <c r="AC1722" s="255">
        <f t="shared" si="378"/>
        <v>-1.0469999999999999</v>
      </c>
      <c r="AD1722" s="255">
        <f t="shared" si="378"/>
        <v>-1.0469999999999999</v>
      </c>
      <c r="AE1722" s="76"/>
      <c r="AF1722" s="97" t="s">
        <v>3615</v>
      </c>
      <c r="AG1722" s="76"/>
      <c r="AH1722" s="76">
        <v>1</v>
      </c>
      <c r="AI1722" s="76">
        <v>1</v>
      </c>
      <c r="AJ1722" s="73"/>
      <c r="AK1722" s="57"/>
      <c r="AL1722" s="45"/>
      <c r="AM1722" s="45"/>
      <c r="AN1722" s="45"/>
    </row>
    <row r="1723" spans="1:40" outlineLevel="2" x14ac:dyDescent="0.25">
      <c r="A1723" s="45"/>
      <c r="B1723" s="54"/>
      <c r="C1723" s="47">
        <f>INT($C$29)+2</f>
        <v>3</v>
      </c>
      <c r="D1723" s="73"/>
      <c r="E1723" s="70"/>
      <c r="F1723" s="70" t="s">
        <v>3361</v>
      </c>
      <c r="G1723" s="73"/>
      <c r="H1723" s="76" t="s">
        <v>3370</v>
      </c>
      <c r="I1723" s="76"/>
      <c r="J1723" s="76"/>
      <c r="K1723" s="76"/>
      <c r="L1723" s="76"/>
      <c r="M1723" s="76"/>
      <c r="N1723" s="76"/>
      <c r="O1723" s="76"/>
      <c r="P1723" s="76"/>
      <c r="Q1723" s="76"/>
      <c r="R1723" s="76"/>
      <c r="S1723" s="76"/>
      <c r="T1723" s="76"/>
      <c r="U1723" s="97">
        <v>7.5389999999999997E-3</v>
      </c>
      <c r="V1723" s="255">
        <f>U1723</f>
        <v>7.5389999999999997E-3</v>
      </c>
      <c r="W1723" s="255">
        <f t="shared" si="377"/>
        <v>7.5389999999999997E-3</v>
      </c>
      <c r="X1723" s="255">
        <f t="shared" si="377"/>
        <v>7.5389999999999997E-3</v>
      </c>
      <c r="Y1723" s="255">
        <f>V1723</f>
        <v>7.5389999999999997E-3</v>
      </c>
      <c r="Z1723" s="255">
        <f>AA1723</f>
        <v>7.5389999999999997E-3</v>
      </c>
      <c r="AA1723" s="97">
        <f t="shared" ref="AA1723:AA1725" si="379">U1723</f>
        <v>7.5389999999999997E-3</v>
      </c>
      <c r="AB1723" s="255">
        <f t="shared" si="378"/>
        <v>7.5389999999999997E-3</v>
      </c>
      <c r="AC1723" s="255">
        <f t="shared" si="378"/>
        <v>7.5389999999999997E-3</v>
      </c>
      <c r="AD1723" s="255">
        <f t="shared" si="378"/>
        <v>7.5389999999999997E-3</v>
      </c>
      <c r="AE1723" s="76"/>
      <c r="AF1723" s="97" t="s">
        <v>3371</v>
      </c>
      <c r="AG1723" s="76"/>
      <c r="AH1723" s="76">
        <v>1</v>
      </c>
      <c r="AI1723" s="76">
        <v>1</v>
      </c>
      <c r="AJ1723" s="73"/>
      <c r="AK1723" s="57"/>
      <c r="AL1723" s="45"/>
      <c r="AM1723" s="45"/>
      <c r="AN1723" s="45"/>
    </row>
    <row r="1724" spans="1:40" outlineLevel="2" x14ac:dyDescent="0.25">
      <c r="A1724" s="45"/>
      <c r="B1724" s="54"/>
      <c r="C1724" s="47">
        <f t="shared" ref="C1724:C1735" si="380">INT($C$29)+3</f>
        <v>4</v>
      </c>
      <c r="D1724" s="73"/>
      <c r="E1724" s="70"/>
      <c r="F1724" s="70" t="s">
        <v>3362</v>
      </c>
      <c r="G1724" s="73"/>
      <c r="H1724" s="76" t="s">
        <v>3611</v>
      </c>
      <c r="I1724" s="76"/>
      <c r="J1724" s="76"/>
      <c r="K1724" s="76"/>
      <c r="L1724" s="76"/>
      <c r="M1724" s="76"/>
      <c r="N1724" s="76"/>
      <c r="O1724" s="76"/>
      <c r="P1724" s="76"/>
      <c r="Q1724" s="76"/>
      <c r="R1724" s="76"/>
      <c r="S1724" s="76"/>
      <c r="T1724" s="76"/>
      <c r="U1724" s="97">
        <v>0.24360000000000001</v>
      </c>
      <c r="V1724" s="255">
        <f>U1724</f>
        <v>0.24360000000000001</v>
      </c>
      <c r="W1724" s="255">
        <f t="shared" si="377"/>
        <v>0.24360000000000001</v>
      </c>
      <c r="X1724" s="255">
        <f t="shared" si="377"/>
        <v>0.24360000000000001</v>
      </c>
      <c r="Y1724" s="255">
        <f>V1724</f>
        <v>0.24360000000000001</v>
      </c>
      <c r="Z1724" s="255">
        <f>AA1724</f>
        <v>0.24360000000000001</v>
      </c>
      <c r="AA1724" s="97">
        <f t="shared" si="379"/>
        <v>0.24360000000000001</v>
      </c>
      <c r="AB1724" s="255">
        <f t="shared" si="378"/>
        <v>0.24360000000000001</v>
      </c>
      <c r="AC1724" s="255">
        <f t="shared" si="378"/>
        <v>0.24360000000000001</v>
      </c>
      <c r="AD1724" s="255">
        <f t="shared" si="378"/>
        <v>0.24360000000000001</v>
      </c>
      <c r="AE1724" s="76"/>
      <c r="AF1724" s="97" t="s">
        <v>3372</v>
      </c>
      <c r="AG1724" s="76"/>
      <c r="AH1724" s="97">
        <v>1</v>
      </c>
      <c r="AI1724" s="97">
        <v>1</v>
      </c>
      <c r="AJ1724" s="73"/>
      <c r="AK1724" s="57"/>
      <c r="AL1724" s="45"/>
      <c r="AM1724" s="45"/>
      <c r="AN1724" s="45"/>
    </row>
    <row r="1725" spans="1:40" outlineLevel="2" collapsed="1" x14ac:dyDescent="0.25">
      <c r="A1725" s="45"/>
      <c r="B1725" s="54"/>
      <c r="C1725" s="47">
        <f t="shared" si="380"/>
        <v>4</v>
      </c>
      <c r="D1725" s="73"/>
      <c r="E1725" s="70"/>
      <c r="F1725" s="70" t="s">
        <v>3363</v>
      </c>
      <c r="G1725" s="73"/>
      <c r="H1725" s="76" t="s">
        <v>3612</v>
      </c>
      <c r="I1725" s="76"/>
      <c r="J1725" s="76"/>
      <c r="K1725" s="76"/>
      <c r="L1725" s="76"/>
      <c r="M1725" s="76"/>
      <c r="N1725" s="76"/>
      <c r="O1725" s="76"/>
      <c r="P1725" s="76"/>
      <c r="Q1725" s="76"/>
      <c r="R1725" s="76"/>
      <c r="S1725" s="76"/>
      <c r="T1725" s="76"/>
      <c r="U1725" s="97"/>
      <c r="V1725" s="255">
        <f t="shared" ref="V1725" si="381">U1725</f>
        <v>0</v>
      </c>
      <c r="W1725" s="255">
        <f t="shared" ref="W1725:W1726" si="382">U1725</f>
        <v>0</v>
      </c>
      <c r="X1725" s="255">
        <f t="shared" ref="X1725:X1726" si="383">V1725</f>
        <v>0</v>
      </c>
      <c r="Y1725" s="255">
        <f t="shared" ref="Y1725" si="384">V1725</f>
        <v>0</v>
      </c>
      <c r="Z1725" s="255">
        <f t="shared" ref="Z1725" si="385">AA1725</f>
        <v>0</v>
      </c>
      <c r="AA1725" s="97">
        <f t="shared" si="379"/>
        <v>0</v>
      </c>
      <c r="AB1725" s="255">
        <f t="shared" ref="AB1725:AB1726" si="386">AA1725</f>
        <v>0</v>
      </c>
      <c r="AC1725" s="255">
        <f t="shared" ref="AC1725:AC1726" si="387">AB1725</f>
        <v>0</v>
      </c>
      <c r="AD1725" s="255">
        <f t="shared" ref="AD1725:AD1726" si="388">AC1725</f>
        <v>0</v>
      </c>
      <c r="AE1725" s="76"/>
      <c r="AF1725" s="76"/>
      <c r="AG1725" s="76"/>
      <c r="AH1725" s="76">
        <v>1</v>
      </c>
      <c r="AI1725" s="76">
        <v>1</v>
      </c>
      <c r="AJ1725" s="73"/>
      <c r="AK1725" s="57"/>
      <c r="AL1725" s="45"/>
      <c r="AM1725" s="45"/>
      <c r="AN1725" s="45"/>
    </row>
    <row r="1726" spans="1:40" hidden="1" outlineLevel="3" x14ac:dyDescent="0.25">
      <c r="A1726" s="45"/>
      <c r="B1726" s="54"/>
      <c r="C1726" s="47">
        <f t="shared" si="380"/>
        <v>4</v>
      </c>
      <c r="D1726" s="73"/>
      <c r="E1726" s="70"/>
      <c r="F1726" s="70" t="s">
        <v>3364</v>
      </c>
      <c r="G1726" s="73"/>
      <c r="H1726" s="76" t="s">
        <v>3613</v>
      </c>
      <c r="I1726" s="76"/>
      <c r="J1726" s="76"/>
      <c r="K1726" s="76"/>
      <c r="L1726" s="76"/>
      <c r="M1726" s="76"/>
      <c r="N1726" s="76"/>
      <c r="O1726" s="76"/>
      <c r="P1726" s="76"/>
      <c r="Q1726" s="76"/>
      <c r="R1726" s="76"/>
      <c r="S1726" s="76"/>
      <c r="T1726" s="76"/>
      <c r="U1726" s="97">
        <v>0.24360000000000001</v>
      </c>
      <c r="V1726" s="255">
        <f>U1726</f>
        <v>0.24360000000000001</v>
      </c>
      <c r="W1726" s="255">
        <f t="shared" si="382"/>
        <v>0.24360000000000001</v>
      </c>
      <c r="X1726" s="255">
        <f t="shared" si="383"/>
        <v>0.24360000000000001</v>
      </c>
      <c r="Y1726" s="255">
        <f>V1726</f>
        <v>0.24360000000000001</v>
      </c>
      <c r="Z1726" s="255">
        <f>AA1726</f>
        <v>0.24360000000000001</v>
      </c>
      <c r="AA1726" s="97">
        <f t="shared" ref="AA1726:AA1727" si="389">U1726</f>
        <v>0.24360000000000001</v>
      </c>
      <c r="AB1726" s="255">
        <f t="shared" si="386"/>
        <v>0.24360000000000001</v>
      </c>
      <c r="AC1726" s="255">
        <f t="shared" si="387"/>
        <v>0.24360000000000001</v>
      </c>
      <c r="AD1726" s="255">
        <f t="shared" si="388"/>
        <v>0.24360000000000001</v>
      </c>
      <c r="AE1726" s="76"/>
      <c r="AF1726" s="76"/>
      <c r="AG1726" s="76"/>
      <c r="AH1726" s="97">
        <v>1</v>
      </c>
      <c r="AI1726" s="97">
        <v>1</v>
      </c>
      <c r="AJ1726" s="73"/>
      <c r="AK1726" s="57"/>
      <c r="AL1726" s="45"/>
      <c r="AM1726" s="45"/>
      <c r="AN1726" s="45"/>
    </row>
    <row r="1727" spans="1:40" hidden="1" outlineLevel="3" x14ac:dyDescent="0.25">
      <c r="A1727" s="45"/>
      <c r="B1727" s="54"/>
      <c r="C1727" s="47">
        <f t="shared" si="380"/>
        <v>4</v>
      </c>
      <c r="D1727" s="73"/>
      <c r="E1727" s="70"/>
      <c r="F1727" s="70" t="s">
        <v>3365</v>
      </c>
      <c r="G1727" s="73"/>
      <c r="H1727" s="76" t="s">
        <v>3614</v>
      </c>
      <c r="I1727" s="76"/>
      <c r="J1727" s="76"/>
      <c r="K1727" s="76"/>
      <c r="L1727" s="76"/>
      <c r="M1727" s="76"/>
      <c r="N1727" s="76"/>
      <c r="O1727" s="76"/>
      <c r="P1727" s="76"/>
      <c r="Q1727" s="76"/>
      <c r="R1727" s="76"/>
      <c r="S1727" s="76"/>
      <c r="T1727" s="76"/>
      <c r="U1727" s="97"/>
      <c r="V1727" s="255">
        <f t="shared" ref="V1727" si="390">U1727</f>
        <v>0</v>
      </c>
      <c r="W1727" s="255">
        <f t="shared" ref="W1727" si="391">U1727</f>
        <v>0</v>
      </c>
      <c r="X1727" s="255">
        <f t="shared" ref="X1727" si="392">V1727</f>
        <v>0</v>
      </c>
      <c r="Y1727" s="255">
        <f t="shared" ref="Y1727" si="393">V1727</f>
        <v>0</v>
      </c>
      <c r="Z1727" s="255">
        <f t="shared" ref="Z1727" si="394">AA1727</f>
        <v>0</v>
      </c>
      <c r="AA1727" s="97">
        <f t="shared" si="389"/>
        <v>0</v>
      </c>
      <c r="AB1727" s="255">
        <f t="shared" ref="AB1727" si="395">AA1727</f>
        <v>0</v>
      </c>
      <c r="AC1727" s="255">
        <f t="shared" ref="AC1727" si="396">AB1727</f>
        <v>0</v>
      </c>
      <c r="AD1727" s="255">
        <f t="shared" ref="AD1727" si="397">AC1727</f>
        <v>0</v>
      </c>
      <c r="AE1727" s="76"/>
      <c r="AF1727" s="76"/>
      <c r="AG1727" s="76"/>
      <c r="AH1727" s="76">
        <v>1</v>
      </c>
      <c r="AI1727" s="76">
        <v>1</v>
      </c>
      <c r="AJ1727" s="73"/>
      <c r="AK1727" s="57"/>
      <c r="AL1727" s="45"/>
      <c r="AM1727" s="45"/>
      <c r="AN1727" s="45"/>
    </row>
    <row r="1728" spans="1:40" hidden="1" outlineLevel="3" x14ac:dyDescent="0.25">
      <c r="A1728" s="45"/>
      <c r="B1728" s="54"/>
      <c r="C1728" s="47">
        <f t="shared" si="380"/>
        <v>4</v>
      </c>
      <c r="D1728" s="73"/>
      <c r="E1728" s="70"/>
      <c r="F1728" s="70" t="s">
        <v>3366</v>
      </c>
      <c r="G1728" s="73"/>
      <c r="H1728" s="377" t="s">
        <v>3373</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25">
      <c r="A1729" s="45"/>
      <c r="B1729" s="54"/>
      <c r="C1729" s="47">
        <f t="shared" si="380"/>
        <v>4</v>
      </c>
      <c r="D1729" s="73"/>
      <c r="E1729" s="70"/>
      <c r="F1729" s="70" t="s">
        <v>3367</v>
      </c>
      <c r="G1729" s="73"/>
      <c r="H1729" s="377" t="s">
        <v>3374</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380"/>
        <v>4</v>
      </c>
      <c r="D1730" s="73"/>
      <c r="E1730" s="70"/>
      <c r="F1730" s="70" t="str">
        <f>SUBSTITUTE(F1726,",4)",",8)")</f>
        <v>C(U2,27,8)</v>
      </c>
      <c r="G1730" s="73"/>
      <c r="H1730" s="377" t="s">
        <v>3375</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380"/>
        <v>4</v>
      </c>
      <c r="D1731" s="73"/>
      <c r="E1731" s="70"/>
      <c r="F1731" s="70" t="str">
        <f>SUBSTITUTE(F1727,",5)",",9)")</f>
        <v>C(U2,27,9)</v>
      </c>
      <c r="G1731" s="73"/>
      <c r="H1731" s="377" t="s">
        <v>3376</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380"/>
        <v>4</v>
      </c>
      <c r="D1732" s="73"/>
      <c r="E1732" s="70"/>
      <c r="F1732" s="70" t="str">
        <f>SUBSTITUTE(F1728,",6)",",10)")</f>
        <v>C(U2,27,10)</v>
      </c>
      <c r="G1732" s="73"/>
      <c r="H1732" s="377" t="s">
        <v>3377</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25">
      <c r="A1733" s="45"/>
      <c r="B1733" s="54"/>
      <c r="C1733" s="47">
        <f t="shared" si="380"/>
        <v>4</v>
      </c>
      <c r="D1733" s="73"/>
      <c r="E1733" s="70"/>
      <c r="F1733" s="70" t="str">
        <f>SUBSTITUTE(F1729,",7)",",11)")</f>
        <v>C(U2,27,11)</v>
      </c>
      <c r="G1733" s="73"/>
      <c r="H1733" s="377" t="s">
        <v>3378</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380"/>
        <v>4</v>
      </c>
      <c r="D1734" s="73"/>
      <c r="E1734" s="70"/>
      <c r="F1734" s="70" t="str">
        <f>SUBSTITUTE(F1728,",6)",",12)")</f>
        <v>C(U2,27,12)</v>
      </c>
      <c r="G1734" s="73"/>
      <c r="H1734" s="377" t="s">
        <v>3379</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380"/>
        <v>4</v>
      </c>
      <c r="D1735" s="73"/>
      <c r="E1735" s="70"/>
      <c r="F1735" s="70" t="str">
        <f>SUBSTITUTE(F1729,",7)",",13)")</f>
        <v>C(U2,27,13)</v>
      </c>
      <c r="G1735" s="73"/>
      <c r="H1735" s="377" t="s">
        <v>3380</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25">
      <c r="A1736" s="45"/>
      <c r="B1736" s="54"/>
      <c r="C1736" s="47">
        <f>INT($C$29)+2</f>
        <v>3</v>
      </c>
      <c r="D1736" s="73"/>
      <c r="E1736" s="70"/>
      <c r="F1736" s="70" t="s">
        <v>3368</v>
      </c>
      <c r="G1736" s="73"/>
      <c r="H1736" s="76" t="s">
        <v>3381</v>
      </c>
      <c r="I1736" s="76"/>
      <c r="J1736" s="76"/>
      <c r="K1736" s="76"/>
      <c r="L1736" s="76"/>
      <c r="M1736" s="76"/>
      <c r="N1736" s="76"/>
      <c r="O1736" s="76"/>
      <c r="P1736" s="76"/>
      <c r="Q1736" s="76"/>
      <c r="R1736" s="76"/>
      <c r="S1736" s="76"/>
      <c r="T1736" s="76"/>
      <c r="U1736" s="97">
        <v>28.52</v>
      </c>
      <c r="V1736" s="255">
        <f t="shared" ref="V1736" si="398">U1736</f>
        <v>28.52</v>
      </c>
      <c r="W1736" s="255">
        <f t="shared" ref="W1736" si="399">U1736</f>
        <v>28.52</v>
      </c>
      <c r="X1736" s="255">
        <f t="shared" ref="X1736" si="400">V1736</f>
        <v>28.52</v>
      </c>
      <c r="Y1736" s="255">
        <f t="shared" ref="Y1736" si="401">V1736</f>
        <v>28.52</v>
      </c>
      <c r="Z1736" s="255">
        <f t="shared" ref="Z1736" si="402">AA1736</f>
        <v>28.52</v>
      </c>
      <c r="AA1736" s="97">
        <f>U1736</f>
        <v>28.52</v>
      </c>
      <c r="AB1736" s="255">
        <f t="shared" ref="AB1736" si="403">AA1736</f>
        <v>28.52</v>
      </c>
      <c r="AC1736" s="255">
        <f t="shared" ref="AC1736" si="404">AB1736</f>
        <v>28.52</v>
      </c>
      <c r="AD1736" s="255">
        <f t="shared" ref="AD1736" si="405">AC1736</f>
        <v>28.52</v>
      </c>
      <c r="AE1736" s="76"/>
      <c r="AF1736" s="97"/>
      <c r="AG1736" s="76"/>
      <c r="AH1736" s="97">
        <v>1</v>
      </c>
      <c r="AI1736" s="97">
        <v>1</v>
      </c>
      <c r="AJ1736" s="73"/>
      <c r="AK1736" s="57"/>
      <c r="AL1736" s="45"/>
      <c r="AM1736" s="45"/>
      <c r="AN1736" s="45"/>
    </row>
    <row r="1737" spans="1:40" outlineLevel="1" collapsed="1" x14ac:dyDescent="0.25">
      <c r="A1737" s="45"/>
      <c r="B1737" s="54"/>
      <c r="C1737" s="47">
        <f>INT($C$29)+1</f>
        <v>2</v>
      </c>
      <c r="D1737" s="73"/>
      <c r="E1737" s="70"/>
      <c r="F1737" s="265" t="s">
        <v>1703</v>
      </c>
      <c r="G1737" s="73"/>
      <c r="H1737" s="267" t="s">
        <v>3759</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hidden="1" outlineLevel="2" collapsed="1" x14ac:dyDescent="0.25">
      <c r="A1738" s="45"/>
      <c r="B1738" s="54"/>
      <c r="C1738" s="47">
        <f t="shared" ref="C1738:C1757" si="406">INT($C$29)+3</f>
        <v>4</v>
      </c>
      <c r="D1738" s="73"/>
      <c r="E1738" s="70"/>
      <c r="F1738" s="70" t="s">
        <v>3529</v>
      </c>
      <c r="G1738" s="73"/>
      <c r="H1738" s="76" t="s">
        <v>3525</v>
      </c>
      <c r="I1738" s="96" t="s">
        <v>2332</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25">
      <c r="A1739" s="45"/>
      <c r="B1739" s="54"/>
      <c r="C1739" s="47">
        <f t="shared" si="406"/>
        <v>4</v>
      </c>
      <c r="D1739" s="73"/>
      <c r="E1739" s="70"/>
      <c r="F1739" s="70" t="s">
        <v>3530</v>
      </c>
      <c r="G1739" s="73"/>
      <c r="H1739" s="76" t="s">
        <v>3513</v>
      </c>
      <c r="I1739" s="96" t="s">
        <v>2333</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06"/>
        <v>4</v>
      </c>
      <c r="D1740" s="73"/>
      <c r="E1740" s="70"/>
      <c r="F1740" s="70" t="s">
        <v>3531</v>
      </c>
      <c r="G1740" s="73"/>
      <c r="H1740" s="76" t="s">
        <v>3520</v>
      </c>
      <c r="I1740" s="96" t="s">
        <v>2334</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06"/>
        <v>4</v>
      </c>
      <c r="D1741" s="73"/>
      <c r="E1741" s="70"/>
      <c r="F1741" s="70" t="s">
        <v>3532</v>
      </c>
      <c r="G1741" s="73"/>
      <c r="H1741" s="76" t="s">
        <v>3514</v>
      </c>
      <c r="I1741" s="96" t="s">
        <v>2368</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06"/>
        <v>4</v>
      </c>
      <c r="D1742" s="73"/>
      <c r="E1742" s="70"/>
      <c r="F1742" s="70" t="s">
        <v>3533</v>
      </c>
      <c r="G1742" s="73"/>
      <c r="H1742" s="76" t="s">
        <v>3521</v>
      </c>
      <c r="I1742" s="96" t="s">
        <v>2335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06"/>
        <v>4</v>
      </c>
      <c r="D1743" s="73"/>
      <c r="E1743" s="70"/>
      <c r="F1743" s="70" t="s">
        <v>3534</v>
      </c>
      <c r="G1743" s="73"/>
      <c r="H1743" s="76" t="s">
        <v>3515</v>
      </c>
      <c r="I1743" s="96" t="s">
        <v>2336</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06"/>
        <v>4</v>
      </c>
      <c r="D1744" s="73"/>
      <c r="E1744" s="70"/>
      <c r="F1744" s="70" t="s">
        <v>3535</v>
      </c>
      <c r="G1744" s="73"/>
      <c r="H1744" s="76" t="s">
        <v>3522</v>
      </c>
      <c r="I1744" s="96" t="s">
        <v>2370</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06"/>
        <v>4</v>
      </c>
      <c r="D1745" s="73"/>
      <c r="E1745" s="70"/>
      <c r="F1745" s="70" t="s">
        <v>3536</v>
      </c>
      <c r="G1745" s="73"/>
      <c r="H1745" s="76" t="s">
        <v>3516</v>
      </c>
      <c r="I1745" s="96" t="s">
        <v>2372</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06"/>
        <v>4</v>
      </c>
      <c r="D1746" s="73"/>
      <c r="E1746" s="70"/>
      <c r="F1746" s="70" t="str">
        <f>SUBSTITUTE(F1742,",4)",",8)")</f>
        <v>C(U6,0,8)</v>
      </c>
      <c r="G1746" s="73"/>
      <c r="H1746" s="76" t="s">
        <v>3523</v>
      </c>
      <c r="I1746" s="96" t="s">
        <v>2729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06"/>
        <v>4</v>
      </c>
      <c r="D1747" s="73"/>
      <c r="E1747" s="70"/>
      <c r="F1747" s="70" t="str">
        <f>SUBSTITUTE(F1743,",5)",",9)")</f>
        <v>C(U6,0,9)</v>
      </c>
      <c r="G1747" s="73"/>
      <c r="H1747" s="76" t="s">
        <v>3517</v>
      </c>
      <c r="I1747" s="96" t="s">
        <v>2730</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06"/>
        <v>4</v>
      </c>
      <c r="D1748" s="73"/>
      <c r="E1748" s="70"/>
      <c r="F1748" s="70" t="str">
        <f>SUBSTITUTE(F1744,",6)",",10)")</f>
        <v>C(U6,0,10)</v>
      </c>
      <c r="G1748" s="73"/>
      <c r="H1748" s="76" t="s">
        <v>3524</v>
      </c>
      <c r="I1748" s="96" t="s">
        <v>2731</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06"/>
        <v>4</v>
      </c>
      <c r="D1749" s="73"/>
      <c r="E1749" s="70"/>
      <c r="F1749" s="70" t="str">
        <f>SUBSTITUTE(F1745,",7)",",11)")</f>
        <v>C(U6,0,11)</v>
      </c>
      <c r="G1749" s="73"/>
      <c r="H1749" s="76" t="s">
        <v>3518</v>
      </c>
      <c r="I1749" s="96" t="s">
        <v>2732</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06"/>
        <v>4</v>
      </c>
      <c r="D1750" s="73"/>
      <c r="E1750" s="70"/>
      <c r="F1750" s="70" t="str">
        <f>SUBSTITUTE(F1745,",7)",",12)")</f>
        <v>C(U6,0,12)</v>
      </c>
      <c r="G1750" s="73"/>
      <c r="H1750" s="76" t="s">
        <v>3345</v>
      </c>
      <c r="I1750" s="96" t="s">
        <v>2731</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06"/>
        <v>4</v>
      </c>
      <c r="D1751" s="73"/>
      <c r="E1751" s="70"/>
      <c r="F1751" s="70" t="str">
        <f>SUBSTITUTE(F1745,",7)",",13)")</f>
        <v>C(U6,0,13)</v>
      </c>
      <c r="G1751" s="73"/>
      <c r="H1751" s="76" t="s">
        <v>3519</v>
      </c>
      <c r="I1751" s="96" t="s">
        <v>2732</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06"/>
        <v>4</v>
      </c>
      <c r="D1752" s="73"/>
      <c r="E1752" s="70"/>
      <c r="F1752" s="70" t="s">
        <v>3537</v>
      </c>
      <c r="G1752" s="73"/>
      <c r="H1752" s="76" t="s">
        <v>1920</v>
      </c>
      <c r="I1752" s="96" t="s">
        <v>2337</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06"/>
        <v>4</v>
      </c>
      <c r="D1753" s="73"/>
      <c r="E1753" s="70"/>
      <c r="F1753" s="70" t="s">
        <v>3538</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06"/>
        <v>4</v>
      </c>
      <c r="D1754" s="73"/>
      <c r="E1754" s="70"/>
      <c r="F1754" s="70" t="s">
        <v>3539</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06"/>
        <v>4</v>
      </c>
      <c r="D1755" s="73"/>
      <c r="E1755" s="70"/>
      <c r="F1755" s="70" t="s">
        <v>3540</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06"/>
        <v>4</v>
      </c>
      <c r="D1756" s="73"/>
      <c r="E1756" s="70"/>
      <c r="F1756" s="70" t="s">
        <v>3541</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06"/>
        <v>4</v>
      </c>
      <c r="D1757" s="73"/>
      <c r="E1757" s="70"/>
      <c r="F1757" s="70" t="s">
        <v>3542</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c r="D1758" s="73"/>
      <c r="E1758" s="70"/>
      <c r="F1758" s="70" t="s">
        <v>3543</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3544</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3545</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f t="shared" ref="C1761:C1772" si="407">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si="407"/>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07"/>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07"/>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07"/>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07"/>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07"/>
        <v>4</v>
      </c>
      <c r="D1767" s="73"/>
      <c r="E1767" s="70"/>
      <c r="F1767" s="70" t="s">
        <v>3546</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07"/>
        <v>4</v>
      </c>
      <c r="D1768" s="73"/>
      <c r="E1768" s="70"/>
      <c r="F1768" s="70" t="s">
        <v>3547</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07"/>
        <v>4</v>
      </c>
      <c r="D1769" s="73"/>
      <c r="E1769" s="70"/>
      <c r="F1769" s="70" t="s">
        <v>3548</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07"/>
        <v>4</v>
      </c>
      <c r="D1770" s="73"/>
      <c r="E1770" s="70"/>
      <c r="F1770" s="70" t="s">
        <v>3549</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07"/>
        <v>4</v>
      </c>
      <c r="D1771" s="73"/>
      <c r="E1771" s="70"/>
      <c r="F1771" s="70" t="s">
        <v>3550</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07"/>
        <v>4</v>
      </c>
      <c r="D1772" s="73"/>
      <c r="E1772" s="70"/>
      <c r="F1772" s="70" t="s">
        <v>3551</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c r="D1773" s="73"/>
      <c r="E1773" s="70"/>
      <c r="F1773" s="70" t="s">
        <v>3552</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3553</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3554</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f t="shared" ref="C1776:C1787" si="408">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si="408"/>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08"/>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08"/>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08"/>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08"/>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08"/>
        <v>4</v>
      </c>
      <c r="D1782" s="73"/>
      <c r="E1782" s="70"/>
      <c r="F1782" s="70" t="s">
        <v>3555</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08"/>
        <v>4</v>
      </c>
      <c r="D1783" s="73"/>
      <c r="E1783" s="70"/>
      <c r="F1783" s="70" t="s">
        <v>3556</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08"/>
        <v>4</v>
      </c>
      <c r="D1784" s="73"/>
      <c r="E1784" s="70"/>
      <c r="F1784" s="70" t="s">
        <v>3557</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08"/>
        <v>4</v>
      </c>
      <c r="D1785" s="73"/>
      <c r="E1785" s="70"/>
      <c r="F1785" s="70" t="s">
        <v>3558</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08"/>
        <v>4</v>
      </c>
      <c r="D1786" s="73"/>
      <c r="E1786" s="70"/>
      <c r="F1786" s="70" t="s">
        <v>3559</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08"/>
        <v>4</v>
      </c>
      <c r="D1787" s="73"/>
      <c r="E1787" s="70"/>
      <c r="F1787" s="70" t="s">
        <v>3560</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c r="D1788" s="73"/>
      <c r="E1788" s="70"/>
      <c r="F1788" s="70" t="s">
        <v>3561</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3562</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3563</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f t="shared" ref="C1791:C1802" si="409">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si="409"/>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09"/>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09"/>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09"/>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09"/>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09"/>
        <v>4</v>
      </c>
      <c r="D1797" s="73"/>
      <c r="E1797" s="70"/>
      <c r="F1797" s="70" t="s">
        <v>3564</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09"/>
        <v>4</v>
      </c>
      <c r="D1798" s="73"/>
      <c r="E1798" s="70"/>
      <c r="F1798" s="70" t="s">
        <v>3565</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09"/>
        <v>4</v>
      </c>
      <c r="D1799" s="73"/>
      <c r="E1799" s="70"/>
      <c r="F1799" s="70" t="s">
        <v>3566</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09"/>
        <v>4</v>
      </c>
      <c r="D1800" s="73"/>
      <c r="E1800" s="70"/>
      <c r="F1800" s="70" t="s">
        <v>3567</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09"/>
        <v>4</v>
      </c>
      <c r="D1801" s="73"/>
      <c r="E1801" s="70"/>
      <c r="F1801" s="70" t="s">
        <v>3568</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09"/>
        <v>4</v>
      </c>
      <c r="D1802" s="73"/>
      <c r="E1802" s="70"/>
      <c r="F1802" s="70" t="s">
        <v>3569</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c r="D1803" s="73"/>
      <c r="E1803" s="70"/>
      <c r="F1803" s="70" t="s">
        <v>3570</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3571</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3572</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f t="shared" ref="C1806:C1817" si="410">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si="410"/>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10"/>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10"/>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10"/>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10"/>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10"/>
        <v>4</v>
      </c>
      <c r="D1812" s="73"/>
      <c r="E1812" s="70"/>
      <c r="F1812" s="70" t="s">
        <v>3573</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10"/>
        <v>4</v>
      </c>
      <c r="D1813" s="73"/>
      <c r="E1813" s="70"/>
      <c r="F1813" s="70" t="s">
        <v>3574</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10"/>
        <v>4</v>
      </c>
      <c r="D1814" s="73"/>
      <c r="E1814" s="70"/>
      <c r="F1814" s="70" t="s">
        <v>3575</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10"/>
        <v>4</v>
      </c>
      <c r="D1815" s="73"/>
      <c r="E1815" s="70"/>
      <c r="F1815" s="70" t="s">
        <v>3576</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10"/>
        <v>4</v>
      </c>
      <c r="D1816" s="73"/>
      <c r="E1816" s="70"/>
      <c r="F1816" s="70" t="s">
        <v>3577</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10"/>
        <v>4</v>
      </c>
      <c r="D1817" s="73"/>
      <c r="E1817" s="70"/>
      <c r="F1817" s="70" t="s">
        <v>3578</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c r="D1818" s="73"/>
      <c r="E1818" s="70"/>
      <c r="F1818" s="70" t="s">
        <v>3579</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3580</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3581</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f t="shared" ref="C1821:C1832" si="411">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si="411"/>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11"/>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11"/>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11"/>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11"/>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11"/>
        <v>4</v>
      </c>
      <c r="D1827" s="73"/>
      <c r="E1827" s="70"/>
      <c r="F1827" s="70" t="s">
        <v>3582</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11"/>
        <v>4</v>
      </c>
      <c r="D1828" s="73"/>
      <c r="E1828" s="70"/>
      <c r="F1828" s="70" t="s">
        <v>3583</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11"/>
        <v>4</v>
      </c>
      <c r="D1829" s="73"/>
      <c r="E1829" s="70"/>
      <c r="F1829" s="70" t="s">
        <v>3584</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11"/>
        <v>4</v>
      </c>
      <c r="D1830" s="73"/>
      <c r="E1830" s="70"/>
      <c r="F1830" s="70" t="s">
        <v>3585</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11"/>
        <v>4</v>
      </c>
      <c r="D1831" s="73"/>
      <c r="E1831" s="70"/>
      <c r="F1831" s="70" t="s">
        <v>3586</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11"/>
        <v>4</v>
      </c>
      <c r="D1832" s="73"/>
      <c r="E1832" s="70"/>
      <c r="F1832" s="70" t="s">
        <v>3587</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c r="D1833" s="73"/>
      <c r="E1833" s="70"/>
      <c r="F1833" s="70" t="s">
        <v>3588</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3589</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3590</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f t="shared" ref="C1836:C1847" si="412">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si="412"/>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12"/>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12"/>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12"/>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12"/>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12"/>
        <v>4</v>
      </c>
      <c r="D1842" s="73"/>
      <c r="E1842" s="70"/>
      <c r="F1842" s="70" t="s">
        <v>3591</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12"/>
        <v>4</v>
      </c>
      <c r="D1843" s="73"/>
      <c r="E1843" s="70"/>
      <c r="F1843" s="70" t="s">
        <v>3592</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12"/>
        <v>4</v>
      </c>
      <c r="D1844" s="73"/>
      <c r="E1844" s="70"/>
      <c r="F1844" s="70" t="s">
        <v>3593</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12"/>
        <v>4</v>
      </c>
      <c r="D1845" s="73"/>
      <c r="E1845" s="70"/>
      <c r="F1845" s="70" t="s">
        <v>3594</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12"/>
        <v>4</v>
      </c>
      <c r="D1846" s="73"/>
      <c r="E1846" s="70"/>
      <c r="F1846" s="70" t="s">
        <v>3595</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12"/>
        <v>4</v>
      </c>
      <c r="D1847" s="73"/>
      <c r="E1847" s="70"/>
      <c r="F1847" s="70" t="s">
        <v>3596</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c r="D1848" s="73"/>
      <c r="E1848" s="70"/>
      <c r="F1848" s="70" t="s">
        <v>3597</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3598</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3599</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 t="shared" ref="C1855:C1856" si="413">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si="413"/>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INT($C$29)+3</f>
        <v>4</v>
      </c>
      <c r="D1857" s="73"/>
      <c r="E1857" s="402"/>
      <c r="F1857" s="402" t="s">
        <v>3600</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hidden="1" outlineLevel="2" x14ac:dyDescent="0.25">
      <c r="A1858" s="45"/>
      <c r="B1858" s="54"/>
      <c r="C1858" s="47">
        <f>INT($C$29)+2</f>
        <v>3</v>
      </c>
      <c r="D1858" s="73"/>
      <c r="E1858" s="406"/>
      <c r="F1858" s="406" t="s">
        <v>3601</v>
      </c>
      <c r="G1858" s="407"/>
      <c r="H1858" s="181" t="s">
        <v>3766</v>
      </c>
      <c r="I1858" s="181"/>
      <c r="J1858" s="181"/>
      <c r="K1858" s="181"/>
      <c r="L1858" s="181"/>
      <c r="M1858" s="181"/>
      <c r="N1858" s="181"/>
      <c r="O1858" s="181"/>
      <c r="P1858" s="181"/>
      <c r="Q1858" s="181"/>
      <c r="R1858" s="181"/>
      <c r="S1858" s="181"/>
      <c r="T1858" s="181"/>
      <c r="U1858" s="408">
        <v>0.52490000000000003</v>
      </c>
      <c r="V1858" s="409">
        <f>U1858</f>
        <v>0.52490000000000003</v>
      </c>
      <c r="W1858" s="409">
        <f t="shared" ref="W1858:W1859" si="414">U1858</f>
        <v>0.52490000000000003</v>
      </c>
      <c r="X1858" s="409">
        <f t="shared" ref="X1858:X1859" si="415">V1858</f>
        <v>0.52490000000000003</v>
      </c>
      <c r="Y1858" s="409">
        <f>V1858</f>
        <v>0.52490000000000003</v>
      </c>
      <c r="Z1858" s="409">
        <f>AA1858</f>
        <v>0</v>
      </c>
      <c r="AA1858" s="408"/>
      <c r="AB1858" s="409">
        <f t="shared" ref="AB1858:AB1859" si="416">AA1858</f>
        <v>0</v>
      </c>
      <c r="AC1858" s="409">
        <f t="shared" ref="AC1858:AC1859" si="417">AB1858</f>
        <v>0</v>
      </c>
      <c r="AD1858" s="409">
        <f t="shared" ref="AD1858:AD1859" si="418">AC1858</f>
        <v>0</v>
      </c>
      <c r="AE1858" s="181"/>
      <c r="AF1858" s="408" t="s">
        <v>3528</v>
      </c>
      <c r="AG1858" s="181"/>
      <c r="AH1858" s="408">
        <v>1</v>
      </c>
      <c r="AI1858" s="408">
        <v>1</v>
      </c>
      <c r="AJ1858" s="73"/>
      <c r="AK1858" s="57"/>
      <c r="AL1858" s="45"/>
      <c r="AM1858" s="45"/>
      <c r="AN1858" s="45"/>
    </row>
    <row r="1859" spans="1:40" hidden="1" outlineLevel="2" collapsed="1" x14ac:dyDescent="0.25">
      <c r="A1859" s="45"/>
      <c r="B1859" s="54"/>
      <c r="C1859" s="47">
        <f>INT($C$29)+2</f>
        <v>3</v>
      </c>
      <c r="D1859" s="73"/>
      <c r="E1859" s="70"/>
      <c r="F1859" s="70" t="s">
        <v>3602</v>
      </c>
      <c r="G1859" s="234"/>
      <c r="H1859" s="76" t="s">
        <v>3526</v>
      </c>
      <c r="I1859" s="76"/>
      <c r="J1859" s="76"/>
      <c r="K1859" s="76"/>
      <c r="L1859" s="76"/>
      <c r="M1859" s="76"/>
      <c r="N1859" s="76"/>
      <c r="O1859" s="76"/>
      <c r="P1859" s="76"/>
      <c r="Q1859" s="76"/>
      <c r="R1859" s="76"/>
      <c r="S1859" s="76"/>
      <c r="T1859" s="76"/>
      <c r="U1859" s="97">
        <v>-4.2820000000000002E-3</v>
      </c>
      <c r="V1859" s="255">
        <f>U1859</f>
        <v>-4.2820000000000002E-3</v>
      </c>
      <c r="W1859" s="255">
        <f t="shared" si="414"/>
        <v>-4.2820000000000002E-3</v>
      </c>
      <c r="X1859" s="255">
        <f t="shared" si="415"/>
        <v>-4.2820000000000002E-3</v>
      </c>
      <c r="Y1859" s="255">
        <f>V1859</f>
        <v>-4.2820000000000002E-3</v>
      </c>
      <c r="Z1859" s="404">
        <f>AA1859</f>
        <v>0</v>
      </c>
      <c r="AA1859" s="97"/>
      <c r="AB1859" s="404">
        <f t="shared" si="416"/>
        <v>0</v>
      </c>
      <c r="AC1859" s="404">
        <f t="shared" si="417"/>
        <v>0</v>
      </c>
      <c r="AD1859" s="404">
        <f t="shared" si="418"/>
        <v>0</v>
      </c>
      <c r="AE1859" s="76"/>
      <c r="AF1859" s="76"/>
      <c r="AG1859" s="76"/>
      <c r="AH1859" s="97">
        <v>1</v>
      </c>
      <c r="AI1859" s="97">
        <v>1</v>
      </c>
      <c r="AJ1859" s="73"/>
      <c r="AK1859" s="57"/>
      <c r="AL1859" s="45"/>
      <c r="AM1859" s="45"/>
      <c r="AN1859" s="45"/>
    </row>
    <row r="1860" spans="1:40" hidden="1" outlineLevel="3" x14ac:dyDescent="0.25">
      <c r="A1860" s="45"/>
      <c r="B1860" s="54"/>
      <c r="C1860" s="47">
        <f>INT($C$29)+2</f>
        <v>3</v>
      </c>
      <c r="D1860" s="73"/>
      <c r="E1860" s="70"/>
      <c r="F1860" s="70" t="s">
        <v>3603</v>
      </c>
      <c r="G1860" s="234"/>
      <c r="H1860" s="76" t="s">
        <v>3520</v>
      </c>
      <c r="I1860" s="7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v>1</v>
      </c>
      <c r="AI1860" s="76">
        <v>1</v>
      </c>
      <c r="AJ1860" s="73"/>
      <c r="AK1860" s="57"/>
      <c r="AL1860" s="45"/>
      <c r="AM1860" s="45"/>
      <c r="AN1860" s="45"/>
    </row>
    <row r="1861" spans="1:40" hidden="1" outlineLevel="3" x14ac:dyDescent="0.25">
      <c r="A1861" s="45"/>
      <c r="B1861" s="54"/>
      <c r="C1861" s="47">
        <f>INT($C$29)+3</f>
        <v>4</v>
      </c>
      <c r="D1861" s="73"/>
      <c r="E1861" s="70"/>
      <c r="F1861" s="70" t="s">
        <v>3604</v>
      </c>
      <c r="G1861" s="234"/>
      <c r="H1861" s="76" t="s">
        <v>3514</v>
      </c>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v>1</v>
      </c>
      <c r="AI1861" s="76">
        <v>1</v>
      </c>
      <c r="AJ1861" s="73"/>
      <c r="AK1861" s="57"/>
      <c r="AL1861" s="45"/>
      <c r="AM1861" s="45"/>
      <c r="AN1861" s="45"/>
    </row>
    <row r="1862" spans="1:40" hidden="1" outlineLevel="2" collapsed="1" x14ac:dyDescent="0.25">
      <c r="A1862" s="45"/>
      <c r="B1862" s="54"/>
      <c r="C1862" s="47">
        <f>INT($C$29)+2</f>
        <v>3</v>
      </c>
      <c r="D1862" s="73"/>
      <c r="E1862" s="70"/>
      <c r="F1862" s="70" t="s">
        <v>3605</v>
      </c>
      <c r="G1862" s="234"/>
      <c r="H1862" s="76" t="s">
        <v>3521</v>
      </c>
      <c r="I1862" s="76"/>
      <c r="J1862" s="76"/>
      <c r="K1862" s="76"/>
      <c r="L1862" s="76"/>
      <c r="M1862" s="76"/>
      <c r="N1862" s="76"/>
      <c r="O1862" s="76"/>
      <c r="P1862" s="76"/>
      <c r="Q1862" s="76"/>
      <c r="R1862" s="76"/>
      <c r="S1862" s="76"/>
      <c r="T1862" s="76"/>
      <c r="U1862" s="97">
        <v>5.5010000000000003E-2</v>
      </c>
      <c r="V1862" s="255">
        <f>U1862</f>
        <v>5.5010000000000003E-2</v>
      </c>
      <c r="W1862" s="255">
        <f t="shared" ref="W1862" si="419">U1862</f>
        <v>5.5010000000000003E-2</v>
      </c>
      <c r="X1862" s="255">
        <f t="shared" ref="X1862" si="420">V1862</f>
        <v>5.5010000000000003E-2</v>
      </c>
      <c r="Y1862" s="255">
        <f>V1862</f>
        <v>5.5010000000000003E-2</v>
      </c>
      <c r="Z1862" s="404">
        <f>AA1862</f>
        <v>0</v>
      </c>
      <c r="AA1862" s="97"/>
      <c r="AB1862" s="404">
        <f t="shared" ref="AB1862" si="421">AA1862</f>
        <v>0</v>
      </c>
      <c r="AC1862" s="404">
        <f t="shared" ref="AC1862" si="422">AB1862</f>
        <v>0</v>
      </c>
      <c r="AD1862" s="404">
        <f t="shared" ref="AD1862" si="423">AC1862</f>
        <v>0</v>
      </c>
      <c r="AE1862" s="76"/>
      <c r="AF1862" s="76"/>
      <c r="AG1862" s="76"/>
      <c r="AH1862" s="97">
        <v>1</v>
      </c>
      <c r="AI1862" s="97">
        <v>1</v>
      </c>
      <c r="AJ1862" s="73"/>
      <c r="AK1862" s="57"/>
      <c r="AL1862" s="45"/>
      <c r="AM1862" s="45"/>
      <c r="AN1862" s="45"/>
    </row>
    <row r="1863" spans="1:40" hidden="1" outlineLevel="3" x14ac:dyDescent="0.25">
      <c r="A1863" s="45"/>
      <c r="B1863" s="54"/>
      <c r="C1863" s="47">
        <f>INT($C$29)+2</f>
        <v>3</v>
      </c>
      <c r="D1863" s="73"/>
      <c r="E1863" s="70"/>
      <c r="F1863" s="70" t="s">
        <v>3606</v>
      </c>
      <c r="G1863" s="234"/>
      <c r="H1863" s="76" t="s">
        <v>3515</v>
      </c>
      <c r="I1863" s="7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v>1</v>
      </c>
      <c r="AI1863" s="76">
        <v>1</v>
      </c>
      <c r="AJ1863" s="73"/>
      <c r="AK1863" s="57"/>
      <c r="AL1863" s="45"/>
      <c r="AM1863" s="45"/>
      <c r="AN1863" s="45"/>
    </row>
    <row r="1864" spans="1:40" hidden="1" outlineLevel="2" x14ac:dyDescent="0.25">
      <c r="A1864" s="45"/>
      <c r="B1864" s="54"/>
      <c r="C1864" s="47">
        <f t="shared" ref="C1864:C1871" si="424">INT($C$29)+3</f>
        <v>4</v>
      </c>
      <c r="D1864" s="73"/>
      <c r="E1864" s="70"/>
      <c r="F1864" s="70" t="s">
        <v>3607</v>
      </c>
      <c r="G1864" s="234"/>
      <c r="H1864" s="76" t="s">
        <v>3522</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4">
        <f>AA1864</f>
        <v>0</v>
      </c>
      <c r="AA1864" s="97">
        <v>0</v>
      </c>
      <c r="AB1864" s="404">
        <f t="shared" ref="AB1864:AB1865" si="425">AA1864</f>
        <v>0</v>
      </c>
      <c r="AC1864" s="404">
        <f t="shared" ref="AC1864:AC1865" si="426">AB1864</f>
        <v>0</v>
      </c>
      <c r="AD1864" s="404">
        <f t="shared" ref="AD1864:AD1865" si="427">AC1864</f>
        <v>0</v>
      </c>
      <c r="AE1864" s="76"/>
      <c r="AF1864" s="76"/>
      <c r="AG1864" s="76"/>
      <c r="AH1864" s="97">
        <v>1</v>
      </c>
      <c r="AI1864" s="97">
        <v>1</v>
      </c>
      <c r="AJ1864" s="73"/>
      <c r="AK1864" s="57"/>
      <c r="AL1864" s="45"/>
      <c r="AM1864" s="45"/>
      <c r="AN1864" s="45"/>
    </row>
    <row r="1865" spans="1:40" hidden="1" outlineLevel="2" collapsed="1" x14ac:dyDescent="0.25">
      <c r="A1865" s="45"/>
      <c r="B1865" s="54"/>
      <c r="C1865" s="47">
        <f t="shared" si="424"/>
        <v>4</v>
      </c>
      <c r="D1865" s="73"/>
      <c r="E1865" s="70"/>
      <c r="F1865" s="70" t="s">
        <v>3608</v>
      </c>
      <c r="G1865" s="234"/>
      <c r="H1865" s="76" t="s">
        <v>3516</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4">
        <f>AA1865</f>
        <v>0</v>
      </c>
      <c r="AA1865" s="97">
        <v>0</v>
      </c>
      <c r="AB1865" s="404">
        <f t="shared" si="425"/>
        <v>0</v>
      </c>
      <c r="AC1865" s="404">
        <f t="shared" si="426"/>
        <v>0</v>
      </c>
      <c r="AD1865" s="404">
        <f t="shared" si="427"/>
        <v>0</v>
      </c>
      <c r="AE1865" s="76"/>
      <c r="AF1865" s="76"/>
      <c r="AG1865" s="76"/>
      <c r="AH1865" s="97">
        <v>1</v>
      </c>
      <c r="AI1865" s="97">
        <v>1</v>
      </c>
      <c r="AJ1865" s="73"/>
      <c r="AK1865" s="57"/>
      <c r="AL1865" s="45"/>
      <c r="AM1865" s="45"/>
      <c r="AN1865" s="45"/>
    </row>
    <row r="1866" spans="1:40" hidden="1" outlineLevel="3" x14ac:dyDescent="0.25">
      <c r="A1866" s="45"/>
      <c r="B1866" s="54"/>
      <c r="C1866" s="47">
        <f t="shared" si="424"/>
        <v>4</v>
      </c>
      <c r="D1866" s="73"/>
      <c r="E1866" s="70"/>
      <c r="F1866" s="70" t="str">
        <f>SUBSTITUTE(F1862,",4)",",8)")</f>
        <v>C(U6,8,8)</v>
      </c>
      <c r="G1866" s="73"/>
      <c r="H1866" s="76" t="s">
        <v>3523</v>
      </c>
      <c r="I1866" s="96"/>
      <c r="J1866" s="76"/>
      <c r="K1866" s="76"/>
      <c r="L1866" s="76"/>
      <c r="M1866" s="76"/>
      <c r="N1866" s="76"/>
      <c r="O1866" s="76"/>
      <c r="P1866" s="76"/>
      <c r="Q1866" s="76"/>
      <c r="R1866" s="76"/>
      <c r="S1866" s="76"/>
      <c r="T1866" s="76"/>
      <c r="U1866" s="76"/>
      <c r="V1866" s="76"/>
      <c r="W1866" s="76"/>
      <c r="X1866" s="76"/>
      <c r="Y1866" s="76"/>
      <c r="Z1866" s="76"/>
      <c r="AA1866" s="76"/>
      <c r="AB1866" s="76"/>
      <c r="AC1866" s="76"/>
      <c r="AD1866" s="76"/>
      <c r="AE1866" s="76"/>
      <c r="AF1866" s="76"/>
      <c r="AG1866" s="76"/>
      <c r="AH1866" s="76">
        <v>1</v>
      </c>
      <c r="AI1866" s="76">
        <v>1</v>
      </c>
      <c r="AJ1866" s="73"/>
      <c r="AK1866" s="57"/>
      <c r="AL1866" s="45"/>
      <c r="AM1866" s="45"/>
      <c r="AN1866" s="45"/>
    </row>
    <row r="1867" spans="1:40" hidden="1" outlineLevel="3" x14ac:dyDescent="0.25">
      <c r="A1867" s="45"/>
      <c r="B1867" s="54"/>
      <c r="C1867" s="47">
        <f t="shared" si="424"/>
        <v>4</v>
      </c>
      <c r="D1867" s="73"/>
      <c r="E1867" s="70"/>
      <c r="F1867" s="70" t="str">
        <f>SUBSTITUTE(F1863,",5)",",9)")</f>
        <v>C(U6,8,9)</v>
      </c>
      <c r="G1867" s="73"/>
      <c r="H1867" s="76" t="s">
        <v>3517</v>
      </c>
      <c r="I1867" s="96"/>
      <c r="J1867" s="76"/>
      <c r="K1867" s="76"/>
      <c r="L1867" s="76"/>
      <c r="M1867" s="76"/>
      <c r="N1867" s="76"/>
      <c r="O1867" s="76"/>
      <c r="P1867" s="76"/>
      <c r="Q1867" s="76"/>
      <c r="R1867" s="76"/>
      <c r="S1867" s="76"/>
      <c r="T1867" s="76"/>
      <c r="U1867" s="76"/>
      <c r="V1867" s="76"/>
      <c r="W1867" s="76"/>
      <c r="X1867" s="76"/>
      <c r="Y1867" s="76"/>
      <c r="Z1867" s="76"/>
      <c r="AA1867" s="76"/>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24"/>
        <v>4</v>
      </c>
      <c r="D1868" s="73"/>
      <c r="E1868" s="70"/>
      <c r="F1868" s="70" t="str">
        <f>SUBSTITUTE(F1864,",6)",",10)")</f>
        <v>C(U6,8,10)</v>
      </c>
      <c r="G1868" s="73"/>
      <c r="H1868" s="76" t="s">
        <v>3524</v>
      </c>
      <c r="I1868" s="96"/>
      <c r="J1868" s="76"/>
      <c r="K1868" s="76"/>
      <c r="L1868" s="76"/>
      <c r="M1868" s="76"/>
      <c r="N1868" s="76"/>
      <c r="O1868" s="76"/>
      <c r="P1868" s="76"/>
      <c r="Q1868" s="76"/>
      <c r="R1868" s="76"/>
      <c r="S1868" s="76"/>
      <c r="T1868" s="76"/>
      <c r="U1868" s="76"/>
      <c r="V1868" s="76"/>
      <c r="W1868" s="76"/>
      <c r="X1868" s="76"/>
      <c r="Y1868" s="76"/>
      <c r="Z1868" s="76"/>
      <c r="AA1868" s="76"/>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24"/>
        <v>4</v>
      </c>
      <c r="D1869" s="73"/>
      <c r="E1869" s="70"/>
      <c r="F1869" s="70" t="str">
        <f>SUBSTITUTE(F1865,",7)",",11)")</f>
        <v>C(U6,8,11)</v>
      </c>
      <c r="G1869" s="73"/>
      <c r="H1869" s="76" t="s">
        <v>3518</v>
      </c>
      <c r="I1869" s="96"/>
      <c r="J1869" s="76"/>
      <c r="K1869" s="76"/>
      <c r="L1869" s="76"/>
      <c r="M1869" s="76"/>
      <c r="N1869" s="76"/>
      <c r="O1869" s="76"/>
      <c r="P1869" s="76"/>
      <c r="Q1869" s="76"/>
      <c r="R1869" s="76"/>
      <c r="S1869" s="76"/>
      <c r="T1869" s="76"/>
      <c r="U1869" s="76"/>
      <c r="V1869" s="76"/>
      <c r="W1869" s="76"/>
      <c r="X1869" s="76"/>
      <c r="Y1869" s="76"/>
      <c r="Z1869" s="76"/>
      <c r="AA1869" s="76"/>
      <c r="AB1869" s="76"/>
      <c r="AC1869" s="76"/>
      <c r="AD1869" s="76"/>
      <c r="AE1869" s="76"/>
      <c r="AF1869" s="76"/>
      <c r="AG1869" s="76"/>
      <c r="AH1869" s="76">
        <v>1</v>
      </c>
      <c r="AI1869" s="76">
        <v>1</v>
      </c>
      <c r="AJ1869" s="73"/>
      <c r="AK1869" s="57"/>
      <c r="AL1869" s="45"/>
      <c r="AM1869" s="45"/>
      <c r="AN1869" s="45"/>
    </row>
    <row r="1870" spans="1:40" hidden="1" outlineLevel="2" collapsed="1" x14ac:dyDescent="0.25">
      <c r="A1870" s="45"/>
      <c r="B1870" s="54"/>
      <c r="C1870" s="47">
        <f t="shared" si="424"/>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28">U1870</f>
        <v>-7.9950000000000004E-3</v>
      </c>
      <c r="X1870" s="255">
        <f t="shared" ref="X1870" si="429">V1870</f>
        <v>-7.9950000000000004E-3</v>
      </c>
      <c r="Y1870" s="255">
        <f>V1870</f>
        <v>-7.9950000000000004E-3</v>
      </c>
      <c r="Z1870" s="404">
        <f>AA1870</f>
        <v>-1.761E-3</v>
      </c>
      <c r="AA1870" s="97">
        <v>-1.761E-3</v>
      </c>
      <c r="AB1870" s="404">
        <f t="shared" ref="AB1870" si="430">AA1870</f>
        <v>-1.761E-3</v>
      </c>
      <c r="AC1870" s="404">
        <f t="shared" ref="AC1870" si="431">AB1870</f>
        <v>-1.761E-3</v>
      </c>
      <c r="AD1870" s="404">
        <f t="shared" ref="AD1870" si="432">AC1870</f>
        <v>-1.761E-3</v>
      </c>
      <c r="AE1870" s="76"/>
      <c r="AF1870" s="76"/>
      <c r="AG1870" s="76"/>
      <c r="AH1870" s="97">
        <v>1</v>
      </c>
      <c r="AI1870" s="97">
        <v>1</v>
      </c>
      <c r="AJ1870" s="73"/>
      <c r="AK1870" s="57"/>
      <c r="AL1870" s="45"/>
      <c r="AM1870" s="45"/>
      <c r="AN1870" s="45"/>
    </row>
    <row r="1871" spans="1:40" hidden="1" outlineLevel="3" x14ac:dyDescent="0.25">
      <c r="A1871" s="45"/>
      <c r="B1871" s="54"/>
      <c r="C1871" s="47">
        <f t="shared" si="424"/>
        <v>4</v>
      </c>
      <c r="D1871" s="73"/>
      <c r="E1871" s="70"/>
      <c r="F1871" s="70" t="str">
        <f>SUBSTITUTE(F1865,",7)",",13)")</f>
        <v>C(U6,8,13)</v>
      </c>
      <c r="G1871" s="73"/>
      <c r="H1871" s="76" t="s">
        <v>2470</v>
      </c>
      <c r="I1871" s="96"/>
      <c r="J1871" s="76"/>
      <c r="K1871" s="76"/>
      <c r="L1871" s="76"/>
      <c r="M1871" s="76"/>
      <c r="N1871" s="76"/>
      <c r="O1871" s="76"/>
      <c r="P1871" s="76"/>
      <c r="Q1871" s="76"/>
      <c r="R1871" s="76"/>
      <c r="S1871" s="76"/>
      <c r="T1871" s="76"/>
      <c r="U1871" s="76"/>
      <c r="V1871" s="76"/>
      <c r="W1871" s="76"/>
      <c r="X1871" s="76"/>
      <c r="Y1871" s="76"/>
      <c r="Z1871" s="76"/>
      <c r="AA1871" s="76"/>
      <c r="AB1871" s="76"/>
      <c r="AC1871" s="76"/>
      <c r="AD1871" s="76"/>
      <c r="AE1871" s="76"/>
      <c r="AF1871" s="76"/>
      <c r="AG1871" s="76"/>
      <c r="AH1871" s="76">
        <v>1</v>
      </c>
      <c r="AI1871" s="76">
        <v>1</v>
      </c>
      <c r="AJ1871" s="73"/>
      <c r="AK1871" s="57"/>
      <c r="AL1871" s="45"/>
      <c r="AM1871" s="45"/>
      <c r="AN1871" s="45"/>
    </row>
    <row r="1872" spans="1:40" hidden="1" outlineLevel="2" collapsed="1" x14ac:dyDescent="0.25">
      <c r="A1872" s="45"/>
      <c r="B1872" s="54"/>
      <c r="C1872" s="47">
        <f>INT($C$29)+2</f>
        <v>3</v>
      </c>
      <c r="D1872" s="73"/>
      <c r="E1872" s="410"/>
      <c r="F1872" s="410" t="s">
        <v>3609</v>
      </c>
      <c r="G1872" s="411"/>
      <c r="H1872" s="184" t="s">
        <v>3527</v>
      </c>
      <c r="I1872" s="184"/>
      <c r="J1872" s="184"/>
      <c r="K1872" s="184"/>
      <c r="L1872" s="184"/>
      <c r="M1872" s="184"/>
      <c r="N1872" s="184"/>
      <c r="O1872" s="184"/>
      <c r="P1872" s="184"/>
      <c r="Q1872" s="184"/>
      <c r="R1872" s="184"/>
      <c r="S1872" s="184"/>
      <c r="T1872" s="184"/>
      <c r="U1872" s="413">
        <v>-6.7655399999999997</v>
      </c>
      <c r="V1872" s="414">
        <f>U1872</f>
        <v>-6.7655399999999997</v>
      </c>
      <c r="W1872" s="414">
        <f t="shared" ref="W1872:Y1872" si="433">V1872</f>
        <v>-6.7655399999999997</v>
      </c>
      <c r="X1872" s="414">
        <f t="shared" si="433"/>
        <v>-6.7655399999999997</v>
      </c>
      <c r="Y1872" s="414">
        <f t="shared" si="433"/>
        <v>-6.7655399999999997</v>
      </c>
      <c r="Z1872" s="414">
        <f>AA1872</f>
        <v>-4.3544999999999998</v>
      </c>
      <c r="AA1872" s="413">
        <v>-4.3544999999999998</v>
      </c>
      <c r="AB1872" s="414">
        <f>AA1872</f>
        <v>-4.3544999999999998</v>
      </c>
      <c r="AC1872" s="414">
        <f>AB1872</f>
        <v>-4.3544999999999998</v>
      </c>
      <c r="AD1872" s="414">
        <f>AC1872</f>
        <v>-4.3544999999999998</v>
      </c>
      <c r="AE1872" s="184"/>
      <c r="AF1872" s="184"/>
      <c r="AG1872" s="184"/>
      <c r="AH1872" s="413">
        <v>1</v>
      </c>
      <c r="AI1872" s="413">
        <v>1</v>
      </c>
      <c r="AJ1872" s="73"/>
      <c r="AK1872" s="57"/>
      <c r="AL1872" s="45"/>
      <c r="AM1872" s="45"/>
      <c r="AN1872" s="45"/>
    </row>
    <row r="1873" spans="1:40" hidden="1" outlineLevel="3" x14ac:dyDescent="0.25">
      <c r="A1873" s="45"/>
      <c r="B1873" s="54"/>
      <c r="C1873" s="47">
        <f t="shared" ref="C1873:C1877" si="434">INT($C$29)+3</f>
        <v>4</v>
      </c>
      <c r="D1873" s="73"/>
      <c r="E1873" s="70"/>
      <c r="F1873" s="70" t="s">
        <v>3616</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25">
      <c r="A1874" s="45"/>
      <c r="B1874" s="54"/>
      <c r="C1874" s="47">
        <f t="shared" si="434"/>
        <v>4</v>
      </c>
      <c r="D1874" s="73"/>
      <c r="E1874" s="70"/>
      <c r="F1874" s="70" t="s">
        <v>3617</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34"/>
        <v>4</v>
      </c>
      <c r="D1875" s="73"/>
      <c r="E1875" s="70"/>
      <c r="F1875" s="70" t="s">
        <v>3618</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34"/>
        <v>4</v>
      </c>
      <c r="D1876" s="73"/>
      <c r="E1876" s="70"/>
      <c r="F1876" s="70" t="s">
        <v>3619</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34"/>
        <v>4</v>
      </c>
      <c r="D1877" s="73"/>
      <c r="E1877" s="70"/>
      <c r="F1877" s="70" t="s">
        <v>3620</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c r="D1878" s="73"/>
      <c r="E1878" s="70"/>
      <c r="F1878" s="70" t="s">
        <v>3621</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3622</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3623</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f t="shared" ref="C1881:C1892" si="435">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si="435"/>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35"/>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35"/>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35"/>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35"/>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35"/>
        <v>4</v>
      </c>
      <c r="D1887" s="73"/>
      <c r="E1887" s="70"/>
      <c r="F1887" s="70" t="s">
        <v>3624</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35"/>
        <v>4</v>
      </c>
      <c r="D1888" s="73"/>
      <c r="E1888" s="70"/>
      <c r="F1888" s="70" t="s">
        <v>3625</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35"/>
        <v>4</v>
      </c>
      <c r="D1889" s="73"/>
      <c r="E1889" s="70"/>
      <c r="F1889" s="70" t="s">
        <v>3626</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35"/>
        <v>4</v>
      </c>
      <c r="D1890" s="73"/>
      <c r="E1890" s="70"/>
      <c r="F1890" s="70" t="s">
        <v>3627</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35"/>
        <v>4</v>
      </c>
      <c r="D1891" s="73"/>
      <c r="E1891" s="70"/>
      <c r="F1891" s="70" t="s">
        <v>3628</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35"/>
        <v>4</v>
      </c>
      <c r="D1892" s="73"/>
      <c r="E1892" s="70"/>
      <c r="F1892" s="70" t="s">
        <v>3629</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c r="D1893" s="73"/>
      <c r="E1893" s="70"/>
      <c r="F1893" s="70" t="s">
        <v>3630</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3631</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3632</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f t="shared" ref="C1896:C1907" si="436">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si="436"/>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36"/>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36"/>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36"/>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36"/>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36"/>
        <v>4</v>
      </c>
      <c r="D1902" s="73"/>
      <c r="E1902" s="70"/>
      <c r="F1902" s="70" t="s">
        <v>3633</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36"/>
        <v>4</v>
      </c>
      <c r="D1903" s="73"/>
      <c r="E1903" s="70"/>
      <c r="F1903" s="70" t="s">
        <v>3634</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36"/>
        <v>4</v>
      </c>
      <c r="D1904" s="73"/>
      <c r="E1904" s="70"/>
      <c r="F1904" s="70" t="s">
        <v>3635</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36"/>
        <v>4</v>
      </c>
      <c r="D1905" s="73"/>
      <c r="E1905" s="70"/>
      <c r="F1905" s="70" t="s">
        <v>3636</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36"/>
        <v>4</v>
      </c>
      <c r="D1906" s="73"/>
      <c r="E1906" s="70"/>
      <c r="F1906" s="70" t="s">
        <v>3637</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36"/>
        <v>4</v>
      </c>
      <c r="D1907" s="73"/>
      <c r="E1907" s="70"/>
      <c r="F1907" s="70" t="s">
        <v>3638</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c r="D1908" s="73"/>
      <c r="E1908" s="70"/>
      <c r="F1908" s="70" t="s">
        <v>3639</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3640</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3641</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f t="shared" ref="C1911:C1922" si="437">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si="437"/>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37"/>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37"/>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37"/>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37"/>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37"/>
        <v>4</v>
      </c>
      <c r="D1917" s="73"/>
      <c r="E1917" s="70"/>
      <c r="F1917" s="70" t="s">
        <v>3642</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37"/>
        <v>4</v>
      </c>
      <c r="D1918" s="73"/>
      <c r="E1918" s="70"/>
      <c r="F1918" s="70" t="s">
        <v>3643</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37"/>
        <v>4</v>
      </c>
      <c r="D1919" s="73"/>
      <c r="E1919" s="70"/>
      <c r="F1919" s="70" t="s">
        <v>3644</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37"/>
        <v>4</v>
      </c>
      <c r="D1920" s="73"/>
      <c r="E1920" s="70"/>
      <c r="F1920" s="70" t="s">
        <v>3645</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37"/>
        <v>4</v>
      </c>
      <c r="D1921" s="73"/>
      <c r="E1921" s="70"/>
      <c r="F1921" s="70" t="s">
        <v>3646</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37"/>
        <v>4</v>
      </c>
      <c r="D1922" s="73"/>
      <c r="E1922" s="70"/>
      <c r="F1922" s="70" t="s">
        <v>3647</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c r="D1923" s="73"/>
      <c r="E1923" s="70"/>
      <c r="F1923" s="70" t="s">
        <v>3648</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3649</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3650</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f t="shared" ref="C1926:C1937" si="438">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si="438"/>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38"/>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38"/>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38"/>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38"/>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38"/>
        <v>4</v>
      </c>
      <c r="D1932" s="73"/>
      <c r="E1932" s="70"/>
      <c r="F1932" s="70" t="s">
        <v>3651</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38"/>
        <v>4</v>
      </c>
      <c r="D1933" s="73"/>
      <c r="E1933" s="70"/>
      <c r="F1933" s="70" t="s">
        <v>3652</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38"/>
        <v>4</v>
      </c>
      <c r="D1934" s="73"/>
      <c r="E1934" s="70"/>
      <c r="F1934" s="70" t="s">
        <v>3653</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38"/>
        <v>4</v>
      </c>
      <c r="D1935" s="73"/>
      <c r="E1935" s="70"/>
      <c r="F1935" s="70" t="s">
        <v>3654</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38"/>
        <v>4</v>
      </c>
      <c r="D1936" s="73"/>
      <c r="E1936" s="70"/>
      <c r="F1936" s="70" t="s">
        <v>3655</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38"/>
        <v>4</v>
      </c>
      <c r="D1937" s="73"/>
      <c r="E1937" s="70"/>
      <c r="F1937" s="70" t="s">
        <v>3656</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c r="D1938" s="73"/>
      <c r="E1938" s="70"/>
      <c r="F1938" s="70" t="s">
        <v>3657</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3658</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3659</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f t="shared" ref="C1941:C1952" si="439">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si="439"/>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39"/>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39"/>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39"/>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39"/>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39"/>
        <v>4</v>
      </c>
      <c r="D1947" s="73"/>
      <c r="E1947" s="70"/>
      <c r="F1947" s="70" t="s">
        <v>3660</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39"/>
        <v>4</v>
      </c>
      <c r="D1948" s="73"/>
      <c r="E1948" s="70"/>
      <c r="F1948" s="70" t="s">
        <v>3661</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39"/>
        <v>4</v>
      </c>
      <c r="D1949" s="73"/>
      <c r="E1949" s="70"/>
      <c r="F1949" s="70" t="s">
        <v>3662</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39"/>
        <v>4</v>
      </c>
      <c r="D1950" s="73"/>
      <c r="E1950" s="70"/>
      <c r="F1950" s="70" t="s">
        <v>3663</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39"/>
        <v>4</v>
      </c>
      <c r="D1951" s="73"/>
      <c r="E1951" s="70"/>
      <c r="F1951" s="70" t="s">
        <v>3664</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39"/>
        <v>4</v>
      </c>
      <c r="D1952" s="73"/>
      <c r="E1952" s="70"/>
      <c r="F1952" s="70" t="s">
        <v>3665</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c r="D1953" s="73"/>
      <c r="E1953" s="70"/>
      <c r="F1953" s="70" t="s">
        <v>3666</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3667</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3668</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f t="shared" ref="C1956:C1967" si="440">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si="440"/>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40"/>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40"/>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40"/>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40"/>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40"/>
        <v>4</v>
      </c>
      <c r="D1962" s="73"/>
      <c r="E1962" s="70"/>
      <c r="F1962" s="70" t="s">
        <v>3669</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40"/>
        <v>4</v>
      </c>
      <c r="D1963" s="73"/>
      <c r="E1963" s="70"/>
      <c r="F1963" s="70" t="s">
        <v>3670</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40"/>
        <v>4</v>
      </c>
      <c r="D1964" s="73"/>
      <c r="E1964" s="70"/>
      <c r="F1964" s="70" t="s">
        <v>3671</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40"/>
        <v>4</v>
      </c>
      <c r="D1965" s="73"/>
      <c r="E1965" s="70"/>
      <c r="F1965" s="70" t="s">
        <v>3672</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40"/>
        <v>4</v>
      </c>
      <c r="D1966" s="73"/>
      <c r="E1966" s="70"/>
      <c r="F1966" s="70" t="s">
        <v>3673</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40"/>
        <v>4</v>
      </c>
      <c r="D1967" s="73"/>
      <c r="E1967" s="70"/>
      <c r="F1967" s="70" t="s">
        <v>3674</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c r="D1968" s="73"/>
      <c r="E1968" s="70"/>
      <c r="F1968" s="70" t="s">
        <v>3675</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3676</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3677</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 t="shared" ref="C1975:C1976" si="441">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si="441"/>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INT($C$29)+3</f>
        <v>4</v>
      </c>
      <c r="D1977" s="73"/>
      <c r="E1977" s="402"/>
      <c r="F1977" s="402" t="s">
        <v>3678</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25">
      <c r="A1978" s="45"/>
      <c r="B1978" s="54"/>
      <c r="C1978" s="47">
        <f t="shared" ref="C1978:C1982" si="442">INT($C$29)+3</f>
        <v>4</v>
      </c>
      <c r="D1978" s="73"/>
      <c r="E1978" s="70"/>
      <c r="F1978" s="70" t="s">
        <v>3679</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 t="shared" si="442"/>
        <v>4</v>
      </c>
      <c r="D1979" s="73"/>
      <c r="E1979" s="70"/>
      <c r="F1979" s="70" t="s">
        <v>3680</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42"/>
        <v>4</v>
      </c>
      <c r="D1980" s="73"/>
      <c r="E1980" s="70"/>
      <c r="F1980" s="70" t="s">
        <v>3681</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42"/>
        <v>4</v>
      </c>
      <c r="D1981" s="73"/>
      <c r="E1981" s="70"/>
      <c r="F1981" s="70" t="s">
        <v>3682</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42"/>
        <v>4</v>
      </c>
      <c r="D1982" s="73"/>
      <c r="E1982" s="70"/>
      <c r="F1982" s="70" t="s">
        <v>3683</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c r="D1983" s="73"/>
      <c r="E1983" s="70"/>
      <c r="F1983" s="70" t="s">
        <v>3684</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3685</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3686</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f t="shared" ref="C1986:C1997" si="443">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si="443"/>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43"/>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43"/>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43"/>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43"/>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43"/>
        <v>4</v>
      </c>
      <c r="D1992" s="73"/>
      <c r="E1992" s="70"/>
      <c r="F1992" s="70" t="s">
        <v>3687</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43"/>
        <v>4</v>
      </c>
      <c r="D1993" s="73"/>
      <c r="E1993" s="70"/>
      <c r="F1993" s="70" t="s">
        <v>3688</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43"/>
        <v>4</v>
      </c>
      <c r="D1994" s="73"/>
      <c r="E1994" s="70"/>
      <c r="F1994" s="70" t="s">
        <v>3689</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43"/>
        <v>4</v>
      </c>
      <c r="D1995" s="73"/>
      <c r="E1995" s="70"/>
      <c r="F1995" s="70" t="s">
        <v>3690</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43"/>
        <v>4</v>
      </c>
      <c r="D1996" s="73"/>
      <c r="E1996" s="70"/>
      <c r="F1996" s="70" t="s">
        <v>3691</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43"/>
        <v>4</v>
      </c>
      <c r="D1997" s="73"/>
      <c r="E1997" s="70"/>
      <c r="F1997" s="70" t="s">
        <v>3692</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c r="D1998" s="73"/>
      <c r="E1998" s="70"/>
      <c r="F1998" s="70" t="s">
        <v>3693</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3694</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3695</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f t="shared" ref="C2001:C2012" si="444">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si="444"/>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44"/>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44"/>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44"/>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44"/>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44"/>
        <v>4</v>
      </c>
      <c r="D2007" s="73"/>
      <c r="E2007" s="70"/>
      <c r="F2007" s="70" t="s">
        <v>3696</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44"/>
        <v>4</v>
      </c>
      <c r="D2008" s="73"/>
      <c r="E2008" s="70"/>
      <c r="F2008" s="70" t="s">
        <v>3697</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44"/>
        <v>4</v>
      </c>
      <c r="D2009" s="73"/>
      <c r="E2009" s="70"/>
      <c r="F2009" s="70" t="s">
        <v>3698</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44"/>
        <v>4</v>
      </c>
      <c r="D2010" s="73"/>
      <c r="E2010" s="70"/>
      <c r="F2010" s="70" t="s">
        <v>3699</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44"/>
        <v>4</v>
      </c>
      <c r="D2011" s="73"/>
      <c r="E2011" s="70"/>
      <c r="F2011" s="70" t="s">
        <v>3700</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44"/>
        <v>4</v>
      </c>
      <c r="D2012" s="73"/>
      <c r="E2012" s="70"/>
      <c r="F2012" s="70" t="s">
        <v>3701</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c r="D2013" s="73"/>
      <c r="E2013" s="70"/>
      <c r="F2013" s="70" t="s">
        <v>3702</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3703</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3704</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f t="shared" ref="C2016:C2027" si="445">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si="445"/>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45"/>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45"/>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45"/>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45"/>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45"/>
        <v>4</v>
      </c>
      <c r="D2022" s="73"/>
      <c r="E2022" s="70"/>
      <c r="F2022" s="70" t="s">
        <v>3705</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45"/>
        <v>4</v>
      </c>
      <c r="D2023" s="73"/>
      <c r="E2023" s="70"/>
      <c r="F2023" s="70" t="s">
        <v>3706</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45"/>
        <v>4</v>
      </c>
      <c r="D2024" s="73"/>
      <c r="E2024" s="70"/>
      <c r="F2024" s="70" t="s">
        <v>3707</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45"/>
        <v>4</v>
      </c>
      <c r="D2025" s="73"/>
      <c r="E2025" s="70"/>
      <c r="F2025" s="70" t="s">
        <v>3708</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45"/>
        <v>4</v>
      </c>
      <c r="D2026" s="73"/>
      <c r="E2026" s="70"/>
      <c r="F2026" s="70" t="s">
        <v>3709</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45"/>
        <v>4</v>
      </c>
      <c r="D2027" s="73"/>
      <c r="E2027" s="70"/>
      <c r="F2027" s="70" t="s">
        <v>3710</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c r="D2028" s="73"/>
      <c r="E2028" s="70"/>
      <c r="F2028" s="70" t="s">
        <v>3711</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3712</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3713</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f t="shared" ref="C2031:C2042" si="446">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si="446"/>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46"/>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46"/>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46"/>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46"/>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46"/>
        <v>4</v>
      </c>
      <c r="D2037" s="73"/>
      <c r="E2037" s="70"/>
      <c r="F2037" s="70" t="s">
        <v>3714</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46"/>
        <v>4</v>
      </c>
      <c r="D2038" s="73"/>
      <c r="E2038" s="70"/>
      <c r="F2038" s="70" t="s">
        <v>3715</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46"/>
        <v>4</v>
      </c>
      <c r="D2039" s="73"/>
      <c r="E2039" s="70"/>
      <c r="F2039" s="70" t="s">
        <v>3716</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46"/>
        <v>4</v>
      </c>
      <c r="D2040" s="73"/>
      <c r="E2040" s="70"/>
      <c r="F2040" s="70" t="s">
        <v>3717</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46"/>
        <v>4</v>
      </c>
      <c r="D2041" s="73"/>
      <c r="E2041" s="70"/>
      <c r="F2041" s="70" t="s">
        <v>3718</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46"/>
        <v>4</v>
      </c>
      <c r="D2042" s="73"/>
      <c r="E2042" s="70"/>
      <c r="F2042" s="70" t="s">
        <v>3719</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c r="D2043" s="73"/>
      <c r="E2043" s="70"/>
      <c r="F2043" s="70" t="s">
        <v>3720</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3721</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3722</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f t="shared" ref="C2046:C2057" si="447">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si="447"/>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47"/>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47"/>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47"/>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47"/>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47"/>
        <v>4</v>
      </c>
      <c r="D2052" s="73"/>
      <c r="E2052" s="70"/>
      <c r="F2052" s="70" t="s">
        <v>3723</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47"/>
        <v>4</v>
      </c>
      <c r="D2053" s="73"/>
      <c r="E2053" s="70"/>
      <c r="F2053" s="70" t="s">
        <v>3724</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47"/>
        <v>4</v>
      </c>
      <c r="D2054" s="73"/>
      <c r="E2054" s="70"/>
      <c r="F2054" s="70" t="s">
        <v>3725</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47"/>
        <v>4</v>
      </c>
      <c r="D2055" s="73"/>
      <c r="E2055" s="70"/>
      <c r="F2055" s="70" t="s">
        <v>3726</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47"/>
        <v>4</v>
      </c>
      <c r="D2056" s="73"/>
      <c r="E2056" s="70"/>
      <c r="F2056" s="70" t="s">
        <v>3727</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47"/>
        <v>4</v>
      </c>
      <c r="D2057" s="73"/>
      <c r="E2057" s="70"/>
      <c r="F2057" s="70" t="s">
        <v>3728</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c r="D2058" s="73"/>
      <c r="E2058" s="70"/>
      <c r="F2058" s="70" t="s">
        <v>3729</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3730</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3731</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f t="shared" ref="C2061:C2072" si="448">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si="448"/>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48"/>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48"/>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48"/>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48"/>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48"/>
        <v>4</v>
      </c>
      <c r="D2067" s="73"/>
      <c r="E2067" s="70"/>
      <c r="F2067" s="70" t="s">
        <v>3732</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48"/>
        <v>4</v>
      </c>
      <c r="D2068" s="73"/>
      <c r="E2068" s="70"/>
      <c r="F2068" s="70" t="s">
        <v>3733</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48"/>
        <v>4</v>
      </c>
      <c r="D2069" s="73"/>
      <c r="E2069" s="70"/>
      <c r="F2069" s="70" t="s">
        <v>3734</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48"/>
        <v>4</v>
      </c>
      <c r="D2070" s="73"/>
      <c r="E2070" s="70"/>
      <c r="F2070" s="70" t="s">
        <v>3735</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48"/>
        <v>4</v>
      </c>
      <c r="D2071" s="73"/>
      <c r="E2071" s="70"/>
      <c r="F2071" s="70" t="s">
        <v>3736</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48"/>
        <v>4</v>
      </c>
      <c r="D2072" s="73"/>
      <c r="E2072" s="70"/>
      <c r="F2072" s="70" t="s">
        <v>3737</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c r="D2073" s="73"/>
      <c r="E2073" s="70"/>
      <c r="F2073" s="70" t="s">
        <v>3738</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3739</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3740</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 t="shared" ref="C2080:C2081" si="449">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si="449"/>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INT($C$29)+3</f>
        <v>4</v>
      </c>
      <c r="D2082" s="73"/>
      <c r="E2082" s="402"/>
      <c r="F2082" s="402" t="s">
        <v>3741</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hidden="1" outlineLevel="2" x14ac:dyDescent="0.25">
      <c r="A2083" s="45"/>
      <c r="B2083" s="54"/>
      <c r="C2083" s="47">
        <f>INT($C$29)+2</f>
        <v>3</v>
      </c>
      <c r="D2083" s="73"/>
      <c r="E2083" s="70"/>
      <c r="F2083" s="70" t="s">
        <v>3742</v>
      </c>
      <c r="G2083" s="73"/>
      <c r="H2083" s="76" t="s">
        <v>3369</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50">U2083</f>
        <v>-1.0469999999999999</v>
      </c>
      <c r="X2083" s="255">
        <f t="shared" ref="X2083:X2084" si="451">V2083</f>
        <v>-1.0469999999999999</v>
      </c>
      <c r="Y2083" s="255">
        <f>V2083</f>
        <v>-1.0469999999999999</v>
      </c>
      <c r="Z2083" s="255">
        <f>AA2083</f>
        <v>-1.0469999999999999</v>
      </c>
      <c r="AA2083" s="97">
        <f>U2083</f>
        <v>-1.0469999999999999</v>
      </c>
      <c r="AB2083" s="255">
        <f t="shared" ref="AB2083:AB2084" si="452">AA2083</f>
        <v>-1.0469999999999999</v>
      </c>
      <c r="AC2083" s="255">
        <f t="shared" ref="AC2083:AC2084" si="453">AB2083</f>
        <v>-1.0469999999999999</v>
      </c>
      <c r="AD2083" s="255">
        <f t="shared" ref="AD2083:AD2084" si="454">AC2083</f>
        <v>-1.0469999999999999</v>
      </c>
      <c r="AE2083" s="76"/>
      <c r="AF2083" s="97" t="s">
        <v>3615</v>
      </c>
      <c r="AG2083" s="76"/>
      <c r="AH2083" s="76">
        <v>1</v>
      </c>
      <c r="AI2083" s="76">
        <v>1</v>
      </c>
      <c r="AJ2083" s="73"/>
      <c r="AK2083" s="57"/>
      <c r="AL2083" s="45"/>
      <c r="AM2083" s="45"/>
      <c r="AN2083" s="45"/>
    </row>
    <row r="2084" spans="1:40" hidden="1" outlineLevel="2" collapsed="1" x14ac:dyDescent="0.25">
      <c r="A2084" s="45"/>
      <c r="B2084" s="54"/>
      <c r="C2084" s="47">
        <f>INT($C$29)+2</f>
        <v>3</v>
      </c>
      <c r="D2084" s="73"/>
      <c r="E2084" s="70"/>
      <c r="F2084" s="70" t="s">
        <v>3743</v>
      </c>
      <c r="G2084" s="73"/>
      <c r="H2084" s="76" t="s">
        <v>3370</v>
      </c>
      <c r="I2084" s="76"/>
      <c r="J2084" s="76"/>
      <c r="K2084" s="76"/>
      <c r="L2084" s="76"/>
      <c r="M2084" s="76"/>
      <c r="N2084" s="76"/>
      <c r="O2084" s="76"/>
      <c r="P2084" s="76"/>
      <c r="Q2084" s="76"/>
      <c r="R2084" s="76"/>
      <c r="S2084" s="76"/>
      <c r="T2084" s="76"/>
      <c r="U2084" s="97">
        <v>7.5389999999999997E-3</v>
      </c>
      <c r="V2084" s="255">
        <f>U2084</f>
        <v>7.5389999999999997E-3</v>
      </c>
      <c r="W2084" s="255">
        <f t="shared" si="450"/>
        <v>7.5389999999999997E-3</v>
      </c>
      <c r="X2084" s="255">
        <f t="shared" si="451"/>
        <v>7.5389999999999997E-3</v>
      </c>
      <c r="Y2084" s="255">
        <f>V2084</f>
        <v>7.5389999999999997E-3</v>
      </c>
      <c r="Z2084" s="255">
        <f>AA2084</f>
        <v>7.5389999999999997E-3</v>
      </c>
      <c r="AA2084" s="97">
        <f t="shared" ref="AA2084" si="455">U2084</f>
        <v>7.5389999999999997E-3</v>
      </c>
      <c r="AB2084" s="255">
        <f t="shared" si="452"/>
        <v>7.5389999999999997E-3</v>
      </c>
      <c r="AC2084" s="255">
        <f t="shared" si="453"/>
        <v>7.5389999999999997E-3</v>
      </c>
      <c r="AD2084" s="255">
        <f t="shared" si="454"/>
        <v>7.5389999999999997E-3</v>
      </c>
      <c r="AE2084" s="76"/>
      <c r="AF2084" s="97" t="s">
        <v>3371</v>
      </c>
      <c r="AG2084" s="76"/>
      <c r="AH2084" s="76">
        <v>1</v>
      </c>
      <c r="AI2084" s="76">
        <v>1</v>
      </c>
      <c r="AJ2084" s="73"/>
      <c r="AK2084" s="57"/>
      <c r="AL2084" s="45"/>
      <c r="AM2084" s="45"/>
      <c r="AN2084" s="45"/>
    </row>
    <row r="2085" spans="1:40" hidden="1" outlineLevel="3" x14ac:dyDescent="0.25">
      <c r="A2085" s="45"/>
      <c r="B2085" s="54"/>
      <c r="C2085" s="47">
        <f t="shared" ref="C2085:C2096" si="456">INT($C$29)+3</f>
        <v>4</v>
      </c>
      <c r="D2085" s="73"/>
      <c r="E2085" s="70"/>
      <c r="F2085" s="70" t="s">
        <v>3744</v>
      </c>
      <c r="G2085" s="73"/>
      <c r="H2085" s="377" t="s">
        <v>3520</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25">
      <c r="A2086" s="45"/>
      <c r="B2086" s="54"/>
      <c r="C2086" s="47">
        <f t="shared" si="456"/>
        <v>4</v>
      </c>
      <c r="D2086" s="73"/>
      <c r="E2086" s="70"/>
      <c r="F2086" s="70" t="s">
        <v>3745</v>
      </c>
      <c r="G2086" s="73"/>
      <c r="H2086" s="377" t="s">
        <v>3514</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2" collapsed="1" x14ac:dyDescent="0.25">
      <c r="A2087" s="45"/>
      <c r="B2087" s="54"/>
      <c r="C2087" s="47">
        <f t="shared" si="456"/>
        <v>4</v>
      </c>
      <c r="D2087" s="73"/>
      <c r="E2087" s="70"/>
      <c r="F2087" s="70" t="s">
        <v>3746</v>
      </c>
      <c r="G2087" s="73"/>
      <c r="H2087" s="76" t="s">
        <v>3611</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57">U2087</f>
        <v>-0.23419999999999999</v>
      </c>
      <c r="X2087" s="255">
        <f t="shared" ref="X2087:X2090" si="458">V2087</f>
        <v>-0.23419999999999999</v>
      </c>
      <c r="Y2087" s="255">
        <f>V2087</f>
        <v>-0.23419999999999999</v>
      </c>
      <c r="Z2087" s="255">
        <f>AA2087</f>
        <v>-0.23419999999999999</v>
      </c>
      <c r="AA2087" s="97">
        <f t="shared" ref="AA2087:AA2090" si="459">U2087</f>
        <v>-0.23419999999999999</v>
      </c>
      <c r="AB2087" s="255">
        <f t="shared" ref="AB2087:AB2090" si="460">AA2087</f>
        <v>-0.23419999999999999</v>
      </c>
      <c r="AC2087" s="255">
        <f t="shared" ref="AC2087:AC2090" si="461">AB2087</f>
        <v>-0.23419999999999999</v>
      </c>
      <c r="AD2087" s="255">
        <f t="shared" ref="AD2087:AD2090" si="462">AC2087</f>
        <v>-0.23419999999999999</v>
      </c>
      <c r="AE2087" s="76"/>
      <c r="AF2087" s="76"/>
      <c r="AG2087" s="76"/>
      <c r="AH2087" s="97">
        <v>1</v>
      </c>
      <c r="AI2087" s="97">
        <v>1</v>
      </c>
      <c r="AJ2087" s="73"/>
      <c r="AK2087" s="57"/>
      <c r="AL2087" s="45"/>
      <c r="AM2087" s="45"/>
      <c r="AN2087" s="45"/>
    </row>
    <row r="2088" spans="1:40" hidden="1" outlineLevel="3" x14ac:dyDescent="0.25">
      <c r="A2088" s="45"/>
      <c r="B2088" s="54"/>
      <c r="C2088" s="47">
        <f t="shared" si="456"/>
        <v>4</v>
      </c>
      <c r="D2088" s="73"/>
      <c r="E2088" s="70"/>
      <c r="F2088" s="70" t="s">
        <v>3747</v>
      </c>
      <c r="G2088" s="73"/>
      <c r="H2088" s="76" t="s">
        <v>3612</v>
      </c>
      <c r="I2088" s="76"/>
      <c r="J2088" s="76"/>
      <c r="K2088" s="76"/>
      <c r="L2088" s="76"/>
      <c r="M2088" s="76"/>
      <c r="N2088" s="76"/>
      <c r="O2088" s="76"/>
      <c r="P2088" s="76"/>
      <c r="Q2088" s="76"/>
      <c r="R2088" s="76"/>
      <c r="S2088" s="76"/>
      <c r="T2088" s="76"/>
      <c r="U2088" s="97"/>
      <c r="V2088" s="255">
        <f t="shared" ref="V2088" si="463">U2088</f>
        <v>0</v>
      </c>
      <c r="W2088" s="255">
        <f t="shared" si="457"/>
        <v>0</v>
      </c>
      <c r="X2088" s="255">
        <f t="shared" si="458"/>
        <v>0</v>
      </c>
      <c r="Y2088" s="255">
        <f t="shared" ref="Y2088" si="464">V2088</f>
        <v>0</v>
      </c>
      <c r="Z2088" s="255">
        <f t="shared" ref="Z2088" si="465">AA2088</f>
        <v>0</v>
      </c>
      <c r="AA2088" s="97">
        <f t="shared" si="459"/>
        <v>0</v>
      </c>
      <c r="AB2088" s="255">
        <f t="shared" si="460"/>
        <v>0</v>
      </c>
      <c r="AC2088" s="255">
        <f t="shared" si="461"/>
        <v>0</v>
      </c>
      <c r="AD2088" s="255">
        <f t="shared" si="462"/>
        <v>0</v>
      </c>
      <c r="AE2088" s="76"/>
      <c r="AF2088" s="76"/>
      <c r="AG2088" s="76"/>
      <c r="AH2088" s="76">
        <v>1</v>
      </c>
      <c r="AI2088" s="76">
        <v>1</v>
      </c>
      <c r="AJ2088" s="73"/>
      <c r="AK2088" s="57"/>
      <c r="AL2088" s="45"/>
      <c r="AM2088" s="45"/>
      <c r="AN2088" s="45"/>
    </row>
    <row r="2089" spans="1:40" hidden="1" outlineLevel="2" collapsed="1" x14ac:dyDescent="0.25">
      <c r="A2089" s="45"/>
      <c r="B2089" s="54"/>
      <c r="C2089" s="47">
        <f t="shared" si="456"/>
        <v>4</v>
      </c>
      <c r="D2089" s="73"/>
      <c r="E2089" s="70"/>
      <c r="F2089" s="70" t="s">
        <v>3748</v>
      </c>
      <c r="G2089" s="73"/>
      <c r="H2089" s="76" t="s">
        <v>3613</v>
      </c>
      <c r="I2089" s="76"/>
      <c r="J2089" s="76"/>
      <c r="K2089" s="76"/>
      <c r="L2089" s="76"/>
      <c r="M2089" s="76"/>
      <c r="N2089" s="76"/>
      <c r="O2089" s="76"/>
      <c r="P2089" s="76"/>
      <c r="Q2089" s="76"/>
      <c r="R2089" s="76"/>
      <c r="S2089" s="76"/>
      <c r="T2089" s="76"/>
      <c r="U2089" s="97">
        <v>-0.24959999999999999</v>
      </c>
      <c r="V2089" s="255">
        <f>U2089</f>
        <v>-0.24959999999999999</v>
      </c>
      <c r="W2089" s="255">
        <f t="shared" si="457"/>
        <v>-0.24959999999999999</v>
      </c>
      <c r="X2089" s="255">
        <f t="shared" si="458"/>
        <v>-0.24959999999999999</v>
      </c>
      <c r="Y2089" s="255">
        <f>V2089</f>
        <v>-0.24959999999999999</v>
      </c>
      <c r="Z2089" s="255">
        <f>AA2089</f>
        <v>-0.24959999999999999</v>
      </c>
      <c r="AA2089" s="97">
        <f t="shared" si="459"/>
        <v>-0.24959999999999999</v>
      </c>
      <c r="AB2089" s="255">
        <f t="shared" si="460"/>
        <v>-0.24959999999999999</v>
      </c>
      <c r="AC2089" s="255">
        <f t="shared" si="461"/>
        <v>-0.24959999999999999</v>
      </c>
      <c r="AD2089" s="255">
        <f t="shared" si="462"/>
        <v>-0.24959999999999999</v>
      </c>
      <c r="AE2089" s="76"/>
      <c r="AF2089" s="76"/>
      <c r="AG2089" s="76"/>
      <c r="AH2089" s="97">
        <v>1</v>
      </c>
      <c r="AI2089" s="97">
        <v>1</v>
      </c>
      <c r="AJ2089" s="73"/>
      <c r="AK2089" s="57"/>
      <c r="AL2089" s="45"/>
      <c r="AM2089" s="45"/>
      <c r="AN2089" s="45"/>
    </row>
    <row r="2090" spans="1:40" hidden="1" outlineLevel="3" x14ac:dyDescent="0.25">
      <c r="A2090" s="45"/>
      <c r="B2090" s="54"/>
      <c r="C2090" s="47">
        <f t="shared" si="456"/>
        <v>4</v>
      </c>
      <c r="D2090" s="73"/>
      <c r="E2090" s="70"/>
      <c r="F2090" s="70" t="s">
        <v>3749</v>
      </c>
      <c r="G2090" s="73"/>
      <c r="H2090" s="76" t="s">
        <v>3614</v>
      </c>
      <c r="I2090" s="76"/>
      <c r="J2090" s="76"/>
      <c r="K2090" s="76"/>
      <c r="L2090" s="76"/>
      <c r="M2090" s="76"/>
      <c r="N2090" s="76"/>
      <c r="O2090" s="76"/>
      <c r="P2090" s="76"/>
      <c r="Q2090" s="76"/>
      <c r="R2090" s="76"/>
      <c r="S2090" s="76"/>
      <c r="T2090" s="76"/>
      <c r="U2090" s="97"/>
      <c r="V2090" s="255">
        <f t="shared" ref="V2090" si="466">U2090</f>
        <v>0</v>
      </c>
      <c r="W2090" s="255">
        <f t="shared" si="457"/>
        <v>0</v>
      </c>
      <c r="X2090" s="255">
        <f t="shared" si="458"/>
        <v>0</v>
      </c>
      <c r="Y2090" s="255">
        <f t="shared" ref="Y2090" si="467">V2090</f>
        <v>0</v>
      </c>
      <c r="Z2090" s="255">
        <f t="shared" ref="Z2090" si="468">AA2090</f>
        <v>0</v>
      </c>
      <c r="AA2090" s="97">
        <f t="shared" si="459"/>
        <v>0</v>
      </c>
      <c r="AB2090" s="255">
        <f t="shared" si="460"/>
        <v>0</v>
      </c>
      <c r="AC2090" s="255">
        <f t="shared" si="461"/>
        <v>0</v>
      </c>
      <c r="AD2090" s="255">
        <f t="shared" si="462"/>
        <v>0</v>
      </c>
      <c r="AE2090" s="76"/>
      <c r="AF2090" s="76"/>
      <c r="AG2090" s="76"/>
      <c r="AH2090" s="76">
        <v>1</v>
      </c>
      <c r="AI2090" s="76">
        <v>1</v>
      </c>
      <c r="AJ2090" s="73"/>
      <c r="AK2090" s="57"/>
      <c r="AL2090" s="45"/>
      <c r="AM2090" s="45"/>
      <c r="AN2090" s="45"/>
    </row>
    <row r="2091" spans="1:40" hidden="1" outlineLevel="3" x14ac:dyDescent="0.25">
      <c r="A2091" s="45"/>
      <c r="B2091" s="54"/>
      <c r="C2091" s="47">
        <f t="shared" si="456"/>
        <v>4</v>
      </c>
      <c r="D2091" s="73"/>
      <c r="E2091" s="70"/>
      <c r="F2091" s="70" t="str">
        <f>SUBSTITUTE(F2087,",4)",",8)")</f>
        <v>C(U6,23,8)</v>
      </c>
      <c r="G2091" s="73"/>
      <c r="H2091" s="377" t="s">
        <v>3375</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25">
      <c r="A2092" s="45"/>
      <c r="B2092" s="54"/>
      <c r="C2092" s="47">
        <f t="shared" si="456"/>
        <v>4</v>
      </c>
      <c r="D2092" s="73"/>
      <c r="E2092" s="70"/>
      <c r="F2092" s="70" t="str">
        <f>SUBSTITUTE(F2088,",5)",",9)")</f>
        <v>C(U6,23,9)</v>
      </c>
      <c r="G2092" s="73"/>
      <c r="H2092" s="377" t="s">
        <v>3376</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56"/>
        <v>4</v>
      </c>
      <c r="D2093" s="73"/>
      <c r="E2093" s="70"/>
      <c r="F2093" s="70" t="str">
        <f>SUBSTITUTE(F2089,",6)",",10)")</f>
        <v>C(U6,23,10)</v>
      </c>
      <c r="G2093" s="73"/>
      <c r="H2093" s="377" t="s">
        <v>3377</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25">
      <c r="A2094" s="45"/>
      <c r="B2094" s="54"/>
      <c r="C2094" s="47">
        <f t="shared" si="456"/>
        <v>4</v>
      </c>
      <c r="D2094" s="73"/>
      <c r="E2094" s="70"/>
      <c r="F2094" s="70" t="str">
        <f>SUBSTITUTE(F2090,",7)",",11)")</f>
        <v>C(U6,23,11)</v>
      </c>
      <c r="G2094" s="73"/>
      <c r="H2094" s="377" t="s">
        <v>3378</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56"/>
        <v>4</v>
      </c>
      <c r="D2095" s="73"/>
      <c r="E2095" s="70"/>
      <c r="F2095" s="70" t="str">
        <f>SUBSTITUTE(F2089,",6)",",12)")</f>
        <v>C(U6,23,12)</v>
      </c>
      <c r="G2095" s="73"/>
      <c r="H2095" s="377" t="s">
        <v>3379</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56"/>
        <v>4</v>
      </c>
      <c r="D2096" s="73"/>
      <c r="E2096" s="70"/>
      <c r="F2096" s="70" t="str">
        <f>SUBSTITUTE(F2090,",7)",",13)")</f>
        <v>C(U6,23,13)</v>
      </c>
      <c r="G2096" s="73"/>
      <c r="H2096" s="377" t="s">
        <v>3380</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2" x14ac:dyDescent="0.25">
      <c r="A2097" s="45"/>
      <c r="B2097" s="54"/>
      <c r="C2097" s="47">
        <f>INT($C$29)+2</f>
        <v>3</v>
      </c>
      <c r="D2097" s="73"/>
      <c r="E2097" s="70"/>
      <c r="F2097" s="70" t="s">
        <v>3750</v>
      </c>
      <c r="G2097" s="73"/>
      <c r="H2097" s="76" t="s">
        <v>3381</v>
      </c>
      <c r="I2097" s="76"/>
      <c r="J2097" s="76"/>
      <c r="K2097" s="76"/>
      <c r="L2097" s="76"/>
      <c r="M2097" s="76"/>
      <c r="N2097" s="76"/>
      <c r="O2097" s="76"/>
      <c r="P2097" s="76"/>
      <c r="Q2097" s="76"/>
      <c r="R2097" s="76"/>
      <c r="S2097" s="76"/>
      <c r="T2097" s="76"/>
      <c r="U2097" s="97">
        <v>28.52</v>
      </c>
      <c r="V2097" s="255">
        <f t="shared" ref="V2097" si="469">U2097</f>
        <v>28.52</v>
      </c>
      <c r="W2097" s="255">
        <f t="shared" ref="W2097" si="470">U2097</f>
        <v>28.52</v>
      </c>
      <c r="X2097" s="255">
        <f t="shared" ref="X2097" si="471">V2097</f>
        <v>28.52</v>
      </c>
      <c r="Y2097" s="255">
        <f t="shared" ref="Y2097" si="472">V2097</f>
        <v>28.52</v>
      </c>
      <c r="Z2097" s="255">
        <f t="shared" ref="Z2097" si="473">AA2097</f>
        <v>28.52</v>
      </c>
      <c r="AA2097" s="97">
        <f>U2097</f>
        <v>28.52</v>
      </c>
      <c r="AB2097" s="255">
        <f t="shared" ref="AB2097" si="474">AA2097</f>
        <v>28.52</v>
      </c>
      <c r="AC2097" s="255">
        <f t="shared" ref="AC2097" si="475">AB2097</f>
        <v>28.52</v>
      </c>
      <c r="AD2097" s="255">
        <f t="shared" ref="AD2097" si="476">AC2097</f>
        <v>28.52</v>
      </c>
      <c r="AE2097" s="76"/>
      <c r="AF2097" s="97"/>
      <c r="AG2097" s="76"/>
      <c r="AH2097" s="97">
        <v>1</v>
      </c>
      <c r="AI2097" s="97">
        <v>1</v>
      </c>
      <c r="AJ2097" s="73"/>
      <c r="AK2097" s="57"/>
      <c r="AL2097" s="45"/>
      <c r="AM2097" s="45"/>
      <c r="AN2097" s="45"/>
    </row>
    <row r="2098" spans="1:40" hidden="1" outlineLevel="2" x14ac:dyDescent="0.2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hidden="1" outlineLevel="2" collapsed="1"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0999999999999996" hidden="1" customHeight="1" outlineLevel="3" x14ac:dyDescent="0.2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0999999999999996" hidden="1" customHeight="1" outlineLevel="2" x14ac:dyDescent="0.2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hidden="1" outlineLevel="2" x14ac:dyDescent="0.2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hidden="1" outlineLevel="2" collapsed="1"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2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0999999999999996" hidden="1" customHeight="1" outlineLevel="3" x14ac:dyDescent="0.2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0999999999999996" hidden="1" customHeight="1" outlineLevel="2" x14ac:dyDescent="0.2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0999999999999996" customHeight="1" outlineLevel="1" x14ac:dyDescent="0.2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0999999999999996" customHeight="1" collapsed="1" x14ac:dyDescent="0.2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2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2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C2118" s="233" t="s">
        <v>419</v>
      </c>
    </row>
  </sheetData>
  <autoFilter ref="E36:AJ2111"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92" activePane="bottomRight" state="frozen"/>
      <selection activeCell="A3" sqref="A3"/>
      <selection pane="topRight" activeCell="K3" sqref="K3"/>
      <selection pane="bottomLeft" activeCell="A51" sqref="A51"/>
      <selection pane="bottomRight" activeCell="K78" sqref="K78"/>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5" t="s">
        <v>2353</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2" t="s">
        <v>2364</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2229</v>
      </c>
      <c r="L35" s="72"/>
      <c r="M35" s="72"/>
      <c r="N35" s="72"/>
      <c r="O35" s="72"/>
      <c r="P35" s="72"/>
      <c r="Q35" s="72"/>
      <c r="R35" s="72" t="s">
        <v>2066</v>
      </c>
      <c r="S35" s="239" t="s">
        <v>2355</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2068</v>
      </c>
      <c r="I41" s="76" t="s">
        <v>2069</v>
      </c>
      <c r="J41" s="76"/>
      <c r="K41" s="97">
        <f>30/1000</f>
        <v>0.03</v>
      </c>
      <c r="L41" s="76"/>
      <c r="M41" s="76"/>
      <c r="N41" s="76"/>
      <c r="O41" s="76"/>
      <c r="P41" s="76"/>
      <c r="Q41" s="76"/>
      <c r="R41" s="97" t="s">
        <v>2338</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2339</v>
      </c>
      <c r="I42" s="76" t="s">
        <v>2340</v>
      </c>
      <c r="J42" s="76"/>
      <c r="K42" s="97">
        <v>200</v>
      </c>
      <c r="L42" s="76"/>
      <c r="M42" s="76"/>
      <c r="N42" s="76"/>
      <c r="O42" s="76"/>
      <c r="P42" s="76"/>
      <c r="Q42" s="76"/>
      <c r="R42" s="97" t="s">
        <v>2363</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25">
      <c r="A48" s="45"/>
      <c r="B48" s="54"/>
      <c r="C48" s="87">
        <f>INT($C$29)+2</f>
        <v>3</v>
      </c>
      <c r="D48" s="73"/>
      <c r="E48" s="70" t="s">
        <v>2073</v>
      </c>
      <c r="F48" s="70" t="s">
        <v>2074</v>
      </c>
      <c r="G48" s="73"/>
      <c r="H48" s="306" t="s">
        <v>2341</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2079</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2082</v>
      </c>
      <c r="G58" s="73"/>
      <c r="H58" s="306" t="s">
        <v>2342</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2079</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2088</v>
      </c>
      <c r="G68" s="73"/>
      <c r="H68" s="306" t="s">
        <v>2343</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2350</v>
      </c>
      <c r="T78" s="76"/>
      <c r="U78" s="76" t="s">
        <v>2351</v>
      </c>
      <c r="V78" s="76" t="s">
        <v>2352</v>
      </c>
      <c r="W78" s="76"/>
      <c r="X78" s="76"/>
      <c r="Y78" s="76"/>
      <c r="Z78" s="73"/>
      <c r="AA78" s="57"/>
      <c r="AB78" s="45"/>
      <c r="AC78" s="45"/>
      <c r="AD78" s="45"/>
    </row>
    <row r="79" spans="1:30" outlineLevel="3" x14ac:dyDescent="0.25">
      <c r="A79" s="45"/>
      <c r="B79" s="54"/>
      <c r="C79" s="87">
        <f t="shared" si="0"/>
        <v>4</v>
      </c>
      <c r="D79" s="73"/>
      <c r="E79" s="70" t="s">
        <v>2095</v>
      </c>
      <c r="F79" s="70" t="s">
        <v>2096</v>
      </c>
      <c r="G79" s="73"/>
      <c r="H79" s="306" t="s">
        <v>2344</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2354</v>
      </c>
      <c r="Y82" s="76" t="s">
        <v>2356</v>
      </c>
      <c r="Z82" s="73"/>
      <c r="AA82" s="57"/>
      <c r="AB82" s="45"/>
      <c r="AC82" s="45"/>
      <c r="AD82" s="45"/>
    </row>
    <row r="83" spans="1:30" outlineLevel="3" x14ac:dyDescent="0.2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2102</v>
      </c>
      <c r="G89" s="73"/>
      <c r="H89" s="306" t="s">
        <v>2345</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2108</v>
      </c>
      <c r="G99" s="73"/>
      <c r="H99" s="306" t="s">
        <v>2346</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2114</v>
      </c>
      <c r="G109" s="73"/>
      <c r="H109" s="306" t="s">
        <v>2347</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2120</v>
      </c>
      <c r="G119" s="73"/>
      <c r="H119" s="306" t="s">
        <v>2348</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2127</v>
      </c>
      <c r="G129" s="73"/>
      <c r="H129" s="306" t="s">
        <v>2349</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2894</v>
      </c>
      <c r="B3" s="491">
        <v>6.9999999999999994E-5</v>
      </c>
      <c r="C3" s="1" t="s">
        <v>2898</v>
      </c>
    </row>
    <row r="4" spans="1:3" x14ac:dyDescent="0.25">
      <c r="A4" t="s">
        <v>2895</v>
      </c>
      <c r="B4" s="491">
        <v>1.2999999999999999E-4</v>
      </c>
      <c r="C4" s="1" t="s">
        <v>2899</v>
      </c>
    </row>
    <row r="5" spans="1:3" x14ac:dyDescent="0.25">
      <c r="A5" t="s">
        <v>2896</v>
      </c>
      <c r="B5" s="491">
        <v>1.9000000000000001E-4</v>
      </c>
      <c r="C5" s="1" t="s">
        <v>2900</v>
      </c>
    </row>
    <row r="6" spans="1:3" x14ac:dyDescent="0.25">
      <c r="A6" t="s">
        <v>2897</v>
      </c>
      <c r="B6" s="491">
        <v>1.9000000000000001E-4</v>
      </c>
      <c r="C6" s="1" t="s">
        <v>2899</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2906</v>
      </c>
      <c r="B14"/>
    </row>
    <row r="15" spans="1:3" x14ac:dyDescent="0.25">
      <c r="A15" s="341" t="str">
        <f>General!G65</f>
        <v>b</v>
      </c>
      <c r="B15">
        <v>20</v>
      </c>
      <c r="C15" s="1" t="s">
        <v>2904</v>
      </c>
    </row>
    <row r="16" spans="1:3" x14ac:dyDescent="0.25">
      <c r="A16" s="341" t="str">
        <f>General!G66</f>
        <v>bd</v>
      </c>
      <c r="B16">
        <v>20</v>
      </c>
      <c r="C16" s="1" t="s">
        <v>2904</v>
      </c>
    </row>
    <row r="17" spans="1:3" x14ac:dyDescent="0.25">
      <c r="A17" s="341" t="str">
        <f>General!G67</f>
        <v>f</v>
      </c>
      <c r="B17">
        <v>7</v>
      </c>
      <c r="C17" s="1" t="s">
        <v>2904</v>
      </c>
    </row>
    <row r="18" spans="1:3" x14ac:dyDescent="0.25">
      <c r="A18" s="341" t="str">
        <f>General!G68</f>
        <v>h</v>
      </c>
      <c r="B18">
        <v>20</v>
      </c>
      <c r="C18" s="1" t="s">
        <v>2904</v>
      </c>
    </row>
    <row r="19" spans="1:3" x14ac:dyDescent="0.25">
      <c r="A19" s="341" t="str">
        <f>General!G69</f>
        <v>i</v>
      </c>
      <c r="B19">
        <v>7</v>
      </c>
      <c r="C19" s="1" t="s">
        <v>2904</v>
      </c>
    </row>
    <row r="20" spans="1:3" x14ac:dyDescent="0.25">
      <c r="A20" s="341" t="str">
        <f>General!G70</f>
        <v>k</v>
      </c>
      <c r="B20">
        <v>7</v>
      </c>
      <c r="C20" s="1" t="s">
        <v>2904</v>
      </c>
    </row>
    <row r="21" spans="1:3" x14ac:dyDescent="0.25">
      <c r="A21" s="341" t="str">
        <f>General!G71</f>
        <v>l</v>
      </c>
      <c r="B21">
        <v>7</v>
      </c>
      <c r="C21" s="1" t="s">
        <v>2904</v>
      </c>
    </row>
    <row r="22" spans="1:3" x14ac:dyDescent="0.25">
      <c r="A22" s="341" t="str">
        <f>General!G72</f>
        <v>lf</v>
      </c>
      <c r="B22">
        <v>7</v>
      </c>
      <c r="C22" s="1" t="s">
        <v>2904</v>
      </c>
    </row>
    <row r="23" spans="1:3" x14ac:dyDescent="0.25">
      <c r="A23" s="341" t="str">
        <f>General!G73</f>
        <v>ms</v>
      </c>
      <c r="B23" s="528">
        <f>0.65*B15+0.35*B21</f>
        <v>15.45</v>
      </c>
      <c r="C23" s="1" t="s">
        <v>2904</v>
      </c>
    </row>
    <row r="24" spans="1:3" x14ac:dyDescent="0.25">
      <c r="A24" s="341" t="str">
        <f>General!G74</f>
        <v>o</v>
      </c>
      <c r="B24">
        <v>20</v>
      </c>
      <c r="C24" s="1" t="s">
        <v>2904</v>
      </c>
    </row>
    <row r="25" spans="1:3" x14ac:dyDescent="0.25">
      <c r="A25" s="341" t="str">
        <f>General!G75</f>
        <v>od</v>
      </c>
      <c r="B25">
        <v>20</v>
      </c>
      <c r="C25" s="1" t="s">
        <v>2904</v>
      </c>
    </row>
    <row r="26" spans="1:3" x14ac:dyDescent="0.25">
      <c r="A26" s="341" t="str">
        <f>General!G76</f>
        <v>of</v>
      </c>
      <c r="B26">
        <v>20</v>
      </c>
      <c r="C26" s="1" t="s">
        <v>2904</v>
      </c>
    </row>
    <row r="27" spans="1:3" x14ac:dyDescent="0.25">
      <c r="A27" s="341" t="str">
        <f>General!G77</f>
        <v>r</v>
      </c>
      <c r="B27">
        <v>7</v>
      </c>
      <c r="C27" s="1" t="s">
        <v>2904</v>
      </c>
    </row>
    <row r="28" spans="1:3" x14ac:dyDescent="0.25">
      <c r="A28" s="341" t="str">
        <f>General!G78</f>
        <v>rd</v>
      </c>
      <c r="B28">
        <v>7</v>
      </c>
      <c r="C28" s="1" t="s">
        <v>2904</v>
      </c>
    </row>
    <row r="29" spans="1:3" x14ac:dyDescent="0.25">
      <c r="A29" s="341" t="str">
        <f>General!G79</f>
        <v>v</v>
      </c>
      <c r="B29">
        <v>7</v>
      </c>
      <c r="C29" s="1" t="s">
        <v>2904</v>
      </c>
    </row>
    <row r="30" spans="1:3" x14ac:dyDescent="0.25">
      <c r="A30" s="341" t="str">
        <f>General!G80</f>
        <v>w</v>
      </c>
      <c r="B30">
        <v>20</v>
      </c>
      <c r="C30" s="1" t="s">
        <v>2904</v>
      </c>
    </row>
    <row r="31" spans="1:3" x14ac:dyDescent="0.25">
      <c r="A31" s="341" t="str">
        <f>General!G81</f>
        <v>wd</v>
      </c>
      <c r="B31">
        <v>20</v>
      </c>
      <c r="C31" s="1" t="s">
        <v>2904</v>
      </c>
    </row>
    <row r="32" spans="1:3" x14ac:dyDescent="0.25">
      <c r="A32" s="341" t="str">
        <f>General!G82</f>
        <v>z</v>
      </c>
      <c r="B32">
        <v>7</v>
      </c>
      <c r="C32" s="1" t="s">
        <v>2904</v>
      </c>
    </row>
    <row r="33" spans="1:3" x14ac:dyDescent="0.25">
      <c r="A33" s="341" t="str">
        <f>General!G83</f>
        <v>zd</v>
      </c>
      <c r="B33">
        <v>7</v>
      </c>
      <c r="C33" s="1" t="s">
        <v>2904</v>
      </c>
    </row>
    <row r="35" spans="1:3" x14ac:dyDescent="0.2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2901</v>
      </c>
      <c r="F11" t="s">
        <v>2902</v>
      </c>
    </row>
    <row r="12" spans="1:17" x14ac:dyDescent="0.25">
      <c r="A12" t="s">
        <v>2771</v>
      </c>
      <c r="B12">
        <v>188000</v>
      </c>
      <c r="C12" s="44">
        <v>1</v>
      </c>
      <c r="D12" s="44">
        <v>0</v>
      </c>
      <c r="E12" s="44">
        <v>0</v>
      </c>
      <c r="F12" s="44">
        <v>0</v>
      </c>
    </row>
    <row r="13" spans="1:17" x14ac:dyDescent="0.25">
      <c r="A13" t="s">
        <v>2769</v>
      </c>
      <c r="B13">
        <v>87000</v>
      </c>
      <c r="C13" s="44">
        <v>1</v>
      </c>
      <c r="D13" s="44">
        <v>0</v>
      </c>
      <c r="E13" s="44">
        <v>0</v>
      </c>
      <c r="F13" s="44">
        <v>0</v>
      </c>
    </row>
    <row r="14" spans="1:17" x14ac:dyDescent="0.25">
      <c r="A14" t="s">
        <v>2770</v>
      </c>
      <c r="B14">
        <v>297000</v>
      </c>
      <c r="C14" s="44">
        <v>0</v>
      </c>
      <c r="D14" s="44">
        <v>1</v>
      </c>
      <c r="E14" s="44">
        <v>0</v>
      </c>
      <c r="F14" s="44">
        <v>0</v>
      </c>
    </row>
    <row r="15" spans="1:17" x14ac:dyDescent="0.25">
      <c r="A15" t="s">
        <v>119</v>
      </c>
      <c r="B15">
        <v>30000</v>
      </c>
      <c r="C15" s="44">
        <v>0</v>
      </c>
      <c r="D15" s="44">
        <v>1</v>
      </c>
      <c r="E15" s="44">
        <v>0</v>
      </c>
      <c r="F15" s="44">
        <v>0</v>
      </c>
      <c r="Q15" s="481"/>
    </row>
    <row r="16" spans="1:17" x14ac:dyDescent="0.25">
      <c r="A16" t="s">
        <v>2772</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2774</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2773</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2767</v>
      </c>
      <c r="B30" s="436">
        <v>1</v>
      </c>
    </row>
    <row r="31" spans="1:6" ht="7.35" customHeight="1" x14ac:dyDescent="0.25"/>
    <row r="32" spans="1:6" x14ac:dyDescent="0.25">
      <c r="A32" t="s">
        <v>2908</v>
      </c>
      <c r="B32">
        <v>8.6999999999999993</v>
      </c>
      <c r="C32" s="1" t="s">
        <v>2907</v>
      </c>
    </row>
    <row r="33" spans="1:3" ht="7.15" customHeight="1" x14ac:dyDescent="0.25"/>
    <row r="34" spans="1:3" x14ac:dyDescent="0.25">
      <c r="A34" t="s">
        <v>3294</v>
      </c>
      <c r="B34">
        <v>50</v>
      </c>
      <c r="C34" s="1" t="s">
        <v>2910</v>
      </c>
    </row>
    <row r="35" spans="1:3" ht="7.15" customHeight="1" x14ac:dyDescent="0.25"/>
    <row r="36" spans="1:3" x14ac:dyDescent="0.25">
      <c r="A36" t="s">
        <v>3295</v>
      </c>
      <c r="B36">
        <v>60</v>
      </c>
      <c r="C36" s="1" t="s">
        <v>3297</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5" x14ac:dyDescent="0.25">
      <c r="A65" s="341" t="str">
        <f>General!I91</f>
        <v>w</v>
      </c>
      <c r="B65">
        <v>1</v>
      </c>
    </row>
    <row r="66" spans="1:5" x14ac:dyDescent="0.25">
      <c r="A66" s="341" t="str">
        <f>General!I92</f>
        <v>wd</v>
      </c>
      <c r="B66">
        <v>1</v>
      </c>
    </row>
    <row r="67" spans="1:5" x14ac:dyDescent="0.25">
      <c r="A67" s="341" t="str">
        <f>General!I93</f>
        <v>x</v>
      </c>
      <c r="B67">
        <v>1</v>
      </c>
    </row>
    <row r="68" spans="1:5" x14ac:dyDescent="0.25">
      <c r="A68" s="341" t="str">
        <f>General!I94</f>
        <v>xc</v>
      </c>
      <c r="B68">
        <v>1</v>
      </c>
    </row>
    <row r="69" spans="1:5" x14ac:dyDescent="0.25">
      <c r="A69" s="341" t="str">
        <f>General!I95</f>
        <v>z</v>
      </c>
      <c r="B69">
        <v>1</v>
      </c>
    </row>
    <row r="70" spans="1:5" x14ac:dyDescent="0.25">
      <c r="A70" s="341" t="str">
        <f>General!I96</f>
        <v>zd</v>
      </c>
      <c r="B70">
        <v>1</v>
      </c>
    </row>
    <row r="72" spans="1:5" x14ac:dyDescent="0.25">
      <c r="A72" s="3" t="s">
        <v>35</v>
      </c>
    </row>
    <row r="73" spans="1:5" x14ac:dyDescent="0.25">
      <c r="A73" t="s">
        <v>2768</v>
      </c>
      <c r="B73" s="436">
        <v>1</v>
      </c>
    </row>
    <row r="74" spans="1:5" ht="7.35" customHeight="1" x14ac:dyDescent="0.25"/>
    <row r="75" spans="1:5" x14ac:dyDescent="0.25">
      <c r="A75" t="s">
        <v>2893</v>
      </c>
      <c r="B75">
        <v>63</v>
      </c>
    </row>
    <row r="76" spans="1:5" ht="7.15" customHeight="1" x14ac:dyDescent="0.25"/>
    <row r="77" spans="1:5" x14ac:dyDescent="0.25">
      <c r="A77" t="s">
        <v>3298</v>
      </c>
      <c r="B77">
        <f>0.3*harvest_maint</f>
        <v>16.5</v>
      </c>
      <c r="C77" s="1" t="s">
        <v>3299</v>
      </c>
    </row>
    <row r="78" spans="1:5" ht="7.15" customHeight="1" x14ac:dyDescent="0.25"/>
    <row r="79" spans="1:5" x14ac:dyDescent="0.25">
      <c r="A79" t="s">
        <v>2903</v>
      </c>
      <c r="B79"/>
    </row>
    <row r="80" spans="1:5" x14ac:dyDescent="0.25">
      <c r="A80" s="341" t="str">
        <f>General!G65</f>
        <v>b</v>
      </c>
      <c r="B80">
        <v>20</v>
      </c>
      <c r="C80" s="1" t="s">
        <v>2904</v>
      </c>
      <c r="E80" s="1" t="s">
        <v>2905</v>
      </c>
    </row>
    <row r="81" spans="1:3" x14ac:dyDescent="0.25">
      <c r="A81" s="341" t="str">
        <f>General!G66</f>
        <v>bd</v>
      </c>
      <c r="B81">
        <v>20</v>
      </c>
      <c r="C81" s="1" t="s">
        <v>2904</v>
      </c>
    </row>
    <row r="82" spans="1:3" x14ac:dyDescent="0.25">
      <c r="A82" s="341" t="str">
        <f>General!G67</f>
        <v>f</v>
      </c>
      <c r="B82">
        <v>12</v>
      </c>
      <c r="C82" s="1" t="s">
        <v>2904</v>
      </c>
    </row>
    <row r="83" spans="1:3" x14ac:dyDescent="0.25">
      <c r="A83" s="341" t="str">
        <f>General!G68</f>
        <v>h</v>
      </c>
      <c r="B83">
        <v>20</v>
      </c>
      <c r="C83" s="1" t="s">
        <v>2904</v>
      </c>
    </row>
    <row r="84" spans="1:3" x14ac:dyDescent="0.25">
      <c r="A84" s="341" t="str">
        <f>General!G69</f>
        <v>i</v>
      </c>
      <c r="B84">
        <v>12</v>
      </c>
      <c r="C84" s="1" t="s">
        <v>2904</v>
      </c>
    </row>
    <row r="85" spans="1:3" x14ac:dyDescent="0.25">
      <c r="A85" s="341" t="str">
        <f>General!G70</f>
        <v>k</v>
      </c>
      <c r="B85">
        <v>12</v>
      </c>
      <c r="C85" s="1" t="s">
        <v>2904</v>
      </c>
    </row>
    <row r="86" spans="1:3" x14ac:dyDescent="0.25">
      <c r="A86" s="341" t="str">
        <f>General!G71</f>
        <v>l</v>
      </c>
      <c r="B86">
        <v>12</v>
      </c>
      <c r="C86" s="1" t="s">
        <v>2904</v>
      </c>
    </row>
    <row r="87" spans="1:3" x14ac:dyDescent="0.25">
      <c r="A87" s="341" t="str">
        <f>General!G72</f>
        <v>lf</v>
      </c>
      <c r="B87">
        <v>12</v>
      </c>
      <c r="C87" s="1" t="s">
        <v>2904</v>
      </c>
    </row>
    <row r="88" spans="1:3" x14ac:dyDescent="0.25">
      <c r="A88" s="341" t="str">
        <f>General!G73</f>
        <v>ms</v>
      </c>
      <c r="B88" s="528">
        <f>0.65*B80+0.35*B86</f>
        <v>17.2</v>
      </c>
      <c r="C88" s="1" t="s">
        <v>2904</v>
      </c>
    </row>
    <row r="89" spans="1:3" x14ac:dyDescent="0.25">
      <c r="A89" s="341" t="str">
        <f>General!G74</f>
        <v>o</v>
      </c>
      <c r="B89">
        <v>20</v>
      </c>
      <c r="C89" s="1" t="s">
        <v>2904</v>
      </c>
    </row>
    <row r="90" spans="1:3" x14ac:dyDescent="0.25">
      <c r="A90" s="341" t="str">
        <f>General!G75</f>
        <v>od</v>
      </c>
      <c r="B90">
        <v>20</v>
      </c>
      <c r="C90" s="1" t="s">
        <v>2904</v>
      </c>
    </row>
    <row r="91" spans="1:3" x14ac:dyDescent="0.25">
      <c r="A91" s="341" t="str">
        <f>General!G76</f>
        <v>of</v>
      </c>
      <c r="B91">
        <v>20</v>
      </c>
      <c r="C91" s="1" t="s">
        <v>2904</v>
      </c>
    </row>
    <row r="92" spans="1:3" x14ac:dyDescent="0.25">
      <c r="A92" s="341" t="str">
        <f>General!G77</f>
        <v>r</v>
      </c>
      <c r="B92">
        <v>7</v>
      </c>
      <c r="C92" s="1" t="s">
        <v>2904</v>
      </c>
    </row>
    <row r="93" spans="1:3" x14ac:dyDescent="0.25">
      <c r="A93" s="341" t="str">
        <f>General!G78</f>
        <v>rd</v>
      </c>
      <c r="B93">
        <v>7</v>
      </c>
      <c r="C93" s="1" t="s">
        <v>2904</v>
      </c>
    </row>
    <row r="94" spans="1:3" x14ac:dyDescent="0.25">
      <c r="A94" s="341" t="str">
        <f>General!G79</f>
        <v>v</v>
      </c>
      <c r="B94">
        <v>12</v>
      </c>
      <c r="C94" s="1" t="s">
        <v>2904</v>
      </c>
    </row>
    <row r="95" spans="1:3" x14ac:dyDescent="0.25">
      <c r="A95" s="341" t="str">
        <f>General!G80</f>
        <v>w</v>
      </c>
      <c r="B95">
        <v>20</v>
      </c>
      <c r="C95" s="1" t="s">
        <v>2904</v>
      </c>
    </row>
    <row r="96" spans="1:3" x14ac:dyDescent="0.25">
      <c r="A96" s="341" t="str">
        <f>General!G81</f>
        <v>wd</v>
      </c>
      <c r="B96">
        <v>20</v>
      </c>
      <c r="C96" s="1" t="s">
        <v>2904</v>
      </c>
    </row>
    <row r="97" spans="1:3" x14ac:dyDescent="0.25">
      <c r="A97" s="341" t="str">
        <f>General!G82</f>
        <v>z</v>
      </c>
      <c r="B97">
        <v>7</v>
      </c>
      <c r="C97" s="1" t="s">
        <v>2904</v>
      </c>
    </row>
    <row r="98" spans="1:3" x14ac:dyDescent="0.25">
      <c r="A98" s="341" t="str">
        <f>General!G83</f>
        <v>zd</v>
      </c>
      <c r="B98">
        <v>7</v>
      </c>
      <c r="C98" s="1" t="s">
        <v>2904</v>
      </c>
    </row>
    <row r="100" spans="1:3" x14ac:dyDescent="0.25">
      <c r="A100" t="s">
        <v>37</v>
      </c>
      <c r="B100">
        <v>55</v>
      </c>
      <c r="C100" s="1" t="s">
        <v>2892</v>
      </c>
    </row>
    <row r="101" spans="1:3" ht="9" customHeight="1" x14ac:dyDescent="0.25"/>
    <row r="102" spans="1:3" x14ac:dyDescent="0.25">
      <c r="A102" t="s">
        <v>37</v>
      </c>
      <c r="B102" t="s">
        <v>3296</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2909</v>
      </c>
      <c r="B124">
        <v>33</v>
      </c>
      <c r="C124" s="1" t="s">
        <v>2911</v>
      </c>
    </row>
    <row r="125" spans="1:3" ht="4.1500000000000004" customHeight="1" x14ac:dyDescent="0.25"/>
    <row r="126" spans="1:3" x14ac:dyDescent="0.25">
      <c r="A126" t="s">
        <v>39</v>
      </c>
      <c r="B126">
        <v>30</v>
      </c>
      <c r="C126" s="1" t="s">
        <v>2910</v>
      </c>
    </row>
    <row r="127" spans="1:3" ht="3" customHeight="1" x14ac:dyDescent="0.25"/>
    <row r="128" spans="1:3" x14ac:dyDescent="0.25">
      <c r="A128" t="s">
        <v>40</v>
      </c>
      <c r="B128">
        <v>35</v>
      </c>
      <c r="C128" s="1" t="s">
        <v>3297</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25</v>
      </c>
    </row>
    <row r="136" spans="1:3" x14ac:dyDescent="0.25">
      <c r="A136" s="431" t="s">
        <v>69</v>
      </c>
      <c r="B136" t="str">
        <f>General!K67</f>
        <v>at_seeding</v>
      </c>
      <c r="C136"/>
    </row>
    <row r="137" spans="1:3" x14ac:dyDescent="0.25">
      <c r="A137" s="431" t="s">
        <v>2912</v>
      </c>
      <c r="B137" t="str">
        <f>General!K68</f>
        <v>mid</v>
      </c>
      <c r="C137">
        <v>25</v>
      </c>
    </row>
    <row r="138" spans="1:3" x14ac:dyDescent="0.25">
      <c r="A138" s="431" t="s">
        <v>2547</v>
      </c>
      <c r="B138" t="str">
        <f>General!K69</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3280</v>
      </c>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2143</v>
      </c>
    </row>
    <row r="11" spans="1:6" x14ac:dyDescent="0.25">
      <c r="A11" t="s">
        <v>70</v>
      </c>
      <c r="B11" t="s">
        <v>71</v>
      </c>
      <c r="C11" t="s">
        <v>120</v>
      </c>
      <c r="D11" t="s">
        <v>121</v>
      </c>
      <c r="E11" t="s">
        <v>2901</v>
      </c>
      <c r="F11" t="s">
        <v>2902</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2767</v>
      </c>
      <c r="B29" s="436">
        <v>1</v>
      </c>
    </row>
    <row r="30" spans="1:6" ht="7.35" customHeight="1" x14ac:dyDescent="0.25"/>
    <row r="31" spans="1:6" ht="4.9000000000000004" customHeight="1" x14ac:dyDescent="0.25"/>
    <row r="32" spans="1:6" x14ac:dyDescent="0.25">
      <c r="A32" t="s">
        <v>2908</v>
      </c>
      <c r="B32">
        <v>4</v>
      </c>
      <c r="C32" s="1" t="s">
        <v>2907</v>
      </c>
    </row>
    <row r="33" spans="1:3" ht="7.15" customHeight="1" x14ac:dyDescent="0.25"/>
    <row r="34" spans="1:3" x14ac:dyDescent="0.25">
      <c r="A34" t="s">
        <v>3294</v>
      </c>
      <c r="B34">
        <v>40</v>
      </c>
      <c r="C34" s="1" t="s">
        <v>2910</v>
      </c>
    </row>
    <row r="35" spans="1:3" ht="7.15" customHeight="1" x14ac:dyDescent="0.25"/>
    <row r="36" spans="1:3" x14ac:dyDescent="0.25">
      <c r="A36" t="s">
        <v>3295</v>
      </c>
      <c r="B36">
        <v>35</v>
      </c>
      <c r="C36" s="1" t="s">
        <v>3297</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3" x14ac:dyDescent="0.25">
      <c r="A65" s="341" t="str">
        <f>General!I91</f>
        <v>w</v>
      </c>
      <c r="B65">
        <v>1</v>
      </c>
    </row>
    <row r="66" spans="1:3" x14ac:dyDescent="0.25">
      <c r="A66" s="341" t="str">
        <f>General!I92</f>
        <v>wd</v>
      </c>
      <c r="B66">
        <v>1</v>
      </c>
    </row>
    <row r="67" spans="1:3" x14ac:dyDescent="0.25">
      <c r="A67" s="341" t="str">
        <f>General!I93</f>
        <v>x</v>
      </c>
      <c r="B67">
        <v>1</v>
      </c>
    </row>
    <row r="68" spans="1:3" x14ac:dyDescent="0.25">
      <c r="A68" s="341" t="str">
        <f>General!I94</f>
        <v>xc</v>
      </c>
      <c r="B68">
        <v>1</v>
      </c>
    </row>
    <row r="69" spans="1:3" x14ac:dyDescent="0.25">
      <c r="A69" s="341" t="str">
        <f>General!I95</f>
        <v>z</v>
      </c>
      <c r="B69">
        <v>1</v>
      </c>
    </row>
    <row r="70" spans="1:3" x14ac:dyDescent="0.25">
      <c r="A70" s="341" t="str">
        <f>General!I96</f>
        <v>zd</v>
      </c>
      <c r="B70">
        <v>1</v>
      </c>
    </row>
    <row r="72" spans="1:3" x14ac:dyDescent="0.25">
      <c r="A72" s="3" t="s">
        <v>35</v>
      </c>
    </row>
    <row r="73" spans="1:3" x14ac:dyDescent="0.25">
      <c r="A73" t="s">
        <v>2768</v>
      </c>
      <c r="B73" s="436">
        <v>1</v>
      </c>
    </row>
    <row r="74" spans="1:3" ht="7.35" customHeight="1" x14ac:dyDescent="0.25"/>
    <row r="75" spans="1:3" x14ac:dyDescent="0.25">
      <c r="A75" t="s">
        <v>36</v>
      </c>
      <c r="B75">
        <v>50</v>
      </c>
    </row>
    <row r="76" spans="1:3" ht="7.15" customHeight="1" x14ac:dyDescent="0.25"/>
    <row r="77" spans="1:3" x14ac:dyDescent="0.25">
      <c r="A77" t="s">
        <v>3298</v>
      </c>
      <c r="B77">
        <f>0.3*harvest_maint</f>
        <v>12</v>
      </c>
      <c r="C77" s="1" t="s">
        <v>3299</v>
      </c>
    </row>
    <row r="78" spans="1:3" ht="7.15" customHeight="1" x14ac:dyDescent="0.25"/>
    <row r="79" spans="1:3" x14ac:dyDescent="0.25">
      <c r="A79" t="s">
        <v>2903</v>
      </c>
      <c r="B79"/>
    </row>
    <row r="80" spans="1:3" x14ac:dyDescent="0.25">
      <c r="A80" s="341" t="str">
        <f>General!G65</f>
        <v>b</v>
      </c>
      <c r="B80">
        <f>'Mach 1'!B80*0.66</f>
        <v>13.200000000000001</v>
      </c>
      <c r="C80" s="1" t="s">
        <v>2904</v>
      </c>
    </row>
    <row r="81" spans="1:3" x14ac:dyDescent="0.25">
      <c r="A81" s="341" t="str">
        <f>General!G66</f>
        <v>bd</v>
      </c>
      <c r="B81">
        <f>'Mach 1'!B81*0.66</f>
        <v>13.200000000000001</v>
      </c>
      <c r="C81" s="1" t="s">
        <v>2904</v>
      </c>
    </row>
    <row r="82" spans="1:3" x14ac:dyDescent="0.25">
      <c r="A82" s="341" t="str">
        <f>General!G67</f>
        <v>f</v>
      </c>
      <c r="B82">
        <f>'Mach 1'!B82*0.66</f>
        <v>7.92</v>
      </c>
      <c r="C82" s="1" t="s">
        <v>2904</v>
      </c>
    </row>
    <row r="83" spans="1:3" x14ac:dyDescent="0.25">
      <c r="A83" s="341" t="str">
        <f>General!G68</f>
        <v>h</v>
      </c>
      <c r="B83">
        <f>'Mach 1'!B83*0.66</f>
        <v>13.200000000000001</v>
      </c>
      <c r="C83" s="1" t="s">
        <v>2904</v>
      </c>
    </row>
    <row r="84" spans="1:3" x14ac:dyDescent="0.25">
      <c r="A84" s="341" t="str">
        <f>General!G69</f>
        <v>i</v>
      </c>
      <c r="B84">
        <f>'Mach 1'!B84*0.66</f>
        <v>7.92</v>
      </c>
      <c r="C84" s="1" t="s">
        <v>2904</v>
      </c>
    </row>
    <row r="85" spans="1:3" x14ac:dyDescent="0.25">
      <c r="A85" s="341" t="str">
        <f>General!G70</f>
        <v>k</v>
      </c>
      <c r="B85">
        <f>'Mach 1'!B85*0.66</f>
        <v>7.92</v>
      </c>
      <c r="C85" s="1" t="s">
        <v>2904</v>
      </c>
    </row>
    <row r="86" spans="1:3" x14ac:dyDescent="0.25">
      <c r="A86" s="341" t="str">
        <f>General!G71</f>
        <v>l</v>
      </c>
      <c r="B86">
        <f>'Mach 1'!B86*0.66</f>
        <v>7.92</v>
      </c>
      <c r="C86" s="1" t="s">
        <v>2904</v>
      </c>
    </row>
    <row r="87" spans="1:3" x14ac:dyDescent="0.25">
      <c r="A87" s="341" t="str">
        <f>General!G72</f>
        <v>lf</v>
      </c>
      <c r="B87">
        <f>'Mach 1'!B87*0.66</f>
        <v>7.92</v>
      </c>
      <c r="C87" s="1" t="s">
        <v>2904</v>
      </c>
    </row>
    <row r="88" spans="1:3" x14ac:dyDescent="0.25">
      <c r="A88" s="341" t="str">
        <f>General!G73</f>
        <v>ms</v>
      </c>
      <c r="B88" s="528">
        <f>0.65*B80+0.35*B86</f>
        <v>11.352000000000002</v>
      </c>
      <c r="C88" s="1" t="s">
        <v>2904</v>
      </c>
    </row>
    <row r="89" spans="1:3" x14ac:dyDescent="0.25">
      <c r="A89" s="341" t="str">
        <f>General!G74</f>
        <v>o</v>
      </c>
      <c r="B89">
        <f>'Mach 1'!B89*0.66</f>
        <v>13.200000000000001</v>
      </c>
      <c r="C89" s="1" t="s">
        <v>2904</v>
      </c>
    </row>
    <row r="90" spans="1:3" x14ac:dyDescent="0.25">
      <c r="A90" s="341" t="str">
        <f>General!G75</f>
        <v>od</v>
      </c>
      <c r="B90">
        <f>'Mach 1'!B90*0.66</f>
        <v>13.200000000000001</v>
      </c>
      <c r="C90" s="1" t="s">
        <v>2904</v>
      </c>
    </row>
    <row r="91" spans="1:3" x14ac:dyDescent="0.25">
      <c r="A91" s="341" t="str">
        <f>General!G76</f>
        <v>of</v>
      </c>
      <c r="B91">
        <f>'Mach 1'!B91*0.66</f>
        <v>13.200000000000001</v>
      </c>
      <c r="C91" s="1" t="s">
        <v>2904</v>
      </c>
    </row>
    <row r="92" spans="1:3" x14ac:dyDescent="0.25">
      <c r="A92" s="341" t="str">
        <f>General!G77</f>
        <v>r</v>
      </c>
      <c r="B92">
        <f>'Mach 1'!B92*0.66</f>
        <v>4.62</v>
      </c>
      <c r="C92" s="1" t="s">
        <v>2904</v>
      </c>
    </row>
    <row r="93" spans="1:3" x14ac:dyDescent="0.25">
      <c r="A93" s="341" t="str">
        <f>General!G78</f>
        <v>rd</v>
      </c>
      <c r="B93">
        <f>'Mach 1'!B93*0.66</f>
        <v>4.62</v>
      </c>
      <c r="C93" s="1" t="s">
        <v>2904</v>
      </c>
    </row>
    <row r="94" spans="1:3" x14ac:dyDescent="0.25">
      <c r="A94" s="341" t="str">
        <f>General!G79</f>
        <v>v</v>
      </c>
      <c r="B94">
        <f>'Mach 1'!B94*0.66</f>
        <v>7.92</v>
      </c>
      <c r="C94" s="1" t="s">
        <v>2904</v>
      </c>
    </row>
    <row r="95" spans="1:3" x14ac:dyDescent="0.25">
      <c r="A95" s="341" t="str">
        <f>General!G80</f>
        <v>w</v>
      </c>
      <c r="B95">
        <f>'Mach 1'!B95*0.66</f>
        <v>13.200000000000001</v>
      </c>
      <c r="C95" s="1" t="s">
        <v>2904</v>
      </c>
    </row>
    <row r="96" spans="1:3" x14ac:dyDescent="0.25">
      <c r="A96" s="341" t="str">
        <f>General!G81</f>
        <v>wd</v>
      </c>
      <c r="B96">
        <f>'Mach 1'!B96*0.66</f>
        <v>13.200000000000001</v>
      </c>
      <c r="C96" s="1" t="s">
        <v>2904</v>
      </c>
    </row>
    <row r="97" spans="1:3" x14ac:dyDescent="0.25">
      <c r="A97" s="341" t="str">
        <f>General!G82</f>
        <v>z</v>
      </c>
      <c r="B97">
        <f>'Mach 1'!B97*0.66</f>
        <v>4.62</v>
      </c>
      <c r="C97" s="1" t="s">
        <v>2904</v>
      </c>
    </row>
    <row r="98" spans="1:3" x14ac:dyDescent="0.25">
      <c r="A98" s="341" t="str">
        <f>General!G83</f>
        <v>zd</v>
      </c>
      <c r="B98">
        <f>'Mach 1'!B98*0.66</f>
        <v>4.62</v>
      </c>
      <c r="C98" s="1" t="s">
        <v>2904</v>
      </c>
    </row>
    <row r="100" spans="1:3" x14ac:dyDescent="0.25">
      <c r="A100" t="s">
        <v>37</v>
      </c>
      <c r="B100">
        <v>40</v>
      </c>
      <c r="C100" s="1" t="s">
        <v>2892</v>
      </c>
    </row>
    <row r="102" spans="1:3" x14ac:dyDescent="0.25">
      <c r="A102" t="s">
        <v>37</v>
      </c>
      <c r="B102" t="s">
        <v>3296</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2909</v>
      </c>
      <c r="B124">
        <v>23</v>
      </c>
      <c r="C124" s="1" t="s">
        <v>2911</v>
      </c>
    </row>
    <row r="125" spans="1:3" ht="4.1500000000000004" customHeight="1" x14ac:dyDescent="0.25"/>
    <row r="126" spans="1:3" x14ac:dyDescent="0.25">
      <c r="A126" t="s">
        <v>39</v>
      </c>
      <c r="B126">
        <v>20</v>
      </c>
      <c r="C126" s="1" t="s">
        <v>2910</v>
      </c>
    </row>
    <row r="127" spans="1:3" ht="3" customHeight="1" x14ac:dyDescent="0.25"/>
    <row r="128" spans="1:3" x14ac:dyDescent="0.25">
      <c r="A128" t="s">
        <v>40</v>
      </c>
      <c r="B128">
        <v>22</v>
      </c>
      <c r="C128" s="1" t="s">
        <v>3297</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20</v>
      </c>
    </row>
    <row r="136" spans="1:3" x14ac:dyDescent="0.25">
      <c r="A136" s="431" t="s">
        <v>69</v>
      </c>
      <c r="B136" t="str">
        <f>General!K67</f>
        <v>at_seeding</v>
      </c>
      <c r="C136"/>
    </row>
    <row r="137" spans="1:3" x14ac:dyDescent="0.25">
      <c r="A137" s="431" t="s">
        <v>2912</v>
      </c>
      <c r="B137" t="str">
        <f>General!K68</f>
        <v>mid</v>
      </c>
      <c r="C137">
        <v>20</v>
      </c>
    </row>
    <row r="138" spans="1:3" x14ac:dyDescent="0.25">
      <c r="A138" s="431" t="s">
        <v>2547</v>
      </c>
      <c r="B138" t="str">
        <f>General!K69</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2901</v>
      </c>
      <c r="F11" t="s">
        <v>2902</v>
      </c>
    </row>
    <row r="12" spans="1:17" x14ac:dyDescent="0.25">
      <c r="A12" t="s">
        <v>2771</v>
      </c>
      <c r="B12">
        <v>250000</v>
      </c>
      <c r="C12" s="44">
        <v>1</v>
      </c>
      <c r="D12" s="44">
        <v>0</v>
      </c>
      <c r="E12" s="44">
        <v>0</v>
      </c>
      <c r="F12" s="44">
        <v>0</v>
      </c>
    </row>
    <row r="13" spans="1:17" x14ac:dyDescent="0.25">
      <c r="A13" t="s">
        <v>2769</v>
      </c>
      <c r="B13">
        <v>115000</v>
      </c>
      <c r="C13" s="44">
        <v>1</v>
      </c>
      <c r="D13" s="44">
        <v>0</v>
      </c>
      <c r="E13" s="44">
        <v>0</v>
      </c>
      <c r="F13" s="44">
        <v>0</v>
      </c>
    </row>
    <row r="14" spans="1:17" x14ac:dyDescent="0.25">
      <c r="A14" t="s">
        <v>2770</v>
      </c>
      <c r="B14">
        <v>500000</v>
      </c>
      <c r="C14" s="44">
        <v>0</v>
      </c>
      <c r="D14" s="44">
        <v>1</v>
      </c>
      <c r="E14" s="44">
        <v>0</v>
      </c>
      <c r="F14" s="44">
        <v>0</v>
      </c>
    </row>
    <row r="15" spans="1:17" x14ac:dyDescent="0.25">
      <c r="A15" t="s">
        <v>119</v>
      </c>
      <c r="B15">
        <v>50000</v>
      </c>
      <c r="C15" s="44">
        <v>0</v>
      </c>
      <c r="D15" s="44">
        <v>1</v>
      </c>
      <c r="E15" s="44">
        <v>0</v>
      </c>
      <c r="F15" s="44">
        <v>0</v>
      </c>
      <c r="Q15" s="481"/>
    </row>
    <row r="16" spans="1:17" x14ac:dyDescent="0.25">
      <c r="A16" t="s">
        <v>2772</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2774</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2773</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2767</v>
      </c>
      <c r="B29" s="436">
        <v>1</v>
      </c>
    </row>
    <row r="30" spans="1:6" ht="7.35" customHeight="1" x14ac:dyDescent="0.25"/>
    <row r="31" spans="1:6" x14ac:dyDescent="0.25">
      <c r="A31" t="s">
        <v>2908</v>
      </c>
      <c r="B31">
        <v>12.5</v>
      </c>
      <c r="C31" s="1" t="s">
        <v>2907</v>
      </c>
      <c r="D31" s="1" t="s">
        <v>3027</v>
      </c>
    </row>
    <row r="32" spans="1:6" ht="7.15" customHeight="1" x14ac:dyDescent="0.25"/>
    <row r="33" spans="1:3" x14ac:dyDescent="0.25">
      <c r="A33" t="s">
        <v>3294</v>
      </c>
      <c r="B33">
        <v>60</v>
      </c>
      <c r="C33" s="1" t="s">
        <v>2910</v>
      </c>
    </row>
    <row r="34" spans="1:3" ht="7.15" customHeight="1" x14ac:dyDescent="0.25"/>
    <row r="35" spans="1:3" x14ac:dyDescent="0.25">
      <c r="A35" t="s">
        <v>3295</v>
      </c>
      <c r="B35">
        <v>78</v>
      </c>
      <c r="C35" s="1" t="s">
        <v>3297</v>
      </c>
    </row>
    <row r="36" spans="1:3" ht="7.15" customHeight="1" x14ac:dyDescent="0.25"/>
    <row r="37" spans="1:3" x14ac:dyDescent="0.25">
      <c r="A37" t="s">
        <v>54</v>
      </c>
      <c r="B37"/>
    </row>
    <row r="38" spans="1:3" x14ac:dyDescent="0.25">
      <c r="A38" s="341" t="str">
        <f>General!I65</f>
        <v>a</v>
      </c>
      <c r="B38">
        <v>1</v>
      </c>
    </row>
    <row r="39" spans="1:3" x14ac:dyDescent="0.25">
      <c r="A39" s="341" t="str">
        <f>General!I66</f>
        <v>a2</v>
      </c>
      <c r="B39">
        <v>1</v>
      </c>
    </row>
    <row r="40" spans="1:3" x14ac:dyDescent="0.25">
      <c r="A40" s="341" t="str">
        <f>General!I67</f>
        <v>b</v>
      </c>
      <c r="B40">
        <v>1</v>
      </c>
    </row>
    <row r="41" spans="1:3" x14ac:dyDescent="0.25">
      <c r="A41" s="341" t="str">
        <f>General!I68</f>
        <v>bd</v>
      </c>
      <c r="B41">
        <v>1</v>
      </c>
    </row>
    <row r="42" spans="1:3" x14ac:dyDescent="0.25">
      <c r="A42" s="341" t="str">
        <f>General!I69</f>
        <v>f</v>
      </c>
      <c r="B42">
        <v>1</v>
      </c>
    </row>
    <row r="43" spans="1:3" x14ac:dyDescent="0.25">
      <c r="A43" s="341" t="str">
        <f>General!I70</f>
        <v>h</v>
      </c>
      <c r="B43">
        <v>1</v>
      </c>
    </row>
    <row r="44" spans="1:3" x14ac:dyDescent="0.25">
      <c r="A44" s="341" t="str">
        <f>General!I71</f>
        <v>i</v>
      </c>
      <c r="B44">
        <v>1</v>
      </c>
    </row>
    <row r="45" spans="1:3" x14ac:dyDescent="0.25">
      <c r="A45" s="341" t="str">
        <f>General!I72</f>
        <v>j</v>
      </c>
      <c r="B45">
        <v>1</v>
      </c>
    </row>
    <row r="46" spans="1:3" x14ac:dyDescent="0.25">
      <c r="A46" s="341" t="str">
        <f>General!I73</f>
        <v>jc</v>
      </c>
      <c r="B46">
        <v>1</v>
      </c>
    </row>
    <row r="47" spans="1:3" x14ac:dyDescent="0.25">
      <c r="A47" s="341" t="str">
        <f>General!I74</f>
        <v>k</v>
      </c>
      <c r="B47">
        <v>1</v>
      </c>
    </row>
    <row r="48" spans="1:3" x14ac:dyDescent="0.25">
      <c r="A48" s="341" t="str">
        <f>General!I75</f>
        <v>l</v>
      </c>
      <c r="B48">
        <v>1</v>
      </c>
    </row>
    <row r="49" spans="1:2" x14ac:dyDescent="0.25">
      <c r="A49" s="341" t="str">
        <f>General!I76</f>
        <v>lf</v>
      </c>
      <c r="B49">
        <v>1</v>
      </c>
    </row>
    <row r="50" spans="1:2" x14ac:dyDescent="0.25">
      <c r="A50" s="341" t="str">
        <f>General!I77</f>
        <v>m</v>
      </c>
      <c r="B50">
        <v>1</v>
      </c>
    </row>
    <row r="51" spans="1:2" x14ac:dyDescent="0.25">
      <c r="A51" s="341" t="str">
        <f>General!I78</f>
        <v>ms</v>
      </c>
      <c r="B51">
        <v>1</v>
      </c>
    </row>
    <row r="52" spans="1:2" x14ac:dyDescent="0.25">
      <c r="A52" s="341" t="str">
        <f>General!I79</f>
        <v>o</v>
      </c>
      <c r="B52">
        <v>1</v>
      </c>
    </row>
    <row r="53" spans="1:2" x14ac:dyDescent="0.25">
      <c r="A53" s="341" t="str">
        <f>General!I80</f>
        <v>od</v>
      </c>
      <c r="B53">
        <v>1</v>
      </c>
    </row>
    <row r="54" spans="1:2" x14ac:dyDescent="0.25">
      <c r="A54" s="341" t="str">
        <f>General!I81</f>
        <v>of</v>
      </c>
      <c r="B54">
        <v>1</v>
      </c>
    </row>
    <row r="55" spans="1:2" x14ac:dyDescent="0.25">
      <c r="A55" s="341" t="str">
        <f>General!I82</f>
        <v>r</v>
      </c>
      <c r="B55">
        <v>1</v>
      </c>
    </row>
    <row r="56" spans="1:2" x14ac:dyDescent="0.25">
      <c r="A56" s="341" t="str">
        <f>General!I83</f>
        <v>rd</v>
      </c>
      <c r="B56">
        <v>1</v>
      </c>
    </row>
    <row r="57" spans="1:2" x14ac:dyDescent="0.25">
      <c r="A57" s="341" t="str">
        <f>General!I84</f>
        <v>s</v>
      </c>
      <c r="B57">
        <v>1</v>
      </c>
    </row>
    <row r="58" spans="1:2" x14ac:dyDescent="0.25">
      <c r="A58" s="341" t="str">
        <f>General!I85</f>
        <v>sp</v>
      </c>
      <c r="B58">
        <v>1</v>
      </c>
    </row>
    <row r="59" spans="1:2" x14ac:dyDescent="0.25">
      <c r="A59" s="341" t="str">
        <f>General!I86</f>
        <v>t</v>
      </c>
      <c r="B59">
        <v>1</v>
      </c>
    </row>
    <row r="60" spans="1:2" x14ac:dyDescent="0.25">
      <c r="A60" s="341" t="str">
        <f>General!I87</f>
        <v>tc</v>
      </c>
      <c r="B60">
        <v>1</v>
      </c>
    </row>
    <row r="61" spans="1:2" x14ac:dyDescent="0.25">
      <c r="A61" s="341" t="str">
        <f>General!I88</f>
        <v>u</v>
      </c>
      <c r="B61">
        <v>1</v>
      </c>
    </row>
    <row r="62" spans="1:2" x14ac:dyDescent="0.25">
      <c r="A62" s="341" t="str">
        <f>General!I89</f>
        <v>uc</v>
      </c>
      <c r="B62">
        <v>1</v>
      </c>
    </row>
    <row r="63" spans="1:2" x14ac:dyDescent="0.25">
      <c r="A63" s="341" t="str">
        <f>General!I90</f>
        <v>v</v>
      </c>
      <c r="B63">
        <v>1</v>
      </c>
    </row>
    <row r="64" spans="1:2" x14ac:dyDescent="0.25">
      <c r="A64" s="341" t="str">
        <f>General!I91</f>
        <v>w</v>
      </c>
      <c r="B64">
        <v>1</v>
      </c>
    </row>
    <row r="65" spans="1:3" x14ac:dyDescent="0.25">
      <c r="A65" s="341" t="str">
        <f>General!I92</f>
        <v>wd</v>
      </c>
      <c r="B65">
        <v>1</v>
      </c>
    </row>
    <row r="66" spans="1:3" x14ac:dyDescent="0.25">
      <c r="A66" s="341" t="str">
        <f>General!I93</f>
        <v>x</v>
      </c>
      <c r="B66">
        <v>1</v>
      </c>
    </row>
    <row r="67" spans="1:3" x14ac:dyDescent="0.25">
      <c r="A67" s="341" t="str">
        <f>General!I94</f>
        <v>xc</v>
      </c>
      <c r="B67">
        <v>1</v>
      </c>
    </row>
    <row r="68" spans="1:3" x14ac:dyDescent="0.25">
      <c r="A68" s="341" t="str">
        <f>General!I95</f>
        <v>z</v>
      </c>
      <c r="B68">
        <v>1</v>
      </c>
    </row>
    <row r="69" spans="1:3" x14ac:dyDescent="0.25">
      <c r="A69" s="341" t="str">
        <f>General!I96</f>
        <v>zd</v>
      </c>
      <c r="B69">
        <v>1</v>
      </c>
    </row>
    <row r="71" spans="1:3" x14ac:dyDescent="0.25">
      <c r="A71" s="3" t="s">
        <v>35</v>
      </c>
    </row>
    <row r="72" spans="1:3" x14ac:dyDescent="0.25">
      <c r="A72" t="s">
        <v>2768</v>
      </c>
      <c r="B72" s="436">
        <v>1</v>
      </c>
    </row>
    <row r="73" spans="1:3" ht="7.35" customHeight="1" x14ac:dyDescent="0.25"/>
    <row r="74" spans="1:3" x14ac:dyDescent="0.25">
      <c r="A74" t="s">
        <v>2893</v>
      </c>
      <c r="B74">
        <v>63</v>
      </c>
    </row>
    <row r="75" spans="1:3" ht="7.15" customHeight="1" x14ac:dyDescent="0.25"/>
    <row r="76" spans="1:3" x14ac:dyDescent="0.25">
      <c r="A76" t="s">
        <v>3298</v>
      </c>
      <c r="B76">
        <f>0.3*harvest_maint</f>
        <v>24</v>
      </c>
      <c r="C76" s="1" t="s">
        <v>3299</v>
      </c>
    </row>
    <row r="77" spans="1:3" ht="7.15" customHeight="1" x14ac:dyDescent="0.25"/>
    <row r="78" spans="1:3" x14ac:dyDescent="0.25">
      <c r="A78" t="s">
        <v>2903</v>
      </c>
      <c r="B78"/>
    </row>
    <row r="79" spans="1:3" x14ac:dyDescent="0.25">
      <c r="A79" s="341" t="str">
        <f>General!G65</f>
        <v>b</v>
      </c>
      <c r="B79">
        <v>30</v>
      </c>
      <c r="C79" s="1" t="s">
        <v>2904</v>
      </c>
    </row>
    <row r="80" spans="1:3" x14ac:dyDescent="0.25">
      <c r="A80" s="341" t="str">
        <f>General!G66</f>
        <v>bd</v>
      </c>
      <c r="B80">
        <v>30</v>
      </c>
      <c r="C80" s="1" t="s">
        <v>2904</v>
      </c>
    </row>
    <row r="81" spans="1:3" x14ac:dyDescent="0.25">
      <c r="A81" s="341" t="str">
        <f>General!G67</f>
        <v>f</v>
      </c>
      <c r="B81">
        <v>18</v>
      </c>
      <c r="C81" s="1" t="s">
        <v>2904</v>
      </c>
    </row>
    <row r="82" spans="1:3" x14ac:dyDescent="0.25">
      <c r="A82" s="341" t="str">
        <f>General!G68</f>
        <v>h</v>
      </c>
      <c r="B82">
        <v>30</v>
      </c>
      <c r="C82" s="1" t="s">
        <v>2904</v>
      </c>
    </row>
    <row r="83" spans="1:3" x14ac:dyDescent="0.25">
      <c r="A83" s="341" t="str">
        <f>General!G69</f>
        <v>i</v>
      </c>
      <c r="B83">
        <v>18</v>
      </c>
      <c r="C83" s="1" t="s">
        <v>2904</v>
      </c>
    </row>
    <row r="84" spans="1:3" x14ac:dyDescent="0.25">
      <c r="A84" s="341" t="str">
        <f>General!G70</f>
        <v>k</v>
      </c>
      <c r="B84">
        <v>18</v>
      </c>
      <c r="C84" s="1" t="s">
        <v>2904</v>
      </c>
    </row>
    <row r="85" spans="1:3" x14ac:dyDescent="0.25">
      <c r="A85" s="341" t="str">
        <f>General!G71</f>
        <v>l</v>
      </c>
      <c r="B85">
        <v>18</v>
      </c>
      <c r="C85" s="1" t="s">
        <v>2904</v>
      </c>
    </row>
    <row r="86" spans="1:3" x14ac:dyDescent="0.25">
      <c r="A86" s="341" t="str">
        <f>General!G72</f>
        <v>lf</v>
      </c>
      <c r="B86">
        <v>18</v>
      </c>
      <c r="C86" s="1" t="s">
        <v>2904</v>
      </c>
    </row>
    <row r="87" spans="1:3" x14ac:dyDescent="0.25">
      <c r="A87" s="341" t="str">
        <f>General!G73</f>
        <v>ms</v>
      </c>
      <c r="B87" s="528">
        <f>0.65*B79+0.35*B85</f>
        <v>25.8</v>
      </c>
      <c r="C87" s="1" t="s">
        <v>2904</v>
      </c>
    </row>
    <row r="88" spans="1:3" x14ac:dyDescent="0.25">
      <c r="A88" s="341" t="str">
        <f>General!G74</f>
        <v>o</v>
      </c>
      <c r="B88">
        <v>30</v>
      </c>
      <c r="C88" s="1" t="s">
        <v>2904</v>
      </c>
    </row>
    <row r="89" spans="1:3" x14ac:dyDescent="0.25">
      <c r="A89" s="341" t="str">
        <f>General!G75</f>
        <v>od</v>
      </c>
      <c r="B89">
        <v>30</v>
      </c>
      <c r="C89" s="1" t="s">
        <v>2904</v>
      </c>
    </row>
    <row r="90" spans="1:3" x14ac:dyDescent="0.25">
      <c r="A90" s="341" t="str">
        <f>General!G76</f>
        <v>of</v>
      </c>
      <c r="B90">
        <v>30</v>
      </c>
      <c r="C90" s="1" t="s">
        <v>2904</v>
      </c>
    </row>
    <row r="91" spans="1:3" x14ac:dyDescent="0.25">
      <c r="A91" s="341" t="str">
        <f>General!G77</f>
        <v>r</v>
      </c>
      <c r="B91">
        <v>12</v>
      </c>
      <c r="C91" s="1" t="s">
        <v>2904</v>
      </c>
    </row>
    <row r="92" spans="1:3" x14ac:dyDescent="0.25">
      <c r="A92" s="341" t="str">
        <f>General!G78</f>
        <v>rd</v>
      </c>
      <c r="B92">
        <v>12</v>
      </c>
      <c r="C92" s="1" t="s">
        <v>2904</v>
      </c>
    </row>
    <row r="93" spans="1:3" x14ac:dyDescent="0.25">
      <c r="A93" s="341" t="str">
        <f>General!G79</f>
        <v>v</v>
      </c>
      <c r="B93">
        <v>18</v>
      </c>
      <c r="C93" s="1" t="s">
        <v>2904</v>
      </c>
    </row>
    <row r="94" spans="1:3" x14ac:dyDescent="0.25">
      <c r="A94" s="341" t="str">
        <f>General!G80</f>
        <v>w</v>
      </c>
      <c r="B94">
        <v>30</v>
      </c>
      <c r="C94" s="1" t="s">
        <v>2904</v>
      </c>
    </row>
    <row r="95" spans="1:3" x14ac:dyDescent="0.25">
      <c r="A95" s="341" t="str">
        <f>General!G81</f>
        <v>wd</v>
      </c>
      <c r="B95">
        <v>30</v>
      </c>
      <c r="C95" s="1" t="s">
        <v>2904</v>
      </c>
    </row>
    <row r="96" spans="1:3" x14ac:dyDescent="0.25">
      <c r="A96" s="341" t="str">
        <f>General!G82</f>
        <v>z</v>
      </c>
      <c r="B96">
        <v>12</v>
      </c>
      <c r="C96" s="1" t="s">
        <v>2904</v>
      </c>
    </row>
    <row r="97" spans="1:3" x14ac:dyDescent="0.25">
      <c r="A97" s="341" t="str">
        <f>General!G83</f>
        <v>zd</v>
      </c>
      <c r="B97">
        <v>12</v>
      </c>
      <c r="C97" s="1" t="s">
        <v>2904</v>
      </c>
    </row>
    <row r="99" spans="1:3" x14ac:dyDescent="0.25">
      <c r="A99" t="s">
        <v>37</v>
      </c>
      <c r="B99">
        <v>80</v>
      </c>
      <c r="C99" s="1" t="s">
        <v>2892</v>
      </c>
    </row>
    <row r="101" spans="1:3" x14ac:dyDescent="0.25">
      <c r="A101" t="s">
        <v>37</v>
      </c>
      <c r="B101" t="s">
        <v>3296</v>
      </c>
    </row>
    <row r="102" spans="1:3" x14ac:dyDescent="0.25">
      <c r="A102" s="341" t="str">
        <f>General!G65</f>
        <v>b</v>
      </c>
      <c r="B102" s="326">
        <v>1</v>
      </c>
    </row>
    <row r="103" spans="1:3" x14ac:dyDescent="0.25">
      <c r="A103" s="341" t="str">
        <f>General!G66</f>
        <v>bd</v>
      </c>
      <c r="B103" s="326">
        <v>1</v>
      </c>
    </row>
    <row r="104" spans="1:3" x14ac:dyDescent="0.25">
      <c r="A104" s="341" t="str">
        <f>General!G67</f>
        <v>f</v>
      </c>
      <c r="B104" s="326">
        <f>38/33</f>
        <v>1.1515151515151516</v>
      </c>
    </row>
    <row r="105" spans="1:3" x14ac:dyDescent="0.25">
      <c r="A105" s="341" t="str">
        <f>General!G68</f>
        <v>h</v>
      </c>
      <c r="B105" s="326">
        <v>1</v>
      </c>
    </row>
    <row r="106" spans="1:3" x14ac:dyDescent="0.25">
      <c r="A106" s="341" t="str">
        <f>General!G69</f>
        <v>i</v>
      </c>
      <c r="B106" s="326">
        <f t="shared" ref="B106:B107" si="0">38/33</f>
        <v>1.1515151515151516</v>
      </c>
    </row>
    <row r="107" spans="1:3" x14ac:dyDescent="0.25">
      <c r="A107" s="341" t="str">
        <f>General!G70</f>
        <v>k</v>
      </c>
      <c r="B107" s="326">
        <f t="shared" si="0"/>
        <v>1.1515151515151516</v>
      </c>
    </row>
    <row r="108" spans="1:3" x14ac:dyDescent="0.25">
      <c r="A108" s="341" t="str">
        <f>General!G71</f>
        <v>l</v>
      </c>
      <c r="B108" s="326">
        <v>1</v>
      </c>
    </row>
    <row r="109" spans="1:3" x14ac:dyDescent="0.25">
      <c r="A109" s="341" t="str">
        <f>General!G72</f>
        <v>lf</v>
      </c>
      <c r="B109" s="326">
        <v>1</v>
      </c>
    </row>
    <row r="110" spans="1:3" x14ac:dyDescent="0.25">
      <c r="A110" s="341" t="str">
        <f>General!G73</f>
        <v>ms</v>
      </c>
      <c r="B110" s="618">
        <f>0.65*B102+0.35*B108</f>
        <v>1</v>
      </c>
    </row>
    <row r="111" spans="1:3" x14ac:dyDescent="0.25">
      <c r="A111" s="341" t="str">
        <f>General!G74</f>
        <v>o</v>
      </c>
      <c r="B111" s="326">
        <v>1</v>
      </c>
    </row>
    <row r="112" spans="1:3" x14ac:dyDescent="0.25">
      <c r="A112" s="341" t="str">
        <f>General!G75</f>
        <v>od</v>
      </c>
      <c r="B112" s="326">
        <v>1</v>
      </c>
    </row>
    <row r="113" spans="1:3" x14ac:dyDescent="0.25">
      <c r="A113" s="341" t="str">
        <f>General!G76</f>
        <v>of</v>
      </c>
      <c r="B113" s="326">
        <v>1</v>
      </c>
    </row>
    <row r="114" spans="1:3" x14ac:dyDescent="0.25">
      <c r="A114" s="341" t="str">
        <f>General!G77</f>
        <v>r</v>
      </c>
      <c r="B114" s="326">
        <f t="shared" ref="B114:B116" si="1">38/33</f>
        <v>1.1515151515151516</v>
      </c>
    </row>
    <row r="115" spans="1:3" x14ac:dyDescent="0.25">
      <c r="A115" s="341" t="str">
        <f>General!G78</f>
        <v>rd</v>
      </c>
      <c r="B115" s="326">
        <f t="shared" si="1"/>
        <v>1.1515151515151516</v>
      </c>
    </row>
    <row r="116" spans="1:3" x14ac:dyDescent="0.25">
      <c r="A116" s="341" t="str">
        <f>General!G79</f>
        <v>v</v>
      </c>
      <c r="B116" s="326">
        <f t="shared" si="1"/>
        <v>1.1515151515151516</v>
      </c>
    </row>
    <row r="117" spans="1:3" x14ac:dyDescent="0.25">
      <c r="A117" s="341" t="str">
        <f>General!G80</f>
        <v>w</v>
      </c>
      <c r="B117" s="326">
        <v>1</v>
      </c>
    </row>
    <row r="118" spans="1:3" x14ac:dyDescent="0.25">
      <c r="A118" s="341" t="str">
        <f>General!G81</f>
        <v>wd</v>
      </c>
      <c r="B118" s="326">
        <v>1</v>
      </c>
    </row>
    <row r="119" spans="1:3" x14ac:dyDescent="0.25">
      <c r="A119" s="341" t="str">
        <f>General!G82</f>
        <v>z</v>
      </c>
      <c r="B119" s="326">
        <f t="shared" ref="B119:B120" si="2">38/33</f>
        <v>1.1515151515151516</v>
      </c>
    </row>
    <row r="120" spans="1:3" x14ac:dyDescent="0.25">
      <c r="A120" s="341" t="str">
        <f>General!G83</f>
        <v>zd</v>
      </c>
      <c r="B120" s="326">
        <f t="shared" si="2"/>
        <v>1.1515151515151516</v>
      </c>
    </row>
    <row r="122" spans="1:3" x14ac:dyDescent="0.25">
      <c r="A122" s="3" t="s">
        <v>38</v>
      </c>
    </row>
    <row r="123" spans="1:3" x14ac:dyDescent="0.25">
      <c r="A123" t="s">
        <v>2909</v>
      </c>
      <c r="B123">
        <v>50</v>
      </c>
      <c r="C123" s="1" t="s">
        <v>2911</v>
      </c>
    </row>
    <row r="124" spans="1:3" ht="4.1500000000000004" customHeight="1" x14ac:dyDescent="0.25"/>
    <row r="125" spans="1:3" x14ac:dyDescent="0.25">
      <c r="A125" t="s">
        <v>39</v>
      </c>
      <c r="B125">
        <v>40</v>
      </c>
      <c r="C125" s="1" t="s">
        <v>2910</v>
      </c>
    </row>
    <row r="126" spans="1:3" ht="3" customHeight="1" x14ac:dyDescent="0.25"/>
    <row r="127" spans="1:3" x14ac:dyDescent="0.25">
      <c r="A127" t="s">
        <v>40</v>
      </c>
      <c r="B127">
        <v>50</v>
      </c>
      <c r="C127" s="1" t="s">
        <v>3297</v>
      </c>
    </row>
    <row r="129" spans="1:3" x14ac:dyDescent="0.25">
      <c r="A129" s="3" t="s">
        <v>41</v>
      </c>
    </row>
    <row r="130" spans="1:3" x14ac:dyDescent="0.25">
      <c r="A130" t="s">
        <v>42</v>
      </c>
      <c r="B130">
        <v>20</v>
      </c>
      <c r="C130" s="1" t="s">
        <v>116</v>
      </c>
    </row>
    <row r="132" spans="1:3" x14ac:dyDescent="0.25">
      <c r="B132" t="s">
        <v>43</v>
      </c>
      <c r="C132"/>
    </row>
    <row r="133" spans="1:3" x14ac:dyDescent="0.25">
      <c r="A133" s="431" t="s">
        <v>45</v>
      </c>
      <c r="B133" t="str">
        <f>General!K65</f>
        <v>lime</v>
      </c>
      <c r="C133">
        <v>15</v>
      </c>
    </row>
    <row r="134" spans="1:3" x14ac:dyDescent="0.25">
      <c r="A134" s="431" t="s">
        <v>44</v>
      </c>
      <c r="B134" t="str">
        <f>General!K66</f>
        <v>early</v>
      </c>
      <c r="C134">
        <v>25</v>
      </c>
    </row>
    <row r="135" spans="1:3" x14ac:dyDescent="0.25">
      <c r="A135" s="431" t="s">
        <v>69</v>
      </c>
      <c r="B135" t="str">
        <f>General!K67</f>
        <v>at_seeding</v>
      </c>
      <c r="C135"/>
    </row>
    <row r="136" spans="1:3" x14ac:dyDescent="0.25">
      <c r="A136" s="431" t="s">
        <v>2912</v>
      </c>
      <c r="B136" t="str">
        <f>General!K68</f>
        <v>mid</v>
      </c>
      <c r="C136">
        <v>25</v>
      </c>
    </row>
    <row r="137" spans="1:3" x14ac:dyDescent="0.25">
      <c r="A137" s="431" t="s">
        <v>2547</v>
      </c>
      <c r="B137" t="str">
        <f>General!K69</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General!G65</f>
        <v>b</v>
      </c>
      <c r="B156" s="6">
        <v>1</v>
      </c>
      <c r="C156" s="6">
        <v>1</v>
      </c>
    </row>
    <row r="157" spans="1:3" x14ac:dyDescent="0.25">
      <c r="A157" s="342" t="str">
        <f>General!G66</f>
        <v>bd</v>
      </c>
      <c r="B157" s="6">
        <v>1</v>
      </c>
      <c r="C157" s="6">
        <v>1</v>
      </c>
    </row>
    <row r="158" spans="1:3" x14ac:dyDescent="0.25">
      <c r="A158" s="342" t="str">
        <f>General!G67</f>
        <v>f</v>
      </c>
      <c r="B158" s="6">
        <v>1</v>
      </c>
      <c r="C158" s="6">
        <v>1</v>
      </c>
    </row>
    <row r="159" spans="1:3" x14ac:dyDescent="0.25">
      <c r="A159" s="342" t="str">
        <f>General!G68</f>
        <v>h</v>
      </c>
      <c r="B159" s="6">
        <v>1</v>
      </c>
      <c r="C159" s="6">
        <v>3</v>
      </c>
    </row>
    <row r="160" spans="1:3" x14ac:dyDescent="0.25">
      <c r="A160" s="342" t="str">
        <f>General!G69</f>
        <v>i</v>
      </c>
      <c r="B160" s="6">
        <v>1</v>
      </c>
      <c r="C160" s="6">
        <v>1</v>
      </c>
    </row>
    <row r="161" spans="1:3" x14ac:dyDescent="0.25">
      <c r="A161" s="342" t="str">
        <f>General!G70</f>
        <v>k</v>
      </c>
      <c r="B161" s="6">
        <v>1</v>
      </c>
      <c r="C161" s="6">
        <v>1</v>
      </c>
    </row>
    <row r="162" spans="1:3" x14ac:dyDescent="0.25">
      <c r="A162" s="342" t="str">
        <f>General!G71</f>
        <v>l</v>
      </c>
      <c r="B162" s="6">
        <v>1</v>
      </c>
      <c r="C162" s="6">
        <v>1</v>
      </c>
    </row>
    <row r="163" spans="1:3" x14ac:dyDescent="0.25">
      <c r="A163" s="342" t="str">
        <f>General!G72</f>
        <v>lf</v>
      </c>
      <c r="B163" s="6">
        <v>1</v>
      </c>
      <c r="C163" s="6">
        <v>1</v>
      </c>
    </row>
    <row r="164" spans="1:3" x14ac:dyDescent="0.25">
      <c r="A164" s="342" t="str">
        <f>General!G73</f>
        <v>ms</v>
      </c>
      <c r="B164" s="6">
        <v>1</v>
      </c>
      <c r="C164" s="6">
        <v>1</v>
      </c>
    </row>
    <row r="165" spans="1:3" x14ac:dyDescent="0.25">
      <c r="A165" s="342" t="str">
        <f>General!G74</f>
        <v>o</v>
      </c>
      <c r="B165" s="6">
        <v>1</v>
      </c>
      <c r="C165" s="6">
        <v>1</v>
      </c>
    </row>
    <row r="166" spans="1:3" x14ac:dyDescent="0.25">
      <c r="A166" s="342" t="str">
        <f>General!G75</f>
        <v>od</v>
      </c>
      <c r="B166" s="6">
        <v>1</v>
      </c>
      <c r="C166" s="6">
        <v>1</v>
      </c>
    </row>
    <row r="167" spans="1:3" x14ac:dyDescent="0.25">
      <c r="A167" s="342" t="str">
        <f>General!G76</f>
        <v>of</v>
      </c>
      <c r="B167" s="6">
        <v>1</v>
      </c>
      <c r="C167" s="6">
        <v>1</v>
      </c>
    </row>
    <row r="168" spans="1:3" x14ac:dyDescent="0.25">
      <c r="A168" s="342" t="str">
        <f>General!G77</f>
        <v>r</v>
      </c>
      <c r="B168" s="6">
        <v>1</v>
      </c>
      <c r="C168" s="6">
        <v>1</v>
      </c>
    </row>
    <row r="169" spans="1:3" x14ac:dyDescent="0.25">
      <c r="A169" s="342" t="str">
        <f>General!G78</f>
        <v>rd</v>
      </c>
      <c r="B169" s="6">
        <v>1</v>
      </c>
      <c r="C169" s="6">
        <v>1</v>
      </c>
    </row>
    <row r="170" spans="1:3" x14ac:dyDescent="0.25">
      <c r="A170" s="342" t="str">
        <f>General!G79</f>
        <v>v</v>
      </c>
      <c r="B170" s="6">
        <v>1</v>
      </c>
      <c r="C170" s="6">
        <v>1</v>
      </c>
    </row>
    <row r="171" spans="1:3" x14ac:dyDescent="0.25">
      <c r="A171" s="342" t="str">
        <f>General!G80</f>
        <v>w</v>
      </c>
      <c r="B171" s="6">
        <v>1</v>
      </c>
      <c r="C171" s="6">
        <v>1</v>
      </c>
    </row>
    <row r="172" spans="1:3" x14ac:dyDescent="0.25">
      <c r="A172" s="342" t="str">
        <f>General!G81</f>
        <v>wd</v>
      </c>
      <c r="B172" s="6">
        <v>1</v>
      </c>
      <c r="C172" s="6">
        <v>1</v>
      </c>
    </row>
    <row r="173" spans="1:3" x14ac:dyDescent="0.25">
      <c r="A173" s="342" t="str">
        <f>General!G82</f>
        <v>z</v>
      </c>
      <c r="B173" s="6">
        <v>1</v>
      </c>
      <c r="C173" s="6">
        <v>1</v>
      </c>
    </row>
    <row r="174" spans="1:3" x14ac:dyDescent="0.25">
      <c r="A174" s="342" t="str">
        <f>General!G83</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528</vt:i4>
      </vt:variant>
    </vt:vector>
  </HeadingPairs>
  <TitlesOfParts>
    <vt:vector size="542"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2025-10-03T13:29:40Z</dcterms:modified>
</cp:coreProperties>
</file>