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D742DA4C-AB9E-4C04-81A0-31F038BCA8EE}" xr6:coauthVersionLast="47" xr6:coauthVersionMax="47" xr10:uidLastSave="{00000000-0000-0000-0000-000000000000}"/>
  <bookViews>
    <workbookView xWindow="-120" yWindow="-16365" windowWidth="29040" windowHeight="15720" tabRatio="625" activeTab="3"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Parameters!$E$36:$AJ$2111</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Parameters!$W$984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General!$L$23</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Parameters!$U$820:$AE$983</definedName>
    <definedName name="i_cl0_len">Parameters!$U$819</definedName>
    <definedName name="i_cl0_len2">Parameters!$V$819</definedName>
    <definedName name="i_cl0_pos">Parameters!$W$819</definedName>
    <definedName name="i_cl0_y">Parameters!$AH$820:$AI$983</definedName>
    <definedName name="i_cl1_c2">Parameters!$U$985:$AE$1148</definedName>
    <definedName name="i_cl1_len">Parameters!$U$984</definedName>
    <definedName name="i_cl1_len2">Parameters!$V$984</definedName>
    <definedName name="i_cl1_pos">Parameters!$W$984</definedName>
    <definedName name="i_cl1_y">Parameters!$AH$985:$AI$1148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Parameters!$U$1150:$AE$1154</definedName>
    <definedName name="i_cu0_len">Parameters!$U$1149</definedName>
    <definedName name="i_cu0_pos">Parameters!$W$1149</definedName>
    <definedName name="i_cu0_y">Parameters!$AH$1150:$AI$1154</definedName>
    <definedName name="i_cu1_c2">Parameters!$U$1156:$AE$1315</definedName>
    <definedName name="i_cu1_len">Parameters!$U$1155</definedName>
    <definedName name="i_cu1_len2">Parameters!$V$1155</definedName>
    <definedName name="i_cu1_pos">Parameters!$W$1155</definedName>
    <definedName name="i_cu1_y">Parameters!$AH$1156:$AI$1315</definedName>
    <definedName name="i_cu2_c2">Parameters!$U$1317:$AE$1736</definedName>
    <definedName name="i_cu2_len">Parameters!$U$1316</definedName>
    <definedName name="i_cu2_len2">Parameters!$V$1316</definedName>
    <definedName name="i_cu2_pos">Parameters!$W$1316</definedName>
    <definedName name="i_cu2_y">Parameters!$AH$1317:$AI$1736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Parameters!$U$1738:$AE$2097</definedName>
    <definedName name="i_cu6_len">Parameters!$U$1737</definedName>
    <definedName name="i_cu6_len2">Parameters!$V$1737</definedName>
    <definedName name="i_cu6_pos">Parameters!$W$1737</definedName>
    <definedName name="i_cu6_y">Parameters!$AH$1738:$AI$2097</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Parameters!$U$1151:$AE$1151</definedName>
    <definedName name="i_kgcs_y">Parameters!$AH$1151:$AI$1151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ail_alpha" localSheetId="0">General!$U$23</definedName>
    <definedName name="i_tail_lambda" localSheetId="0">General!$U$24</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872" i="24" l="1"/>
  <c r="AA1872" i="24" s="1"/>
  <c r="AA1871" i="24"/>
  <c r="AA1870" i="24"/>
  <c r="AA1869" i="24"/>
  <c r="AA1868" i="24"/>
  <c r="AA1867" i="24"/>
  <c r="AA1866" i="24"/>
  <c r="AA1865" i="24"/>
  <c r="AA1864" i="24"/>
  <c r="AA1863" i="24"/>
  <c r="AA1862" i="24"/>
  <c r="AA1861" i="24"/>
  <c r="AA1860" i="24"/>
  <c r="AA1859" i="24"/>
  <c r="AA1858" i="24"/>
  <c r="J65" i="1"/>
  <c r="I65" i="1"/>
  <c r="H65" i="1"/>
  <c r="J70" i="1"/>
  <c r="I70" i="1"/>
  <c r="H70" i="1"/>
  <c r="J59" i="1"/>
  <c r="I59" i="1"/>
  <c r="H59" i="1"/>
  <c r="H20" i="17" l="1"/>
  <c r="AA1706" i="24" l="1"/>
  <c r="AA1705" i="24"/>
  <c r="AA1704" i="24"/>
  <c r="AA1703" i="24"/>
  <c r="AA1702" i="24"/>
  <c r="AA1701" i="24"/>
  <c r="AA1700" i="24"/>
  <c r="AA1699" i="24"/>
  <c r="AA1698" i="24"/>
  <c r="AA1697" i="24"/>
  <c r="AA1696" i="24"/>
  <c r="AA1695" i="24"/>
  <c r="AA1694" i="24"/>
  <c r="AA1693" i="24"/>
  <c r="AA1692" i="24"/>
  <c r="Y1705" i="24"/>
  <c r="X1705" i="24"/>
  <c r="W1705" i="24"/>
  <c r="Y1697" i="24"/>
  <c r="X1697" i="24"/>
  <c r="W1697" i="24"/>
  <c r="Y1696" i="24"/>
  <c r="X1696" i="24"/>
  <c r="W1696" i="24"/>
  <c r="Y1695" i="24"/>
  <c r="X1695" i="24"/>
  <c r="W1695" i="24"/>
  <c r="Y921" i="24"/>
  <c r="X921" i="24"/>
  <c r="W921" i="24"/>
  <c r="Y920" i="24"/>
  <c r="X920" i="24"/>
  <c r="W920" i="24"/>
  <c r="Y1704" i="24"/>
  <c r="X1704" i="24"/>
  <c r="W1704" i="24"/>
  <c r="Y1699" i="24"/>
  <c r="X1699" i="24"/>
  <c r="W1699" i="24"/>
  <c r="C1140" i="24"/>
  <c r="C1139" i="24"/>
  <c r="C1138" i="24"/>
  <c r="C1137" i="24"/>
  <c r="C1144" i="24"/>
  <c r="C1143" i="24"/>
  <c r="C1142" i="24"/>
  <c r="C1141" i="24"/>
  <c r="U979" i="24"/>
  <c r="W979" i="24" s="1"/>
  <c r="C979" i="24"/>
  <c r="AA978" i="24"/>
  <c r="AA979" i="24" s="1"/>
  <c r="W978" i="24"/>
  <c r="V978" i="24"/>
  <c r="Y978" i="24" s="1"/>
  <c r="C978" i="24"/>
  <c r="AA977" i="24"/>
  <c r="Z977" i="24" s="1"/>
  <c r="W977" i="24"/>
  <c r="V977" i="24"/>
  <c r="X977" i="24" s="1"/>
  <c r="C977" i="24"/>
  <c r="AA976" i="24"/>
  <c r="AB976" i="24" s="1"/>
  <c r="AC976" i="24" s="1"/>
  <c r="AD976" i="24" s="1"/>
  <c r="W976" i="24"/>
  <c r="V976" i="24"/>
  <c r="X976" i="24" s="1"/>
  <c r="C976" i="24"/>
  <c r="U975" i="24"/>
  <c r="W975" i="24" s="1"/>
  <c r="C975" i="24"/>
  <c r="AA974" i="24"/>
  <c r="AB974" i="24" s="1"/>
  <c r="AC974" i="24" s="1"/>
  <c r="AD974" i="24" s="1"/>
  <c r="W974" i="24"/>
  <c r="V974" i="24"/>
  <c r="X974" i="24" s="1"/>
  <c r="C974" i="24"/>
  <c r="AA973" i="24"/>
  <c r="AB973" i="24" s="1"/>
  <c r="AC973" i="24" s="1"/>
  <c r="AD973" i="24" s="1"/>
  <c r="W973" i="24"/>
  <c r="V973" i="24"/>
  <c r="X973" i="24" s="1"/>
  <c r="C973" i="24"/>
  <c r="AA972" i="24"/>
  <c r="AB972" i="24" s="1"/>
  <c r="AC972" i="24" s="1"/>
  <c r="AD972" i="24" s="1"/>
  <c r="W972" i="24"/>
  <c r="V972" i="24"/>
  <c r="Y972" i="24" s="1"/>
  <c r="C972" i="24"/>
  <c r="AB1862" i="24"/>
  <c r="AC1862" i="24" s="1"/>
  <c r="AD1862" i="24" s="1"/>
  <c r="Z1862" i="24"/>
  <c r="W1862" i="24"/>
  <c r="V1862" i="24"/>
  <c r="Y1862" i="24" s="1"/>
  <c r="AB1865" i="24"/>
  <c r="AC1865" i="24" s="1"/>
  <c r="AD1865" i="24" s="1"/>
  <c r="Z1865" i="24"/>
  <c r="W1865" i="24"/>
  <c r="V1865" i="24"/>
  <c r="X1865" i="24" s="1"/>
  <c r="AB1864" i="24"/>
  <c r="AC1864" i="24" s="1"/>
  <c r="AD1864" i="24" s="1"/>
  <c r="Z1864" i="24"/>
  <c r="W1864" i="24"/>
  <c r="V1864" i="24"/>
  <c r="X1864" i="24" s="1"/>
  <c r="V2087" i="24"/>
  <c r="X2087" i="24" s="1"/>
  <c r="W2087" i="24"/>
  <c r="AA2087" i="24"/>
  <c r="AB2087" i="24" s="1"/>
  <c r="AC2087" i="24" s="1"/>
  <c r="AD2087" i="24" s="1"/>
  <c r="V2088" i="24"/>
  <c r="Y2088" i="24" s="1"/>
  <c r="W2088" i="24"/>
  <c r="AA2088" i="24"/>
  <c r="AB2088" i="24" s="1"/>
  <c r="AC2088" i="24" s="1"/>
  <c r="AD2088" i="24" s="1"/>
  <c r="V2089" i="24"/>
  <c r="X2089" i="24" s="1"/>
  <c r="W2089" i="24"/>
  <c r="AA2089" i="24"/>
  <c r="Z2089" i="24" s="1"/>
  <c r="V2090" i="24"/>
  <c r="X2090" i="24" s="1"/>
  <c r="W2090" i="24"/>
  <c r="AA2090" i="24"/>
  <c r="Z2090" i="24" s="1"/>
  <c r="Z974" i="24" l="1"/>
  <c r="Z978" i="24"/>
  <c r="AB978" i="24"/>
  <c r="AC978" i="24" s="1"/>
  <c r="AD978" i="24" s="1"/>
  <c r="AB979" i="24"/>
  <c r="AC979" i="24" s="1"/>
  <c r="AD979" i="24" s="1"/>
  <c r="Z979" i="24"/>
  <c r="AB977" i="24"/>
  <c r="AC977" i="24" s="1"/>
  <c r="AD977" i="24" s="1"/>
  <c r="X978" i="24"/>
  <c r="V979" i="24"/>
  <c r="Y977" i="24"/>
  <c r="Y976" i="24"/>
  <c r="Z976" i="24"/>
  <c r="Y973" i="24"/>
  <c r="V975" i="24"/>
  <c r="X972" i="24"/>
  <c r="Z972" i="24"/>
  <c r="AA975" i="24"/>
  <c r="Z973" i="24"/>
  <c r="Y974" i="24"/>
  <c r="Y2090" i="24"/>
  <c r="X1862" i="24"/>
  <c r="Y1864" i="24"/>
  <c r="Y1865" i="24"/>
  <c r="Y2087" i="24"/>
  <c r="AB2089" i="24"/>
  <c r="AC2089" i="24" s="1"/>
  <c r="AD2089" i="24" s="1"/>
  <c r="Y2089" i="24"/>
  <c r="X2088" i="24"/>
  <c r="Z2087" i="24"/>
  <c r="AB2090" i="24"/>
  <c r="AC2090" i="24" s="1"/>
  <c r="AD2090" i="24" s="1"/>
  <c r="Z2088" i="24"/>
  <c r="Y979" i="24" l="1"/>
  <c r="X979" i="24"/>
  <c r="AB975" i="24"/>
  <c r="AC975" i="24" s="1"/>
  <c r="AD975" i="24" s="1"/>
  <c r="Z975" i="24"/>
  <c r="Y975" i="24"/>
  <c r="X975" i="24"/>
  <c r="AA947" i="24"/>
  <c r="C1136" i="24"/>
  <c r="C1135" i="24"/>
  <c r="C1134" i="24"/>
  <c r="C1133"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97" i="24"/>
  <c r="AB2097" i="24" s="1"/>
  <c r="AC2097" i="24" s="1"/>
  <c r="AD2097" i="24" s="1"/>
  <c r="W2097" i="24"/>
  <c r="V2097" i="24"/>
  <c r="Y2097" i="24" s="1"/>
  <c r="C2097" i="24"/>
  <c r="F2096" i="24"/>
  <c r="C2096" i="24"/>
  <c r="F2095" i="24"/>
  <c r="C2095" i="24"/>
  <c r="F2094" i="24"/>
  <c r="C2094" i="24"/>
  <c r="F2093" i="24"/>
  <c r="C2093" i="24"/>
  <c r="F2092" i="24"/>
  <c r="C2092" i="24"/>
  <c r="F2091" i="24"/>
  <c r="C2091" i="24"/>
  <c r="C2090" i="24"/>
  <c r="C2089" i="24"/>
  <c r="C2088" i="24"/>
  <c r="C2087" i="24"/>
  <c r="C2086" i="24"/>
  <c r="C2085" i="24"/>
  <c r="AA2084" i="24"/>
  <c r="AB2084" i="24" s="1"/>
  <c r="AC2084" i="24" s="1"/>
  <c r="AD2084" i="24" s="1"/>
  <c r="W2084" i="24"/>
  <c r="V2084" i="24"/>
  <c r="Y2084" i="24" s="1"/>
  <c r="C2084" i="24"/>
  <c r="AA2083" i="24"/>
  <c r="AB2083" i="24" s="1"/>
  <c r="AC2083" i="24" s="1"/>
  <c r="AD2083" i="24" s="1"/>
  <c r="W2083" i="24"/>
  <c r="V2083" i="24"/>
  <c r="Y2083" i="24" s="1"/>
  <c r="C2083" i="24"/>
  <c r="C2082" i="24"/>
  <c r="F2081" i="24"/>
  <c r="C2081" i="24"/>
  <c r="F2080" i="24"/>
  <c r="C2080" i="24"/>
  <c r="F2079" i="24"/>
  <c r="C2079" i="24"/>
  <c r="F2078" i="24"/>
  <c r="C2078" i="24"/>
  <c r="F2077" i="24"/>
  <c r="C2077" i="24"/>
  <c r="F2076" i="24"/>
  <c r="C2076" i="24"/>
  <c r="C2072" i="24"/>
  <c r="C2071" i="24"/>
  <c r="C2070" i="24"/>
  <c r="C2069" i="24"/>
  <c r="C2068" i="24"/>
  <c r="C2067" i="24"/>
  <c r="F2066" i="24"/>
  <c r="C2066" i="24"/>
  <c r="F2065" i="24"/>
  <c r="C2065" i="24"/>
  <c r="F2064" i="24"/>
  <c r="C2064" i="24"/>
  <c r="F2063" i="24"/>
  <c r="C2063" i="24"/>
  <c r="F2062" i="24"/>
  <c r="C2062" i="24"/>
  <c r="F2061" i="24"/>
  <c r="C2061" i="24"/>
  <c r="C2057" i="24"/>
  <c r="C2056" i="24"/>
  <c r="C2055" i="24"/>
  <c r="C2054" i="24"/>
  <c r="C2053" i="24"/>
  <c r="C2052" i="24"/>
  <c r="F2051" i="24"/>
  <c r="C2051" i="24"/>
  <c r="F2050" i="24"/>
  <c r="C2050" i="24"/>
  <c r="F2049" i="24"/>
  <c r="C2049" i="24"/>
  <c r="F2048" i="24"/>
  <c r="C2048" i="24"/>
  <c r="F2047" i="24"/>
  <c r="C2047" i="24"/>
  <c r="F2046" i="24"/>
  <c r="C2046" i="24"/>
  <c r="C2042" i="24"/>
  <c r="C2041" i="24"/>
  <c r="C2040" i="24"/>
  <c r="C2039" i="24"/>
  <c r="C2038" i="24"/>
  <c r="C2037" i="24"/>
  <c r="F2036" i="24"/>
  <c r="C2036" i="24"/>
  <c r="F2035" i="24"/>
  <c r="C2035" i="24"/>
  <c r="F2034" i="24"/>
  <c r="C2034" i="24"/>
  <c r="F2033" i="24"/>
  <c r="C2033" i="24"/>
  <c r="F2032" i="24"/>
  <c r="C2032" i="24"/>
  <c r="F2031" i="24"/>
  <c r="C2031" i="24"/>
  <c r="C2027" i="24"/>
  <c r="C2026" i="24"/>
  <c r="C2025" i="24"/>
  <c r="C2024" i="24"/>
  <c r="C2023" i="24"/>
  <c r="C2022" i="24"/>
  <c r="F2021" i="24"/>
  <c r="C2021" i="24"/>
  <c r="F2020" i="24"/>
  <c r="C2020" i="24"/>
  <c r="F2019" i="24"/>
  <c r="C2019" i="24"/>
  <c r="F2018" i="24"/>
  <c r="C2018" i="24"/>
  <c r="F2017" i="24"/>
  <c r="C2017" i="24"/>
  <c r="F2016" i="24"/>
  <c r="C2016" i="24"/>
  <c r="C2012" i="24"/>
  <c r="C2011" i="24"/>
  <c r="C2010" i="24"/>
  <c r="C2009" i="24"/>
  <c r="C2008" i="24"/>
  <c r="C2007" i="24"/>
  <c r="F2006" i="24"/>
  <c r="C2006" i="24"/>
  <c r="F2005" i="24"/>
  <c r="C2005" i="24"/>
  <c r="F2004" i="24"/>
  <c r="C2004" i="24"/>
  <c r="F2003" i="24"/>
  <c r="C2003" i="24"/>
  <c r="F2002" i="24"/>
  <c r="C2002" i="24"/>
  <c r="F2001" i="24"/>
  <c r="C2001" i="24"/>
  <c r="C1997" i="24"/>
  <c r="C1996" i="24"/>
  <c r="C1995" i="24"/>
  <c r="C1994" i="24"/>
  <c r="C1993" i="24"/>
  <c r="C1992" i="24"/>
  <c r="F1991" i="24"/>
  <c r="C1991" i="24"/>
  <c r="F1990" i="24"/>
  <c r="C1990" i="24"/>
  <c r="F1989" i="24"/>
  <c r="C1989" i="24"/>
  <c r="F1988" i="24"/>
  <c r="C1988" i="24"/>
  <c r="F1987" i="24"/>
  <c r="C1987" i="24"/>
  <c r="F1986" i="24"/>
  <c r="C1986" i="24"/>
  <c r="C1982" i="24"/>
  <c r="C1981" i="24"/>
  <c r="C1980" i="24"/>
  <c r="C1979" i="24"/>
  <c r="C1978" i="24"/>
  <c r="C1977" i="24"/>
  <c r="F1976" i="24"/>
  <c r="C1976" i="24"/>
  <c r="F1975" i="24"/>
  <c r="C1975" i="24"/>
  <c r="F1974" i="24"/>
  <c r="C1974" i="24"/>
  <c r="F1973" i="24"/>
  <c r="C1973" i="24"/>
  <c r="F1972" i="24"/>
  <c r="C1972" i="24"/>
  <c r="F1971" i="24"/>
  <c r="C1971" i="24"/>
  <c r="C1967" i="24"/>
  <c r="C1966" i="24"/>
  <c r="C1965" i="24"/>
  <c r="C1964" i="24"/>
  <c r="C1963" i="24"/>
  <c r="C1962" i="24"/>
  <c r="F1961" i="24"/>
  <c r="C1961" i="24"/>
  <c r="F1960" i="24"/>
  <c r="C1960" i="24"/>
  <c r="F1959" i="24"/>
  <c r="C1959" i="24"/>
  <c r="F1958" i="24"/>
  <c r="C1958" i="24"/>
  <c r="F1957" i="24"/>
  <c r="C1957" i="24"/>
  <c r="F1956" i="24"/>
  <c r="C1956" i="24"/>
  <c r="C1952" i="24"/>
  <c r="C1951" i="24"/>
  <c r="C1950" i="24"/>
  <c r="C1949" i="24"/>
  <c r="C1948" i="24"/>
  <c r="C1947" i="24"/>
  <c r="F1946" i="24"/>
  <c r="C1946" i="24"/>
  <c r="F1945" i="24"/>
  <c r="C1945" i="24"/>
  <c r="F1944" i="24"/>
  <c r="C1944" i="24"/>
  <c r="F1943" i="24"/>
  <c r="C1943" i="24"/>
  <c r="F1942" i="24"/>
  <c r="C1942" i="24"/>
  <c r="F1941" i="24"/>
  <c r="C1941" i="24"/>
  <c r="C1937" i="24"/>
  <c r="C1936" i="24"/>
  <c r="C1935" i="24"/>
  <c r="C1934" i="24"/>
  <c r="C1933" i="24"/>
  <c r="C1932" i="24"/>
  <c r="F1931" i="24"/>
  <c r="C1931" i="24"/>
  <c r="F1930" i="24"/>
  <c r="C1930" i="24"/>
  <c r="F1929" i="24"/>
  <c r="C1929" i="24"/>
  <c r="F1928" i="24"/>
  <c r="C1928" i="24"/>
  <c r="F1927" i="24"/>
  <c r="C1927" i="24"/>
  <c r="F1926" i="24"/>
  <c r="C1926" i="24"/>
  <c r="C1922" i="24"/>
  <c r="C1921" i="24"/>
  <c r="C1920" i="24"/>
  <c r="C1919" i="24"/>
  <c r="C1918" i="24"/>
  <c r="C1917" i="24"/>
  <c r="F1916" i="24"/>
  <c r="C1916" i="24"/>
  <c r="F1915" i="24"/>
  <c r="C1915" i="24"/>
  <c r="F1914" i="24"/>
  <c r="C1914" i="24"/>
  <c r="F1913" i="24"/>
  <c r="C1913" i="24"/>
  <c r="F1912" i="24"/>
  <c r="C1912" i="24"/>
  <c r="F1911" i="24"/>
  <c r="C1911" i="24"/>
  <c r="C1907" i="24"/>
  <c r="C1906" i="24"/>
  <c r="C1905" i="24"/>
  <c r="C1904" i="24"/>
  <c r="C1903" i="24"/>
  <c r="C1902" i="24"/>
  <c r="F1901" i="24"/>
  <c r="C1901" i="24"/>
  <c r="F1900" i="24"/>
  <c r="C1900" i="24"/>
  <c r="F1899" i="24"/>
  <c r="C1899" i="24"/>
  <c r="F1898" i="24"/>
  <c r="C1898" i="24"/>
  <c r="F1897" i="24"/>
  <c r="C1897" i="24"/>
  <c r="F1896" i="24"/>
  <c r="C1896" i="24"/>
  <c r="C1892" i="24"/>
  <c r="C1891" i="24"/>
  <c r="C1890" i="24"/>
  <c r="C1889" i="24"/>
  <c r="C1888" i="24"/>
  <c r="C1887" i="24"/>
  <c r="F1886" i="24"/>
  <c r="C1886" i="24"/>
  <c r="F1885" i="24"/>
  <c r="C1885" i="24"/>
  <c r="F1884" i="24"/>
  <c r="C1884" i="24"/>
  <c r="F1883" i="24"/>
  <c r="C1883" i="24"/>
  <c r="F1882" i="24"/>
  <c r="C1882" i="24"/>
  <c r="F1881" i="24"/>
  <c r="C1881" i="24"/>
  <c r="C1877" i="24"/>
  <c r="C1876" i="24"/>
  <c r="C1875" i="24"/>
  <c r="C1874" i="24"/>
  <c r="C1873" i="24"/>
  <c r="AA1727" i="24"/>
  <c r="AB1727" i="24" s="1"/>
  <c r="AC1727" i="24" s="1"/>
  <c r="AD1727" i="24" s="1"/>
  <c r="W1727" i="24"/>
  <c r="V1727" i="24"/>
  <c r="Y1727" i="24" s="1"/>
  <c r="AA1726" i="24"/>
  <c r="AB1726" i="24" s="1"/>
  <c r="AC1726" i="24" s="1"/>
  <c r="AD1726" i="24" s="1"/>
  <c r="W1726" i="24"/>
  <c r="V1726" i="24"/>
  <c r="X1726" i="24" s="1"/>
  <c r="Z940" i="24" l="1"/>
  <c r="V943" i="24"/>
  <c r="Y943" i="24" s="1"/>
  <c r="AB941" i="24"/>
  <c r="AC941" i="24" s="1"/>
  <c r="AD941" i="24" s="1"/>
  <c r="AB942" i="24"/>
  <c r="AC942" i="24" s="1"/>
  <c r="AD942" i="24" s="1"/>
  <c r="Y941" i="24"/>
  <c r="X940" i="24"/>
  <c r="X942" i="24"/>
  <c r="AA943" i="24"/>
  <c r="Z2083" i="24"/>
  <c r="Z2084" i="24"/>
  <c r="Z2097" i="24"/>
  <c r="X2083" i="24"/>
  <c r="X2084" i="24"/>
  <c r="X2097" i="24"/>
  <c r="Z1727" i="24"/>
  <c r="Z1726" i="24"/>
  <c r="Y1726" i="24"/>
  <c r="X1727" i="24"/>
  <c r="X943" i="24" l="1"/>
  <c r="AB943" i="24"/>
  <c r="AC943" i="24" s="1"/>
  <c r="AD943" i="24" s="1"/>
  <c r="Z943" i="24"/>
  <c r="AB1870" i="24" l="1"/>
  <c r="AC1870" i="24" s="1"/>
  <c r="AD1870" i="24" s="1"/>
  <c r="Z1870" i="24"/>
  <c r="W1870" i="24"/>
  <c r="V1870" i="24"/>
  <c r="X1870" i="24" s="1"/>
  <c r="AB1872" i="24"/>
  <c r="AC1872" i="24" s="1"/>
  <c r="AD1872" i="24" s="1"/>
  <c r="Z1872" i="24"/>
  <c r="V1872" i="24"/>
  <c r="W1872" i="24" s="1"/>
  <c r="X1872" i="24" s="1"/>
  <c r="Y1872" i="24" s="1"/>
  <c r="C1872" i="24"/>
  <c r="F1871" i="24"/>
  <c r="C1871" i="24"/>
  <c r="F1870" i="24"/>
  <c r="C1870" i="24"/>
  <c r="F1869" i="24"/>
  <c r="C1869" i="24"/>
  <c r="F1868" i="24"/>
  <c r="C1868" i="24"/>
  <c r="F1867" i="24"/>
  <c r="C1867" i="24"/>
  <c r="F1866" i="24"/>
  <c r="C1866" i="24"/>
  <c r="C1865" i="24"/>
  <c r="C1864" i="24"/>
  <c r="C1863" i="24"/>
  <c r="C1862" i="24"/>
  <c r="C1861" i="24"/>
  <c r="C1860" i="24"/>
  <c r="AB1859" i="24"/>
  <c r="AC1859" i="24" s="1"/>
  <c r="AD1859" i="24" s="1"/>
  <c r="Z1859" i="24"/>
  <c r="W1859" i="24"/>
  <c r="V1859" i="24"/>
  <c r="Y1859" i="24" s="1"/>
  <c r="C1859" i="24"/>
  <c r="AB1858" i="24"/>
  <c r="AC1858" i="24" s="1"/>
  <c r="AD1858" i="24" s="1"/>
  <c r="Z1858" i="24"/>
  <c r="W1858" i="24"/>
  <c r="V1858" i="24"/>
  <c r="X1858" i="24" s="1"/>
  <c r="C1858" i="24"/>
  <c r="C1857" i="24"/>
  <c r="F1856" i="24"/>
  <c r="C1856" i="24"/>
  <c r="F1855" i="24"/>
  <c r="C1855" i="24"/>
  <c r="F1854" i="24"/>
  <c r="C1854" i="24"/>
  <c r="F1853" i="24"/>
  <c r="C1853" i="24"/>
  <c r="F1852" i="24"/>
  <c r="C1852" i="24"/>
  <c r="F1851" i="24"/>
  <c r="C1851" i="24"/>
  <c r="C1847" i="24"/>
  <c r="C1846" i="24"/>
  <c r="C1845" i="24"/>
  <c r="C1844" i="24"/>
  <c r="C1843" i="24"/>
  <c r="C1842" i="24"/>
  <c r="F1841" i="24"/>
  <c r="C1841" i="24"/>
  <c r="F1840" i="24"/>
  <c r="C1840" i="24"/>
  <c r="F1839" i="24"/>
  <c r="C1839" i="24"/>
  <c r="F1838" i="24"/>
  <c r="C1838" i="24"/>
  <c r="F1837" i="24"/>
  <c r="C1837" i="24"/>
  <c r="F1836" i="24"/>
  <c r="C1836" i="24"/>
  <c r="C1832" i="24"/>
  <c r="C1831" i="24"/>
  <c r="C1830" i="24"/>
  <c r="C1829" i="24"/>
  <c r="C1828" i="24"/>
  <c r="C1827" i="24"/>
  <c r="F1826" i="24"/>
  <c r="C1826" i="24"/>
  <c r="F1825" i="24"/>
  <c r="C1825" i="24"/>
  <c r="F1824" i="24"/>
  <c r="C1824" i="24"/>
  <c r="F1823" i="24"/>
  <c r="C1823" i="24"/>
  <c r="F1822" i="24"/>
  <c r="C1822" i="24"/>
  <c r="F1821" i="24"/>
  <c r="C1821" i="24"/>
  <c r="C1817" i="24"/>
  <c r="C1816" i="24"/>
  <c r="C1815" i="24"/>
  <c r="C1814" i="24"/>
  <c r="C1813" i="24"/>
  <c r="C1812" i="24"/>
  <c r="F1811" i="24"/>
  <c r="C1811" i="24"/>
  <c r="F1810" i="24"/>
  <c r="C1810" i="24"/>
  <c r="F1809" i="24"/>
  <c r="C1809" i="24"/>
  <c r="F1808" i="24"/>
  <c r="C1808" i="24"/>
  <c r="F1807" i="24"/>
  <c r="C1807" i="24"/>
  <c r="F1806" i="24"/>
  <c r="C1806" i="24"/>
  <c r="C1802" i="24"/>
  <c r="C1801" i="24"/>
  <c r="C1800" i="24"/>
  <c r="C1799" i="24"/>
  <c r="C1798" i="24"/>
  <c r="C1797" i="24"/>
  <c r="F1796" i="24"/>
  <c r="C1796" i="24"/>
  <c r="F1795" i="24"/>
  <c r="C1795" i="24"/>
  <c r="F1794" i="24"/>
  <c r="C1794" i="24"/>
  <c r="F1793" i="24"/>
  <c r="C1793" i="24"/>
  <c r="F1792" i="24"/>
  <c r="C1792" i="24"/>
  <c r="F1791" i="24"/>
  <c r="C1791" i="24"/>
  <c r="C1787" i="24"/>
  <c r="C1786" i="24"/>
  <c r="C1785" i="24"/>
  <c r="C1784" i="24"/>
  <c r="C1783" i="24"/>
  <c r="C1782" i="24"/>
  <c r="F1781" i="24"/>
  <c r="C1781" i="24"/>
  <c r="F1780" i="24"/>
  <c r="C1780" i="24"/>
  <c r="F1779" i="24"/>
  <c r="C1779" i="24"/>
  <c r="F1778" i="24"/>
  <c r="C1778" i="24"/>
  <c r="F1777" i="24"/>
  <c r="C1777" i="24"/>
  <c r="F1776" i="24"/>
  <c r="C1776" i="24"/>
  <c r="C1772" i="24"/>
  <c r="C1771" i="24"/>
  <c r="C1770" i="24"/>
  <c r="C1769" i="24"/>
  <c r="C1768" i="24"/>
  <c r="C1767" i="24"/>
  <c r="F1766" i="24"/>
  <c r="C1766" i="24"/>
  <c r="F1765" i="24"/>
  <c r="C1765" i="24"/>
  <c r="F1764" i="24"/>
  <c r="C1764" i="24"/>
  <c r="F1763" i="24"/>
  <c r="C1763" i="24"/>
  <c r="F1762" i="24"/>
  <c r="C1762" i="24"/>
  <c r="F1761" i="24"/>
  <c r="C1761" i="24"/>
  <c r="C1757" i="24"/>
  <c r="C1756" i="24"/>
  <c r="C1755" i="24"/>
  <c r="C1754" i="24"/>
  <c r="C1753" i="24"/>
  <c r="C1752" i="24"/>
  <c r="F1751" i="24"/>
  <c r="C1751" i="24"/>
  <c r="F1750" i="24"/>
  <c r="C1750" i="24"/>
  <c r="F1749" i="24"/>
  <c r="C1749" i="24"/>
  <c r="F1748" i="24"/>
  <c r="C1748" i="24"/>
  <c r="F1747" i="24"/>
  <c r="C1747" i="24"/>
  <c r="F1746" i="24"/>
  <c r="C1746" i="24"/>
  <c r="C1745" i="24"/>
  <c r="C1744" i="24"/>
  <c r="C1743" i="24"/>
  <c r="C1742" i="24"/>
  <c r="C1741" i="24"/>
  <c r="C1740" i="24"/>
  <c r="C1739" i="24"/>
  <c r="C1738" i="24"/>
  <c r="C1737" i="24"/>
  <c r="C1160" i="24"/>
  <c r="C1159"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70" i="24" l="1"/>
  <c r="Y1858" i="24"/>
  <c r="X1859"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8" i="24" l="1"/>
  <c r="C1147" i="24"/>
  <c r="C1146" i="24"/>
  <c r="C1145"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U983" i="24"/>
  <c r="W983" i="24" s="1"/>
  <c r="C983" i="24"/>
  <c r="AA982" i="24"/>
  <c r="AA983" i="24" s="1"/>
  <c r="W982" i="24"/>
  <c r="V982" i="24"/>
  <c r="X982" i="24" s="1"/>
  <c r="C982" i="24"/>
  <c r="AA981" i="24"/>
  <c r="AB981" i="24" s="1"/>
  <c r="AC981" i="24" s="1"/>
  <c r="AD981" i="24" s="1"/>
  <c r="W981" i="24"/>
  <c r="V981" i="24"/>
  <c r="X981" i="24" s="1"/>
  <c r="C981" i="24"/>
  <c r="AA980" i="24"/>
  <c r="AB980" i="24" s="1"/>
  <c r="AC980" i="24" s="1"/>
  <c r="AD980" i="24" s="1"/>
  <c r="W980" i="24"/>
  <c r="V980" i="24"/>
  <c r="X980" i="24" s="1"/>
  <c r="C980"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36" i="24"/>
  <c r="Z1736" i="24" s="1"/>
  <c r="AA1725" i="24"/>
  <c r="AB1725" i="24" s="1"/>
  <c r="AC1725" i="24" s="1"/>
  <c r="AD1725" i="24" s="1"/>
  <c r="AA1724" i="24"/>
  <c r="AB1724" i="24" s="1"/>
  <c r="AC1724" i="24" s="1"/>
  <c r="AD1724" i="24" s="1"/>
  <c r="AA1723" i="24"/>
  <c r="Z1723" i="24" s="1"/>
  <c r="AA1722" i="24"/>
  <c r="AB1722" i="24" s="1"/>
  <c r="AC1722" i="24" s="1"/>
  <c r="AD1722" i="24" s="1"/>
  <c r="W1725" i="24"/>
  <c r="V1725" i="24"/>
  <c r="Y1725" i="24" s="1"/>
  <c r="W1736" i="24"/>
  <c r="C1736" i="24"/>
  <c r="F1735" i="24"/>
  <c r="C1735" i="24"/>
  <c r="F1734" i="24"/>
  <c r="C1734" i="24"/>
  <c r="F1733" i="24"/>
  <c r="C1733" i="24"/>
  <c r="F1732" i="24"/>
  <c r="C1732" i="24"/>
  <c r="F1731" i="24"/>
  <c r="C1731" i="24"/>
  <c r="F1730" i="24"/>
  <c r="C1730" i="24"/>
  <c r="C1729" i="24"/>
  <c r="C1728" i="24"/>
  <c r="C1727" i="24"/>
  <c r="C1726" i="24"/>
  <c r="C1725" i="24"/>
  <c r="W1724" i="24"/>
  <c r="C1724" i="24"/>
  <c r="C1723" i="24"/>
  <c r="V1722" i="24"/>
  <c r="C1722" i="24"/>
  <c r="Z958" i="24" l="1"/>
  <c r="Z956" i="24"/>
  <c r="Z980" i="24"/>
  <c r="Z961" i="24"/>
  <c r="Y980" i="24"/>
  <c r="Z982" i="24"/>
  <c r="AA959" i="24"/>
  <c r="AB959" i="24" s="1"/>
  <c r="AC959" i="24" s="1"/>
  <c r="AD959" i="24" s="1"/>
  <c r="AB983" i="24"/>
  <c r="AC983" i="24" s="1"/>
  <c r="AD983" i="24" s="1"/>
  <c r="Z983" i="24"/>
  <c r="Y981" i="24"/>
  <c r="Z981" i="24"/>
  <c r="Y982" i="24"/>
  <c r="X957" i="24"/>
  <c r="AB982" i="24"/>
  <c r="AC982" i="24" s="1"/>
  <c r="AD982" i="24" s="1"/>
  <c r="Z960" i="24"/>
  <c r="Y960" i="24"/>
  <c r="V983"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36" i="24"/>
  <c r="AC1736" i="24" s="1"/>
  <c r="AD1736" i="24" s="1"/>
  <c r="Z1725" i="24"/>
  <c r="X1725" i="24"/>
  <c r="W1723" i="24"/>
  <c r="V1723" i="24"/>
  <c r="Y1722" i="24"/>
  <c r="X1722" i="24"/>
  <c r="V1724" i="24"/>
  <c r="Z1724" i="24"/>
  <c r="W1722" i="24"/>
  <c r="AB1723" i="24"/>
  <c r="AC1723" i="24" s="1"/>
  <c r="AD1723" i="24" s="1"/>
  <c r="Z1722" i="24"/>
  <c r="V1736" i="24"/>
  <c r="AB971" i="24" l="1"/>
  <c r="AC971" i="24" s="1"/>
  <c r="AD971" i="24" s="1"/>
  <c r="Z959" i="24"/>
  <c r="Y983" i="24"/>
  <c r="X983"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23" i="24"/>
  <c r="X1723" i="24"/>
  <c r="Y1736" i="24"/>
  <c r="X1736" i="24"/>
  <c r="Y1724" i="24"/>
  <c r="X1724" i="24"/>
  <c r="C1315" i="24" l="1"/>
  <c r="C1314" i="24"/>
  <c r="C1313" i="24"/>
  <c r="C1312" i="24"/>
  <c r="C1311" i="24"/>
  <c r="C1310" i="24"/>
  <c r="C1309" i="24"/>
  <c r="C1308" i="24"/>
  <c r="V922" i="24"/>
  <c r="V921" i="24" l="1"/>
  <c r="V920" i="24"/>
  <c r="V1692" i="24"/>
  <c r="V1694" i="24"/>
  <c r="V1698" i="24"/>
  <c r="V1699" i="24"/>
  <c r="V1701" i="24"/>
  <c r="V1702" i="24"/>
  <c r="V1703" i="24"/>
  <c r="V1704" i="24"/>
  <c r="V1706" i="24"/>
  <c r="C1675" i="24"/>
  <c r="F1674" i="24"/>
  <c r="C1674" i="24"/>
  <c r="F1660" i="24"/>
  <c r="C1660" i="24"/>
  <c r="F1659" i="24"/>
  <c r="C1659" i="24"/>
  <c r="F1645" i="24"/>
  <c r="C1645" i="24"/>
  <c r="F1644" i="24"/>
  <c r="C1644" i="24"/>
  <c r="F1630" i="24"/>
  <c r="C1630" i="24"/>
  <c r="F1629" i="24"/>
  <c r="C1629" i="24"/>
  <c r="F1615" i="24"/>
  <c r="C1615" i="24"/>
  <c r="F1614" i="24"/>
  <c r="C1614" i="24"/>
  <c r="F1600" i="24"/>
  <c r="C1600" i="24"/>
  <c r="F1599" i="24"/>
  <c r="C1599" i="24"/>
  <c r="F1585" i="24"/>
  <c r="C1585" i="24"/>
  <c r="F1584" i="24"/>
  <c r="C1584" i="24"/>
  <c r="F1570" i="24"/>
  <c r="C1570" i="24"/>
  <c r="F1569" i="24"/>
  <c r="C1569"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4" i="24"/>
  <c r="F1345" i="24"/>
  <c r="C1345" i="24"/>
  <c r="C1344" i="24"/>
  <c r="F1330" i="24"/>
  <c r="F1329" i="24"/>
  <c r="F1328" i="24"/>
  <c r="F1343" i="24"/>
  <c r="F1326" i="24"/>
  <c r="F1327" i="24"/>
  <c r="C1330" i="24"/>
  <c r="C1329" i="24"/>
  <c r="C1690" i="24"/>
  <c r="C1689" i="24"/>
  <c r="C1705" i="24"/>
  <c r="C1704" i="24"/>
  <c r="C1720" i="24"/>
  <c r="C1719" i="24"/>
  <c r="V923" i="24"/>
  <c r="C1088" i="24"/>
  <c r="C1087" i="24"/>
  <c r="C1086" i="24"/>
  <c r="C1085" i="24"/>
  <c r="AB923" i="24"/>
  <c r="AC923" i="24" s="1"/>
  <c r="AD923" i="24" s="1"/>
  <c r="Z923" i="24"/>
  <c r="C923" i="24"/>
  <c r="AB922" i="24"/>
  <c r="AC922" i="24" s="1"/>
  <c r="AD922" i="24" s="1"/>
  <c r="Z922" i="24"/>
  <c r="C922" i="24"/>
  <c r="AB921" i="24"/>
  <c r="AC921" i="24" s="1"/>
  <c r="AD921" i="24" s="1"/>
  <c r="Z921" i="24"/>
  <c r="C921" i="24"/>
  <c r="AB920" i="24"/>
  <c r="AC920" i="24" s="1"/>
  <c r="AD920" i="24" s="1"/>
  <c r="Z920" i="24"/>
  <c r="C920" i="24"/>
  <c r="V1721" i="24"/>
  <c r="V1718" i="24"/>
  <c r="V1717" i="24"/>
  <c r="V1716" i="24"/>
  <c r="V1715" i="24"/>
  <c r="V1713" i="24"/>
  <c r="V1709" i="24"/>
  <c r="V1708" i="24"/>
  <c r="V1707" i="24"/>
  <c r="AB1706" i="24"/>
  <c r="AC1706" i="24" s="1"/>
  <c r="AD1706" i="24" s="1"/>
  <c r="Z1706" i="24"/>
  <c r="C1706" i="24"/>
  <c r="AB1703" i="24"/>
  <c r="AC1703" i="24" s="1"/>
  <c r="AD1703" i="24" s="1"/>
  <c r="Z1703" i="24"/>
  <c r="F1703" i="24"/>
  <c r="C1703" i="24"/>
  <c r="AB1702" i="24"/>
  <c r="AC1702" i="24" s="1"/>
  <c r="AD1702" i="24" s="1"/>
  <c r="Z1702" i="24"/>
  <c r="F1702" i="24"/>
  <c r="C1702" i="24"/>
  <c r="AB1701" i="24"/>
  <c r="AC1701" i="24" s="1"/>
  <c r="AD1701" i="24" s="1"/>
  <c r="Z1701" i="24"/>
  <c r="F1701" i="24"/>
  <c r="C1701" i="24"/>
  <c r="F1700" i="24"/>
  <c r="C1700" i="24"/>
  <c r="C1699" i="24"/>
  <c r="AB1698" i="24"/>
  <c r="AC1698" i="24" s="1"/>
  <c r="AD1698" i="24" s="1"/>
  <c r="Z1698" i="24"/>
  <c r="C1698" i="24"/>
  <c r="C1695" i="24"/>
  <c r="AB1694" i="24"/>
  <c r="AC1694" i="24" s="1"/>
  <c r="AD1694" i="24" s="1"/>
  <c r="Z1694" i="24"/>
  <c r="C1694" i="24"/>
  <c r="C1697" i="24"/>
  <c r="C1696" i="24"/>
  <c r="C1693" i="24"/>
  <c r="AB1692" i="24"/>
  <c r="AC1692" i="24" s="1"/>
  <c r="AD1692" i="24" s="1"/>
  <c r="Z1692" i="24"/>
  <c r="C1692" i="24"/>
  <c r="C2098" i="24" l="1"/>
  <c r="C2099" i="24"/>
  <c r="C2100" i="24"/>
  <c r="C2101" i="24"/>
  <c r="C2102" i="24"/>
  <c r="C2103" i="24"/>
  <c r="C2104" i="24"/>
  <c r="C2105" i="24"/>
  <c r="C2106" i="24"/>
  <c r="C2107" i="24"/>
  <c r="C2108" i="24"/>
  <c r="C2109" i="24"/>
  <c r="C2110"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Y922" i="24" s="1"/>
  <c r="W926" i="24"/>
  <c r="W922" i="24" s="1"/>
  <c r="Z926" i="24"/>
  <c r="AB926" i="24"/>
  <c r="AC926" i="24" s="1"/>
  <c r="AD926" i="24" s="1"/>
  <c r="C927" i="24"/>
  <c r="V927" i="24"/>
  <c r="X927" i="24" s="1"/>
  <c r="X923" i="24" s="1"/>
  <c r="W927" i="24"/>
  <c r="W923" i="24" s="1"/>
  <c r="Z927" i="24"/>
  <c r="AB927" i="24"/>
  <c r="AC927" i="24" s="1"/>
  <c r="AD927" i="24" s="1"/>
  <c r="C984" i="24"/>
  <c r="C985" i="24"/>
  <c r="C986" i="24"/>
  <c r="U986" i="24"/>
  <c r="V986" i="24"/>
  <c r="W986" i="24"/>
  <c r="X986" i="24"/>
  <c r="Y986" i="24"/>
  <c r="Z986" i="24"/>
  <c r="AA986" i="24"/>
  <c r="AB986" i="24"/>
  <c r="AC986" i="24"/>
  <c r="AD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U1062" i="24"/>
  <c r="V1062" i="24"/>
  <c r="W1062" i="24"/>
  <c r="X1062" i="24"/>
  <c r="Y1062" i="24"/>
  <c r="Z1062" i="24"/>
  <c r="AA1062" i="24"/>
  <c r="AB1062" i="24"/>
  <c r="AC1062" i="24"/>
  <c r="AD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C1066" i="24"/>
  <c r="C1067" i="24"/>
  <c r="C1068" i="24"/>
  <c r="C1069" i="24"/>
  <c r="C1070" i="24"/>
  <c r="C1071" i="24"/>
  <c r="C1072" i="24"/>
  <c r="C1073" i="24"/>
  <c r="C1074" i="24"/>
  <c r="C1075" i="24"/>
  <c r="C1076" i="24"/>
  <c r="C1077" i="24"/>
  <c r="C1078" i="24"/>
  <c r="C1079" i="24"/>
  <c r="C1080" i="24"/>
  <c r="C1081" i="24"/>
  <c r="C1082" i="24"/>
  <c r="C1083" i="24"/>
  <c r="C1084" i="24"/>
  <c r="C1089" i="24"/>
  <c r="C1090" i="24"/>
  <c r="C1091" i="24"/>
  <c r="C1092" i="24"/>
  <c r="C1149" i="24"/>
  <c r="C1150" i="24"/>
  <c r="U1150" i="24"/>
  <c r="V1150" i="24"/>
  <c r="W1150" i="24"/>
  <c r="X1150" i="24"/>
  <c r="Y1150" i="24"/>
  <c r="Z1150" i="24"/>
  <c r="AA1150" i="24"/>
  <c r="AB1150" i="24"/>
  <c r="AC1150" i="24"/>
  <c r="AD1150" i="24"/>
  <c r="C1151" i="24"/>
  <c r="C1152" i="24"/>
  <c r="Z1152" i="24"/>
  <c r="AA1152" i="24" s="1"/>
  <c r="AB1152" i="24" s="1"/>
  <c r="AC1152" i="24" s="1"/>
  <c r="AD1152" i="24" s="1"/>
  <c r="C1153" i="24"/>
  <c r="Z1153" i="24"/>
  <c r="AA1153" i="24" s="1"/>
  <c r="AB1153" i="24" s="1"/>
  <c r="AC1153" i="24" s="1"/>
  <c r="AD1153" i="24" s="1"/>
  <c r="C1154" i="24"/>
  <c r="Z1154" i="24"/>
  <c r="AA1154" i="24" s="1"/>
  <c r="AB1154" i="24" s="1"/>
  <c r="AC1154" i="24" s="1"/>
  <c r="AD1154" i="24" s="1"/>
  <c r="C1155" i="24"/>
  <c r="C1156" i="24"/>
  <c r="C1157" i="24"/>
  <c r="C1158"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Z1252" i="24"/>
  <c r="AA1252" i="24" s="1"/>
  <c r="AB1252" i="24" s="1"/>
  <c r="AC1252" i="24" s="1"/>
  <c r="AD1252" i="24" s="1"/>
  <c r="C1253" i="24"/>
  <c r="AH1253" i="24"/>
  <c r="AI1253" i="24"/>
  <c r="C1254" i="24"/>
  <c r="U1254" i="24"/>
  <c r="U1253" i="24" s="1"/>
  <c r="V1254" i="24"/>
  <c r="V1253" i="24" s="1"/>
  <c r="W1254" i="24"/>
  <c r="W1253" i="24" s="1"/>
  <c r="X1254" i="24"/>
  <c r="X1253" i="24" s="1"/>
  <c r="Y1254" i="24"/>
  <c r="Z1254" i="24" s="1"/>
  <c r="C1255" i="24"/>
  <c r="U1255" i="24"/>
  <c r="V1255" i="24"/>
  <c r="W1255" i="24"/>
  <c r="X1255" i="24"/>
  <c r="Y1255" i="24"/>
  <c r="Z1255" i="24" s="1"/>
  <c r="AA1255" i="24" s="1"/>
  <c r="AB1255" i="24" s="1"/>
  <c r="AC1255" i="24" s="1"/>
  <c r="AD1255" i="24" s="1"/>
  <c r="C1256" i="24"/>
  <c r="C1257" i="24"/>
  <c r="C1258" i="24"/>
  <c r="C1259" i="24"/>
  <c r="Z1259" i="24"/>
  <c r="AA1259" i="24" s="1"/>
  <c r="AB1259" i="24" s="1"/>
  <c r="AC1259" i="24" s="1"/>
  <c r="AD1259" i="24" s="1"/>
  <c r="C1260" i="24"/>
  <c r="Z1260" i="24"/>
  <c r="AA1260" i="24" s="1"/>
  <c r="AB1260" i="24" s="1"/>
  <c r="AC1260" i="24" s="1"/>
  <c r="AD1260" i="24" s="1"/>
  <c r="C1261" i="24"/>
  <c r="AH1261" i="24"/>
  <c r="AI1261" i="24"/>
  <c r="C1262" i="24"/>
  <c r="U1262" i="24"/>
  <c r="U1261" i="24" s="1"/>
  <c r="V1262" i="24"/>
  <c r="V1261" i="24" s="1"/>
  <c r="W1262" i="24"/>
  <c r="W1261" i="24" s="1"/>
  <c r="X1262" i="24"/>
  <c r="X1261" i="24" s="1"/>
  <c r="Y1262" i="24"/>
  <c r="Y1261" i="24" s="1"/>
  <c r="C1263" i="24"/>
  <c r="U1263" i="24"/>
  <c r="V1263" i="24"/>
  <c r="W1263" i="24"/>
  <c r="X1263" i="24"/>
  <c r="Y1263" i="24"/>
  <c r="Z1263" i="24" s="1"/>
  <c r="AA1263" i="24" s="1"/>
  <c r="AB1263" i="24" s="1"/>
  <c r="AC1263" i="24" s="1"/>
  <c r="AD1263" i="24" s="1"/>
  <c r="C1264" i="24"/>
  <c r="C1265" i="24"/>
  <c r="C1266" i="24"/>
  <c r="C1267" i="24"/>
  <c r="Z1267" i="24"/>
  <c r="AA1267" i="24" s="1"/>
  <c r="AB1267" i="24" s="1"/>
  <c r="AC1267" i="24" s="1"/>
  <c r="AD1267" i="24" s="1"/>
  <c r="C1268" i="24"/>
  <c r="C1269" i="24"/>
  <c r="C1270" i="24"/>
  <c r="C1271" i="24"/>
  <c r="C1272" i="24"/>
  <c r="C1273" i="24"/>
  <c r="C1274" i="24"/>
  <c r="C1275" i="24"/>
  <c r="C1276" i="24"/>
  <c r="C1277" i="24"/>
  <c r="C1278" i="24"/>
  <c r="C1279" i="24"/>
  <c r="C1280" i="24"/>
  <c r="C1281" i="24"/>
  <c r="C1282" i="24"/>
  <c r="C1283" i="24"/>
  <c r="C1284" i="24"/>
  <c r="V1284" i="24"/>
  <c r="Y1284" i="24" s="1"/>
  <c r="W1284" i="24"/>
  <c r="Z1284" i="24"/>
  <c r="AB1284" i="24"/>
  <c r="AC1284" i="24" s="1"/>
  <c r="AD1284" i="24" s="1"/>
  <c r="C1285" i="24"/>
  <c r="U1285" i="24"/>
  <c r="AA1285" i="24"/>
  <c r="AH1285" i="24"/>
  <c r="AI1285" i="24"/>
  <c r="C1286" i="24"/>
  <c r="V1286" i="24"/>
  <c r="V1285" i="24" s="1"/>
  <c r="W1286" i="24"/>
  <c r="W1285" i="24" s="1"/>
  <c r="Z1286" i="24"/>
  <c r="Z1285" i="24" s="1"/>
  <c r="AB1286" i="24"/>
  <c r="AB1285" i="24" s="1"/>
  <c r="C1287" i="24"/>
  <c r="V1287" i="24"/>
  <c r="Y1287" i="24" s="1"/>
  <c r="W1287" i="24"/>
  <c r="Z1287" i="24"/>
  <c r="AB1287" i="24"/>
  <c r="AC1287" i="24" s="1"/>
  <c r="AD1287" i="24" s="1"/>
  <c r="C1288" i="24"/>
  <c r="C1289" i="24"/>
  <c r="C1290" i="24"/>
  <c r="C1291" i="24"/>
  <c r="Z1291" i="24"/>
  <c r="AB1291" i="24"/>
  <c r="AC1291" i="24" s="1"/>
  <c r="AD1291" i="24" s="1"/>
  <c r="C1292" i="24"/>
  <c r="Z1292" i="24"/>
  <c r="AB1292" i="24"/>
  <c r="AC1292" i="24" s="1"/>
  <c r="AD1292" i="24" s="1"/>
  <c r="C1293" i="24"/>
  <c r="AH1293" i="24"/>
  <c r="AI1293" i="24"/>
  <c r="C1294" i="24"/>
  <c r="U1294" i="24"/>
  <c r="U1293" i="24" s="1"/>
  <c r="V1294" i="24"/>
  <c r="V1293" i="24" s="1"/>
  <c r="W1294" i="24"/>
  <c r="W1293" i="24" s="1"/>
  <c r="X1294" i="24"/>
  <c r="X1293" i="24" s="1"/>
  <c r="Y1294" i="24"/>
  <c r="Y1293" i="24" s="1"/>
  <c r="AA1294" i="24"/>
  <c r="Z1294" i="24" s="1"/>
  <c r="Z1293" i="24" s="1"/>
  <c r="C1295" i="24"/>
  <c r="U1295" i="24"/>
  <c r="V1295" i="24"/>
  <c r="W1295" i="24"/>
  <c r="X1295" i="24"/>
  <c r="Y1295" i="24"/>
  <c r="AA1295" i="24"/>
  <c r="Z1295" i="24" s="1"/>
  <c r="C1296" i="24"/>
  <c r="U1296" i="24"/>
  <c r="V1296" i="24"/>
  <c r="W1296" i="24"/>
  <c r="X1296" i="24"/>
  <c r="Y1296" i="24"/>
  <c r="AA1296" i="24"/>
  <c r="AB1296" i="24" s="1"/>
  <c r="AC1296" i="24" s="1"/>
  <c r="AD1296" i="24" s="1"/>
  <c r="C1297" i="24"/>
  <c r="Z1297" i="24"/>
  <c r="AB1297" i="24"/>
  <c r="AC1297" i="24" s="1"/>
  <c r="AD1297" i="24" s="1"/>
  <c r="C1298" i="24"/>
  <c r="Z1298" i="24"/>
  <c r="AB1298" i="24"/>
  <c r="AC1298" i="24" s="1"/>
  <c r="AD1298" i="24" s="1"/>
  <c r="C1299" i="24"/>
  <c r="AA1299" i="24"/>
  <c r="Z1299" i="24" s="1"/>
  <c r="C1300" i="24"/>
  <c r="U1300" i="24"/>
  <c r="U1302" i="24" s="1"/>
  <c r="U1301" i="24" s="1"/>
  <c r="V1300" i="24"/>
  <c r="V1304" i="24" s="1"/>
  <c r="W1300" i="24"/>
  <c r="W1304" i="24" s="1"/>
  <c r="X1300" i="24"/>
  <c r="X1304" i="24" s="1"/>
  <c r="Y1300" i="24"/>
  <c r="Y1304" i="24" s="1"/>
  <c r="AA1300" i="24"/>
  <c r="AA1304" i="24" s="1"/>
  <c r="C1301" i="24"/>
  <c r="AH1301" i="24"/>
  <c r="AI1301" i="24"/>
  <c r="C1302" i="24"/>
  <c r="C1303" i="24"/>
  <c r="C1304" i="24"/>
  <c r="C1305" i="24"/>
  <c r="U1305" i="24"/>
  <c r="V1305" i="24"/>
  <c r="W1305" i="24"/>
  <c r="X1305" i="24"/>
  <c r="Y1305" i="24"/>
  <c r="AA1305" i="24"/>
  <c r="Z1305" i="24" s="1"/>
  <c r="C1306" i="24"/>
  <c r="U1306" i="24"/>
  <c r="V1306" i="24"/>
  <c r="W1306" i="24"/>
  <c r="X1306" i="24"/>
  <c r="Y1306" i="24"/>
  <c r="AA1306" i="24"/>
  <c r="Z1306" i="24" s="1"/>
  <c r="C1307" i="24"/>
  <c r="U1307" i="24"/>
  <c r="V1307" i="24"/>
  <c r="W1307" i="24"/>
  <c r="X1307" i="24"/>
  <c r="Y1307" i="24"/>
  <c r="AA1307" i="24"/>
  <c r="Z1307" i="24" s="1"/>
  <c r="C1316" i="24"/>
  <c r="C1317" i="24"/>
  <c r="C1318" i="24"/>
  <c r="C1319" i="24"/>
  <c r="C1320" i="24"/>
  <c r="C1321" i="24"/>
  <c r="C1322" i="24"/>
  <c r="C1323" i="24"/>
  <c r="C1324" i="24"/>
  <c r="C1325" i="24"/>
  <c r="F1325" i="24"/>
  <c r="C1326" i="24"/>
  <c r="C1327" i="24"/>
  <c r="C1328" i="24"/>
  <c r="C1331" i="24"/>
  <c r="C1332" i="24"/>
  <c r="C1333" i="24"/>
  <c r="C1334" i="24"/>
  <c r="C1335" i="24"/>
  <c r="C1336" i="24"/>
  <c r="C1340" i="24"/>
  <c r="F1340" i="24"/>
  <c r="C1341" i="24"/>
  <c r="F1341" i="24"/>
  <c r="C1342" i="24"/>
  <c r="F1342" i="24"/>
  <c r="C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V1437" i="24"/>
  <c r="X1437" i="24" s="1"/>
  <c r="W1437" i="24"/>
  <c r="Z1437" i="24"/>
  <c r="AB1437" i="24"/>
  <c r="AC1437" i="24" s="1"/>
  <c r="AD1437" i="24" s="1"/>
  <c r="C1438" i="24"/>
  <c r="V1438" i="24"/>
  <c r="X1438" i="24" s="1"/>
  <c r="W1438" i="24"/>
  <c r="Z1438" i="24"/>
  <c r="AB1438" i="24"/>
  <c r="AC1438" i="24" s="1"/>
  <c r="AD1438" i="24" s="1"/>
  <c r="C1439" i="24"/>
  <c r="V1439" i="24"/>
  <c r="X1439" i="24" s="1"/>
  <c r="W1439" i="24"/>
  <c r="Z1439" i="24"/>
  <c r="AB1439" i="24"/>
  <c r="AC1439" i="24" s="1"/>
  <c r="AD1439" i="24" s="1"/>
  <c r="C1440" i="24"/>
  <c r="C1441" i="24"/>
  <c r="U1441" i="24"/>
  <c r="W1441" i="24" s="1"/>
  <c r="Z1441" i="24"/>
  <c r="AB1441" i="24"/>
  <c r="AC1441" i="24" s="1"/>
  <c r="AD1441" i="24" s="1"/>
  <c r="C1442" i="24"/>
  <c r="U1442" i="24"/>
  <c r="W1442" i="24" s="1"/>
  <c r="Z1442" i="24"/>
  <c r="AB1442" i="24"/>
  <c r="AC1442" i="24" s="1"/>
  <c r="AD1442" i="24" s="1"/>
  <c r="C1443" i="24"/>
  <c r="C1444" i="24"/>
  <c r="C1445" i="24"/>
  <c r="F1445" i="24"/>
  <c r="C1446" i="24"/>
  <c r="F1446" i="24"/>
  <c r="C1447" i="24"/>
  <c r="F1447" i="24"/>
  <c r="C1448" i="24"/>
  <c r="F1448" i="24"/>
  <c r="C1451" i="24"/>
  <c r="V1451" i="24"/>
  <c r="Z1451" i="24"/>
  <c r="AB1451" i="24"/>
  <c r="AC1451" i="24" s="1"/>
  <c r="AD1451" i="24" s="1"/>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C1498" i="24"/>
  <c r="C1499" i="24"/>
  <c r="C1500" i="24"/>
  <c r="C1501" i="24"/>
  <c r="C1505" i="24"/>
  <c r="F1505" i="24"/>
  <c r="C1506" i="24"/>
  <c r="F1506" i="24"/>
  <c r="C1507" i="24"/>
  <c r="F1507" i="24"/>
  <c r="C1508" i="24"/>
  <c r="F1508" i="24"/>
  <c r="C1511" i="24"/>
  <c r="C1512" i="24"/>
  <c r="C1513" i="24"/>
  <c r="C1514" i="24"/>
  <c r="C1515" i="24"/>
  <c r="C1516" i="24"/>
  <c r="C1520" i="24"/>
  <c r="F1520" i="24"/>
  <c r="C1521" i="24"/>
  <c r="F1521" i="24"/>
  <c r="C1522" i="24"/>
  <c r="F1522" i="24"/>
  <c r="C1523" i="24"/>
  <c r="F1523" i="24"/>
  <c r="C1526" i="24"/>
  <c r="C1527" i="24"/>
  <c r="C1528" i="24"/>
  <c r="C1529" i="24"/>
  <c r="C1530" i="24"/>
  <c r="C1531" i="24"/>
  <c r="C1535" i="24"/>
  <c r="F1535" i="24"/>
  <c r="C1536" i="24"/>
  <c r="F1536" i="24"/>
  <c r="C1537" i="24"/>
  <c r="F1537" i="24"/>
  <c r="C1538" i="24"/>
  <c r="F1538" i="24"/>
  <c r="C1541" i="24"/>
  <c r="C1542" i="24"/>
  <c r="C1543" i="24"/>
  <c r="C1544" i="24"/>
  <c r="C1545" i="24"/>
  <c r="C1546" i="24"/>
  <c r="C1550" i="24"/>
  <c r="F1550" i="24"/>
  <c r="C1551" i="24"/>
  <c r="F1551" i="24"/>
  <c r="C1552" i="24"/>
  <c r="F1552" i="24"/>
  <c r="C1553" i="24"/>
  <c r="F1553" i="24"/>
  <c r="C1556" i="24"/>
  <c r="C1557" i="24"/>
  <c r="C1558" i="24"/>
  <c r="C1559" i="24"/>
  <c r="C1560" i="24"/>
  <c r="C1561" i="24"/>
  <c r="C1565" i="24"/>
  <c r="F1565" i="24"/>
  <c r="C1566" i="24"/>
  <c r="F1566" i="24"/>
  <c r="C1567" i="24"/>
  <c r="F1567" i="24"/>
  <c r="C1568" i="24"/>
  <c r="F1568" i="24"/>
  <c r="C1571" i="24"/>
  <c r="C1572" i="24"/>
  <c r="C1573" i="24"/>
  <c r="C1574" i="24"/>
  <c r="C1575" i="24"/>
  <c r="C1576" i="24"/>
  <c r="C1580" i="24"/>
  <c r="F1580" i="24"/>
  <c r="C1581" i="24"/>
  <c r="F1581" i="24"/>
  <c r="C1582" i="24"/>
  <c r="F1582" i="24"/>
  <c r="C1583" i="24"/>
  <c r="F1583" i="24"/>
  <c r="C1586" i="24"/>
  <c r="C1587" i="24"/>
  <c r="C1588" i="24"/>
  <c r="C1589" i="24"/>
  <c r="C1590" i="24"/>
  <c r="C1591" i="24"/>
  <c r="C1595" i="24"/>
  <c r="F1595" i="24"/>
  <c r="C1596" i="24"/>
  <c r="F1596" i="24"/>
  <c r="C1597" i="24"/>
  <c r="F1597" i="24"/>
  <c r="C1598" i="24"/>
  <c r="F1598" i="24"/>
  <c r="C1601" i="24"/>
  <c r="C1602" i="24"/>
  <c r="C1603" i="24"/>
  <c r="C1604" i="24"/>
  <c r="C1605" i="24"/>
  <c r="C1606" i="24"/>
  <c r="C1610" i="24"/>
  <c r="F1610" i="24"/>
  <c r="C1611" i="24"/>
  <c r="F1611" i="24"/>
  <c r="C1612" i="24"/>
  <c r="F1612" i="24"/>
  <c r="C1613" i="24"/>
  <c r="F1613" i="24"/>
  <c r="C1616" i="24"/>
  <c r="C1617" i="24"/>
  <c r="Z1617" i="24"/>
  <c r="AA1617" i="24" s="1"/>
  <c r="AB1617" i="24" s="1"/>
  <c r="AC1617" i="24" s="1"/>
  <c r="AD1617" i="24" s="1"/>
  <c r="C1618" i="24"/>
  <c r="Z1618" i="24"/>
  <c r="AA1618" i="24" s="1"/>
  <c r="AB1618" i="24" s="1"/>
  <c r="AC1618" i="24" s="1"/>
  <c r="AD1618" i="24" s="1"/>
  <c r="C1619" i="24"/>
  <c r="C1620" i="24"/>
  <c r="C1621" i="24"/>
  <c r="C1622" i="24"/>
  <c r="C1623" i="24"/>
  <c r="C1624" i="24"/>
  <c r="C1625" i="24"/>
  <c r="F1625" i="24"/>
  <c r="C1626" i="24"/>
  <c r="F1626" i="24"/>
  <c r="C1627" i="24"/>
  <c r="F1627" i="24"/>
  <c r="C1628" i="24"/>
  <c r="F1628" i="24"/>
  <c r="C1631" i="24"/>
  <c r="Z1631" i="24"/>
  <c r="AA1631" i="24" s="1"/>
  <c r="AB1631" i="24" s="1"/>
  <c r="AC1631" i="24" s="1"/>
  <c r="AD1631" i="24" s="1"/>
  <c r="C1632" i="24"/>
  <c r="C1633" i="24"/>
  <c r="C1634" i="24"/>
  <c r="C1635" i="24"/>
  <c r="C1636" i="24"/>
  <c r="C1640" i="24"/>
  <c r="F1640" i="24"/>
  <c r="C1641" i="24"/>
  <c r="F1641" i="24"/>
  <c r="C1642" i="24"/>
  <c r="F1642" i="24"/>
  <c r="C1643" i="24"/>
  <c r="F1643" i="24"/>
  <c r="C1646" i="24"/>
  <c r="C1647" i="24"/>
  <c r="V1647" i="24"/>
  <c r="X1647" i="24" s="1"/>
  <c r="W1647" i="24"/>
  <c r="C1648" i="24"/>
  <c r="V1648" i="24"/>
  <c r="X1648" i="24" s="1"/>
  <c r="W1648" i="24"/>
  <c r="C1649" i="24"/>
  <c r="C1650" i="24"/>
  <c r="C1651" i="24"/>
  <c r="C1652" i="24"/>
  <c r="C1653" i="24"/>
  <c r="C1654" i="24"/>
  <c r="C1655" i="24"/>
  <c r="F1655" i="24"/>
  <c r="C1656" i="24"/>
  <c r="F1656" i="24"/>
  <c r="C1657" i="24"/>
  <c r="F1657" i="24"/>
  <c r="C1658" i="24"/>
  <c r="F1658" i="24"/>
  <c r="C1661" i="24"/>
  <c r="V1661" i="24"/>
  <c r="Y1661" i="24" s="1"/>
  <c r="Z1661" i="24" s="1"/>
  <c r="AA1661" i="24" s="1"/>
  <c r="AB1661" i="24" s="1"/>
  <c r="AC1661" i="24" s="1"/>
  <c r="AD1661" i="24" s="1"/>
  <c r="W1661" i="24"/>
  <c r="C1662" i="24"/>
  <c r="AA1662" i="24"/>
  <c r="C1663" i="24"/>
  <c r="AA1663" i="24"/>
  <c r="Z1663" i="24" s="1"/>
  <c r="C1664" i="24"/>
  <c r="AA1664" i="24"/>
  <c r="U1664" i="24" s="1"/>
  <c r="C1665" i="24"/>
  <c r="C1666" i="24"/>
  <c r="C1667" i="24"/>
  <c r="C1668" i="24"/>
  <c r="C1669" i="24"/>
  <c r="C1670" i="24"/>
  <c r="F1670" i="24"/>
  <c r="C1671" i="24"/>
  <c r="F1671" i="24"/>
  <c r="C1672" i="24"/>
  <c r="F1672" i="24"/>
  <c r="C1673" i="24"/>
  <c r="F1673" i="24"/>
  <c r="C1676" i="24"/>
  <c r="AA1676" i="24"/>
  <c r="Z1676" i="24" s="1"/>
  <c r="C1677" i="24"/>
  <c r="V1677" i="24"/>
  <c r="X1677" i="24" s="1"/>
  <c r="W1677" i="24"/>
  <c r="Z1677" i="24"/>
  <c r="AB1677" i="24"/>
  <c r="AC1677" i="24" s="1"/>
  <c r="AD1677" i="24" s="1"/>
  <c r="C1678" i="24"/>
  <c r="V1678" i="24"/>
  <c r="X1678" i="24" s="1"/>
  <c r="W1678" i="24"/>
  <c r="Z1678" i="24"/>
  <c r="AB1678" i="24"/>
  <c r="AC1678" i="24" s="1"/>
  <c r="AD1678" i="24" s="1"/>
  <c r="C1681" i="24"/>
  <c r="V1681" i="24"/>
  <c r="X1681" i="24" s="1"/>
  <c r="W1681" i="24"/>
  <c r="Z1681" i="24"/>
  <c r="AB1681" i="24"/>
  <c r="AC1681" i="24" s="1"/>
  <c r="AD1681" i="24" s="1"/>
  <c r="C1682" i="24"/>
  <c r="U1682" i="24"/>
  <c r="V1682" i="24" s="1"/>
  <c r="X1682" i="24" s="1"/>
  <c r="AA1682" i="24"/>
  <c r="Z1682" i="24" s="1"/>
  <c r="C1679" i="24"/>
  <c r="V1679" i="24"/>
  <c r="X1679" i="24" s="1"/>
  <c r="W1679" i="24"/>
  <c r="Z1679" i="24"/>
  <c r="AB1679" i="24"/>
  <c r="AC1679" i="24" s="1"/>
  <c r="AD1679" i="24" s="1"/>
  <c r="C1680" i="24"/>
  <c r="C1683" i="24"/>
  <c r="V1683" i="24"/>
  <c r="X1683" i="24" s="1"/>
  <c r="W1683" i="24"/>
  <c r="Z1683" i="24"/>
  <c r="AB1683" i="24"/>
  <c r="AC1683" i="24" s="1"/>
  <c r="AD1683" i="24" s="1"/>
  <c r="C1684" i="24"/>
  <c r="C1685" i="24"/>
  <c r="F1685" i="24"/>
  <c r="C1686" i="24"/>
  <c r="F1686" i="24"/>
  <c r="C1687" i="24"/>
  <c r="F1687" i="24"/>
  <c r="C1688" i="24"/>
  <c r="F1688" i="24"/>
  <c r="C1691" i="24"/>
  <c r="V1691" i="24"/>
  <c r="Z1691" i="24"/>
  <c r="AB1691" i="24"/>
  <c r="AC1691" i="24" s="1"/>
  <c r="AD1691" i="24" s="1"/>
  <c r="C1707" i="24"/>
  <c r="X1707" i="24"/>
  <c r="X1692" i="24" s="1"/>
  <c r="W1707" i="24"/>
  <c r="W1692" i="24" s="1"/>
  <c r="Z1707" i="24"/>
  <c r="AB1707" i="24"/>
  <c r="AC1707" i="24" s="1"/>
  <c r="AD1707" i="24" s="1"/>
  <c r="C1708" i="24"/>
  <c r="X1708" i="24"/>
  <c r="X1693" i="24" s="1"/>
  <c r="W1708" i="24"/>
  <c r="W1693" i="24" s="1"/>
  <c r="Z1708" i="24"/>
  <c r="AB1708" i="24"/>
  <c r="AC1708" i="24" s="1"/>
  <c r="AD1708" i="24" s="1"/>
  <c r="C1711" i="24"/>
  <c r="C1712" i="24"/>
  <c r="C1709" i="24"/>
  <c r="Y1709" i="24"/>
  <c r="Y1694" i="24" s="1"/>
  <c r="W1709" i="24"/>
  <c r="W1694" i="24" s="1"/>
  <c r="Z1709" i="24"/>
  <c r="AB1709" i="24"/>
  <c r="AC1709" i="24" s="1"/>
  <c r="AD1709" i="24" s="1"/>
  <c r="C1710" i="24"/>
  <c r="C1713" i="24"/>
  <c r="X1713" i="24"/>
  <c r="X1698" i="24" s="1"/>
  <c r="W1713" i="24"/>
  <c r="W1698" i="24" s="1"/>
  <c r="Z1713" i="24"/>
  <c r="AB1713" i="24"/>
  <c r="AC1713" i="24" s="1"/>
  <c r="AD1713" i="24" s="1"/>
  <c r="C1714" i="24"/>
  <c r="C1715" i="24"/>
  <c r="X1715" i="24"/>
  <c r="X1700" i="24" s="1"/>
  <c r="W1715" i="24"/>
  <c r="W1700" i="24" s="1"/>
  <c r="Z1715" i="24"/>
  <c r="AB1715" i="24"/>
  <c r="AC1715" i="24" s="1"/>
  <c r="AD1715" i="24" s="1"/>
  <c r="C1716" i="24"/>
  <c r="Y1716" i="24"/>
  <c r="Y1701" i="24" s="1"/>
  <c r="W1716" i="24"/>
  <c r="W1701" i="24" s="1"/>
  <c r="Z1716" i="24"/>
  <c r="AB1716" i="24"/>
  <c r="AC1716" i="24" s="1"/>
  <c r="AD1716" i="24" s="1"/>
  <c r="C1717" i="24"/>
  <c r="X1717" i="24"/>
  <c r="X1702" i="24" s="1"/>
  <c r="W1717" i="24"/>
  <c r="W1702" i="24" s="1"/>
  <c r="Z1717" i="24"/>
  <c r="AB1717" i="24"/>
  <c r="AC1717" i="24" s="1"/>
  <c r="AD1717" i="24" s="1"/>
  <c r="C1718" i="24"/>
  <c r="Y1718" i="24"/>
  <c r="Y1703" i="24" s="1"/>
  <c r="W1718" i="24"/>
  <c r="W1703" i="24" s="1"/>
  <c r="Z1718" i="24"/>
  <c r="AB1718" i="24"/>
  <c r="AC1718" i="24" s="1"/>
  <c r="AD1718" i="24" s="1"/>
  <c r="C1721" i="24"/>
  <c r="Y1721" i="24"/>
  <c r="Y1706" i="24" s="1"/>
  <c r="W1721" i="24"/>
  <c r="W1706" i="24" s="1"/>
  <c r="Z1721" i="24"/>
  <c r="AB1721" i="24"/>
  <c r="AC1721" i="24" s="1"/>
  <c r="AD1721" i="24" s="1"/>
  <c r="C2111" i="24"/>
  <c r="AA1675" i="24" l="1"/>
  <c r="Y195" i="24"/>
  <c r="X197" i="24"/>
  <c r="U815" i="24"/>
  <c r="W197" i="24"/>
  <c r="AB677" i="24"/>
  <c r="Y197" i="24"/>
  <c r="AC677" i="24"/>
  <c r="Y1648" i="24"/>
  <c r="Z1648" i="24" s="1"/>
  <c r="AA1648" i="24" s="1"/>
  <c r="AB1648" i="24" s="1"/>
  <c r="AC1648" i="24" s="1"/>
  <c r="AD1648" i="24" s="1"/>
  <c r="V195" i="24"/>
  <c r="W203" i="24"/>
  <c r="V203" i="24"/>
  <c r="U203" i="24"/>
  <c r="U212" i="24"/>
  <c r="W1691" i="24"/>
  <c r="X677" i="24"/>
  <c r="V677" i="24"/>
  <c r="Y677" i="24"/>
  <c r="AB1305" i="24"/>
  <c r="AC1305" i="24" s="1"/>
  <c r="AD1305" i="24" s="1"/>
  <c r="U677" i="24"/>
  <c r="AB1299" i="24"/>
  <c r="AC1299" i="24" s="1"/>
  <c r="AD1299" i="24" s="1"/>
  <c r="Y196" i="24"/>
  <c r="V1441" i="24"/>
  <c r="X1441" i="24" s="1"/>
  <c r="X196" i="24"/>
  <c r="X203" i="24"/>
  <c r="AA239" i="24"/>
  <c r="Z239" i="24"/>
  <c r="W239" i="24"/>
  <c r="U915" i="24"/>
  <c r="V915" i="24" s="1"/>
  <c r="X915" i="24" s="1"/>
  <c r="AA1303" i="24"/>
  <c r="Z1303" i="24" s="1"/>
  <c r="U239" i="24"/>
  <c r="Y239" i="24"/>
  <c r="U1663" i="24"/>
  <c r="V1663" i="24" s="1"/>
  <c r="X1663" i="24" s="1"/>
  <c r="X239" i="24"/>
  <c r="V1442" i="24"/>
  <c r="X1442" i="24" s="1"/>
  <c r="U412" i="24"/>
  <c r="W816" i="24"/>
  <c r="W817" i="24" s="1"/>
  <c r="W818" i="24" s="1"/>
  <c r="Z1300" i="24"/>
  <c r="AD199" i="24"/>
  <c r="AB199" i="24"/>
  <c r="AA199" i="24"/>
  <c r="W677" i="24"/>
  <c r="Z199" i="24"/>
  <c r="Y199" i="24"/>
  <c r="X199" i="24"/>
  <c r="W199" i="24"/>
  <c r="AB1676" i="24"/>
  <c r="AC1676" i="24" s="1"/>
  <c r="AD1676" i="24" s="1"/>
  <c r="V199" i="24"/>
  <c r="AD325" i="24"/>
  <c r="W503" i="24"/>
  <c r="AB325" i="24"/>
  <c r="AA325" i="24"/>
  <c r="V206" i="24"/>
  <c r="U206" i="24"/>
  <c r="AB626" i="24"/>
  <c r="AC626" i="24" s="1"/>
  <c r="AD626" i="24" s="1"/>
  <c r="X1709" i="24"/>
  <c r="X1694" i="24" s="1"/>
  <c r="W1682" i="24"/>
  <c r="X212" i="24"/>
  <c r="Y776" i="24"/>
  <c r="Z776" i="24" s="1"/>
  <c r="AA776" i="24" s="1"/>
  <c r="AB776" i="24" s="1"/>
  <c r="AC776" i="24" s="1"/>
  <c r="AD776" i="24" s="1"/>
  <c r="X1287" i="24"/>
  <c r="M196" i="24"/>
  <c r="N196" i="24" s="1"/>
  <c r="O196" i="24" s="1"/>
  <c r="P196" i="24" s="1"/>
  <c r="AD196" i="24"/>
  <c r="W814" i="24"/>
  <c r="W815" i="24" s="1"/>
  <c r="AB1662" i="24"/>
  <c r="AB913" i="24"/>
  <c r="AC913" i="24" s="1"/>
  <c r="AD913" i="24" s="1"/>
  <c r="V197" i="24"/>
  <c r="AB623" i="24"/>
  <c r="AC623" i="24" s="1"/>
  <c r="AD623" i="24" s="1"/>
  <c r="L197" i="24"/>
  <c r="AA197" i="24" s="1"/>
  <c r="X1721" i="24"/>
  <c r="X1706" i="24" s="1"/>
  <c r="Z325" i="24"/>
  <c r="Y325" i="24"/>
  <c r="Z1662" i="24"/>
  <c r="X325" i="24"/>
  <c r="AC209" i="24"/>
  <c r="W325" i="24"/>
  <c r="AB209" i="24"/>
  <c r="U325" i="24"/>
  <c r="Z209" i="24"/>
  <c r="W196" i="24"/>
  <c r="V196" i="24"/>
  <c r="U196" i="24"/>
  <c r="W1303" i="24"/>
  <c r="U195" i="24"/>
  <c r="V1303" i="24"/>
  <c r="U1303" i="24"/>
  <c r="U1304" i="24"/>
  <c r="U817" i="24"/>
  <c r="U818" i="24" s="1"/>
  <c r="AB1664" i="24"/>
  <c r="AC1664" i="24" s="1"/>
  <c r="AD1664" i="24" s="1"/>
  <c r="AD239" i="24"/>
  <c r="AC239" i="24"/>
  <c r="Y1715" i="24"/>
  <c r="Y1700" i="24" s="1"/>
  <c r="X926" i="24"/>
  <c r="X922" i="24" s="1"/>
  <c r="Y772" i="24"/>
  <c r="Z772" i="24" s="1"/>
  <c r="AA772" i="24" s="1"/>
  <c r="AB772" i="24" s="1"/>
  <c r="AC772" i="24" s="1"/>
  <c r="AD772" i="24" s="1"/>
  <c r="AC172" i="24"/>
  <c r="Z172" i="24"/>
  <c r="AC885" i="24"/>
  <c r="AD885" i="24" s="1"/>
  <c r="AD801" i="24" s="1"/>
  <c r="X211" i="24"/>
  <c r="W206" i="24"/>
  <c r="AA797" i="24"/>
  <c r="Z797" i="24"/>
  <c r="X1716" i="24"/>
  <c r="X1701" i="24" s="1"/>
  <c r="Y810" i="24"/>
  <c r="X204" i="24"/>
  <c r="Y1708" i="24"/>
  <c r="Y1693" i="24" s="1"/>
  <c r="Z540" i="24"/>
  <c r="Z541" i="24" s="1"/>
  <c r="Z542" i="24" s="1"/>
  <c r="W45" i="24"/>
  <c r="Y773" i="24"/>
  <c r="Z773" i="24" s="1"/>
  <c r="AA773" i="24" s="1"/>
  <c r="AB773" i="24" s="1"/>
  <c r="AC773" i="24" s="1"/>
  <c r="AD773" i="24" s="1"/>
  <c r="AA209" i="24"/>
  <c r="Y212" i="24"/>
  <c r="Y69" i="24"/>
  <c r="Z69" i="24" s="1"/>
  <c r="AA69" i="24" s="1"/>
  <c r="AB69" i="24" s="1"/>
  <c r="AC69" i="24" s="1"/>
  <c r="AD69" i="24" s="1"/>
  <c r="X1718" i="24"/>
  <c r="X1703" i="24" s="1"/>
  <c r="Z623" i="24"/>
  <c r="Y172" i="24"/>
  <c r="W172" i="24"/>
  <c r="V172" i="24"/>
  <c r="Y887" i="24"/>
  <c r="Y805" i="24" s="1"/>
  <c r="X887" i="24"/>
  <c r="X805" i="24" s="1"/>
  <c r="Y814" i="24"/>
  <c r="Z814" i="24" s="1"/>
  <c r="Z815" i="24" s="1"/>
  <c r="X814" i="24"/>
  <c r="X815" i="24" s="1"/>
  <c r="AB800" i="24"/>
  <c r="AB45" i="24"/>
  <c r="Z800" i="24"/>
  <c r="AC196" i="24"/>
  <c r="Y1707" i="24"/>
  <c r="Y1692" i="24" s="1"/>
  <c r="Y1682" i="24"/>
  <c r="Z1296" i="24"/>
  <c r="V809" i="24"/>
  <c r="X809" i="24" s="1"/>
  <c r="Y797" i="24"/>
  <c r="Y681" i="24"/>
  <c r="V212" i="24"/>
  <c r="AB196" i="24"/>
  <c r="AA196" i="24"/>
  <c r="Z196" i="24"/>
  <c r="V75" i="24"/>
  <c r="X75" i="24" s="1"/>
  <c r="W395" i="24"/>
  <c r="Y211" i="24"/>
  <c r="Y206" i="24"/>
  <c r="Y1439" i="24"/>
  <c r="Y886" i="24"/>
  <c r="Z886" i="24" s="1"/>
  <c r="Z802" i="24" s="1"/>
  <c r="X206" i="24"/>
  <c r="X886" i="24"/>
  <c r="X804" i="24" s="1"/>
  <c r="Z628" i="24"/>
  <c r="W72" i="24"/>
  <c r="AB627" i="24"/>
  <c r="AC627" i="24" s="1"/>
  <c r="AD627" i="24" s="1"/>
  <c r="Z45" i="24"/>
  <c r="U626" i="24"/>
  <c r="V204" i="24"/>
  <c r="X172" i="24"/>
  <c r="C28" i="24"/>
  <c r="AD799" i="24"/>
  <c r="X1661" i="24"/>
  <c r="Y927" i="24"/>
  <c r="Y923" i="24" s="1"/>
  <c r="AC799" i="24"/>
  <c r="U811" i="24"/>
  <c r="V811" i="24" s="1"/>
  <c r="Y811" i="24" s="1"/>
  <c r="C38" i="24"/>
  <c r="C5" i="24"/>
  <c r="X774" i="24"/>
  <c r="Y659" i="24"/>
  <c r="Y1679" i="24"/>
  <c r="Y857" i="24"/>
  <c r="AD797" i="24"/>
  <c r="AC797" i="24"/>
  <c r="C37" i="24"/>
  <c r="X73" i="24"/>
  <c r="Y73" i="24"/>
  <c r="Z73" i="24" s="1"/>
  <c r="AA73" i="24" s="1"/>
  <c r="AB73" i="24" s="1"/>
  <c r="AC73" i="24" s="1"/>
  <c r="AD73" i="24" s="1"/>
  <c r="AA1254" i="24"/>
  <c r="Z1253" i="24"/>
  <c r="V627" i="24"/>
  <c r="W627" i="24"/>
  <c r="AB547" i="24"/>
  <c r="AC547" i="24" s="1"/>
  <c r="AA548" i="24"/>
  <c r="AA549" i="24" s="1"/>
  <c r="AA550" i="24" s="1"/>
  <c r="X1284" i="24"/>
  <c r="Z1262" i="24"/>
  <c r="Z1261" i="24" s="1"/>
  <c r="AB797" i="24"/>
  <c r="Y45" i="24"/>
  <c r="U204" i="24"/>
  <c r="AB172" i="24"/>
  <c r="W73" i="24"/>
  <c r="AC656" i="24"/>
  <c r="AC658" i="24" s="1"/>
  <c r="X45" i="24"/>
  <c r="L204" i="24"/>
  <c r="V45" i="24"/>
  <c r="L211" i="24"/>
  <c r="W797" i="24"/>
  <c r="U45" i="24"/>
  <c r="AB629" i="24"/>
  <c r="AC629" i="24" s="1"/>
  <c r="AD629" i="24" s="1"/>
  <c r="AB1682" i="24"/>
  <c r="AC1682" i="24" s="1"/>
  <c r="AD1682" i="24" s="1"/>
  <c r="Y330" i="24"/>
  <c r="Z330" i="24" s="1"/>
  <c r="AA330" i="24" s="1"/>
  <c r="AB330" i="24" s="1"/>
  <c r="AC330" i="24" s="1"/>
  <c r="AD330" i="24" s="1"/>
  <c r="AD206" i="24"/>
  <c r="AC206" i="24"/>
  <c r="AB1295" i="24"/>
  <c r="AC1295" i="24" s="1"/>
  <c r="AD1295" i="24" s="1"/>
  <c r="X919" i="24"/>
  <c r="U629" i="24"/>
  <c r="AB206" i="24"/>
  <c r="AA206" i="24"/>
  <c r="W70" i="24"/>
  <c r="Y1253"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93" i="24"/>
  <c r="AC45" i="24"/>
  <c r="Y204" i="24"/>
  <c r="W74" i="24"/>
  <c r="Y808" i="24"/>
  <c r="X657" i="24"/>
  <c r="Y1647" i="24"/>
  <c r="Z1647" i="24" s="1"/>
  <c r="AA1647" i="24" s="1"/>
  <c r="AB1647" i="24" s="1"/>
  <c r="AC1647" i="24" s="1"/>
  <c r="AD164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304" i="24"/>
  <c r="AC1304" i="24" s="1"/>
  <c r="AD1304" i="24" s="1"/>
  <c r="Z1304"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91" i="24"/>
  <c r="Y1691" i="24"/>
  <c r="X816" i="24"/>
  <c r="X817" i="24" s="1"/>
  <c r="X818" i="24" s="1"/>
  <c r="Y816" i="24"/>
  <c r="V817" i="24"/>
  <c r="V818" i="24" s="1"/>
  <c r="V1664" i="24"/>
  <c r="W166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306" i="24"/>
  <c r="AC1306" i="24" s="1"/>
  <c r="AD1306" i="24" s="1"/>
  <c r="Z207" i="24"/>
  <c r="AC1286" i="24"/>
  <c r="Y858" i="24"/>
  <c r="AC853" i="24"/>
  <c r="AB804" i="24"/>
  <c r="X797" i="24"/>
  <c r="Y775" i="24"/>
  <c r="Z775" i="24" s="1"/>
  <c r="AA775" i="24" s="1"/>
  <c r="AB775" i="24" s="1"/>
  <c r="AC775" i="24" s="1"/>
  <c r="AD775" i="24" s="1"/>
  <c r="V756" i="24"/>
  <c r="AA677" i="24"/>
  <c r="U628" i="24"/>
  <c r="Y1677" i="24"/>
  <c r="Z677" i="24"/>
  <c r="U625" i="24"/>
  <c r="X195" i="24"/>
  <c r="W71" i="24"/>
  <c r="Y1303" i="24"/>
  <c r="AB1300" i="24"/>
  <c r="AC1300" i="24" s="1"/>
  <c r="AD1300" i="24" s="1"/>
  <c r="Y918" i="24"/>
  <c r="W914" i="24"/>
  <c r="V797" i="24"/>
  <c r="Y656" i="24"/>
  <c r="Y658" i="24" s="1"/>
  <c r="W195" i="24"/>
  <c r="X1303" i="24"/>
  <c r="Y1286" i="24"/>
  <c r="Y1285" i="24" s="1"/>
  <c r="AC886" i="24"/>
  <c r="Y853" i="24"/>
  <c r="Y753" i="24" s="1"/>
  <c r="U797" i="24"/>
  <c r="X656" i="24"/>
  <c r="X658" i="24" s="1"/>
  <c r="AB630" i="24"/>
  <c r="AC630" i="24" s="1"/>
  <c r="AD630" i="24" s="1"/>
  <c r="X1286" i="24"/>
  <c r="X1285" i="24" s="1"/>
  <c r="X853" i="24"/>
  <c r="X753" i="24" s="1"/>
  <c r="AB806" i="24"/>
  <c r="Z630" i="24"/>
  <c r="AB624" i="24"/>
  <c r="AC624" i="24" s="1"/>
  <c r="AD624" i="24" s="1"/>
  <c r="AD796" i="24"/>
  <c r="Z624" i="24"/>
  <c r="V799" i="24"/>
  <c r="AC796" i="24"/>
  <c r="AB796" i="24"/>
  <c r="L195" i="24"/>
  <c r="W806" i="24"/>
  <c r="AA796" i="24"/>
  <c r="W76" i="24"/>
  <c r="AD198" i="24"/>
  <c r="Z913" i="24"/>
  <c r="Y1302" i="24"/>
  <c r="Y1301" i="24" s="1"/>
  <c r="AB803" i="24"/>
  <c r="V801" i="24"/>
  <c r="X796" i="24"/>
  <c r="V755" i="24"/>
  <c r="AC198" i="24"/>
  <c r="X799" i="24"/>
  <c r="AA1302" i="24"/>
  <c r="X1302" i="24"/>
  <c r="X1301" i="24" s="1"/>
  <c r="W796" i="24"/>
  <c r="AB198" i="24"/>
  <c r="V806" i="24"/>
  <c r="Y1713" i="24"/>
  <c r="Y1698" i="24" s="1"/>
  <c r="Y1681" i="24"/>
  <c r="U1676" i="24"/>
  <c r="Y1438" i="24"/>
  <c r="W1302" i="24"/>
  <c r="W1301" i="24" s="1"/>
  <c r="Y885" i="24"/>
  <c r="V796" i="24"/>
  <c r="AA198" i="24"/>
  <c r="Y796" i="24"/>
  <c r="Y1717" i="24"/>
  <c r="Y1702" i="24" s="1"/>
  <c r="V1302" i="24"/>
  <c r="V1301" i="24" s="1"/>
  <c r="U796" i="24"/>
  <c r="AD678" i="24"/>
  <c r="W211" i="24"/>
  <c r="Z1664" i="24"/>
  <c r="Y1683" i="24"/>
  <c r="Z798" i="24"/>
  <c r="AC678" i="24"/>
  <c r="V211" i="24"/>
  <c r="Y198" i="24"/>
  <c r="W803" i="24"/>
  <c r="AB678" i="24"/>
  <c r="Y203" i="24"/>
  <c r="X198" i="24"/>
  <c r="AB1307" i="24"/>
  <c r="AC1307" i="24" s="1"/>
  <c r="AD1307" i="24" s="1"/>
  <c r="AB1294" i="24"/>
  <c r="AB915" i="24"/>
  <c r="AC915" i="24" s="1"/>
  <c r="AD915" i="24" s="1"/>
  <c r="Y855" i="24"/>
  <c r="W809" i="24"/>
  <c r="AB805" i="24"/>
  <c r="V803" i="24"/>
  <c r="AA678" i="24"/>
  <c r="AD412" i="24"/>
  <c r="W198" i="24"/>
  <c r="AB754" i="24"/>
  <c r="AC412" i="24"/>
  <c r="AD395" i="24"/>
  <c r="V198" i="24"/>
  <c r="AB1663" i="24"/>
  <c r="AC1663" i="24" s="1"/>
  <c r="AD1663" i="24" s="1"/>
  <c r="Y678" i="24"/>
  <c r="AB412" i="24"/>
  <c r="AC395" i="24"/>
  <c r="X678" i="24"/>
  <c r="AA412" i="24"/>
  <c r="AB395" i="24"/>
  <c r="Y859" i="24"/>
  <c r="W678" i="24"/>
  <c r="AA395" i="24"/>
  <c r="Y1437" i="24"/>
  <c r="V678" i="24"/>
  <c r="Y412" i="24"/>
  <c r="Y205" i="24"/>
  <c r="U1662" i="24"/>
  <c r="Y1678" i="24"/>
  <c r="AC854" i="24"/>
  <c r="Z1675" i="24" l="1"/>
  <c r="U1675" i="24"/>
  <c r="AC1662" i="24"/>
  <c r="AD1662" i="24" s="1"/>
  <c r="AB1675" i="24"/>
  <c r="Y1441" i="24"/>
  <c r="AB1303" i="24"/>
  <c r="AC1303" i="24" s="1"/>
  <c r="AD1303" i="24" s="1"/>
  <c r="Y915" i="24"/>
  <c r="W915" i="24"/>
  <c r="Y1442" i="24"/>
  <c r="W1663" i="24"/>
  <c r="Y166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62" i="24"/>
  <c r="AA1261"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54" i="24"/>
  <c r="AA1253" i="24"/>
  <c r="AC1294" i="24"/>
  <c r="AB1293" i="24"/>
  <c r="Z816" i="24"/>
  <c r="Y817" i="24"/>
  <c r="Y818" i="24" s="1"/>
  <c r="Y1664" i="24"/>
  <c r="X166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62" i="24"/>
  <c r="W1662" i="24"/>
  <c r="Z885" i="24"/>
  <c r="Z801" i="24" s="1"/>
  <c r="Y801" i="24"/>
  <c r="AD805" i="24"/>
  <c r="AD803" i="24"/>
  <c r="AD806" i="24"/>
  <c r="Z205" i="24"/>
  <c r="AA205" i="24"/>
  <c r="AB205" i="24"/>
  <c r="AC205" i="24"/>
  <c r="AD205" i="24"/>
  <c r="X812" i="24"/>
  <c r="Y812" i="24"/>
  <c r="AA1301" i="24"/>
  <c r="Z1302" i="24"/>
  <c r="Z1301" i="24" s="1"/>
  <c r="AB1302" i="24"/>
  <c r="AC753" i="24"/>
  <c r="AD853" i="24"/>
  <c r="AD753" i="24" s="1"/>
  <c r="X623" i="24"/>
  <c r="Y623" i="24"/>
  <c r="V1676" i="24"/>
  <c r="W1676" i="24"/>
  <c r="AC1285" i="24"/>
  <c r="AD1286" i="24"/>
  <c r="AD1285" i="24" s="1"/>
  <c r="X630" i="24"/>
  <c r="Y630" i="24"/>
  <c r="AC539" i="24"/>
  <c r="AB540" i="24"/>
  <c r="AB541" i="24" s="1"/>
  <c r="AB542" i="24" s="1"/>
  <c r="AC802" i="24"/>
  <c r="AD886" i="24"/>
  <c r="AC804" i="24"/>
  <c r="Y755" i="24"/>
  <c r="Y757" i="24"/>
  <c r="Y758" i="24"/>
  <c r="AD1675" i="24" l="1"/>
  <c r="AC1675" i="24"/>
  <c r="V1675" i="24"/>
  <c r="W1675" i="24"/>
  <c r="Z806" i="24"/>
  <c r="Z805" i="24"/>
  <c r="AA815" i="24"/>
  <c r="AB1262" i="24"/>
  <c r="AB1261" i="24" s="1"/>
  <c r="Y626" i="24"/>
  <c r="X626" i="24"/>
  <c r="X629" i="24"/>
  <c r="Y629" i="24"/>
  <c r="AB815" i="24"/>
  <c r="AC814" i="24"/>
  <c r="AD757" i="24"/>
  <c r="AD755" i="24"/>
  <c r="AD758" i="24"/>
  <c r="AC1254" i="24"/>
  <c r="AB1253" i="24"/>
  <c r="AD756" i="24"/>
  <c r="AD754" i="24"/>
  <c r="AD802" i="24"/>
  <c r="AD804" i="24"/>
  <c r="X1676" i="24"/>
  <c r="Y1676" i="24"/>
  <c r="X625" i="24"/>
  <c r="Y625" i="24"/>
  <c r="AD539" i="24"/>
  <c r="AD540" i="24" s="1"/>
  <c r="AD541" i="24" s="1"/>
  <c r="AD542" i="24" s="1"/>
  <c r="AC540" i="24"/>
  <c r="AC541" i="24" s="1"/>
  <c r="AC542" i="24" s="1"/>
  <c r="X628" i="24"/>
  <c r="Y628" i="24"/>
  <c r="AA816" i="24"/>
  <c r="Z817" i="24"/>
  <c r="Z818" i="24" s="1"/>
  <c r="X1662" i="24"/>
  <c r="Y1662" i="24"/>
  <c r="AC1302" i="24"/>
  <c r="AB1301" i="24"/>
  <c r="AD1294" i="24"/>
  <c r="AD1293" i="24" s="1"/>
  <c r="AC1293" i="24"/>
  <c r="X1675" i="24" l="1"/>
  <c r="Y1675" i="24"/>
  <c r="AC1262" i="24"/>
  <c r="AC1261" i="24" s="1"/>
  <c r="AC1253" i="24"/>
  <c r="AD1254" i="24"/>
  <c r="AD1253" i="24" s="1"/>
  <c r="AC815" i="24"/>
  <c r="AD814" i="24"/>
  <c r="AD815" i="24" s="1"/>
  <c r="AC1301" i="24"/>
  <c r="AD1302" i="24"/>
  <c r="AD1301" i="24" s="1"/>
  <c r="AB816" i="24"/>
  <c r="AA817" i="24"/>
  <c r="AA818" i="24" s="1"/>
  <c r="AD1262" i="24" l="1"/>
  <c r="AD1261"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N156" i="23" l="1"/>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5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1"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9"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39" authorId="0" shapeId="0" xr:uid="{4489C792-1EE6-4CEF-9B8E-0328AD65B31E}">
      <text>
        <r>
          <rPr>
            <b/>
            <sz val="9"/>
            <color indexed="81"/>
            <rFont val="Tahoma"/>
            <family val="2"/>
          </rPr>
          <t>John:</t>
        </r>
        <r>
          <rPr>
            <sz val="9"/>
            <color indexed="81"/>
            <rFont val="Tahoma"/>
            <family val="2"/>
          </rPr>
          <t xml:space="preserve">
From LMAT</t>
        </r>
      </text>
    </comment>
    <comment ref="U144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1" authorId="0" shapeId="0" xr:uid="{C228E3A4-7E5C-416C-BFB2-AFFCFB91913E}">
      <text>
        <r>
          <rPr>
            <b/>
            <sz val="9"/>
            <color indexed="81"/>
            <rFont val="Tahoma"/>
            <family val="2"/>
          </rPr>
          <t>John:</t>
        </r>
        <r>
          <rPr>
            <sz val="9"/>
            <color indexed="81"/>
            <rFont val="Tahoma"/>
            <family val="2"/>
          </rPr>
          <t xml:space="preserve">
FOO is ns in LMAT</t>
        </r>
      </text>
    </comment>
    <comment ref="AA145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1"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1"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7"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2"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6"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7"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2097"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<sst xmlns="http://schemas.openxmlformats.org/spreadsheetml/2006/main" count="6632" uniqueCount="3803">
  <si>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</si>
  <si>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</si>
  <si>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</si>
  <si>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</si>
  <si>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</si>
  <si>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</si>
  <si>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</si>
  <si>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</si>
  <si>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</si>
  <si>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</si>
  <si>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</si>
  <si>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</si>
  <si>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</si>
  <si>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</si>
  <si>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</si>
  <si>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</si>
  <si>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</si>
  <si>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</si>
  <si>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</si>
  <si>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</si>
  <si>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</si>
  <si>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</si>
  <si>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</si>
  <si>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</si>
  <si>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</si>
  <si>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</si>
  <si>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</si>
  <si>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</si>
  <si>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</si>
  <si>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</si>
  <si>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</si>
  <si>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</si>
  <si>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</si>
  <si>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</si>
  <si>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</si>
  <si>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</si>
  <si>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</si>
  <si>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</si>
  <si>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</si>
  <si>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</si>
  <si>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</si>
  <si>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</si>
  <si>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</si>
  <si>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</si>
  <si>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</si>
  <si>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</si>
  <si>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</si>
  <si>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</si>
  <si>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</si>
  <si>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</si>
  <si>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</si>
  <si>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</si>
  <si>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</si>
  <si>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</si>
  <si>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</si>
  <si>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</si>
  <si>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</si>
  <si>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</si>
  <si>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</si>
  <si>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</si>
  <si>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</si>
  <si>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</si>
  <si>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</si>
  <si>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</si>
  <si>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</si>
  <si>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</si>
  <si>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</si>
  <si>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</si>
  <si>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</si>
  <si>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</si>
  <si>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</si>
  <si>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</si>
  <si>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</si>
  <si>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</si>
  <si>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</si>
  <si>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</si>
  <si>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</si>
  <si>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</si>
  <si>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</si>
  <si>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</si>
  <si>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</si>
  <si>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</si>
  <si>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</si>
  <si>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</si>
  <si>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</si>
  <si>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</si>
  <si>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</si>
  <si>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</si>
  <si>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</si>
  <si>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</si>
  <si>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</si>
  <si>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</si>
  <si>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</si>
  <si>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</si>
  <si>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</si>
  <si>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</si>
  <si>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</si>
  <si>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</si>
  <si>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</si>
  <si>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</si>
  <si>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</si>
  <si>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</si>
  <si>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</si>
  <si>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</si>
  <si>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</si>
  <si>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</si>
  <si>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</si>
  <si>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</si>
  <si>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</si>
  <si>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</si>
  <si>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</si>
  <si>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</si>
  <si>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</si>
  <si>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</si>
  <si>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</si>
  <si>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</si>
  <si>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</si>
  <si>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</si>
  <si>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</si>
  <si>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</si>
  <si>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</si>
  <si>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</si>
  <si>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</si>
  <si>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</si>
  <si>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</si>
  <si>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</si>
  <si>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</si>
  <si>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</si>
  <si>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</si>
  <si>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</si>
  <si>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</si>
  <si>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</si>
  <si>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</si>
  <si>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</si>
  <si>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</si>
  <si>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</si>
  <si>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</si>
  <si>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</si>
  <si>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</si>
  <si>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</si>
  <si>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</si>
  <si>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</si>
  <si>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</si>
  <si>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</si>
  <si>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</si>
  <si>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</si>
  <si>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</si>
  <si>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</si>
  <si>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</si>
  <si>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</si>
  <si>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</si>
  <si>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</si>
  <si>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</si>
  <si>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</si>
  <si>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</si>
  <si>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</si>
  <si>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</si>
  <si>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</si>
  <si>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</si>
  <si>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</si>
  <si>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</si>
  <si>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</si>
  <si>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</si>
  <si>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</si>
  <si>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</si>
  <si>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</si>
  <si>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</si>
  <si>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</si>
  <si>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</si>
  <si>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</si>
  <si>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</si>
  <si>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</si>
  <si>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</si>
  <si>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</si>
  <si>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</si>
  <si>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</si>
  <si>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</si>
  <si>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</si>
  <si>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</si>
  <si>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</si>
  <si>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</si>
  <si>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</si>
  <si>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</si>
  <si>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</si>
  <si>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</si>
  <si>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</si>
  <si>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</si>
  <si>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</si>
  <si>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</si>
  <si>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</si>
  <si>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</si>
  <si>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</si>
  <si>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</si>
  <si>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</si>
  <si>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</si>
  <si>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</si>
  <si>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</si>
  <si>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</si>
  <si>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</si>
  <si>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</si>
  <si>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</si>
  <si>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</si>
  <si>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</si>
  <si>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</si>
  <si>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</si>
  <si>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</si>
  <si>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</si>
  <si>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</si>
  <si>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</si>
  <si>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</si>
  <si>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</si>
  <si>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</si>
  <si>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</si>
  <si>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</si>
  <si>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</si>
  <si>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</si>
  <si>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</si>
  <si>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</si>
  <si>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</si>
  <si>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</si>
  <si>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</si>
  <si>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</si>
  <si>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</si>
  <si>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</si>
  <si>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</si>
  <si>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</si>
  <si>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</si>
  <si>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</si>
  <si>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</si>
  <si>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</si>
  <si>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</si>
  <si>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</si>
  <si>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</si>
  <si>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</si>
  <si>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</si>
  <si>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</si>
  <si>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</si>
  <si>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</si>
  <si>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</si>
  <si>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</si>
  <si>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</si>
  <si>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</si>
  <si>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</si>
  <si>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</si>
  <si>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</si>
  <si>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</si>
  <si>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</si>
  <si>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</si>
  <si>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</si>
  <si>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</si>
  <si>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</si>
  <si>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</si>
  <si>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</si>
  <si>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</si>
  <si>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</si>
  <si>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</si>
  <si>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</si>
  <si>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</si>
  <si>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</si>
  <si>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</si>
  <si>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</si>
  <si>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</si>
  <si>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</si>
  <si>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</si>
  <si>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</si>
  <si>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</si>
  <si>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</si>
  <si>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</si>
  <si>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</si>
  <si>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</si>
  <si>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</si>
  <si>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</si>
  <si>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</si>
  <si>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</si>
  <si>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</si>
  <si>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</si>
  <si>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</si>
  <si>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</si>
  <si>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</si>
  <si>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</si>
  <si>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</si>
  <si>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</si>
  <si>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</si>
  <si>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</si>
  <si>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</si>
  <si>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</si>
  <si>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</si>
  <si>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</si>
  <si>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</si>
  <si>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</si>
  <si>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</si>
  <si>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</si>
  <si>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</si>
  <si>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</si>
  <si>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</si>
  <si>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</si>
  <si>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</si>
  <si>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</si>
  <si>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</si>
  <si>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</si>
  <si>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</si>
  <si>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</si>
  <si>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</si>
  <si>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</si>
  <si>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</si>
  <si>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</si>
  <si>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</si>
  <si>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</si>
  <si>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</si>
  <si>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</si>
  <si>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</si>
  <si>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</si>
  <si>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</si>
  <si>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</si>
  <si>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</si>
  <si>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</si>
  <si>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</si>
  <si>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</si>
  <si>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</si>
  <si>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</si>
  <si>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</si>
  <si>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</si>
  <si>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</si>
  <si>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</si>
  <si>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</si>
  <si>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</si>
  <si>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</si>
  <si>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</si>
  <si>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</si>
  <si>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</si>
  <si>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</si>
  <si>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</si>
  <si>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</si>
  <si>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</si>
  <si>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</si>
  <si>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</si>
  <si>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</si>
  <si>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</si>
  <si>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</si>
  <si>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</si>
  <si>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</si>
  <si>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</si>
  <si>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</si>
  <si>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</si>
  <si>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</si>
  <si>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</si>
  <si>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</si>
  <si>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</si>
  <si>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</si>
  <si>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</si>
  <si>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</si>
  <si>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</si>
  <si>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</si>
  <si>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</si>
  <si>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</si>
  <si>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</si>
  <si>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</si>
  <si>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</si>
  <si>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</si>
  <si>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</si>
  <si>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</si>
  <si>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</si>
  <si>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</si>
  <si>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</si>
  <si>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</si>
  <si>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</si>
  <si>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</si>
  <si>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</si>
  <si>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</si>
  <si>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</si>
  <si>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</si>
  <si>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</si>
  <si>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</si>
  <si>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</si>
  <si>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</si>
  <si>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</si>
  <si>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</si>
  <si>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</si>
  <si>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</si>
  <si>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</si>
  <si>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</si>
  <si>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</si>
  <si>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</si>
  <si>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</si>
  <si>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</si>
  <si>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</si>
  <si>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</si>
  <si>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</si>
  <si>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</si>
  <si>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</si>
  <si>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</si>
  <si>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</si>
  <si>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</si>
  <si>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</si>
  <si>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</si>
  <si>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</si>
  <si>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</si>
  <si>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</si>
  <si>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</si>
  <si>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</si>
  <si>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</si>
  <si>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</si>
  <si>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</si>
  <si>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</si>
  <si>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</si>
  <si>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</si>
  <si>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</si>
  <si>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</si>
  <si>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</si>
  <si>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</si>
  <si>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</si>
  <si>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</si>
  <si>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</si>
  <si>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</si>
  <si>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</si>
  <si>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</si>
  <si>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</si>
  <si>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</si>
  <si>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</si>
  <si>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</si>
  <si>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</si>
  <si>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</si>
  <si>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</si>
  <si>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</si>
  <si>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</si>
  <si>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</si>
  <si>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</si>
  <si>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</si>
  <si>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</si>
  <si>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</si>
  <si>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</si>
  <si>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</si>
  <si>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</si>
  <si>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</si>
  <si>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</si>
  <si>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</si>
  <si>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</si>
  <si>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</si>
  <si>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</si>
  <si>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</si>
  <si>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</si>
  <si>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</si>
  <si>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</si>
  <si>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</si>
  <si>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</si>
  <si>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</si>
  <si>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</si>
  <si>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</si>
  <si>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</si>
  <si>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</si>
  <si>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</si>
  <si>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</si>
  <si>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</si>
  <si>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</si>
  <si>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</si>
  <si>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</si>
  <si>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</si>
  <si>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</si>
  <si>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</si>
  <si>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</si>
  <si>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</si>
  <si>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</si>
  <si>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</si>
  <si>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</si>
  <si>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</si>
  <si>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</si>
  <si>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</si>
  <si>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</si>
  <si>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</si>
  <si>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</si>
  <si>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</si>
  <si>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</si>
  <si>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</si>
  <si>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</si>
  <si>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</si>
  <si>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</si>
  <si>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</si>
  <si>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</si>
  <si>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</si>
  <si>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</si>
  <si>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</si>
  <si>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</si>
  <si>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</si>
  <si>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</si>
  <si>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</si>
  <si>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</si>
  <si>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</si>
  <si>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</si>
  <si>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</si>
  <si>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</si>
  <si>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</si>
  <si>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</si>
  <si>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</si>
  <si>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</si>
  <si>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</si>
  <si>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</si>
  <si>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</si>
  <si>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</si>
  <si>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</si>
  <si>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</si>
  <si>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</si>
  <si>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</si>
  <si>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</si>
  <si>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</si>
  <si>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</si>
  <si>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</si>
  <si>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</si>
  <si>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</si>
  <si>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</si>
  <si>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</si>
  <si>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</si>
  <si>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</si>
  <si>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</si>
  <si>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</si>
  <si>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</si>
  <si>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</si>
  <si>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</si>
  <si>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</si>
  <si>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</si>
  <si>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</si>
  <si>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</si>
  <si>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</si>
  <si>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</si>
  <si>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</si>
  <si>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</si>
  <si>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</si>
  <si>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</si>
  <si>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</si>
  <si>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</si>
  <si>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</si>
  <si>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</si>
  <si>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</si>
  <si>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</si>
  <si>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</si>
  <si>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</si>
  <si>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</si>
  <si>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</si>
  <si>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</si>
  <si>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</si>
  <si>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</si>
  <si>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</si>
  <si>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</si>
  <si>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</si>
  <si>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</si>
  <si>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</si>
  <si>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</si>
  <si>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</si>
  <si>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</si>
  <si>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</si>
  <si>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</si>
  <si>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</si>
  <si>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</si>
  <si>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</si>
  <si>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</si>
  <si>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</si>
  <si>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</si>
  <si>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</si>
  <si>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</si>
  <si>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</si>
  <si>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</si>
  <si>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</si>
  <si>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</si>
  <si>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</si>
  <si>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</si>
  <si>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</si>
  <si>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</si>
  <si>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</si>
  <si>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</si>
  <si>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</si>
  <si>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</si>
  <si>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</si>
  <si>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</si>
  <si>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</si>
  <si>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</si>
  <si>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</si>
  <si>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</si>
  <si>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</si>
  <si>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</si>
  <si>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</si>
  <si>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</si>
  <si>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</si>
  <si>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</si>
  <si>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</si>
  <si>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</si>
  <si>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</si>
  <si>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</si>
  <si>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</si>
  <si>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</si>
  <si>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</si>
  <si>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</si>
  <si>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</si>
  <si>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</si>
  <si>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</si>
  <si>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</si>
  <si>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</si>
  <si>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</si>
  <si>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</si>
  <si>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</si>
  <si>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</si>
  <si>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</si>
  <si>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</si>
  <si>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</si>
  <si>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</si>
  <si>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</si>
  <si>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</si>
  <si>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</si>
  <si>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</si>
  <si>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</si>
  <si>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</si>
  <si>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</si>
  <si>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</si>
  <si>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</si>
  <si>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</si>
  <si>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</si>
  <si>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</si>
  <si>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</si>
  <si>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</si>
  <si>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</si>
  <si>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</si>
  <si>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</si>
  <si>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</si>
  <si>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</si>
  <si>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</si>
  <si>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</si>
  <si>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</si>
  <si>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</si>
  <si>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</si>
  <si>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</si>
  <si>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</si>
  <si>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</si>
  <si>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</si>
  <si>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</si>
  <si>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</si>
  <si>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</si>
  <si>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</si>
  <si>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</si>
  <si>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</si>
  <si>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</si>
  <si>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</si>
  <si>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</si>
  <si>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</si>
  <si>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</si>
  <si>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</si>
  <si>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</si>
  <si>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</si>
  <si>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</si>
  <si>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</si>
  <si>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</si>
  <si>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</si>
  <si>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</si>
  <si>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</si>
  <si>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</si>
  <si>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</si>
  <si>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</si>
  <si>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</si>
  <si>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</si>
  <si>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</si>
  <si>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</si>
  <si>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</si>
  <si>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</si>
  <si>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</si>
  <si>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</si>
  <si>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</si>
  <si>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</si>
  <si>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</si>
  <si>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</si>
  <si>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</si>
  <si>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</si>
  <si>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</si>
  <si>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</si>
  <si>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</si>
  <si>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</si>
  <si>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</si>
  <si>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</si>
  <si>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</si>
  <si>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</si>
  <si>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</si>
  <si>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</si>
  <si>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</si>
  <si>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</si>
  <si>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</si>
  <si>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</si>
  <si>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</si>
  <si>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</si>
  <si>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</si>
  <si>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</si>
  <si>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</si>
  <si>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</si>
  <si>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</si>
  <si>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</si>
  <si>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</si>
  <si>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</si>
  <si>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</si>
  <si>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</si>
  <si>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</si>
  <si>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</si>
  <si>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</si>
  <si>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</si>
  <si>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</si>
  <si>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</si>
  <si>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</si>
  <si>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</si>
  <si>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</si>
  <si>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</si>
  <si>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</si>
  <si>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</si>
  <si>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</si>
  <si>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</si>
  <si>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</si>
  <si>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</si>
  <si>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</si>
  <si>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</si>
  <si>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</si>
  <si>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</si>
  <si>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</si>
  <si>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</si>
  <si>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</si>
  <si>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</si>
  <si>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</si>
  <si>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</si>
  <si>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</si>
  <si>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</si>
  <si>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</si>
  <si>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</si>
  <si>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</si>
  <si>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</si>
  <si>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</si>
  <si>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</si>
  <si>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</si>
  <si>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</si>
  <si>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</si>
  <si>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</si>
  <si>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</si>
  <si>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</si>
  <si>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</si>
  <si>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</si>
  <si>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</si>
  <si>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</si>
  <si>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</si>
  <si>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</si>
  <si>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</si>
  <si>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</si>
  <si>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</si>
  <si>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</si>
  <si>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</si>
  <si>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</si>
  <si>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</si>
  <si>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</si>
  <si>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</si>
  <si>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</si>
  <si>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</si>
  <si>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</si>
  <si>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</si>
  <si>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</si>
  <si>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</si>
  <si>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</si>
  <si>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</si>
  <si>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</si>
  <si>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</si>
  <si>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</si>
  <si>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</si>
  <si>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</si>
  <si>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</si>
  <si>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</si>
  <si>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</si>
  <si>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</si>
  <si>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</si>
  <si>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</si>
  <si>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</si>
  <si>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</si>
  <si>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</si>
  <si>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</si>
  <si>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</si>
  <si>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</si>
  <si>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</si>
  <si>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</si>
  <si>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</si>
  <si>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</si>
  <si>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</si>
  <si>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</si>
  <si>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</si>
  <si>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</si>
  <si>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</si>
  <si>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</si>
  <si>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</si>
  <si>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</si>
  <si>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</si>
  <si>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</si>
  <si>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</si>
  <si>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</si>
  <si>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</si>
  <si>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</si>
  <si>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</si>
  <si>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</si>
  <si>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</si>
  <si>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</si>
  <si>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</si>
  <si>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</si>
  <si>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</si>
  <si>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</si>
  <si>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</si>
  <si>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</si>
  <si>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</si>
  <si>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</si>
  <si>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</si>
  <si>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</si>
  <si>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</si>
  <si>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</si>
  <si>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</si>
  <si>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</si>
  <si>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</si>
  <si>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</si>
  <si>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</si>
  <si>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</si>
  <si>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</si>
  <si>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</si>
  <si>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</si>
  <si>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</si>
  <si>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</si>
  <si>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</si>
  <si>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</si>
  <si>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</si>
  <si>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</si>
  <si>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</si>
  <si>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</si>
  <si>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</si>
  <si>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</si>
  <si>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</si>
  <si>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</si>
  <si>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</si>
  <si>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</si>
  <si>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</si>
  <si>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</si>
  <si>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</si>
  <si>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</si>
  <si>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</si>
  <si>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</si>
  <si>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</si>
  <si>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</si>
  <si>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</si>
  <si>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</si>
  <si>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</si>
  <si>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</si>
  <si>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</si>
  <si>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</si>
  <si>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</si>
  <si>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</si>
  <si>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</si>
  <si>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</si>
  <si>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</si>
  <si>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</si>
  <si>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</si>
  <si>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</si>
  <si>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</si>
  <si>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</si>
  <si>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</si>
  <si>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</si>
  <si>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</si>
  <si>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</si>
  <si>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</si>
  <si>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</si>
  <si>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</si>
  <si>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</si>
  <si>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</si>
  <si>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</si>
  <si>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</si>
  <si>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</si>
  <si>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</si>
  <si>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</si>
  <si>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</si>
  <si>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</si>
  <si>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</si>
  <si>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</si>
  <si>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</si>
  <si>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</si>
  <si>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</si>
  <si>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</si>
  <si>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</si>
  <si>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</si>
  <si>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</si>
  <si>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</si>
  <si>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</si>
  <si>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</si>
  <si>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</si>
  <si>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</si>
  <si>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</si>
  <si>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</si>
  <si>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</si>
  <si>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</si>
  <si>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</si>
  <si>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</si>
  <si>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</si>
  <si>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</si>
  <si>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</si>
  <si>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</si>
  <si>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</si>
  <si>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</si>
  <si>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</si>
  <si>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</si>
  <si>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</si>
  <si>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</si>
  <si>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</si>
  <si>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</si>
  <si>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</si>
  <si>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</si>
  <si>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</si>
  <si>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</si>
  <si>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</si>
  <si>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</si>
  <si>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</si>
  <si>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</si>
  <si>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</si>
  <si>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</si>
  <si>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</si>
  <si>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</si>
  <si>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</si>
  <si>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</si>
  <si>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</si>
  <si>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</si>
  <si>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</si>
  <si>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</si>
  <si>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</si>
  <si>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</si>
  <si>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</si>
  <si>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</si>
  <si>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</si>
  <si>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</si>
  <si>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</si>
  <si>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</si>
  <si>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</si>
  <si>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</si>
  <si>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</si>
  <si>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</si>
  <si>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</si>
  <si>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</si>
  <si>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</si>
  <si>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</si>
  <si>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</si>
  <si>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</si>
  <si>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</si>
  <si>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</si>
  <si>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</si>
  <si>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</si>
  <si>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</si>
  <si>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</si>
  <si>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</si>
  <si>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</si>
  <si>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</si>
  <si>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</si>
  <si>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</si>
  <si>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</si>
  <si>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</si>
  <si>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</si>
  <si>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</si>
  <si>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</si>
  <si>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</si>
  <si>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</si>
  <si>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</si>
  <si>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</si>
  <si>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</si>
  <si>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</si>
  <si>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</si>
  <si>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</si>
  <si>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</si>
  <si>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</si>
  <si>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</si>
  <si>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</si>
  <si>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</si>
  <si>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</si>
  <si>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</si>
  <si>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</si>
  <si>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</si>
  <si>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</si>
  <si>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</si>
  <si>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</si>
  <si>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</si>
  <si>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</si>
  <si>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</si>
  <si>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</si>
  <si>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</si>
  <si>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</si>
  <si>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</si>
  <si>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</si>
  <si>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</si>
  <si>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</si>
  <si>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</si>
  <si>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</si>
  <si>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</si>
  <si>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</si>
  <si>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</si>
  <si>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</si>
  <si>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</si>
  <si>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</si>
  <si>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</si>
  <si>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</si>
  <si>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</si>
  <si>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</si>
  <si>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</si>
  <si>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</si>
  <si>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</si>
  <si>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</si>
  <si>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</si>
  <si>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</si>
  <si>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</si>
  <si>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</si>
  <si>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</si>
  <si>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</si>
  <si>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</si>
  <si>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</si>
  <si>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</si>
  <si>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</si>
  <si>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</si>
  <si>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</si>
  <si>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</si>
  <si>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</si>
  <si>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</si>
  <si>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</si>
  <si>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</si>
  <si>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</si>
  <si>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</si>
  <si>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</si>
  <si>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</si>
  <si>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</si>
  <si>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</si>
  <si>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</si>
  <si>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</si>
  <si>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</si>
  <si>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</si>
  <si>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</si>
  <si>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</si>
  <si>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</si>
  <si>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</si>
  <si>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</si>
  <si>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</si>
  <si>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</si>
  <si>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</si>
  <si>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</si>
  <si>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</si>
  <si>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</si>
  <si>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</si>
  <si>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</si>
  <si>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</si>
  <si>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</si>
  <si>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</si>
  <si>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</si>
  <si>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</si>
  <si>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</si>
  <si>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</si>
  <si>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</si>
  <si>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</si>
  <si>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</si>
  <si>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</si>
  <si>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</si>
  <si>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</si>
  <si>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</si>
  <si>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</si>
  <si>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</si>
  <si>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</si>
  <si>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</si>
  <si>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</si>
  <si>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</si>
  <si>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</si>
  <si>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</si>
  <si>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</si>
  <si>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</si>
  <si>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</si>
  <si>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</si>
  <si>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</si>
  <si>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</si>
  <si>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</si>
  <si>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</si>
  <si>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</si>
  <si>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</si>
  <si>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</si>
  <si>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</si>
  <si>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</si>
  <si>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</si>
  <si>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</si>
  <si>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</si>
  <si>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</si>
  <si>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</si>
  <si>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</si>
  <si>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</si>
  <si>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</si>
  <si>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</si>
  <si>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</si>
  <si>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</si>
  <si>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</si>
  <si>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</si>
  <si>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</si>
  <si>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</si>
  <si>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</si>
  <si>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</si>
  <si>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</si>
  <si>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</si>
  <si>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</si>
  <si>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</si>
  <si>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</si>
  <si>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</si>
  <si>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</si>
  <si>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</si>
  <si>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</si>
  <si>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</si>
  <si>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</si>
  <si>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</si>
  <si>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</si>
  <si>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</si>
  <si>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</si>
  <si>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</si>
  <si>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</si>
  <si>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</si>
  <si>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</si>
  <si>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</si>
  <si>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</si>
  <si>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</si>
  <si>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</si>
  <si>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</si>
  <si>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</si>
  <si>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</si>
  <si>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</si>
  <si>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</si>
  <si>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</si>
  <si>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</si>
  <si>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</si>
  <si>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</si>
  <si>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</si>
  <si>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</si>
  <si>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</si>
  <si>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</si>
  <si>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</si>
  <si>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</si>
  <si>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</si>
  <si>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</si>
  <si>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</si>
  <si>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</si>
  <si>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</si>
  <si>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</si>
  <si>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</si>
  <si>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</si>
  <si>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</si>
  <si>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</si>
  <si>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</si>
  <si>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</si>
  <si>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</si>
  <si>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</si>
  <si>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</si>
  <si>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</si>
  <si>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</si>
  <si>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</si>
  <si>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</si>
  <si>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</si>
  <si>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</si>
  <si>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</si>
  <si>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</si>
  <si>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</si>
  <si>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</si>
  <si>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</si>
  <si>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</si>
  <si>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</si>
  <si>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</si>
  <si>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</si>
  <si>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</si>
  <si>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</si>
  <si>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</si>
  <si>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</si>
  <si>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</si>
  <si>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</si>
  <si>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</si>
  <si>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</si>
  <si>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</si>
  <si>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</si>
  <si>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</si>
  <si>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</si>
  <si>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</si>
  <si>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</si>
  <si>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</si>
  <si>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</si>
  <si>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</si>
  <si>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</si>
  <si>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</si>
  <si>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</si>
  <si>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</si>
  <si>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</si>
  <si>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</si>
  <si>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</si>
  <si>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</si>
  <si>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</si>
  <si>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</si>
  <si>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</si>
  <si>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</si>
  <si>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</si>
  <si>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</si>
  <si>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</si>
  <si>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</si>
  <si>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</si>
  <si>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</si>
  <si>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</si>
  <si>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</si>
  <si>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</si>
  <si>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</si>
  <si>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</si>
  <si>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</si>
  <si>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</si>
  <si>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</si>
  <si>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</si>
  <si>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</si>
  <si>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</si>
  <si>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</si>
  <si>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</si>
  <si>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</si>
  <si>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</si>
  <si>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</si>
  <si>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</si>
  <si>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</si>
  <si>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</si>
  <si>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</si>
  <si>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</si>
  <si>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</si>
  <si>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</si>
  <si>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</si>
  <si>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</si>
  <si>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</si>
  <si>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</si>
  <si>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</si>
  <si>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</si>
  <si>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</si>
  <si>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</si>
  <si>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</si>
  <si>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</si>
  <si>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</si>
  <si>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</si>
  <si>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</si>
  <si>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</si>
  <si>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</si>
  <si>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</si>
  <si>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</si>
  <si>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</si>
  <si>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</si>
  <si>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</si>
  <si>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</si>
  <si>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</si>
  <si>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</si>
  <si>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</si>
  <si>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</si>
  <si>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</si>
  <si>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</si>
  <si>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</si>
  <si>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</si>
  <si>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</si>
  <si>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</si>
  <si>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</si>
  <si>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</si>
  <si>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</si>
  <si>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</si>
  <si>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</si>
  <si>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</si>
  <si>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</si>
  <si>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</si>
  <si>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</si>
  <si>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</si>
  <si>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</si>
  <si>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</si>
  <si>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</si>
  <si>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</si>
  <si>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</si>
  <si>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</si>
  <si>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</si>
  <si>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</si>
  <si>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</si>
  <si>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</si>
  <si>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</si>
  <si>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</si>
  <si>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</si>
  <si>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</si>
  <si>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</si>
  <si>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</si>
  <si>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</si>
  <si>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</si>
  <si>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</si>
  <si>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</si>
  <si>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</si>
  <si>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</si>
  <si>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</si>
  <si>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</si>
  <si>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</si>
  <si>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</si>
  <si>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</si>
  <si>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</si>
  <si>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</si>
  <si>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</si>
  <si>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</si>
  <si>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</si>
  <si>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</si>
  <si>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</si>
  <si>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</si>
  <si>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</si>
  <si>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</si>
  <si>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</si>
  <si>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</si>
  <si>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</si>
  <si>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</si>
  <si>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</si>
  <si>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</si>
  <si>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</si>
  <si>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</si>
  <si>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</si>
  <si>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</si>
  <si>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</si>
  <si>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</si>
  <si>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</si>
  <si>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</si>
  <si>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</si>
  <si>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</si>
  <si>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</si>
  <si>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</si>
  <si>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</si>
  <si>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</si>
  <si>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</si>
  <si>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</si>
  <si>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</si>
  <si>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</si>
  <si>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</si>
  <si>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</si>
  <si>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</si>
  <si>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</si>
  <si>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</si>
  <si>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</si>
  <si>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</si>
  <si>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</si>
  <si>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</si>
  <si>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</si>
  <si>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</si>
  <si>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</si>
  <si>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</si>
  <si>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</si>
  <si>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</si>
  <si>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</si>
  <si>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</si>
  <si>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</si>
  <si>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</si>
  <si>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</si>
  <si>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</si>
  <si>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</si>
  <si>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</si>
  <si>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</si>
  <si>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</si>
  <si>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</si>
  <si>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</si>
  <si>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</si>
  <si>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</si>
  <si>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</si>
  <si>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</si>
  <si>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</si>
  <si>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</si>
  <si>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</si>
  <si>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</si>
  <si>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</si>
  <si>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</si>
  <si>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</si>
  <si>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</si>
  <si>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</si>
  <si>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</si>
  <si>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</si>
  <si>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</si>
  <si>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</si>
  <si>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</si>
  <si>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</si>
  <si>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</si>
  <si>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</si>
  <si>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</si>
  <si>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</si>
  <si>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</si>
  <si>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</si>
  <si>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</si>
  <si>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</si>
  <si>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</si>
  <si>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</si>
  <si>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</si>
  <si>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</si>
  <si>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</si>
  <si>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</si>
  <si>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</si>
  <si>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</si>
  <si>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</si>
  <si>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</si>
  <si>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</si>
  <si>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</si>
  <si>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</si>
  <si>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</si>
  <si>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</si>
  <si>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</si>
  <si>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</si>
  <si>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</si>
  <si>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</si>
  <si>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</si>
  <si>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</si>
  <si>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</si>
  <si>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</si>
  <si>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</si>
  <si>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</si>
  <si>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</si>
  <si>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</si>
  <si>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</si>
  <si>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</si>
  <si>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</si>
  <si>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</si>
  <si>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</si>
  <si>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</si>
  <si>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</si>
  <si>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</si>
  <si>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</si>
  <si>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</si>
  <si>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</si>
  <si>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</si>
  <si>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</si>
  <si>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</si>
  <si>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</si>
  <si>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</si>
  <si>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</si>
  <si>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</si>
  <si>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</si>
  <si>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</si>
  <si>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</si>
  <si>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</si>
  <si>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</si>
  <si>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</si>
  <si>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</si>
  <si>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</si>
  <si>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</si>
  <si>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</si>
  <si>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</si>
  <si>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</si>
  <si>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</si>
  <si>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</si>
  <si>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</si>
  <si>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</si>
  <si>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</si>
  <si>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</si>
  <si>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</si>
  <si>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</si>
  <si>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</si>
  <si>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</si>
  <si>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</si>
  <si>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</si>
  <si>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</si>
  <si>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</si>
  <si>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</si>
  <si>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</si>
  <si>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</si>
  <si>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</si>
  <si>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</si>
  <si>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</si>
  <si>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</si>
  <si>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</si>
  <si>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</si>
  <si>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</si>
  <si>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</si>
  <si>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</si>
  <si>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</si>
  <si>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</si>
  <si>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</si>
  <si>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</si>
  <si>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</si>
  <si>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</si>
  <si>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</si>
  <si>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</si>
  <si>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</si>
  <si>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</si>
  <si>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</si>
  <si>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</si>
  <si>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</si>
  <si>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</si>
  <si>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</si>
  <si>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</si>
  <si>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</si>
  <si>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</si>
  <si>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</si>
  <si>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</si>
  <si>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</si>
  <si>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</si>
  <si>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</si>
  <si>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</si>
  <si>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</si>
  <si>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</si>
  <si>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</si>
  <si>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</si>
  <si>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</si>
  <si>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</si>
  <si>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</si>
  <si>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</si>
  <si>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</si>
  <si>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</si>
  <si>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</si>
  <si>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</si>
  <si>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</si>
  <si>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</si>
  <si>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</si>
  <si>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</si>
  <si>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</si>
  <si>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</si>
  <si>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</si>
  <si>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</si>
  <si>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</si>
  <si>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</si>
  <si>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</si>
  <si>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</si>
  <si>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</si>
  <si>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</si>
  <si>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</si>
  <si>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</si>
  <si>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</si>
  <si>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</si>
  <si>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</si>
  <si>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</si>
  <si>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</si>
  <si>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</si>
  <si>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</si>
  <si>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</si>
  <si>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</si>
  <si>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</si>
  <si>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</si>
  <si>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</si>
  <si>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</si>
  <si>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</si>
  <si>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</si>
  <si>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</si>
  <si>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</si>
  <si>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</si>
  <si>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</si>
  <si>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</si>
  <si>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</si>
  <si>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</si>
  <si>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</si>
  <si>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</si>
  <si>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</si>
  <si>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</si>
  <si>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</si>
  <si>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</si>
  <si>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</si>
  <si>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</si>
  <si>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</si>
  <si>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</si>
  <si>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</si>
  <si>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</si>
  <si>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</si>
  <si>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</si>
  <si>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</si>
  <si>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</si>
  <si>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</si>
  <si>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</si>
  <si>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</si>
  <si>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</si>
  <si>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</si>
  <si>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</si>
  <si>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</si>
  <si>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</si>
  <si>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</si>
  <si>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</si>
  <si>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</si>
  <si>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</si>
  <si>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</si>
  <si>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</si>
  <si>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</si>
  <si>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</si>
  <si>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</si>
  <si>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</si>
  <si>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</si>
  <si>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</si>
  <si>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</si>
  <si>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</si>
  <si>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</si>
  <si>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</si>
  <si>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</si>
  <si>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</si>
  <si>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</si>
  <si>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</si>
  <si>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</si>
  <si>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</si>
  <si>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</si>
  <si>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</si>
  <si>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</si>
  <si>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</si>
  <si>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</si>
  <si>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</si>
  <si>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</si>
  <si>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</si>
  <si>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</si>
  <si>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</si>
  <si>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</si>
  <si>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</si>
  <si>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</si>
  <si>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</si>
  <si>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</si>
  <si>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</si>
  <si>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</si>
  <si>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</si>
  <si>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</si>
  <si>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</si>
  <si>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</si>
  <si>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</si>
  <si>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</si>
  <si>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</si>
  <si>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</si>
  <si>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</si>
  <si>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</si>
  <si>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</si>
  <si>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</si>
  <si>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</si>
  <si>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</si>
  <si>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</si>
  <si>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</si>
  <si>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</si>
  <si>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</si>
  <si>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</si>
  <si>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</si>
  <si>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</si>
  <si>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</si>
  <si>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</si>
  <si>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</si>
  <si>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</si>
  <si>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</si>
  <si>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</si>
  <si>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</si>
  <si>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</si>
  <si>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</si>
  <si>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</si>
  <si>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</si>
  <si>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</si>
  <si>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</si>
  <si>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</si>
  <si>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</si>
  <si>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</si>
  <si>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</si>
  <si>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</si>
  <si>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</si>
  <si>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</si>
  <si>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</si>
  <si>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</si>
  <si>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</si>
  <si>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</si>
  <si>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</si>
  <si>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</si>
  <si>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</si>
  <si>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</si>
  <si>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</si>
  <si>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</si>
  <si>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</si>
  <si>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</si>
  <si>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</si>
  <si>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</si>
  <si>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</si>
  <si>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</si>
  <si>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</si>
  <si>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</si>
  <si>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</si>
  <si>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</si>
  <si>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</si>
  <si>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</si>
  <si>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</si>
  <si>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</si>
  <si>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</si>
  <si>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</si>
  <si>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</si>
  <si>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</si>
  <si>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</si>
  <si>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</si>
  <si>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</si>
  <si>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</si>
  <si>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</si>
  <si>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</si>
  <si>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</si>
  <si>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</si>
  <si>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</si>
  <si>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</si>
  <si>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</si>
  <si>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</si>
  <si>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</si>
  <si>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</si>
  <si>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</si>
  <si>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</si>
  <si>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</si>
  <si>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</si>
  <si>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</si>
  <si>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</si>
  <si>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</si>
  <si>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</si>
  <si>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</si>
  <si>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</si>
  <si>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</si>
  <si>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</si>
  <si>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</si>
  <si>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</si>
  <si>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</si>
  <si>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</si>
  <si>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</si>
  <si>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</si>
  <si>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</si>
  <si>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</si>
  <si>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</si>
  <si>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</si>
  <si>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</si>
  <si>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</si>
  <si>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</si>
  <si>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</si>
  <si>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</si>
  <si>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</si>
  <si>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</si>
  <si>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</si>
  <si>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</si>
  <si>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</si>
  <si>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</si>
  <si>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</si>
  <si>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</si>
  <si>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</si>
  <si>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</si>
  <si>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</si>
  <si>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</si>
  <si>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</si>
  <si>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</si>
  <si>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</si>
  <si>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</si>
  <si>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</si>
  <si>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</si>
  <si>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</si>
  <si>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</si>
  <si>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</si>
  <si>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</si>
  <si>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</si>
  <si>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</si>
  <si>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</si>
  <si>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</si>
  <si>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</si>
  <si>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</si>
  <si>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</si>
  <si>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</si>
  <si>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</si>
  <si>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</si>
  <si>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</si>
  <si>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</si>
  <si>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</si>
  <si>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</si>
  <si>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</si>
  <si>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</si>
  <si>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</si>
  <si>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</si>
  <si>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</si>
  <si>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</si>
  <si>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</si>
  <si>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</si>
  <si>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</si>
  <si>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</si>
  <si>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</si>
  <si>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</si>
  <si>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</si>
  <si>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</si>
  <si>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</si>
  <si>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</si>
  <si>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</si>
  <si>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</si>
  <si>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</si>
  <si>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</si>
  <si>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</si>
  <si>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</si>
  <si>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</si>
  <si>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</si>
  <si>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</si>
  <si>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</si>
  <si>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</si>
  <si>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</si>
  <si>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</si>
  <si>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</si>
  <si>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</si>
  <si>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</si>
  <si>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</si>
  <si>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</si>
  <si>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</si>
  <si>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</si>
  <si>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</si>
  <si>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</si>
  <si>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</si>
  <si>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</si>
  <si>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</si>
  <si>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</si>
  <si>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</si>
  <si>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</si>
  <si>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</si>
  <si>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</si>
  <si>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</si>
  <si>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</si>
  <si>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</si>
  <si>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</si>
  <si>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</si>
  <si>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</si>
  <si>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</si>
  <si>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</si>
  <si>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</si>
  <si>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</si>
  <si>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</si>
  <si>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</si>
  <si>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</si>
  <si>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</si>
  <si>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</si>
  <si>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</si>
  <si>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</si>
  <si>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</si>
  <si>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</si>
  <si>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</si>
  <si>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</si>
  <si>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</si>
  <si>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</si>
  <si>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</si>
  <si>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</si>
  <si>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</si>
  <si>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</si>
  <si>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</si>
  <si>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</si>
  <si>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</si>
  <si>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</si>
  <si>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</si>
  <si>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</si>
  <si>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</si>
  <si>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</si>
  <si>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</si>
  <si>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</si>
  <si>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</si>
  <si>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</si>
  <si>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</si>
  <si>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</si>
  <si>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</si>
  <si>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</si>
  <si>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</si>
  <si>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</si>
  <si>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</si>
  <si>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</si>
  <si>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</si>
  <si>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</si>
  <si>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</si>
  <si>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</si>
  <si>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</si>
  <si>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</si>
  <si>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</si>
  <si>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</si>
  <si>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</si>
  <si>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</si>
  <si>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</si>
  <si>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</si>
  <si>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</si>
  <si>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</si>
  <si>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</si>
  <si>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</si>
  <si>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</si>
  <si>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</si>
  <si>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</si>
  <si>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</si>
  <si>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</si>
  <si>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</si>
  <si>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</si>
  <si>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</si>
  <si>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</si>
  <si>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</si>
  <si>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</si>
  <si>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</si>
  <si>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</si>
  <si>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</si>
  <si>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</si>
  <si>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</si>
  <si>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</si>
  <si>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</si>
  <si>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</si>
  <si>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</si>
  <si>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</si>
  <si>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</si>
  <si>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</si>
  <si>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</si>
  <si>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</si>
  <si>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</si>
  <si>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</si>
  <si>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</si>
  <si>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</si>
  <si>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</si>
  <si>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</si>
  <si>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</si>
  <si>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</si>
  <si>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</si>
  <si>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</si>
  <si>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</si>
  <si>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</si>
  <si>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</si>
  <si>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</si>
  <si>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</si>
  <si>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</si>
  <si>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</si>
  <si>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</si>
  <si>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</si>
  <si>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</si>
  <si>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</si>
  <si>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</si>
  <si>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</si>
  <si>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</si>
  <si>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</si>
  <si>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</si>
  <si>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</si>
  <si>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</si>
  <si>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</si>
  <si>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</si>
  <si>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</si>
  <si>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</si>
  <si>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</si>
  <si>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</si>
  <si>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</si>
  <si>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</si>
  <si>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</si>
  <si>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</si>
  <si>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</si>
  <si>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</si>
  <si>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</si>
  <si>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</si>
  <si>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</si>
  <si>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</si>
  <si>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</si>
  <si>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</si>
  <si>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</si>
  <si>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</si>
  <si>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</si>
  <si>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</si>
  <si>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</si>
  <si>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</si>
  <si>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</si>
  <si>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</si>
  <si>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</si>
  <si>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</si>
  <si>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</si>
  <si>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</si>
  <si>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</si>
  <si>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</si>
  <si>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</si>
  <si>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</si>
  <si>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</si>
  <si>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</si>
  <si>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</si>
  <si>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</si>
  <si>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</si>
  <si>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</si>
  <si>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</si>
  <si>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</si>
  <si>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</si>
  <si>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</si>
  <si>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</si>
  <si>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</si>
  <si>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</si>
  <si>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</si>
  <si>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</si>
  <si>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</si>
  <si>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</si>
  <si>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</si>
  <si>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</si>
  <si>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</si>
  <si>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</si>
  <si>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</si>
  <si>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</si>
  <si>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</si>
  <si>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</si>
  <si>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</si>
  <si>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</si>
  <si>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</si>
  <si>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</si>
  <si>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</si>
  <si>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</si>
  <si>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</si>
  <si>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</si>
  <si>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</si>
  <si>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</si>
  <si>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</si>
  <si>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</si>
  <si>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</si>
  <si>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</si>
  <si>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</si>
  <si>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</si>
  <si>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</si>
  <si>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</si>
  <si>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</si>
  <si>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</si>
  <si>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</si>
  <si>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</si>
  <si>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</si>
  <si>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</si>
  <si>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</si>
  <si>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</si>
  <si>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</si>
  <si>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</si>
  <si>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</si>
  <si>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</si>
  <si>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</si>
  <si>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</si>
  <si>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</si>
  <si>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</si>
  <si>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</si>
  <si>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</si>
  <si>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</si>
  <si>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</si>
  <si>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</si>
  <si>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</si>
  <si>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</si>
  <si>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</si>
  <si>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</si>
  <si>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</si>
  <si>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</si>
  <si>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</si>
  <si>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</si>
  <si>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</si>
  <si>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</si>
  <si>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</si>
  <si>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</si>
  <si>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</si>
  <si>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</si>
  <si>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</si>
  <si>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</si>
  <si>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</si>
  <si>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</si>
  <si>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</si>
  <si>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</si>
  <si>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</si>
  <si>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</si>
  <si>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</si>
  <si>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</si>
  <si>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</si>
  <si>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</si>
  <si>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</si>
  <si>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</si>
  <si>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</si>
  <si>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</si>
  <si>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</si>
  <si>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</si>
  <si>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</si>
  <si>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</si>
  <si>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</si>
  <si>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</si>
  <si>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</si>
  <si>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</si>
  <si>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</si>
  <si>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</si>
  <si>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</si>
  <si>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</si>
  <si>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</si>
  <si>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</si>
  <si>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</si>
  <si>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</si>
  <si>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</si>
  <si>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</si>
  <si>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</si>
  <si>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</si>
  <si>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</si>
  <si>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</si>
  <si>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</si>
  <si>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</si>
  <si>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</si>
  <si>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</si>
  <si>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</si>
  <si>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</si>
  <si>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</si>
  <si>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</si>
  <si>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</si>
  <si>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</si>
  <si>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</si>
  <si>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</si>
  <si>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</si>
  <si>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</si>
  <si>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</si>
  <si>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</si>
  <si>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</si>
  <si>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</si>
  <si>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</si>
  <si>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</si>
  <si>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</si>
  <si>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</si>
  <si>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</si>
  <si>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</si>
  <si>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</si>
  <si>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</si>
  <si>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</si>
  <si>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</si>
  <si>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</si>
  <si>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</si>
  <si>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</si>
  <si>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</si>
  <si>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</si>
  <si>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</si>
  <si>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</si>
  <si>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</si>
  <si>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</si>
  <si>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</si>
  <si>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</si>
  <si>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</si>
  <si>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</si>
  <si>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</si>
  <si>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</si>
  <si>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</si>
  <si>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</si>
  <si>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</si>
  <si>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</si>
  <si>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</si>
  <si>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</si>
  <si>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</si>
  <si>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</si>
  <si>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</si>
  <si>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</si>
  <si>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</si>
  <si>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</si>
  <si>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</si>
  <si>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</si>
  <si>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</si>
  <si>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</si>
  <si>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</si>
  <si>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</si>
  <si>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</si>
  <si>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</si>
  <si>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</si>
  <si>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</si>
  <si>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</si>
  <si>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</si>
  <si>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</si>
  <si>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</si>
  <si>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</si>
  <si>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</si>
  <si>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</si>
  <si>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</si>
  <si>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</si>
  <si>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</si>
  <si>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</si>
  <si>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</si>
  <si>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</si>
  <si>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</si>
  <si>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</si>
  <si>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</si>
  <si>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</si>
  <si>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</si>
  <si>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</si>
  <si>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</si>
  <si>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</si>
  <si>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</si>
  <si>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</si>
  <si>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</si>
  <si>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</si>
  <si>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</si>
  <si>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</si>
  <si>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</si>
  <si>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</si>
  <si>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</si>
  <si>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</si>
  <si>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</si>
  <si>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</si>
  <si>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</si>
  <si>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</si>
  <si>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</si>
  <si>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</si>
  <si>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</si>
  <si>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</si>
  <si>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</si>
  <si>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</si>
  <si>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</si>
  <si>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</si>
  <si>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</si>
  <si>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</si>
  <si>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</si>
  <si>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</si>
  <si>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</si>
  <si>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</si>
  <si>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</si>
  <si>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</si>
  <si>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</si>
  <si>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</si>
  <si>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</si>
  <si>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</si>
  <si>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</si>
  <si>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</si>
  <si>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</si>
  <si>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</si>
  <si>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</si>
  <si>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</si>
  <si>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</si>
  <si>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</si>
  <si>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</si>
  <si>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</si>
  <si>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</si>
  <si>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</si>
  <si>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</si>
  <si>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</si>
  <si>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</si>
  <si>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</si>
  <si>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</si>
  <si>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</si>
  <si>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</si>
  <si>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</si>
  <si>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</si>
  <si>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</si>
  <si>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</si>
  <si>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</si>
  <si>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</si>
  <si>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</si>
  <si>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</si>
  <si>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</si>
  <si>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</si>
  <si>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</si>
  <si>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</si>
  <si>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</si>
  <si>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</si>
  <si>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</si>
  <si>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</si>
  <si>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</si>
  <si>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</si>
  <si>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</si>
  <si>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</si>
  <si>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</si>
  <si>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</si>
  <si>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</si>
  <si>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</si>
  <si>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</si>
  <si>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</si>
  <si>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</si>
  <si>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</si>
  <si>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</si>
  <si>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</si>
  <si>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</si>
  <si>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</si>
  <si>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</si>
  <si>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</si>
  <si>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</si>
  <si>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</si>
  <si>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</si>
  <si>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</si>
  <si>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</si>
  <si>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</si>
  <si>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</si>
  <si>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</si>
  <si>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</si>
  <si>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</si>
  <si>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</si>
  <si>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</si>
  <si>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</si>
  <si>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</si>
  <si>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</si>
  <si>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</si>
  <si>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</si>
  <si>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</si>
  <si>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</si>
  <si>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</si>
  <si>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</si>
  <si>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</si>
  <si>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</si>
  <si>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</si>
  <si>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</si>
  <si>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</si>
  <si>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</si>
  <si>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</si>
  <si>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</si>
  <si>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</si>
  <si>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</si>
  <si>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</si>
  <si>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</si>
  <si>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</si>
  <si>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</si>
  <si>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</si>
  <si>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</si>
  <si>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</si>
  <si>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</si>
  <si>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</si>
  <si>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</si>
  <si>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</si>
  <si>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</si>
  <si>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</si>
  <si>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</si>
  <si>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</si>
  <si>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</si>
  <si>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</si>
  <si>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</si>
  <si>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</si>
  <si>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</si>
  <si>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</si>
  <si>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</si>
  <si>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</si>
  <si>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</si>
  <si>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</si>
  <si>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</si>
  <si>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</si>
  <si>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</si>
  <si>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</si>
  <si>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</si>
  <si>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</si>
  <si>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</si>
  <si>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</si>
  <si>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</si>
  <si>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</si>
  <si>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</si>
  <si>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</si>
  <si>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</si>
  <si>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</si>
  <si>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</si>
  <si>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</si>
  <si>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</si>
  <si>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</si>
  <si>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</si>
  <si>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</si>
  <si>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</si>
  <si>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</si>
  <si>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</si>
  <si>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</si>
  <si>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</si>
  <si>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</si>
  <si>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</si>
  <si>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</si>
  <si>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</si>
  <si>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</si>
  <si>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</si>
  <si>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</si>
  <si>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</si>
  <si>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</si>
  <si>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</si>
  <si>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</si>
  <si>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</si>
  <si>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</si>
  <si>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</si>
  <si>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</si>
  <si>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</si>
  <si>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</si>
  <si>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</si>
  <si>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</si>
  <si>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</si>
  <si>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</si>
  <si>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</si>
  <si>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</si>
  <si>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</si>
  <si>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</si>
  <si>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</si>
  <si>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</si>
  <si>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</si>
  <si>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</si>
  <si>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</si>
  <si>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</si>
  <si>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</si>
  <si>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</si>
  <si>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</si>
  <si>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</si>
  <si>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</si>
  <si>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</si>
  <si>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</si>
  <si>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</si>
  <si>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</si>
  <si>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</si>
  <si>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</si>
  <si>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</si>
  <si>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</si>
  <si>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</si>
  <si>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</si>
  <si>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</si>
  <si>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</si>
  <si>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</si>
  <si>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</si>
  <si>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</si>
  <si>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</si>
  <si>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</si>
  <si>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</si>
  <si>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</si>
  <si>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</si>
  <si>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</si>
  <si>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</si>
  <si>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</si>
  <si>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</si>
  <si>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</si>
  <si>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</si>
  <si>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</si>
  <si>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</si>
  <si>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</si>
  <si>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</si>
  <si>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</si>
  <si>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</si>
  <si>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</si>
  <si>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</si>
  <si>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</si>
  <si>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</si>
  <si>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</si>
  <si>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</si>
  <si>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</si>
  <si>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</si>
  <si>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</si>
  <si>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</si>
  <si>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</si>
  <si>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</si>
  <si>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</si>
  <si>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</si>
  <si>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</si>
  <si>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</si>
  <si>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</si>
  <si>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</si>
  <si>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</si>
  <si>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</si>
  <si>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</si>
  <si>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</si>
  <si>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</si>
  <si>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</si>
  <si>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</si>
  <si>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</si>
  <si>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</si>
  <si>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</si>
  <si>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</si>
  <si>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</si>
  <si>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</si>
  <si>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</si>
  <si>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</si>
  <si>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</si>
  <si>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</si>
  <si>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</si>
  <si>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</si>
  <si>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</si>
  <si>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</si>
  <si>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</si>
  <si>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</si>
  <si>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</si>
  <si>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</si>
  <si>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</si>
  <si>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</si>
  <si>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</si>
  <si>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</si>
  <si>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</si>
  <si>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</si>
  <si>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</si>
  <si>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</si>
  <si>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</si>
  <si>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</si>
  <si>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</si>
  <si>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</si>
  <si>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</si>
  <si>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</si>
  <si>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</si>
  <si>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</si>
  <si>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</si>
  <si>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</si>
  <si>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</si>
  <si>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</si>
  <si>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</si>
  <si>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</si>
  <si>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</si>
  <si>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</si>
  <si>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</si>
  <si>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</si>
  <si>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</si>
  <si>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</si>
  <si>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</si>
  <si>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</si>
  <si>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</si>
  <si>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</si>
  <si>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</si>
  <si>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</si>
  <si>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</si>
  <si>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</si>
  <si>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</si>
  <si>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</si>
  <si>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</si>
  <si>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</si>
  <si>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</si>
  <si>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</si>
  <si>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</si>
  <si>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</si>
  <si>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</si>
  <si>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</si>
  <si>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</si>
  <si>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</si>
  <si>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</si>
  <si>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</si>
  <si>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</si>
  <si>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</si>
  <si>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</si>
  <si>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</si>
  <si>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</si>
  <si>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</si>
  <si>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</si>
  <si>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</si>
  <si>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</si>
  <si>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</si>
  <si>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</si>
  <si>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</si>
  <si>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</si>
  <si>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</si>
  <si>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</si>
  <si>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</si>
  <si>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</si>
  <si>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</si>
  <si>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</si>
  <si>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</si>
  <si>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</si>
  <si>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</si>
  <si>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</si>
  <si>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</si>
  <si>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</si>
  <si>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</si>
  <si>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</si>
  <si>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</si>
  <si>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</si>
  <si>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</si>
  <si>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</si>
  <si>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</si>
  <si>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</si>
  <si>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</si>
  <si>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</si>
  <si>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</si>
  <si>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</si>
  <si>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</si>
  <si>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</si>
  <si>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</si>
  <si>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</si>
  <si>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</si>
  <si>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</si>
  <si>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</si>
  <si>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</si>
  <si>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</si>
  <si>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</si>
  <si>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</si>
  <si>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</si>
  <si>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</si>
  <si>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</si>
  <si>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</si>
  <si>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</si>
  <si>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</si>
  <si>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</si>
  <si>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</si>
  <si>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</si>
  <si>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</si>
  <si>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</si>
  <si>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</si>
  <si>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</si>
  <si>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</si>
  <si>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</si>
  <si>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</si>
  <si>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</si>
  <si>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</si>
  <si>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</si>
  <si>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</si>
  <si>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</si>
  <si>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</si>
  <si>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</si>
  <si>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</si>
  <si>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</si>
  <si>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</si>
  <si>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</si>
  <si>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</si>
  <si>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</si>
  <si>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</si>
  <si>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</si>
  <si>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</si>
  <si>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</si>
  <si>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</si>
  <si>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</si>
  <si>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</si>
  <si>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</si>
  <si>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</si>
  <si>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</si>
  <si>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</si>
  <si>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</si>
  <si>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</si>
  <si>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</si>
  <si>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</si>
  <si>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</si>
  <si>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</si>
  <si>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</si>
  <si>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</si>
  <si>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</si>
  <si>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</si>
  <si>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</si>
  <si>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</si>
  <si>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</si>
  <si>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</si>
  <si>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</si>
  <si>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</si>
  <si>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</si>
  <si>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</si>
  <si>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</si>
  <si>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</si>
  <si>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</si>
  <si>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</si>
  <si>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</si>
  <si>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</si>
  <si>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</si>
  <si>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</si>
  <si>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</si>
  <si>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</si>
  <si>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</si>
  <si>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</si>
  <si>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</si>
  <si>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</si>
  <si>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</si>
  <si>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</si>
  <si>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</si>
  <si>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</si>
  <si>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</si>
  <si>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</si>
  <si>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</si>
  <si>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</si>
  <si>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</si>
  <si>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</si>
  <si>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</si>
  <si>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</si>
  <si>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</si>
  <si>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</si>
  <si>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</si>
  <si>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</si>
  <si>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</si>
  <si>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</si>
  <si>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</si>
  <si>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</si>
  <si>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</si>
  <si>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</si>
  <si>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</si>
  <si>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</si>
  <si>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</si>
  <si>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</si>
  <si>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</si>
  <si>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</si>
  <si>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</si>
  <si>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</si>
  <si>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</si>
  <si>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</si>
  <si>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</si>
  <si>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</si>
  <si>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</si>
  <si>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</si>
  <si>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</si>
  <si>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</si>
  <si>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</si>
  <si>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</si>
  <si>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</si>
  <si>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</si>
  <si>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</si>
  <si>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</si>
  <si>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</si>
  <si>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</si>
  <si>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</si>
  <si>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</si>
  <si>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</si>
  <si>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</si>
  <si>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</si>
  <si>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</si>
  <si>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</si>
  <si>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</si>
  <si>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</si>
  <si>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</si>
  <si>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</si>
  <si>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</si>
  <si>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</si>
  <si>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</si>
  <si>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</si>
  <si>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</si>
  <si>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</si>
  <si>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</si>
  <si>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</si>
  <si>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</si>
  <si>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</si>
  <si>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</si>
  <si>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</si>
  <si>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</si>
  <si>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</si>
  <si>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</si>
  <si>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</si>
  <si>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</si>
  <si>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</si>
  <si>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</si>
  <si>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</si>
  <si>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</si>
  <si>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</si>
  <si>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</si>
  <si>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</si>
  <si>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</si>
  <si>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</si>
  <si>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</si>
  <si>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</si>
  <si>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</si>
  <si>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</si>
  <si>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</si>
  <si>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</si>
  <si>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</si>
  <si>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</si>
  <si>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</si>
  <si>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</si>
  <si>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</si>
  <si>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</si>
  <si>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</si>
  <si>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</si>
  <si>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</si>
  <si>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</si>
  <si>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</si>
  <si>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</si>
  <si>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</si>
  <si>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</si>
  <si>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</si>
  <si>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</si>
  <si>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</si>
  <si>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</si>
  <si>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</si>
  <si>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</si>
  <si>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</si>
  <si>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</si>
  <si>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</si>
  <si>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</si>
  <si>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</si>
  <si>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</si>
  <si>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</si>
  <si>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</si>
  <si>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</si>
  <si>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</si>
  <si>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</si>
  <si>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</si>
  <si>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</si>
  <si>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</si>
  <si>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</si>
  <si>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</si>
  <si>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</si>
  <si>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</si>
  <si>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</si>
  <si>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</si>
  <si>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</si>
  <si>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</si>
  <si>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</si>
  <si>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</si>
  <si>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</si>
  <si>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</si>
  <si>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</si>
  <si>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</si>
  <si>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</si>
  <si>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</si>
  <si>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</si>
  <si>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</si>
  <si>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</si>
  <si>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</si>
  <si>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</si>
  <si>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</si>
  <si>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</si>
  <si>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</si>
  <si>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</si>
  <si>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</si>
  <si>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</si>
  <si>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</si>
  <si>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</si>
  <si>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</si>
  <si>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</si>
  <si>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</si>
  <si>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</si>
  <si>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</si>
  <si>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</si>
  <si>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</si>
  <si>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</si>
  <si>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</si>
  <si>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</si>
  <si>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</si>
  <si>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</si>
  <si>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</si>
  <si>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</si>
  <si>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</si>
  <si>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</si>
  <si>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</si>
  <si>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</si>
  <si>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</si>
  <si>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</si>
  <si>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</si>
  <si>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</si>
  <si>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</si>
  <si>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</si>
  <si>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</si>
  <si>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</si>
  <si>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</si>
  <si>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</si>
  <si>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</si>
  <si>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</si>
  <si>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</si>
  <si>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</si>
  <si>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</si>
  <si>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</si>
  <si>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</si>
  <si>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</si>
  <si>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</si>
  <si>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</si>
  <si>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</si>
  <si>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</si>
  <si>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</si>
  <si>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</si>
  <si>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</si>
  <si>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</si>
  <si>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</si>
  <si>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</si>
  <si>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</si>
  <si>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</si>
  <si>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</si>
  <si>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</si>
  <si>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</si>
  <si>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</si>
  <si>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</si>
  <si>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</si>
  <si>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</si>
  <si>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</si>
  <si>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</si>
  <si>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</si>
  <si>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</si>
  <si>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</si>
  <si>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</si>
  <si>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</si>
  <si>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</si>
  <si>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</si>
  <si>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</si>
  <si>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</si>
  <si>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</si>
  <si>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</si>
  <si>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</si>
  <si>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</si>
  <si>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</si>
  <si>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</si>
  <si>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</si>
  <si>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</si>
  <si>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</si>
  <si>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</si>
  <si>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</si>
  <si>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</si>
  <si>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</si>
  <si>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</si>
  <si>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</si>
  <si>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</si>
  <si>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</si>
  <si>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</si>
  <si>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</si>
  <si>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</si>
  <si>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</si>
  <si>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</si>
  <si>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</si>
  <si>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</si>
  <si>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</si>
  <si>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</si>
  <si>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</si>
  <si>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</si>
  <si>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</si>
  <si>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</si>
  <si>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</si>
  <si>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</si>
  <si>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</si>
  <si>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</si>
  <si>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</si>
  <si>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</si>
  <si>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</si>
  <si>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</si>
  <si>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</si>
  <si>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</si>
  <si>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</si>
  <si>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</si>
  <si>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</si>
  <si>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</si>
  <si>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</si>
  <si>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</si>
  <si>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</si>
  <si>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</si>
  <si>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</si>
  <si>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</si>
  <si>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</si>
  <si>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</si>
  <si>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</si>
  <si>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</si>
  <si>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</si>
  <si>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</si>
  <si>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</si>
  <si>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</si>
  <si>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</si>
  <si>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</si>
  <si>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</si>
  <si>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</si>
  <si>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</si>
  <si>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</si>
  <si>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</si>
  <si>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</si>
  <si>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</si>
  <si>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</si>
  <si>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</si>
  <si>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</si>
  <si>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</si>
  <si>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</si>
  <si>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</si>
  <si>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</si>
  <si>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</si>
  <si>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</si>
  <si>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</si>
  <si>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</si>
  <si>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</si>
  <si>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</si>
  <si>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</si>
  <si>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</si>
  <si>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</si>
  <si>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</si>
  <si>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</si>
  <si>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</si>
  <si>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</si>
  <si>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</si>
  <si>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</si>
  <si>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</si>
  <si>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</si>
  <si>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</si>
  <si>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</si>
  <si>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</si>
  <si>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</si>
  <si>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</si>
  <si>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</si>
  <si>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</si>
  <si>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</si>
  <si>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</si>
  <si>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</si>
  <si>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</si>
  <si>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</si>
  <si>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</si>
  <si>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</si>
  <si>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</si>
  <si>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</si>
  <si>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</si>
  <si>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</si>
  <si>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</si>
  <si>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</si>
  <si>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</si>
  <si>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</si>
  <si>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</si>
  <si>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</si>
  <si>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</si>
  <si>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</si>
  <si>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</si>
  <si>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</si>
  <si>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</si>
  <si>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</si>
  <si>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</si>
  <si>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</si>
  <si>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</si>
  <si>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</si>
  <si>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</si>
  <si>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</si>
  <si>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</si>
  <si>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</si>
  <si>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</si>
  <si>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</si>
  <si>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</si>
  <si>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</si>
  <si>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</si>
  <si>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</si>
  <si>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</si>
  <si>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</si>
  <si>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</si>
  <si>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</si>
  <si>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</si>
  <si>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</si>
  <si>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</si>
  <si>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</si>
  <si>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</si>
  <si>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</si>
  <si>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</si>
  <si>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</si>
  <si>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</si>
  <si>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</si>
  <si>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</si>
  <si>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</si>
  <si>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</si>
  <si>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</si>
  <si>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</si>
  <si>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</si>
  <si>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</si>
  <si>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</si>
  <si>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</si>
  <si>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</si>
  <si>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</si>
  <si>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</si>
  <si>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</si>
  <si>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</si>
  <si>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</si>
  <si>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</si>
  <si>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</si>
  <si>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</si>
  <si>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</si>
  <si>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</si>
  <si>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</si>
  <si>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</si>
  <si>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</si>
  <si>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</si>
  <si>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</si>
  <si>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</si>
  <si>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</si>
  <si>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</si>
  <si>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</si>
  <si>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</si>
  <si>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</si>
  <si>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</si>
  <si>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</si>
  <si>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</si>
  <si>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</si>
  <si>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</si>
  <si>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</si>
  <si>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</si>
  <si>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</si>
  <si>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</si>
  <si>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</si>
  <si>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</si>
  <si>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</si>
  <si>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</si>
  <si>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</si>
  <si>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</si>
  <si>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</si>
  <si>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</si>
  <si>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</si>
  <si>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</si>
  <si>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</si>
  <si>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</si>
  <si>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</si>
  <si>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</si>
  <si>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</si>
  <si>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</si>
  <si>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</si>
  <si>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</si>
  <si>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</si>
  <si>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</si>
  <si>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</si>
  <si>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</si>
  <si>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</si>
  <si>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</si>
  <si>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</si>
  <si>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</si>
  <si>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</si>
  <si>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</si>
  <si>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</si>
  <si>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</si>
  <si>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</si>
  <si>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</si>
  <si>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</si>
  <si>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</si>
  <si>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</si>
  <si>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</si>
  <si>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</si>
  <si>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</si>
  <si>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</si>
  <si>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</si>
  <si>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</si>
  <si>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</si>
  <si>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</si>
  <si>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</si>
  <si>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</si>
  <si>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</si>
  <si>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</si>
  <si>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</si>
  <si>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</si>
  <si>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</si>
  <si>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</si>
  <si>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</si>
  <si>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</si>
  <si>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</si>
  <si>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</si>
  <si>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</si>
  <si>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</si>
  <si>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</si>
  <si>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</si>
  <si>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</si>
  <si>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</si>
  <si>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</si>
  <si>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</si>
  <si>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</si>
  <si>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</si>
  <si>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</si>
  <si>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</si>
  <si>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</si>
  <si>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</si>
  <si>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</si>
  <si>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</si>
  <si>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</si>
  <si>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</si>
  <si>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</si>
  <si>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</si>
  <si>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</si>
  <si>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</si>
  <si>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</si>
  <si>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</si>
  <si>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</si>
  <si>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</si>
  <si>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</si>
  <si>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</si>
  <si>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</si>
  <si>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</si>
  <si>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</si>
  <si>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</si>
  <si>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</si>
  <si>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</si>
  <si>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</si>
  <si>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</si>
  <si>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</si>
  <si>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</si>
  <si>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</si>
  <si>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</si>
  <si>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</si>
  <si>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</si>
  <si>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</si>
  <si>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</si>
  <si>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</si>
  <si>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</si>
  <si>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</si>
  <si>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</si>
  <si>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</si>
  <si>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</si>
  <si>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</si>
  <si>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</si>
  <si>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</si>
  <si>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</si>
  <si>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</si>
  <si>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</si>
  <si>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</si>
  <si>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</si>
  <si>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</si>
  <si>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</si>
  <si>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</si>
  <si>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</si>
  <si>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</si>
  <si>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</si>
  <si>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</si>
  <si>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</si>
  <si>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</si>
  <si>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</si>
  <si>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</si>
  <si>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</si>
  <si>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</si>
  <si>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</si>
  <si>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</si>
  <si>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</si>
  <si>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</si>
  <si>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</si>
  <si>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</si>
  <si>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</si>
  <si>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</si>
  <si>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</si>
  <si>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</si>
  <si>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</si>
  <si>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</si>
  <si>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</si>
  <si>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</si>
  <si>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</si>
  <si>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</si>
  <si>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</si>
  <si>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</si>
  <si>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</si>
  <si>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</si>
  <si>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</si>
  <si>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</si>
  <si>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</si>
  <si>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</si>
  <si>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</si>
  <si>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</si>
  <si>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</si>
  <si>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</si>
  <si>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</si>
  <si>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</si>
  <si>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</si>
  <si>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</si>
  <si>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</si>
  <si>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</si>
  <si>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</si>
  <si>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</si>
  <si>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</si>
  <si>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</si>
  <si>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</si>
  <si>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</si>
  <si>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</si>
  <si>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</si>
  <si>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</si>
  <si>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</si>
  <si>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</si>
  <si>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</si>
  <si>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</si>
  <si>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</si>
  <si>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</si>
  <si>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</si>
  <si>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</si>
  <si>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</si>
  <si>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</si>
  <si>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</si>
  <si>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</si>
  <si>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</si>
  <si>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</si>
  <si>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</si>
  <si>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</si>
  <si>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</si>
  <si>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</si>
  <si>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</si>
  <si>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</si>
  <si>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</si>
  <si>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</si>
  <si>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</si>
  <si>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</si>
  <si>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</si>
  <si>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</si>
  <si>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</si>
  <si>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</si>
  <si>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</si>
  <si>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</si>
  <si>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</si>
  <si>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</si>
  <si>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</si>
  <si>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</si>
  <si>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</si>
  <si>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</si>
  <si>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</si>
  <si>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</si>
  <si>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</si>
  <si>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</si>
  <si>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</si>
  <si>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</si>
  <si>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</si>
  <si>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</si>
  <si>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</si>
  <si>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</si>
  <si>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</si>
  <si>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</si>
  <si>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</si>
  <si>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</si>
  <si>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</si>
  <si>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</si>
  <si>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</si>
  <si>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</si>
  <si>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</si>
  <si>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</si>
  <si>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</si>
  <si>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</si>
  <si>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</si>
  <si>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</si>
  <si>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</si>
  <si>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</si>
  <si>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</si>
  <si>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</si>
  <si>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</si>
  <si>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</si>
  <si>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</si>
  <si>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</si>
  <si>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</si>
  <si>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</si>
  <si>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</si>
  <si>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</si>
  <si>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</si>
  <si>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</si>
  <si>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</si>
  <si>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</si>
  <si>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</si>
  <si>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</si>
  <si>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</si>
  <si>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</si>
  <si>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</si>
  <si>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</si>
  <si>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</si>
  <si>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</si>
  <si>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</si>
  <si>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</si>
  <si>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</si>
  <si>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</si>
  <si>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</si>
  <si>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</si>
  <si>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</si>
  <si>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</si>
  <si>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</si>
  <si>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</si>
  <si>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</si>
  <si>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</si>
  <si>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</si>
  <si>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</si>
  <si>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</si>
  <si>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</si>
  <si>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</si>
  <si>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</si>
  <si>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</si>
  <si>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</si>
  <si>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</si>
  <si>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</si>
  <si>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</si>
  <si>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</si>
  <si>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</si>
  <si>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</si>
  <si>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</si>
  <si>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</si>
  <si>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</si>
  <si>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</si>
  <si>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</si>
  <si>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</si>
  <si>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</si>
  <si>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</si>
  <si>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</si>
  <si>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</si>
  <si>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</si>
  <si>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</si>
  <si>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</si>
  <si>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</si>
  <si>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</si>
  <si>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</si>
  <si>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</si>
  <si>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</si>
  <si>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</si>
  <si>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</si>
  <si>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</si>
  <si>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</si>
  <si>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</si>
  <si>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</si>
  <si>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</si>
  <si>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</si>
  <si>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</si>
  <si>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</si>
  <si>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</si>
  <si>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</si>
  <si>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</si>
  <si>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</si>
  <si>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</si>
  <si>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</si>
  <si>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</si>
  <si>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</si>
  <si>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</si>
  <si>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</si>
  <si>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</si>
  <si>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</si>
  <si>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</si>
  <si>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</si>
  <si>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</si>
  <si>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</si>
  <si>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</si>
  <si>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</si>
  <si>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</si>
  <si>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</si>
  <si>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</si>
  <si>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</si>
  <si>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</si>
  <si>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</si>
  <si>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</si>
  <si>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</si>
  <si>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</si>
  <si>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</si>
  <si>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</si>
  <si>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</si>
  <si>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</si>
  <si>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</si>
  <si>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</si>
  <si>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</si>
  <si>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</si>
  <si>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</si>
  <si>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</si>
  <si>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</si>
  <si>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</si>
  <si>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</si>
  <si>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</si>
  <si>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</si>
  <si>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</si>
  <si>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</si>
  <si>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</si>
  <si>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</si>
  <si>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</si>
  <si>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</si>
  <si>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</si>
  <si>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</si>
  <si>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</si>
  <si>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</si>
  <si>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</si>
  <si>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</si>
  <si>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</si>
  <si>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</si>
  <si>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</si>
  <si>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</si>
  <si>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</si>
  <si>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</si>
  <si>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</si>
  <si>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</si>
  <si>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</si>
  <si>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</si>
  <si>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</si>
  <si>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</si>
  <si>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</si>
  <si>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</si>
  <si>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</si>
  <si>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</si>
  <si>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</si>
  <si>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</si>
  <si>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</si>
  <si>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</si>
  <si>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</si>
  <si>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</si>
  <si>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</si>
  <si>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</si>
  <si>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</si>
  <si>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</si>
  <si>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</si>
  <si>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</si>
  <si>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</si>
  <si>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</si>
  <si>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</si>
  <si>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</si>
  <si>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</si>
  <si>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</si>
  <si>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</si>
  <si>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</si>
  <si>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</si>
  <si>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</si>
  <si>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</si>
  <si>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</si>
  <si>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</si>
  <si>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</si>
  <si>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</si>
  <si>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</si>
  <si>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</si>
  <si>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</si>
  <si>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</si>
  <si>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</si>
  <si>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</si>
  <si>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</si>
  <si>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</si>
  <si>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</si>
  <si>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</si>
  <si>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</si>
  <si>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</si>
  <si>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</si>
  <si>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</si>
  <si>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</si>
  <si>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</si>
  <si>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</si>
  <si>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</si>
  <si>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</si>
  <si>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</si>
  <si>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</si>
  <si>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</si>
  <si>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</si>
  <si>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</si>
  <si>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</si>
  <si>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</si>
  <si>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</si>
  <si>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</si>
  <si>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</si>
  <si>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</si>
  <si>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</si>
  <si>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</si>
  <si>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</si>
  <si>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</si>
  <si>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</si>
  <si>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</si>
  <si>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</si>
  <si>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</si>
  <si>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</si>
  <si>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</si>
  <si>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</si>
  <si>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</si>
  <si>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</si>
  <si>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</si>
  <si>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</si>
  <si>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</si>
  <si>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</si>
  <si>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</si>
  <si>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</si>
  <si>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</si>
  <si>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</si>
  <si>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</si>
  <si>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</si>
  <si>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</si>
  <si>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</si>
  <si>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</si>
  <si>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</si>
  <si>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</si>
  <si>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</si>
  <si>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</si>
  <si>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</si>
  <si>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</si>
  <si>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</si>
  <si>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</si>
  <si>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</si>
  <si>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</si>
  <si>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</si>
  <si>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</si>
  <si>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</si>
  <si>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</si>
  <si>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</si>
  <si>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</si>
  <si>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</si>
  <si>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</si>
  <si>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</si>
  <si>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</si>
  <si>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</si>
  <si>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</si>
  <si>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</si>
  <si>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</si>
  <si>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</si>
  <si>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</si>
  <si>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</si>
  <si>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</si>
  <si>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</si>
  <si>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</si>
  <si>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</si>
  <si>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</si>
  <si>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</si>
  <si>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</si>
  <si>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</si>
  <si>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</si>
  <si>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</si>
  <si>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</si>
  <si>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</si>
  <si>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</si>
  <si>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</si>
  <si>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</si>
  <si>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</si>
  <si>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</si>
  <si>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</si>
  <si>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</si>
  <si>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</si>
  <si>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</si>
  <si>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</si>
  <si>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</si>
  <si>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</si>
  <si>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</si>
  <si>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</si>
  <si>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</si>
  <si>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</si>
  <si>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</si>
  <si>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</si>
  <si>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</si>
  <si>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</si>
  <si>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</si>
  <si>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</si>
  <si>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</si>
  <si>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</si>
  <si>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</si>
  <si>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</si>
  <si>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</si>
  <si>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</si>
  <si>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</si>
  <si>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</si>
  <si>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</si>
  <si>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</si>
  <si>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</si>
  <si>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</si>
  <si>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</si>
  <si>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</si>
  <si>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</si>
  <si>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</si>
  <si>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</si>
  <si>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</si>
  <si>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</si>
  <si>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</si>
  <si>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</si>
  <si>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</si>
  <si>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</si>
  <si>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</si>
  <si>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</si>
  <si>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</si>
  <si>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</si>
  <si>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</si>
  <si>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</si>
  <si>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</si>
  <si>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</si>
  <si>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</si>
  <si>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</si>
  <si>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</si>
  <si>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</si>
  <si>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</si>
  <si>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</si>
  <si>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</si>
  <si>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</si>
  <si>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</si>
  <si>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</si>
  <si>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</si>
  <si>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</si>
  <si>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</si>
  <si>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</si>
  <si>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</si>
  <si>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</si>
  <si>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</si>
  <si>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</si>
  <si>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</si>
  <si>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</si>
  <si>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</si>
  <si>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</si>
  <si>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</si>
  <si>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</si>
  <si>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</si>
  <si>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</si>
  <si>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</si>
  <si>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</si>
  <si>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</si>
  <si>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</si>
  <si>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</si>
  <si>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</si>
  <si>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</si>
  <si>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</si>
  <si>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</si>
  <si>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</si>
  <si>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</si>
  <si>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</si>
  <si>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</si>
  <si>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</si>
  <si>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</si>
  <si>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</si>
  <si>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</si>
  <si>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</si>
  <si>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</si>
  <si>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</si>
  <si>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</si>
  <si>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</si>
  <si>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</si>
  <si>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</si>
  <si>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</si>
  <si>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</si>
  <si>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</si>
  <si>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</si>
  <si>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</si>
  <si>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</si>
  <si>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</si>
  <si>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</si>
  <si>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</si>
  <si>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</si>
  <si>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</si>
  <si>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</si>
  <si>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</si>
  <si>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</si>
  <si>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</si>
  <si>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</si>
  <si>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</si>
  <si>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</si>
  <si>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</si>
  <si>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</si>
  <si>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</si>
  <si>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</si>
  <si>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</si>
  <si>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</si>
  <si>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</si>
  <si>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</si>
  <si>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</si>
  <si>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</si>
  <si>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</si>
  <si>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</si>
  <si>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</si>
  <si>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</si>
  <si>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</si>
  <si>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</si>
  <si>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</si>
  <si>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</si>
  <si>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</si>
  <si>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</si>
  <si>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</si>
  <si>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</si>
  <si>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</si>
  <si>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</si>
  <si>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</si>
  <si>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</si>
  <si>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</si>
  <si>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</si>
  <si>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</si>
  <si>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</si>
  <si>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</si>
  <si>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</si>
  <si>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</si>
  <si>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</si>
  <si>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</si>
  <si>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</si>
  <si>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</si>
  <si>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</si>
  <si>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</si>
  <si>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</si>
  <si>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</si>
  <si>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</si>
  <si>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</si>
  <si>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</si>
  <si>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</si>
  <si>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</si>
  <si>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</si>
  <si>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</si>
  <si>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</si>
  <si>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</si>
  <si>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</si>
  <si>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</si>
  <si>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</si>
  <si>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</si>
  <si>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</si>
  <si>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</si>
  <si>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</si>
  <si>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</si>
  <si>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</si>
  <si>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</si>
  <si>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</si>
  <si>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</si>
  <si>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</si>
  <si>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</si>
  <si>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</si>
  <si>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</si>
  <si>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</si>
  <si>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</si>
  <si>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</si>
  <si>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</si>
  <si>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</si>
  <si>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</si>
  <si>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</si>
  <si>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</si>
  <si>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</si>
  <si>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</si>
  <si>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</si>
  <si>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</si>
  <si>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</si>
  <si>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</si>
  <si>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</si>
  <si>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</si>
  <si>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</si>
  <si>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</si>
  <si>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</si>
  <si>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</si>
  <si>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</si>
  <si>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</si>
  <si>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</si>
  <si>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</si>
  <si>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</si>
  <si>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</si>
  <si>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</si>
  <si>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</si>
  <si>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</si>
  <si>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</si>
  <si>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</si>
  <si>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</si>
  <si>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</si>
  <si>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</si>
  <si>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</si>
  <si>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</si>
  <si>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</si>
  <si>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</si>
  <si>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</si>
  <si>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</si>
  <si>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</si>
  <si>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</si>
  <si>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</si>
  <si>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</si>
  <si>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</si>
  <si>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</si>
  <si>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</si>
  <si>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</si>
  <si>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</si>
  <si>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</si>
  <si>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</si>
  <si>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</si>
  <si>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</si>
  <si>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</si>
  <si>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</si>
  <si>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</si>
  <si>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</si>
  <si>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</si>
  <si>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</si>
  <si>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</si>
  <si>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</si>
  <si>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</si>
  <si>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</si>
  <si>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</si>
  <si>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</si>
  <si>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</si>
  <si>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</si>
  <si>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</si>
  <si>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</si>
  <si>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</si>
  <si>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</si>
  <si>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</si>
  <si>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</si>
  <si>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</si>
  <si>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</si>
  <si>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</si>
  <si>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</si>
  <si>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</si>
  <si>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</si>
  <si>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</si>
  <si>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</si>
  <si>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</si>
  <si>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</si>
  <si>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</si>
  <si>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</si>
  <si>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</si>
  <si>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</si>
  <si>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</si>
  <si>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</si>
  <si>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</si>
  <si>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</si>
  <si>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</si>
  <si>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</si>
  <si>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</si>
  <si>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</si>
  <si>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</si>
  <si>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</si>
  <si>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</si>
  <si>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</si>
  <si>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</si>
  <si>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</si>
  <si>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</si>
  <si>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</si>
  <si>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</si>
  <si>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</si>
  <si>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</si>
  <si>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</si>
  <si>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Magnificent maidens project. See RR v5k.xlsx #29 &amp; #30 with adjustments</t>
  </si>
  <si>
    <t>See RR v5k.xlsx #24 &amp; #25</t>
  </si>
  <si>
    <t>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</si>
  <si>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Reproduction rate 2 tooths: Dam LW at Joining (Quadratic, requires back transforming)</t>
  </si>
  <si>
    <t>See RR v5c.xlsx #16 &amp; #18</t>
  </si>
  <si>
    <t>Triplets project.</t>
  </si>
  <si>
    <t>Expo-power</t>
  </si>
  <si>
    <t>CVaR</t>
  </si>
  <si>
    <t>Risk functions hooked up in AFO</t>
  </si>
  <si>
    <t>Risk Neutral</t>
  </si>
  <si>
    <t>Tail Alpha</t>
  </si>
  <si>
    <t>Tail lambda</t>
  </si>
  <si>
    <t>Expo</t>
  </si>
  <si>
    <t>LambSurv v5i.xlsm</t>
  </si>
  <si>
    <t>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</si>
</sst>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5">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2325</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2319</v>
      </c>
      <c r="G20" s="383" t="s">
        <v>3797</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35">
      <c r="A22" s="45"/>
      <c r="B22" s="54"/>
      <c r="C22" s="73"/>
      <c r="D22" s="73"/>
      <c r="E22" s="94"/>
      <c r="F22" s="350" t="s">
        <v>2326</v>
      </c>
      <c r="G22" s="94"/>
      <c r="H22" s="94"/>
      <c r="I22" s="94"/>
      <c r="J22" s="94"/>
      <c r="K22" s="350" t="s">
        <v>2320</v>
      </c>
      <c r="L22" s="94"/>
      <c r="M22" s="94"/>
      <c r="N22" s="350" t="s">
        <v>2321</v>
      </c>
      <c r="O22" s="94"/>
      <c r="P22" s="94"/>
      <c r="Q22" s="350" t="s">
        <v>3794</v>
      </c>
      <c r="R22" s="94"/>
      <c r="S22" s="94"/>
      <c r="T22" s="350" t="s">
        <v>3795</v>
      </c>
      <c r="U22" s="94"/>
      <c r="V22" s="94"/>
      <c r="W22" s="73"/>
      <c r="X22" s="57"/>
      <c r="Y22" s="45"/>
      <c r="Z22" s="45"/>
      <c r="AA22" s="45"/>
    </row>
    <row r="23" spans="1:27" ht="70" outlineLevel="3" x14ac:dyDescent="0.35">
      <c r="A23" s="45"/>
      <c r="B23" s="54"/>
      <c r="C23" s="73"/>
      <c r="D23" s="73"/>
      <c r="E23" s="76"/>
      <c r="F23" s="354" t="s">
        <v>3796</v>
      </c>
      <c r="G23" s="631" t="s">
        <v>3797</v>
      </c>
      <c r="H23" s="76"/>
      <c r="I23" s="76"/>
      <c r="J23" s="76"/>
      <c r="K23" s="354" t="s">
        <v>2322</v>
      </c>
      <c r="L23" s="351">
        <v>1.1999999999999999E-6</v>
      </c>
      <c r="M23" s="76"/>
      <c r="N23" s="354" t="s">
        <v>2323</v>
      </c>
      <c r="O23" s="351">
        <v>0.7</v>
      </c>
      <c r="P23" s="76"/>
      <c r="Q23" s="354" t="s">
        <v>9</v>
      </c>
      <c r="R23" s="351">
        <v>0.64</v>
      </c>
      <c r="S23" s="76"/>
      <c r="T23" s="354" t="s">
        <v>3798</v>
      </c>
      <c r="U23" s="351">
        <v>0.9</v>
      </c>
      <c r="V23" s="76"/>
      <c r="W23" s="73"/>
      <c r="X23" s="57"/>
      <c r="Y23" s="45"/>
      <c r="Z23" s="45"/>
      <c r="AA23" s="45"/>
    </row>
    <row r="24" spans="1:27" outlineLevel="3" x14ac:dyDescent="0.35">
      <c r="A24" s="45"/>
      <c r="B24" s="54"/>
      <c r="C24" s="73"/>
      <c r="D24" s="73"/>
      <c r="E24" s="76"/>
      <c r="F24" s="76"/>
      <c r="G24" s="353" t="s">
        <v>2320</v>
      </c>
      <c r="H24" s="76"/>
      <c r="I24" s="76"/>
      <c r="J24" s="76"/>
      <c r="K24" s="76"/>
      <c r="L24" s="76"/>
      <c r="M24" s="76"/>
      <c r="N24" s="76"/>
      <c r="O24" s="76"/>
      <c r="P24" s="76"/>
      <c r="Q24" s="76" t="s">
        <v>2298</v>
      </c>
      <c r="R24" s="351">
        <v>-4.6119999999999998E-3</v>
      </c>
      <c r="S24" s="76"/>
      <c r="T24" s="76" t="s">
        <v>3799</v>
      </c>
      <c r="U24" s="351">
        <v>0.5</v>
      </c>
      <c r="V24" s="76"/>
      <c r="W24" s="73"/>
      <c r="X24" s="57"/>
      <c r="Y24" s="45"/>
      <c r="Z24" s="45"/>
      <c r="AA24" s="45"/>
    </row>
    <row r="25" spans="1:27" outlineLevel="3" x14ac:dyDescent="0.35">
      <c r="A25" s="45"/>
      <c r="B25" s="54"/>
      <c r="C25" s="73"/>
      <c r="D25" s="73"/>
      <c r="E25" s="76"/>
      <c r="F25" s="76"/>
      <c r="G25" s="353" t="s">
        <v>2321</v>
      </c>
      <c r="H25" s="76"/>
      <c r="I25" s="76"/>
      <c r="J25" s="76"/>
      <c r="K25" s="76"/>
      <c r="L25" s="76"/>
      <c r="M25" s="76"/>
      <c r="N25" s="76"/>
      <c r="O25" s="76"/>
      <c r="P25" s="76"/>
      <c r="Q25" s="76"/>
      <c r="R25" s="76"/>
      <c r="S25" s="76"/>
      <c r="T25" s="76"/>
      <c r="U25" s="76"/>
      <c r="V25" s="76"/>
      <c r="W25" s="73"/>
      <c r="X25" s="57"/>
      <c r="Y25" s="45"/>
      <c r="Z25" s="45"/>
      <c r="AA25" s="45"/>
    </row>
    <row r="26" spans="1:27" outlineLevel="3" x14ac:dyDescent="0.35">
      <c r="A26" s="45"/>
      <c r="B26" s="54"/>
      <c r="C26" s="73"/>
      <c r="D26" s="73"/>
      <c r="E26" s="76"/>
      <c r="F26" s="76"/>
      <c r="G26" s="353" t="s">
        <v>3800</v>
      </c>
      <c r="H26" s="76"/>
      <c r="I26" s="76"/>
      <c r="J26" s="76"/>
      <c r="K26" s="76"/>
      <c r="L26" s="76"/>
      <c r="M26" s="76"/>
      <c r="N26" s="76"/>
      <c r="O26" s="76"/>
      <c r="P26" s="76" t="s">
        <v>2324</v>
      </c>
      <c r="Q26" s="351">
        <v>500000</v>
      </c>
      <c r="R26" s="76"/>
      <c r="S26" s="76"/>
      <c r="T26" s="76"/>
      <c r="U26" s="76"/>
      <c r="V26" s="76"/>
      <c r="W26" s="73"/>
      <c r="X26" s="57"/>
      <c r="Y26" s="45"/>
      <c r="Z26" s="45"/>
      <c r="AA26" s="45"/>
    </row>
    <row r="27" spans="1:27" outlineLevel="3" x14ac:dyDescent="0.35">
      <c r="A27" s="45"/>
      <c r="B27" s="54"/>
      <c r="C27" s="73"/>
      <c r="D27" s="73"/>
      <c r="E27" s="76"/>
      <c r="F27" s="76"/>
      <c r="G27" s="353" t="s">
        <v>3795</v>
      </c>
      <c r="H27" s="76"/>
      <c r="I27" s="76"/>
      <c r="J27" s="76"/>
      <c r="K27" s="76"/>
      <c r="L27" s="76"/>
      <c r="M27" s="76"/>
      <c r="N27" s="76"/>
      <c r="O27" s="76"/>
      <c r="P27" s="76"/>
      <c r="Q27" s="76"/>
      <c r="R27" s="76"/>
      <c r="S27" s="76"/>
      <c r="T27" s="76"/>
      <c r="U27" s="76"/>
      <c r="V27" s="76"/>
      <c r="W27" s="73"/>
      <c r="X27" s="57"/>
      <c r="Y27" s="45"/>
      <c r="Z27" s="45"/>
      <c r="AA27" s="45"/>
    </row>
    <row r="28" spans="1:27" outlineLevel="3" x14ac:dyDescent="0.3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15" customHeight="1" outlineLevel="3" x14ac:dyDescent="0.3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15" customHeight="1" outlineLevel="2" x14ac:dyDescent="0.3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15" customHeight="1" outlineLevel="1" x14ac:dyDescent="0.3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15" customHeight="1" x14ac:dyDescent="0.3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3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3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15" customHeight="1" outlineLevel="1" thickBot="1" x14ac:dyDescent="0.4">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15" customHeight="1" outlineLevel="1" x14ac:dyDescent="0.35">
      <c r="A37" s="7"/>
      <c r="B37" s="8"/>
      <c r="C37" s="10" t="s">
        <v>86</v>
      </c>
      <c r="D37" s="10"/>
      <c r="E37" s="10"/>
      <c r="F37" s="10"/>
      <c r="G37" s="10"/>
      <c r="H37" s="10"/>
      <c r="I37" s="10"/>
      <c r="J37" s="10"/>
      <c r="K37" s="616"/>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35">
      <c r="A38" s="7"/>
      <c r="B38" s="8"/>
      <c r="C38" s="13"/>
      <c r="D38" s="13"/>
      <c r="E38" s="13" t="s">
        <v>87</v>
      </c>
      <c r="F38" s="14"/>
      <c r="G38" s="15" t="s">
        <v>3468</v>
      </c>
      <c r="H38" s="14"/>
      <c r="I38" s="14" t="s">
        <v>3469</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3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3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35">
      <c r="A41" s="7"/>
      <c r="B41" s="8"/>
      <c r="C41" s="18"/>
      <c r="D41" s="18"/>
      <c r="E41" s="18"/>
      <c r="F41" s="18"/>
      <c r="G41" s="18"/>
      <c r="H41" s="18"/>
      <c r="I41" s="18" t="s">
        <v>3470</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3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35">
      <c r="A43" s="7"/>
      <c r="B43" s="8"/>
      <c r="C43" s="18"/>
      <c r="D43" s="18"/>
      <c r="E43" s="18"/>
      <c r="F43" s="18"/>
      <c r="G43" s="18" t="s">
        <v>3471</v>
      </c>
      <c r="H43" s="18" t="s">
        <v>3472</v>
      </c>
      <c r="I43" s="18" t="s">
        <v>3473</v>
      </c>
      <c r="J43" s="18" t="s">
        <v>3474</v>
      </c>
      <c r="K43" s="18" t="s">
        <v>3475</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35">
      <c r="A44" s="7"/>
      <c r="B44" s="8"/>
      <c r="C44" s="18"/>
      <c r="D44" s="18"/>
      <c r="E44" s="18"/>
      <c r="F44" s="543"/>
      <c r="G44" s="519" t="s">
        <v>45</v>
      </c>
      <c r="H44" s="617">
        <f>29+22</f>
        <v>51</v>
      </c>
      <c r="I44" s="617">
        <v>1.3</v>
      </c>
      <c r="J44" s="617">
        <v>0</v>
      </c>
      <c r="K44" s="624">
        <v>0</v>
      </c>
      <c r="L44" s="618"/>
      <c r="M44" s="618"/>
      <c r="N44" s="618"/>
      <c r="O44" s="618"/>
      <c r="P44" s="618"/>
      <c r="Q44" s="619"/>
      <c r="R44" s="619"/>
      <c r="S44" s="619"/>
      <c r="T44" s="619"/>
      <c r="U44" s="619"/>
      <c r="V44" s="620"/>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35">
      <c r="A45" s="7"/>
      <c r="B45" s="8"/>
      <c r="C45" s="18"/>
      <c r="D45" s="18"/>
      <c r="E45" s="18"/>
      <c r="F45" s="543"/>
      <c r="G45" s="519" t="s">
        <v>3480</v>
      </c>
      <c r="H45" s="617">
        <v>536</v>
      </c>
      <c r="I45" s="617">
        <v>1.17</v>
      </c>
      <c r="J45" s="617">
        <v>0</v>
      </c>
      <c r="K45" s="624">
        <v>0</v>
      </c>
      <c r="L45" s="618"/>
      <c r="M45" s="618"/>
      <c r="N45" s="618"/>
      <c r="O45" s="618"/>
      <c r="P45" s="618"/>
      <c r="Q45" s="619"/>
      <c r="R45" s="619"/>
      <c r="S45" s="619"/>
      <c r="T45" s="619"/>
      <c r="U45" s="619"/>
      <c r="V45" s="620"/>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35">
      <c r="A46" s="7"/>
      <c r="B46" s="8"/>
      <c r="C46" s="18"/>
      <c r="D46" s="18"/>
      <c r="E46" s="18"/>
      <c r="F46" s="543"/>
      <c r="G46" s="519" t="s">
        <v>3481</v>
      </c>
      <c r="H46" s="617">
        <v>1017</v>
      </c>
      <c r="I46" s="617">
        <f>0.6*I49+0.4*I48</f>
        <v>0.99800000000000011</v>
      </c>
      <c r="J46" s="629">
        <f>0.6*J49+0.4*J48</f>
        <v>6.6000000000000003E-2</v>
      </c>
      <c r="K46" s="624">
        <v>0</v>
      </c>
      <c r="L46" s="618"/>
      <c r="M46" s="618"/>
      <c r="N46" s="618"/>
      <c r="O46" s="618"/>
      <c r="P46" s="618"/>
      <c r="Q46" s="619"/>
      <c r="R46" s="619"/>
      <c r="S46" s="619"/>
      <c r="T46" s="619"/>
      <c r="U46" s="619"/>
      <c r="V46" s="620"/>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35">
      <c r="A47" s="7"/>
      <c r="B47" s="8"/>
      <c r="C47" s="18"/>
      <c r="D47" s="18"/>
      <c r="E47" s="18"/>
      <c r="F47" s="543"/>
      <c r="G47" s="519" t="s">
        <v>3484</v>
      </c>
      <c r="H47" s="617">
        <f>453+22</f>
        <v>475</v>
      </c>
      <c r="I47" s="617">
        <v>1.08</v>
      </c>
      <c r="J47" s="629">
        <v>0.21</v>
      </c>
      <c r="K47" s="624">
        <v>0</v>
      </c>
      <c r="L47" s="618"/>
      <c r="M47" s="618"/>
      <c r="N47" s="618"/>
      <c r="O47" s="618"/>
      <c r="P47" s="618"/>
      <c r="Q47" s="619"/>
      <c r="R47" s="619"/>
      <c r="S47" s="619"/>
      <c r="T47" s="619"/>
      <c r="U47" s="619"/>
      <c r="V47" s="620"/>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35">
      <c r="A48" s="7"/>
      <c r="B48" s="8"/>
      <c r="C48" s="18"/>
      <c r="D48" s="18"/>
      <c r="E48" s="18"/>
      <c r="F48" s="543"/>
      <c r="G48" s="519" t="s">
        <v>44</v>
      </c>
      <c r="H48" s="617">
        <f>676+22</f>
        <v>698</v>
      </c>
      <c r="I48" s="617">
        <v>1.1000000000000001</v>
      </c>
      <c r="J48" s="617">
        <v>0</v>
      </c>
      <c r="K48" s="624">
        <v>0</v>
      </c>
      <c r="L48" s="618"/>
      <c r="M48" s="618"/>
      <c r="N48" s="618"/>
      <c r="O48" s="618"/>
      <c r="P48" s="618"/>
      <c r="Q48" s="619"/>
      <c r="R48" s="619"/>
      <c r="S48" s="619"/>
      <c r="T48" s="619"/>
      <c r="U48" s="619"/>
      <c r="V48" s="620"/>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35">
      <c r="A49" s="7"/>
      <c r="B49" s="8"/>
      <c r="C49" s="18"/>
      <c r="D49" s="18"/>
      <c r="E49" s="18"/>
      <c r="F49" s="543"/>
      <c r="G49" s="519" t="s">
        <v>3482</v>
      </c>
      <c r="H49" s="617">
        <f>1209+22</f>
        <v>1231</v>
      </c>
      <c r="I49" s="617">
        <v>0.93</v>
      </c>
      <c r="J49" s="624">
        <v>0.11</v>
      </c>
      <c r="K49" s="624">
        <v>0</v>
      </c>
      <c r="L49" s="618"/>
      <c r="M49" s="618"/>
      <c r="N49" s="618"/>
      <c r="O49" s="618"/>
      <c r="P49" s="618"/>
      <c r="Q49" s="619"/>
      <c r="R49" s="619"/>
      <c r="S49" s="619"/>
      <c r="T49" s="619"/>
      <c r="U49" s="619"/>
      <c r="V49" s="620"/>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35">
      <c r="A50" s="7"/>
      <c r="B50" s="8"/>
      <c r="C50" s="18"/>
      <c r="D50" s="18"/>
      <c r="E50" s="18"/>
      <c r="F50" s="543"/>
      <c r="G50" s="519" t="s">
        <v>3483</v>
      </c>
      <c r="H50" s="617">
        <f>674+22</f>
        <v>696</v>
      </c>
      <c r="I50" s="617">
        <v>0.95</v>
      </c>
      <c r="J50" s="624">
        <v>0.34300000000000003</v>
      </c>
      <c r="K50" s="624">
        <v>0.6</v>
      </c>
      <c r="L50" s="618"/>
      <c r="M50" s="618"/>
      <c r="N50" s="618"/>
      <c r="O50" s="618"/>
      <c r="P50" s="618"/>
      <c r="Q50" s="619"/>
      <c r="R50" s="619"/>
      <c r="S50" s="619"/>
      <c r="T50" s="619"/>
      <c r="U50" s="619"/>
      <c r="V50" s="620"/>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35">
      <c r="A51" s="7"/>
      <c r="B51" s="8"/>
      <c r="C51" s="18"/>
      <c r="D51" s="18"/>
      <c r="E51" s="18"/>
      <c r="F51" s="543"/>
      <c r="G51" s="621" t="s">
        <v>69</v>
      </c>
      <c r="H51" s="617">
        <f>1083+22</f>
        <v>1105</v>
      </c>
      <c r="I51" s="617">
        <v>0.97</v>
      </c>
      <c r="J51" s="622">
        <v>0.27600000000000002</v>
      </c>
      <c r="K51" s="624">
        <v>0</v>
      </c>
      <c r="L51" s="618"/>
      <c r="M51" s="618"/>
      <c r="N51" s="618"/>
      <c r="O51" s="618"/>
      <c r="P51" s="618"/>
      <c r="Q51" s="619"/>
      <c r="R51" s="619"/>
      <c r="S51" s="619"/>
      <c r="T51" s="619"/>
      <c r="U51" s="619"/>
      <c r="V51" s="620"/>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35">
      <c r="A52" s="7"/>
      <c r="B52" s="8"/>
      <c r="C52" s="18"/>
      <c r="D52" s="18"/>
      <c r="E52" s="18"/>
      <c r="F52" s="543"/>
      <c r="G52" s="623" t="s">
        <v>2909</v>
      </c>
      <c r="H52" s="617">
        <f>830+30</f>
        <v>860</v>
      </c>
      <c r="I52" s="617">
        <v>0.7</v>
      </c>
      <c r="J52" s="629">
        <v>0.46</v>
      </c>
      <c r="K52" s="624">
        <v>1</v>
      </c>
      <c r="L52" s="618"/>
      <c r="M52" s="618"/>
      <c r="N52" s="618"/>
      <c r="O52" s="618"/>
      <c r="Q52" s="619"/>
      <c r="R52" s="619"/>
      <c r="S52" s="619"/>
      <c r="T52" s="619"/>
      <c r="U52" s="619"/>
      <c r="V52" s="62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35">
      <c r="A53" s="7"/>
      <c r="B53" s="8"/>
      <c r="C53" s="18"/>
      <c r="D53" s="18"/>
      <c r="E53" s="18"/>
      <c r="F53" s="543"/>
      <c r="G53" s="623" t="s">
        <v>2545</v>
      </c>
      <c r="H53" s="617">
        <f>621+22</f>
        <v>643</v>
      </c>
      <c r="I53" s="617">
        <v>1.32</v>
      </c>
      <c r="J53" s="624">
        <v>0.32</v>
      </c>
      <c r="K53" s="624">
        <v>0.35</v>
      </c>
      <c r="L53" s="618"/>
      <c r="M53" s="618"/>
      <c r="N53" s="618"/>
      <c r="O53" s="618"/>
      <c r="P53" s="28"/>
      <c r="Q53" s="619"/>
      <c r="R53" s="619"/>
      <c r="S53" s="619"/>
      <c r="T53" s="619"/>
      <c r="U53" s="619"/>
      <c r="V53" s="620"/>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35">
      <c r="A54" s="7"/>
      <c r="B54" s="8"/>
      <c r="C54" s="18"/>
      <c r="D54" s="18"/>
      <c r="E54" s="18"/>
      <c r="F54" s="543"/>
      <c r="R54" s="625"/>
      <c r="S54" s="625"/>
      <c r="T54" s="625"/>
      <c r="U54" s="625"/>
      <c r="V54" s="620"/>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35">
      <c r="A55" s="7"/>
      <c r="B55" s="8"/>
      <c r="C55" s="18"/>
      <c r="D55" s="18"/>
      <c r="E55" s="18"/>
      <c r="F55" s="543"/>
      <c r="H55" s="28"/>
      <c r="I55" s="28"/>
      <c r="J55" s="626"/>
      <c r="K55" s="626"/>
      <c r="L55" s="626"/>
      <c r="M55" s="626"/>
      <c r="N55" s="626"/>
      <c r="O55" s="626"/>
      <c r="Q55" s="626"/>
      <c r="R55" s="625"/>
      <c r="S55" s="625"/>
      <c r="T55" s="625"/>
      <c r="U55" s="625"/>
      <c r="V55" s="620"/>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35">
      <c r="A56" s="7"/>
      <c r="B56" s="8"/>
      <c r="C56" s="18"/>
      <c r="D56" s="18"/>
      <c r="E56" s="18"/>
      <c r="F56" s="543"/>
      <c r="O56" s="618"/>
      <c r="Q56" s="619"/>
      <c r="R56" s="619"/>
      <c r="S56" s="619"/>
      <c r="T56" s="619"/>
      <c r="U56" s="619"/>
      <c r="V56" s="620"/>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35">
      <c r="A57" s="7"/>
      <c r="B57" s="8"/>
      <c r="C57" s="18"/>
      <c r="D57" s="18"/>
      <c r="E57" s="18"/>
      <c r="F57" s="543"/>
      <c r="O57" s="618"/>
      <c r="P57" s="618"/>
      <c r="Q57" s="619"/>
      <c r="R57" s="619"/>
      <c r="S57" s="619"/>
      <c r="T57" s="619"/>
      <c r="U57" s="619"/>
      <c r="V57" s="620"/>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35">
      <c r="A58" s="7"/>
      <c r="B58" s="8"/>
      <c r="C58" s="18"/>
      <c r="D58" s="18"/>
      <c r="E58" s="18"/>
      <c r="F58" s="543"/>
      <c r="O58" s="618"/>
      <c r="P58" s="618"/>
      <c r="Q58" s="619"/>
      <c r="R58" s="619"/>
      <c r="S58" s="619"/>
      <c r="T58" s="619"/>
      <c r="U58" s="619"/>
      <c r="V58" s="620"/>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35">
      <c r="A59" s="7"/>
      <c r="B59" s="8"/>
      <c r="C59" s="18"/>
      <c r="D59" s="18"/>
      <c r="E59" s="18"/>
      <c r="F59" s="543"/>
      <c r="O59" s="618"/>
      <c r="P59" s="618"/>
      <c r="Q59" s="619"/>
      <c r="R59" s="619"/>
      <c r="S59" s="619"/>
      <c r="T59" s="619"/>
      <c r="U59" s="619"/>
      <c r="V59" s="620"/>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15" customHeight="1" outlineLevel="1" x14ac:dyDescent="0.3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4" customHeight="1" outlineLevel="1" x14ac:dyDescent="0.3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35"/>
    <row r="65" spans="7:13" x14ac:dyDescent="0.35">
      <c r="G65" t="s">
        <v>2296</v>
      </c>
      <c r="I65" t="s">
        <v>2297</v>
      </c>
      <c r="K65" t="s">
        <v>2703</v>
      </c>
      <c r="M65" t="s">
        <v>2704</v>
      </c>
    </row>
    <row r="66" spans="7:13" x14ac:dyDescent="0.35">
      <c r="G66" s="338" t="s">
        <v>4</v>
      </c>
      <c r="I66" s="338" t="s">
        <v>2298</v>
      </c>
      <c r="K66" s="338" t="s">
        <v>45</v>
      </c>
      <c r="M66" s="428" t="s">
        <v>2705</v>
      </c>
    </row>
    <row r="67" spans="7:13" x14ac:dyDescent="0.35">
      <c r="G67" s="339" t="s">
        <v>2290</v>
      </c>
      <c r="I67" s="339" t="s">
        <v>2562</v>
      </c>
      <c r="K67" s="339" t="s">
        <v>2910</v>
      </c>
      <c r="M67" s="429" t="s">
        <v>2706</v>
      </c>
    </row>
    <row r="68" spans="7:13" ht="43.5" x14ac:dyDescent="0.35">
      <c r="G68" s="339" t="s">
        <v>10</v>
      </c>
      <c r="I68" s="339" t="s">
        <v>4</v>
      </c>
      <c r="K68" s="339" t="s">
        <v>2695</v>
      </c>
      <c r="M68" s="429" t="s">
        <v>2707</v>
      </c>
    </row>
    <row r="69" spans="7:13" x14ac:dyDescent="0.35">
      <c r="G69" t="s">
        <v>60</v>
      </c>
      <c r="H69" s="343"/>
      <c r="I69" s="339" t="s">
        <v>2290</v>
      </c>
      <c r="K69" s="339" t="s">
        <v>2696</v>
      </c>
      <c r="M69" s="430" t="s">
        <v>2708</v>
      </c>
    </row>
    <row r="70" spans="7:13" x14ac:dyDescent="0.35">
      <c r="G70" s="339" t="s">
        <v>61</v>
      </c>
      <c r="I70" s="339" t="s">
        <v>10</v>
      </c>
      <c r="K70" s="340" t="s">
        <v>2911</v>
      </c>
    </row>
    <row r="71" spans="7:13" x14ac:dyDescent="0.35">
      <c r="G71" s="339" t="s">
        <v>62</v>
      </c>
      <c r="I71" s="339" t="s">
        <v>60</v>
      </c>
    </row>
    <row r="72" spans="7:13" x14ac:dyDescent="0.35">
      <c r="G72" s="339" t="s">
        <v>7</v>
      </c>
      <c r="I72" s="339" t="s">
        <v>61</v>
      </c>
    </row>
    <row r="73" spans="7:13" x14ac:dyDescent="0.35">
      <c r="G73" s="339" t="s">
        <v>3283</v>
      </c>
      <c r="I73" s="339" t="s">
        <v>2299</v>
      </c>
    </row>
    <row r="74" spans="7:13" x14ac:dyDescent="0.35">
      <c r="G74" s="339" t="s">
        <v>3208</v>
      </c>
      <c r="I74" s="339" t="s">
        <v>107</v>
      </c>
    </row>
    <row r="75" spans="7:13" x14ac:dyDescent="0.35">
      <c r="G75" s="339" t="s">
        <v>6</v>
      </c>
      <c r="I75" s="339" t="s">
        <v>62</v>
      </c>
    </row>
    <row r="76" spans="7:13" x14ac:dyDescent="0.35">
      <c r="G76" s="339" t="s">
        <v>2294</v>
      </c>
      <c r="I76" s="339" t="s">
        <v>7</v>
      </c>
    </row>
    <row r="77" spans="7:13" x14ac:dyDescent="0.35">
      <c r="G77" s="339" t="s">
        <v>72</v>
      </c>
      <c r="I77" s="339" t="s">
        <v>3283</v>
      </c>
    </row>
    <row r="78" spans="7:13" x14ac:dyDescent="0.35">
      <c r="G78" s="339" t="s">
        <v>9</v>
      </c>
      <c r="I78" s="339" t="s">
        <v>113</v>
      </c>
    </row>
    <row r="79" spans="7:13" x14ac:dyDescent="0.35">
      <c r="G79" s="339" t="s">
        <v>2293</v>
      </c>
      <c r="I79" s="339" t="s">
        <v>3208</v>
      </c>
    </row>
    <row r="80" spans="7:13" x14ac:dyDescent="0.35">
      <c r="G80" s="339" t="s">
        <v>63</v>
      </c>
      <c r="I80" s="339" t="s">
        <v>6</v>
      </c>
    </row>
    <row r="81" spans="7:9" x14ac:dyDescent="0.35">
      <c r="G81" s="339" t="s">
        <v>5</v>
      </c>
      <c r="I81" s="339" t="s">
        <v>2294</v>
      </c>
    </row>
    <row r="82" spans="7:9" x14ac:dyDescent="0.35">
      <c r="G82" s="339" t="s">
        <v>2292</v>
      </c>
      <c r="I82" s="339" t="s">
        <v>72</v>
      </c>
    </row>
    <row r="83" spans="7:9" x14ac:dyDescent="0.35">
      <c r="G83" s="339" t="s">
        <v>8</v>
      </c>
      <c r="I83" s="339" t="s">
        <v>9</v>
      </c>
    </row>
    <row r="84" spans="7:9" x14ac:dyDescent="0.35">
      <c r="G84" s="340" t="s">
        <v>2291</v>
      </c>
      <c r="I84" s="339" t="s">
        <v>2293</v>
      </c>
    </row>
    <row r="85" spans="7:9" x14ac:dyDescent="0.35">
      <c r="I85" s="339" t="s">
        <v>2300</v>
      </c>
    </row>
    <row r="86" spans="7:9" x14ac:dyDescent="0.35">
      <c r="I86" s="339" t="s">
        <v>2548</v>
      </c>
    </row>
    <row r="87" spans="7:9" x14ac:dyDescent="0.35">
      <c r="I87" s="339" t="s">
        <v>2301</v>
      </c>
    </row>
    <row r="88" spans="7:9" x14ac:dyDescent="0.35">
      <c r="I88" s="339" t="s">
        <v>106</v>
      </c>
    </row>
    <row r="89" spans="7:9" x14ac:dyDescent="0.35">
      <c r="I89" s="339" t="s">
        <v>2302</v>
      </c>
    </row>
    <row r="90" spans="7:9" x14ac:dyDescent="0.35">
      <c r="I90" s="339" t="s">
        <v>108</v>
      </c>
    </row>
    <row r="91" spans="7:9" x14ac:dyDescent="0.35">
      <c r="I91" s="339" t="s">
        <v>63</v>
      </c>
    </row>
    <row r="92" spans="7:9" x14ac:dyDescent="0.35">
      <c r="I92" s="339" t="s">
        <v>5</v>
      </c>
    </row>
    <row r="93" spans="7:9" x14ac:dyDescent="0.35">
      <c r="I93" s="339" t="s">
        <v>2292</v>
      </c>
    </row>
    <row r="94" spans="7:9" x14ac:dyDescent="0.35">
      <c r="I94" s="339" t="s">
        <v>2303</v>
      </c>
    </row>
    <row r="95" spans="7:9" x14ac:dyDescent="0.35">
      <c r="I95" s="339" t="s">
        <v>109</v>
      </c>
    </row>
    <row r="96" spans="7:9" x14ac:dyDescent="0.35">
      <c r="I96" s="339" t="s">
        <v>8</v>
      </c>
    </row>
    <row r="97" spans="9:9" x14ac:dyDescent="0.35">
      <c r="I97" s="340" t="s">
        <v>2291</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3014</v>
      </c>
    </row>
    <row r="9" spans="1:3" x14ac:dyDescent="0.35">
      <c r="A9" s="341" t="str">
        <f>General!G66</f>
        <v>b</v>
      </c>
      <c r="B9">
        <v>680</v>
      </c>
      <c r="C9" s="1" t="s">
        <v>2888</v>
      </c>
    </row>
    <row r="10" spans="1:3" x14ac:dyDescent="0.35">
      <c r="A10" s="341" t="str">
        <f>General!G67</f>
        <v>bd</v>
      </c>
      <c r="B10">
        <v>680</v>
      </c>
      <c r="C10" s="1" t="s">
        <v>2888</v>
      </c>
    </row>
    <row r="11" spans="1:3" x14ac:dyDescent="0.35">
      <c r="A11" s="341" t="str">
        <f>General!G68</f>
        <v>f</v>
      </c>
      <c r="B11">
        <v>680</v>
      </c>
      <c r="C11" s="1" t="s">
        <v>2888</v>
      </c>
    </row>
    <row r="12" spans="1:3" x14ac:dyDescent="0.35">
      <c r="A12" s="341" t="str">
        <f>General!G69</f>
        <v>h</v>
      </c>
      <c r="B12">
        <v>680</v>
      </c>
      <c r="C12" s="1" t="s">
        <v>2888</v>
      </c>
    </row>
    <row r="13" spans="1:3" x14ac:dyDescent="0.35">
      <c r="A13" s="341" t="str">
        <f>General!G70</f>
        <v>i</v>
      </c>
      <c r="B13">
        <v>680</v>
      </c>
      <c r="C13" s="1" t="s">
        <v>2888</v>
      </c>
    </row>
    <row r="14" spans="1:3" x14ac:dyDescent="0.35">
      <c r="A14" s="341" t="str">
        <f>General!G71</f>
        <v>k</v>
      </c>
      <c r="B14">
        <v>680</v>
      </c>
      <c r="C14" s="1" t="s">
        <v>2888</v>
      </c>
    </row>
    <row r="15" spans="1:3" x14ac:dyDescent="0.35">
      <c r="A15" s="341" t="str">
        <f>General!G72</f>
        <v>l</v>
      </c>
      <c r="B15">
        <v>680</v>
      </c>
      <c r="C15" s="1" t="s">
        <v>2888</v>
      </c>
    </row>
    <row r="16" spans="1:3" x14ac:dyDescent="0.35">
      <c r="A16" s="341" t="str">
        <f>General!G73</f>
        <v>lf</v>
      </c>
      <c r="B16">
        <v>680</v>
      </c>
      <c r="C16" s="1" t="s">
        <v>2888</v>
      </c>
    </row>
    <row r="17" spans="1:3" x14ac:dyDescent="0.35">
      <c r="A17" s="341" t="str">
        <f>General!G74</f>
        <v>ms</v>
      </c>
      <c r="B17">
        <v>680</v>
      </c>
      <c r="C17" s="1" t="s">
        <v>2888</v>
      </c>
    </row>
    <row r="18" spans="1:3" x14ac:dyDescent="0.35">
      <c r="A18" s="341" t="str">
        <f>General!G75</f>
        <v>o</v>
      </c>
      <c r="B18">
        <v>680</v>
      </c>
      <c r="C18" s="1" t="s">
        <v>2888</v>
      </c>
    </row>
    <row r="19" spans="1:3" x14ac:dyDescent="0.35">
      <c r="A19" s="341" t="str">
        <f>General!G76</f>
        <v>od</v>
      </c>
      <c r="B19">
        <v>680</v>
      </c>
      <c r="C19" s="1" t="s">
        <v>2888</v>
      </c>
    </row>
    <row r="20" spans="1:3" x14ac:dyDescent="0.35">
      <c r="A20" s="341" t="str">
        <f>General!G77</f>
        <v>of</v>
      </c>
      <c r="B20">
        <v>680</v>
      </c>
      <c r="C20" s="1" t="s">
        <v>2888</v>
      </c>
    </row>
    <row r="21" spans="1:3" x14ac:dyDescent="0.35">
      <c r="A21" s="341" t="str">
        <f>General!G78</f>
        <v>r</v>
      </c>
      <c r="B21">
        <v>680</v>
      </c>
      <c r="C21" s="1" t="s">
        <v>2888</v>
      </c>
    </row>
    <row r="22" spans="1:3" x14ac:dyDescent="0.35">
      <c r="A22" s="341" t="str">
        <f>General!G79</f>
        <v>rd</v>
      </c>
      <c r="B22">
        <v>680</v>
      </c>
      <c r="C22" s="1" t="s">
        <v>2888</v>
      </c>
    </row>
    <row r="23" spans="1:3" x14ac:dyDescent="0.35">
      <c r="A23" s="341" t="str">
        <f>General!G80</f>
        <v>v</v>
      </c>
      <c r="B23">
        <v>680</v>
      </c>
      <c r="C23" s="1" t="s">
        <v>2888</v>
      </c>
    </row>
    <row r="24" spans="1:3" x14ac:dyDescent="0.35">
      <c r="A24" s="341" t="str">
        <f>General!G81</f>
        <v>w</v>
      </c>
      <c r="B24">
        <v>680</v>
      </c>
      <c r="C24" s="1" t="s">
        <v>2888</v>
      </c>
    </row>
    <row r="25" spans="1:3" x14ac:dyDescent="0.35">
      <c r="A25" s="341" t="str">
        <f>General!G82</f>
        <v>wd</v>
      </c>
      <c r="B25">
        <v>680</v>
      </c>
      <c r="C25" s="1" t="s">
        <v>2888</v>
      </c>
    </row>
    <row r="26" spans="1:3" x14ac:dyDescent="0.35">
      <c r="A26" s="341" t="str">
        <f>General!G83</f>
        <v>z</v>
      </c>
      <c r="B26">
        <v>680</v>
      </c>
      <c r="C26" s="1" t="s">
        <v>2888</v>
      </c>
    </row>
    <row r="27" spans="1:3" x14ac:dyDescent="0.35">
      <c r="A27" s="341" t="str">
        <f>General!G84</f>
        <v>zd</v>
      </c>
      <c r="B27">
        <v>680</v>
      </c>
      <c r="C27" s="1" t="s">
        <v>2888</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3.5</v>
      </c>
    </row>
    <row r="46" spans="1:11" x14ac:dyDescent="0.35">
      <c r="A46" t="s">
        <v>80</v>
      </c>
      <c r="B46" s="381">
        <f>MIN(364,INT((C46 - DATE(YEAR(C46),1,1))))</f>
        <v>226</v>
      </c>
      <c r="C46" s="4">
        <v>43692</v>
      </c>
    </row>
    <row r="48" spans="1:11" x14ac:dyDescent="0.35">
      <c r="A48" s="1" t="s">
        <v>2253</v>
      </c>
      <c r="B48">
        <v>50</v>
      </c>
      <c r="K48" s="1" t="s">
        <v>2254</v>
      </c>
    </row>
    <row r="49" spans="1:27" x14ac:dyDescent="0.35">
      <c r="A49" s="3"/>
      <c r="B49" s="3"/>
      <c r="C49" s="3"/>
      <c r="M49" s="609" t="s">
        <v>2304</v>
      </c>
      <c r="N49" s="609"/>
      <c r="O49" s="609"/>
      <c r="P49" s="609"/>
      <c r="Q49" s="609"/>
      <c r="R49" s="609" t="s">
        <v>2308</v>
      </c>
      <c r="S49" s="609"/>
      <c r="T49" s="609"/>
      <c r="U49" s="609"/>
      <c r="V49" s="609"/>
      <c r="W49" s="609" t="s">
        <v>2309</v>
      </c>
      <c r="X49" s="609"/>
      <c r="Y49" s="609"/>
      <c r="Z49" s="609"/>
      <c r="AA49" s="609"/>
    </row>
    <row r="50" spans="1:27" x14ac:dyDescent="0.3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35">
      <c r="A51" t="s">
        <v>59</v>
      </c>
      <c r="B51" t="s">
        <v>3274</v>
      </c>
      <c r="C51" t="s">
        <v>3276</v>
      </c>
      <c r="D51" t="s">
        <v>2255</v>
      </c>
      <c r="E51" t="s">
        <v>64</v>
      </c>
      <c r="F51" t="s">
        <v>65</v>
      </c>
      <c r="G51" t="s">
        <v>3247</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3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3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3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3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3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3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3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35">
      <c r="L71"/>
      <c r="M71" t="s">
        <v>3244</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2295</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2201</v>
      </c>
      <c r="B9" s="42">
        <v>0</v>
      </c>
    </row>
    <row r="10" spans="1:2" x14ac:dyDescent="0.35">
      <c r="A10" t="s">
        <v>2202</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3023</v>
      </c>
    </row>
    <row r="19" spans="1:2" ht="29" x14ac:dyDescent="0.35">
      <c r="A19" s="5" t="s">
        <v>3022</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abSelected="1" topLeftCell="A46" workbookViewId="0">
      <selection activeCell="N59" sqref="N59"/>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2555</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2556</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2557</v>
      </c>
      <c r="K9" s="18"/>
      <c r="L9" s="21" t="s">
        <v>2557</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2558</v>
      </c>
      <c r="K10" s="22"/>
      <c r="L10" s="21" t="s">
        <v>2559</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2683</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2684</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2686</v>
      </c>
      <c r="K22" s="21"/>
      <c r="L22" s="21" t="s">
        <v>2686</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2687</v>
      </c>
      <c r="K23" s="18"/>
      <c r="L23" s="18" t="s">
        <v>2688</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2685</v>
      </c>
      <c r="K24" s="22"/>
      <c r="L24" s="18" t="s">
        <v>2689</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3278</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3275</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3210</v>
      </c>
      <c r="H54" s="28"/>
      <c r="I54" s="41" t="s">
        <v>3209</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3211</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3212</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3213</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3214</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2313</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2305</v>
      </c>
      <c r="K88" t="s">
        <v>2307</v>
      </c>
      <c r="L88" t="s">
        <v>2306</v>
      </c>
      <c r="AC88" s="27"/>
      <c r="AD88" s="27"/>
      <c r="AE88" s="27"/>
      <c r="AF88" s="17"/>
      <c r="AG88" s="9"/>
      <c r="AH88" s="9"/>
      <c r="AI88" s="9"/>
    </row>
    <row r="89" spans="1:35" ht="12" customHeight="1" x14ac:dyDescent="0.3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1" width="12.54296875" style="1" customWidth="1"/>
    <col min="42"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33" t="s">
        <v>3246</v>
      </c>
      <c r="K11" s="634"/>
      <c r="L11" s="634"/>
      <c r="M11" s="634"/>
      <c r="N11" s="634"/>
      <c r="O11" s="634"/>
      <c r="P11" s="634"/>
      <c r="Q11" s="634"/>
      <c r="R11" s="634"/>
      <c r="S11" s="634"/>
      <c r="T11" s="634"/>
      <c r="U11" s="635"/>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36" t="s">
        <v>3245</v>
      </c>
      <c r="K12" s="637"/>
      <c r="L12" s="637"/>
      <c r="M12" s="637"/>
      <c r="N12" s="637"/>
      <c r="O12" s="637"/>
      <c r="P12" s="637"/>
      <c r="Q12" s="637"/>
      <c r="R12" s="637"/>
      <c r="S12" s="637"/>
      <c r="T12" s="637"/>
      <c r="U12" s="638"/>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35">
      <c r="A21" s="7"/>
      <c r="B21" s="8"/>
      <c r="C21" s="13"/>
      <c r="D21" s="13"/>
      <c r="E21" s="13" t="s">
        <v>87</v>
      </c>
      <c r="F21" s="14"/>
      <c r="G21" s="15" t="s">
        <v>3025</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35">
      <c r="A22" s="7"/>
      <c r="B22" s="8"/>
      <c r="C22" s="13"/>
      <c r="D22" s="13"/>
      <c r="E22" s="18"/>
      <c r="F22" s="14"/>
      <c r="G22" s="14" t="s">
        <v>3026</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3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15" customHeight="1" outlineLevel="1" x14ac:dyDescent="0.3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0" customFormat="1" ht="12" customHeight="1" outlineLevel="1" x14ac:dyDescent="0.35">
      <c r="A31" s="7"/>
      <c r="B31" s="8"/>
      <c r="C31" s="18"/>
      <c r="D31" s="18"/>
      <c r="E31" s="18"/>
      <c r="F31" s="24"/>
      <c r="G31" s="491"/>
      <c r="H31" s="491"/>
      <c r="I31" s="491"/>
      <c r="J31" s="491"/>
      <c r="K31" s="491"/>
      <c r="Q31" s="30"/>
      <c r="R31" s="30"/>
      <c r="S31" s="30"/>
      <c r="T31" s="30"/>
      <c r="U31" s="30"/>
      <c r="V31" s="27"/>
      <c r="W31" s="17"/>
      <c r="X31" s="9"/>
      <c r="Y31" s="9"/>
      <c r="Z31" s="9"/>
    </row>
    <row r="32" spans="1:80" customFormat="1" ht="12" customHeight="1" outlineLevel="1" x14ac:dyDescent="0.35">
      <c r="A32" s="7"/>
      <c r="B32" s="8"/>
      <c r="C32" s="18"/>
      <c r="D32" s="18"/>
      <c r="E32" s="18"/>
      <c r="F32" s="24"/>
      <c r="G32" s="492"/>
      <c r="H32" s="492"/>
      <c r="I32" s="492" t="s">
        <v>3027</v>
      </c>
      <c r="J32" s="493">
        <v>1</v>
      </c>
      <c r="K32" s="492"/>
      <c r="Q32" s="30"/>
      <c r="R32" s="30"/>
      <c r="S32" s="30"/>
      <c r="T32" s="30"/>
      <c r="U32" s="30"/>
      <c r="V32" s="27"/>
      <c r="W32" s="17"/>
      <c r="X32" s="9"/>
      <c r="Y32" s="9"/>
      <c r="Z32" s="9"/>
    </row>
    <row r="33" spans="1:80" customFormat="1" ht="12" customHeight="1" outlineLevel="1" x14ac:dyDescent="0.35">
      <c r="A33" s="7"/>
      <c r="B33" s="8"/>
      <c r="C33" s="18"/>
      <c r="D33" s="18"/>
      <c r="E33" s="18"/>
      <c r="F33" s="24"/>
      <c r="G33" s="492"/>
      <c r="H33" s="492"/>
      <c r="I33" s="494" t="s">
        <v>3028</v>
      </c>
      <c r="J33" s="495">
        <v>0.05</v>
      </c>
      <c r="K33" s="492"/>
      <c r="L33" s="492"/>
      <c r="O33" s="492"/>
      <c r="P33" s="30"/>
      <c r="Q33" s="30"/>
      <c r="R33" s="30"/>
      <c r="S33" s="30"/>
      <c r="T33" s="30"/>
      <c r="U33" s="30"/>
      <c r="V33" s="27"/>
      <c r="W33" s="17"/>
      <c r="X33" s="9"/>
      <c r="Y33" s="9"/>
      <c r="Z33" s="9"/>
    </row>
    <row r="34" spans="1:80" customFormat="1" ht="12" customHeight="1" outlineLevel="1" x14ac:dyDescent="0.3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0" customFormat="1" ht="12" customHeight="1" outlineLevel="1" x14ac:dyDescent="0.35">
      <c r="A35" s="7"/>
      <c r="B35" s="8"/>
      <c r="C35" s="18"/>
      <c r="D35" s="18"/>
      <c r="E35" s="18"/>
      <c r="F35" s="24"/>
      <c r="G35" s="496"/>
      <c r="H35" s="496"/>
      <c r="I35" s="28" t="s">
        <v>3029</v>
      </c>
      <c r="J35" s="28"/>
      <c r="K35" s="14" t="s">
        <v>3030</v>
      </c>
      <c r="L35" s="497"/>
      <c r="M35" s="498">
        <v>0.5</v>
      </c>
      <c r="O35" s="492"/>
      <c r="P35" s="30"/>
      <c r="Q35" s="30"/>
      <c r="R35" s="30"/>
      <c r="S35" s="30"/>
      <c r="T35" s="30"/>
      <c r="U35" s="30"/>
      <c r="V35" s="27"/>
      <c r="W35" s="17"/>
      <c r="X35" s="9"/>
      <c r="Y35" s="9"/>
      <c r="Z35" s="9"/>
    </row>
    <row r="36" spans="1:80" customFormat="1" ht="12" customHeight="1" outlineLevel="1" x14ac:dyDescent="0.35">
      <c r="A36" s="7"/>
      <c r="B36" s="8"/>
      <c r="C36" s="18"/>
      <c r="D36" s="18"/>
      <c r="E36" s="18"/>
      <c r="F36" s="24"/>
      <c r="G36" s="496"/>
      <c r="H36" s="496"/>
      <c r="I36" s="499" t="s">
        <v>3031</v>
      </c>
      <c r="J36" s="500"/>
      <c r="K36" s="501"/>
      <c r="L36" s="501"/>
      <c r="M36" s="502"/>
      <c r="O36" s="492"/>
      <c r="P36" s="30"/>
      <c r="Q36" s="30"/>
      <c r="R36" s="30"/>
      <c r="S36" s="30"/>
      <c r="T36" s="30"/>
      <c r="U36" s="30"/>
      <c r="V36" s="27"/>
      <c r="W36" s="17"/>
      <c r="X36" s="9"/>
      <c r="Y36" s="9"/>
      <c r="Z36" s="9"/>
    </row>
    <row r="37" spans="1:80" customFormat="1" ht="12" customHeight="1" outlineLevel="1" x14ac:dyDescent="0.3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0"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35">
      <c r="A44" s="7"/>
      <c r="B44" s="8"/>
      <c r="C44" s="13"/>
      <c r="D44" s="13"/>
      <c r="E44" s="13" t="s">
        <v>87</v>
      </c>
      <c r="F44" s="14"/>
      <c r="G44" s="15" t="s">
        <v>3032</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3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3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3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35">
      <c r="A53" s="7"/>
      <c r="B53" s="8"/>
      <c r="C53" s="18"/>
      <c r="D53" s="18"/>
      <c r="E53" s="18"/>
      <c r="F53" s="24"/>
      <c r="G53" s="345" t="s">
        <v>3033</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29" outlineLevel="1" x14ac:dyDescent="0.35">
      <c r="A54" s="7"/>
      <c r="B54" s="8"/>
      <c r="C54" s="18"/>
      <c r="D54" s="18"/>
      <c r="E54" s="18"/>
      <c r="F54" s="24"/>
      <c r="G54" s="34"/>
      <c r="H54" s="506" t="s">
        <v>97</v>
      </c>
      <c r="I54" s="509" t="s">
        <v>3034</v>
      </c>
      <c r="J54" s="509" t="s">
        <v>3035</v>
      </c>
      <c r="K54" s="509" t="s">
        <v>3036</v>
      </c>
      <c r="L54" s="509" t="s">
        <v>3037</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3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3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3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3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3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3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3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3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3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3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3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3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3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3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3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3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3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3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3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3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3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3038</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3026</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4"/>
      <c r="D85" s="13"/>
      <c r="E85" s="18"/>
      <c r="F85" s="14"/>
      <c r="G85" s="488"/>
      <c r="H85" s="14"/>
      <c r="I85" s="14" t="s">
        <v>2778</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35">
      <c r="A92" s="7"/>
      <c r="B92" s="8"/>
      <c r="C92" s="18"/>
      <c r="D92" s="18"/>
      <c r="E92" s="18"/>
      <c r="F92" s="24"/>
      <c r="G92" s="345" t="s">
        <v>3039</v>
      </c>
      <c r="I92" s="513"/>
      <c r="K92" s="514"/>
      <c r="L92" s="514"/>
      <c r="M92" s="26"/>
      <c r="O92" s="490"/>
      <c r="P92" s="26"/>
      <c r="Q92" s="26"/>
      <c r="R92" s="26"/>
      <c r="S92" s="26"/>
      <c r="T92" s="26"/>
      <c r="U92" s="26"/>
      <c r="V92" s="27"/>
      <c r="W92" s="17"/>
      <c r="X92" s="9"/>
      <c r="Y92" s="9"/>
      <c r="Z92" s="9"/>
    </row>
    <row r="93" spans="1:26" customFormat="1" outlineLevel="1" x14ac:dyDescent="0.35">
      <c r="A93" s="7"/>
      <c r="B93" s="8"/>
      <c r="C93" s="18"/>
      <c r="D93" s="18"/>
      <c r="E93" s="18"/>
      <c r="F93" s="24"/>
      <c r="G93" s="345"/>
      <c r="H93" s="515" t="s">
        <v>2305</v>
      </c>
      <c r="I93" s="516" t="s">
        <v>2307</v>
      </c>
      <c r="J93" s="517" t="s">
        <v>2306</v>
      </c>
      <c r="K93" s="518"/>
      <c r="L93" s="514"/>
      <c r="M93" s="27"/>
      <c r="O93" s="490"/>
      <c r="P93" s="26"/>
      <c r="Q93" s="26"/>
      <c r="R93" s="26"/>
      <c r="S93" s="27"/>
      <c r="T93" s="26"/>
      <c r="U93" s="26"/>
      <c r="V93" s="27"/>
      <c r="W93" s="17"/>
      <c r="X93" s="9"/>
      <c r="Y93" s="9"/>
      <c r="Z93" s="9"/>
    </row>
    <row r="94" spans="1:26" customFormat="1" outlineLevel="1" x14ac:dyDescent="0.35">
      <c r="A94" s="7"/>
      <c r="B94" s="8"/>
      <c r="C94" s="18"/>
      <c r="D94" s="18"/>
      <c r="E94" s="18"/>
      <c r="F94" s="24"/>
      <c r="H94" s="519" t="s">
        <v>2304</v>
      </c>
      <c r="I94" t="s">
        <v>2308</v>
      </c>
      <c r="J94" t="s">
        <v>2309</v>
      </c>
      <c r="K94" s="514"/>
      <c r="L94" s="514"/>
      <c r="O94" s="503"/>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3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35">
      <c r="A116" s="7"/>
      <c r="B116" s="8"/>
      <c r="C116" s="18"/>
      <c r="D116" s="18"/>
      <c r="E116" s="18"/>
      <c r="F116" s="24"/>
      <c r="G116" s="522" t="s">
        <v>3040</v>
      </c>
      <c r="I116" s="523"/>
      <c r="K116" s="514"/>
      <c r="L116" s="514"/>
      <c r="M116" s="26"/>
      <c r="O116" s="490"/>
      <c r="P116" s="26"/>
      <c r="Q116" s="26"/>
      <c r="R116" s="26"/>
      <c r="S116" s="26"/>
      <c r="T116" s="26"/>
      <c r="U116" s="26"/>
      <c r="V116" s="27"/>
      <c r="W116" s="17"/>
      <c r="X116" s="9"/>
      <c r="Y116" s="9"/>
      <c r="Z116" s="9"/>
    </row>
    <row r="117" spans="1:26" customFormat="1" outlineLevel="1" x14ac:dyDescent="0.35">
      <c r="A117" s="7"/>
      <c r="B117" s="8"/>
      <c r="C117" s="18"/>
      <c r="D117" s="18"/>
      <c r="E117" s="18"/>
      <c r="F117" s="24"/>
      <c r="H117" s="519" t="s">
        <v>2304</v>
      </c>
      <c r="I117" t="s">
        <v>2308</v>
      </c>
      <c r="J117" t="s">
        <v>2309</v>
      </c>
      <c r="K117" s="514"/>
      <c r="L117" s="514"/>
      <c r="O117" s="503"/>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35">
      <c r="A138" s="7"/>
      <c r="B138" s="8"/>
      <c r="C138" s="18"/>
      <c r="D138" s="18"/>
      <c r="E138" s="18"/>
      <c r="F138" s="24"/>
      <c r="G138" s="522" t="s">
        <v>3041</v>
      </c>
      <c r="I138" s="523"/>
      <c r="K138" s="514"/>
      <c r="L138" s="514"/>
      <c r="M138" s="26"/>
      <c r="O138" s="490"/>
      <c r="P138" s="26"/>
      <c r="Q138" s="26"/>
      <c r="R138" s="26"/>
      <c r="S138" s="26"/>
      <c r="T138" s="26"/>
      <c r="U138" s="26"/>
      <c r="V138" s="27"/>
      <c r="W138" s="17"/>
      <c r="X138" s="9"/>
      <c r="Y138" s="9"/>
      <c r="Z138" s="9"/>
    </row>
    <row r="139" spans="1:26" customFormat="1" outlineLevel="1" x14ac:dyDescent="0.35">
      <c r="A139" s="7"/>
      <c r="B139" s="8"/>
      <c r="C139" s="18"/>
      <c r="D139" s="18"/>
      <c r="E139" s="18"/>
      <c r="F139" s="24"/>
      <c r="H139" s="519" t="s">
        <v>2304</v>
      </c>
      <c r="I139" t="s">
        <v>2308</v>
      </c>
      <c r="J139" t="s">
        <v>2309</v>
      </c>
      <c r="K139" s="514"/>
      <c r="L139" s="514"/>
      <c r="O139" s="503"/>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35">
      <c r="A160" s="7"/>
      <c r="B160" s="8"/>
      <c r="C160" s="18"/>
      <c r="D160" s="18"/>
      <c r="E160" s="18"/>
      <c r="F160" s="27"/>
      <c r="G160" s="479" t="s">
        <v>3042</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35">
      <c r="A161" s="7"/>
      <c r="B161" s="8"/>
      <c r="C161" s="18"/>
      <c r="D161" s="18"/>
      <c r="E161" s="18"/>
      <c r="F161" s="24"/>
      <c r="H161" s="28" t="s">
        <v>3043</v>
      </c>
      <c r="I161" s="28" t="s">
        <v>3044</v>
      </c>
      <c r="J161" s="28" t="s">
        <v>3045</v>
      </c>
      <c r="L161" s="514"/>
      <c r="O161" s="503"/>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3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5" customHeight="1" outlineLevel="1" x14ac:dyDescent="0.3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2" t="s">
        <v>3046</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3" t="s">
        <v>2298</v>
      </c>
      <c r="I186" s="534" t="s">
        <v>4</v>
      </c>
      <c r="J186" s="534" t="s">
        <v>3047</v>
      </c>
      <c r="K186" s="534" t="s">
        <v>531</v>
      </c>
      <c r="L186" s="535" t="s">
        <v>3048</v>
      </c>
      <c r="M186" s="536" t="s">
        <v>10</v>
      </c>
      <c r="N186" s="536" t="s">
        <v>3049</v>
      </c>
      <c r="O186" s="536" t="s">
        <v>60</v>
      </c>
      <c r="P186" s="537" t="s">
        <v>61</v>
      </c>
      <c r="Q186" s="538" t="s">
        <v>2299</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3050</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3051</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4" customFormat="1" ht="12" customHeight="1" outlineLevel="1" x14ac:dyDescent="0.3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4" customFormat="1" ht="12" customHeight="1" outlineLevel="1" x14ac:dyDescent="0.3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4"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35">
      <c r="A201" s="7"/>
      <c r="B201" s="8"/>
      <c r="C201" s="13"/>
      <c r="D201" s="13"/>
      <c r="E201" s="13" t="s">
        <v>87</v>
      </c>
      <c r="F201" s="14"/>
      <c r="G201" s="15" t="s">
        <v>3052</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35">
      <c r="A202" s="7"/>
      <c r="B202" s="8"/>
      <c r="C202" s="13"/>
      <c r="D202" s="13"/>
      <c r="E202" s="18"/>
      <c r="F202" s="14"/>
      <c r="G202" s="14" t="s">
        <v>3053</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3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35">
      <c r="A205" s="7"/>
      <c r="B205" s="8"/>
      <c r="C205" s="18"/>
      <c r="D205" s="18"/>
      <c r="E205" s="18"/>
      <c r="F205" s="18"/>
      <c r="G205" s="18"/>
      <c r="H205" s="18"/>
      <c r="I205" s="18"/>
      <c r="J205" s="21" t="s">
        <v>3054</v>
      </c>
      <c r="K205" s="21" t="s">
        <v>3055</v>
      </c>
      <c r="L205" s="21" t="s">
        <v>3056</v>
      </c>
      <c r="M205" s="21" t="s">
        <v>3057</v>
      </c>
      <c r="N205" s="21" t="s">
        <v>3058</v>
      </c>
      <c r="O205" s="21" t="s">
        <v>3059</v>
      </c>
      <c r="P205" s="21" t="s">
        <v>3060</v>
      </c>
      <c r="Q205" s="21" t="s">
        <v>3061</v>
      </c>
      <c r="R205" s="21" t="s">
        <v>3062</v>
      </c>
      <c r="S205" s="21" t="s">
        <v>3063</v>
      </c>
      <c r="T205" s="21" t="s">
        <v>3064</v>
      </c>
      <c r="U205" s="21" t="s">
        <v>3065</v>
      </c>
      <c r="V205" s="21" t="s">
        <v>3066</v>
      </c>
      <c r="W205" s="21" t="s">
        <v>3067</v>
      </c>
      <c r="X205" s="21" t="s">
        <v>3068</v>
      </c>
      <c r="Y205" s="21" t="s">
        <v>3069</v>
      </c>
      <c r="Z205" s="21" t="s">
        <v>3070</v>
      </c>
      <c r="AA205" s="21" t="s">
        <v>3071</v>
      </c>
      <c r="AB205" s="21" t="s">
        <v>3072</v>
      </c>
      <c r="AC205" s="21" t="s">
        <v>3073</v>
      </c>
      <c r="AD205" s="21" t="s">
        <v>3074</v>
      </c>
      <c r="AE205" s="21" t="s">
        <v>3075</v>
      </c>
      <c r="AF205" s="21" t="s">
        <v>3076</v>
      </c>
      <c r="AG205" s="21" t="s">
        <v>3077</v>
      </c>
      <c r="AH205" s="21" t="s">
        <v>3078</v>
      </c>
      <c r="AI205" s="21" t="s">
        <v>3079</v>
      </c>
      <c r="AJ205" s="21" t="s">
        <v>3080</v>
      </c>
      <c r="AK205" s="21" t="s">
        <v>3081</v>
      </c>
      <c r="AL205" s="21" t="s">
        <v>3082</v>
      </c>
      <c r="AM205" s="21" t="s">
        <v>3083</v>
      </c>
      <c r="AN205" s="21"/>
      <c r="AO205" s="17"/>
      <c r="AP205" s="9"/>
      <c r="AQ205" s="9"/>
      <c r="AR205" s="9"/>
    </row>
    <row r="206" spans="1:44" customFormat="1" ht="12" customHeight="1" outlineLevel="1" x14ac:dyDescent="0.35">
      <c r="A206" s="7"/>
      <c r="B206" s="8"/>
      <c r="C206" s="18"/>
      <c r="D206" s="18"/>
      <c r="E206" s="18"/>
      <c r="F206" s="18"/>
      <c r="G206" s="18"/>
      <c r="H206" s="18"/>
      <c r="I206" s="18"/>
      <c r="J206" s="544" t="s">
        <v>399</v>
      </c>
      <c r="K206" s="544"/>
      <c r="L206" s="544"/>
      <c r="M206" s="544"/>
      <c r="N206" s="544"/>
      <c r="O206" s="544"/>
      <c r="P206" s="544"/>
      <c r="Q206" s="544"/>
      <c r="R206" s="544" t="s">
        <v>3084</v>
      </c>
      <c r="S206" s="544"/>
      <c r="T206" s="544"/>
      <c r="U206" s="544"/>
      <c r="V206" s="544"/>
      <c r="W206" s="544"/>
      <c r="X206" s="544"/>
      <c r="Y206" s="544"/>
      <c r="Z206" s="544"/>
      <c r="AA206" s="544"/>
      <c r="AB206" s="544"/>
      <c r="AC206" s="544"/>
      <c r="AD206" s="544" t="s">
        <v>400</v>
      </c>
      <c r="AE206" s="544"/>
      <c r="AF206" s="544"/>
      <c r="AG206" s="544"/>
      <c r="AH206" s="544"/>
      <c r="AI206" s="544"/>
      <c r="AJ206" s="544" t="s">
        <v>3085</v>
      </c>
      <c r="AK206" s="544"/>
      <c r="AL206" s="545"/>
      <c r="AM206" s="545"/>
      <c r="AN206" s="21"/>
      <c r="AO206" s="17"/>
      <c r="AP206" s="9"/>
      <c r="AQ206" s="9"/>
      <c r="AR206" s="9"/>
    </row>
    <row r="207" spans="1:44" customFormat="1" ht="12" customHeight="1" outlineLevel="1" x14ac:dyDescent="0.35">
      <c r="A207" s="7"/>
      <c r="B207" s="8"/>
      <c r="C207" s="18"/>
      <c r="D207" s="18"/>
      <c r="E207" s="18"/>
      <c r="F207" s="18"/>
      <c r="G207" s="18"/>
      <c r="H207" s="18"/>
      <c r="I207" s="18"/>
      <c r="J207" s="546" t="s">
        <v>3086</v>
      </c>
      <c r="K207" s="546" t="s">
        <v>3087</v>
      </c>
      <c r="L207" s="546" t="s">
        <v>3088</v>
      </c>
      <c r="M207" s="546" t="s">
        <v>3088</v>
      </c>
      <c r="N207" s="546" t="s">
        <v>3088</v>
      </c>
      <c r="O207" s="546" t="s">
        <v>3088</v>
      </c>
      <c r="P207" s="546" t="s">
        <v>3088</v>
      </c>
      <c r="Q207" s="546" t="s">
        <v>3089</v>
      </c>
      <c r="R207" s="546" t="s">
        <v>3090</v>
      </c>
      <c r="S207" s="546" t="s">
        <v>3090</v>
      </c>
      <c r="T207" s="546" t="s">
        <v>3091</v>
      </c>
      <c r="U207" s="546" t="s">
        <v>3091</v>
      </c>
      <c r="V207" s="546" t="s">
        <v>3092</v>
      </c>
      <c r="W207" s="546" t="s">
        <v>3092</v>
      </c>
      <c r="X207" s="546" t="s">
        <v>3093</v>
      </c>
      <c r="Y207" s="546" t="s">
        <v>3093</v>
      </c>
      <c r="Z207" s="546" t="s">
        <v>3094</v>
      </c>
      <c r="AA207" s="546" t="s">
        <v>3094</v>
      </c>
      <c r="AB207" s="546" t="s">
        <v>3095</v>
      </c>
      <c r="AC207" s="546" t="s">
        <v>3095</v>
      </c>
      <c r="AD207" s="546" t="s">
        <v>3096</v>
      </c>
      <c r="AE207" s="546" t="s">
        <v>3097</v>
      </c>
      <c r="AF207" s="546" t="s">
        <v>3098</v>
      </c>
      <c r="AG207" s="546" t="s">
        <v>3099</v>
      </c>
      <c r="AH207" s="546" t="s">
        <v>3099</v>
      </c>
      <c r="AI207" s="546" t="s">
        <v>3100</v>
      </c>
      <c r="AJ207" s="545" t="s">
        <v>3101</v>
      </c>
      <c r="AK207" s="545" t="s">
        <v>3101</v>
      </c>
      <c r="AL207" s="545"/>
      <c r="AM207" s="545"/>
      <c r="AN207" s="21"/>
      <c r="AO207" s="17"/>
      <c r="AP207" s="9"/>
      <c r="AQ207" s="9"/>
      <c r="AR207" s="9"/>
    </row>
    <row r="208" spans="1:44" customFormat="1" ht="12" customHeight="1" outlineLevel="1" x14ac:dyDescent="0.35">
      <c r="A208" s="7"/>
      <c r="B208" s="8"/>
      <c r="C208" s="18"/>
      <c r="D208" s="18"/>
      <c r="E208" s="18"/>
      <c r="F208" s="18"/>
      <c r="G208" s="18"/>
      <c r="H208" s="18"/>
      <c r="I208" s="21"/>
      <c r="J208" s="546" t="s">
        <v>3102</v>
      </c>
      <c r="K208" s="546" t="s">
        <v>3102</v>
      </c>
      <c r="L208" s="546" t="s">
        <v>3102</v>
      </c>
      <c r="M208" s="546" t="s">
        <v>3102</v>
      </c>
      <c r="N208" s="546" t="s">
        <v>3102</v>
      </c>
      <c r="O208" s="546" t="s">
        <v>3102</v>
      </c>
      <c r="P208" s="546" t="s">
        <v>3102</v>
      </c>
      <c r="Q208" s="546" t="s">
        <v>3102</v>
      </c>
      <c r="R208" s="546" t="s">
        <v>3103</v>
      </c>
      <c r="S208" s="546" t="s">
        <v>3104</v>
      </c>
      <c r="T208" s="546" t="s">
        <v>3105</v>
      </c>
      <c r="U208" s="546" t="s">
        <v>3106</v>
      </c>
      <c r="V208" s="546" t="s">
        <v>3107</v>
      </c>
      <c r="W208" s="546" t="s">
        <v>3108</v>
      </c>
      <c r="X208" s="546" t="s">
        <v>3109</v>
      </c>
      <c r="Y208" s="546" t="s">
        <v>3110</v>
      </c>
      <c r="Z208" s="546" t="s">
        <v>3111</v>
      </c>
      <c r="AA208" s="546" t="s">
        <v>3102</v>
      </c>
      <c r="AB208" s="546" t="s">
        <v>3111</v>
      </c>
      <c r="AC208" s="546" t="s">
        <v>3102</v>
      </c>
      <c r="AD208" s="546" t="s">
        <v>3112</v>
      </c>
      <c r="AE208" s="546" t="s">
        <v>3112</v>
      </c>
      <c r="AF208" s="546" t="s">
        <v>3112</v>
      </c>
      <c r="AG208" s="546" t="s">
        <v>3112</v>
      </c>
      <c r="AH208" s="546" t="s">
        <v>3113</v>
      </c>
      <c r="AI208" s="546" t="s">
        <v>3112</v>
      </c>
      <c r="AJ208" s="546" t="s">
        <v>3114</v>
      </c>
      <c r="AK208" s="546" t="s">
        <v>3113</v>
      </c>
      <c r="AL208" s="545"/>
      <c r="AM208" s="545"/>
      <c r="AN208" s="21"/>
      <c r="AO208" s="17"/>
      <c r="AP208" s="9"/>
      <c r="AQ208" s="9"/>
      <c r="AR208" s="9"/>
    </row>
    <row r="209" spans="1:44" customFormat="1" ht="5.15" customHeight="1" outlineLevel="1" x14ac:dyDescent="0.3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21"/>
      <c r="AO209" s="17"/>
      <c r="AP209" s="9"/>
      <c r="AQ209" s="9"/>
      <c r="AR209" s="9"/>
    </row>
    <row r="210" spans="1:44" customFormat="1" ht="5.15" customHeight="1" outlineLevel="1" x14ac:dyDescent="0.3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27"/>
      <c r="AO210" s="17"/>
      <c r="AP210" s="9"/>
      <c r="AQ210" s="9"/>
      <c r="AR210" s="9"/>
    </row>
    <row r="211" spans="1:44" customFormat="1" x14ac:dyDescent="0.35">
      <c r="A211" s="7"/>
      <c r="B211" s="8"/>
      <c r="C211" s="18"/>
      <c r="D211" s="18"/>
      <c r="E211" s="18"/>
      <c r="F211" s="24"/>
      <c r="G211" s="547" t="s">
        <v>3115</v>
      </c>
      <c r="H211" s="25"/>
      <c r="I211" s="489"/>
      <c r="J211" s="490"/>
      <c r="K211" s="490"/>
      <c r="L211" s="490"/>
      <c r="M211" s="490"/>
      <c r="N211" s="490"/>
      <c r="O211" s="490"/>
      <c r="P211" s="490"/>
      <c r="Q211" s="490"/>
      <c r="R211" s="490"/>
      <c r="S211" s="490"/>
      <c r="T211" s="490"/>
      <c r="U211" s="490"/>
      <c r="V211" s="490"/>
      <c r="W211" s="490"/>
      <c r="X211" s="490"/>
      <c r="Y211" s="490"/>
      <c r="Z211" s="490"/>
      <c r="AA211" s="490"/>
      <c r="AB211" s="490"/>
      <c r="AC211" s="490"/>
      <c r="AD211" s="490"/>
      <c r="AE211" s="490"/>
      <c r="AF211" s="490"/>
      <c r="AG211" s="490"/>
      <c r="AH211" s="490"/>
      <c r="AI211" s="490"/>
      <c r="AJ211" s="490"/>
      <c r="AK211" s="490"/>
      <c r="AL211" s="490"/>
      <c r="AM211" s="490"/>
      <c r="AN211" s="27"/>
      <c r="AO211" s="17"/>
      <c r="AP211" s="9"/>
      <c r="AQ211" s="9"/>
      <c r="AR211" s="9"/>
    </row>
    <row r="212" spans="1:44" customFormat="1" outlineLevel="1" x14ac:dyDescent="0.35">
      <c r="A212" s="7"/>
      <c r="B212" s="8"/>
      <c r="C212" s="18"/>
      <c r="D212" s="18"/>
      <c r="E212" s="18"/>
      <c r="F212" s="24"/>
      <c r="G212" s="25"/>
      <c r="H212" s="25" t="s">
        <v>3116</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1</v>
      </c>
      <c r="AH212" s="548" t="b">
        <v>1</v>
      </c>
      <c r="AI212" s="548" t="b">
        <v>1</v>
      </c>
      <c r="AJ212" s="548" t="b">
        <v>1</v>
      </c>
      <c r="AK212" s="548" t="b">
        <v>1</v>
      </c>
      <c r="AL212" s="490"/>
      <c r="AM212" s="490"/>
      <c r="AN212" s="27"/>
      <c r="AO212" s="17"/>
      <c r="AP212" s="9"/>
      <c r="AQ212" s="9"/>
      <c r="AR212" s="9"/>
    </row>
    <row r="213" spans="1:44" customFormat="1" outlineLevel="1" x14ac:dyDescent="0.3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90"/>
      <c r="AM213" s="490"/>
      <c r="AN213" s="27"/>
      <c r="AO213" s="17"/>
      <c r="AP213" s="9"/>
      <c r="AQ213" s="9"/>
      <c r="AR213" s="9"/>
    </row>
    <row r="214" spans="1:44" customFormat="1" outlineLevel="1" x14ac:dyDescent="0.35">
      <c r="A214" s="7"/>
      <c r="B214" s="8"/>
      <c r="C214" s="18"/>
      <c r="D214" s="18"/>
      <c r="E214" s="18"/>
      <c r="F214" s="24"/>
      <c r="G214" s="25"/>
      <c r="H214" s="25" t="s">
        <v>3117</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AVERAGE(AF214:AG214)</f>
        <v>45239.5</v>
      </c>
      <c r="AL214" s="490"/>
      <c r="AM214" s="490"/>
      <c r="AN214" s="27"/>
      <c r="AO214" s="17"/>
      <c r="AP214" s="9"/>
      <c r="AQ214" s="9"/>
      <c r="AR214" s="9"/>
    </row>
    <row r="215" spans="1:44" customFormat="1" outlineLevel="1" x14ac:dyDescent="0.35">
      <c r="A215" s="7"/>
      <c r="B215" s="8"/>
      <c r="C215" s="18"/>
      <c r="D215" s="18"/>
      <c r="E215" s="18"/>
      <c r="F215" s="24"/>
      <c r="G215" s="25"/>
      <c r="H215" s="25" t="s">
        <v>3117</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 si="8">MIN(364,INT((AK214 - DATE(YEAR(AK214),1,1))))</f>
        <v>312</v>
      </c>
      <c r="AL215" s="490"/>
      <c r="AM215" s="490"/>
      <c r="AN215" s="27"/>
      <c r="AO215" s="17"/>
      <c r="AP215" s="9"/>
      <c r="AQ215" s="9"/>
      <c r="AR215" s="9"/>
    </row>
    <row r="216" spans="1:44" customFormat="1" ht="12" customHeight="1" outlineLevel="1" x14ac:dyDescent="0.35">
      <c r="A216" s="7"/>
      <c r="B216" s="8"/>
      <c r="C216" s="18"/>
      <c r="D216" s="18"/>
      <c r="E216" s="18"/>
      <c r="F216" s="24"/>
      <c r="G216" s="28"/>
      <c r="H216" s="25" t="s">
        <v>3118</v>
      </c>
      <c r="I216" s="489"/>
      <c r="J216" s="550">
        <f>J214-DATE(YEAR(J214)-1,12,1)</f>
        <v>63</v>
      </c>
      <c r="K216" s="550">
        <f t="shared" ref="K216:P216" si="9">K214-DATE(YEAR(K214)-1,12,1)</f>
        <v>35</v>
      </c>
      <c r="L216" s="550">
        <f t="shared" si="9"/>
        <v>59</v>
      </c>
      <c r="M216" s="550">
        <f t="shared" si="9"/>
        <v>59</v>
      </c>
      <c r="N216" s="550">
        <f t="shared" si="9"/>
        <v>78</v>
      </c>
      <c r="O216" s="550">
        <f t="shared" si="9"/>
        <v>71</v>
      </c>
      <c r="P216" s="550">
        <f t="shared" si="9"/>
        <v>71</v>
      </c>
      <c r="Q216" s="550">
        <f>Q214-DATE(YEAR(Q214),12,1)</f>
        <v>7</v>
      </c>
      <c r="R216" s="550">
        <v>8</v>
      </c>
      <c r="S216" s="550">
        <v>8</v>
      </c>
      <c r="T216" s="550">
        <v>0</v>
      </c>
      <c r="U216" s="550">
        <v>0</v>
      </c>
      <c r="V216" s="550">
        <f t="shared" ref="V216:W216" si="10">V214-DATE(2015,12,1)</f>
        <v>91</v>
      </c>
      <c r="W216" s="550">
        <f t="shared" si="10"/>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AVERAGE(AE216:AF216)</f>
        <v>0</v>
      </c>
      <c r="AL216" s="492"/>
      <c r="AM216" s="492"/>
      <c r="AN216" s="27"/>
      <c r="AO216" s="17"/>
      <c r="AP216" s="9"/>
      <c r="AQ216" s="9"/>
      <c r="AR216" s="9"/>
    </row>
    <row r="217" spans="1:44" customFormat="1" outlineLevel="1" x14ac:dyDescent="0.35">
      <c r="A217" s="7"/>
      <c r="B217" s="8"/>
      <c r="C217" s="18"/>
      <c r="D217" s="18"/>
      <c r="E217" s="18"/>
      <c r="F217" s="24"/>
      <c r="G217" s="25"/>
      <c r="H217" s="25" t="s">
        <v>3119</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INT(AVERAGE(AE217:AF217))</f>
        <v>20</v>
      </c>
      <c r="AL217" s="490"/>
      <c r="AM217" s="490"/>
      <c r="AN217" s="27"/>
      <c r="AO217" s="17"/>
      <c r="AP217" s="9"/>
      <c r="AQ217" s="9"/>
      <c r="AR217" s="9"/>
    </row>
    <row r="218" spans="1:44" customFormat="1" outlineLevel="1" x14ac:dyDescent="0.35">
      <c r="A218" s="7"/>
      <c r="B218" s="8"/>
      <c r="C218" s="18"/>
      <c r="D218" s="18"/>
      <c r="E218" s="18"/>
      <c r="F218" s="24"/>
      <c r="G218" s="25"/>
      <c r="H218" s="25"/>
      <c r="I218" s="489"/>
      <c r="J218" s="490"/>
      <c r="K218" s="490"/>
      <c r="L218" s="490"/>
      <c r="M218" s="490"/>
      <c r="N218" s="490"/>
      <c r="O218" s="490"/>
      <c r="P218" s="490"/>
      <c r="Q218" s="490"/>
      <c r="R218" s="611">
        <v>0.5</v>
      </c>
      <c r="S218" s="610">
        <f t="shared" ref="S218:AC218" si="11">$R218</f>
        <v>0.5</v>
      </c>
      <c r="T218" s="610">
        <f t="shared" si="11"/>
        <v>0.5</v>
      </c>
      <c r="U218" s="610">
        <f t="shared" si="11"/>
        <v>0.5</v>
      </c>
      <c r="V218" s="610">
        <f t="shared" si="11"/>
        <v>0.5</v>
      </c>
      <c r="W218" s="610">
        <f t="shared" si="11"/>
        <v>0.5</v>
      </c>
      <c r="X218" s="610">
        <f t="shared" si="11"/>
        <v>0.5</v>
      </c>
      <c r="Y218" s="610">
        <f t="shared" si="11"/>
        <v>0.5</v>
      </c>
      <c r="Z218" s="610">
        <f t="shared" si="11"/>
        <v>0.5</v>
      </c>
      <c r="AA218" s="610">
        <f t="shared" si="11"/>
        <v>0.5</v>
      </c>
      <c r="AB218" s="610">
        <f t="shared" si="11"/>
        <v>0.5</v>
      </c>
      <c r="AC218" s="610">
        <f t="shared" si="11"/>
        <v>0.5</v>
      </c>
      <c r="AD218" s="490"/>
      <c r="AE218" s="490"/>
      <c r="AF218" s="490"/>
      <c r="AG218" s="490"/>
      <c r="AH218" s="490"/>
      <c r="AI218" s="490"/>
      <c r="AJ218" s="610">
        <f>$R218</f>
        <v>0.5</v>
      </c>
      <c r="AK218" s="490"/>
      <c r="AL218" s="490"/>
      <c r="AM218" s="490"/>
      <c r="AN218" s="27"/>
      <c r="AO218" s="17"/>
      <c r="AP218" s="9"/>
      <c r="AQ218" s="9"/>
      <c r="AR218" s="9"/>
    </row>
    <row r="219" spans="1:44" customFormat="1" outlineLevel="1" x14ac:dyDescent="0.35">
      <c r="A219" s="7"/>
      <c r="B219" s="8"/>
      <c r="C219" s="18"/>
      <c r="D219" s="18"/>
      <c r="E219" s="18"/>
      <c r="F219" s="24"/>
      <c r="G219" s="25"/>
      <c r="H219" s="25" t="s">
        <v>3120</v>
      </c>
      <c r="J219" s="553">
        <v>2.16</v>
      </c>
      <c r="K219" s="553">
        <v>3.16</v>
      </c>
      <c r="L219" s="553">
        <v>1.9799999999999989</v>
      </c>
      <c r="M219" s="553">
        <v>3.96</v>
      </c>
      <c r="N219" s="553">
        <v>2.36</v>
      </c>
      <c r="O219" s="553">
        <v>2.4300000000000002</v>
      </c>
      <c r="P219" s="553">
        <v>2.4699999999999998</v>
      </c>
      <c r="Q219" s="553">
        <v>2.2000000000000002</v>
      </c>
      <c r="R219" s="554">
        <f>R$218*12</f>
        <v>6</v>
      </c>
      <c r="S219" s="554">
        <f>S$218*12</f>
        <v>6</v>
      </c>
      <c r="T219" s="554">
        <f>T$218*9</f>
        <v>4.5</v>
      </c>
      <c r="U219" s="554">
        <f>U$218*9</f>
        <v>4.5</v>
      </c>
      <c r="V219" s="554">
        <f>V$218*7</f>
        <v>3.5</v>
      </c>
      <c r="W219" s="554">
        <f>W$218*7</f>
        <v>3.5</v>
      </c>
      <c r="X219" s="554">
        <f>X$218*7.8</f>
        <v>3.9</v>
      </c>
      <c r="Y219" s="554">
        <f>Y$218*5.6</f>
        <v>2.8</v>
      </c>
      <c r="Z219" s="554">
        <f>Z$218*8.9</f>
        <v>4.45</v>
      </c>
      <c r="AA219" s="554">
        <f>AA$218*8.9</f>
        <v>4.45</v>
      </c>
      <c r="AB219" s="554">
        <f>AB$218*4.8</f>
        <v>2.4</v>
      </c>
      <c r="AC219" s="554">
        <f>AC$218*4.8</f>
        <v>2.4</v>
      </c>
      <c r="AD219" s="554">
        <v>36</v>
      </c>
      <c r="AE219" s="554">
        <v>41</v>
      </c>
      <c r="AF219" s="554">
        <v>32</v>
      </c>
      <c r="AG219" s="554">
        <v>23</v>
      </c>
      <c r="AH219" s="554">
        <v>23</v>
      </c>
      <c r="AI219" s="554">
        <v>25</v>
      </c>
      <c r="AJ219" s="554">
        <f>AJ$218*7.88</f>
        <v>3.94</v>
      </c>
      <c r="AK219" s="555">
        <f>AVERAGE(AE219:AF219)</f>
        <v>36.5</v>
      </c>
      <c r="AL219" s="490"/>
      <c r="AM219" s="490"/>
      <c r="AN219" s="27"/>
      <c r="AO219" s="17"/>
      <c r="AP219" s="9"/>
      <c r="AQ219" s="9"/>
      <c r="AR219" s="9"/>
    </row>
    <row r="220" spans="1:44" customFormat="1" outlineLevel="1" x14ac:dyDescent="0.3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0"/>
      <c r="AM220" s="490"/>
      <c r="AN220" s="27"/>
      <c r="AO220" s="17"/>
      <c r="AP220" s="9"/>
      <c r="AQ220" s="9"/>
      <c r="AR220" s="9"/>
    </row>
    <row r="221" spans="1:44" customFormat="1" outlineLevel="1" x14ac:dyDescent="0.35">
      <c r="A221" s="7"/>
      <c r="B221" s="8"/>
      <c r="C221" s="18"/>
      <c r="D221" s="18"/>
      <c r="E221" s="18"/>
      <c r="F221" s="24"/>
      <c r="G221" s="25"/>
      <c r="H221" s="25" t="s">
        <v>3121</v>
      </c>
      <c r="I221" s="25"/>
      <c r="J221" s="554" t="s">
        <v>2305</v>
      </c>
      <c r="K221" s="554" t="s">
        <v>2305</v>
      </c>
      <c r="L221" s="554" t="s">
        <v>2305</v>
      </c>
      <c r="M221" s="554" t="s">
        <v>2305</v>
      </c>
      <c r="N221" s="554" t="s">
        <v>2305</v>
      </c>
      <c r="O221" s="554" t="s">
        <v>2305</v>
      </c>
      <c r="P221" s="554" t="s">
        <v>2305</v>
      </c>
      <c r="Q221" s="554" t="s">
        <v>2305</v>
      </c>
      <c r="R221" s="554" t="s">
        <v>3122</v>
      </c>
      <c r="S221" s="554" t="s">
        <v>2305</v>
      </c>
      <c r="T221" s="554" t="s">
        <v>3122</v>
      </c>
      <c r="U221" s="554" t="s">
        <v>2305</v>
      </c>
      <c r="V221" s="554" t="s">
        <v>3122</v>
      </c>
      <c r="W221" s="554" t="s">
        <v>2305</v>
      </c>
      <c r="X221" s="554" t="s">
        <v>3122</v>
      </c>
      <c r="Y221" s="554" t="s">
        <v>2305</v>
      </c>
      <c r="Z221" s="554" t="s">
        <v>3122</v>
      </c>
      <c r="AA221" s="554" t="s">
        <v>2305</v>
      </c>
      <c r="AB221" s="554" t="s">
        <v>3122</v>
      </c>
      <c r="AC221" s="554" t="s">
        <v>2305</v>
      </c>
      <c r="AD221" s="554" t="s">
        <v>2307</v>
      </c>
      <c r="AE221" s="554" t="s">
        <v>2307</v>
      </c>
      <c r="AF221" s="554" t="s">
        <v>2307</v>
      </c>
      <c r="AG221" s="554" t="s">
        <v>2307</v>
      </c>
      <c r="AH221" s="554" t="s">
        <v>2307</v>
      </c>
      <c r="AI221" s="554" t="s">
        <v>2307</v>
      </c>
      <c r="AJ221" s="554" t="s">
        <v>2305</v>
      </c>
      <c r="AK221" s="554" t="s">
        <v>2307</v>
      </c>
      <c r="AL221" s="490"/>
      <c r="AM221" s="490"/>
      <c r="AN221" s="27"/>
      <c r="AO221" s="17"/>
      <c r="AP221" s="9"/>
      <c r="AQ221" s="9"/>
      <c r="AR221" s="9"/>
    </row>
    <row r="222" spans="1:44" customFormat="1" outlineLevel="1" x14ac:dyDescent="0.35">
      <c r="A222" s="7"/>
      <c r="B222" s="8"/>
      <c r="C222" s="18"/>
      <c r="D222" s="18"/>
      <c r="E222" s="18"/>
      <c r="F222" s="24"/>
      <c r="G222" s="25"/>
      <c r="H222" s="25" t="s">
        <v>3123</v>
      </c>
      <c r="I222" s="25"/>
      <c r="J222" s="554" t="s">
        <v>5</v>
      </c>
      <c r="K222" s="554" t="s">
        <v>5</v>
      </c>
      <c r="L222" s="554" t="s">
        <v>5</v>
      </c>
      <c r="M222" s="554" t="s">
        <v>5</v>
      </c>
      <c r="N222" s="554" t="s">
        <v>5</v>
      </c>
      <c r="O222" s="554" t="s">
        <v>5</v>
      </c>
      <c r="P222" s="554" t="s">
        <v>5</v>
      </c>
      <c r="Q222" s="554" t="s">
        <v>5</v>
      </c>
      <c r="R222" s="556" t="s">
        <v>4</v>
      </c>
      <c r="S222" s="556" t="s">
        <v>4</v>
      </c>
      <c r="T222" s="556" t="s">
        <v>8</v>
      </c>
      <c r="U222" s="556" t="s">
        <v>8</v>
      </c>
      <c r="V222" s="556" t="s">
        <v>5</v>
      </c>
      <c r="W222" s="556" t="s">
        <v>5</v>
      </c>
      <c r="X222" s="556" t="s">
        <v>8</v>
      </c>
      <c r="Y222" s="556" t="s">
        <v>8</v>
      </c>
      <c r="Z222" s="556" t="s">
        <v>5</v>
      </c>
      <c r="AA222" s="556" t="s">
        <v>5</v>
      </c>
      <c r="AB222" s="556" t="s">
        <v>5</v>
      </c>
      <c r="AC222" s="556" t="s">
        <v>5</v>
      </c>
      <c r="AD222" s="554" t="s">
        <v>7</v>
      </c>
      <c r="AE222" s="554" t="s">
        <v>7</v>
      </c>
      <c r="AF222" s="554" t="s">
        <v>7</v>
      </c>
      <c r="AG222" s="554" t="s">
        <v>7</v>
      </c>
      <c r="AH222" s="554" t="s">
        <v>72</v>
      </c>
      <c r="AI222" s="554" t="s">
        <v>7</v>
      </c>
      <c r="AJ222" s="554" t="s">
        <v>7</v>
      </c>
      <c r="AK222" s="554" t="s">
        <v>72</v>
      </c>
      <c r="AL222" s="490"/>
      <c r="AM222" s="490"/>
      <c r="AN222" s="27"/>
      <c r="AO222" s="17"/>
      <c r="AP222" s="9"/>
      <c r="AQ222" s="9"/>
      <c r="AR222" s="9"/>
    </row>
    <row r="223" spans="1:44" customFormat="1" ht="14.5" customHeight="1" outlineLevel="1" x14ac:dyDescent="0.35">
      <c r="A223" s="7"/>
      <c r="B223" s="8"/>
      <c r="C223" s="18"/>
      <c r="D223" s="18"/>
      <c r="E223" s="18"/>
      <c r="F223" s="24"/>
      <c r="G223" s="25"/>
      <c r="H223" s="557" t="s">
        <v>3124</v>
      </c>
      <c r="I223" s="25"/>
      <c r="J223" s="558">
        <v>2520</v>
      </c>
      <c r="K223" s="558">
        <v>1470</v>
      </c>
      <c r="L223" s="558">
        <v>1660</v>
      </c>
      <c r="M223" s="558">
        <v>1660</v>
      </c>
      <c r="N223" s="558">
        <v>2690</v>
      </c>
      <c r="O223" s="558">
        <v>2110</v>
      </c>
      <c r="P223" s="558">
        <v>2110</v>
      </c>
      <c r="Q223" s="558">
        <v>2520</v>
      </c>
      <c r="R223" s="558">
        <v>3000</v>
      </c>
      <c r="S223" s="558">
        <v>3000</v>
      </c>
      <c r="T223" s="558">
        <v>2000</v>
      </c>
      <c r="U223" s="558">
        <v>2000</v>
      </c>
      <c r="V223" s="558">
        <v>2100</v>
      </c>
      <c r="W223" s="558">
        <v>2100</v>
      </c>
      <c r="X223" s="558">
        <v>1600</v>
      </c>
      <c r="Y223" s="558">
        <v>1150</v>
      </c>
      <c r="Z223" s="558">
        <v>3000</v>
      </c>
      <c r="AA223" s="558">
        <v>3000</v>
      </c>
      <c r="AB223" s="558">
        <v>3000</v>
      </c>
      <c r="AC223" s="558">
        <v>3000</v>
      </c>
      <c r="AD223" s="558"/>
      <c r="AE223" s="558"/>
      <c r="AF223" s="558"/>
      <c r="AG223" s="558"/>
      <c r="AH223" s="558"/>
      <c r="AI223" s="558"/>
      <c r="AJ223" s="558">
        <v>2000</v>
      </c>
      <c r="AK223" s="558"/>
      <c r="AL223" s="490"/>
      <c r="AM223" s="490"/>
      <c r="AN223" s="27"/>
      <c r="AO223" s="17"/>
      <c r="AP223" s="9"/>
      <c r="AQ223" s="9"/>
      <c r="AR223" s="9"/>
    </row>
    <row r="224" spans="1:44" customFormat="1" outlineLevel="1" x14ac:dyDescent="0.35">
      <c r="A224" s="7"/>
      <c r="B224" s="8"/>
      <c r="C224" s="18"/>
      <c r="D224" s="18"/>
      <c r="E224" s="18"/>
      <c r="F224" s="24"/>
      <c r="G224" s="25"/>
      <c r="H224" s="559" t="s">
        <v>3125</v>
      </c>
      <c r="I224" s="560"/>
      <c r="J224" s="561">
        <f>J223/VLOOKUP(J$222,$G$140:$H$158,2)</f>
        <v>2680.8510638297876</v>
      </c>
      <c r="K224" s="561">
        <f t="shared" ref="K224:S224" si="12">K223/VLOOKUP(K$222,$G$140:$H$158,2)</f>
        <v>1563.8297872340427</v>
      </c>
      <c r="L224" s="561">
        <f t="shared" si="12"/>
        <v>1765.9574468085107</v>
      </c>
      <c r="M224" s="561">
        <f t="shared" si="12"/>
        <v>1765.9574468085107</v>
      </c>
      <c r="N224" s="561">
        <f t="shared" si="12"/>
        <v>2861.7021276595747</v>
      </c>
      <c r="O224" s="561">
        <f t="shared" si="12"/>
        <v>2244.6808510638298</v>
      </c>
      <c r="P224" s="561">
        <f t="shared" si="12"/>
        <v>2244.6808510638298</v>
      </c>
      <c r="Q224" s="561">
        <f t="shared" si="12"/>
        <v>2680.8510638297876</v>
      </c>
      <c r="R224" s="561">
        <f t="shared" si="12"/>
        <v>3191.489361702128</v>
      </c>
      <c r="S224" s="561">
        <f t="shared" si="12"/>
        <v>3191.489361702128</v>
      </c>
      <c r="T224" s="561">
        <f>T223/VLOOKUP(T$222,$G$140:$H$158,2)</f>
        <v>2061.855670103093</v>
      </c>
      <c r="U224" s="561">
        <f t="shared" ref="U224:AC224" si="13">U223/VLOOKUP(U$222,$G$140:$H$158,2)</f>
        <v>2061.855670103093</v>
      </c>
      <c r="V224" s="561">
        <f t="shared" si="13"/>
        <v>2234.0425531914893</v>
      </c>
      <c r="W224" s="561">
        <f t="shared" si="13"/>
        <v>2234.0425531914893</v>
      </c>
      <c r="X224" s="561">
        <f t="shared" si="13"/>
        <v>1649.4845360824743</v>
      </c>
      <c r="Y224" s="561">
        <f t="shared" si="13"/>
        <v>1185.5670103092784</v>
      </c>
      <c r="Z224" s="561">
        <f t="shared" si="13"/>
        <v>3191.489361702128</v>
      </c>
      <c r="AA224" s="561">
        <f t="shared" si="13"/>
        <v>3191.489361702128</v>
      </c>
      <c r="AB224" s="561">
        <f t="shared" si="13"/>
        <v>3191.489361702128</v>
      </c>
      <c r="AC224" s="561">
        <f t="shared" si="13"/>
        <v>3191.489361702128</v>
      </c>
      <c r="AD224" s="556">
        <f>AVERAGE(1700/0.95,3460)</f>
        <v>2624.7368421052633</v>
      </c>
      <c r="AE224" s="556">
        <f>AVERAGE(1750/0.95,2288)</f>
        <v>2065.0526315789475</v>
      </c>
      <c r="AF224" s="556">
        <f>AVERAGE(1700/0.95,1373)</f>
        <v>1581.2368421052633</v>
      </c>
      <c r="AG224" s="556">
        <f>AVERAGE(1800/0.95,4500)</f>
        <v>3197.3684210526317</v>
      </c>
      <c r="AH224" s="556">
        <f>AVERAGE(2800/0.95,4032)</f>
        <v>3489.6842105263158</v>
      </c>
      <c r="AI224" s="556">
        <f>AVERAGE(1800/0.95,2280)</f>
        <v>2087.3684210526317</v>
      </c>
      <c r="AJ224" s="561">
        <f>AJ223/VLOOKUP(AJ$222,$G$140:$H$158,2)</f>
        <v>2222.2222222222222</v>
      </c>
      <c r="AK224" s="556">
        <f t="shared" ref="AK224" si="14">AVERAGE(2800/0.95,4032)</f>
        <v>3489.6842105263158</v>
      </c>
      <c r="AL224" s="490"/>
      <c r="AM224" s="490"/>
      <c r="AN224" s="27"/>
      <c r="AO224" s="17"/>
      <c r="AP224" s="9"/>
      <c r="AQ224" s="9"/>
      <c r="AR224" s="9"/>
    </row>
    <row r="225" spans="1:44" customFormat="1" x14ac:dyDescent="0.35">
      <c r="A225" s="7"/>
      <c r="B225" s="8"/>
      <c r="C225" s="18"/>
      <c r="D225" s="18"/>
      <c r="E225" s="18"/>
      <c r="F225" s="24"/>
      <c r="G225" s="547" t="s">
        <v>3126</v>
      </c>
      <c r="H225" s="25"/>
      <c r="I225" s="489"/>
      <c r="J225" s="489"/>
      <c r="K225" s="489"/>
      <c r="L225" s="489"/>
      <c r="M225" s="489"/>
      <c r="N225" s="489"/>
      <c r="O225" s="489"/>
      <c r="P225" s="489"/>
      <c r="Q225" s="489"/>
      <c r="R225" s="489"/>
      <c r="S225" s="489"/>
      <c r="T225" s="489"/>
      <c r="U225" s="489"/>
      <c r="V225" s="489"/>
      <c r="W225" s="489"/>
      <c r="X225" s="489"/>
      <c r="Y225" s="489"/>
      <c r="Z225" s="489"/>
      <c r="AA225" s="489"/>
      <c r="AB225" s="489"/>
      <c r="AC225" s="489"/>
      <c r="AD225" s="489"/>
      <c r="AE225" s="489"/>
      <c r="AF225" s="489"/>
      <c r="AG225" s="489"/>
      <c r="AH225" s="489"/>
      <c r="AI225" s="489"/>
      <c r="AJ225" s="489"/>
      <c r="AK225" s="489"/>
      <c r="AL225" s="490"/>
      <c r="AM225" s="490"/>
      <c r="AN225" s="27"/>
      <c r="AO225" s="17"/>
      <c r="AP225" s="9"/>
      <c r="AQ225" s="9"/>
      <c r="AR225" s="9"/>
    </row>
    <row r="226" spans="1:44" customFormat="1" outlineLevel="1" x14ac:dyDescent="0.35">
      <c r="A226" s="7"/>
      <c r="B226" s="8"/>
      <c r="C226" s="18"/>
      <c r="D226" s="18"/>
      <c r="E226" s="18"/>
      <c r="F226" s="24"/>
      <c r="G226" s="25"/>
      <c r="H226" s="25" t="s">
        <v>3127</v>
      </c>
      <c r="I226" s="489"/>
      <c r="J226" s="554">
        <v>3</v>
      </c>
      <c r="K226" s="554">
        <v>3</v>
      </c>
      <c r="L226" s="554">
        <v>3</v>
      </c>
      <c r="M226" s="554">
        <v>3</v>
      </c>
      <c r="N226" s="554">
        <v>3</v>
      </c>
      <c r="O226" s="554">
        <v>3</v>
      </c>
      <c r="P226" s="554">
        <v>3</v>
      </c>
      <c r="Q226" s="554">
        <v>3</v>
      </c>
      <c r="R226" s="554">
        <v>3</v>
      </c>
      <c r="S226" s="554">
        <v>3</v>
      </c>
      <c r="T226" s="554">
        <v>3</v>
      </c>
      <c r="U226" s="554">
        <v>3</v>
      </c>
      <c r="V226" s="554">
        <v>3</v>
      </c>
      <c r="W226" s="554">
        <v>3</v>
      </c>
      <c r="X226" s="554">
        <v>3</v>
      </c>
      <c r="Y226" s="554">
        <v>3</v>
      </c>
      <c r="Z226" s="554">
        <v>3</v>
      </c>
      <c r="AA226" s="554">
        <v>3</v>
      </c>
      <c r="AB226" s="554">
        <v>3</v>
      </c>
      <c r="AC226" s="554">
        <v>3</v>
      </c>
      <c r="AD226" s="554">
        <v>1</v>
      </c>
      <c r="AE226" s="554">
        <v>1</v>
      </c>
      <c r="AF226" s="554">
        <v>1</v>
      </c>
      <c r="AG226" s="554">
        <v>1</v>
      </c>
      <c r="AH226" s="554">
        <v>1</v>
      </c>
      <c r="AI226" s="554">
        <v>1</v>
      </c>
      <c r="AJ226" s="554">
        <v>3</v>
      </c>
      <c r="AK226" s="555">
        <f t="shared" ref="AK226:AK231" si="15">AVERAGE(AE226:AF226)</f>
        <v>1</v>
      </c>
      <c r="AL226" s="490"/>
      <c r="AM226" s="490"/>
      <c r="AN226" s="27"/>
      <c r="AO226" s="17"/>
      <c r="AP226" s="9"/>
      <c r="AQ226" s="9"/>
      <c r="AR226" s="9"/>
    </row>
    <row r="227" spans="1:44" customFormat="1" outlineLevel="1" x14ac:dyDescent="0.35">
      <c r="A227" s="7"/>
      <c r="B227" s="8"/>
      <c r="C227" s="18"/>
      <c r="D227" s="18"/>
      <c r="E227" s="18"/>
      <c r="F227" s="24"/>
      <c r="G227" s="25"/>
      <c r="H227" s="25" t="s">
        <v>3128</v>
      </c>
      <c r="I227" s="489"/>
      <c r="J227" s="554">
        <v>3</v>
      </c>
      <c r="K227" s="554">
        <v>3</v>
      </c>
      <c r="L227" s="554">
        <v>3</v>
      </c>
      <c r="M227" s="554">
        <v>3</v>
      </c>
      <c r="N227" s="554">
        <v>3</v>
      </c>
      <c r="O227" s="554">
        <v>3</v>
      </c>
      <c r="P227" s="554">
        <v>3</v>
      </c>
      <c r="Q227" s="554">
        <v>3</v>
      </c>
      <c r="R227" s="554">
        <v>3</v>
      </c>
      <c r="S227" s="554">
        <v>3</v>
      </c>
      <c r="T227" s="554">
        <v>3</v>
      </c>
      <c r="U227" s="554">
        <v>3</v>
      </c>
      <c r="V227" s="554">
        <v>3</v>
      </c>
      <c r="W227" s="554">
        <v>3</v>
      </c>
      <c r="X227" s="554">
        <v>3</v>
      </c>
      <c r="Y227" s="554">
        <v>3</v>
      </c>
      <c r="Z227" s="554">
        <v>3</v>
      </c>
      <c r="AA227" s="554">
        <v>3</v>
      </c>
      <c r="AB227" s="554">
        <v>3</v>
      </c>
      <c r="AC227" s="554">
        <v>3</v>
      </c>
      <c r="AD227" s="554">
        <v>1.2</v>
      </c>
      <c r="AE227" s="554">
        <v>1.2</v>
      </c>
      <c r="AF227" s="554">
        <v>1.2</v>
      </c>
      <c r="AG227" s="554">
        <v>1.2</v>
      </c>
      <c r="AH227" s="554">
        <v>1.2</v>
      </c>
      <c r="AI227" s="554">
        <v>1.2</v>
      </c>
      <c r="AJ227" s="554">
        <v>3</v>
      </c>
      <c r="AK227" s="555">
        <f t="shared" si="15"/>
        <v>1.2</v>
      </c>
      <c r="AL227" s="490"/>
      <c r="AM227" s="490"/>
      <c r="AN227" s="27"/>
      <c r="AO227" s="17"/>
      <c r="AP227" s="9"/>
      <c r="AQ227" s="9"/>
      <c r="AR227" s="9"/>
    </row>
    <row r="228" spans="1:44" customFormat="1" outlineLevel="1" x14ac:dyDescent="0.35">
      <c r="A228" s="7"/>
      <c r="B228" s="8"/>
      <c r="C228" s="18"/>
      <c r="D228" s="18"/>
      <c r="E228" s="18"/>
      <c r="F228" s="24"/>
      <c r="G228" s="25"/>
      <c r="H228" s="25" t="s">
        <v>3129</v>
      </c>
      <c r="I228" s="489"/>
      <c r="J228" s="554">
        <v>21</v>
      </c>
      <c r="K228" s="554">
        <v>21</v>
      </c>
      <c r="L228" s="554">
        <v>21</v>
      </c>
      <c r="M228" s="554">
        <v>21</v>
      </c>
      <c r="N228" s="554">
        <v>21</v>
      </c>
      <c r="O228" s="554">
        <v>21</v>
      </c>
      <c r="P228" s="554">
        <v>21</v>
      </c>
      <c r="Q228" s="554">
        <v>21</v>
      </c>
      <c r="R228" s="554">
        <v>21</v>
      </c>
      <c r="S228" s="554">
        <v>21</v>
      </c>
      <c r="T228" s="554">
        <v>21</v>
      </c>
      <c r="U228" s="554">
        <v>21</v>
      </c>
      <c r="V228" s="554">
        <v>21</v>
      </c>
      <c r="W228" s="554">
        <v>21</v>
      </c>
      <c r="X228" s="554">
        <v>21</v>
      </c>
      <c r="Y228" s="554">
        <v>21</v>
      </c>
      <c r="Z228" s="554">
        <v>21</v>
      </c>
      <c r="AA228" s="554">
        <v>21</v>
      </c>
      <c r="AB228" s="554">
        <v>21</v>
      </c>
      <c r="AC228" s="554">
        <v>21</v>
      </c>
      <c r="AD228" s="554">
        <v>25</v>
      </c>
      <c r="AE228" s="554">
        <v>21</v>
      </c>
      <c r="AF228" s="554">
        <v>21</v>
      </c>
      <c r="AG228" s="554">
        <v>21</v>
      </c>
      <c r="AH228" s="554">
        <v>21</v>
      </c>
      <c r="AI228" s="554">
        <v>25</v>
      </c>
      <c r="AJ228" s="554">
        <v>21</v>
      </c>
      <c r="AK228" s="555">
        <f t="shared" si="15"/>
        <v>21</v>
      </c>
      <c r="AL228" s="490"/>
      <c r="AM228" s="490"/>
      <c r="AN228" s="27"/>
      <c r="AO228" s="17"/>
      <c r="AP228" s="9"/>
      <c r="AQ228" s="9"/>
      <c r="AR228" s="9"/>
    </row>
    <row r="229" spans="1:44" customFormat="1" outlineLevel="1" x14ac:dyDescent="0.35">
      <c r="A229" s="7"/>
      <c r="B229" s="8"/>
      <c r="C229" s="18"/>
      <c r="D229" s="18"/>
      <c r="E229" s="18"/>
      <c r="F229" s="24"/>
      <c r="G229" s="25"/>
      <c r="H229" s="25" t="s">
        <v>3130</v>
      </c>
      <c r="I229" s="489"/>
      <c r="J229" s="554">
        <v>5</v>
      </c>
      <c r="K229" s="554">
        <v>5</v>
      </c>
      <c r="L229" s="554">
        <v>5</v>
      </c>
      <c r="M229" s="554">
        <v>5</v>
      </c>
      <c r="N229" s="554">
        <v>5</v>
      </c>
      <c r="O229" s="554">
        <v>5</v>
      </c>
      <c r="P229" s="554">
        <v>5</v>
      </c>
      <c r="Q229" s="554">
        <v>5</v>
      </c>
      <c r="R229" s="554">
        <v>5</v>
      </c>
      <c r="S229" s="554">
        <v>5</v>
      </c>
      <c r="T229" s="554">
        <v>5</v>
      </c>
      <c r="U229" s="554">
        <v>5</v>
      </c>
      <c r="V229" s="554">
        <v>5</v>
      </c>
      <c r="W229" s="554">
        <v>5</v>
      </c>
      <c r="X229" s="554">
        <v>5</v>
      </c>
      <c r="Y229" s="554">
        <v>5</v>
      </c>
      <c r="Z229" s="554">
        <v>5</v>
      </c>
      <c r="AA229" s="554">
        <v>5</v>
      </c>
      <c r="AB229" s="554">
        <v>5</v>
      </c>
      <c r="AC229" s="554">
        <v>5</v>
      </c>
      <c r="AD229" s="554">
        <v>2.5</v>
      </c>
      <c r="AE229" s="554">
        <v>2.5</v>
      </c>
      <c r="AF229" s="554">
        <v>2.5</v>
      </c>
      <c r="AG229" s="554">
        <v>2.5</v>
      </c>
      <c r="AH229" s="554">
        <v>2.5</v>
      </c>
      <c r="AI229" s="554">
        <v>2.5</v>
      </c>
      <c r="AJ229" s="554">
        <v>5</v>
      </c>
      <c r="AK229" s="555">
        <f t="shared" si="15"/>
        <v>2.5</v>
      </c>
      <c r="AL229" s="490"/>
      <c r="AM229" s="490"/>
      <c r="AN229" s="27"/>
      <c r="AO229" s="17"/>
      <c r="AP229" s="9"/>
      <c r="AQ229" s="9"/>
      <c r="AR229" s="9"/>
    </row>
    <row r="230" spans="1:44" customFormat="1" ht="15" customHeight="1" outlineLevel="1" x14ac:dyDescent="0.35">
      <c r="A230" s="7"/>
      <c r="B230" s="8"/>
      <c r="C230" s="18"/>
      <c r="D230" s="18"/>
      <c r="E230" s="18"/>
      <c r="F230" s="24"/>
      <c r="G230" s="25"/>
      <c r="H230" s="25" t="s">
        <v>3131</v>
      </c>
      <c r="I230" s="632" t="s">
        <v>3132</v>
      </c>
      <c r="J230" s="562">
        <v>0.15</v>
      </c>
      <c r="K230" s="562">
        <v>0.15</v>
      </c>
      <c r="L230" s="562">
        <v>0.15</v>
      </c>
      <c r="M230" s="562">
        <v>0.15</v>
      </c>
      <c r="N230" s="562">
        <v>0.15</v>
      </c>
      <c r="O230" s="562">
        <v>0.15</v>
      </c>
      <c r="P230" s="562">
        <v>0.15</v>
      </c>
      <c r="Q230" s="562">
        <v>0.15</v>
      </c>
      <c r="R230" s="562">
        <v>0.15</v>
      </c>
      <c r="S230" s="562">
        <v>0.15</v>
      </c>
      <c r="T230" s="562">
        <v>0.15</v>
      </c>
      <c r="U230" s="562">
        <v>0.15</v>
      </c>
      <c r="V230" s="562">
        <v>0.15</v>
      </c>
      <c r="W230" s="562">
        <v>0.15</v>
      </c>
      <c r="X230" s="562">
        <v>0.15</v>
      </c>
      <c r="Y230" s="562">
        <v>0.15</v>
      </c>
      <c r="Z230" s="562">
        <v>0.15</v>
      </c>
      <c r="AA230" s="562">
        <v>0.15</v>
      </c>
      <c r="AB230" s="562">
        <v>0.15</v>
      </c>
      <c r="AC230" s="562">
        <v>0.15</v>
      </c>
      <c r="AD230" s="562">
        <v>0.15</v>
      </c>
      <c r="AE230" s="562">
        <v>0.15</v>
      </c>
      <c r="AF230" s="562">
        <v>0.15</v>
      </c>
      <c r="AG230" s="562">
        <v>0.15</v>
      </c>
      <c r="AH230" s="562">
        <v>0.15</v>
      </c>
      <c r="AI230" s="562">
        <v>0.15</v>
      </c>
      <c r="AJ230" s="562">
        <v>0.15</v>
      </c>
      <c r="AK230" s="563">
        <f t="shared" si="15"/>
        <v>0.15</v>
      </c>
      <c r="AL230" s="490"/>
      <c r="AM230" s="490"/>
      <c r="AN230" s="27"/>
      <c r="AO230" s="17"/>
      <c r="AP230" s="9"/>
      <c r="AQ230" s="9"/>
      <c r="AR230" s="9"/>
    </row>
    <row r="231" spans="1:44" customFormat="1" outlineLevel="1" x14ac:dyDescent="0.35">
      <c r="A231" s="7"/>
      <c r="B231" s="8"/>
      <c r="C231" s="18"/>
      <c r="D231" s="18"/>
      <c r="E231" s="18"/>
      <c r="F231" s="24"/>
      <c r="G231" s="25"/>
      <c r="H231" s="25" t="s">
        <v>3133</v>
      </c>
      <c r="I231" s="632"/>
      <c r="J231" s="562">
        <v>0.02</v>
      </c>
      <c r="K231" s="562">
        <v>0.02</v>
      </c>
      <c r="L231" s="562">
        <v>0.02</v>
      </c>
      <c r="M231" s="562">
        <v>0.02</v>
      </c>
      <c r="N231" s="562">
        <v>0.02</v>
      </c>
      <c r="O231" s="562">
        <v>0.02</v>
      </c>
      <c r="P231" s="562">
        <v>0.02</v>
      </c>
      <c r="Q231" s="562">
        <v>0.02</v>
      </c>
      <c r="R231" s="562">
        <v>0.02</v>
      </c>
      <c r="S231" s="562">
        <v>0.02</v>
      </c>
      <c r="T231" s="562">
        <v>0.02</v>
      </c>
      <c r="U231" s="562">
        <v>0.02</v>
      </c>
      <c r="V231" s="562">
        <v>0.02</v>
      </c>
      <c r="W231" s="562">
        <v>0.02</v>
      </c>
      <c r="X231" s="562">
        <v>0.02</v>
      </c>
      <c r="Y231" s="562">
        <v>0.02</v>
      </c>
      <c r="Z231" s="562">
        <v>0.02</v>
      </c>
      <c r="AA231" s="562">
        <v>0.02</v>
      </c>
      <c r="AB231" s="562">
        <v>0.02</v>
      </c>
      <c r="AC231" s="562">
        <v>0.02</v>
      </c>
      <c r="AD231" s="562">
        <v>0.02</v>
      </c>
      <c r="AE231" s="562">
        <v>0.02</v>
      </c>
      <c r="AF231" s="562">
        <v>0.02</v>
      </c>
      <c r="AG231" s="562">
        <v>0.02</v>
      </c>
      <c r="AH231" s="562">
        <v>0.02</v>
      </c>
      <c r="AI231" s="562">
        <v>0.02</v>
      </c>
      <c r="AJ231" s="562">
        <v>0.02</v>
      </c>
      <c r="AK231" s="563">
        <f t="shared" si="15"/>
        <v>0.02</v>
      </c>
      <c r="AL231" s="490"/>
      <c r="AM231" s="490"/>
      <c r="AN231" s="27"/>
      <c r="AO231" s="17"/>
      <c r="AP231" s="9"/>
      <c r="AQ231" s="9"/>
      <c r="AR231" s="9"/>
    </row>
    <row r="232" spans="1:44" customFormat="1" outlineLevel="1" x14ac:dyDescent="0.35">
      <c r="A232" s="7"/>
      <c r="B232" s="8"/>
      <c r="C232" s="18"/>
      <c r="D232" s="18"/>
      <c r="E232" s="18"/>
      <c r="F232" s="24"/>
      <c r="G232" s="25"/>
      <c r="H232" s="25" t="s">
        <v>3134</v>
      </c>
      <c r="I232" s="632"/>
      <c r="J232" s="563">
        <f>1-SUM(J230:J231)</f>
        <v>0.83000000000000007</v>
      </c>
      <c r="K232" s="563">
        <f t="shared" ref="K232:Q232" si="16">1-SUM(K230:K231)</f>
        <v>0.83000000000000007</v>
      </c>
      <c r="L232" s="563">
        <f t="shared" si="16"/>
        <v>0.83000000000000007</v>
      </c>
      <c r="M232" s="563">
        <f t="shared" si="16"/>
        <v>0.83000000000000007</v>
      </c>
      <c r="N232" s="563">
        <f t="shared" si="16"/>
        <v>0.83000000000000007</v>
      </c>
      <c r="O232" s="563">
        <f t="shared" si="16"/>
        <v>0.83000000000000007</v>
      </c>
      <c r="P232" s="563">
        <f t="shared" si="16"/>
        <v>0.83000000000000007</v>
      </c>
      <c r="Q232" s="563">
        <f t="shared" si="16"/>
        <v>0.83000000000000007</v>
      </c>
      <c r="R232" s="563">
        <f t="shared" ref="R232:AI232" si="17">1-SUM(R230:R231)</f>
        <v>0.83000000000000007</v>
      </c>
      <c r="S232" s="563">
        <f t="shared" si="17"/>
        <v>0.83000000000000007</v>
      </c>
      <c r="T232" s="563">
        <f t="shared" si="17"/>
        <v>0.83000000000000007</v>
      </c>
      <c r="U232" s="563">
        <f t="shared" si="17"/>
        <v>0.83000000000000007</v>
      </c>
      <c r="V232" s="563">
        <f t="shared" si="17"/>
        <v>0.83000000000000007</v>
      </c>
      <c r="W232" s="563">
        <f t="shared" si="17"/>
        <v>0.83000000000000007</v>
      </c>
      <c r="X232" s="563">
        <f t="shared" si="17"/>
        <v>0.83000000000000007</v>
      </c>
      <c r="Y232" s="563">
        <f t="shared" si="17"/>
        <v>0.83000000000000007</v>
      </c>
      <c r="Z232" s="563">
        <f t="shared" si="17"/>
        <v>0.83000000000000007</v>
      </c>
      <c r="AA232" s="563">
        <f t="shared" si="17"/>
        <v>0.83000000000000007</v>
      </c>
      <c r="AB232" s="563">
        <f t="shared" si="17"/>
        <v>0.83000000000000007</v>
      </c>
      <c r="AC232" s="563">
        <f t="shared" si="17"/>
        <v>0.83000000000000007</v>
      </c>
      <c r="AD232" s="563">
        <f t="shared" si="17"/>
        <v>0.83000000000000007</v>
      </c>
      <c r="AE232" s="563">
        <f t="shared" si="17"/>
        <v>0.83000000000000007</v>
      </c>
      <c r="AF232" s="563">
        <f t="shared" si="17"/>
        <v>0.83000000000000007</v>
      </c>
      <c r="AG232" s="563">
        <f t="shared" si="17"/>
        <v>0.83000000000000007</v>
      </c>
      <c r="AH232" s="563">
        <f t="shared" si="17"/>
        <v>0.83000000000000007</v>
      </c>
      <c r="AI232" s="563">
        <f t="shared" si="17"/>
        <v>0.83000000000000007</v>
      </c>
      <c r="AJ232" s="563">
        <f>1-SUM(AJ230:AJ231)</f>
        <v>0.83000000000000007</v>
      </c>
      <c r="AK232" s="563">
        <f t="shared" ref="AK232" si="18">1-SUM(AK230:AK231)</f>
        <v>0.83000000000000007</v>
      </c>
      <c r="AL232" s="490"/>
      <c r="AM232" s="490"/>
      <c r="AN232" s="27"/>
      <c r="AO232" s="17"/>
      <c r="AP232" s="9"/>
      <c r="AQ232" s="9"/>
      <c r="AR232" s="9"/>
    </row>
    <row r="233" spans="1:44" customFormat="1" outlineLevel="1" x14ac:dyDescent="0.35">
      <c r="A233" s="7"/>
      <c r="B233" s="8"/>
      <c r="C233" s="18"/>
      <c r="D233" s="18"/>
      <c r="E233" s="18"/>
      <c r="F233" s="24"/>
      <c r="G233" s="25"/>
      <c r="H233" s="25" t="s">
        <v>3135</v>
      </c>
      <c r="I233" s="489"/>
      <c r="J233" s="564">
        <v>0</v>
      </c>
      <c r="K233" s="564">
        <v>0</v>
      </c>
      <c r="L233" s="564">
        <v>0</v>
      </c>
      <c r="M233" s="564">
        <v>0</v>
      </c>
      <c r="N233" s="564">
        <v>0</v>
      </c>
      <c r="O233" s="564">
        <v>0</v>
      </c>
      <c r="P233" s="564">
        <v>0</v>
      </c>
      <c r="Q233" s="564">
        <v>0</v>
      </c>
      <c r="R233" s="564">
        <v>0</v>
      </c>
      <c r="S233" s="564">
        <v>0</v>
      </c>
      <c r="T233" s="564">
        <v>0</v>
      </c>
      <c r="U233" s="564">
        <v>0</v>
      </c>
      <c r="V233" s="564">
        <v>0</v>
      </c>
      <c r="W233" s="564">
        <v>0</v>
      </c>
      <c r="X233" s="564">
        <v>0</v>
      </c>
      <c r="Y233" s="564">
        <v>0</v>
      </c>
      <c r="Z233" s="564">
        <v>0</v>
      </c>
      <c r="AA233" s="564">
        <v>0</v>
      </c>
      <c r="AB233" s="564">
        <v>0</v>
      </c>
      <c r="AC233" s="564">
        <v>0</v>
      </c>
      <c r="AD233" s="564">
        <v>0</v>
      </c>
      <c r="AE233" s="564">
        <v>0</v>
      </c>
      <c r="AF233" s="564">
        <v>0</v>
      </c>
      <c r="AG233" s="564">
        <v>0</v>
      </c>
      <c r="AH233" s="564">
        <v>0</v>
      </c>
      <c r="AI233" s="564">
        <v>0</v>
      </c>
      <c r="AJ233" s="564">
        <v>0</v>
      </c>
      <c r="AK233" s="565">
        <f>AVERAGE(AE233:AF233)</f>
        <v>0</v>
      </c>
      <c r="AL233" s="490"/>
      <c r="AM233" s="490"/>
      <c r="AN233" s="27"/>
      <c r="AO233" s="17"/>
      <c r="AP233" s="9"/>
      <c r="AQ233" s="9"/>
      <c r="AR233" s="9"/>
    </row>
    <row r="234" spans="1:44" customFormat="1" outlineLevel="1" x14ac:dyDescent="0.35">
      <c r="A234" s="7"/>
      <c r="B234" s="8"/>
      <c r="C234" s="18"/>
      <c r="D234" s="18"/>
      <c r="E234" s="18"/>
      <c r="F234" s="24"/>
      <c r="G234" s="25"/>
      <c r="H234" s="25" t="s">
        <v>3136</v>
      </c>
      <c r="I234" s="489"/>
      <c r="J234" s="564">
        <v>10</v>
      </c>
      <c r="K234" s="564">
        <v>10</v>
      </c>
      <c r="L234" s="564">
        <v>10</v>
      </c>
      <c r="M234" s="564">
        <v>10</v>
      </c>
      <c r="N234" s="564">
        <v>10</v>
      </c>
      <c r="O234" s="564">
        <v>10</v>
      </c>
      <c r="P234" s="564">
        <v>10</v>
      </c>
      <c r="Q234" s="564">
        <v>10</v>
      </c>
      <c r="R234" s="564">
        <v>10</v>
      </c>
      <c r="S234" s="564">
        <v>10</v>
      </c>
      <c r="T234" s="564">
        <v>10</v>
      </c>
      <c r="U234" s="564">
        <v>10</v>
      </c>
      <c r="V234" s="564">
        <v>10</v>
      </c>
      <c r="W234" s="564">
        <v>10</v>
      </c>
      <c r="X234" s="564">
        <v>10</v>
      </c>
      <c r="Y234" s="564">
        <v>10</v>
      </c>
      <c r="Z234" s="564">
        <v>10</v>
      </c>
      <c r="AA234" s="564">
        <v>10</v>
      </c>
      <c r="AB234" s="564">
        <v>10</v>
      </c>
      <c r="AC234" s="564">
        <v>10</v>
      </c>
      <c r="AD234" s="564">
        <v>12</v>
      </c>
      <c r="AE234" s="564">
        <v>12</v>
      </c>
      <c r="AF234" s="564">
        <v>12</v>
      </c>
      <c r="AG234" s="564">
        <v>12</v>
      </c>
      <c r="AH234" s="564">
        <v>12</v>
      </c>
      <c r="AI234" s="564">
        <v>12</v>
      </c>
      <c r="AJ234" s="564">
        <v>10</v>
      </c>
      <c r="AK234" s="565">
        <f>AVERAGE(AE234:AF234)</f>
        <v>12</v>
      </c>
      <c r="AL234" s="490"/>
      <c r="AM234" s="490"/>
      <c r="AN234" s="27"/>
      <c r="AO234" s="17"/>
      <c r="AP234" s="9"/>
      <c r="AQ234" s="9"/>
      <c r="AR234" s="9"/>
    </row>
    <row r="235" spans="1:44" customFormat="1" outlineLevel="1" x14ac:dyDescent="0.35">
      <c r="A235" s="7"/>
      <c r="B235" s="8"/>
      <c r="C235" s="18"/>
      <c r="D235" s="18"/>
      <c r="E235" s="18"/>
      <c r="F235" s="24"/>
      <c r="G235" s="25"/>
      <c r="H235" s="25"/>
      <c r="I235" s="489"/>
      <c r="J235" s="489"/>
      <c r="K235" s="489"/>
      <c r="L235" s="489"/>
      <c r="M235" s="489"/>
      <c r="N235" s="489"/>
      <c r="O235" s="489"/>
      <c r="P235" s="489"/>
      <c r="Q235" s="489"/>
      <c r="R235" s="489"/>
      <c r="S235" s="489"/>
      <c r="T235" s="489"/>
      <c r="U235" s="489"/>
      <c r="V235" s="489"/>
      <c r="W235" s="489"/>
      <c r="X235" s="489"/>
      <c r="Y235" s="489"/>
      <c r="Z235" s="489"/>
      <c r="AA235" s="489"/>
      <c r="AB235" s="489"/>
      <c r="AC235" s="489"/>
      <c r="AD235" s="489"/>
      <c r="AE235" s="489"/>
      <c r="AF235" s="489"/>
      <c r="AG235" s="489"/>
      <c r="AH235" s="489"/>
      <c r="AI235" s="489"/>
      <c r="AJ235" s="489"/>
      <c r="AK235" s="489"/>
      <c r="AL235" s="490"/>
      <c r="AM235" s="490"/>
      <c r="AN235" s="27"/>
      <c r="AO235" s="17"/>
      <c r="AP235" s="9"/>
      <c r="AQ235" s="9"/>
      <c r="AR235" s="9"/>
    </row>
    <row r="236" spans="1:44" customFormat="1" outlineLevel="1" x14ac:dyDescent="0.35">
      <c r="A236" s="7"/>
      <c r="B236" s="8"/>
      <c r="C236" s="18"/>
      <c r="D236" s="18"/>
      <c r="E236" s="18"/>
      <c r="F236" s="24"/>
      <c r="G236" s="25"/>
      <c r="H236" s="25" t="s">
        <v>3137</v>
      </c>
      <c r="I236" s="489"/>
      <c r="J236" s="564" t="b">
        <v>1</v>
      </c>
      <c r="K236" s="564" t="b">
        <v>1</v>
      </c>
      <c r="L236" s="564" t="b">
        <v>1</v>
      </c>
      <c r="M236" s="564" t="b">
        <v>1</v>
      </c>
      <c r="N236" s="564" t="b">
        <v>1</v>
      </c>
      <c r="O236" s="564" t="b">
        <v>1</v>
      </c>
      <c r="P236" s="564" t="b">
        <v>1</v>
      </c>
      <c r="Q236" s="564" t="b">
        <v>1</v>
      </c>
      <c r="R236" s="564" t="b">
        <v>1</v>
      </c>
      <c r="S236" s="564" t="b">
        <v>1</v>
      </c>
      <c r="T236" s="564" t="b">
        <v>1</v>
      </c>
      <c r="U236" s="564" t="b">
        <v>1</v>
      </c>
      <c r="V236" s="564" t="b">
        <v>1</v>
      </c>
      <c r="W236" s="564" t="b">
        <v>1</v>
      </c>
      <c r="X236" s="564" t="b">
        <v>1</v>
      </c>
      <c r="Y236" s="564" t="b">
        <v>1</v>
      </c>
      <c r="Z236" s="564" t="b">
        <v>1</v>
      </c>
      <c r="AA236" s="564" t="b">
        <v>1</v>
      </c>
      <c r="AB236" s="564" t="b">
        <v>1</v>
      </c>
      <c r="AC236" s="564" t="b">
        <v>1</v>
      </c>
      <c r="AD236" s="564" t="b">
        <v>1</v>
      </c>
      <c r="AE236" s="564" t="b">
        <v>1</v>
      </c>
      <c r="AF236" s="564" t="b">
        <v>1</v>
      </c>
      <c r="AG236" s="564" t="b">
        <v>1</v>
      </c>
      <c r="AH236" s="564" t="b">
        <v>1</v>
      </c>
      <c r="AI236" s="564" t="b">
        <v>1</v>
      </c>
      <c r="AJ236" s="564" t="b">
        <v>1</v>
      </c>
      <c r="AK236" s="564" t="b">
        <v>1</v>
      </c>
      <c r="AL236" s="490"/>
      <c r="AM236" s="490"/>
      <c r="AN236" s="27"/>
      <c r="AO236" s="17"/>
      <c r="AP236" s="9"/>
      <c r="AQ236" s="9"/>
      <c r="AR236" s="9"/>
    </row>
    <row r="237" spans="1:44" customFormat="1" outlineLevel="1" x14ac:dyDescent="0.35">
      <c r="A237" s="7"/>
      <c r="B237" s="8"/>
      <c r="C237" s="18"/>
      <c r="D237" s="18"/>
      <c r="E237" s="18"/>
      <c r="F237" s="24"/>
      <c r="G237" s="25"/>
      <c r="H237" s="25" t="s">
        <v>3138</v>
      </c>
      <c r="I237" s="489"/>
      <c r="J237" s="565" t="b">
        <f>NOT(J236)</f>
        <v>0</v>
      </c>
      <c r="K237" s="565" t="b">
        <f t="shared" ref="K237:AI237" si="19">NOT(K236)</f>
        <v>0</v>
      </c>
      <c r="L237" s="565" t="b">
        <f t="shared" si="19"/>
        <v>0</v>
      </c>
      <c r="M237" s="565" t="b">
        <f t="shared" si="19"/>
        <v>0</v>
      </c>
      <c r="N237" s="565" t="b">
        <f t="shared" si="19"/>
        <v>0</v>
      </c>
      <c r="O237" s="565" t="b">
        <f t="shared" si="19"/>
        <v>0</v>
      </c>
      <c r="P237" s="565" t="b">
        <f t="shared" si="19"/>
        <v>0</v>
      </c>
      <c r="Q237" s="565" t="b">
        <f t="shared" si="19"/>
        <v>0</v>
      </c>
      <c r="R237" s="565" t="b">
        <f t="shared" si="19"/>
        <v>0</v>
      </c>
      <c r="S237" s="565" t="b">
        <f t="shared" si="19"/>
        <v>0</v>
      </c>
      <c r="T237" s="565" t="b">
        <f t="shared" si="19"/>
        <v>0</v>
      </c>
      <c r="U237" s="565" t="b">
        <f t="shared" si="19"/>
        <v>0</v>
      </c>
      <c r="V237" s="565" t="b">
        <f t="shared" si="19"/>
        <v>0</v>
      </c>
      <c r="W237" s="565" t="b">
        <f t="shared" si="19"/>
        <v>0</v>
      </c>
      <c r="X237" s="565" t="b">
        <f t="shared" si="19"/>
        <v>0</v>
      </c>
      <c r="Y237" s="565" t="b">
        <f t="shared" si="19"/>
        <v>0</v>
      </c>
      <c r="Z237" s="565" t="b">
        <f t="shared" si="19"/>
        <v>0</v>
      </c>
      <c r="AA237" s="565" t="b">
        <f t="shared" si="19"/>
        <v>0</v>
      </c>
      <c r="AB237" s="565" t="b">
        <f t="shared" si="19"/>
        <v>0</v>
      </c>
      <c r="AC237" s="565" t="b">
        <f t="shared" si="19"/>
        <v>0</v>
      </c>
      <c r="AD237" s="565" t="b">
        <f t="shared" si="19"/>
        <v>0</v>
      </c>
      <c r="AE237" s="565" t="b">
        <f t="shared" si="19"/>
        <v>0</v>
      </c>
      <c r="AF237" s="565" t="b">
        <f t="shared" si="19"/>
        <v>0</v>
      </c>
      <c r="AG237" s="565" t="b">
        <f t="shared" si="19"/>
        <v>0</v>
      </c>
      <c r="AH237" s="565" t="b">
        <f t="shared" si="19"/>
        <v>0</v>
      </c>
      <c r="AI237" s="565" t="b">
        <f t="shared" si="19"/>
        <v>0</v>
      </c>
      <c r="AJ237" s="565" t="b">
        <f>NOT(AJ236)</f>
        <v>0</v>
      </c>
      <c r="AK237" s="565" t="b">
        <f t="shared" ref="AK237" si="20">NOT(AK236)</f>
        <v>0</v>
      </c>
      <c r="AL237" s="490"/>
      <c r="AM237" s="490"/>
      <c r="AN237" s="27"/>
      <c r="AO237" s="17"/>
      <c r="AP237" s="9"/>
      <c r="AQ237" s="9"/>
      <c r="AR237" s="9"/>
    </row>
    <row r="238" spans="1:44" customFormat="1" outlineLevel="1" x14ac:dyDescent="0.35">
      <c r="A238" s="7"/>
      <c r="B238" s="8"/>
      <c r="C238" s="18"/>
      <c r="D238" s="18"/>
      <c r="E238" s="18"/>
      <c r="F238" s="24"/>
      <c r="G238" s="25"/>
      <c r="H238" s="25"/>
      <c r="I238" s="489"/>
      <c r="J238" s="489"/>
      <c r="K238" s="489"/>
      <c r="L238" s="489"/>
      <c r="M238" s="489"/>
      <c r="N238" s="489"/>
      <c r="O238" s="489"/>
      <c r="P238" s="489"/>
      <c r="Q238" s="489"/>
      <c r="R238" s="489"/>
      <c r="S238" s="489"/>
      <c r="T238" s="489"/>
      <c r="U238" s="489"/>
      <c r="V238" s="489"/>
      <c r="W238" s="489"/>
      <c r="X238" s="489"/>
      <c r="Y238" s="489"/>
      <c r="Z238" s="489"/>
      <c r="AA238" s="489"/>
      <c r="AB238" s="489"/>
      <c r="AC238" s="489"/>
      <c r="AD238" s="489"/>
      <c r="AE238" s="489"/>
      <c r="AF238" s="489"/>
      <c r="AG238" s="489"/>
      <c r="AH238" s="489"/>
      <c r="AI238" s="489"/>
      <c r="AJ238" s="489"/>
      <c r="AK238" s="489"/>
      <c r="AL238" s="490"/>
      <c r="AM238" s="490"/>
      <c r="AN238" s="27"/>
      <c r="AO238" s="17"/>
      <c r="AP238" s="9"/>
      <c r="AQ238" s="9"/>
      <c r="AR238" s="9"/>
    </row>
    <row r="239" spans="1:44" customFormat="1" outlineLevel="1" x14ac:dyDescent="0.35">
      <c r="A239" s="7"/>
      <c r="B239" s="8"/>
      <c r="C239" s="18"/>
      <c r="D239" s="18"/>
      <c r="E239" s="18"/>
      <c r="F239" s="24"/>
      <c r="G239" s="25"/>
      <c r="H239" s="25" t="s">
        <v>3139</v>
      </c>
      <c r="I239" s="16" t="s">
        <v>3140</v>
      </c>
      <c r="J239" s="554">
        <v>1</v>
      </c>
      <c r="K239" s="554">
        <v>1</v>
      </c>
      <c r="L239" s="554">
        <v>1</v>
      </c>
      <c r="M239" s="554">
        <v>1</v>
      </c>
      <c r="N239" s="554">
        <v>1</v>
      </c>
      <c r="O239" s="554">
        <v>1</v>
      </c>
      <c r="P239" s="554">
        <v>1</v>
      </c>
      <c r="Q239" s="554">
        <v>1</v>
      </c>
      <c r="R239" s="554">
        <v>1</v>
      </c>
      <c r="S239" s="554">
        <v>1</v>
      </c>
      <c r="T239" s="554">
        <v>1</v>
      </c>
      <c r="U239" s="554">
        <v>1</v>
      </c>
      <c r="V239" s="554">
        <v>1</v>
      </c>
      <c r="W239" s="554">
        <v>1</v>
      </c>
      <c r="X239" s="554">
        <v>1</v>
      </c>
      <c r="Y239" s="554">
        <v>1</v>
      </c>
      <c r="Z239" s="554">
        <v>1</v>
      </c>
      <c r="AA239" s="554">
        <v>1</v>
      </c>
      <c r="AB239" s="554">
        <v>1</v>
      </c>
      <c r="AC239" s="554">
        <v>1</v>
      </c>
      <c r="AD239" s="554">
        <v>1</v>
      </c>
      <c r="AE239" s="554">
        <v>1</v>
      </c>
      <c r="AF239" s="554">
        <v>1</v>
      </c>
      <c r="AG239" s="554">
        <v>1</v>
      </c>
      <c r="AH239" s="554">
        <v>1</v>
      </c>
      <c r="AI239" s="554">
        <v>1</v>
      </c>
      <c r="AJ239" s="554">
        <v>1</v>
      </c>
      <c r="AK239" s="554">
        <v>1</v>
      </c>
      <c r="AL239" s="490"/>
      <c r="AM239" s="490"/>
      <c r="AN239" s="27"/>
      <c r="AO239" s="17"/>
      <c r="AP239" s="9"/>
      <c r="AQ239" s="9"/>
      <c r="AR239" s="9"/>
    </row>
    <row r="240" spans="1:44" customFormat="1" outlineLevel="1" x14ac:dyDescent="0.35">
      <c r="A240" s="7"/>
      <c r="B240" s="8"/>
      <c r="C240" s="18"/>
      <c r="D240" s="18"/>
      <c r="E240" s="18"/>
      <c r="F240" s="24"/>
      <c r="G240" s="25"/>
      <c r="H240" s="25"/>
      <c r="I240" s="566" t="s">
        <v>3141</v>
      </c>
      <c r="J240" s="554">
        <v>0</v>
      </c>
      <c r="K240" s="554">
        <v>0</v>
      </c>
      <c r="L240" s="554">
        <v>0</v>
      </c>
      <c r="M240" s="554">
        <v>0</v>
      </c>
      <c r="N240" s="554">
        <v>0</v>
      </c>
      <c r="O240" s="554">
        <v>0</v>
      </c>
      <c r="P240" s="554">
        <v>0</v>
      </c>
      <c r="Q240" s="554">
        <v>0</v>
      </c>
      <c r="R240" s="554">
        <v>0</v>
      </c>
      <c r="S240" s="554">
        <v>0</v>
      </c>
      <c r="T240" s="554">
        <v>0</v>
      </c>
      <c r="U240" s="554">
        <v>0</v>
      </c>
      <c r="V240" s="554">
        <v>0</v>
      </c>
      <c r="W240" s="554">
        <v>0</v>
      </c>
      <c r="X240" s="554">
        <v>0</v>
      </c>
      <c r="Y240" s="554">
        <v>0</v>
      </c>
      <c r="Z240" s="554">
        <v>0</v>
      </c>
      <c r="AA240" s="554">
        <v>0</v>
      </c>
      <c r="AB240" s="554">
        <v>0</v>
      </c>
      <c r="AC240" s="554">
        <v>0</v>
      </c>
      <c r="AD240" s="554">
        <v>0</v>
      </c>
      <c r="AE240" s="554">
        <v>0</v>
      </c>
      <c r="AF240" s="554">
        <v>0</v>
      </c>
      <c r="AG240" s="554">
        <v>0</v>
      </c>
      <c r="AH240" s="554">
        <v>0</v>
      </c>
      <c r="AI240" s="554">
        <v>0</v>
      </c>
      <c r="AJ240" s="554">
        <v>0</v>
      </c>
      <c r="AK240" s="554">
        <v>0</v>
      </c>
      <c r="AL240" s="490"/>
      <c r="AM240" s="490"/>
      <c r="AN240" s="27"/>
      <c r="AO240" s="17"/>
      <c r="AP240" s="9"/>
      <c r="AQ240" s="9"/>
      <c r="AR240" s="9"/>
    </row>
    <row r="241" spans="1:44" customFormat="1" outlineLevel="1" x14ac:dyDescent="0.35">
      <c r="A241" s="7"/>
      <c r="B241" s="8"/>
      <c r="C241" s="18"/>
      <c r="D241" s="18"/>
      <c r="E241" s="18"/>
      <c r="F241" s="24"/>
      <c r="G241" s="25"/>
      <c r="H241" s="25"/>
      <c r="I241" s="566" t="s">
        <v>3142</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490"/>
      <c r="AM241" s="490"/>
      <c r="AN241" s="27"/>
      <c r="AO241" s="17"/>
      <c r="AP241" s="9"/>
      <c r="AQ241" s="9"/>
      <c r="AR241" s="9"/>
    </row>
    <row r="242" spans="1:44" customFormat="1" outlineLevel="1" x14ac:dyDescent="0.35">
      <c r="A242" s="7"/>
      <c r="B242" s="8"/>
      <c r="C242" s="18"/>
      <c r="D242" s="18"/>
      <c r="E242" s="18"/>
      <c r="F242" s="24"/>
      <c r="G242" s="25"/>
      <c r="H242" s="25"/>
      <c r="I242" s="566" t="s">
        <v>3143</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490"/>
      <c r="AM242" s="490"/>
      <c r="AN242" s="27"/>
      <c r="AO242" s="17"/>
      <c r="AP242" s="9"/>
      <c r="AQ242" s="9"/>
      <c r="AR242" s="9"/>
    </row>
    <row r="243" spans="1:44" customFormat="1" outlineLevel="1" x14ac:dyDescent="0.35">
      <c r="A243" s="7"/>
      <c r="B243" s="8"/>
      <c r="C243" s="18"/>
      <c r="D243" s="18"/>
      <c r="E243" s="18"/>
      <c r="F243" s="24"/>
      <c r="G243" s="25"/>
      <c r="H243" s="25"/>
      <c r="I243" s="566" t="s">
        <v>3144</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490"/>
      <c r="AM243" s="490"/>
      <c r="AN243" s="27"/>
      <c r="AO243" s="17"/>
      <c r="AP243" s="9"/>
      <c r="AQ243" s="9"/>
      <c r="AR243" s="9"/>
    </row>
    <row r="244" spans="1:44" customFormat="1" outlineLevel="1" x14ac:dyDescent="0.35">
      <c r="A244" s="7"/>
      <c r="B244" s="8"/>
      <c r="C244" s="18"/>
      <c r="D244" s="18"/>
      <c r="E244" s="18"/>
      <c r="F244" s="24"/>
      <c r="G244" s="25"/>
      <c r="H244" s="25"/>
      <c r="I244" s="566" t="s">
        <v>3145</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490"/>
      <c r="AM244" s="490"/>
      <c r="AN244" s="27"/>
      <c r="AO244" s="17"/>
      <c r="AP244" s="9"/>
      <c r="AQ244" s="9"/>
      <c r="AR244" s="9"/>
    </row>
    <row r="245" spans="1:44" customFormat="1" outlineLevel="1" x14ac:dyDescent="0.35">
      <c r="A245" s="7"/>
      <c r="B245" s="8"/>
      <c r="C245" s="18"/>
      <c r="D245" s="18"/>
      <c r="E245" s="18"/>
      <c r="F245" s="24"/>
      <c r="G245" s="25"/>
      <c r="H245" s="25"/>
      <c r="I245" s="566" t="s">
        <v>3146</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490"/>
      <c r="AM245" s="490"/>
      <c r="AN245" s="27"/>
      <c r="AO245" s="17"/>
      <c r="AP245" s="9"/>
      <c r="AQ245" s="9"/>
      <c r="AR245" s="9"/>
    </row>
    <row r="246" spans="1:44" customFormat="1" outlineLevel="1" x14ac:dyDescent="0.35">
      <c r="A246" s="7"/>
      <c r="B246" s="8"/>
      <c r="C246" s="18"/>
      <c r="D246" s="18"/>
      <c r="E246" s="18"/>
      <c r="F246" s="24"/>
      <c r="G246" s="25"/>
      <c r="H246" s="25"/>
      <c r="I246" s="566" t="s">
        <v>3147</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490"/>
      <c r="AM246" s="490"/>
      <c r="AN246" s="27"/>
      <c r="AO246" s="17"/>
      <c r="AP246" s="9"/>
      <c r="AQ246" s="9"/>
      <c r="AR246" s="9"/>
    </row>
    <row r="247" spans="1:44" customFormat="1" outlineLevel="1" x14ac:dyDescent="0.35">
      <c r="A247" s="7"/>
      <c r="B247" s="8"/>
      <c r="C247" s="18"/>
      <c r="D247" s="18"/>
      <c r="E247" s="18"/>
      <c r="F247" s="24"/>
      <c r="G247" s="25"/>
      <c r="H247" s="25"/>
      <c r="I247" s="566" t="s">
        <v>3148</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490"/>
      <c r="AM247" s="490"/>
      <c r="AN247" s="27"/>
      <c r="AO247" s="17"/>
      <c r="AP247" s="9"/>
      <c r="AQ247" s="9"/>
      <c r="AR247" s="9"/>
    </row>
    <row r="248" spans="1:44" customFormat="1" outlineLevel="1" x14ac:dyDescent="0.35">
      <c r="A248" s="7"/>
      <c r="B248" s="8"/>
      <c r="C248" s="18"/>
      <c r="D248" s="18"/>
      <c r="E248" s="18"/>
      <c r="F248" s="24"/>
      <c r="G248" s="25"/>
      <c r="H248" s="25"/>
      <c r="I248" s="566" t="s">
        <v>3149</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490"/>
      <c r="AM248" s="490"/>
      <c r="AN248" s="27"/>
      <c r="AO248" s="17"/>
      <c r="AP248" s="9"/>
      <c r="AQ248" s="9"/>
      <c r="AR248" s="9"/>
    </row>
    <row r="249" spans="1:44" customFormat="1" outlineLevel="1" x14ac:dyDescent="0.35">
      <c r="A249" s="7"/>
      <c r="B249" s="8"/>
      <c r="C249" s="18"/>
      <c r="D249" s="18"/>
      <c r="E249" s="18"/>
      <c r="F249" s="24"/>
      <c r="G249" s="25"/>
      <c r="H249" s="25"/>
      <c r="I249" s="566" t="s">
        <v>3150</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490"/>
      <c r="AM249" s="490"/>
      <c r="AN249" s="27"/>
      <c r="AO249" s="17"/>
      <c r="AP249" s="9"/>
      <c r="AQ249" s="9"/>
      <c r="AR249" s="9"/>
    </row>
    <row r="250" spans="1:44" customFormat="1" outlineLevel="1" x14ac:dyDescent="0.35">
      <c r="A250" s="7"/>
      <c r="B250" s="8"/>
      <c r="C250" s="18"/>
      <c r="D250" s="18"/>
      <c r="E250" s="18"/>
      <c r="F250" s="24"/>
      <c r="G250" s="25"/>
      <c r="H250" s="25"/>
      <c r="J250" s="490"/>
      <c r="K250" s="490"/>
      <c r="L250" s="490"/>
      <c r="M250" s="490"/>
      <c r="N250" s="490"/>
      <c r="O250" s="490"/>
      <c r="P250" s="490"/>
      <c r="Q250" s="490"/>
      <c r="R250" s="490"/>
      <c r="S250" s="490"/>
      <c r="T250" s="490"/>
      <c r="U250" s="490"/>
      <c r="V250" s="490"/>
      <c r="W250" s="490"/>
      <c r="X250" s="490"/>
      <c r="Y250" s="490"/>
      <c r="Z250" s="490"/>
      <c r="AA250" s="490"/>
      <c r="AB250" s="490"/>
      <c r="AC250" s="490"/>
      <c r="AD250" s="490"/>
      <c r="AE250" s="490"/>
      <c r="AF250" s="490"/>
      <c r="AG250" s="490"/>
      <c r="AH250" s="490"/>
      <c r="AI250" s="490"/>
      <c r="AJ250" s="490"/>
      <c r="AK250" s="490"/>
      <c r="AL250" s="490"/>
      <c r="AM250" s="490"/>
      <c r="AN250" s="27"/>
      <c r="AO250" s="17"/>
      <c r="AP250" s="9"/>
      <c r="AQ250" s="9"/>
      <c r="AR250" s="9"/>
    </row>
    <row r="251" spans="1:44" customFormat="1" outlineLevel="1" x14ac:dyDescent="0.35">
      <c r="A251" s="7"/>
      <c r="B251" s="8"/>
      <c r="C251" s="18"/>
      <c r="D251" s="18"/>
      <c r="E251" s="18"/>
      <c r="F251" s="24"/>
      <c r="G251" s="25"/>
      <c r="H251" s="25" t="s">
        <v>3151</v>
      </c>
      <c r="I251" s="566" t="s">
        <v>3142</v>
      </c>
      <c r="J251" s="554">
        <v>0</v>
      </c>
      <c r="K251" s="554">
        <v>0</v>
      </c>
      <c r="L251" s="554">
        <v>0</v>
      </c>
      <c r="M251" s="554">
        <v>0</v>
      </c>
      <c r="N251" s="554">
        <v>0</v>
      </c>
      <c r="O251" s="554">
        <v>0</v>
      </c>
      <c r="P251" s="554">
        <v>0</v>
      </c>
      <c r="Q251" s="554">
        <v>0</v>
      </c>
      <c r="R251" s="554">
        <v>0</v>
      </c>
      <c r="S251" s="554">
        <v>0</v>
      </c>
      <c r="T251" s="554">
        <v>0</v>
      </c>
      <c r="U251" s="554">
        <v>0</v>
      </c>
      <c r="V251" s="554">
        <v>0</v>
      </c>
      <c r="W251" s="554">
        <v>0</v>
      </c>
      <c r="X251" s="554">
        <v>0</v>
      </c>
      <c r="Y251" s="554">
        <v>0</v>
      </c>
      <c r="Z251" s="554">
        <v>0</v>
      </c>
      <c r="AA251" s="554">
        <v>0</v>
      </c>
      <c r="AB251" s="554">
        <v>0</v>
      </c>
      <c r="AC251" s="554">
        <v>0</v>
      </c>
      <c r="AD251" s="554">
        <v>0.4</v>
      </c>
      <c r="AE251" s="554">
        <v>0.5</v>
      </c>
      <c r="AF251" s="554">
        <v>0.5</v>
      </c>
      <c r="AG251" s="554">
        <v>0.5</v>
      </c>
      <c r="AH251" s="554">
        <v>0.5</v>
      </c>
      <c r="AI251" s="554">
        <v>0.4</v>
      </c>
      <c r="AJ251" s="554">
        <v>0</v>
      </c>
      <c r="AK251" s="554">
        <v>0.4</v>
      </c>
      <c r="AL251" s="490"/>
      <c r="AM251" s="490"/>
      <c r="AN251" s="27"/>
      <c r="AO251" s="17"/>
      <c r="AP251" s="9"/>
      <c r="AQ251" s="9"/>
      <c r="AR251" s="9"/>
    </row>
    <row r="252" spans="1:44" customFormat="1" outlineLevel="1" x14ac:dyDescent="0.35">
      <c r="A252" s="7"/>
      <c r="B252" s="8"/>
      <c r="C252" s="18"/>
      <c r="D252" s="18"/>
      <c r="E252" s="18"/>
      <c r="F252" s="24"/>
      <c r="G252" s="25"/>
      <c r="H252" s="25"/>
      <c r="I252" s="566" t="s">
        <v>3143</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0.5</v>
      </c>
      <c r="AE252" s="554">
        <v>0.4</v>
      </c>
      <c r="AF252" s="554">
        <v>0.4</v>
      </c>
      <c r="AG252" s="554">
        <v>0.4</v>
      </c>
      <c r="AH252" s="554">
        <v>0.4</v>
      </c>
      <c r="AI252" s="554">
        <v>0.5</v>
      </c>
      <c r="AJ252" s="554">
        <v>0</v>
      </c>
      <c r="AK252" s="554">
        <v>0.5</v>
      </c>
      <c r="AL252" s="490"/>
      <c r="AM252" s="490"/>
      <c r="AN252" s="27"/>
      <c r="AO252" s="17"/>
      <c r="AP252" s="9"/>
      <c r="AQ252" s="9"/>
      <c r="AR252" s="9"/>
    </row>
    <row r="253" spans="1:44" customFormat="1" outlineLevel="1" x14ac:dyDescent="0.35">
      <c r="A253" s="7"/>
      <c r="B253" s="8"/>
      <c r="C253" s="18"/>
      <c r="D253" s="18"/>
      <c r="E253" s="18"/>
      <c r="F253" s="24"/>
      <c r="G253" s="25"/>
      <c r="H253" s="25"/>
      <c r="I253" s="566" t="s">
        <v>3144</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v>
      </c>
      <c r="AE253" s="554">
        <v>0</v>
      </c>
      <c r="AF253" s="554">
        <v>0</v>
      </c>
      <c r="AG253" s="554">
        <v>0</v>
      </c>
      <c r="AH253" s="554">
        <v>0</v>
      </c>
      <c r="AI253" s="554">
        <v>0</v>
      </c>
      <c r="AJ253" s="554">
        <v>0</v>
      </c>
      <c r="AK253" s="554">
        <v>0</v>
      </c>
      <c r="AL253" s="490"/>
      <c r="AM253" s="490"/>
      <c r="AN253" s="27"/>
      <c r="AO253" s="17"/>
      <c r="AP253" s="9"/>
      <c r="AQ253" s="9"/>
      <c r="AR253" s="9"/>
    </row>
    <row r="254" spans="1:44" customFormat="1" outlineLevel="1" x14ac:dyDescent="0.35">
      <c r="A254" s="7"/>
      <c r="B254" s="8"/>
      <c r="C254" s="18"/>
      <c r="D254" s="18"/>
      <c r="E254" s="18"/>
      <c r="F254" s="24"/>
      <c r="G254" s="25"/>
      <c r="H254" s="25"/>
      <c r="I254" s="566" t="s">
        <v>3145</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0.1</v>
      </c>
      <c r="AE254" s="554">
        <v>0.1</v>
      </c>
      <c r="AF254" s="554">
        <v>0.1</v>
      </c>
      <c r="AG254" s="554">
        <v>0.1</v>
      </c>
      <c r="AH254" s="554">
        <v>0.1</v>
      </c>
      <c r="AI254" s="554">
        <v>0.1</v>
      </c>
      <c r="AJ254" s="554">
        <v>0</v>
      </c>
      <c r="AK254" s="554">
        <v>0.1</v>
      </c>
      <c r="AL254" s="490"/>
      <c r="AM254" s="490"/>
      <c r="AN254" s="27"/>
      <c r="AO254" s="17"/>
      <c r="AP254" s="9"/>
      <c r="AQ254" s="9"/>
      <c r="AR254" s="9"/>
    </row>
    <row r="255" spans="1:44" customFormat="1" outlineLevel="1" x14ac:dyDescent="0.35">
      <c r="A255" s="7"/>
      <c r="B255" s="8"/>
      <c r="C255" s="18"/>
      <c r="D255" s="18"/>
      <c r="E255" s="18"/>
      <c r="F255" s="24"/>
      <c r="G255" s="25"/>
      <c r="H255" s="25"/>
      <c r="I255" s="566" t="s">
        <v>3146</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v>
      </c>
      <c r="AE255" s="554">
        <v>0</v>
      </c>
      <c r="AF255" s="554">
        <v>0</v>
      </c>
      <c r="AG255" s="554">
        <v>0</v>
      </c>
      <c r="AH255" s="554">
        <v>0</v>
      </c>
      <c r="AI255" s="554">
        <v>0</v>
      </c>
      <c r="AJ255" s="554">
        <v>0</v>
      </c>
      <c r="AK255" s="554">
        <v>0</v>
      </c>
      <c r="AL255" s="490"/>
      <c r="AM255" s="490"/>
      <c r="AN255" s="27"/>
      <c r="AO255" s="17"/>
      <c r="AP255" s="9"/>
      <c r="AQ255" s="9"/>
      <c r="AR255" s="9"/>
    </row>
    <row r="256" spans="1:44" customFormat="1" outlineLevel="1" x14ac:dyDescent="0.35">
      <c r="A256" s="7"/>
      <c r="B256" s="8"/>
      <c r="C256" s="18"/>
      <c r="D256" s="18"/>
      <c r="E256" s="18"/>
      <c r="F256" s="24"/>
      <c r="G256" s="25"/>
      <c r="H256" s="25"/>
      <c r="I256" s="566" t="s">
        <v>3147</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490"/>
      <c r="AM256" s="490"/>
      <c r="AN256" s="27"/>
      <c r="AO256" s="17"/>
      <c r="AP256" s="9"/>
      <c r="AQ256" s="9"/>
      <c r="AR256" s="9"/>
    </row>
    <row r="257" spans="1:44" customFormat="1" outlineLevel="1" x14ac:dyDescent="0.35">
      <c r="A257" s="7"/>
      <c r="B257" s="8"/>
      <c r="C257" s="18"/>
      <c r="D257" s="18"/>
      <c r="E257" s="18"/>
      <c r="F257" s="24"/>
      <c r="G257" s="25"/>
      <c r="H257" s="25"/>
      <c r="I257" s="489"/>
      <c r="J257" s="489"/>
      <c r="K257" s="489"/>
      <c r="L257" s="489"/>
      <c r="M257" s="489"/>
      <c r="N257" s="489"/>
      <c r="O257" s="489"/>
      <c r="P257" s="489"/>
      <c r="Q257" s="489"/>
      <c r="R257" s="489"/>
      <c r="S257" s="489"/>
      <c r="T257" s="489"/>
      <c r="U257" s="489"/>
      <c r="V257" s="489"/>
      <c r="W257" s="489"/>
      <c r="X257" s="489"/>
      <c r="Y257" s="489"/>
      <c r="Z257" s="489"/>
      <c r="AA257" s="489"/>
      <c r="AB257" s="489"/>
      <c r="AC257" s="489"/>
      <c r="AD257" s="489"/>
      <c r="AE257" s="489"/>
      <c r="AF257" s="489"/>
      <c r="AG257" s="489"/>
      <c r="AH257" s="489"/>
      <c r="AI257" s="489"/>
      <c r="AJ257" s="489"/>
      <c r="AK257" s="489"/>
      <c r="AL257" s="490"/>
      <c r="AM257" s="490"/>
      <c r="AN257" s="27"/>
      <c r="AO257" s="17"/>
      <c r="AP257" s="9"/>
      <c r="AQ257" s="9"/>
      <c r="AR257" s="9"/>
    </row>
    <row r="258" spans="1:44" customFormat="1" x14ac:dyDescent="0.35">
      <c r="A258" s="7"/>
      <c r="B258" s="8"/>
      <c r="C258" s="18"/>
      <c r="D258" s="18"/>
      <c r="E258" s="18"/>
      <c r="F258" s="24"/>
      <c r="G258" s="547" t="s">
        <v>3152</v>
      </c>
      <c r="H258" s="25"/>
      <c r="I258" s="489"/>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0"/>
      <c r="AM258" s="490"/>
      <c r="AN258" s="27"/>
      <c r="AO258" s="17"/>
      <c r="AP258" s="9"/>
      <c r="AQ258" s="9"/>
      <c r="AR258" s="9"/>
    </row>
    <row r="259" spans="1:44" customFormat="1" outlineLevel="1" x14ac:dyDescent="0.35">
      <c r="A259" s="7"/>
      <c r="B259" s="8"/>
      <c r="C259" s="18"/>
      <c r="D259" s="18"/>
      <c r="E259" s="18"/>
      <c r="F259" s="24"/>
      <c r="G259" s="25"/>
      <c r="H259" s="25" t="s">
        <v>3153</v>
      </c>
      <c r="I259" s="489"/>
      <c r="J259" s="564">
        <v>0</v>
      </c>
      <c r="K259" s="564">
        <v>0</v>
      </c>
      <c r="L259" s="564">
        <v>0</v>
      </c>
      <c r="M259" s="564">
        <v>0</v>
      </c>
      <c r="N259" s="564">
        <v>0</v>
      </c>
      <c r="O259" s="564">
        <v>0</v>
      </c>
      <c r="P259" s="564">
        <v>0</v>
      </c>
      <c r="Q259" s="564">
        <v>0</v>
      </c>
      <c r="R259" s="564">
        <v>0</v>
      </c>
      <c r="S259" s="564">
        <v>0</v>
      </c>
      <c r="T259" s="564">
        <v>0</v>
      </c>
      <c r="U259" s="564">
        <v>0</v>
      </c>
      <c r="V259" s="564">
        <v>0</v>
      </c>
      <c r="W259" s="564">
        <v>0</v>
      </c>
      <c r="X259" s="564">
        <v>0</v>
      </c>
      <c r="Y259" s="564">
        <v>0</v>
      </c>
      <c r="Z259" s="564">
        <v>0</v>
      </c>
      <c r="AA259" s="564">
        <v>0</v>
      </c>
      <c r="AB259" s="564">
        <v>0</v>
      </c>
      <c r="AC259" s="564">
        <v>0</v>
      </c>
      <c r="AD259" s="564">
        <v>0</v>
      </c>
      <c r="AE259" s="564">
        <v>0</v>
      </c>
      <c r="AF259" s="564">
        <v>0</v>
      </c>
      <c r="AG259" s="564">
        <v>0</v>
      </c>
      <c r="AH259" s="564">
        <v>0</v>
      </c>
      <c r="AI259" s="564">
        <v>0</v>
      </c>
      <c r="AJ259" s="564">
        <v>0</v>
      </c>
      <c r="AK259" s="564">
        <v>0</v>
      </c>
      <c r="AL259" s="490"/>
      <c r="AM259" s="490"/>
      <c r="AN259" s="27"/>
      <c r="AO259" s="17"/>
      <c r="AP259" s="9"/>
      <c r="AQ259" s="9"/>
      <c r="AR259" s="9"/>
    </row>
    <row r="260" spans="1:44" customFormat="1" outlineLevel="1" x14ac:dyDescent="0.35">
      <c r="A260" s="7"/>
      <c r="B260" s="8"/>
      <c r="C260" s="18"/>
      <c r="D260" s="18"/>
      <c r="E260" s="18"/>
      <c r="F260" s="24"/>
      <c r="G260" s="25"/>
      <c r="H260" s="25" t="s">
        <v>3128</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490"/>
      <c r="AM260" s="490"/>
      <c r="AN260" s="27"/>
      <c r="AO260" s="17"/>
      <c r="AP260" s="9"/>
      <c r="AQ260" s="9"/>
      <c r="AR260" s="9"/>
    </row>
    <row r="261" spans="1:44" customFormat="1" outlineLevel="1" x14ac:dyDescent="0.35">
      <c r="A261" s="7"/>
      <c r="B261" s="8"/>
      <c r="C261" s="18"/>
      <c r="D261" s="18"/>
      <c r="E261" s="18"/>
      <c r="F261" s="24"/>
      <c r="G261" s="25"/>
      <c r="H261" s="25" t="s">
        <v>3129</v>
      </c>
      <c r="I261" s="489"/>
      <c r="J261" s="548">
        <v>0</v>
      </c>
      <c r="K261" s="548">
        <v>0</v>
      </c>
      <c r="L261" s="548">
        <v>0</v>
      </c>
      <c r="M261" s="548">
        <v>0</v>
      </c>
      <c r="N261" s="548">
        <v>0</v>
      </c>
      <c r="O261" s="548">
        <v>0</v>
      </c>
      <c r="P261" s="548">
        <v>0</v>
      </c>
      <c r="Q261" s="548">
        <v>0</v>
      </c>
      <c r="R261" s="548">
        <v>0</v>
      </c>
      <c r="S261" s="548">
        <v>0</v>
      </c>
      <c r="T261" s="548">
        <v>0</v>
      </c>
      <c r="U261" s="548">
        <v>0</v>
      </c>
      <c r="V261" s="548">
        <v>0</v>
      </c>
      <c r="W261" s="548">
        <v>0</v>
      </c>
      <c r="X261" s="548">
        <v>0</v>
      </c>
      <c r="Y261" s="548">
        <v>0</v>
      </c>
      <c r="Z261" s="548">
        <v>0</v>
      </c>
      <c r="AA261" s="548">
        <v>0</v>
      </c>
      <c r="AB261" s="548">
        <v>0</v>
      </c>
      <c r="AC261" s="548">
        <v>0</v>
      </c>
      <c r="AD261" s="548">
        <v>0</v>
      </c>
      <c r="AE261" s="548">
        <v>0</v>
      </c>
      <c r="AF261" s="548">
        <v>0</v>
      </c>
      <c r="AG261" s="548">
        <v>0</v>
      </c>
      <c r="AH261" s="548">
        <v>0</v>
      </c>
      <c r="AI261" s="548">
        <v>0</v>
      </c>
      <c r="AJ261" s="548">
        <v>0</v>
      </c>
      <c r="AK261" s="548">
        <v>0</v>
      </c>
      <c r="AL261" s="490"/>
      <c r="AM261" s="490"/>
      <c r="AN261" s="27"/>
      <c r="AO261" s="17"/>
      <c r="AP261" s="9"/>
      <c r="AQ261" s="9"/>
      <c r="AR261" s="9"/>
    </row>
    <row r="262" spans="1:44" customFormat="1" outlineLevel="1" x14ac:dyDescent="0.35">
      <c r="A262" s="7"/>
      <c r="B262" s="8"/>
      <c r="C262" s="18"/>
      <c r="D262" s="18"/>
      <c r="E262" s="18"/>
      <c r="F262" s="24"/>
      <c r="G262" s="25"/>
      <c r="H262" s="25" t="s">
        <v>3154</v>
      </c>
      <c r="I262" s="489"/>
      <c r="J262" s="564">
        <v>0</v>
      </c>
      <c r="K262" s="564">
        <v>0</v>
      </c>
      <c r="L262" s="564">
        <v>0</v>
      </c>
      <c r="M262" s="564">
        <v>0</v>
      </c>
      <c r="N262" s="564">
        <v>0</v>
      </c>
      <c r="O262" s="564">
        <v>0</v>
      </c>
      <c r="P262" s="564">
        <v>0</v>
      </c>
      <c r="Q262" s="564">
        <v>0</v>
      </c>
      <c r="R262" s="564">
        <v>0</v>
      </c>
      <c r="S262" s="564">
        <v>0</v>
      </c>
      <c r="T262" s="564">
        <v>0</v>
      </c>
      <c r="U262" s="564">
        <v>0</v>
      </c>
      <c r="V262" s="564">
        <v>0</v>
      </c>
      <c r="W262" s="564">
        <v>0</v>
      </c>
      <c r="X262" s="564">
        <v>0</v>
      </c>
      <c r="Y262" s="564">
        <v>0</v>
      </c>
      <c r="Z262" s="564">
        <v>0</v>
      </c>
      <c r="AA262" s="564">
        <v>0</v>
      </c>
      <c r="AB262" s="564">
        <v>0</v>
      </c>
      <c r="AC262" s="564">
        <v>0</v>
      </c>
      <c r="AD262" s="564">
        <v>0</v>
      </c>
      <c r="AE262" s="564">
        <v>0</v>
      </c>
      <c r="AF262" s="564">
        <v>0</v>
      </c>
      <c r="AG262" s="564">
        <v>0</v>
      </c>
      <c r="AH262" s="564">
        <v>0</v>
      </c>
      <c r="AI262" s="564">
        <v>0</v>
      </c>
      <c r="AJ262" s="564">
        <v>0</v>
      </c>
      <c r="AK262" s="564">
        <v>0</v>
      </c>
      <c r="AL262" s="490"/>
      <c r="AM262" s="490"/>
      <c r="AN262" s="27"/>
      <c r="AO262" s="17"/>
      <c r="AP262" s="9"/>
      <c r="AQ262" s="9"/>
      <c r="AR262" s="9"/>
    </row>
    <row r="263" spans="1:44" customFormat="1" ht="15" customHeight="1" outlineLevel="1" x14ac:dyDescent="0.35">
      <c r="A263" s="7"/>
      <c r="B263" s="8"/>
      <c r="C263" s="18"/>
      <c r="D263" s="18"/>
      <c r="E263" s="18"/>
      <c r="F263" s="24"/>
      <c r="G263" s="25"/>
      <c r="H263" s="25" t="s">
        <v>3131</v>
      </c>
      <c r="I263" s="632" t="s">
        <v>3132</v>
      </c>
      <c r="J263" s="562">
        <v>0.125</v>
      </c>
      <c r="K263" s="562">
        <v>0.125</v>
      </c>
      <c r="L263" s="562">
        <v>0.125</v>
      </c>
      <c r="M263" s="562">
        <v>0.125</v>
      </c>
      <c r="N263" s="562">
        <v>0.125</v>
      </c>
      <c r="O263" s="562">
        <v>0.125</v>
      </c>
      <c r="P263" s="562">
        <v>0.125</v>
      </c>
      <c r="Q263" s="562">
        <v>0.125</v>
      </c>
      <c r="R263" s="562">
        <v>0.125</v>
      </c>
      <c r="S263" s="562">
        <v>0.125</v>
      </c>
      <c r="T263" s="562">
        <v>0.125</v>
      </c>
      <c r="U263" s="562">
        <v>0.125</v>
      </c>
      <c r="V263" s="562">
        <v>0.125</v>
      </c>
      <c r="W263" s="562">
        <v>0.125</v>
      </c>
      <c r="X263" s="562">
        <v>0.125</v>
      </c>
      <c r="Y263" s="562">
        <v>0.125</v>
      </c>
      <c r="Z263" s="562">
        <v>0.125</v>
      </c>
      <c r="AA263" s="562">
        <v>0.125</v>
      </c>
      <c r="AB263" s="562">
        <v>0.125</v>
      </c>
      <c r="AC263" s="562">
        <v>0.125</v>
      </c>
      <c r="AD263" s="562">
        <v>0.125</v>
      </c>
      <c r="AE263" s="562">
        <v>0.125</v>
      </c>
      <c r="AF263" s="562">
        <v>0.125</v>
      </c>
      <c r="AG263" s="562">
        <v>0.125</v>
      </c>
      <c r="AH263" s="562">
        <v>0.125</v>
      </c>
      <c r="AI263" s="562">
        <v>0.125</v>
      </c>
      <c r="AJ263" s="562">
        <v>0.125</v>
      </c>
      <c r="AK263" s="562">
        <v>0.125</v>
      </c>
      <c r="AL263" s="490"/>
      <c r="AM263" s="490"/>
      <c r="AN263" s="27"/>
      <c r="AO263" s="17"/>
      <c r="AP263" s="9"/>
      <c r="AQ263" s="9"/>
      <c r="AR263" s="9"/>
    </row>
    <row r="264" spans="1:44" customFormat="1" outlineLevel="1" x14ac:dyDescent="0.35">
      <c r="A264" s="7"/>
      <c r="B264" s="8"/>
      <c r="C264" s="18"/>
      <c r="D264" s="18"/>
      <c r="E264" s="18"/>
      <c r="F264" s="24"/>
      <c r="G264" s="25"/>
      <c r="H264" s="25" t="s">
        <v>3133</v>
      </c>
      <c r="I264" s="632"/>
      <c r="J264" s="562">
        <v>0.02</v>
      </c>
      <c r="K264" s="562">
        <v>0.02</v>
      </c>
      <c r="L264" s="562">
        <v>0.02</v>
      </c>
      <c r="M264" s="562">
        <v>0.02</v>
      </c>
      <c r="N264" s="562">
        <v>0.02</v>
      </c>
      <c r="O264" s="562">
        <v>0.02</v>
      </c>
      <c r="P264" s="562">
        <v>0.02</v>
      </c>
      <c r="Q264" s="562">
        <v>0.02</v>
      </c>
      <c r="R264" s="562">
        <v>0.02</v>
      </c>
      <c r="S264" s="562">
        <v>0.02</v>
      </c>
      <c r="T264" s="562">
        <v>0.02</v>
      </c>
      <c r="U264" s="562">
        <v>0.02</v>
      </c>
      <c r="V264" s="562">
        <v>0.02</v>
      </c>
      <c r="W264" s="562">
        <v>0.02</v>
      </c>
      <c r="X264" s="562">
        <v>0.02</v>
      </c>
      <c r="Y264" s="562">
        <v>0.02</v>
      </c>
      <c r="Z264" s="562">
        <v>0.02</v>
      </c>
      <c r="AA264" s="562">
        <v>0.02</v>
      </c>
      <c r="AB264" s="562">
        <v>0.02</v>
      </c>
      <c r="AC264" s="562">
        <v>0.02</v>
      </c>
      <c r="AD264" s="562">
        <v>0.02</v>
      </c>
      <c r="AE264" s="562">
        <v>0.02</v>
      </c>
      <c r="AF264" s="562">
        <v>0.02</v>
      </c>
      <c r="AG264" s="562">
        <v>0.02</v>
      </c>
      <c r="AH264" s="562">
        <v>0.02</v>
      </c>
      <c r="AI264" s="562">
        <v>0.02</v>
      </c>
      <c r="AJ264" s="562">
        <v>0.02</v>
      </c>
      <c r="AK264" s="562">
        <v>0.02</v>
      </c>
      <c r="AL264" s="490"/>
      <c r="AM264" s="490"/>
      <c r="AN264" s="27"/>
      <c r="AO264" s="17"/>
      <c r="AP264" s="9"/>
      <c r="AQ264" s="9"/>
      <c r="AR264" s="9"/>
    </row>
    <row r="265" spans="1:44" customFormat="1" outlineLevel="1" x14ac:dyDescent="0.35">
      <c r="A265" s="7"/>
      <c r="B265" s="8"/>
      <c r="C265" s="18"/>
      <c r="D265" s="18"/>
      <c r="E265" s="18"/>
      <c r="F265" s="24"/>
      <c r="G265" s="25"/>
      <c r="H265" s="25" t="s">
        <v>3134</v>
      </c>
      <c r="I265" s="632"/>
      <c r="J265" s="563">
        <f>1-SUM(J263:J264)</f>
        <v>0.85499999999999998</v>
      </c>
      <c r="K265" s="563">
        <f t="shared" ref="K265:AI265" si="21">1-SUM(K263:K264)</f>
        <v>0.85499999999999998</v>
      </c>
      <c r="L265" s="563">
        <f t="shared" si="21"/>
        <v>0.85499999999999998</v>
      </c>
      <c r="M265" s="563">
        <f t="shared" si="21"/>
        <v>0.85499999999999998</v>
      </c>
      <c r="N265" s="563">
        <f t="shared" si="21"/>
        <v>0.85499999999999998</v>
      </c>
      <c r="O265" s="563">
        <f t="shared" si="21"/>
        <v>0.85499999999999998</v>
      </c>
      <c r="P265" s="563">
        <f t="shared" si="21"/>
        <v>0.85499999999999998</v>
      </c>
      <c r="Q265" s="563">
        <f t="shared" si="21"/>
        <v>0.85499999999999998</v>
      </c>
      <c r="R265" s="563">
        <f t="shared" si="21"/>
        <v>0.85499999999999998</v>
      </c>
      <c r="S265" s="563">
        <f t="shared" si="21"/>
        <v>0.85499999999999998</v>
      </c>
      <c r="T265" s="563">
        <f t="shared" si="21"/>
        <v>0.85499999999999998</v>
      </c>
      <c r="U265" s="563">
        <f t="shared" si="21"/>
        <v>0.85499999999999998</v>
      </c>
      <c r="V265" s="563">
        <f t="shared" si="21"/>
        <v>0.85499999999999998</v>
      </c>
      <c r="W265" s="563">
        <f t="shared" si="21"/>
        <v>0.85499999999999998</v>
      </c>
      <c r="X265" s="563">
        <f t="shared" si="21"/>
        <v>0.85499999999999998</v>
      </c>
      <c r="Y265" s="563">
        <f t="shared" si="21"/>
        <v>0.85499999999999998</v>
      </c>
      <c r="Z265" s="563">
        <f t="shared" si="21"/>
        <v>0.85499999999999998</v>
      </c>
      <c r="AA265" s="563">
        <f t="shared" si="21"/>
        <v>0.85499999999999998</v>
      </c>
      <c r="AB265" s="563">
        <f t="shared" si="21"/>
        <v>0.85499999999999998</v>
      </c>
      <c r="AC265" s="563">
        <f t="shared" si="21"/>
        <v>0.85499999999999998</v>
      </c>
      <c r="AD265" s="563">
        <f t="shared" si="21"/>
        <v>0.85499999999999998</v>
      </c>
      <c r="AE265" s="563">
        <f t="shared" si="21"/>
        <v>0.85499999999999998</v>
      </c>
      <c r="AF265" s="563">
        <f t="shared" si="21"/>
        <v>0.85499999999999998</v>
      </c>
      <c r="AG265" s="563">
        <f t="shared" si="21"/>
        <v>0.85499999999999998</v>
      </c>
      <c r="AH265" s="563">
        <f t="shared" si="21"/>
        <v>0.85499999999999998</v>
      </c>
      <c r="AI265" s="563">
        <f t="shared" si="21"/>
        <v>0.85499999999999998</v>
      </c>
      <c r="AJ265" s="563">
        <f>1-SUM(AJ263:AJ264)</f>
        <v>0.85499999999999998</v>
      </c>
      <c r="AK265" s="563">
        <f t="shared" ref="AK265" si="22">1-SUM(AK263:AK264)</f>
        <v>0.85499999999999998</v>
      </c>
      <c r="AL265" s="490"/>
      <c r="AM265" s="490"/>
      <c r="AN265" s="27"/>
      <c r="AO265" s="17"/>
      <c r="AP265" s="9"/>
      <c r="AQ265" s="9"/>
      <c r="AR265" s="9"/>
    </row>
    <row r="266" spans="1:44" customFormat="1" outlineLevel="1" x14ac:dyDescent="0.35">
      <c r="A266" s="7"/>
      <c r="B266" s="8"/>
      <c r="C266" s="18"/>
      <c r="D266" s="18"/>
      <c r="E266" s="18"/>
      <c r="F266" s="24"/>
      <c r="G266" s="547"/>
      <c r="H266" s="25"/>
      <c r="I266" s="489"/>
      <c r="J266" s="490"/>
      <c r="K266" s="490"/>
      <c r="L266" s="490"/>
      <c r="M266" s="490"/>
      <c r="N266" s="490"/>
      <c r="O266" s="490"/>
      <c r="P266" s="490"/>
      <c r="Q266" s="490"/>
      <c r="R266" s="490"/>
      <c r="S266" s="490"/>
      <c r="T266" s="490"/>
      <c r="U266" s="490"/>
      <c r="V266" s="490"/>
      <c r="W266" s="490"/>
      <c r="X266" s="490"/>
      <c r="Y266" s="490"/>
      <c r="Z266" s="490"/>
      <c r="AA266" s="490"/>
      <c r="AB266" s="490"/>
      <c r="AC266" s="490"/>
      <c r="AD266" s="490"/>
      <c r="AE266" s="490"/>
      <c r="AF266" s="490"/>
      <c r="AG266" s="490"/>
      <c r="AH266" s="490"/>
      <c r="AI266" s="490"/>
      <c r="AJ266" s="490"/>
      <c r="AK266" s="490"/>
      <c r="AL266" s="490"/>
      <c r="AM266" s="490"/>
      <c r="AN266" s="27"/>
      <c r="AO266" s="17"/>
      <c r="AP266" s="9"/>
      <c r="AQ266" s="9"/>
      <c r="AR266" s="9"/>
    </row>
    <row r="267" spans="1:44" customFormat="1" outlineLevel="1" x14ac:dyDescent="0.3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27"/>
      <c r="AO267" s="17"/>
      <c r="AP267" s="9"/>
      <c r="AQ267" s="9"/>
      <c r="AR267" s="9"/>
    </row>
    <row r="268" spans="1:44" customFormat="1" x14ac:dyDescent="0.35">
      <c r="A268" s="7"/>
      <c r="B268" s="8"/>
      <c r="C268" s="18"/>
      <c r="D268" s="18"/>
      <c r="E268" s="18"/>
      <c r="F268" s="24"/>
      <c r="G268" s="547" t="s">
        <v>3155</v>
      </c>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27"/>
      <c r="AO268" s="17"/>
      <c r="AP268" s="9"/>
      <c r="AQ268" s="9"/>
      <c r="AR268" s="9"/>
    </row>
    <row r="269" spans="1:44" customFormat="1" ht="12" customHeight="1" outlineLevel="1" x14ac:dyDescent="0.35">
      <c r="A269" s="7"/>
      <c r="B269" s="8"/>
      <c r="C269" s="18"/>
      <c r="D269" s="18"/>
      <c r="E269" s="18"/>
      <c r="F269" s="24"/>
      <c r="H269" s="503" t="s">
        <v>3156</v>
      </c>
      <c r="I269" s="503"/>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1"/>
      <c r="AM269" s="491"/>
      <c r="AN269" s="27"/>
      <c r="AO269" s="17"/>
      <c r="AP269" s="9"/>
      <c r="AQ269" s="9"/>
      <c r="AR269" s="9"/>
    </row>
    <row r="270" spans="1:44" customFormat="1" ht="12" customHeight="1" outlineLevel="1" x14ac:dyDescent="0.35">
      <c r="A270" s="7"/>
      <c r="B270" s="8"/>
      <c r="C270" s="18"/>
      <c r="D270" s="18"/>
      <c r="E270" s="18"/>
      <c r="F270" s="24"/>
      <c r="H270" s="503"/>
      <c r="I270" s="491" t="s">
        <v>3157</v>
      </c>
      <c r="J270" s="567">
        <v>1</v>
      </c>
      <c r="K270" s="567">
        <v>1</v>
      </c>
      <c r="L270" s="567">
        <v>1</v>
      </c>
      <c r="M270" s="567">
        <v>1</v>
      </c>
      <c r="N270" s="567">
        <v>1</v>
      </c>
      <c r="O270" s="567">
        <v>1</v>
      </c>
      <c r="P270" s="567">
        <v>1</v>
      </c>
      <c r="Q270" s="567">
        <v>1</v>
      </c>
      <c r="R270" s="567">
        <v>1</v>
      </c>
      <c r="S270" s="567">
        <v>1</v>
      </c>
      <c r="T270" s="567">
        <v>1</v>
      </c>
      <c r="U270" s="567">
        <v>1</v>
      </c>
      <c r="V270" s="567">
        <v>1</v>
      </c>
      <c r="W270" s="567">
        <v>1</v>
      </c>
      <c r="X270" s="567">
        <v>1</v>
      </c>
      <c r="Y270" s="567">
        <v>1</v>
      </c>
      <c r="Z270" s="567">
        <v>1</v>
      </c>
      <c r="AA270" s="567">
        <v>1</v>
      </c>
      <c r="AB270" s="567">
        <v>1</v>
      </c>
      <c r="AC270" s="567">
        <v>1</v>
      </c>
      <c r="AD270" s="567">
        <v>1</v>
      </c>
      <c r="AE270" s="567">
        <v>1</v>
      </c>
      <c r="AF270" s="567">
        <v>1</v>
      </c>
      <c r="AG270" s="567">
        <v>1</v>
      </c>
      <c r="AH270" s="567">
        <v>1</v>
      </c>
      <c r="AI270" s="567">
        <v>1</v>
      </c>
      <c r="AJ270" s="567">
        <v>1</v>
      </c>
      <c r="AK270" s="567">
        <v>1</v>
      </c>
      <c r="AL270" s="490"/>
      <c r="AM270" s="490"/>
      <c r="AN270" s="27"/>
      <c r="AO270" s="17"/>
      <c r="AP270" s="9"/>
      <c r="AQ270" s="9"/>
      <c r="AR270" s="9"/>
    </row>
    <row r="271" spans="1:44" customFormat="1" ht="12" customHeight="1" outlineLevel="1" x14ac:dyDescent="0.35">
      <c r="A271" s="7"/>
      <c r="B271" s="8"/>
      <c r="C271" s="18"/>
      <c r="D271" s="18"/>
      <c r="E271" s="18"/>
      <c r="F271" s="24"/>
      <c r="H271" s="503"/>
      <c r="I271" s="491" t="s">
        <v>3158</v>
      </c>
      <c r="J271" s="567">
        <v>6</v>
      </c>
      <c r="K271" s="567">
        <v>6</v>
      </c>
      <c r="L271" s="567">
        <v>6</v>
      </c>
      <c r="M271" s="567">
        <v>6</v>
      </c>
      <c r="N271" s="567">
        <v>6</v>
      </c>
      <c r="O271" s="567">
        <v>6</v>
      </c>
      <c r="P271" s="567">
        <v>6</v>
      </c>
      <c r="Q271" s="567">
        <v>6</v>
      </c>
      <c r="R271" s="567">
        <v>6</v>
      </c>
      <c r="S271" s="567">
        <v>6</v>
      </c>
      <c r="T271" s="567">
        <v>6</v>
      </c>
      <c r="U271" s="567">
        <v>6</v>
      </c>
      <c r="V271" s="567">
        <v>6</v>
      </c>
      <c r="W271" s="567">
        <v>6</v>
      </c>
      <c r="X271" s="567">
        <v>6</v>
      </c>
      <c r="Y271" s="567">
        <v>6</v>
      </c>
      <c r="Z271" s="567">
        <v>6</v>
      </c>
      <c r="AA271" s="567">
        <v>6</v>
      </c>
      <c r="AB271" s="567">
        <v>6</v>
      </c>
      <c r="AC271" s="567">
        <v>6</v>
      </c>
      <c r="AD271" s="567">
        <v>6</v>
      </c>
      <c r="AE271" s="567">
        <v>6</v>
      </c>
      <c r="AF271" s="567">
        <v>6</v>
      </c>
      <c r="AG271" s="567">
        <v>6</v>
      </c>
      <c r="AH271" s="567">
        <v>6</v>
      </c>
      <c r="AI271" s="567">
        <v>6</v>
      </c>
      <c r="AJ271" s="567">
        <v>6</v>
      </c>
      <c r="AK271" s="567">
        <v>6</v>
      </c>
      <c r="AL271" s="490"/>
      <c r="AM271" s="490"/>
      <c r="AN271" s="27"/>
      <c r="AO271" s="17"/>
      <c r="AP271" s="9"/>
      <c r="AQ271" s="9"/>
      <c r="AR271" s="9"/>
    </row>
    <row r="272" spans="1:44" customFormat="1" ht="12" customHeight="1" outlineLevel="1" x14ac:dyDescent="0.35">
      <c r="A272" s="7"/>
      <c r="B272" s="8"/>
      <c r="C272" s="18"/>
      <c r="D272" s="18"/>
      <c r="E272" s="18"/>
      <c r="F272" s="24"/>
      <c r="H272" s="503"/>
      <c r="I272" s="491" t="s">
        <v>3159</v>
      </c>
      <c r="J272" s="567">
        <v>7</v>
      </c>
      <c r="K272" s="567">
        <v>7</v>
      </c>
      <c r="L272" s="567">
        <v>7</v>
      </c>
      <c r="M272" s="567">
        <v>7</v>
      </c>
      <c r="N272" s="567">
        <v>7</v>
      </c>
      <c r="O272" s="567">
        <v>7</v>
      </c>
      <c r="P272" s="567">
        <v>7</v>
      </c>
      <c r="Q272" s="567">
        <v>7</v>
      </c>
      <c r="R272" s="567">
        <v>7</v>
      </c>
      <c r="S272" s="567">
        <v>7</v>
      </c>
      <c r="T272" s="567">
        <v>7</v>
      </c>
      <c r="U272" s="567">
        <v>7</v>
      </c>
      <c r="V272" s="567">
        <v>7</v>
      </c>
      <c r="W272" s="567">
        <v>7</v>
      </c>
      <c r="X272" s="567">
        <v>7</v>
      </c>
      <c r="Y272" s="567">
        <v>7</v>
      </c>
      <c r="Z272" s="567">
        <v>7</v>
      </c>
      <c r="AA272" s="567">
        <v>7</v>
      </c>
      <c r="AB272" s="567">
        <v>7</v>
      </c>
      <c r="AC272" s="567">
        <v>7</v>
      </c>
      <c r="AD272" s="567">
        <v>7</v>
      </c>
      <c r="AE272" s="567">
        <v>7</v>
      </c>
      <c r="AF272" s="567">
        <v>7</v>
      </c>
      <c r="AG272" s="567">
        <v>7</v>
      </c>
      <c r="AH272" s="567">
        <v>7</v>
      </c>
      <c r="AI272" s="567">
        <v>7</v>
      </c>
      <c r="AJ272" s="567">
        <v>7</v>
      </c>
      <c r="AK272" s="567">
        <v>7</v>
      </c>
      <c r="AL272" s="490"/>
      <c r="AM272" s="490"/>
      <c r="AN272" s="27"/>
      <c r="AO272" s="17"/>
      <c r="AP272" s="9"/>
      <c r="AQ272" s="9"/>
      <c r="AR272" s="9"/>
    </row>
    <row r="273" spans="1:44" customFormat="1" ht="12" customHeight="1" outlineLevel="1" x14ac:dyDescent="0.35">
      <c r="A273" s="7"/>
      <c r="B273" s="8"/>
      <c r="C273" s="18"/>
      <c r="D273" s="18"/>
      <c r="E273" s="18"/>
      <c r="F273" s="24"/>
      <c r="H273" s="503"/>
      <c r="I273" s="503"/>
      <c r="J273" s="568"/>
      <c r="K273" s="568"/>
      <c r="L273" s="568"/>
      <c r="M273" s="568"/>
      <c r="N273" s="568"/>
      <c r="O273" s="568"/>
      <c r="P273" s="568"/>
      <c r="Q273" s="568"/>
      <c r="R273" s="568"/>
      <c r="S273" s="568"/>
      <c r="T273" s="568"/>
      <c r="U273" s="568"/>
      <c r="V273" s="568"/>
      <c r="W273" s="568"/>
      <c r="X273" s="568"/>
      <c r="Y273" s="568"/>
      <c r="Z273" s="568"/>
      <c r="AA273" s="568"/>
      <c r="AB273" s="568"/>
      <c r="AC273" s="568"/>
      <c r="AD273" s="568"/>
      <c r="AE273" s="568"/>
      <c r="AF273" s="568"/>
      <c r="AG273" s="568"/>
      <c r="AH273" s="568"/>
      <c r="AI273" s="568"/>
      <c r="AJ273" s="568"/>
      <c r="AK273" s="568"/>
      <c r="AL273" s="490"/>
      <c r="AM273" s="490"/>
      <c r="AN273" s="27"/>
      <c r="AO273" s="17"/>
      <c r="AP273" s="9"/>
      <c r="AQ273" s="9"/>
      <c r="AR273" s="9"/>
    </row>
    <row r="274" spans="1:44" customFormat="1" ht="12" customHeight="1" outlineLevel="1" x14ac:dyDescent="0.35">
      <c r="A274" s="7"/>
      <c r="B274" s="8"/>
      <c r="C274" s="18"/>
      <c r="D274" s="18"/>
      <c r="E274" s="18"/>
      <c r="F274" s="24"/>
      <c r="H274" s="503" t="s">
        <v>3160</v>
      </c>
      <c r="I274" s="503"/>
      <c r="J274" s="490"/>
      <c r="K274" s="490"/>
      <c r="L274" s="490"/>
      <c r="M274" s="490"/>
      <c r="N274" s="490"/>
      <c r="O274" s="490"/>
      <c r="P274" s="490"/>
      <c r="Q274" s="490"/>
      <c r="R274" s="490"/>
      <c r="S274" s="490"/>
      <c r="T274" s="490"/>
      <c r="U274" s="490"/>
      <c r="V274" s="490"/>
      <c r="W274" s="490"/>
      <c r="X274" s="490"/>
      <c r="Y274" s="490"/>
      <c r="Z274" s="490"/>
      <c r="AA274" s="490"/>
      <c r="AB274" s="490"/>
      <c r="AC274" s="490"/>
      <c r="AD274" s="490"/>
      <c r="AE274" s="490"/>
      <c r="AF274" s="490"/>
      <c r="AG274" s="490"/>
      <c r="AH274" s="490"/>
      <c r="AI274" s="490"/>
      <c r="AJ274" s="490"/>
      <c r="AK274" s="490"/>
      <c r="AL274" s="490"/>
      <c r="AM274" s="490"/>
      <c r="AN274" s="27"/>
      <c r="AO274" s="17"/>
      <c r="AP274" s="9"/>
      <c r="AQ274" s="9"/>
      <c r="AR274" s="9"/>
    </row>
    <row r="275" spans="1:44" customFormat="1" ht="12" customHeight="1" outlineLevel="1" x14ac:dyDescent="0.35">
      <c r="A275" s="7"/>
      <c r="B275" s="8"/>
      <c r="C275" s="18"/>
      <c r="D275" s="18"/>
      <c r="E275" s="18"/>
      <c r="F275" s="24"/>
      <c r="I275" s="491" t="s">
        <v>2782</v>
      </c>
      <c r="J275" s="569" t="b">
        <v>1</v>
      </c>
      <c r="K275" s="569" t="b">
        <v>1</v>
      </c>
      <c r="L275" s="569" t="b">
        <v>1</v>
      </c>
      <c r="M275" s="569" t="b">
        <v>1</v>
      </c>
      <c r="N275" s="569" t="b">
        <v>1</v>
      </c>
      <c r="O275" s="569" t="b">
        <v>1</v>
      </c>
      <c r="P275" s="569" t="b">
        <v>1</v>
      </c>
      <c r="Q275" s="569" t="b">
        <v>1</v>
      </c>
      <c r="R275" s="569" t="b">
        <v>1</v>
      </c>
      <c r="S275" s="569" t="b">
        <v>1</v>
      </c>
      <c r="T275" s="569" t="b">
        <v>1</v>
      </c>
      <c r="U275" s="569" t="b">
        <v>1</v>
      </c>
      <c r="V275" s="569" t="b">
        <v>1</v>
      </c>
      <c r="W275" s="569" t="b">
        <v>1</v>
      </c>
      <c r="X275" s="569" t="b">
        <v>1</v>
      </c>
      <c r="Y275" s="569" t="b">
        <v>1</v>
      </c>
      <c r="Z275" s="569" t="b">
        <v>1</v>
      </c>
      <c r="AA275" s="569" t="b">
        <v>1</v>
      </c>
      <c r="AB275" s="569" t="b">
        <v>1</v>
      </c>
      <c r="AC275" s="569" t="b">
        <v>1</v>
      </c>
      <c r="AD275" s="569" t="b">
        <v>0</v>
      </c>
      <c r="AE275" s="569" t="b">
        <v>1</v>
      </c>
      <c r="AF275" s="569" t="b">
        <v>1</v>
      </c>
      <c r="AG275" s="569" t="b">
        <v>1</v>
      </c>
      <c r="AH275" s="569" t="b">
        <v>1</v>
      </c>
      <c r="AI275" s="569" t="b">
        <v>0</v>
      </c>
      <c r="AJ275" s="569" t="b">
        <v>1</v>
      </c>
      <c r="AK275" s="569" t="b">
        <v>1</v>
      </c>
      <c r="AL275" s="490"/>
      <c r="AM275" s="490"/>
      <c r="AN275" s="27"/>
      <c r="AO275" s="17"/>
      <c r="AP275" s="9"/>
      <c r="AQ275" s="9"/>
      <c r="AR275" s="9"/>
    </row>
    <row r="276" spans="1:44" customFormat="1" ht="12" customHeight="1" outlineLevel="1" x14ac:dyDescent="0.35">
      <c r="A276" s="7"/>
      <c r="B276" s="8"/>
      <c r="C276" s="18"/>
      <c r="D276" s="18"/>
      <c r="E276" s="18"/>
      <c r="F276" s="24"/>
      <c r="G276" s="503"/>
      <c r="H276" s="503"/>
      <c r="I276" s="491" t="s">
        <v>2783</v>
      </c>
      <c r="J276" s="569" t="b">
        <v>0</v>
      </c>
      <c r="K276" s="569" t="b">
        <v>0</v>
      </c>
      <c r="L276" s="569" t="b">
        <v>0</v>
      </c>
      <c r="M276" s="569" t="b">
        <v>0</v>
      </c>
      <c r="N276" s="569" t="b">
        <v>0</v>
      </c>
      <c r="O276" s="569" t="b">
        <v>0</v>
      </c>
      <c r="P276" s="569" t="b">
        <v>0</v>
      </c>
      <c r="Q276" s="569" t="b">
        <v>0</v>
      </c>
      <c r="R276" s="569" t="b">
        <v>0</v>
      </c>
      <c r="S276" s="569" t="b">
        <v>0</v>
      </c>
      <c r="T276" s="569" t="b">
        <v>0</v>
      </c>
      <c r="U276" s="569" t="b">
        <v>0</v>
      </c>
      <c r="V276" s="569" t="b">
        <v>0</v>
      </c>
      <c r="W276" s="569" t="b">
        <v>0</v>
      </c>
      <c r="X276" s="569" t="b">
        <v>0</v>
      </c>
      <c r="Y276" s="569" t="b">
        <v>0</v>
      </c>
      <c r="Z276" s="569" t="b">
        <v>0</v>
      </c>
      <c r="AA276" s="569" t="b">
        <v>0</v>
      </c>
      <c r="AB276" s="569" t="b">
        <v>0</v>
      </c>
      <c r="AC276" s="569" t="b">
        <v>0</v>
      </c>
      <c r="AD276" s="569" t="b">
        <v>0</v>
      </c>
      <c r="AE276" s="569" t="b">
        <v>0</v>
      </c>
      <c r="AF276" s="569" t="b">
        <v>0</v>
      </c>
      <c r="AG276" s="569" t="b">
        <v>0</v>
      </c>
      <c r="AH276" s="569" t="b">
        <v>0</v>
      </c>
      <c r="AI276" s="569" t="b">
        <v>0</v>
      </c>
      <c r="AJ276" s="569" t="b">
        <v>0</v>
      </c>
      <c r="AK276" s="569" t="b">
        <v>0</v>
      </c>
      <c r="AL276" s="490"/>
      <c r="AM276" s="490"/>
      <c r="AN276" s="27"/>
      <c r="AO276" s="17"/>
      <c r="AP276" s="9"/>
      <c r="AQ276" s="9"/>
      <c r="AR276" s="9"/>
    </row>
    <row r="277" spans="1:44" customFormat="1" ht="12" customHeight="1" outlineLevel="1" x14ac:dyDescent="0.35">
      <c r="A277" s="7"/>
      <c r="B277" s="8"/>
      <c r="C277" s="18"/>
      <c r="D277" s="18"/>
      <c r="E277" s="18"/>
      <c r="F277" s="24"/>
      <c r="H277" s="503"/>
      <c r="I277" s="491" t="s">
        <v>2784</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1</v>
      </c>
      <c r="AE277" s="569" t="b">
        <v>0</v>
      </c>
      <c r="AF277" s="569" t="b">
        <v>0</v>
      </c>
      <c r="AG277" s="569" t="b">
        <v>0</v>
      </c>
      <c r="AH277" s="569" t="b">
        <v>0</v>
      </c>
      <c r="AI277" s="569" t="b">
        <v>1</v>
      </c>
      <c r="AJ277" s="569" t="b">
        <v>0</v>
      </c>
      <c r="AK277" s="569" t="b">
        <v>0</v>
      </c>
      <c r="AL277" s="490"/>
      <c r="AM277" s="490"/>
      <c r="AN277" s="27"/>
      <c r="AO277" s="17"/>
      <c r="AP277" s="9"/>
      <c r="AQ277" s="9"/>
      <c r="AR277" s="9"/>
    </row>
    <row r="278" spans="1:44" customFormat="1" ht="12" customHeight="1" outlineLevel="1" x14ac:dyDescent="0.35">
      <c r="A278" s="7"/>
      <c r="B278" s="8"/>
      <c r="C278" s="18"/>
      <c r="D278" s="18"/>
      <c r="E278" s="18"/>
      <c r="F278" s="24"/>
      <c r="G278" s="503"/>
      <c r="H278" s="503"/>
      <c r="I278" s="491" t="s">
        <v>2785</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0</v>
      </c>
      <c r="AE278" s="569" t="b">
        <v>0</v>
      </c>
      <c r="AF278" s="569" t="b">
        <v>0</v>
      </c>
      <c r="AG278" s="569" t="b">
        <v>0</v>
      </c>
      <c r="AH278" s="569" t="b">
        <v>0</v>
      </c>
      <c r="AI278" s="569" t="b">
        <v>0</v>
      </c>
      <c r="AJ278" s="569" t="b">
        <v>0</v>
      </c>
      <c r="AK278" s="569" t="b">
        <v>0</v>
      </c>
      <c r="AL278" s="492"/>
      <c r="AM278" s="492"/>
      <c r="AN278" s="27"/>
      <c r="AO278" s="17"/>
      <c r="AP278" s="9"/>
      <c r="AQ278" s="9"/>
      <c r="AR278" s="9"/>
    </row>
    <row r="279" spans="1:44" customFormat="1" ht="12" customHeight="1" outlineLevel="1" x14ac:dyDescent="0.35">
      <c r="A279" s="7"/>
      <c r="B279" s="8"/>
      <c r="C279" s="18"/>
      <c r="D279" s="18"/>
      <c r="E279" s="18"/>
      <c r="F279" s="24"/>
      <c r="G279" s="503"/>
      <c r="H279" s="503"/>
      <c r="I279" s="503"/>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27"/>
      <c r="AO279" s="17"/>
      <c r="AP279" s="9"/>
      <c r="AQ279" s="9"/>
      <c r="AR279" s="9"/>
    </row>
    <row r="280" spans="1:44" customFormat="1" ht="12" customHeight="1" x14ac:dyDescent="0.35">
      <c r="A280" s="7"/>
      <c r="B280" s="8"/>
      <c r="C280" s="18"/>
      <c r="D280" s="18"/>
      <c r="E280" s="18"/>
      <c r="F280" s="24"/>
      <c r="G280" s="570" t="s">
        <v>3161</v>
      </c>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27"/>
      <c r="AO280" s="17"/>
      <c r="AP280" s="9"/>
      <c r="AQ280" s="9"/>
      <c r="AR280" s="9"/>
    </row>
    <row r="281" spans="1:44" customFormat="1" ht="12" customHeight="1" outlineLevel="1" x14ac:dyDescent="0.35">
      <c r="A281" s="7"/>
      <c r="B281" s="8"/>
      <c r="C281" s="18"/>
      <c r="D281" s="18"/>
      <c r="E281" s="18"/>
      <c r="F281" s="24"/>
      <c r="G281" s="503"/>
      <c r="H281" s="503" t="s">
        <v>3162</v>
      </c>
      <c r="I281" s="503"/>
      <c r="J281" s="571">
        <v>43466</v>
      </c>
      <c r="K281" s="571">
        <v>43466</v>
      </c>
      <c r="L281" s="571">
        <v>43466</v>
      </c>
      <c r="M281" s="571">
        <v>43466</v>
      </c>
      <c r="N281" s="571">
        <v>43466</v>
      </c>
      <c r="O281" s="571">
        <v>43466</v>
      </c>
      <c r="P281" s="571">
        <v>43466</v>
      </c>
      <c r="Q281" s="571">
        <v>43466</v>
      </c>
      <c r="R281" s="571">
        <v>43466</v>
      </c>
      <c r="S281" s="571">
        <v>43466</v>
      </c>
      <c r="T281" s="571">
        <v>43466</v>
      </c>
      <c r="U281" s="571">
        <v>43466</v>
      </c>
      <c r="V281" s="571">
        <v>43466</v>
      </c>
      <c r="W281" s="571">
        <v>43466</v>
      </c>
      <c r="X281" s="571">
        <v>43466</v>
      </c>
      <c r="Y281" s="571">
        <v>43466</v>
      </c>
      <c r="Z281" s="571">
        <v>43466</v>
      </c>
      <c r="AA281" s="571">
        <v>43466</v>
      </c>
      <c r="AB281" s="571">
        <v>43466</v>
      </c>
      <c r="AC281" s="571">
        <v>43466</v>
      </c>
      <c r="AD281" s="571">
        <v>43617</v>
      </c>
      <c r="AE281" s="571">
        <v>43617</v>
      </c>
      <c r="AF281" s="571">
        <v>43617</v>
      </c>
      <c r="AG281" s="571">
        <v>43617</v>
      </c>
      <c r="AH281" s="571">
        <v>43617</v>
      </c>
      <c r="AI281" s="571">
        <v>43617</v>
      </c>
      <c r="AJ281" s="571">
        <v>43466</v>
      </c>
      <c r="AK281" s="571">
        <v>43617</v>
      </c>
      <c r="AL281" s="492"/>
      <c r="AM281" s="492"/>
      <c r="AN281" s="27"/>
      <c r="AO281" s="17"/>
      <c r="AP281" s="9"/>
      <c r="AQ281" s="9"/>
      <c r="AR281" s="9"/>
    </row>
    <row r="282" spans="1:44" customFormat="1" ht="12" customHeight="1" outlineLevel="1" x14ac:dyDescent="0.35">
      <c r="A282" s="7"/>
      <c r="B282" s="8"/>
      <c r="C282" s="18"/>
      <c r="D282" s="18"/>
      <c r="E282" s="18"/>
      <c r="F282" s="24"/>
      <c r="G282" s="503"/>
      <c r="H282" s="503"/>
      <c r="I282" s="558">
        <v>2019</v>
      </c>
      <c r="J282" s="572">
        <f>MIN(364,INT((J281 - DATE(YEAR(J281),1,1))))+364*(YEAR(J281)-$I282)</f>
        <v>0</v>
      </c>
      <c r="K282" s="572">
        <f t="shared" ref="K282:AK282" si="23">MIN(364,INT((K281 - DATE(YEAR(K281),1,1))))+364*(YEAR(K281)-$I282)</f>
        <v>0</v>
      </c>
      <c r="L282" s="572">
        <f t="shared" si="23"/>
        <v>0</v>
      </c>
      <c r="M282" s="572">
        <f t="shared" si="23"/>
        <v>0</v>
      </c>
      <c r="N282" s="572">
        <f t="shared" si="23"/>
        <v>0</v>
      </c>
      <c r="O282" s="572">
        <f t="shared" si="23"/>
        <v>0</v>
      </c>
      <c r="P282" s="572">
        <f t="shared" si="23"/>
        <v>0</v>
      </c>
      <c r="Q282" s="572">
        <f t="shared" si="23"/>
        <v>0</v>
      </c>
      <c r="R282" s="572">
        <f t="shared" si="23"/>
        <v>0</v>
      </c>
      <c r="S282" s="572">
        <f t="shared" si="23"/>
        <v>0</v>
      </c>
      <c r="T282" s="572">
        <f t="shared" si="23"/>
        <v>0</v>
      </c>
      <c r="U282" s="572">
        <f t="shared" si="23"/>
        <v>0</v>
      </c>
      <c r="V282" s="572">
        <f t="shared" si="23"/>
        <v>0</v>
      </c>
      <c r="W282" s="572">
        <f t="shared" si="23"/>
        <v>0</v>
      </c>
      <c r="X282" s="572">
        <f t="shared" si="23"/>
        <v>0</v>
      </c>
      <c r="Y282" s="572">
        <f t="shared" si="23"/>
        <v>0</v>
      </c>
      <c r="Z282" s="572">
        <f t="shared" si="23"/>
        <v>0</v>
      </c>
      <c r="AA282" s="572">
        <f t="shared" si="23"/>
        <v>0</v>
      </c>
      <c r="AB282" s="572">
        <f t="shared" si="23"/>
        <v>0</v>
      </c>
      <c r="AC282" s="572">
        <f t="shared" si="23"/>
        <v>0</v>
      </c>
      <c r="AD282" s="572">
        <f t="shared" si="23"/>
        <v>151</v>
      </c>
      <c r="AE282" s="572">
        <f t="shared" si="23"/>
        <v>151</v>
      </c>
      <c r="AF282" s="572">
        <f t="shared" si="23"/>
        <v>151</v>
      </c>
      <c r="AG282" s="572">
        <f t="shared" si="23"/>
        <v>151</v>
      </c>
      <c r="AH282" s="572">
        <f t="shared" si="23"/>
        <v>151</v>
      </c>
      <c r="AI282" s="572">
        <f t="shared" si="23"/>
        <v>151</v>
      </c>
      <c r="AJ282" s="572">
        <f t="shared" si="23"/>
        <v>0</v>
      </c>
      <c r="AK282" s="572">
        <f t="shared" si="23"/>
        <v>151</v>
      </c>
      <c r="AL282" s="492"/>
      <c r="AM282" s="492"/>
      <c r="AN282" s="27"/>
      <c r="AO282" s="17"/>
      <c r="AP282" s="9"/>
      <c r="AQ282" s="9"/>
      <c r="AR282" s="9"/>
    </row>
    <row r="283" spans="1:44" customFormat="1" ht="12" customHeight="1" outlineLevel="1" x14ac:dyDescent="0.35">
      <c r="A283" s="7"/>
      <c r="B283" s="8"/>
      <c r="C283" s="18"/>
      <c r="D283" s="18"/>
      <c r="E283" s="18"/>
      <c r="F283" s="24"/>
      <c r="G283" s="503"/>
      <c r="H283" s="503" t="s">
        <v>3163</v>
      </c>
      <c r="I283" s="503"/>
      <c r="J283" s="571">
        <v>43466</v>
      </c>
      <c r="K283" s="571">
        <v>43466</v>
      </c>
      <c r="L283" s="571">
        <v>43466</v>
      </c>
      <c r="M283" s="571">
        <v>43466</v>
      </c>
      <c r="N283" s="571">
        <v>43466</v>
      </c>
      <c r="O283" s="571">
        <v>43466</v>
      </c>
      <c r="P283" s="571">
        <v>43466</v>
      </c>
      <c r="Q283" s="571">
        <v>43466</v>
      </c>
      <c r="R283" s="571">
        <v>43466</v>
      </c>
      <c r="S283" s="571">
        <v>43466</v>
      </c>
      <c r="T283" s="571">
        <v>43466</v>
      </c>
      <c r="U283" s="571">
        <v>43466</v>
      </c>
      <c r="V283" s="571">
        <v>43466</v>
      </c>
      <c r="W283" s="571">
        <v>43466</v>
      </c>
      <c r="X283" s="571">
        <v>43466</v>
      </c>
      <c r="Y283" s="571">
        <v>43466</v>
      </c>
      <c r="Z283" s="571">
        <v>43466</v>
      </c>
      <c r="AA283" s="571">
        <v>43466</v>
      </c>
      <c r="AB283" s="571">
        <v>43466</v>
      </c>
      <c r="AC283" s="571">
        <v>43466</v>
      </c>
      <c r="AD283" s="571">
        <v>43506</v>
      </c>
      <c r="AE283" s="571">
        <v>43506</v>
      </c>
      <c r="AF283" s="571">
        <v>43506</v>
      </c>
      <c r="AG283" s="571">
        <v>43506</v>
      </c>
      <c r="AH283" s="571">
        <v>43506</v>
      </c>
      <c r="AI283" s="571">
        <v>43506</v>
      </c>
      <c r="AJ283" s="571">
        <v>43466</v>
      </c>
      <c r="AK283" s="571">
        <v>43506</v>
      </c>
      <c r="AL283" s="492"/>
      <c r="AM283" s="492"/>
      <c r="AN283" s="27"/>
      <c r="AO283" s="17"/>
      <c r="AP283" s="9"/>
      <c r="AQ283" s="9"/>
      <c r="AR283" s="9"/>
    </row>
    <row r="284" spans="1:44" customFormat="1" ht="12" customHeight="1" outlineLevel="1" x14ac:dyDescent="0.35">
      <c r="A284" s="7"/>
      <c r="B284" s="8"/>
      <c r="C284" s="18"/>
      <c r="D284" s="18"/>
      <c r="E284" s="18"/>
      <c r="F284" s="24"/>
      <c r="G284" s="503"/>
      <c r="H284" s="503"/>
      <c r="I284" s="506">
        <f>I282</f>
        <v>2019</v>
      </c>
      <c r="J284" s="572">
        <f>MIN(364,INT((J283 - DATE(YEAR(J283),1,1))))+364*(YEAR(J283)-$I284)</f>
        <v>0</v>
      </c>
      <c r="K284" s="572">
        <f t="shared" ref="K284:AK284" si="24">MIN(364,INT((K283 - DATE(YEAR(K283),1,1))))+364*(YEAR(K283)-$I284)</f>
        <v>0</v>
      </c>
      <c r="L284" s="572">
        <f t="shared" si="24"/>
        <v>0</v>
      </c>
      <c r="M284" s="572">
        <f t="shared" si="24"/>
        <v>0</v>
      </c>
      <c r="N284" s="572">
        <f t="shared" si="24"/>
        <v>0</v>
      </c>
      <c r="O284" s="572">
        <f t="shared" si="24"/>
        <v>0</v>
      </c>
      <c r="P284" s="572">
        <f t="shared" si="24"/>
        <v>0</v>
      </c>
      <c r="Q284" s="572">
        <f t="shared" si="24"/>
        <v>0</v>
      </c>
      <c r="R284" s="572">
        <f t="shared" si="24"/>
        <v>0</v>
      </c>
      <c r="S284" s="572">
        <f t="shared" si="24"/>
        <v>0</v>
      </c>
      <c r="T284" s="572">
        <f t="shared" si="24"/>
        <v>0</v>
      </c>
      <c r="U284" s="572">
        <f t="shared" si="24"/>
        <v>0</v>
      </c>
      <c r="V284" s="572">
        <f t="shared" si="24"/>
        <v>0</v>
      </c>
      <c r="W284" s="572">
        <f t="shared" si="24"/>
        <v>0</v>
      </c>
      <c r="X284" s="572">
        <f t="shared" si="24"/>
        <v>0</v>
      </c>
      <c r="Y284" s="572">
        <f t="shared" si="24"/>
        <v>0</v>
      </c>
      <c r="Z284" s="572">
        <f t="shared" si="24"/>
        <v>0</v>
      </c>
      <c r="AA284" s="572">
        <f t="shared" si="24"/>
        <v>0</v>
      </c>
      <c r="AB284" s="572">
        <f t="shared" si="24"/>
        <v>0</v>
      </c>
      <c r="AC284" s="572">
        <f t="shared" si="24"/>
        <v>0</v>
      </c>
      <c r="AD284" s="572">
        <f t="shared" si="24"/>
        <v>40</v>
      </c>
      <c r="AE284" s="572">
        <f t="shared" si="24"/>
        <v>40</v>
      </c>
      <c r="AF284" s="572">
        <f t="shared" si="24"/>
        <v>40</v>
      </c>
      <c r="AG284" s="572">
        <f t="shared" si="24"/>
        <v>40</v>
      </c>
      <c r="AH284" s="572">
        <f t="shared" si="24"/>
        <v>40</v>
      </c>
      <c r="AI284" s="572">
        <f t="shared" si="24"/>
        <v>40</v>
      </c>
      <c r="AJ284" s="572">
        <f t="shared" si="24"/>
        <v>0</v>
      </c>
      <c r="AK284" s="572">
        <f t="shared" si="24"/>
        <v>40</v>
      </c>
      <c r="AL284" s="492"/>
      <c r="AM284" s="492"/>
      <c r="AN284" s="27"/>
      <c r="AO284" s="17"/>
      <c r="AP284" s="9"/>
      <c r="AQ284" s="9"/>
      <c r="AR284" s="9"/>
    </row>
    <row r="285" spans="1:44" customFormat="1" ht="12" customHeight="1" outlineLevel="1" x14ac:dyDescent="0.35">
      <c r="A285" s="7"/>
      <c r="B285" s="8"/>
      <c r="C285" s="18"/>
      <c r="D285" s="18"/>
      <c r="E285" s="18"/>
      <c r="F285" s="24"/>
      <c r="G285" s="503"/>
      <c r="H285" s="503"/>
      <c r="I285" s="503"/>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27"/>
      <c r="AO285" s="17"/>
      <c r="AP285" s="9"/>
      <c r="AQ285" s="9"/>
      <c r="AR285" s="9"/>
    </row>
    <row r="286" spans="1:44" customFormat="1" ht="12" customHeight="1" outlineLevel="1" x14ac:dyDescent="0.3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27"/>
      <c r="AO286" s="17"/>
      <c r="AP286" s="9"/>
      <c r="AQ286" s="9"/>
      <c r="AR286" s="9"/>
    </row>
    <row r="287" spans="1:44" customFormat="1" ht="12" customHeight="1" x14ac:dyDescent="0.35">
      <c r="A287" s="7"/>
      <c r="B287" s="8"/>
      <c r="C287" s="18"/>
      <c r="D287" s="18"/>
      <c r="E287" s="18"/>
      <c r="F287" s="24"/>
      <c r="G287" s="570" t="s">
        <v>3164</v>
      </c>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27"/>
      <c r="AO287" s="17"/>
      <c r="AP287" s="9"/>
      <c r="AQ287" s="9"/>
      <c r="AR287" s="9"/>
    </row>
    <row r="288" spans="1:44" customFormat="1" ht="12" customHeight="1" outlineLevel="1" x14ac:dyDescent="0.35">
      <c r="A288" s="7"/>
      <c r="B288" s="8"/>
      <c r="C288" s="18"/>
      <c r="D288" s="18"/>
      <c r="E288" s="18"/>
      <c r="F288" s="24"/>
      <c r="G288" s="503"/>
      <c r="H288" s="503" t="s">
        <v>3165</v>
      </c>
      <c r="I288" s="503"/>
      <c r="J288" s="573">
        <v>3.4</v>
      </c>
      <c r="K288" s="573">
        <v>3.4</v>
      </c>
      <c r="L288" s="573">
        <v>3.4</v>
      </c>
      <c r="M288" s="573">
        <v>3.4</v>
      </c>
      <c r="N288" s="573">
        <v>3.4</v>
      </c>
      <c r="O288" s="573">
        <v>3.4</v>
      </c>
      <c r="P288" s="573">
        <v>3.4</v>
      </c>
      <c r="Q288" s="573">
        <v>3.4</v>
      </c>
      <c r="R288" s="573">
        <v>3.4</v>
      </c>
      <c r="S288" s="573">
        <v>3.4</v>
      </c>
      <c r="T288" s="573">
        <v>3.4</v>
      </c>
      <c r="U288" s="573">
        <v>3.4</v>
      </c>
      <c r="V288" s="573">
        <v>3.4</v>
      </c>
      <c r="W288" s="573">
        <v>3.4</v>
      </c>
      <c r="X288" s="573">
        <v>3.4</v>
      </c>
      <c r="Y288" s="573">
        <v>3.4</v>
      </c>
      <c r="Z288" s="573">
        <v>3.4</v>
      </c>
      <c r="AA288" s="573">
        <v>3.4</v>
      </c>
      <c r="AB288" s="573">
        <v>3.4</v>
      </c>
      <c r="AC288" s="573">
        <v>3.4</v>
      </c>
      <c r="AD288" s="573">
        <v>3.4</v>
      </c>
      <c r="AE288" s="573">
        <v>3.4</v>
      </c>
      <c r="AF288" s="573">
        <v>3.4</v>
      </c>
      <c r="AG288" s="573">
        <v>3.4</v>
      </c>
      <c r="AH288" s="573">
        <v>3.4</v>
      </c>
      <c r="AI288" s="573">
        <v>3.4</v>
      </c>
      <c r="AJ288" s="573">
        <v>3.4</v>
      </c>
      <c r="AK288" s="551">
        <f>AVERAGE(AD288:AE288)</f>
        <v>3.4</v>
      </c>
      <c r="AL288" s="492"/>
      <c r="AM288" s="492"/>
      <c r="AN288" s="27"/>
      <c r="AO288" s="17"/>
      <c r="AP288" s="9"/>
      <c r="AQ288" s="9"/>
      <c r="AR288" s="9"/>
    </row>
    <row r="289" spans="1:44" customFormat="1" ht="12" customHeight="1" outlineLevel="1" x14ac:dyDescent="0.35">
      <c r="A289" s="7"/>
      <c r="B289" s="8"/>
      <c r="C289" s="18"/>
      <c r="D289" s="18"/>
      <c r="E289" s="18"/>
      <c r="F289" s="24"/>
      <c r="G289" s="503"/>
      <c r="H289" s="503" t="s">
        <v>3166</v>
      </c>
      <c r="I289" s="503"/>
      <c r="J289" s="573">
        <v>0</v>
      </c>
      <c r="K289" s="573">
        <v>0</v>
      </c>
      <c r="L289" s="573">
        <v>0</v>
      </c>
      <c r="M289" s="573">
        <v>0</v>
      </c>
      <c r="N289" s="573">
        <v>0</v>
      </c>
      <c r="O289" s="573">
        <v>0</v>
      </c>
      <c r="P289" s="573">
        <v>0</v>
      </c>
      <c r="Q289" s="573">
        <v>0</v>
      </c>
      <c r="R289" s="573">
        <v>15.4</v>
      </c>
      <c r="S289" s="573">
        <v>15.4</v>
      </c>
      <c r="T289" s="573">
        <v>15.4</v>
      </c>
      <c r="U289" s="573">
        <v>15.4</v>
      </c>
      <c r="V289" s="573">
        <v>15.4</v>
      </c>
      <c r="W289" s="573">
        <v>15.4</v>
      </c>
      <c r="X289" s="573">
        <v>15.4</v>
      </c>
      <c r="Y289" s="573">
        <v>15.4</v>
      </c>
      <c r="Z289" s="573">
        <v>15.4</v>
      </c>
      <c r="AA289" s="573">
        <v>15.4</v>
      </c>
      <c r="AB289" s="573">
        <v>15.4</v>
      </c>
      <c r="AC289" s="573">
        <v>15.4</v>
      </c>
      <c r="AD289" s="573">
        <v>0</v>
      </c>
      <c r="AE289" s="573">
        <v>0</v>
      </c>
      <c r="AF289" s="573">
        <v>0</v>
      </c>
      <c r="AG289" s="573">
        <v>0</v>
      </c>
      <c r="AH289" s="573">
        <v>0</v>
      </c>
      <c r="AI289" s="573">
        <v>0</v>
      </c>
      <c r="AJ289" s="573">
        <v>15.4</v>
      </c>
      <c r="AK289" s="551">
        <f>AVERAGE(AD289:AE289)</f>
        <v>0</v>
      </c>
      <c r="AL289" s="492"/>
      <c r="AM289" s="492"/>
      <c r="AN289" s="27"/>
      <c r="AO289" s="17"/>
      <c r="AP289" s="9"/>
      <c r="AQ289" s="9"/>
      <c r="AR289" s="9"/>
    </row>
    <row r="290" spans="1:44" customFormat="1" ht="12" customHeight="1" outlineLevel="1" x14ac:dyDescent="0.35">
      <c r="A290" s="7"/>
      <c r="B290" s="8"/>
      <c r="C290" s="18"/>
      <c r="D290" s="18"/>
      <c r="E290" s="18"/>
      <c r="F290" s="24"/>
      <c r="G290" s="503"/>
      <c r="H290" s="503" t="s">
        <v>3167</v>
      </c>
      <c r="I290" s="503"/>
      <c r="J290" s="573">
        <v>29.4</v>
      </c>
      <c r="K290" s="573">
        <v>29.4</v>
      </c>
      <c r="L290" s="573">
        <v>29.4</v>
      </c>
      <c r="M290" s="573">
        <v>29.4</v>
      </c>
      <c r="N290" s="573">
        <v>29.4</v>
      </c>
      <c r="O290" s="573">
        <v>29.4</v>
      </c>
      <c r="P290" s="573">
        <v>29.4</v>
      </c>
      <c r="Q290" s="573">
        <v>29.4</v>
      </c>
      <c r="R290" s="573">
        <v>29.4</v>
      </c>
      <c r="S290" s="573">
        <v>29.4</v>
      </c>
      <c r="T290" s="573">
        <v>29.4</v>
      </c>
      <c r="U290" s="573">
        <v>29.4</v>
      </c>
      <c r="V290" s="573">
        <v>29.4</v>
      </c>
      <c r="W290" s="573">
        <v>29.4</v>
      </c>
      <c r="X290" s="573">
        <v>29.4</v>
      </c>
      <c r="Y290" s="573">
        <v>29.4</v>
      </c>
      <c r="Z290" s="573">
        <v>29.4</v>
      </c>
      <c r="AA290" s="573">
        <v>29.4</v>
      </c>
      <c r="AB290" s="573">
        <v>29.4</v>
      </c>
      <c r="AC290" s="573">
        <v>29.4</v>
      </c>
      <c r="AD290" s="573">
        <v>29.4</v>
      </c>
      <c r="AE290" s="573">
        <v>29.4</v>
      </c>
      <c r="AF290" s="573">
        <v>29.4</v>
      </c>
      <c r="AG290" s="573">
        <v>29.4</v>
      </c>
      <c r="AH290" s="573">
        <v>29.4</v>
      </c>
      <c r="AI290" s="573">
        <v>29.4</v>
      </c>
      <c r="AJ290" s="573">
        <v>29.4</v>
      </c>
      <c r="AK290" s="551">
        <f>AVERAGE(AD290:AE290)</f>
        <v>29.4</v>
      </c>
      <c r="AL290" s="504"/>
      <c r="AM290" s="504"/>
      <c r="AN290" s="27"/>
      <c r="AO290" s="17"/>
      <c r="AP290" s="9"/>
      <c r="AQ290" s="9"/>
      <c r="AR290" s="9"/>
    </row>
    <row r="291" spans="1:44" customFormat="1" ht="12" customHeight="1" outlineLevel="1" x14ac:dyDescent="0.35">
      <c r="A291" s="7"/>
      <c r="B291" s="8"/>
      <c r="C291" s="18"/>
      <c r="D291" s="18"/>
      <c r="E291" s="18"/>
      <c r="F291" s="24"/>
      <c r="G291" s="503"/>
      <c r="H291" s="503" t="s">
        <v>3168</v>
      </c>
      <c r="I291" s="503"/>
      <c r="J291" s="573">
        <v>13.1</v>
      </c>
      <c r="K291" s="573">
        <v>13.1</v>
      </c>
      <c r="L291" s="573">
        <v>13.1</v>
      </c>
      <c r="M291" s="573">
        <v>13.1</v>
      </c>
      <c r="N291" s="573">
        <v>13.1</v>
      </c>
      <c r="O291" s="573">
        <v>13.1</v>
      </c>
      <c r="P291" s="573">
        <v>13.1</v>
      </c>
      <c r="Q291" s="573">
        <v>13.1</v>
      </c>
      <c r="R291" s="573">
        <v>13.1</v>
      </c>
      <c r="S291" s="573">
        <v>13.1</v>
      </c>
      <c r="T291" s="573">
        <v>13.1</v>
      </c>
      <c r="U291" s="573">
        <v>13.1</v>
      </c>
      <c r="V291" s="573">
        <v>13.1</v>
      </c>
      <c r="W291" s="573">
        <v>13.1</v>
      </c>
      <c r="X291" s="573">
        <v>13.1</v>
      </c>
      <c r="Y291" s="573">
        <v>13.1</v>
      </c>
      <c r="Z291" s="573">
        <v>13.1</v>
      </c>
      <c r="AA291" s="573">
        <v>13.1</v>
      </c>
      <c r="AB291" s="573">
        <v>13.1</v>
      </c>
      <c r="AC291" s="573">
        <v>13.1</v>
      </c>
      <c r="AD291" s="573">
        <v>13.1</v>
      </c>
      <c r="AE291" s="573">
        <v>13.1</v>
      </c>
      <c r="AF291" s="573">
        <v>13.1</v>
      </c>
      <c r="AG291" s="573">
        <v>13.1</v>
      </c>
      <c r="AH291" s="573">
        <v>13.1</v>
      </c>
      <c r="AI291" s="573">
        <v>13.1</v>
      </c>
      <c r="AJ291" s="573">
        <v>13.1</v>
      </c>
      <c r="AK291" s="551">
        <f>AVERAGE(AD291:AE291)</f>
        <v>13.1</v>
      </c>
      <c r="AL291" s="491"/>
      <c r="AM291" s="491"/>
      <c r="AN291" s="27"/>
      <c r="AO291" s="17"/>
      <c r="AP291" s="9"/>
      <c r="AQ291" s="9"/>
      <c r="AR291" s="9"/>
    </row>
    <row r="292" spans="1:44" customFormat="1" ht="12" customHeight="1" outlineLevel="1" x14ac:dyDescent="0.35">
      <c r="A292" s="7"/>
      <c r="B292" s="8"/>
      <c r="C292" s="18"/>
      <c r="D292" s="18"/>
      <c r="E292" s="18"/>
      <c r="F292" s="24"/>
      <c r="G292" s="503"/>
      <c r="H292" s="503" t="s">
        <v>3169</v>
      </c>
      <c r="I292" s="503"/>
      <c r="J292" s="573">
        <v>21.25</v>
      </c>
      <c r="K292" s="573">
        <v>21.25</v>
      </c>
      <c r="L292" s="573">
        <v>21.25</v>
      </c>
      <c r="M292" s="573">
        <v>21.25</v>
      </c>
      <c r="N292" s="573">
        <v>21.25</v>
      </c>
      <c r="O292" s="573">
        <v>21.25</v>
      </c>
      <c r="P292" s="573">
        <v>21.25</v>
      </c>
      <c r="Q292" s="573">
        <v>21.25</v>
      </c>
      <c r="R292" s="573">
        <v>21.25</v>
      </c>
      <c r="S292" s="573">
        <v>21.25</v>
      </c>
      <c r="T292" s="573">
        <v>21.25</v>
      </c>
      <c r="U292" s="573">
        <v>21.25</v>
      </c>
      <c r="V292" s="573">
        <v>21.25</v>
      </c>
      <c r="W292" s="573">
        <v>21.25</v>
      </c>
      <c r="X292" s="573">
        <v>21.25</v>
      </c>
      <c r="Y292" s="573">
        <v>21.25</v>
      </c>
      <c r="Z292" s="573">
        <v>21.25</v>
      </c>
      <c r="AA292" s="573">
        <v>21.25</v>
      </c>
      <c r="AB292" s="573">
        <v>21.25</v>
      </c>
      <c r="AC292" s="573">
        <v>21.25</v>
      </c>
      <c r="AD292" s="573">
        <v>21.25</v>
      </c>
      <c r="AE292" s="573">
        <v>21.25</v>
      </c>
      <c r="AF292" s="573">
        <v>21.25</v>
      </c>
      <c r="AG292" s="573">
        <v>21.25</v>
      </c>
      <c r="AH292" s="573">
        <v>21.25</v>
      </c>
      <c r="AI292" s="573">
        <v>21.25</v>
      </c>
      <c r="AJ292" s="573">
        <v>21.25</v>
      </c>
      <c r="AK292" s="551">
        <f>AVERAGE(AD292:AE292)</f>
        <v>21.25</v>
      </c>
      <c r="AL292" s="492"/>
      <c r="AM292" s="492"/>
      <c r="AN292" s="27"/>
      <c r="AO292" s="17"/>
      <c r="AP292" s="9"/>
      <c r="AQ292" s="9"/>
      <c r="AR292" s="9"/>
    </row>
    <row r="293" spans="1:44" customFormat="1" ht="12" customHeight="1" outlineLevel="1" x14ac:dyDescent="0.35">
      <c r="A293" s="7"/>
      <c r="B293" s="8"/>
      <c r="C293" s="18"/>
      <c r="D293" s="18"/>
      <c r="E293" s="18"/>
      <c r="F293" s="24"/>
      <c r="G293" s="503"/>
      <c r="H293" s="503"/>
      <c r="I293" s="503"/>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27"/>
      <c r="AO293" s="17"/>
      <c r="AP293" s="9"/>
      <c r="AQ293" s="9"/>
      <c r="AR293" s="9"/>
    </row>
    <row r="294" spans="1:44" customFormat="1" ht="12" customHeight="1" outlineLevel="1" x14ac:dyDescent="0.35">
      <c r="A294" s="7"/>
      <c r="B294" s="8"/>
      <c r="C294" s="18"/>
      <c r="D294" s="18"/>
      <c r="E294" s="18"/>
      <c r="F294" s="24"/>
      <c r="G294" s="25"/>
      <c r="H294" s="28"/>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27"/>
      <c r="AO294" s="17"/>
      <c r="AP294" s="9"/>
      <c r="AQ294" s="9"/>
      <c r="AR294" s="9"/>
    </row>
    <row r="295" spans="1:44" customFormat="1" ht="12" customHeight="1" x14ac:dyDescent="0.35">
      <c r="A295" s="7"/>
      <c r="B295" s="8"/>
      <c r="C295" s="18"/>
      <c r="D295" s="18"/>
      <c r="E295" s="18"/>
      <c r="F295" s="24"/>
      <c r="G295" s="547" t="s">
        <v>3170</v>
      </c>
      <c r="H295" s="28"/>
      <c r="I295" s="574"/>
      <c r="J295" s="496"/>
      <c r="K295" s="496"/>
      <c r="L295" s="496"/>
      <c r="M295" s="496"/>
      <c r="N295" s="496"/>
      <c r="O295" s="496"/>
      <c r="P295" s="496"/>
      <c r="Q295" s="496"/>
      <c r="R295" s="496"/>
      <c r="S295" s="496"/>
      <c r="T295" s="496"/>
      <c r="U295" s="496"/>
      <c r="V295" s="496"/>
      <c r="W295" s="496"/>
      <c r="X295" s="496"/>
      <c r="Y295" s="496"/>
      <c r="Z295" s="496"/>
      <c r="AA295" s="496"/>
      <c r="AB295" s="496"/>
      <c r="AC295" s="496"/>
      <c r="AD295" s="496"/>
      <c r="AE295" s="496"/>
      <c r="AF295" s="496"/>
      <c r="AG295" s="496"/>
      <c r="AH295" s="496"/>
      <c r="AI295" s="496"/>
      <c r="AJ295" s="496"/>
      <c r="AK295" s="496"/>
      <c r="AL295" s="492"/>
      <c r="AM295" s="492"/>
      <c r="AN295" s="27"/>
      <c r="AO295" s="17"/>
      <c r="AP295" s="9"/>
      <c r="AQ295" s="9"/>
      <c r="AR295" s="9"/>
    </row>
    <row r="296" spans="1:44" customFormat="1" ht="12" customHeight="1" outlineLevel="1" x14ac:dyDescent="0.35">
      <c r="A296" s="7"/>
      <c r="B296" s="8"/>
      <c r="C296" s="18"/>
      <c r="D296" s="18"/>
      <c r="E296" s="18"/>
      <c r="F296" s="24"/>
      <c r="G296" s="25"/>
      <c r="H296" s="28" t="s">
        <v>2350</v>
      </c>
      <c r="I296" s="574"/>
      <c r="J296" s="575">
        <v>1500</v>
      </c>
      <c r="K296" s="575">
        <v>1500</v>
      </c>
      <c r="L296" s="575">
        <v>1500</v>
      </c>
      <c r="M296" s="575">
        <v>1500</v>
      </c>
      <c r="N296" s="575">
        <v>1500</v>
      </c>
      <c r="O296" s="575">
        <v>1500</v>
      </c>
      <c r="P296" s="575">
        <v>1500</v>
      </c>
      <c r="Q296" s="575">
        <v>1500</v>
      </c>
      <c r="R296" s="575">
        <v>1500</v>
      </c>
      <c r="S296" s="575">
        <v>1500</v>
      </c>
      <c r="T296" s="575">
        <v>1500</v>
      </c>
      <c r="U296" s="575">
        <v>1500</v>
      </c>
      <c r="V296" s="575">
        <v>1500</v>
      </c>
      <c r="W296" s="575">
        <v>1500</v>
      </c>
      <c r="X296" s="575">
        <v>1500</v>
      </c>
      <c r="Y296" s="575">
        <v>1500</v>
      </c>
      <c r="Z296" s="575">
        <v>1500</v>
      </c>
      <c r="AA296" s="575">
        <v>1500</v>
      </c>
      <c r="AB296" s="575">
        <v>1500</v>
      </c>
      <c r="AC296" s="575">
        <v>1500</v>
      </c>
      <c r="AD296" s="575">
        <v>3000</v>
      </c>
      <c r="AE296" s="575">
        <v>3000</v>
      </c>
      <c r="AF296" s="575">
        <v>3000</v>
      </c>
      <c r="AG296" s="575">
        <v>3000</v>
      </c>
      <c r="AH296" s="575">
        <v>3000</v>
      </c>
      <c r="AI296" s="575">
        <v>3000</v>
      </c>
      <c r="AJ296" s="575">
        <v>1500</v>
      </c>
      <c r="AK296" s="575">
        <v>3000</v>
      </c>
      <c r="AL296" s="492"/>
      <c r="AM296" s="492"/>
      <c r="AN296" s="27"/>
      <c r="AO296" s="17"/>
      <c r="AP296" s="9"/>
      <c r="AQ296" s="492" t="s">
        <v>3171</v>
      </c>
      <c r="AR296" s="9"/>
    </row>
    <row r="297" spans="1:44" customFormat="1" ht="12" customHeight="1" outlineLevel="1" x14ac:dyDescent="0.35">
      <c r="A297" s="7"/>
      <c r="B297" s="8"/>
      <c r="C297" s="18"/>
      <c r="D297" s="18"/>
      <c r="E297" s="18"/>
      <c r="F297" s="24"/>
      <c r="G297" s="25"/>
      <c r="H297" s="41" t="s">
        <v>3172</v>
      </c>
      <c r="I297" s="576" t="s">
        <v>3173</v>
      </c>
      <c r="J297" s="575">
        <v>0</v>
      </c>
      <c r="K297" s="575">
        <v>0</v>
      </c>
      <c r="L297" s="575">
        <v>0</v>
      </c>
      <c r="M297" s="575">
        <v>0</v>
      </c>
      <c r="N297" s="575">
        <v>0</v>
      </c>
      <c r="O297" s="575">
        <v>0</v>
      </c>
      <c r="P297" s="575">
        <v>0</v>
      </c>
      <c r="Q297" s="575">
        <v>0</v>
      </c>
      <c r="R297" s="575">
        <v>0.25</v>
      </c>
      <c r="S297" s="575">
        <v>0.25</v>
      </c>
      <c r="T297" s="575">
        <v>0.25</v>
      </c>
      <c r="U297" s="575">
        <v>0.25</v>
      </c>
      <c r="V297" s="575">
        <v>0.25</v>
      </c>
      <c r="W297" s="575">
        <v>0.25</v>
      </c>
      <c r="X297" s="575">
        <v>0.32</v>
      </c>
      <c r="Y297" s="575">
        <v>0.32</v>
      </c>
      <c r="Z297" s="575">
        <v>0.25</v>
      </c>
      <c r="AA297" s="575">
        <v>0.25</v>
      </c>
      <c r="AB297" s="575">
        <v>0.17</v>
      </c>
      <c r="AC297" s="575">
        <v>0.17</v>
      </c>
      <c r="AD297" s="575">
        <v>0</v>
      </c>
      <c r="AE297" s="575">
        <v>0</v>
      </c>
      <c r="AF297" s="575">
        <v>0</v>
      </c>
      <c r="AG297" s="575">
        <v>0</v>
      </c>
      <c r="AH297" s="575">
        <v>0</v>
      </c>
      <c r="AI297" s="575">
        <v>0</v>
      </c>
      <c r="AJ297" s="575">
        <v>0.25</v>
      </c>
      <c r="AK297" s="575">
        <v>0</v>
      </c>
      <c r="AL297" s="492"/>
      <c r="AM297" s="492"/>
      <c r="AN297" s="27"/>
      <c r="AO297" s="17"/>
      <c r="AP297" s="9"/>
      <c r="AQ297" s="577">
        <f>AI214</f>
        <v>45250</v>
      </c>
      <c r="AR297" s="9"/>
    </row>
    <row r="298" spans="1:44" customFormat="1" ht="12" customHeight="1" outlineLevel="1" x14ac:dyDescent="0.35">
      <c r="A298" s="7"/>
      <c r="B298" s="8"/>
      <c r="C298" s="18"/>
      <c r="D298" s="18"/>
      <c r="E298" s="18"/>
      <c r="F298" s="24"/>
      <c r="G298" s="25"/>
      <c r="H298" s="28"/>
      <c r="I298" s="576" t="s">
        <v>3174</v>
      </c>
      <c r="J298" s="575">
        <v>0</v>
      </c>
      <c r="K298" s="575">
        <v>0</v>
      </c>
      <c r="L298" s="575">
        <v>0</v>
      </c>
      <c r="M298" s="575">
        <v>0</v>
      </c>
      <c r="N298" s="575">
        <v>0</v>
      </c>
      <c r="O298" s="575">
        <v>0</v>
      </c>
      <c r="P298" s="575">
        <v>0</v>
      </c>
      <c r="Q298" s="575">
        <v>0</v>
      </c>
      <c r="R298" s="575">
        <v>0</v>
      </c>
      <c r="S298" s="575">
        <v>0</v>
      </c>
      <c r="T298" s="575">
        <v>0</v>
      </c>
      <c r="U298" s="575">
        <v>0</v>
      </c>
      <c r="V298" s="575">
        <v>0</v>
      </c>
      <c r="W298" s="575">
        <v>0</v>
      </c>
      <c r="X298" s="575">
        <v>0</v>
      </c>
      <c r="Y298" s="575">
        <v>0</v>
      </c>
      <c r="Z298" s="575">
        <v>0</v>
      </c>
      <c r="AA298" s="575">
        <v>0</v>
      </c>
      <c r="AB298" s="575">
        <v>0</v>
      </c>
      <c r="AC298" s="575">
        <v>0</v>
      </c>
      <c r="AD298" s="575">
        <v>0</v>
      </c>
      <c r="AE298" s="575">
        <v>0</v>
      </c>
      <c r="AF298" s="575">
        <v>0</v>
      </c>
      <c r="AG298" s="578">
        <f>300/919/7</f>
        <v>4.6634540649774604E-2</v>
      </c>
      <c r="AH298" s="578">
        <f>300/746/7</f>
        <v>5.7449253159708925E-2</v>
      </c>
      <c r="AI298" s="575">
        <v>0</v>
      </c>
      <c r="AJ298" s="575">
        <v>0</v>
      </c>
      <c r="AK298" s="575">
        <v>0</v>
      </c>
      <c r="AL298" s="492"/>
      <c r="AM298" s="492"/>
      <c r="AN298" s="27"/>
      <c r="AO298" s="17"/>
      <c r="AP298" s="9"/>
      <c r="AQ298" s="577">
        <f>AQ297+7</f>
        <v>45257</v>
      </c>
      <c r="AR298" s="9"/>
    </row>
    <row r="299" spans="1:44" customFormat="1" ht="12" customHeight="1" outlineLevel="1" x14ac:dyDescent="0.35">
      <c r="A299" s="7"/>
      <c r="B299" s="8"/>
      <c r="C299" s="18"/>
      <c r="D299" s="18"/>
      <c r="E299" s="18"/>
      <c r="F299" s="24"/>
      <c r="G299" s="25"/>
      <c r="H299" s="28"/>
      <c r="I299" s="576" t="s">
        <v>3175</v>
      </c>
      <c r="J299" s="575">
        <v>0</v>
      </c>
      <c r="K299" s="575">
        <v>0</v>
      </c>
      <c r="L299" s="575">
        <v>0</v>
      </c>
      <c r="M299" s="575">
        <v>0</v>
      </c>
      <c r="N299" s="575">
        <v>0</v>
      </c>
      <c r="O299" s="575">
        <v>0</v>
      </c>
      <c r="P299" s="575">
        <v>0</v>
      </c>
      <c r="Q299" s="575">
        <v>0</v>
      </c>
      <c r="R299" s="575">
        <v>0</v>
      </c>
      <c r="S299" s="575">
        <v>0</v>
      </c>
      <c r="T299" s="575">
        <v>0</v>
      </c>
      <c r="U299" s="575">
        <v>0</v>
      </c>
      <c r="V299" s="575">
        <v>0</v>
      </c>
      <c r="W299" s="575">
        <v>0</v>
      </c>
      <c r="X299" s="575">
        <v>0</v>
      </c>
      <c r="Y299" s="575">
        <v>0</v>
      </c>
      <c r="Z299" s="575">
        <v>0</v>
      </c>
      <c r="AA299" s="575">
        <v>0</v>
      </c>
      <c r="AB299" s="575">
        <v>0</v>
      </c>
      <c r="AC299" s="575">
        <v>0</v>
      </c>
      <c r="AD299" s="575">
        <v>0</v>
      </c>
      <c r="AE299" s="575">
        <v>0</v>
      </c>
      <c r="AF299" s="575">
        <v>0</v>
      </c>
      <c r="AG299" s="575">
        <v>0</v>
      </c>
      <c r="AH299" s="578">
        <f t="shared" ref="AH299" si="25">300/746/7</f>
        <v>5.7449253159708925E-2</v>
      </c>
      <c r="AI299" s="575">
        <v>0</v>
      </c>
      <c r="AJ299" s="575">
        <v>0</v>
      </c>
      <c r="AK299" s="575">
        <v>0</v>
      </c>
      <c r="AL299" s="492"/>
      <c r="AM299" s="492"/>
      <c r="AN299" s="27"/>
      <c r="AO299" s="17"/>
      <c r="AP299" s="9"/>
      <c r="AQ299" s="577">
        <f t="shared" ref="AQ299:AQ312" si="26">AQ298+7</f>
        <v>45264</v>
      </c>
      <c r="AR299" s="9"/>
    </row>
    <row r="300" spans="1:44" customFormat="1" ht="12" customHeight="1" outlineLevel="1" x14ac:dyDescent="0.35">
      <c r="A300" s="7"/>
      <c r="B300" s="8"/>
      <c r="C300" s="18"/>
      <c r="D300" s="18"/>
      <c r="E300" s="18"/>
      <c r="F300" s="24"/>
      <c r="G300" s="25"/>
      <c r="H300" s="28"/>
      <c r="I300" s="576" t="s">
        <v>3176</v>
      </c>
      <c r="J300" s="575">
        <v>0</v>
      </c>
      <c r="K300" s="575">
        <v>0</v>
      </c>
      <c r="L300" s="575">
        <v>0</v>
      </c>
      <c r="M300" s="575">
        <v>0</v>
      </c>
      <c r="N300" s="575">
        <v>0</v>
      </c>
      <c r="O300" s="575">
        <v>0</v>
      </c>
      <c r="P300" s="575">
        <v>0</v>
      </c>
      <c r="Q300" s="575">
        <v>0</v>
      </c>
      <c r="R300" s="575">
        <v>0</v>
      </c>
      <c r="S300" s="575">
        <v>0</v>
      </c>
      <c r="T300" s="575">
        <v>0</v>
      </c>
      <c r="U300" s="575">
        <v>0</v>
      </c>
      <c r="V300" s="575">
        <v>0</v>
      </c>
      <c r="W300" s="575">
        <v>0</v>
      </c>
      <c r="X300" s="575">
        <v>0</v>
      </c>
      <c r="Y300" s="575">
        <v>0</v>
      </c>
      <c r="Z300" s="575">
        <v>0</v>
      </c>
      <c r="AA300" s="575">
        <v>0</v>
      </c>
      <c r="AB300" s="575">
        <v>0</v>
      </c>
      <c r="AC300" s="575">
        <v>0</v>
      </c>
      <c r="AD300" s="575">
        <v>0</v>
      </c>
      <c r="AE300" s="575">
        <v>0</v>
      </c>
      <c r="AF300" s="575">
        <v>0</v>
      </c>
      <c r="AG300" s="578">
        <f>300/919/7</f>
        <v>4.6634540649774604E-2</v>
      </c>
      <c r="AH300" s="578">
        <f>320/746/7</f>
        <v>6.1279203370356188E-2</v>
      </c>
      <c r="AI300" s="575">
        <v>0</v>
      </c>
      <c r="AJ300" s="575">
        <v>0</v>
      </c>
      <c r="AK300" s="575">
        <v>0</v>
      </c>
      <c r="AL300" s="492"/>
      <c r="AM300" s="492"/>
      <c r="AN300" s="27"/>
      <c r="AO300" s="17"/>
      <c r="AP300" s="9"/>
      <c r="AQ300" s="577">
        <f t="shared" si="26"/>
        <v>45271</v>
      </c>
      <c r="AR300" s="9"/>
    </row>
    <row r="301" spans="1:44" customFormat="1" ht="12" customHeight="1" outlineLevel="1" x14ac:dyDescent="0.35">
      <c r="A301" s="7"/>
      <c r="B301" s="8"/>
      <c r="C301" s="18"/>
      <c r="D301" s="18"/>
      <c r="E301" s="18"/>
      <c r="F301" s="24"/>
      <c r="G301" s="25"/>
      <c r="H301" s="28"/>
      <c r="I301" s="576" t="s">
        <v>3177</v>
      </c>
      <c r="J301" s="575">
        <v>0</v>
      </c>
      <c r="K301" s="575">
        <v>0</v>
      </c>
      <c r="L301" s="575">
        <v>0</v>
      </c>
      <c r="M301" s="575">
        <v>0</v>
      </c>
      <c r="N301" s="575">
        <v>0</v>
      </c>
      <c r="O301" s="575">
        <v>0</v>
      </c>
      <c r="P301" s="575">
        <v>0</v>
      </c>
      <c r="Q301" s="575">
        <v>0</v>
      </c>
      <c r="R301" s="575">
        <v>0</v>
      </c>
      <c r="S301" s="575">
        <v>0</v>
      </c>
      <c r="T301" s="575">
        <v>0</v>
      </c>
      <c r="U301" s="575">
        <v>0</v>
      </c>
      <c r="V301" s="575">
        <v>0</v>
      </c>
      <c r="W301" s="575">
        <v>0</v>
      </c>
      <c r="X301" s="575">
        <v>0</v>
      </c>
      <c r="Y301" s="575">
        <v>0</v>
      </c>
      <c r="Z301" s="575">
        <v>0</v>
      </c>
      <c r="AA301" s="575">
        <v>0</v>
      </c>
      <c r="AB301" s="575">
        <v>0</v>
      </c>
      <c r="AC301" s="575">
        <v>0</v>
      </c>
      <c r="AD301" s="575">
        <v>0</v>
      </c>
      <c r="AE301" s="575">
        <v>0</v>
      </c>
      <c r="AF301" s="575">
        <v>0</v>
      </c>
      <c r="AG301" s="578">
        <f>400/919/7</f>
        <v>6.2179387533032801E-2</v>
      </c>
      <c r="AH301" s="578">
        <f>350/746/7</f>
        <v>6.7024128686327081E-2</v>
      </c>
      <c r="AI301" s="578">
        <f>200/294/7</f>
        <v>9.718172983479105E-2</v>
      </c>
      <c r="AJ301" s="575">
        <v>0</v>
      </c>
      <c r="AK301" s="575">
        <v>0</v>
      </c>
      <c r="AL301" s="492"/>
      <c r="AM301" s="492"/>
      <c r="AN301" s="27"/>
      <c r="AO301" s="17"/>
      <c r="AP301" s="9"/>
      <c r="AQ301" s="577">
        <f t="shared" si="26"/>
        <v>45278</v>
      </c>
      <c r="AR301" s="9"/>
    </row>
    <row r="302" spans="1:44" customFormat="1" ht="12" customHeight="1" outlineLevel="1" x14ac:dyDescent="0.35">
      <c r="A302" s="7"/>
      <c r="B302" s="8"/>
      <c r="C302" s="18"/>
      <c r="D302" s="18"/>
      <c r="E302" s="18"/>
      <c r="F302" s="24"/>
      <c r="G302" s="25"/>
      <c r="H302" s="28"/>
      <c r="I302" s="576" t="s">
        <v>3178</v>
      </c>
      <c r="J302" s="575">
        <v>0</v>
      </c>
      <c r="K302" s="575">
        <v>0</v>
      </c>
      <c r="L302" s="575">
        <v>0</v>
      </c>
      <c r="M302" s="575">
        <v>0</v>
      </c>
      <c r="N302" s="575">
        <v>0</v>
      </c>
      <c r="O302" s="575">
        <v>0</v>
      </c>
      <c r="P302" s="575">
        <v>0</v>
      </c>
      <c r="Q302" s="575">
        <v>0</v>
      </c>
      <c r="R302" s="575">
        <v>0</v>
      </c>
      <c r="S302" s="575">
        <v>0</v>
      </c>
      <c r="T302" s="575">
        <v>0</v>
      </c>
      <c r="U302" s="575">
        <v>0</v>
      </c>
      <c r="V302" s="575">
        <v>0</v>
      </c>
      <c r="W302" s="575">
        <v>0</v>
      </c>
      <c r="X302" s="575">
        <v>0</v>
      </c>
      <c r="Y302" s="575">
        <v>0</v>
      </c>
      <c r="Z302" s="575">
        <v>0</v>
      </c>
      <c r="AA302" s="575">
        <v>0</v>
      </c>
      <c r="AB302" s="575">
        <v>0</v>
      </c>
      <c r="AC302" s="575">
        <v>0</v>
      </c>
      <c r="AD302" s="575">
        <v>0</v>
      </c>
      <c r="AE302" s="575">
        <v>0</v>
      </c>
      <c r="AF302" s="575">
        <v>0</v>
      </c>
      <c r="AG302" s="575">
        <v>0</v>
      </c>
      <c r="AH302" s="578">
        <f t="shared" ref="AH302:AH307" si="27">350/746/7</f>
        <v>6.7024128686327081E-2</v>
      </c>
      <c r="AI302" s="575">
        <v>0</v>
      </c>
      <c r="AJ302" s="575">
        <v>0</v>
      </c>
      <c r="AK302" s="575">
        <v>0</v>
      </c>
      <c r="AL302" s="492"/>
      <c r="AM302" s="492"/>
      <c r="AN302" s="27"/>
      <c r="AO302" s="17"/>
      <c r="AP302" s="9"/>
      <c r="AQ302" s="577">
        <f t="shared" si="26"/>
        <v>45285</v>
      </c>
      <c r="AR302" s="9"/>
    </row>
    <row r="303" spans="1:44" customFormat="1" ht="12" customHeight="1" outlineLevel="1" x14ac:dyDescent="0.35">
      <c r="A303" s="7"/>
      <c r="B303" s="8"/>
      <c r="C303" s="18"/>
      <c r="D303" s="18"/>
      <c r="E303" s="18"/>
      <c r="F303" s="24"/>
      <c r="G303" s="25"/>
      <c r="H303" s="28"/>
      <c r="I303" s="576" t="s">
        <v>3179</v>
      </c>
      <c r="J303" s="575">
        <v>0</v>
      </c>
      <c r="K303" s="575">
        <v>0</v>
      </c>
      <c r="L303" s="575">
        <v>0</v>
      </c>
      <c r="M303" s="575">
        <v>0</v>
      </c>
      <c r="N303" s="575">
        <v>0</v>
      </c>
      <c r="O303" s="575">
        <v>0</v>
      </c>
      <c r="P303" s="575">
        <v>0</v>
      </c>
      <c r="Q303" s="575">
        <v>0</v>
      </c>
      <c r="R303" s="575">
        <v>0</v>
      </c>
      <c r="S303" s="575">
        <v>0</v>
      </c>
      <c r="T303" s="575">
        <v>0</v>
      </c>
      <c r="U303" s="575">
        <v>0</v>
      </c>
      <c r="V303" s="575">
        <v>0</v>
      </c>
      <c r="W303" s="575">
        <v>0</v>
      </c>
      <c r="X303" s="575">
        <v>0</v>
      </c>
      <c r="Y303" s="575">
        <v>0</v>
      </c>
      <c r="Z303" s="575">
        <v>0</v>
      </c>
      <c r="AA303" s="575">
        <v>0</v>
      </c>
      <c r="AB303" s="575">
        <v>0</v>
      </c>
      <c r="AC303" s="575">
        <v>0</v>
      </c>
      <c r="AD303" s="575">
        <v>0</v>
      </c>
      <c r="AE303" s="575">
        <v>0</v>
      </c>
      <c r="AF303" s="575">
        <v>0</v>
      </c>
      <c r="AG303" s="575">
        <v>0</v>
      </c>
      <c r="AH303" s="578">
        <f t="shared" si="27"/>
        <v>6.7024128686327081E-2</v>
      </c>
      <c r="AI303" s="575">
        <v>0</v>
      </c>
      <c r="AJ303" s="575">
        <v>0</v>
      </c>
      <c r="AK303" s="575">
        <v>0</v>
      </c>
      <c r="AL303" s="492"/>
      <c r="AM303" s="492"/>
      <c r="AN303" s="27"/>
      <c r="AO303" s="17"/>
      <c r="AP303" s="9"/>
      <c r="AQ303" s="577">
        <f t="shared" si="26"/>
        <v>45292</v>
      </c>
      <c r="AR303" s="9"/>
    </row>
    <row r="304" spans="1:44" customFormat="1" ht="12" customHeight="1" outlineLevel="1" x14ac:dyDescent="0.35">
      <c r="A304" s="7"/>
      <c r="B304" s="8"/>
      <c r="C304" s="18"/>
      <c r="D304" s="18"/>
      <c r="E304" s="18"/>
      <c r="F304" s="24"/>
      <c r="G304" s="25"/>
      <c r="H304" s="28"/>
      <c r="I304" s="576" t="s">
        <v>3180</v>
      </c>
      <c r="J304" s="575">
        <v>0</v>
      </c>
      <c r="K304" s="575">
        <v>0</v>
      </c>
      <c r="L304" s="575">
        <v>0</v>
      </c>
      <c r="M304" s="575">
        <v>0</v>
      </c>
      <c r="N304" s="575">
        <v>0</v>
      </c>
      <c r="O304" s="575">
        <v>0</v>
      </c>
      <c r="P304" s="575">
        <v>0</v>
      </c>
      <c r="Q304" s="575">
        <v>0</v>
      </c>
      <c r="R304" s="575">
        <v>0</v>
      </c>
      <c r="S304" s="575">
        <v>0</v>
      </c>
      <c r="T304" s="575">
        <v>0</v>
      </c>
      <c r="U304" s="575">
        <v>0</v>
      </c>
      <c r="V304" s="575">
        <v>0</v>
      </c>
      <c r="W304" s="575">
        <v>0</v>
      </c>
      <c r="X304" s="575">
        <v>0</v>
      </c>
      <c r="Y304" s="575">
        <v>0</v>
      </c>
      <c r="Z304" s="575">
        <v>0</v>
      </c>
      <c r="AA304" s="575">
        <v>0</v>
      </c>
      <c r="AB304" s="575">
        <v>0</v>
      </c>
      <c r="AC304" s="575">
        <v>0</v>
      </c>
      <c r="AD304" s="575">
        <v>0</v>
      </c>
      <c r="AE304" s="575">
        <v>0</v>
      </c>
      <c r="AF304" s="575">
        <v>0</v>
      </c>
      <c r="AG304" s="575">
        <v>0</v>
      </c>
      <c r="AH304" s="578">
        <f t="shared" si="27"/>
        <v>6.7024128686327081E-2</v>
      </c>
      <c r="AI304" s="575">
        <v>0</v>
      </c>
      <c r="AJ304" s="575">
        <v>0</v>
      </c>
      <c r="AK304" s="575">
        <v>0</v>
      </c>
      <c r="AL304" s="492"/>
      <c r="AM304" s="492"/>
      <c r="AN304" s="27"/>
      <c r="AO304" s="17"/>
      <c r="AP304" s="9"/>
      <c r="AQ304" s="577">
        <f t="shared" si="26"/>
        <v>45299</v>
      </c>
      <c r="AR304" s="9"/>
    </row>
    <row r="305" spans="1:44" customFormat="1" ht="12" customHeight="1" outlineLevel="1" x14ac:dyDescent="0.35">
      <c r="A305" s="7"/>
      <c r="B305" s="8"/>
      <c r="C305" s="18"/>
      <c r="D305" s="18"/>
      <c r="E305" s="18"/>
      <c r="F305" s="24"/>
      <c r="G305" s="25"/>
      <c r="H305" s="28"/>
      <c r="I305" s="576" t="s">
        <v>3181</v>
      </c>
      <c r="J305" s="575">
        <v>0</v>
      </c>
      <c r="K305" s="575">
        <v>0</v>
      </c>
      <c r="L305" s="575">
        <v>0</v>
      </c>
      <c r="M305" s="575">
        <v>0</v>
      </c>
      <c r="N305" s="575">
        <v>0</v>
      </c>
      <c r="O305" s="575">
        <v>0</v>
      </c>
      <c r="P305" s="575">
        <v>0</v>
      </c>
      <c r="Q305" s="575">
        <v>0</v>
      </c>
      <c r="R305" s="575">
        <v>0</v>
      </c>
      <c r="S305" s="575">
        <v>0</v>
      </c>
      <c r="T305" s="575">
        <v>0</v>
      </c>
      <c r="U305" s="575">
        <v>0</v>
      </c>
      <c r="V305" s="575">
        <v>0</v>
      </c>
      <c r="W305" s="575">
        <v>0</v>
      </c>
      <c r="X305" s="575">
        <v>0</v>
      </c>
      <c r="Y305" s="575">
        <v>0</v>
      </c>
      <c r="Z305" s="575">
        <v>0</v>
      </c>
      <c r="AA305" s="575">
        <v>0</v>
      </c>
      <c r="AB305" s="575">
        <v>0</v>
      </c>
      <c r="AC305" s="575">
        <v>0</v>
      </c>
      <c r="AD305" s="575">
        <v>0</v>
      </c>
      <c r="AE305" s="575">
        <v>0</v>
      </c>
      <c r="AF305" s="575">
        <v>0</v>
      </c>
      <c r="AG305" s="575">
        <v>0</v>
      </c>
      <c r="AH305" s="578">
        <f t="shared" si="27"/>
        <v>6.7024128686327081E-2</v>
      </c>
      <c r="AI305" s="575">
        <v>0</v>
      </c>
      <c r="AJ305" s="575">
        <v>0</v>
      </c>
      <c r="AK305" s="575">
        <v>0</v>
      </c>
      <c r="AL305" s="492"/>
      <c r="AM305" s="492"/>
      <c r="AN305" s="27"/>
      <c r="AO305" s="17"/>
      <c r="AP305" s="9"/>
      <c r="AQ305" s="577">
        <f t="shared" si="26"/>
        <v>45306</v>
      </c>
      <c r="AR305" s="9"/>
    </row>
    <row r="306" spans="1:44" customFormat="1" ht="12" customHeight="1" outlineLevel="1" x14ac:dyDescent="0.35">
      <c r="A306" s="7"/>
      <c r="B306" s="8"/>
      <c r="C306" s="18"/>
      <c r="D306" s="18"/>
      <c r="E306" s="18"/>
      <c r="F306" s="24"/>
      <c r="G306" s="25"/>
      <c r="H306" s="28"/>
      <c r="I306" s="576" t="s">
        <v>3182</v>
      </c>
      <c r="J306" s="575">
        <v>0</v>
      </c>
      <c r="K306" s="575">
        <v>0</v>
      </c>
      <c r="L306" s="575">
        <v>0</v>
      </c>
      <c r="M306" s="575">
        <v>0</v>
      </c>
      <c r="N306" s="575">
        <v>0</v>
      </c>
      <c r="O306" s="575">
        <v>0</v>
      </c>
      <c r="P306" s="575">
        <v>0</v>
      </c>
      <c r="Q306" s="575">
        <v>0</v>
      </c>
      <c r="R306" s="575">
        <v>0</v>
      </c>
      <c r="S306" s="575">
        <v>0</v>
      </c>
      <c r="T306" s="575">
        <v>0</v>
      </c>
      <c r="U306" s="575">
        <v>0</v>
      </c>
      <c r="V306" s="575">
        <v>0</v>
      </c>
      <c r="W306" s="575">
        <v>0</v>
      </c>
      <c r="X306" s="575">
        <v>0</v>
      </c>
      <c r="Y306" s="575">
        <v>0</v>
      </c>
      <c r="Z306" s="575">
        <v>0</v>
      </c>
      <c r="AA306" s="575">
        <v>0</v>
      </c>
      <c r="AB306" s="575">
        <v>0</v>
      </c>
      <c r="AC306" s="575">
        <v>0</v>
      </c>
      <c r="AD306" s="575">
        <v>0</v>
      </c>
      <c r="AE306" s="575">
        <v>0</v>
      </c>
      <c r="AF306" s="575">
        <v>0</v>
      </c>
      <c r="AG306" s="575">
        <v>0</v>
      </c>
      <c r="AH306" s="578">
        <f t="shared" si="27"/>
        <v>6.7024128686327081E-2</v>
      </c>
      <c r="AI306" s="575">
        <v>0</v>
      </c>
      <c r="AJ306" s="575">
        <v>0</v>
      </c>
      <c r="AK306" s="575">
        <v>0</v>
      </c>
      <c r="AL306" s="492"/>
      <c r="AM306" s="492"/>
      <c r="AN306" s="27"/>
      <c r="AO306" s="17"/>
      <c r="AP306" s="9"/>
      <c r="AQ306" s="577">
        <f t="shared" si="26"/>
        <v>45313</v>
      </c>
      <c r="AR306" s="9"/>
    </row>
    <row r="307" spans="1:44" customFormat="1" ht="12" customHeight="1" outlineLevel="1" x14ac:dyDescent="0.35">
      <c r="A307" s="7"/>
      <c r="B307" s="8"/>
      <c r="C307" s="18"/>
      <c r="D307" s="18"/>
      <c r="E307" s="18"/>
      <c r="F307" s="24"/>
      <c r="G307" s="25"/>
      <c r="H307" s="28"/>
      <c r="I307" s="576" t="s">
        <v>3183</v>
      </c>
      <c r="J307" s="575">
        <v>0</v>
      </c>
      <c r="K307" s="575">
        <v>0</v>
      </c>
      <c r="L307" s="575">
        <v>0</v>
      </c>
      <c r="M307" s="575">
        <v>0</v>
      </c>
      <c r="N307" s="575">
        <v>0</v>
      </c>
      <c r="O307" s="575">
        <v>0</v>
      </c>
      <c r="P307" s="575">
        <v>0</v>
      </c>
      <c r="Q307" s="575">
        <v>0</v>
      </c>
      <c r="R307" s="575">
        <v>0</v>
      </c>
      <c r="S307" s="575">
        <v>0</v>
      </c>
      <c r="T307" s="575">
        <v>0</v>
      </c>
      <c r="U307" s="575">
        <v>0</v>
      </c>
      <c r="V307" s="575">
        <v>0</v>
      </c>
      <c r="W307" s="575">
        <v>0</v>
      </c>
      <c r="X307" s="575">
        <v>0</v>
      </c>
      <c r="Y307" s="575">
        <v>0</v>
      </c>
      <c r="Z307" s="575">
        <v>0</v>
      </c>
      <c r="AA307" s="575">
        <v>0</v>
      </c>
      <c r="AB307" s="575">
        <v>0</v>
      </c>
      <c r="AC307" s="575">
        <v>0</v>
      </c>
      <c r="AD307" s="575">
        <v>0</v>
      </c>
      <c r="AE307" s="575">
        <v>0</v>
      </c>
      <c r="AF307" s="575">
        <v>0</v>
      </c>
      <c r="AG307" s="575">
        <v>0</v>
      </c>
      <c r="AH307" s="578">
        <f t="shared" si="27"/>
        <v>6.7024128686327081E-2</v>
      </c>
      <c r="AI307" s="575">
        <v>0</v>
      </c>
      <c r="AJ307" s="575">
        <v>0</v>
      </c>
      <c r="AK307" s="575">
        <v>0</v>
      </c>
      <c r="AL307" s="492"/>
      <c r="AM307" s="492"/>
      <c r="AN307" s="27"/>
      <c r="AO307" s="17"/>
      <c r="AP307" s="9"/>
      <c r="AQ307" s="577">
        <f t="shared" si="26"/>
        <v>45320</v>
      </c>
      <c r="AR307" s="9"/>
    </row>
    <row r="308" spans="1:44" customFormat="1" ht="12" customHeight="1" outlineLevel="1" x14ac:dyDescent="0.35">
      <c r="A308" s="7"/>
      <c r="B308" s="8"/>
      <c r="C308" s="18"/>
      <c r="D308" s="18"/>
      <c r="E308" s="18"/>
      <c r="F308" s="24"/>
      <c r="G308" s="25"/>
      <c r="H308" s="28"/>
      <c r="I308" s="576" t="s">
        <v>3184</v>
      </c>
      <c r="J308" s="575">
        <v>0</v>
      </c>
      <c r="K308" s="575">
        <v>0</v>
      </c>
      <c r="L308" s="575">
        <v>0</v>
      </c>
      <c r="M308" s="575">
        <v>0</v>
      </c>
      <c r="N308" s="575">
        <v>0</v>
      </c>
      <c r="O308" s="575">
        <v>0</v>
      </c>
      <c r="P308" s="575">
        <v>0</v>
      </c>
      <c r="Q308" s="575">
        <v>0</v>
      </c>
      <c r="R308" s="575">
        <v>0</v>
      </c>
      <c r="S308" s="575">
        <v>0</v>
      </c>
      <c r="T308" s="575">
        <v>0</v>
      </c>
      <c r="U308" s="575">
        <v>0</v>
      </c>
      <c r="V308" s="575">
        <v>0</v>
      </c>
      <c r="W308" s="575">
        <v>0</v>
      </c>
      <c r="X308" s="575">
        <v>0</v>
      </c>
      <c r="Y308" s="575">
        <v>0</v>
      </c>
      <c r="Z308" s="575">
        <v>0</v>
      </c>
      <c r="AA308" s="575">
        <v>0</v>
      </c>
      <c r="AB308" s="575">
        <v>0</v>
      </c>
      <c r="AC308" s="575">
        <v>0</v>
      </c>
      <c r="AD308" s="575">
        <v>0</v>
      </c>
      <c r="AE308" s="575">
        <v>0</v>
      </c>
      <c r="AF308" s="575">
        <v>0</v>
      </c>
      <c r="AG308" s="578">
        <f>400/919/7</f>
        <v>6.2179387533032801E-2</v>
      </c>
      <c r="AH308" s="578">
        <f>400/746/7</f>
        <v>7.6599004212945229E-2</v>
      </c>
      <c r="AI308" s="578">
        <f>200/294/7</f>
        <v>9.718172983479105E-2</v>
      </c>
      <c r="AJ308" s="575">
        <v>0</v>
      </c>
      <c r="AK308" s="575">
        <v>0</v>
      </c>
      <c r="AL308" s="492"/>
      <c r="AM308" s="492"/>
      <c r="AN308" s="27"/>
      <c r="AO308" s="17"/>
      <c r="AP308" s="9"/>
      <c r="AQ308" s="577">
        <f t="shared" si="26"/>
        <v>45327</v>
      </c>
      <c r="AR308" s="9"/>
    </row>
    <row r="309" spans="1:44" customFormat="1" ht="12" customHeight="1" outlineLevel="1" x14ac:dyDescent="0.35">
      <c r="A309" s="7"/>
      <c r="B309" s="8"/>
      <c r="C309" s="18"/>
      <c r="D309" s="18"/>
      <c r="E309" s="18"/>
      <c r="F309" s="24"/>
      <c r="G309" s="25"/>
      <c r="H309" s="28"/>
      <c r="I309" s="576" t="s">
        <v>3185</v>
      </c>
      <c r="J309" s="575">
        <v>0</v>
      </c>
      <c r="K309" s="575">
        <v>0</v>
      </c>
      <c r="L309" s="575">
        <v>0</v>
      </c>
      <c r="M309" s="575">
        <v>0</v>
      </c>
      <c r="N309" s="575">
        <v>0</v>
      </c>
      <c r="O309" s="575">
        <v>0</v>
      </c>
      <c r="P309" s="575">
        <v>0</v>
      </c>
      <c r="Q309" s="575">
        <v>0</v>
      </c>
      <c r="R309" s="575">
        <v>0</v>
      </c>
      <c r="S309" s="575">
        <v>0</v>
      </c>
      <c r="T309" s="575">
        <v>0</v>
      </c>
      <c r="U309" s="575">
        <v>0</v>
      </c>
      <c r="V309" s="575">
        <v>0</v>
      </c>
      <c r="W309" s="575">
        <v>0</v>
      </c>
      <c r="X309" s="575">
        <v>0</v>
      </c>
      <c r="Y309" s="575">
        <v>0</v>
      </c>
      <c r="Z309" s="575">
        <v>0</v>
      </c>
      <c r="AA309" s="575">
        <v>0</v>
      </c>
      <c r="AB309" s="575">
        <v>0</v>
      </c>
      <c r="AC309" s="575">
        <v>0</v>
      </c>
      <c r="AD309" s="575">
        <v>0</v>
      </c>
      <c r="AE309" s="575">
        <v>0</v>
      </c>
      <c r="AF309" s="575">
        <v>0</v>
      </c>
      <c r="AG309" s="575">
        <v>0</v>
      </c>
      <c r="AH309" s="578">
        <f t="shared" ref="AH309:AH316" si="28">400/746/7</f>
        <v>7.6599004212945229E-2</v>
      </c>
      <c r="AI309" s="575">
        <v>0</v>
      </c>
      <c r="AJ309" s="575">
        <v>0</v>
      </c>
      <c r="AK309" s="575">
        <v>0</v>
      </c>
      <c r="AL309" s="492"/>
      <c r="AM309" s="492"/>
      <c r="AN309" s="27"/>
      <c r="AO309" s="17"/>
      <c r="AP309" s="9"/>
      <c r="AQ309" s="577">
        <f t="shared" si="26"/>
        <v>45334</v>
      </c>
      <c r="AR309" s="9"/>
    </row>
    <row r="310" spans="1:44" customFormat="1" ht="12" customHeight="1" outlineLevel="1" x14ac:dyDescent="0.35">
      <c r="A310" s="7"/>
      <c r="B310" s="8"/>
      <c r="C310" s="18"/>
      <c r="D310" s="18"/>
      <c r="E310" s="18"/>
      <c r="F310" s="24"/>
      <c r="G310" s="25"/>
      <c r="H310" s="28"/>
      <c r="I310" s="576" t="s">
        <v>3186</v>
      </c>
      <c r="J310" s="575">
        <v>0</v>
      </c>
      <c r="K310" s="575">
        <v>0</v>
      </c>
      <c r="L310" s="575">
        <v>0</v>
      </c>
      <c r="M310" s="575">
        <v>0</v>
      </c>
      <c r="N310" s="575">
        <v>0</v>
      </c>
      <c r="O310" s="575">
        <v>0</v>
      </c>
      <c r="P310" s="575">
        <v>0</v>
      </c>
      <c r="Q310" s="575">
        <v>0</v>
      </c>
      <c r="R310" s="575">
        <v>0</v>
      </c>
      <c r="S310" s="575">
        <v>0</v>
      </c>
      <c r="T310" s="575">
        <v>0</v>
      </c>
      <c r="U310" s="575">
        <v>0</v>
      </c>
      <c r="V310" s="575">
        <v>0</v>
      </c>
      <c r="W310" s="575">
        <v>0</v>
      </c>
      <c r="X310" s="575">
        <v>0</v>
      </c>
      <c r="Y310" s="575">
        <v>0</v>
      </c>
      <c r="Z310" s="575">
        <v>0</v>
      </c>
      <c r="AA310" s="575">
        <v>0</v>
      </c>
      <c r="AB310" s="575">
        <v>0</v>
      </c>
      <c r="AC310" s="575">
        <v>0</v>
      </c>
      <c r="AD310" s="575">
        <v>0</v>
      </c>
      <c r="AE310" s="575">
        <v>0</v>
      </c>
      <c r="AF310" s="575">
        <v>0</v>
      </c>
      <c r="AG310" s="575">
        <v>0</v>
      </c>
      <c r="AH310" s="578">
        <f t="shared" si="28"/>
        <v>7.6599004212945229E-2</v>
      </c>
      <c r="AI310" s="575">
        <v>0</v>
      </c>
      <c r="AJ310" s="575">
        <v>0</v>
      </c>
      <c r="AK310" s="575">
        <v>0</v>
      </c>
      <c r="AL310" s="492"/>
      <c r="AM310" s="492"/>
      <c r="AN310" s="27"/>
      <c r="AO310" s="17"/>
      <c r="AP310" s="9"/>
      <c r="AQ310" s="577">
        <f t="shared" si="26"/>
        <v>45341</v>
      </c>
      <c r="AR310" s="9"/>
    </row>
    <row r="311" spans="1:44" customFormat="1" ht="12" customHeight="1" outlineLevel="1" x14ac:dyDescent="0.35">
      <c r="A311" s="7"/>
      <c r="B311" s="8"/>
      <c r="C311" s="18"/>
      <c r="D311" s="18"/>
      <c r="E311" s="18"/>
      <c r="F311" s="24"/>
      <c r="G311" s="25"/>
      <c r="H311" s="28"/>
      <c r="I311" s="576" t="s">
        <v>3187</v>
      </c>
      <c r="J311" s="575">
        <v>0</v>
      </c>
      <c r="K311" s="575">
        <v>0</v>
      </c>
      <c r="L311" s="575">
        <v>0</v>
      </c>
      <c r="M311" s="575">
        <v>0</v>
      </c>
      <c r="N311" s="575">
        <v>0</v>
      </c>
      <c r="O311" s="575">
        <v>0</v>
      </c>
      <c r="P311" s="575">
        <v>0</v>
      </c>
      <c r="Q311" s="575">
        <v>0</v>
      </c>
      <c r="R311" s="575">
        <v>0</v>
      </c>
      <c r="S311" s="575">
        <v>0</v>
      </c>
      <c r="T311" s="575">
        <v>0</v>
      </c>
      <c r="U311" s="575">
        <v>0</v>
      </c>
      <c r="V311" s="575">
        <v>0</v>
      </c>
      <c r="W311" s="575">
        <v>0</v>
      </c>
      <c r="X311" s="575">
        <v>0</v>
      </c>
      <c r="Y311" s="575">
        <v>0</v>
      </c>
      <c r="Z311" s="575">
        <v>0</v>
      </c>
      <c r="AA311" s="575">
        <v>0</v>
      </c>
      <c r="AB311" s="575">
        <v>0</v>
      </c>
      <c r="AC311" s="575">
        <v>0</v>
      </c>
      <c r="AD311" s="575">
        <v>0</v>
      </c>
      <c r="AE311" s="575">
        <v>0</v>
      </c>
      <c r="AF311" s="575">
        <v>0</v>
      </c>
      <c r="AG311" s="575">
        <v>0</v>
      </c>
      <c r="AH311" s="578">
        <f t="shared" si="28"/>
        <v>7.6599004212945229E-2</v>
      </c>
      <c r="AI311" s="575">
        <v>0</v>
      </c>
      <c r="AJ311" s="575">
        <v>0</v>
      </c>
      <c r="AK311" s="575">
        <v>0</v>
      </c>
      <c r="AL311" s="492"/>
      <c r="AM311" s="492"/>
      <c r="AN311" s="27"/>
      <c r="AO311" s="17"/>
      <c r="AP311" s="9"/>
      <c r="AQ311" s="577">
        <f t="shared" si="26"/>
        <v>45348</v>
      </c>
      <c r="AR311" s="9"/>
    </row>
    <row r="312" spans="1:44" customFormat="1" ht="12" customHeight="1" outlineLevel="1" x14ac:dyDescent="0.35">
      <c r="A312" s="7"/>
      <c r="B312" s="8"/>
      <c r="C312" s="18"/>
      <c r="D312" s="18"/>
      <c r="E312" s="18"/>
      <c r="F312" s="24"/>
      <c r="G312" s="25"/>
      <c r="H312" s="28"/>
      <c r="I312" s="576" t="s">
        <v>3188</v>
      </c>
      <c r="J312" s="575">
        <v>0</v>
      </c>
      <c r="K312" s="575">
        <v>0</v>
      </c>
      <c r="L312" s="575">
        <v>0</v>
      </c>
      <c r="M312" s="575">
        <v>0</v>
      </c>
      <c r="N312" s="575">
        <v>0</v>
      </c>
      <c r="O312" s="575">
        <v>0</v>
      </c>
      <c r="P312" s="575">
        <v>0</v>
      </c>
      <c r="Q312" s="575">
        <v>0</v>
      </c>
      <c r="R312" s="575">
        <v>0</v>
      </c>
      <c r="S312" s="575">
        <v>0</v>
      </c>
      <c r="T312" s="575">
        <v>0</v>
      </c>
      <c r="U312" s="575">
        <v>0</v>
      </c>
      <c r="V312" s="575">
        <v>0</v>
      </c>
      <c r="W312" s="575">
        <v>0</v>
      </c>
      <c r="X312" s="575">
        <v>0</v>
      </c>
      <c r="Y312" s="575">
        <v>0</v>
      </c>
      <c r="Z312" s="575">
        <v>0</v>
      </c>
      <c r="AA312" s="575">
        <v>0</v>
      </c>
      <c r="AB312" s="575">
        <v>0</v>
      </c>
      <c r="AC312" s="575">
        <v>0</v>
      </c>
      <c r="AD312" s="575">
        <v>0</v>
      </c>
      <c r="AE312" s="575">
        <v>0</v>
      </c>
      <c r="AF312" s="575">
        <v>0</v>
      </c>
      <c r="AG312" s="575">
        <v>0</v>
      </c>
      <c r="AH312" s="578">
        <f t="shared" si="28"/>
        <v>7.6599004212945229E-2</v>
      </c>
      <c r="AI312" s="575">
        <v>0</v>
      </c>
      <c r="AJ312" s="575">
        <v>0</v>
      </c>
      <c r="AK312" s="575">
        <v>0</v>
      </c>
      <c r="AL312" s="492"/>
      <c r="AM312" s="492"/>
      <c r="AN312" s="27"/>
      <c r="AO312" s="17"/>
      <c r="AP312" s="9"/>
      <c r="AQ312" s="577">
        <f t="shared" si="26"/>
        <v>45355</v>
      </c>
      <c r="AR312" s="9"/>
    </row>
    <row r="313" spans="1:44" customFormat="1" ht="12" customHeight="1" outlineLevel="1" x14ac:dyDescent="0.35">
      <c r="A313" s="7"/>
      <c r="B313" s="8"/>
      <c r="C313" s="18"/>
      <c r="D313" s="18"/>
      <c r="E313" s="18"/>
      <c r="F313" s="24"/>
      <c r="G313" s="25"/>
      <c r="H313" s="28"/>
      <c r="I313" s="576" t="s">
        <v>3189</v>
      </c>
      <c r="J313" s="575">
        <v>0</v>
      </c>
      <c r="K313" s="575">
        <v>0</v>
      </c>
      <c r="L313" s="575">
        <v>0</v>
      </c>
      <c r="M313" s="575">
        <v>0</v>
      </c>
      <c r="N313" s="575">
        <v>0</v>
      </c>
      <c r="O313" s="575">
        <v>0</v>
      </c>
      <c r="P313" s="575">
        <v>0</v>
      </c>
      <c r="Q313" s="575">
        <v>0</v>
      </c>
      <c r="R313" s="575">
        <v>0</v>
      </c>
      <c r="S313" s="575">
        <v>0</v>
      </c>
      <c r="T313" s="575">
        <v>0</v>
      </c>
      <c r="U313" s="575">
        <v>0</v>
      </c>
      <c r="V313" s="575">
        <v>0</v>
      </c>
      <c r="W313" s="575">
        <v>0</v>
      </c>
      <c r="X313" s="575">
        <v>0</v>
      </c>
      <c r="Y313" s="575">
        <v>0</v>
      </c>
      <c r="Z313" s="575">
        <v>0</v>
      </c>
      <c r="AA313" s="575">
        <v>0</v>
      </c>
      <c r="AB313" s="575">
        <v>0</v>
      </c>
      <c r="AC313" s="575">
        <v>0</v>
      </c>
      <c r="AD313" s="575">
        <v>0</v>
      </c>
      <c r="AE313" s="575">
        <v>0</v>
      </c>
      <c r="AF313" s="575">
        <v>0</v>
      </c>
      <c r="AG313" s="575">
        <v>0</v>
      </c>
      <c r="AH313" s="578">
        <f t="shared" si="28"/>
        <v>7.6599004212945229E-2</v>
      </c>
      <c r="AI313" s="575">
        <v>0</v>
      </c>
      <c r="AJ313" s="575">
        <v>0</v>
      </c>
      <c r="AK313" s="575">
        <v>0</v>
      </c>
      <c r="AL313" s="492"/>
      <c r="AM313" s="492"/>
      <c r="AN313" s="27"/>
      <c r="AO313" s="17"/>
      <c r="AP313" s="9"/>
      <c r="AQ313" s="577">
        <f t="shared" ref="AQ313:AQ315" si="29">AQ309+7</f>
        <v>45341</v>
      </c>
      <c r="AR313" s="9"/>
    </row>
    <row r="314" spans="1:44" customFormat="1" ht="12" customHeight="1" outlineLevel="1" x14ac:dyDescent="0.35">
      <c r="A314" s="7"/>
      <c r="B314" s="8"/>
      <c r="C314" s="18"/>
      <c r="D314" s="18"/>
      <c r="E314" s="18"/>
      <c r="F314" s="24"/>
      <c r="G314" s="25"/>
      <c r="H314" s="28"/>
      <c r="I314" s="576" t="s">
        <v>3190</v>
      </c>
      <c r="J314" s="575">
        <v>0</v>
      </c>
      <c r="K314" s="575">
        <v>0</v>
      </c>
      <c r="L314" s="575">
        <v>0</v>
      </c>
      <c r="M314" s="575">
        <v>0</v>
      </c>
      <c r="N314" s="575">
        <v>0</v>
      </c>
      <c r="O314" s="575">
        <v>0</v>
      </c>
      <c r="P314" s="575">
        <v>0</v>
      </c>
      <c r="Q314" s="575">
        <v>0</v>
      </c>
      <c r="R314" s="575">
        <v>0</v>
      </c>
      <c r="S314" s="575">
        <v>0</v>
      </c>
      <c r="T314" s="575">
        <v>0</v>
      </c>
      <c r="U314" s="575">
        <v>0</v>
      </c>
      <c r="V314" s="575">
        <v>0</v>
      </c>
      <c r="W314" s="575">
        <v>0</v>
      </c>
      <c r="X314" s="575">
        <v>0</v>
      </c>
      <c r="Y314" s="575">
        <v>0</v>
      </c>
      <c r="Z314" s="575">
        <v>0</v>
      </c>
      <c r="AA314" s="575">
        <v>0</v>
      </c>
      <c r="AB314" s="575">
        <v>0</v>
      </c>
      <c r="AC314" s="575">
        <v>0</v>
      </c>
      <c r="AD314" s="575">
        <v>0</v>
      </c>
      <c r="AE314" s="575">
        <v>0</v>
      </c>
      <c r="AF314" s="575">
        <v>0</v>
      </c>
      <c r="AG314" s="575">
        <v>0</v>
      </c>
      <c r="AH314" s="578">
        <f t="shared" si="28"/>
        <v>7.6599004212945229E-2</v>
      </c>
      <c r="AI314" s="575">
        <v>0</v>
      </c>
      <c r="AJ314" s="575">
        <v>0</v>
      </c>
      <c r="AK314" s="575">
        <v>0</v>
      </c>
      <c r="AL314" s="492"/>
      <c r="AM314" s="492"/>
      <c r="AN314" s="27"/>
      <c r="AO314" s="17"/>
      <c r="AP314" s="9"/>
      <c r="AQ314" s="577">
        <f t="shared" si="29"/>
        <v>45348</v>
      </c>
      <c r="AR314" s="9"/>
    </row>
    <row r="315" spans="1:44" customFormat="1" ht="12" customHeight="1" outlineLevel="1" x14ac:dyDescent="0.35">
      <c r="A315" s="7"/>
      <c r="B315" s="8"/>
      <c r="C315" s="18"/>
      <c r="D315" s="18"/>
      <c r="E315" s="18"/>
      <c r="F315" s="24"/>
      <c r="G315" s="25"/>
      <c r="H315" s="28"/>
      <c r="I315" s="576" t="s">
        <v>3191</v>
      </c>
      <c r="J315" s="575">
        <v>0</v>
      </c>
      <c r="K315" s="575">
        <v>0</v>
      </c>
      <c r="L315" s="575">
        <v>0</v>
      </c>
      <c r="M315" s="575">
        <v>0</v>
      </c>
      <c r="N315" s="575">
        <v>0</v>
      </c>
      <c r="O315" s="575">
        <v>0</v>
      </c>
      <c r="P315" s="575">
        <v>0</v>
      </c>
      <c r="Q315" s="575">
        <v>0</v>
      </c>
      <c r="R315" s="575">
        <v>0</v>
      </c>
      <c r="S315" s="575">
        <v>0</v>
      </c>
      <c r="T315" s="575">
        <v>0</v>
      </c>
      <c r="U315" s="575">
        <v>0</v>
      </c>
      <c r="V315" s="575">
        <v>0</v>
      </c>
      <c r="W315" s="575">
        <v>0</v>
      </c>
      <c r="X315" s="575">
        <v>0</v>
      </c>
      <c r="Y315" s="575">
        <v>0</v>
      </c>
      <c r="Z315" s="575">
        <v>0</v>
      </c>
      <c r="AA315" s="575">
        <v>0</v>
      </c>
      <c r="AB315" s="575">
        <v>0</v>
      </c>
      <c r="AC315" s="575">
        <v>0</v>
      </c>
      <c r="AD315" s="575">
        <v>0</v>
      </c>
      <c r="AE315" s="575">
        <v>0</v>
      </c>
      <c r="AF315" s="575">
        <v>0</v>
      </c>
      <c r="AG315" s="575">
        <v>0</v>
      </c>
      <c r="AH315" s="578">
        <f t="shared" si="28"/>
        <v>7.6599004212945229E-2</v>
      </c>
      <c r="AI315" s="575">
        <v>0</v>
      </c>
      <c r="AJ315" s="575">
        <v>0</v>
      </c>
      <c r="AK315" s="575">
        <v>0</v>
      </c>
      <c r="AL315" s="492"/>
      <c r="AM315" s="492"/>
      <c r="AN315" s="27"/>
      <c r="AO315" s="17"/>
      <c r="AP315" s="9"/>
      <c r="AQ315" s="577">
        <f t="shared" si="29"/>
        <v>45355</v>
      </c>
      <c r="AR315" s="9"/>
    </row>
    <row r="316" spans="1:44" customFormat="1" ht="12" customHeight="1" outlineLevel="1" x14ac:dyDescent="0.35">
      <c r="A316" s="7"/>
      <c r="B316" s="8"/>
      <c r="C316" s="18"/>
      <c r="D316" s="18"/>
      <c r="E316" s="18"/>
      <c r="F316" s="24"/>
      <c r="G316" s="25"/>
      <c r="H316" s="28"/>
      <c r="I316" s="576" t="s">
        <v>3192</v>
      </c>
      <c r="J316" s="575">
        <v>0</v>
      </c>
      <c r="K316" s="575">
        <v>0</v>
      </c>
      <c r="L316" s="575">
        <v>0</v>
      </c>
      <c r="M316" s="575">
        <v>0</v>
      </c>
      <c r="N316" s="575">
        <v>0</v>
      </c>
      <c r="O316" s="575">
        <v>0</v>
      </c>
      <c r="P316" s="575">
        <v>0</v>
      </c>
      <c r="Q316" s="575">
        <v>0</v>
      </c>
      <c r="R316" s="575">
        <v>0</v>
      </c>
      <c r="S316" s="575">
        <v>0</v>
      </c>
      <c r="T316" s="575">
        <v>0</v>
      </c>
      <c r="U316" s="575">
        <v>0</v>
      </c>
      <c r="V316" s="575">
        <v>0</v>
      </c>
      <c r="W316" s="575">
        <v>0</v>
      </c>
      <c r="X316" s="575">
        <v>0</v>
      </c>
      <c r="Y316" s="575">
        <v>0</v>
      </c>
      <c r="Z316" s="575">
        <v>0</v>
      </c>
      <c r="AA316" s="575">
        <v>0</v>
      </c>
      <c r="AB316" s="575">
        <v>0</v>
      </c>
      <c r="AC316" s="575">
        <v>0</v>
      </c>
      <c r="AD316" s="575">
        <v>0</v>
      </c>
      <c r="AE316" s="575">
        <v>0</v>
      </c>
      <c r="AF316" s="575">
        <v>0</v>
      </c>
      <c r="AG316" s="575">
        <v>0</v>
      </c>
      <c r="AH316" s="578">
        <f t="shared" si="28"/>
        <v>7.6599004212945229E-2</v>
      </c>
      <c r="AI316" s="575">
        <v>0</v>
      </c>
      <c r="AJ316" s="575">
        <v>0</v>
      </c>
      <c r="AK316" s="575">
        <v>0</v>
      </c>
      <c r="AL316" s="492"/>
      <c r="AM316" s="492"/>
      <c r="AN316" s="27"/>
      <c r="AO316" s="17"/>
      <c r="AP316" s="9"/>
      <c r="AQ316" s="577">
        <f>AQ312+7</f>
        <v>45362</v>
      </c>
      <c r="AR316" s="9"/>
    </row>
    <row r="317" spans="1:44" customFormat="1" ht="12" customHeight="1" outlineLevel="1" x14ac:dyDescent="0.35">
      <c r="A317" s="7"/>
      <c r="B317" s="8"/>
      <c r="C317" s="18"/>
      <c r="D317" s="18"/>
      <c r="E317" s="18"/>
      <c r="F317" s="24"/>
      <c r="G317" s="25"/>
      <c r="H317" s="28"/>
      <c r="I317" s="574"/>
      <c r="J317" s="496"/>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27"/>
      <c r="AO317" s="17"/>
      <c r="AP317" s="9"/>
      <c r="AQ317" s="9"/>
      <c r="AR317" s="9"/>
    </row>
    <row r="318" spans="1:44" customFormat="1" ht="12" customHeight="1" outlineLevel="1" x14ac:dyDescent="0.3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27"/>
      <c r="AO318" s="17"/>
      <c r="AP318" s="9"/>
      <c r="AQ318" s="9"/>
      <c r="AR318" s="9"/>
    </row>
    <row r="319" spans="1:44" customFormat="1" ht="12" customHeight="1" outlineLevel="1" x14ac:dyDescent="0.3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27"/>
      <c r="AO319" s="17"/>
      <c r="AP319" s="9"/>
      <c r="AQ319" s="9"/>
      <c r="AR319" s="9"/>
    </row>
    <row r="320" spans="1:44" customFormat="1" ht="12" customHeight="1" x14ac:dyDescent="0.35">
      <c r="A320" s="7"/>
      <c r="B320" s="8"/>
      <c r="C320" s="18"/>
      <c r="D320" s="18"/>
      <c r="E320" s="18"/>
      <c r="F320" s="24"/>
      <c r="G320" s="547" t="s">
        <v>3193</v>
      </c>
      <c r="H320" s="28"/>
      <c r="I320" s="579" t="s">
        <v>3194</v>
      </c>
      <c r="J320" s="580"/>
      <c r="K320" s="580"/>
      <c r="L320" s="580"/>
      <c r="M320" s="580"/>
      <c r="N320" s="580"/>
      <c r="O320" s="580"/>
      <c r="P320" s="580"/>
      <c r="Q320" s="580"/>
      <c r="R320" s="580"/>
      <c r="S320" s="580"/>
      <c r="T320" s="580"/>
      <c r="U320" s="580"/>
      <c r="V320" s="580"/>
      <c r="W320" s="580"/>
      <c r="X320" s="580"/>
      <c r="Y320" s="580"/>
      <c r="Z320" s="580"/>
      <c r="AA320" s="580"/>
      <c r="AB320" s="580"/>
      <c r="AC320" s="580"/>
      <c r="AD320" s="580"/>
      <c r="AE320" s="580"/>
      <c r="AF320" s="580"/>
      <c r="AG320" s="580"/>
      <c r="AH320" s="580"/>
      <c r="AI320" s="580"/>
      <c r="AJ320" s="580"/>
      <c r="AK320" s="580"/>
      <c r="AL320" s="492"/>
      <c r="AM320" s="492"/>
      <c r="AN320" s="30"/>
      <c r="AO320" s="17"/>
      <c r="AP320" s="9"/>
      <c r="AQ320" s="9"/>
      <c r="AR320" s="9"/>
    </row>
    <row r="321" spans="1:44" customFormat="1" ht="12" customHeight="1" x14ac:dyDescent="0.35">
      <c r="A321" s="7"/>
      <c r="B321" s="8"/>
      <c r="C321" s="18"/>
      <c r="D321" s="18"/>
      <c r="E321" s="18"/>
      <c r="F321" s="24"/>
      <c r="G321" s="547"/>
      <c r="H321" s="28"/>
      <c r="I321" s="581" t="s">
        <v>2298</v>
      </c>
      <c r="J321" s="582">
        <v>-6.9627386801849749</v>
      </c>
      <c r="K321" s="582">
        <v>-6.0156524915318768</v>
      </c>
      <c r="L321" s="582">
        <v>-16.045410093859722</v>
      </c>
      <c r="M321" s="582">
        <v>-13.509425240701901</v>
      </c>
      <c r="N321" s="582">
        <v>-8.217437489547061</v>
      </c>
      <c r="O321" s="582">
        <v>-8.1062270014987341</v>
      </c>
      <c r="P321" s="582">
        <v>-9.482552648879734</v>
      </c>
      <c r="Q321" s="582">
        <v>-29.071825012886912</v>
      </c>
      <c r="R321" s="582">
        <v>-0.59944361589410566</v>
      </c>
      <c r="S321" s="582">
        <v>-0.61199740889712317</v>
      </c>
      <c r="T321" s="582">
        <v>-0.65906310885294273</v>
      </c>
      <c r="U321" s="582">
        <v>-0.87644073372921349</v>
      </c>
      <c r="V321" s="582">
        <v>-1.3770690462419783</v>
      </c>
      <c r="W321" s="582">
        <v>-1.3560129446174805</v>
      </c>
      <c r="X321" s="582">
        <v>-0.92867167621956725</v>
      </c>
      <c r="Y321" s="582">
        <v>-1.3602142818907355</v>
      </c>
      <c r="Z321" s="582">
        <v>-0.62160661264888861</v>
      </c>
      <c r="AA321" s="582">
        <v>-0.8383353549900725</v>
      </c>
      <c r="AB321" s="582">
        <v>-1.7548717127396745</v>
      </c>
      <c r="AC321" s="582">
        <v>-2.1273556936201503</v>
      </c>
      <c r="AD321" s="582">
        <v>-2.1242128702581558E-2</v>
      </c>
      <c r="AE321" s="582">
        <v>-8.4945043615853727E-3</v>
      </c>
      <c r="AF321" s="582">
        <v>-8.5106530236712993E-3</v>
      </c>
      <c r="AG321" s="582">
        <v>-1.3786513769950051E-3</v>
      </c>
      <c r="AH321" s="582">
        <v>-7.02529466445438E-3</v>
      </c>
      <c r="AI321" s="582">
        <v>-4.1707721917420511E-2</v>
      </c>
      <c r="AJ321" s="582">
        <v>-0.91743119266055029</v>
      </c>
      <c r="AK321" s="582">
        <v>-5.6250000000000007E-3</v>
      </c>
      <c r="AL321" s="492"/>
      <c r="AM321" s="492"/>
      <c r="AN321" s="30"/>
      <c r="AO321" s="17"/>
      <c r="AP321" s="9"/>
      <c r="AQ321" s="9"/>
      <c r="AR321" s="9"/>
    </row>
    <row r="322" spans="1:44" customFormat="1" ht="12" customHeight="1" x14ac:dyDescent="0.35">
      <c r="A322" s="7"/>
      <c r="B322" s="8"/>
      <c r="C322" s="18"/>
      <c r="D322" s="18"/>
      <c r="E322" s="18"/>
      <c r="F322" s="24"/>
      <c r="G322" s="547"/>
      <c r="H322" s="28"/>
      <c r="I322" s="581" t="s">
        <v>4</v>
      </c>
      <c r="J322" s="583">
        <v>9.5708365331199214</v>
      </c>
      <c r="K322" s="583">
        <v>1.7972582134700135</v>
      </c>
      <c r="L322" s="583">
        <v>22.081968506219848</v>
      </c>
      <c r="M322" s="583">
        <v>18.236823192583859</v>
      </c>
      <c r="N322" s="583">
        <v>13.190271921056231</v>
      </c>
      <c r="O322" s="583">
        <v>7.8646590587758345</v>
      </c>
      <c r="P322" s="583">
        <v>10.377099619701518</v>
      </c>
      <c r="Q322" s="583">
        <v>22.10808785732327</v>
      </c>
      <c r="R322" s="583">
        <v>2.6419333894920047</v>
      </c>
      <c r="S322" s="583">
        <v>2.4899601010193639</v>
      </c>
      <c r="T322" s="583">
        <v>3.870826729788083</v>
      </c>
      <c r="U322" s="583">
        <v>4.0603762059598081</v>
      </c>
      <c r="V322" s="583">
        <v>4.7746394921672541</v>
      </c>
      <c r="W322" s="583">
        <v>3.9801927778750463</v>
      </c>
      <c r="X322" s="583">
        <v>3.2883889884288755</v>
      </c>
      <c r="Y322" s="583">
        <v>2.6959793962187328</v>
      </c>
      <c r="Z322" s="583">
        <v>2.3382915404356464</v>
      </c>
      <c r="AA322" s="583">
        <v>2.8219967504577319</v>
      </c>
      <c r="AB322" s="583">
        <v>3.9816543979886445</v>
      </c>
      <c r="AC322" s="583">
        <v>4.0854043022969995</v>
      </c>
      <c r="AD322" s="583">
        <v>0.801804515337185</v>
      </c>
      <c r="AE322" s="583">
        <v>0.63059509399466851</v>
      </c>
      <c r="AF322" s="583">
        <v>0.54513927385769101</v>
      </c>
      <c r="AG322" s="583">
        <v>0.65046740143494564</v>
      </c>
      <c r="AH322" s="583">
        <v>0.70144286673170986</v>
      </c>
      <c r="AI322" s="583">
        <v>1.0801013946492328</v>
      </c>
      <c r="AJ322" s="583">
        <v>3.6697247706422016</v>
      </c>
      <c r="AK322" s="583">
        <v>0.45000000000000007</v>
      </c>
      <c r="AL322" s="492"/>
      <c r="AM322" s="492"/>
      <c r="AN322" s="30"/>
      <c r="AO322" s="17"/>
      <c r="AP322" s="9"/>
      <c r="AQ322" s="9"/>
      <c r="AR322" s="9"/>
    </row>
    <row r="323" spans="1:44" customFormat="1" ht="12" customHeight="1" x14ac:dyDescent="0.35">
      <c r="A323" s="7"/>
      <c r="B323" s="8"/>
      <c r="C323" s="18"/>
      <c r="D323" s="18"/>
      <c r="E323" s="18"/>
      <c r="F323" s="24"/>
      <c r="G323" s="547"/>
      <c r="H323" s="28"/>
      <c r="I323" s="581" t="s">
        <v>3047</v>
      </c>
      <c r="J323" s="525">
        <v>56.100917431192656</v>
      </c>
      <c r="K323" s="525">
        <v>69.159021406727831</v>
      </c>
      <c r="L323" s="525">
        <v>53.794182071775069</v>
      </c>
      <c r="M323" s="525">
        <v>53.592149982469323</v>
      </c>
      <c r="N323" s="525">
        <v>50.094328742239497</v>
      </c>
      <c r="O323" s="525">
        <v>51.371537789427705</v>
      </c>
      <c r="P323" s="525">
        <v>51.259458278724338</v>
      </c>
      <c r="Q323" s="525">
        <v>55.107033639143737</v>
      </c>
      <c r="R323" s="525">
        <v>67.448488494510443</v>
      </c>
      <c r="S323" s="525">
        <v>67.182017640865936</v>
      </c>
      <c r="T323" s="525">
        <v>45.458958226107704</v>
      </c>
      <c r="U323" s="525">
        <v>44.749882809884156</v>
      </c>
      <c r="V323" s="525">
        <v>41.743119266055054</v>
      </c>
      <c r="W323" s="525">
        <v>41.743119266055054</v>
      </c>
      <c r="X323" s="525">
        <v>59.834862385321088</v>
      </c>
      <c r="Y323" s="525">
        <v>62.440366972477065</v>
      </c>
      <c r="Z323" s="525">
        <v>53.522935779816514</v>
      </c>
      <c r="AA323" s="525">
        <v>54.669724770642205</v>
      </c>
      <c r="AB323" s="525">
        <v>55.522935779816514</v>
      </c>
      <c r="AC323" s="525">
        <v>55.247706422018339</v>
      </c>
      <c r="AD323" s="525">
        <v>29.494055320716754</v>
      </c>
      <c r="AE323" s="525">
        <v>19.465154120592853</v>
      </c>
      <c r="AF323" s="525">
        <v>21.245396267638498</v>
      </c>
      <c r="AG323" s="525">
        <v>25.883536587765462</v>
      </c>
      <c r="AH323" s="525">
        <v>23.974921210037252</v>
      </c>
      <c r="AI323" s="525">
        <v>34.220183486238533</v>
      </c>
      <c r="AJ323" s="525">
        <v>53.876685566849588</v>
      </c>
      <c r="AK323" s="525">
        <v>21.2</v>
      </c>
      <c r="AL323" s="492"/>
      <c r="AM323" s="492"/>
      <c r="AN323" s="30"/>
      <c r="AO323" s="17"/>
      <c r="AP323" s="9"/>
      <c r="AQ323" s="9"/>
      <c r="AR323" s="9"/>
    </row>
    <row r="324" spans="1:44" customFormat="1" ht="12" customHeight="1" x14ac:dyDescent="0.35">
      <c r="A324" s="7"/>
      <c r="B324" s="8"/>
      <c r="C324" s="18"/>
      <c r="D324" s="18"/>
      <c r="E324" s="18"/>
      <c r="F324" s="24"/>
      <c r="G324" s="547"/>
      <c r="H324" s="28"/>
      <c r="I324" s="576"/>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2"/>
      <c r="AM324" s="492"/>
      <c r="AN324" s="30"/>
      <c r="AO324" s="17"/>
      <c r="AP324" s="9"/>
      <c r="AQ324" s="9"/>
      <c r="AR324" s="9"/>
    </row>
    <row r="325" spans="1:44" customFormat="1" ht="12" customHeight="1" x14ac:dyDescent="0.35">
      <c r="A325" s="7"/>
      <c r="B325" s="8"/>
      <c r="C325" s="18"/>
      <c r="D325" s="18"/>
      <c r="E325" s="18"/>
      <c r="F325" s="24"/>
      <c r="G325" s="584" t="s">
        <v>3195</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2"/>
      <c r="AM325" s="492"/>
      <c r="AN325" s="30"/>
      <c r="AO325" s="17"/>
      <c r="AP325" s="9"/>
      <c r="AQ325" s="9"/>
      <c r="AR325" s="9"/>
    </row>
    <row r="326" spans="1:44" customFormat="1" ht="12" customHeight="1" outlineLevel="1" x14ac:dyDescent="0.35">
      <c r="A326" s="7"/>
      <c r="B326" s="8"/>
      <c r="C326" s="18">
        <v>0</v>
      </c>
      <c r="D326" s="18"/>
      <c r="E326" s="18"/>
      <c r="F326" s="24"/>
      <c r="G326" s="547"/>
      <c r="H326" s="25" t="s">
        <v>2305</v>
      </c>
      <c r="I326" s="510" t="str">
        <f>General!G66</f>
        <v>b</v>
      </c>
      <c r="J326" s="582"/>
      <c r="K326" s="582"/>
      <c r="L326" s="582"/>
      <c r="M326" s="582"/>
      <c r="N326" s="582"/>
      <c r="O326" s="582"/>
      <c r="P326" s="582"/>
      <c r="Q326" s="582"/>
      <c r="R326" s="582"/>
      <c r="S326" s="582" t="b">
        <v>1</v>
      </c>
      <c r="T326" s="582"/>
      <c r="U326" s="582"/>
      <c r="V326" s="582"/>
      <c r="W326" s="582"/>
      <c r="X326" s="582"/>
      <c r="Y326" s="582"/>
      <c r="Z326" s="582"/>
      <c r="AA326" s="582"/>
      <c r="AB326" s="582"/>
      <c r="AC326" s="582"/>
      <c r="AD326" s="582"/>
      <c r="AE326" s="582"/>
      <c r="AF326" s="582"/>
      <c r="AG326" s="582"/>
      <c r="AH326" s="582"/>
      <c r="AI326" s="582"/>
      <c r="AJ326" s="582"/>
      <c r="AK326" s="582"/>
      <c r="AL326" s="492"/>
      <c r="AM326" s="492"/>
      <c r="AN326" s="30" t="b">
        <f>OR(J326:AK326)</f>
        <v>1</v>
      </c>
      <c r="AO326" s="17"/>
      <c r="AP326" s="9"/>
      <c r="AQ326" s="9"/>
      <c r="AR326" s="9"/>
    </row>
    <row r="327" spans="1:44" customFormat="1" ht="12" customHeight="1" outlineLevel="1" x14ac:dyDescent="0.35">
      <c r="A327" s="7"/>
      <c r="B327" s="8"/>
      <c r="C327" s="18"/>
      <c r="D327" s="18"/>
      <c r="E327" s="18"/>
      <c r="F327" s="24"/>
      <c r="G327" s="547"/>
      <c r="H327" s="25"/>
      <c r="I327" s="510" t="str">
        <f>General!G67</f>
        <v>bd</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492"/>
      <c r="AM327" s="492"/>
      <c r="AN327" s="30" t="b">
        <f t="shared" ref="AN327:AN382" si="30">OR(J327:AK327)</f>
        <v>1</v>
      </c>
      <c r="AO327" s="17"/>
      <c r="AP327" s="9"/>
      <c r="AQ327" s="9"/>
      <c r="AR327" s="9"/>
    </row>
    <row r="328" spans="1:44" customFormat="1" ht="12" customHeight="1" outlineLevel="1" x14ac:dyDescent="0.35">
      <c r="A328" s="7"/>
      <c r="B328" s="8"/>
      <c r="C328" s="18"/>
      <c r="D328" s="18"/>
      <c r="E328" s="18"/>
      <c r="F328" s="24"/>
      <c r="G328" s="547"/>
      <c r="H328" s="25"/>
      <c r="I328" s="510" t="str">
        <f>General!G68</f>
        <v>f</v>
      </c>
      <c r="J328" s="582"/>
      <c r="K328" s="582"/>
      <c r="L328" s="582"/>
      <c r="M328" s="582"/>
      <c r="N328" s="582"/>
      <c r="O328" s="582"/>
      <c r="P328" s="582"/>
      <c r="Q328" s="582"/>
      <c r="R328" s="582"/>
      <c r="S328" s="582"/>
      <c r="T328" s="582"/>
      <c r="U328" s="582"/>
      <c r="V328" s="582"/>
      <c r="W328" s="582"/>
      <c r="X328" s="582"/>
      <c r="Y328" s="582"/>
      <c r="Z328" s="582"/>
      <c r="AA328" s="582"/>
      <c r="AB328" s="582"/>
      <c r="AC328" s="582"/>
      <c r="AD328" s="582"/>
      <c r="AE328" s="582"/>
      <c r="AF328" s="582"/>
      <c r="AG328" s="582"/>
      <c r="AH328" s="582"/>
      <c r="AI328" s="582"/>
      <c r="AJ328" s="582" t="b">
        <v>1</v>
      </c>
      <c r="AK328" s="582"/>
      <c r="AL328" s="492"/>
      <c r="AM328" s="492"/>
      <c r="AN328" s="30" t="b">
        <f t="shared" si="30"/>
        <v>1</v>
      </c>
      <c r="AO328" s="17"/>
      <c r="AP328" s="9"/>
      <c r="AQ328" s="9"/>
      <c r="AR328" s="9"/>
    </row>
    <row r="329" spans="1:44" customFormat="1" ht="12" customHeight="1" outlineLevel="1" x14ac:dyDescent="0.35">
      <c r="A329" s="7"/>
      <c r="B329" s="8"/>
      <c r="C329" s="18"/>
      <c r="D329" s="18"/>
      <c r="E329" s="18"/>
      <c r="F329" s="24"/>
      <c r="G329" s="547"/>
      <c r="H329" s="25"/>
      <c r="I329" s="510" t="str">
        <f>General!G69</f>
        <v>h</v>
      </c>
      <c r="J329" s="582"/>
      <c r="K329" s="582"/>
      <c r="L329" s="582"/>
      <c r="M329" s="582"/>
      <c r="N329" s="582"/>
      <c r="O329" s="582"/>
      <c r="P329" s="582"/>
      <c r="Q329" s="582"/>
      <c r="R329" s="582"/>
      <c r="S329" s="582" t="b">
        <v>1</v>
      </c>
      <c r="T329" s="582"/>
      <c r="U329" s="582"/>
      <c r="V329" s="582"/>
      <c r="W329" s="582" t="b">
        <v>1</v>
      </c>
      <c r="X329" s="582"/>
      <c r="Y329" s="582"/>
      <c r="Z329" s="582"/>
      <c r="AA329" s="582" t="b">
        <v>1</v>
      </c>
      <c r="AB329" s="582"/>
      <c r="AC329" s="582" t="b">
        <v>1</v>
      </c>
      <c r="AD329" s="582"/>
      <c r="AE329" s="582"/>
      <c r="AF329" s="582"/>
      <c r="AG329" s="582"/>
      <c r="AH329" s="582"/>
      <c r="AI329" s="582"/>
      <c r="AJ329" s="582"/>
      <c r="AK329" s="582"/>
      <c r="AL329" s="492"/>
      <c r="AM329" s="492"/>
      <c r="AN329" s="30" t="b">
        <f t="shared" si="30"/>
        <v>1</v>
      </c>
      <c r="AO329" s="17"/>
      <c r="AP329" s="9"/>
      <c r="AQ329" s="9"/>
      <c r="AR329" s="9"/>
    </row>
    <row r="330" spans="1:44" customFormat="1" ht="12" customHeight="1" outlineLevel="1" x14ac:dyDescent="0.35">
      <c r="A330" s="7"/>
      <c r="B330" s="8"/>
      <c r="C330" s="18"/>
      <c r="D330" s="18"/>
      <c r="E330" s="18"/>
      <c r="F330" s="24"/>
      <c r="G330" s="547"/>
      <c r="H330" s="25"/>
      <c r="I330" s="510" t="str">
        <f>General!G70</f>
        <v>i</v>
      </c>
      <c r="J330" s="582"/>
      <c r="K330" s="582"/>
      <c r="L330" s="582"/>
      <c r="M330" s="582"/>
      <c r="N330" s="582"/>
      <c r="O330" s="582"/>
      <c r="P330" s="582"/>
      <c r="Q330" s="582"/>
      <c r="R330" s="582"/>
      <c r="S330" s="582"/>
      <c r="T330" s="582"/>
      <c r="U330" s="582"/>
      <c r="V330" s="582"/>
      <c r="W330" s="582"/>
      <c r="X330" s="582"/>
      <c r="Y330" s="582"/>
      <c r="Z330" s="582"/>
      <c r="AA330" s="582"/>
      <c r="AB330" s="582"/>
      <c r="AC330" s="582"/>
      <c r="AD330" s="582"/>
      <c r="AE330" s="582"/>
      <c r="AF330" s="582"/>
      <c r="AG330" s="582"/>
      <c r="AH330" s="582"/>
      <c r="AI330" s="582"/>
      <c r="AJ330" s="582" t="b">
        <v>1</v>
      </c>
      <c r="AK330" s="582"/>
      <c r="AL330" s="492"/>
      <c r="AM330" s="492"/>
      <c r="AN330" s="30" t="b">
        <f t="shared" si="30"/>
        <v>1</v>
      </c>
      <c r="AO330" s="17"/>
      <c r="AP330" s="9"/>
      <c r="AQ330" s="9"/>
      <c r="AR330" s="9"/>
    </row>
    <row r="331" spans="1:44" customFormat="1" ht="12" customHeight="1" outlineLevel="1" x14ac:dyDescent="0.35">
      <c r="A331" s="7"/>
      <c r="B331" s="8"/>
      <c r="C331" s="18"/>
      <c r="D331" s="18"/>
      <c r="E331" s="18"/>
      <c r="F331" s="24"/>
      <c r="G331" s="547"/>
      <c r="H331" s="25"/>
      <c r="I331" s="510" t="str">
        <f>General!G71</f>
        <v>k</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492"/>
      <c r="AM331" s="492"/>
      <c r="AN331" s="30" t="b">
        <f t="shared" si="30"/>
        <v>1</v>
      </c>
      <c r="AO331" s="17"/>
      <c r="AP331" s="9"/>
      <c r="AQ331" s="9"/>
      <c r="AR331" s="9"/>
    </row>
    <row r="332" spans="1:44" customFormat="1" ht="12" customHeight="1" outlineLevel="1" x14ac:dyDescent="0.35">
      <c r="A332" s="7"/>
      <c r="B332" s="8"/>
      <c r="C332" s="18"/>
      <c r="D332" s="18"/>
      <c r="E332" s="18"/>
      <c r="F332" s="24"/>
      <c r="G332" s="547"/>
      <c r="H332" s="25"/>
      <c r="I332" s="510" t="str">
        <f>General!G72</f>
        <v>l</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492"/>
      <c r="AM332" s="492"/>
      <c r="AN332" s="30" t="b">
        <f t="shared" si="30"/>
        <v>1</v>
      </c>
      <c r="AO332" s="17"/>
      <c r="AP332" s="9"/>
      <c r="AQ332" s="9"/>
      <c r="AR332" s="9"/>
    </row>
    <row r="333" spans="1:44" customFormat="1" ht="12" customHeight="1" outlineLevel="1" x14ac:dyDescent="0.35">
      <c r="A333" s="7"/>
      <c r="B333" s="8"/>
      <c r="C333" s="18"/>
      <c r="D333" s="18"/>
      <c r="E333" s="18"/>
      <c r="F333" s="24"/>
      <c r="G333" s="547"/>
      <c r="H333" s="25"/>
      <c r="I333" s="510" t="str">
        <f>General!G73</f>
        <v>lf</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492"/>
      <c r="AM333" s="492"/>
      <c r="AN333" s="30" t="b">
        <f t="shared" ref="AN333" si="31">OR(J333:AK333)</f>
        <v>1</v>
      </c>
      <c r="AO333" s="17"/>
      <c r="AP333" s="9"/>
      <c r="AQ333" s="9"/>
      <c r="AR333" s="9"/>
    </row>
    <row r="334" spans="1:44" customFormat="1" ht="12" customHeight="1" outlineLevel="1" x14ac:dyDescent="0.35">
      <c r="A334" s="7"/>
      <c r="B334" s="8"/>
      <c r="C334" s="18"/>
      <c r="D334" s="18"/>
      <c r="E334" s="18"/>
      <c r="F334" s="24"/>
      <c r="G334" s="547"/>
      <c r="H334" s="25"/>
      <c r="I334" s="510" t="str">
        <f>General!G74</f>
        <v>ms</v>
      </c>
      <c r="J334" s="582"/>
      <c r="K334" s="582"/>
      <c r="L334" s="582"/>
      <c r="M334" s="582"/>
      <c r="N334" s="582"/>
      <c r="O334" s="582"/>
      <c r="P334" s="582"/>
      <c r="Q334" s="582"/>
      <c r="R334" s="582"/>
      <c r="S334" s="582" t="b">
        <v>1</v>
      </c>
      <c r="T334" s="582"/>
      <c r="U334" s="582" t="b">
        <v>1</v>
      </c>
      <c r="V334" s="582"/>
      <c r="W334" s="582" t="b">
        <v>1</v>
      </c>
      <c r="X334" s="582"/>
      <c r="Y334" s="582" t="b">
        <v>1</v>
      </c>
      <c r="Z334" s="582"/>
      <c r="AA334" s="582" t="b">
        <v>1</v>
      </c>
      <c r="AB334" s="582"/>
      <c r="AC334" s="582" t="b">
        <v>1</v>
      </c>
      <c r="AD334" s="582"/>
      <c r="AE334" s="582"/>
      <c r="AF334" s="582"/>
      <c r="AG334" s="582"/>
      <c r="AH334" s="582"/>
      <c r="AI334" s="582"/>
      <c r="AJ334" s="582" t="b">
        <v>1</v>
      </c>
      <c r="AK334" s="582"/>
      <c r="AL334" s="492"/>
      <c r="AM334" s="492"/>
      <c r="AN334" s="30"/>
      <c r="AO334" s="17"/>
      <c r="AP334" s="9"/>
      <c r="AQ334" s="9"/>
      <c r="AR334" s="9"/>
    </row>
    <row r="335" spans="1:44" customFormat="1" ht="12" customHeight="1" outlineLevel="1" x14ac:dyDescent="0.35">
      <c r="A335" s="7"/>
      <c r="B335" s="8"/>
      <c r="C335" s="18"/>
      <c r="D335" s="18"/>
      <c r="E335" s="18"/>
      <c r="F335" s="24"/>
      <c r="G335" s="547"/>
      <c r="H335" s="25"/>
      <c r="I335" s="510" t="str">
        <f>General!G75</f>
        <v>o</v>
      </c>
      <c r="J335" s="582"/>
      <c r="K335" s="582"/>
      <c r="L335" s="582"/>
      <c r="M335" s="582"/>
      <c r="N335" s="582"/>
      <c r="O335" s="582"/>
      <c r="P335" s="582"/>
      <c r="Q335" s="582"/>
      <c r="R335" s="582"/>
      <c r="S335" s="582" t="b">
        <v>1</v>
      </c>
      <c r="T335" s="582"/>
      <c r="U335" s="582"/>
      <c r="V335" s="582"/>
      <c r="W335" s="582" t="b">
        <v>1</v>
      </c>
      <c r="X335" s="582"/>
      <c r="Y335" s="582"/>
      <c r="Z335" s="582"/>
      <c r="AA335" s="582" t="b">
        <v>1</v>
      </c>
      <c r="AB335" s="582"/>
      <c r="AC335" s="582" t="b">
        <v>1</v>
      </c>
      <c r="AD335" s="582"/>
      <c r="AE335" s="582"/>
      <c r="AF335" s="582"/>
      <c r="AG335" s="582"/>
      <c r="AH335" s="582"/>
      <c r="AI335" s="582"/>
      <c r="AJ335" s="582"/>
      <c r="AK335" s="582"/>
      <c r="AL335" s="492"/>
      <c r="AM335" s="492"/>
      <c r="AN335" s="30" t="b">
        <f t="shared" si="30"/>
        <v>1</v>
      </c>
      <c r="AO335" s="17"/>
      <c r="AP335" s="9"/>
      <c r="AQ335" s="9"/>
      <c r="AR335" s="9"/>
    </row>
    <row r="336" spans="1:44" customFormat="1" ht="12" customHeight="1" outlineLevel="1" x14ac:dyDescent="0.35">
      <c r="A336" s="7"/>
      <c r="B336" s="8"/>
      <c r="C336" s="18"/>
      <c r="D336" s="18"/>
      <c r="E336" s="18"/>
      <c r="F336" s="24"/>
      <c r="G336" s="547"/>
      <c r="H336" s="25"/>
      <c r="I336" s="510" t="str">
        <f>General!G76</f>
        <v>od</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492"/>
      <c r="AM336" s="492"/>
      <c r="AN336" s="30" t="b">
        <f t="shared" si="30"/>
        <v>1</v>
      </c>
      <c r="AO336" s="17"/>
      <c r="AP336" s="9"/>
      <c r="AQ336" s="9"/>
      <c r="AR336" s="9"/>
    </row>
    <row r="337" spans="1:44" customFormat="1" ht="12" customHeight="1" outlineLevel="1" x14ac:dyDescent="0.35">
      <c r="A337" s="7"/>
      <c r="B337" s="8"/>
      <c r="C337" s="18"/>
      <c r="D337" s="18"/>
      <c r="E337" s="18"/>
      <c r="F337" s="24"/>
      <c r="G337" s="547"/>
      <c r="H337" s="25"/>
      <c r="I337" s="510" t="str">
        <f>General!G77</f>
        <v>of</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492"/>
      <c r="AM337" s="492"/>
      <c r="AN337" s="30" t="b">
        <f t="shared" si="30"/>
        <v>1</v>
      </c>
      <c r="AO337" s="17"/>
      <c r="AP337" s="9"/>
      <c r="AQ337" s="9"/>
      <c r="AR337" s="9"/>
    </row>
    <row r="338" spans="1:44" customFormat="1" ht="12" customHeight="1" outlineLevel="1" x14ac:dyDescent="0.35">
      <c r="A338" s="7"/>
      <c r="B338" s="8"/>
      <c r="C338" s="18"/>
      <c r="D338" s="18"/>
      <c r="E338" s="18"/>
      <c r="F338" s="24"/>
      <c r="G338" s="547"/>
      <c r="H338" s="25"/>
      <c r="I338" s="510" t="str">
        <f>General!G78</f>
        <v>r</v>
      </c>
      <c r="J338" s="582"/>
      <c r="K338" s="582"/>
      <c r="L338" s="582"/>
      <c r="M338" s="582"/>
      <c r="N338" s="582"/>
      <c r="O338" s="582"/>
      <c r="P338" s="582"/>
      <c r="Q338" s="582"/>
      <c r="R338" s="582"/>
      <c r="S338" s="582"/>
      <c r="T338" s="582"/>
      <c r="U338" s="582" t="b">
        <v>1</v>
      </c>
      <c r="V338" s="582"/>
      <c r="W338" s="582"/>
      <c r="X338" s="582"/>
      <c r="Y338" s="582" t="b">
        <v>1</v>
      </c>
      <c r="Z338" s="582"/>
      <c r="AA338" s="582"/>
      <c r="AB338" s="582"/>
      <c r="AC338" s="582"/>
      <c r="AD338" s="582"/>
      <c r="AE338" s="582"/>
      <c r="AF338" s="582"/>
      <c r="AG338" s="582"/>
      <c r="AH338" s="582"/>
      <c r="AI338" s="582"/>
      <c r="AJ338" s="582"/>
      <c r="AK338" s="582"/>
      <c r="AL338" s="492"/>
      <c r="AM338" s="492"/>
      <c r="AN338" s="30" t="b">
        <f t="shared" si="30"/>
        <v>1</v>
      </c>
      <c r="AO338" s="17"/>
      <c r="AP338" s="9"/>
      <c r="AQ338" s="9"/>
      <c r="AR338" s="9"/>
    </row>
    <row r="339" spans="1:44" customFormat="1" ht="12" customHeight="1" outlineLevel="1" x14ac:dyDescent="0.35">
      <c r="A339" s="7"/>
      <c r="B339" s="8"/>
      <c r="C339" s="18"/>
      <c r="D339" s="18"/>
      <c r="E339" s="18"/>
      <c r="F339" s="24"/>
      <c r="G339" s="547"/>
      <c r="H339" s="25"/>
      <c r="I339" s="510" t="str">
        <f>General!G79</f>
        <v>rd</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492"/>
      <c r="AM339" s="492"/>
      <c r="AN339" s="30" t="b">
        <f t="shared" si="30"/>
        <v>1</v>
      </c>
      <c r="AO339" s="17"/>
      <c r="AP339" s="9"/>
      <c r="AQ339" s="9"/>
      <c r="AR339" s="9"/>
    </row>
    <row r="340" spans="1:44" customFormat="1" ht="12" customHeight="1" outlineLevel="1" x14ac:dyDescent="0.35">
      <c r="A340" s="7"/>
      <c r="B340" s="8"/>
      <c r="C340" s="18"/>
      <c r="D340" s="18"/>
      <c r="E340" s="18"/>
      <c r="F340" s="24"/>
      <c r="G340" s="547"/>
      <c r="H340" s="25"/>
      <c r="I340" s="510" t="str">
        <f>General!G80</f>
        <v>v</v>
      </c>
      <c r="J340" s="582"/>
      <c r="K340" s="582"/>
      <c r="L340" s="582"/>
      <c r="M340" s="582"/>
      <c r="N340" s="582"/>
      <c r="O340" s="582"/>
      <c r="P340" s="582"/>
      <c r="Q340" s="582"/>
      <c r="R340" s="582"/>
      <c r="S340" s="582"/>
      <c r="T340" s="582"/>
      <c r="U340" s="582"/>
      <c r="V340" s="582"/>
      <c r="W340" s="582"/>
      <c r="X340" s="582"/>
      <c r="Y340" s="582"/>
      <c r="Z340" s="582"/>
      <c r="AA340" s="582"/>
      <c r="AB340" s="582"/>
      <c r="AC340" s="582"/>
      <c r="AD340" s="582"/>
      <c r="AE340" s="582"/>
      <c r="AF340" s="582"/>
      <c r="AG340" s="582"/>
      <c r="AH340" s="582"/>
      <c r="AI340" s="582"/>
      <c r="AJ340" s="582" t="b">
        <v>1</v>
      </c>
      <c r="AK340" s="582"/>
      <c r="AL340" s="492"/>
      <c r="AM340" s="492"/>
      <c r="AN340" s="30" t="b">
        <f t="shared" si="30"/>
        <v>1</v>
      </c>
      <c r="AO340" s="17"/>
      <c r="AP340" s="9"/>
      <c r="AQ340" s="9"/>
      <c r="AR340" s="9"/>
    </row>
    <row r="341" spans="1:44" customFormat="1" ht="12" customHeight="1" outlineLevel="1" x14ac:dyDescent="0.35">
      <c r="A341" s="7"/>
      <c r="B341" s="8"/>
      <c r="C341" s="18"/>
      <c r="D341" s="18"/>
      <c r="E341" s="18"/>
      <c r="F341" s="24"/>
      <c r="G341" s="547"/>
      <c r="H341" s="25"/>
      <c r="I341" s="510" t="str">
        <f>General!G81</f>
        <v>w</v>
      </c>
      <c r="J341" s="582"/>
      <c r="K341" s="582"/>
      <c r="L341" s="582"/>
      <c r="M341" s="582"/>
      <c r="N341" s="582"/>
      <c r="O341" s="582"/>
      <c r="P341" s="582"/>
      <c r="Q341" s="582"/>
      <c r="R341" s="582"/>
      <c r="S341" s="582"/>
      <c r="T341" s="582"/>
      <c r="U341" s="582"/>
      <c r="V341" s="582"/>
      <c r="W341" s="582" t="b">
        <v>1</v>
      </c>
      <c r="X341" s="582"/>
      <c r="Y341" s="582"/>
      <c r="Z341" s="582"/>
      <c r="AA341" s="582" t="b">
        <v>1</v>
      </c>
      <c r="AB341" s="582"/>
      <c r="AC341" s="582" t="b">
        <v>1</v>
      </c>
      <c r="AD341" s="582"/>
      <c r="AE341" s="582"/>
      <c r="AF341" s="582"/>
      <c r="AG341" s="582"/>
      <c r="AH341" s="582"/>
      <c r="AI341" s="582"/>
      <c r="AJ341" s="582"/>
      <c r="AK341" s="582"/>
      <c r="AL341" s="492"/>
      <c r="AM341" s="492"/>
      <c r="AN341" s="30" t="b">
        <f t="shared" si="30"/>
        <v>1</v>
      </c>
      <c r="AO341" s="17"/>
      <c r="AP341" s="9"/>
      <c r="AQ341" s="9"/>
      <c r="AR341" s="9"/>
    </row>
    <row r="342" spans="1:44" customFormat="1" outlineLevel="1" x14ac:dyDescent="0.35">
      <c r="A342" s="7"/>
      <c r="B342" s="8"/>
      <c r="C342" s="18"/>
      <c r="D342" s="18"/>
      <c r="E342" s="18"/>
      <c r="F342" s="24"/>
      <c r="G342" s="547"/>
      <c r="H342" s="25"/>
      <c r="I342" s="510" t="str">
        <f>General!G82</f>
        <v>wd</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492"/>
      <c r="AM342" s="492"/>
      <c r="AN342" s="30" t="b">
        <f t="shared" si="30"/>
        <v>1</v>
      </c>
      <c r="AO342" s="17"/>
      <c r="AP342" s="9"/>
      <c r="AQ342" s="9"/>
      <c r="AR342" s="9"/>
    </row>
    <row r="343" spans="1:44" customFormat="1" outlineLevel="1" x14ac:dyDescent="0.35">
      <c r="A343" s="7"/>
      <c r="B343" s="8"/>
      <c r="C343" s="18"/>
      <c r="D343" s="18"/>
      <c r="E343" s="18"/>
      <c r="F343" s="24"/>
      <c r="G343" s="547"/>
      <c r="H343" s="24"/>
      <c r="I343" s="510" t="str">
        <f>General!G83</f>
        <v>z</v>
      </c>
      <c r="J343" s="582"/>
      <c r="K343" s="582"/>
      <c r="L343" s="582"/>
      <c r="M343" s="582"/>
      <c r="N343" s="582"/>
      <c r="O343" s="582"/>
      <c r="P343" s="582"/>
      <c r="Q343" s="582"/>
      <c r="R343" s="582"/>
      <c r="S343" s="582"/>
      <c r="T343" s="582"/>
      <c r="U343" s="582" t="b">
        <v>1</v>
      </c>
      <c r="V343" s="582"/>
      <c r="W343" s="582"/>
      <c r="X343" s="582"/>
      <c r="Y343" s="582" t="b">
        <v>1</v>
      </c>
      <c r="Z343" s="582"/>
      <c r="AA343" s="582"/>
      <c r="AB343" s="582"/>
      <c r="AC343" s="582"/>
      <c r="AD343" s="582"/>
      <c r="AE343" s="582"/>
      <c r="AF343" s="582"/>
      <c r="AG343" s="582"/>
      <c r="AH343" s="582"/>
      <c r="AI343" s="582"/>
      <c r="AJ343" s="582"/>
      <c r="AK343" s="582"/>
      <c r="AL343" s="492"/>
      <c r="AM343" s="492"/>
      <c r="AN343" s="30" t="b">
        <f t="shared" si="30"/>
        <v>1</v>
      </c>
      <c r="AO343" s="17"/>
      <c r="AP343" s="9"/>
      <c r="AQ343" s="9"/>
      <c r="AR343" s="9"/>
    </row>
    <row r="344" spans="1:44" customFormat="1" outlineLevel="1" x14ac:dyDescent="0.35">
      <c r="A344" s="7"/>
      <c r="B344" s="8"/>
      <c r="C344" s="18"/>
      <c r="D344" s="18"/>
      <c r="E344" s="18"/>
      <c r="F344" s="24"/>
      <c r="G344" s="547"/>
      <c r="H344" s="24"/>
      <c r="I344" s="510" t="str">
        <f>General!G84</f>
        <v>zd</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492"/>
      <c r="AM344" s="492"/>
      <c r="AN344" s="30" t="b">
        <f t="shared" si="30"/>
        <v>1</v>
      </c>
      <c r="AO344" s="17"/>
      <c r="AP344" s="9"/>
      <c r="AQ344" s="9"/>
      <c r="AR344" s="9"/>
    </row>
    <row r="345" spans="1:44" customFormat="1" ht="12" customHeight="1" outlineLevel="1" x14ac:dyDescent="0.35">
      <c r="A345" s="7"/>
      <c r="B345" s="8"/>
      <c r="C345" s="18">
        <v>1</v>
      </c>
      <c r="D345" s="18"/>
      <c r="E345" s="18"/>
      <c r="F345" s="24"/>
      <c r="G345" s="547"/>
      <c r="H345" s="25" t="s">
        <v>2307</v>
      </c>
      <c r="I345" s="510" t="str">
        <f>General!G66</f>
        <v>b</v>
      </c>
      <c r="J345" s="582"/>
      <c r="K345" s="582"/>
      <c r="L345" s="582"/>
      <c r="M345" s="582"/>
      <c r="N345" s="582"/>
      <c r="O345" s="582"/>
      <c r="P345" s="582"/>
      <c r="Q345" s="582"/>
      <c r="R345" s="582"/>
      <c r="S345" s="582"/>
      <c r="T345" s="582"/>
      <c r="U345" s="582"/>
      <c r="V345" s="582"/>
      <c r="W345" s="582"/>
      <c r="X345" s="582"/>
      <c r="Y345" s="582"/>
      <c r="Z345" s="582"/>
      <c r="AA345" s="582"/>
      <c r="AB345" s="582"/>
      <c r="AC345" s="582"/>
      <c r="AD345" s="582"/>
      <c r="AE345" s="582"/>
      <c r="AF345" s="582"/>
      <c r="AG345" s="582"/>
      <c r="AH345" s="582"/>
      <c r="AI345" s="582"/>
      <c r="AJ345" s="582"/>
      <c r="AK345" s="582" t="b">
        <v>1</v>
      </c>
      <c r="AL345" s="492"/>
      <c r="AM345" s="492"/>
      <c r="AN345" s="30" t="b">
        <f t="shared" si="30"/>
        <v>1</v>
      </c>
      <c r="AO345" s="17"/>
      <c r="AP345" s="9"/>
      <c r="AQ345" s="9"/>
      <c r="AR345" s="9"/>
    </row>
    <row r="346" spans="1:44" customFormat="1" ht="12" customHeight="1" outlineLevel="2" x14ac:dyDescent="0.35">
      <c r="A346" s="7"/>
      <c r="B346" s="8"/>
      <c r="C346" s="18"/>
      <c r="D346" s="18"/>
      <c r="E346" s="18"/>
      <c r="F346" s="24"/>
      <c r="G346" s="547"/>
      <c r="H346" s="25"/>
      <c r="I346" s="510" t="str">
        <f>General!G67</f>
        <v>bd</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492"/>
      <c r="AM346" s="492"/>
      <c r="AN346" s="30" t="b">
        <f t="shared" si="30"/>
        <v>1</v>
      </c>
      <c r="AO346" s="17"/>
      <c r="AP346" s="9"/>
      <c r="AQ346" s="9"/>
      <c r="AR346" s="9"/>
    </row>
    <row r="347" spans="1:44" customFormat="1" ht="12" customHeight="1" outlineLevel="2" x14ac:dyDescent="0.35">
      <c r="A347" s="7"/>
      <c r="B347" s="8"/>
      <c r="C347" s="18"/>
      <c r="D347" s="18"/>
      <c r="E347" s="18"/>
      <c r="F347" s="24"/>
      <c r="G347" s="547"/>
      <c r="H347" s="25"/>
      <c r="I347" s="510" t="str">
        <f>General!G68</f>
        <v>f</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t="b">
        <v>1</v>
      </c>
      <c r="AF347" s="582" t="b">
        <v>1</v>
      </c>
      <c r="AG347" s="582"/>
      <c r="AH347" s="582"/>
      <c r="AI347" s="582"/>
      <c r="AJ347" s="582"/>
      <c r="AK347" s="582"/>
      <c r="AL347" s="492"/>
      <c r="AM347" s="492"/>
      <c r="AN347" s="30" t="b">
        <f t="shared" si="30"/>
        <v>1</v>
      </c>
      <c r="AO347" s="17"/>
      <c r="AP347" s="9"/>
      <c r="AQ347" s="9"/>
      <c r="AR347" s="9"/>
    </row>
    <row r="348" spans="1:44" customFormat="1" ht="12" customHeight="1" outlineLevel="2" x14ac:dyDescent="0.35">
      <c r="A348" s="7"/>
      <c r="B348" s="8"/>
      <c r="C348" s="18"/>
      <c r="D348" s="18"/>
      <c r="E348" s="18"/>
      <c r="F348" s="24"/>
      <c r="G348" s="547"/>
      <c r="H348" s="25"/>
      <c r="I348" s="510" t="str">
        <f>General!G69</f>
        <v>h</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c r="AF348" s="582"/>
      <c r="AG348" s="582"/>
      <c r="AH348" s="582"/>
      <c r="AI348" s="582"/>
      <c r="AJ348" s="582"/>
      <c r="AK348" s="582" t="b">
        <v>1</v>
      </c>
      <c r="AL348" s="492"/>
      <c r="AM348" s="492"/>
      <c r="AN348" s="30" t="b">
        <f t="shared" si="30"/>
        <v>1</v>
      </c>
      <c r="AO348" s="17"/>
      <c r="AP348" s="9"/>
      <c r="AQ348" s="9"/>
      <c r="AR348" s="9"/>
    </row>
    <row r="349" spans="1:44" customFormat="1" ht="12" customHeight="1" outlineLevel="2" x14ac:dyDescent="0.35">
      <c r="A349" s="7"/>
      <c r="B349" s="8"/>
      <c r="C349" s="18"/>
      <c r="D349" s="18"/>
      <c r="E349" s="18"/>
      <c r="F349" s="24"/>
      <c r="G349" s="547"/>
      <c r="H349" s="25"/>
      <c r="I349" s="510" t="str">
        <f>General!G70</f>
        <v>i</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t="b">
        <v>1</v>
      </c>
      <c r="AF349" s="582" t="b">
        <v>1</v>
      </c>
      <c r="AG349" s="582"/>
      <c r="AH349" s="582"/>
      <c r="AI349" s="582"/>
      <c r="AJ349" s="582"/>
      <c r="AK349" s="582"/>
      <c r="AL349" s="492"/>
      <c r="AM349" s="492"/>
      <c r="AN349" s="30" t="b">
        <f t="shared" si="30"/>
        <v>1</v>
      </c>
      <c r="AO349" s="17"/>
      <c r="AP349" s="9"/>
      <c r="AQ349" s="9"/>
      <c r="AR349" s="9"/>
    </row>
    <row r="350" spans="1:44" customFormat="1" ht="12" customHeight="1" outlineLevel="2" x14ac:dyDescent="0.35">
      <c r="A350" s="7"/>
      <c r="B350" s="8"/>
      <c r="C350" s="18"/>
      <c r="D350" s="18"/>
      <c r="E350" s="18"/>
      <c r="F350" s="24"/>
      <c r="G350" s="547"/>
      <c r="H350" s="25"/>
      <c r="I350" s="510" t="str">
        <f>General!G71</f>
        <v>k</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492"/>
      <c r="AM350" s="492"/>
      <c r="AN350" s="30" t="b">
        <f t="shared" si="30"/>
        <v>1</v>
      </c>
      <c r="AO350" s="17"/>
      <c r="AP350" s="9"/>
      <c r="AQ350" s="9"/>
      <c r="AR350" s="9"/>
    </row>
    <row r="351" spans="1:44" customFormat="1" ht="12" customHeight="1" outlineLevel="2" x14ac:dyDescent="0.35">
      <c r="A351" s="7"/>
      <c r="B351" s="8"/>
      <c r="C351" s="18"/>
      <c r="D351" s="18"/>
      <c r="E351" s="18"/>
      <c r="F351" s="24"/>
      <c r="G351" s="547"/>
      <c r="H351" s="25"/>
      <c r="I351" s="510" t="str">
        <f>General!G72</f>
        <v>l</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492"/>
      <c r="AM351" s="492"/>
      <c r="AN351" s="30" t="b">
        <f t="shared" si="30"/>
        <v>1</v>
      </c>
      <c r="AO351" s="17"/>
      <c r="AP351" s="9"/>
      <c r="AQ351" s="9"/>
      <c r="AR351" s="9"/>
    </row>
    <row r="352" spans="1:44" customFormat="1" ht="12" customHeight="1" outlineLevel="2" x14ac:dyDescent="0.35">
      <c r="A352" s="7"/>
      <c r="B352" s="8"/>
      <c r="C352" s="18"/>
      <c r="D352" s="18"/>
      <c r="E352" s="18"/>
      <c r="F352" s="24"/>
      <c r="G352" s="547"/>
      <c r="H352" s="25"/>
      <c r="I352" s="510" t="str">
        <f>General!G73</f>
        <v>lf</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492"/>
      <c r="AM352" s="492"/>
      <c r="AN352" s="30" t="b">
        <f t="shared" ref="AN352" si="32">OR(J352:AK352)</f>
        <v>1</v>
      </c>
      <c r="AO352" s="17"/>
      <c r="AP352" s="9"/>
      <c r="AQ352" s="9"/>
      <c r="AR352" s="9"/>
    </row>
    <row r="353" spans="1:44" customFormat="1" ht="12" customHeight="1" outlineLevel="2" x14ac:dyDescent="0.35">
      <c r="A353" s="7"/>
      <c r="B353" s="8"/>
      <c r="C353" s="18"/>
      <c r="D353" s="18"/>
      <c r="E353" s="18"/>
      <c r="F353" s="24"/>
      <c r="G353" s="547"/>
      <c r="H353" s="25"/>
      <c r="I353" s="510" t="str">
        <f>General!G74</f>
        <v>ms</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t="b">
        <v>1</v>
      </c>
      <c r="AL353" s="492"/>
      <c r="AM353" s="492"/>
      <c r="AN353" s="30"/>
      <c r="AO353" s="17"/>
      <c r="AP353" s="9"/>
      <c r="AQ353" s="9"/>
      <c r="AR353" s="9"/>
    </row>
    <row r="354" spans="1:44" customFormat="1" ht="12" customHeight="1" outlineLevel="2" x14ac:dyDescent="0.35">
      <c r="A354" s="7"/>
      <c r="B354" s="8"/>
      <c r="C354" s="18"/>
      <c r="D354" s="18"/>
      <c r="E354" s="18"/>
      <c r="F354" s="24"/>
      <c r="G354" s="547"/>
      <c r="H354" s="585"/>
      <c r="I354" s="510" t="str">
        <f>General!G75</f>
        <v>o</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c r="AF354" s="582"/>
      <c r="AG354" s="582"/>
      <c r="AH354" s="582"/>
      <c r="AI354" s="582"/>
      <c r="AJ354" s="582"/>
      <c r="AK354" s="582" t="b">
        <v>1</v>
      </c>
      <c r="AL354" s="492"/>
      <c r="AM354" s="492"/>
      <c r="AN354" s="30" t="b">
        <f t="shared" si="30"/>
        <v>1</v>
      </c>
      <c r="AO354" s="17"/>
      <c r="AP354" s="9"/>
      <c r="AQ354" s="9"/>
      <c r="AR354" s="9"/>
    </row>
    <row r="355" spans="1:44" customFormat="1" ht="12" customHeight="1" outlineLevel="2" x14ac:dyDescent="0.35">
      <c r="A355" s="7"/>
      <c r="B355" s="8"/>
      <c r="C355" s="18"/>
      <c r="D355" s="18"/>
      <c r="E355" s="18"/>
      <c r="F355" s="24"/>
      <c r="G355" s="547"/>
      <c r="H355" s="25"/>
      <c r="I355" s="510" t="str">
        <f>General!G76</f>
        <v>od</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492"/>
      <c r="AM355" s="492"/>
      <c r="AN355" s="30" t="b">
        <f t="shared" si="30"/>
        <v>1</v>
      </c>
      <c r="AO355" s="17"/>
      <c r="AP355" s="9"/>
      <c r="AQ355" s="9"/>
      <c r="AR355" s="9"/>
    </row>
    <row r="356" spans="1:44" customFormat="1" ht="12" customHeight="1" outlineLevel="2" x14ac:dyDescent="0.35">
      <c r="A356" s="7"/>
      <c r="B356" s="8"/>
      <c r="C356" s="18"/>
      <c r="D356" s="18"/>
      <c r="E356" s="18"/>
      <c r="F356" s="24"/>
      <c r="G356" s="547"/>
      <c r="H356" s="25"/>
      <c r="I356" s="510" t="str">
        <f>General!G77</f>
        <v>of</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492"/>
      <c r="AM356" s="492"/>
      <c r="AN356" s="30" t="b">
        <f t="shared" si="30"/>
        <v>1</v>
      </c>
      <c r="AO356" s="17"/>
      <c r="AP356" s="9"/>
      <c r="AQ356" s="9"/>
      <c r="AR356" s="9"/>
    </row>
    <row r="357" spans="1:44" customFormat="1" ht="12" customHeight="1" outlineLevel="2" x14ac:dyDescent="0.35">
      <c r="A357" s="7"/>
      <c r="B357" s="8"/>
      <c r="C357" s="18"/>
      <c r="D357" s="18"/>
      <c r="E357" s="18"/>
      <c r="F357" s="24"/>
      <c r="G357" s="547"/>
      <c r="H357" s="25"/>
      <c r="I357" s="510" t="str">
        <f>General!G78</f>
        <v>r</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492"/>
      <c r="AM357" s="492"/>
      <c r="AN357" s="30" t="b">
        <f t="shared" si="30"/>
        <v>1</v>
      </c>
      <c r="AO357" s="17"/>
      <c r="AP357" s="9"/>
      <c r="AQ357" s="9"/>
      <c r="AR357" s="9"/>
    </row>
    <row r="358" spans="1:44" customFormat="1" ht="12" customHeight="1" outlineLevel="2" x14ac:dyDescent="0.35">
      <c r="A358" s="7"/>
      <c r="B358" s="8"/>
      <c r="C358" s="18"/>
      <c r="D358" s="18"/>
      <c r="E358" s="18"/>
      <c r="F358" s="24"/>
      <c r="G358" s="547"/>
      <c r="H358" s="25"/>
      <c r="I358" s="510" t="str">
        <f>General!G79</f>
        <v>rd</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492"/>
      <c r="AM358" s="492"/>
      <c r="AN358" s="30" t="b">
        <f t="shared" si="30"/>
        <v>1</v>
      </c>
      <c r="AO358" s="17"/>
      <c r="AP358" s="9"/>
      <c r="AQ358" s="9"/>
      <c r="AR358" s="9"/>
    </row>
    <row r="359" spans="1:44" customFormat="1" ht="12" customHeight="1" outlineLevel="2" x14ac:dyDescent="0.35">
      <c r="A359" s="7"/>
      <c r="B359" s="8"/>
      <c r="C359" s="18"/>
      <c r="D359" s="18"/>
      <c r="E359" s="18"/>
      <c r="F359" s="24"/>
      <c r="G359" s="547"/>
      <c r="H359" s="25"/>
      <c r="I359" s="510" t="str">
        <f>General!G80</f>
        <v>v</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t="b">
        <v>1</v>
      </c>
      <c r="AF359" s="582" t="b">
        <v>1</v>
      </c>
      <c r="AG359" s="582"/>
      <c r="AH359" s="582"/>
      <c r="AI359" s="582"/>
      <c r="AJ359" s="582"/>
      <c r="AK359" s="582"/>
      <c r="AL359" s="492"/>
      <c r="AM359" s="492"/>
      <c r="AN359" s="30" t="b">
        <f t="shared" si="30"/>
        <v>1</v>
      </c>
      <c r="AO359" s="17"/>
      <c r="AP359" s="9"/>
      <c r="AQ359" s="9"/>
      <c r="AR359" s="9"/>
    </row>
    <row r="360" spans="1:44" customFormat="1" ht="12" customHeight="1" outlineLevel="2" x14ac:dyDescent="0.35">
      <c r="A360" s="7"/>
      <c r="B360" s="8"/>
      <c r="C360" s="18"/>
      <c r="D360" s="18"/>
      <c r="E360" s="18"/>
      <c r="F360" s="24"/>
      <c r="G360" s="547"/>
      <c r="H360" s="25"/>
      <c r="I360" s="510" t="str">
        <f>General!G81</f>
        <v>w</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c r="AF360" s="582"/>
      <c r="AG360" s="582"/>
      <c r="AH360" s="582"/>
      <c r="AI360" s="582"/>
      <c r="AJ360" s="582"/>
      <c r="AK360" s="582" t="b">
        <v>1</v>
      </c>
      <c r="AL360" s="492"/>
      <c r="AM360" s="492"/>
      <c r="AN360" s="30" t="b">
        <f t="shared" si="30"/>
        <v>1</v>
      </c>
      <c r="AO360" s="17"/>
      <c r="AP360" s="9"/>
      <c r="AQ360" s="9"/>
      <c r="AR360" s="9"/>
    </row>
    <row r="361" spans="1:44" customFormat="1" outlineLevel="2" x14ac:dyDescent="0.35">
      <c r="A361" s="7"/>
      <c r="B361" s="8"/>
      <c r="C361" s="18"/>
      <c r="D361" s="18"/>
      <c r="E361" s="18"/>
      <c r="F361" s="24"/>
      <c r="G361" s="547"/>
      <c r="H361" s="25"/>
      <c r="I361" s="510" t="str">
        <f>General!G82</f>
        <v>wd</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492"/>
      <c r="AM361" s="492"/>
      <c r="AN361" s="30" t="b">
        <f t="shared" si="30"/>
        <v>1</v>
      </c>
      <c r="AO361" s="17"/>
      <c r="AP361" s="9"/>
      <c r="AQ361" s="9"/>
      <c r="AR361" s="9"/>
    </row>
    <row r="362" spans="1:44" customFormat="1" outlineLevel="2" x14ac:dyDescent="0.35">
      <c r="A362" s="7"/>
      <c r="B362" s="8"/>
      <c r="C362" s="18"/>
      <c r="D362" s="18"/>
      <c r="E362" s="18"/>
      <c r="F362" s="24"/>
      <c r="G362" s="547"/>
      <c r="H362" s="24"/>
      <c r="I362" s="510" t="str">
        <f>General!G83</f>
        <v>z</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492"/>
      <c r="AM362" s="492"/>
      <c r="AN362" s="30" t="b">
        <f t="shared" si="30"/>
        <v>1</v>
      </c>
      <c r="AO362" s="17"/>
      <c r="AP362" s="9"/>
      <c r="AQ362" s="9"/>
      <c r="AR362" s="9"/>
    </row>
    <row r="363" spans="1:44" customFormat="1" outlineLevel="2" x14ac:dyDescent="0.35">
      <c r="A363" s="7"/>
      <c r="B363" s="8"/>
      <c r="C363" s="18"/>
      <c r="D363" s="18"/>
      <c r="E363" s="18"/>
      <c r="F363" s="24"/>
      <c r="G363" s="547"/>
      <c r="H363" s="24"/>
      <c r="I363" s="510" t="str">
        <f>General!G84</f>
        <v>zd</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492"/>
      <c r="AM363" s="492"/>
      <c r="AN363" s="30" t="b">
        <f t="shared" si="30"/>
        <v>1</v>
      </c>
      <c r="AO363" s="17"/>
      <c r="AP363" s="9"/>
      <c r="AQ363" s="9"/>
      <c r="AR363" s="9"/>
    </row>
    <row r="364" spans="1:44" customFormat="1" ht="12" customHeight="1" outlineLevel="1" x14ac:dyDescent="0.35">
      <c r="A364" s="7"/>
      <c r="B364" s="8"/>
      <c r="C364" s="18">
        <v>2</v>
      </c>
      <c r="D364" s="18"/>
      <c r="E364" s="18"/>
      <c r="F364" s="24"/>
      <c r="G364" s="547"/>
      <c r="H364" s="25" t="s">
        <v>2306</v>
      </c>
      <c r="I364" s="510" t="str">
        <f>General!G66</f>
        <v>b</v>
      </c>
      <c r="J364" s="586" t="str">
        <f t="shared" ref="J364:J371" si="33">IF(ISBLANK(J326),"",J326)</f>
        <v/>
      </c>
      <c r="K364" s="586" t="str">
        <f t="shared" ref="K364:AK364" si="34">IF(ISBLANK(K326),"",K326)</f>
        <v/>
      </c>
      <c r="L364" s="586" t="str">
        <f t="shared" si="34"/>
        <v/>
      </c>
      <c r="M364" s="586" t="str">
        <f t="shared" si="34"/>
        <v/>
      </c>
      <c r="N364" s="586" t="str">
        <f t="shared" si="34"/>
        <v/>
      </c>
      <c r="O364" s="586" t="str">
        <f t="shared" si="34"/>
        <v/>
      </c>
      <c r="P364" s="586" t="str">
        <f t="shared" si="34"/>
        <v/>
      </c>
      <c r="Q364" s="586" t="str">
        <f t="shared" si="34"/>
        <v/>
      </c>
      <c r="R364" s="586" t="str">
        <f t="shared" si="34"/>
        <v/>
      </c>
      <c r="S364" s="586" t="b">
        <f t="shared" si="34"/>
        <v>1</v>
      </c>
      <c r="T364" s="586" t="str">
        <f t="shared" si="34"/>
        <v/>
      </c>
      <c r="U364" s="586" t="str">
        <f t="shared" si="34"/>
        <v/>
      </c>
      <c r="V364" s="586" t="str">
        <f t="shared" si="34"/>
        <v/>
      </c>
      <c r="W364" s="586" t="str">
        <f t="shared" si="34"/>
        <v/>
      </c>
      <c r="X364" s="586" t="str">
        <f t="shared" si="34"/>
        <v/>
      </c>
      <c r="Y364" s="586" t="str">
        <f t="shared" si="34"/>
        <v/>
      </c>
      <c r="Z364" s="586" t="str">
        <f t="shared" si="34"/>
        <v/>
      </c>
      <c r="AA364" s="586" t="str">
        <f t="shared" si="34"/>
        <v/>
      </c>
      <c r="AB364" s="586" t="str">
        <f t="shared" si="34"/>
        <v/>
      </c>
      <c r="AC364" s="586" t="str">
        <f t="shared" si="34"/>
        <v/>
      </c>
      <c r="AD364" s="586" t="str">
        <f t="shared" si="34"/>
        <v/>
      </c>
      <c r="AE364" s="586" t="str">
        <f t="shared" si="34"/>
        <v/>
      </c>
      <c r="AF364" s="586" t="str">
        <f t="shared" si="34"/>
        <v/>
      </c>
      <c r="AG364" s="586" t="str">
        <f t="shared" si="34"/>
        <v/>
      </c>
      <c r="AH364" s="586" t="str">
        <f t="shared" si="34"/>
        <v/>
      </c>
      <c r="AI364" s="586" t="str">
        <f t="shared" si="34"/>
        <v/>
      </c>
      <c r="AJ364" s="586" t="str">
        <f t="shared" si="34"/>
        <v/>
      </c>
      <c r="AK364" s="586" t="str">
        <f t="shared" si="34"/>
        <v/>
      </c>
      <c r="AL364" s="492"/>
      <c r="AM364" s="492"/>
      <c r="AN364" s="30" t="b">
        <f t="shared" si="30"/>
        <v>1</v>
      </c>
      <c r="AO364" s="17"/>
      <c r="AP364" s="9"/>
      <c r="AQ364" s="9"/>
      <c r="AR364" s="9"/>
    </row>
    <row r="365" spans="1:44" customFormat="1" ht="12" customHeight="1" outlineLevel="2" x14ac:dyDescent="0.35">
      <c r="A365" s="7"/>
      <c r="B365" s="8"/>
      <c r="C365" s="18"/>
      <c r="D365" s="18"/>
      <c r="E365" s="18"/>
      <c r="F365" s="24"/>
      <c r="G365" s="547"/>
      <c r="H365" s="25"/>
      <c r="I365" s="510" t="str">
        <f>General!G67</f>
        <v>bd</v>
      </c>
      <c r="J365" s="586" t="str">
        <f t="shared" si="33"/>
        <v/>
      </c>
      <c r="K365" s="586" t="str">
        <f t="shared" ref="K365:AK365" si="35">IF(ISBLANK(K327),"",K327)</f>
        <v/>
      </c>
      <c r="L365" s="586" t="str">
        <f t="shared" si="35"/>
        <v/>
      </c>
      <c r="M365" s="586" t="str">
        <f t="shared" si="35"/>
        <v/>
      </c>
      <c r="N365" s="586" t="str">
        <f t="shared" si="35"/>
        <v/>
      </c>
      <c r="O365" s="586" t="str">
        <f t="shared" si="35"/>
        <v/>
      </c>
      <c r="P365" s="586" t="str">
        <f t="shared" si="35"/>
        <v/>
      </c>
      <c r="Q365" s="586" t="str">
        <f t="shared" si="35"/>
        <v/>
      </c>
      <c r="R365" s="586" t="str">
        <f t="shared" si="35"/>
        <v/>
      </c>
      <c r="S365" s="586" t="b">
        <f t="shared" si="35"/>
        <v>1</v>
      </c>
      <c r="T365" s="586" t="str">
        <f t="shared" si="35"/>
        <v/>
      </c>
      <c r="U365" s="586" t="str">
        <f t="shared" si="35"/>
        <v/>
      </c>
      <c r="V365" s="586" t="str">
        <f t="shared" si="35"/>
        <v/>
      </c>
      <c r="W365" s="586" t="str">
        <f t="shared" si="35"/>
        <v/>
      </c>
      <c r="X365" s="586" t="str">
        <f t="shared" si="35"/>
        <v/>
      </c>
      <c r="Y365" s="586" t="str">
        <f t="shared" si="35"/>
        <v/>
      </c>
      <c r="Z365" s="586" t="str">
        <f t="shared" si="35"/>
        <v/>
      </c>
      <c r="AA365" s="586" t="str">
        <f t="shared" si="35"/>
        <v/>
      </c>
      <c r="AB365" s="586" t="str">
        <f t="shared" si="35"/>
        <v/>
      </c>
      <c r="AC365" s="586" t="str">
        <f t="shared" si="35"/>
        <v/>
      </c>
      <c r="AD365" s="586" t="str">
        <f t="shared" si="35"/>
        <v/>
      </c>
      <c r="AE365" s="586" t="str">
        <f t="shared" si="35"/>
        <v/>
      </c>
      <c r="AF365" s="586" t="str">
        <f t="shared" si="35"/>
        <v/>
      </c>
      <c r="AG365" s="586" t="str">
        <f t="shared" si="35"/>
        <v/>
      </c>
      <c r="AH365" s="586" t="str">
        <f t="shared" si="35"/>
        <v/>
      </c>
      <c r="AI365" s="586" t="str">
        <f t="shared" si="35"/>
        <v/>
      </c>
      <c r="AJ365" s="586" t="str">
        <f t="shared" si="35"/>
        <v/>
      </c>
      <c r="AK365" s="586" t="str">
        <f t="shared" si="35"/>
        <v/>
      </c>
      <c r="AL365" s="492"/>
      <c r="AM365" s="492"/>
      <c r="AN365" s="30" t="b">
        <f t="shared" si="30"/>
        <v>1</v>
      </c>
      <c r="AO365" s="17"/>
      <c r="AP365" s="9"/>
      <c r="AQ365" s="9"/>
      <c r="AR365" s="9"/>
    </row>
    <row r="366" spans="1:44" customFormat="1" ht="12" customHeight="1" outlineLevel="2" x14ac:dyDescent="0.35">
      <c r="A366" s="7"/>
      <c r="B366" s="8"/>
      <c r="C366" s="18"/>
      <c r="D366" s="18"/>
      <c r="E366" s="18"/>
      <c r="F366" s="24"/>
      <c r="G366" s="547"/>
      <c r="H366" s="25"/>
      <c r="I366" s="510" t="str">
        <f>General!G68</f>
        <v>f</v>
      </c>
      <c r="J366" s="586" t="str">
        <f t="shared" si="33"/>
        <v/>
      </c>
      <c r="K366" s="586" t="str">
        <f t="shared" ref="K366:AK366" si="36">IF(ISBLANK(K328),"",K328)</f>
        <v/>
      </c>
      <c r="L366" s="586" t="str">
        <f t="shared" si="36"/>
        <v/>
      </c>
      <c r="M366" s="586" t="str">
        <f t="shared" si="36"/>
        <v/>
      </c>
      <c r="N366" s="586" t="str">
        <f t="shared" si="36"/>
        <v/>
      </c>
      <c r="O366" s="586" t="str">
        <f t="shared" si="36"/>
        <v/>
      </c>
      <c r="P366" s="586" t="str">
        <f t="shared" si="36"/>
        <v/>
      </c>
      <c r="Q366" s="586" t="str">
        <f t="shared" si="36"/>
        <v/>
      </c>
      <c r="R366" s="586" t="str">
        <f t="shared" si="36"/>
        <v/>
      </c>
      <c r="S366" s="586" t="str">
        <f t="shared" si="36"/>
        <v/>
      </c>
      <c r="T366" s="586" t="str">
        <f t="shared" si="36"/>
        <v/>
      </c>
      <c r="U366" s="586" t="str">
        <f t="shared" si="36"/>
        <v/>
      </c>
      <c r="V366" s="586" t="str">
        <f t="shared" si="36"/>
        <v/>
      </c>
      <c r="W366" s="586" t="str">
        <f t="shared" si="36"/>
        <v/>
      </c>
      <c r="X366" s="586" t="str">
        <f t="shared" si="36"/>
        <v/>
      </c>
      <c r="Y366" s="586" t="str">
        <f t="shared" si="36"/>
        <v/>
      </c>
      <c r="Z366" s="586" t="str">
        <f t="shared" si="36"/>
        <v/>
      </c>
      <c r="AA366" s="586" t="str">
        <f t="shared" si="36"/>
        <v/>
      </c>
      <c r="AB366" s="586" t="str">
        <f t="shared" si="36"/>
        <v/>
      </c>
      <c r="AC366" s="586" t="str">
        <f t="shared" si="36"/>
        <v/>
      </c>
      <c r="AD366" s="586" t="str">
        <f t="shared" si="36"/>
        <v/>
      </c>
      <c r="AE366" s="586" t="str">
        <f t="shared" si="36"/>
        <v/>
      </c>
      <c r="AF366" s="586" t="str">
        <f t="shared" si="36"/>
        <v/>
      </c>
      <c r="AG366" s="586" t="str">
        <f t="shared" si="36"/>
        <v/>
      </c>
      <c r="AH366" s="586" t="str">
        <f t="shared" si="36"/>
        <v/>
      </c>
      <c r="AI366" s="586" t="str">
        <f t="shared" si="36"/>
        <v/>
      </c>
      <c r="AJ366" s="586" t="b">
        <f t="shared" si="36"/>
        <v>1</v>
      </c>
      <c r="AK366" s="586" t="str">
        <f t="shared" si="36"/>
        <v/>
      </c>
      <c r="AL366" s="492"/>
      <c r="AM366" s="492"/>
      <c r="AN366" s="30" t="b">
        <f t="shared" si="30"/>
        <v>1</v>
      </c>
      <c r="AO366" s="17"/>
      <c r="AP366" s="9"/>
      <c r="AQ366" s="9"/>
      <c r="AR366" s="9"/>
    </row>
    <row r="367" spans="1:44" customFormat="1" ht="12" customHeight="1" outlineLevel="2" x14ac:dyDescent="0.35">
      <c r="A367" s="7"/>
      <c r="B367" s="8"/>
      <c r="C367" s="18"/>
      <c r="D367" s="18"/>
      <c r="E367" s="18"/>
      <c r="F367" s="24"/>
      <c r="G367" s="547"/>
      <c r="H367" s="25"/>
      <c r="I367" s="510" t="str">
        <f>General!G69</f>
        <v>h</v>
      </c>
      <c r="J367" s="586" t="str">
        <f t="shared" si="33"/>
        <v/>
      </c>
      <c r="K367" s="586" t="str">
        <f t="shared" ref="K367:AK367" si="37">IF(ISBLANK(K329),"",K329)</f>
        <v/>
      </c>
      <c r="L367" s="586" t="str">
        <f t="shared" si="37"/>
        <v/>
      </c>
      <c r="M367" s="586" t="str">
        <f t="shared" si="37"/>
        <v/>
      </c>
      <c r="N367" s="586" t="str">
        <f t="shared" si="37"/>
        <v/>
      </c>
      <c r="O367" s="586" t="str">
        <f t="shared" si="37"/>
        <v/>
      </c>
      <c r="P367" s="586" t="str">
        <f t="shared" si="37"/>
        <v/>
      </c>
      <c r="Q367" s="586" t="str">
        <f t="shared" si="37"/>
        <v/>
      </c>
      <c r="R367" s="586" t="str">
        <f t="shared" si="37"/>
        <v/>
      </c>
      <c r="S367" s="586" t="b">
        <f t="shared" si="37"/>
        <v>1</v>
      </c>
      <c r="T367" s="586" t="str">
        <f t="shared" si="37"/>
        <v/>
      </c>
      <c r="U367" s="586" t="str">
        <f t="shared" si="37"/>
        <v/>
      </c>
      <c r="V367" s="586" t="str">
        <f t="shared" si="37"/>
        <v/>
      </c>
      <c r="W367" s="586" t="b">
        <f t="shared" si="37"/>
        <v>1</v>
      </c>
      <c r="X367" s="586" t="str">
        <f t="shared" si="37"/>
        <v/>
      </c>
      <c r="Y367" s="586" t="str">
        <f t="shared" si="37"/>
        <v/>
      </c>
      <c r="Z367" s="586" t="str">
        <f t="shared" si="37"/>
        <v/>
      </c>
      <c r="AA367" s="586" t="b">
        <f t="shared" si="37"/>
        <v>1</v>
      </c>
      <c r="AB367" s="586" t="str">
        <f t="shared" si="37"/>
        <v/>
      </c>
      <c r="AC367" s="586" t="b">
        <f t="shared" si="37"/>
        <v>1</v>
      </c>
      <c r="AD367" s="586" t="str">
        <f t="shared" si="37"/>
        <v/>
      </c>
      <c r="AE367" s="586" t="str">
        <f t="shared" si="37"/>
        <v/>
      </c>
      <c r="AF367" s="586" t="str">
        <f t="shared" si="37"/>
        <v/>
      </c>
      <c r="AG367" s="586" t="str">
        <f t="shared" si="37"/>
        <v/>
      </c>
      <c r="AH367" s="586" t="str">
        <f t="shared" si="37"/>
        <v/>
      </c>
      <c r="AI367" s="586" t="str">
        <f t="shared" si="37"/>
        <v/>
      </c>
      <c r="AJ367" s="586" t="str">
        <f t="shared" si="37"/>
        <v/>
      </c>
      <c r="AK367" s="586" t="str">
        <f t="shared" si="37"/>
        <v/>
      </c>
      <c r="AL367" s="492"/>
      <c r="AM367" s="492"/>
      <c r="AN367" s="30" t="b">
        <f t="shared" si="30"/>
        <v>1</v>
      </c>
      <c r="AO367" s="17"/>
      <c r="AP367" s="9"/>
      <c r="AQ367" s="9"/>
      <c r="AR367" s="9"/>
    </row>
    <row r="368" spans="1:44" customFormat="1" ht="12" customHeight="1" outlineLevel="2" x14ac:dyDescent="0.35">
      <c r="A368" s="7"/>
      <c r="B368" s="8"/>
      <c r="C368" s="18"/>
      <c r="D368" s="18"/>
      <c r="E368" s="18"/>
      <c r="F368" s="24"/>
      <c r="G368" s="547"/>
      <c r="H368" s="25"/>
      <c r="I368" s="510" t="str">
        <f>General!G70</f>
        <v>i</v>
      </c>
      <c r="J368" s="586" t="str">
        <f t="shared" si="33"/>
        <v/>
      </c>
      <c r="K368" s="586" t="str">
        <f t="shared" ref="K368:AK368" si="38">IF(ISBLANK(K330),"",K330)</f>
        <v/>
      </c>
      <c r="L368" s="586" t="str">
        <f t="shared" si="38"/>
        <v/>
      </c>
      <c r="M368" s="586" t="str">
        <f t="shared" si="38"/>
        <v/>
      </c>
      <c r="N368" s="586" t="str">
        <f t="shared" si="38"/>
        <v/>
      </c>
      <c r="O368" s="586" t="str">
        <f t="shared" si="38"/>
        <v/>
      </c>
      <c r="P368" s="586" t="str">
        <f t="shared" si="38"/>
        <v/>
      </c>
      <c r="Q368" s="586" t="str">
        <f t="shared" si="38"/>
        <v/>
      </c>
      <c r="R368" s="586" t="str">
        <f t="shared" si="38"/>
        <v/>
      </c>
      <c r="S368" s="586" t="str">
        <f t="shared" si="38"/>
        <v/>
      </c>
      <c r="T368" s="586" t="str">
        <f t="shared" si="38"/>
        <v/>
      </c>
      <c r="U368" s="586" t="str">
        <f t="shared" si="38"/>
        <v/>
      </c>
      <c r="V368" s="586" t="str">
        <f t="shared" si="38"/>
        <v/>
      </c>
      <c r="W368" s="586" t="str">
        <f t="shared" si="38"/>
        <v/>
      </c>
      <c r="X368" s="586" t="str">
        <f t="shared" si="38"/>
        <v/>
      </c>
      <c r="Y368" s="586" t="str">
        <f t="shared" si="38"/>
        <v/>
      </c>
      <c r="Z368" s="586" t="str">
        <f t="shared" si="38"/>
        <v/>
      </c>
      <c r="AA368" s="586" t="str">
        <f t="shared" si="38"/>
        <v/>
      </c>
      <c r="AB368" s="586" t="str">
        <f t="shared" si="38"/>
        <v/>
      </c>
      <c r="AC368" s="586" t="str">
        <f t="shared" si="38"/>
        <v/>
      </c>
      <c r="AD368" s="586" t="str">
        <f t="shared" si="38"/>
        <v/>
      </c>
      <c r="AE368" s="586" t="str">
        <f t="shared" si="38"/>
        <v/>
      </c>
      <c r="AF368" s="586" t="str">
        <f t="shared" si="38"/>
        <v/>
      </c>
      <c r="AG368" s="586" t="str">
        <f t="shared" si="38"/>
        <v/>
      </c>
      <c r="AH368" s="586" t="str">
        <f t="shared" si="38"/>
        <v/>
      </c>
      <c r="AI368" s="586" t="str">
        <f t="shared" si="38"/>
        <v/>
      </c>
      <c r="AJ368" s="586" t="b">
        <f t="shared" si="38"/>
        <v>1</v>
      </c>
      <c r="AK368" s="586" t="str">
        <f t="shared" si="38"/>
        <v/>
      </c>
      <c r="AL368" s="492"/>
      <c r="AM368" s="492"/>
      <c r="AN368" s="30" t="b">
        <f t="shared" si="30"/>
        <v>1</v>
      </c>
      <c r="AO368" s="17"/>
      <c r="AP368" s="9"/>
      <c r="AQ368" s="9"/>
      <c r="AR368" s="9"/>
    </row>
    <row r="369" spans="1:44" customFormat="1" ht="12" customHeight="1" outlineLevel="2" x14ac:dyDescent="0.35">
      <c r="A369" s="7"/>
      <c r="B369" s="8"/>
      <c r="C369" s="18"/>
      <c r="D369" s="18"/>
      <c r="E369" s="18"/>
      <c r="F369" s="24"/>
      <c r="G369" s="547"/>
      <c r="H369" s="25"/>
      <c r="I369" s="510" t="str">
        <f>General!G71</f>
        <v>k</v>
      </c>
      <c r="J369" s="586" t="str">
        <f t="shared" si="33"/>
        <v/>
      </c>
      <c r="K369" s="586" t="str">
        <f t="shared" ref="K369:AK369" si="39">IF(ISBLANK(K331),"",K331)</f>
        <v/>
      </c>
      <c r="L369" s="586" t="str">
        <f t="shared" si="39"/>
        <v/>
      </c>
      <c r="M369" s="586" t="str">
        <f t="shared" si="39"/>
        <v/>
      </c>
      <c r="N369" s="586" t="str">
        <f t="shared" si="39"/>
        <v/>
      </c>
      <c r="O369" s="586" t="str">
        <f t="shared" si="39"/>
        <v/>
      </c>
      <c r="P369" s="586" t="str">
        <f t="shared" si="39"/>
        <v/>
      </c>
      <c r="Q369" s="586" t="str">
        <f t="shared" si="39"/>
        <v/>
      </c>
      <c r="R369" s="586" t="str">
        <f t="shared" si="39"/>
        <v/>
      </c>
      <c r="S369" s="586" t="str">
        <f t="shared" si="39"/>
        <v/>
      </c>
      <c r="T369" s="586" t="str">
        <f t="shared" si="39"/>
        <v/>
      </c>
      <c r="U369" s="586" t="str">
        <f t="shared" si="39"/>
        <v/>
      </c>
      <c r="V369" s="586" t="str">
        <f t="shared" si="39"/>
        <v/>
      </c>
      <c r="W369" s="586" t="str">
        <f t="shared" si="39"/>
        <v/>
      </c>
      <c r="X369" s="586" t="str">
        <f t="shared" si="39"/>
        <v/>
      </c>
      <c r="Y369" s="586" t="str">
        <f t="shared" si="39"/>
        <v/>
      </c>
      <c r="Z369" s="586" t="str">
        <f t="shared" si="39"/>
        <v/>
      </c>
      <c r="AA369" s="586" t="str">
        <f t="shared" si="39"/>
        <v/>
      </c>
      <c r="AB369" s="586" t="str">
        <f t="shared" si="39"/>
        <v/>
      </c>
      <c r="AC369" s="586" t="str">
        <f t="shared" si="39"/>
        <v/>
      </c>
      <c r="AD369" s="586" t="str">
        <f t="shared" si="39"/>
        <v/>
      </c>
      <c r="AE369" s="586" t="str">
        <f t="shared" si="39"/>
        <v/>
      </c>
      <c r="AF369" s="586" t="str">
        <f t="shared" si="39"/>
        <v/>
      </c>
      <c r="AG369" s="586" t="str">
        <f t="shared" si="39"/>
        <v/>
      </c>
      <c r="AH369" s="586" t="str">
        <f t="shared" si="39"/>
        <v/>
      </c>
      <c r="AI369" s="586" t="str">
        <f t="shared" si="39"/>
        <v/>
      </c>
      <c r="AJ369" s="586" t="b">
        <f t="shared" si="39"/>
        <v>1</v>
      </c>
      <c r="AK369" s="586" t="str">
        <f t="shared" si="39"/>
        <v/>
      </c>
      <c r="AL369" s="492"/>
      <c r="AM369" s="492"/>
      <c r="AN369" s="30" t="b">
        <f t="shared" si="30"/>
        <v>1</v>
      </c>
      <c r="AO369" s="17"/>
      <c r="AP369" s="9"/>
      <c r="AQ369" s="9"/>
      <c r="AR369" s="9"/>
    </row>
    <row r="370" spans="1:44" customFormat="1" ht="12" customHeight="1" outlineLevel="2" x14ac:dyDescent="0.35">
      <c r="A370" s="7"/>
      <c r="B370" s="8"/>
      <c r="C370" s="18"/>
      <c r="D370" s="18"/>
      <c r="E370" s="18"/>
      <c r="F370" s="24"/>
      <c r="G370" s="547"/>
      <c r="H370" s="25"/>
      <c r="I370" s="510" t="str">
        <f>General!G72</f>
        <v>l</v>
      </c>
      <c r="J370" s="586" t="str">
        <f t="shared" si="33"/>
        <v/>
      </c>
      <c r="K370" s="586" t="str">
        <f t="shared" ref="K370:AK371" si="40">IF(ISBLANK(K332),"",K332)</f>
        <v/>
      </c>
      <c r="L370" s="586" t="str">
        <f t="shared" si="40"/>
        <v/>
      </c>
      <c r="M370" s="586" t="str">
        <f t="shared" si="40"/>
        <v/>
      </c>
      <c r="N370" s="586" t="str">
        <f t="shared" si="40"/>
        <v/>
      </c>
      <c r="O370" s="586" t="str">
        <f t="shared" si="40"/>
        <v/>
      </c>
      <c r="P370" s="586" t="str">
        <f t="shared" si="40"/>
        <v/>
      </c>
      <c r="Q370" s="586" t="str">
        <f t="shared" si="40"/>
        <v/>
      </c>
      <c r="R370" s="586" t="str">
        <f t="shared" si="40"/>
        <v/>
      </c>
      <c r="S370" s="586" t="str">
        <f t="shared" si="40"/>
        <v/>
      </c>
      <c r="T370" s="586" t="str">
        <f t="shared" si="40"/>
        <v/>
      </c>
      <c r="U370" s="586" t="str">
        <f t="shared" si="40"/>
        <v/>
      </c>
      <c r="V370" s="586" t="str">
        <f t="shared" si="40"/>
        <v/>
      </c>
      <c r="W370" s="586" t="str">
        <f t="shared" si="40"/>
        <v/>
      </c>
      <c r="X370" s="586" t="str">
        <f t="shared" si="40"/>
        <v/>
      </c>
      <c r="Y370" s="586" t="str">
        <f t="shared" si="40"/>
        <v/>
      </c>
      <c r="Z370" s="586" t="str">
        <f t="shared" si="40"/>
        <v/>
      </c>
      <c r="AA370" s="586" t="str">
        <f t="shared" si="40"/>
        <v/>
      </c>
      <c r="AB370" s="586" t="str">
        <f t="shared" si="40"/>
        <v/>
      </c>
      <c r="AC370" s="586" t="str">
        <f t="shared" si="40"/>
        <v/>
      </c>
      <c r="AD370" s="586" t="str">
        <f t="shared" si="40"/>
        <v/>
      </c>
      <c r="AE370" s="586" t="str">
        <f t="shared" si="40"/>
        <v/>
      </c>
      <c r="AF370" s="586" t="str">
        <f t="shared" si="40"/>
        <v/>
      </c>
      <c r="AG370" s="586" t="str">
        <f t="shared" si="40"/>
        <v/>
      </c>
      <c r="AH370" s="586" t="str">
        <f t="shared" si="40"/>
        <v/>
      </c>
      <c r="AI370" s="586" t="str">
        <f t="shared" si="40"/>
        <v/>
      </c>
      <c r="AJ370" s="586" t="b">
        <f t="shared" si="40"/>
        <v>1</v>
      </c>
      <c r="AK370" s="586" t="str">
        <f t="shared" si="40"/>
        <v/>
      </c>
      <c r="AL370" s="492"/>
      <c r="AM370" s="492"/>
      <c r="AN370" s="30" t="b">
        <f t="shared" si="30"/>
        <v>1</v>
      </c>
      <c r="AO370" s="17"/>
      <c r="AP370" s="9"/>
      <c r="AQ370" s="9"/>
      <c r="AR370" s="9"/>
    </row>
    <row r="371" spans="1:44" customFormat="1" ht="12" customHeight="1" outlineLevel="2" x14ac:dyDescent="0.35">
      <c r="A371" s="7"/>
      <c r="B371" s="8"/>
      <c r="C371" s="18"/>
      <c r="D371" s="18"/>
      <c r="E371" s="18"/>
      <c r="F371" s="24"/>
      <c r="G371" s="547"/>
      <c r="H371" s="25"/>
      <c r="I371" s="510" t="str">
        <f>General!G73</f>
        <v>lf</v>
      </c>
      <c r="J371" s="586" t="str">
        <f t="shared" si="33"/>
        <v/>
      </c>
      <c r="K371" s="586" t="str">
        <f t="shared" si="40"/>
        <v/>
      </c>
      <c r="L371" s="586" t="str">
        <f t="shared" si="40"/>
        <v/>
      </c>
      <c r="M371" s="586" t="str">
        <f t="shared" si="40"/>
        <v/>
      </c>
      <c r="N371" s="586" t="str">
        <f t="shared" si="40"/>
        <v/>
      </c>
      <c r="O371" s="586" t="str">
        <f t="shared" si="40"/>
        <v/>
      </c>
      <c r="P371" s="586" t="str">
        <f t="shared" si="40"/>
        <v/>
      </c>
      <c r="Q371" s="586" t="str">
        <f t="shared" si="40"/>
        <v/>
      </c>
      <c r="R371" s="586" t="str">
        <f t="shared" si="40"/>
        <v/>
      </c>
      <c r="S371" s="586" t="str">
        <f t="shared" si="40"/>
        <v/>
      </c>
      <c r="T371" s="586" t="str">
        <f t="shared" si="40"/>
        <v/>
      </c>
      <c r="U371" s="586" t="str">
        <f t="shared" si="40"/>
        <v/>
      </c>
      <c r="V371" s="586" t="str">
        <f t="shared" si="40"/>
        <v/>
      </c>
      <c r="W371" s="586" t="str">
        <f t="shared" si="40"/>
        <v/>
      </c>
      <c r="X371" s="586" t="str">
        <f t="shared" si="40"/>
        <v/>
      </c>
      <c r="Y371" s="586" t="str">
        <f t="shared" si="40"/>
        <v/>
      </c>
      <c r="Z371" s="586" t="str">
        <f t="shared" si="40"/>
        <v/>
      </c>
      <c r="AA371" s="586" t="str">
        <f t="shared" si="40"/>
        <v/>
      </c>
      <c r="AB371" s="586" t="str">
        <f t="shared" si="40"/>
        <v/>
      </c>
      <c r="AC371" s="586" t="str">
        <f t="shared" si="40"/>
        <v/>
      </c>
      <c r="AD371" s="586" t="str">
        <f t="shared" si="40"/>
        <v/>
      </c>
      <c r="AE371" s="586" t="str">
        <f t="shared" si="40"/>
        <v/>
      </c>
      <c r="AF371" s="586" t="str">
        <f t="shared" si="40"/>
        <v/>
      </c>
      <c r="AG371" s="586" t="str">
        <f t="shared" si="40"/>
        <v/>
      </c>
      <c r="AH371" s="586" t="str">
        <f t="shared" si="40"/>
        <v/>
      </c>
      <c r="AI371" s="586" t="str">
        <f t="shared" si="40"/>
        <v/>
      </c>
      <c r="AJ371" s="586" t="b">
        <f t="shared" si="40"/>
        <v>1</v>
      </c>
      <c r="AK371" s="586" t="str">
        <f t="shared" si="40"/>
        <v/>
      </c>
      <c r="AL371" s="492"/>
      <c r="AM371" s="492"/>
      <c r="AN371" s="30" t="b">
        <f t="shared" ref="AN371" si="41">OR(J371:AK371)</f>
        <v>1</v>
      </c>
      <c r="AO371" s="17"/>
      <c r="AP371" s="9"/>
      <c r="AQ371" s="9"/>
      <c r="AR371" s="9"/>
    </row>
    <row r="372" spans="1:44" customFormat="1" ht="12" customHeight="1" outlineLevel="2" x14ac:dyDescent="0.35">
      <c r="A372" s="7"/>
      <c r="B372" s="8"/>
      <c r="C372" s="18"/>
      <c r="D372" s="18"/>
      <c r="E372" s="18"/>
      <c r="F372" s="24"/>
      <c r="G372" s="547"/>
      <c r="H372" s="25"/>
      <c r="I372" s="510" t="str">
        <f>General!G74</f>
        <v>ms</v>
      </c>
      <c r="J372" s="586" t="str">
        <f t="shared" ref="J372" si="42">IF(ISBLANK(J334),"",J334)</f>
        <v/>
      </c>
      <c r="K372" s="586" t="str">
        <f t="shared" ref="K372:AK372" si="43">IF(ISBLANK(K334),"",K334)</f>
        <v/>
      </c>
      <c r="L372" s="586" t="str">
        <f t="shared" si="43"/>
        <v/>
      </c>
      <c r="M372" s="586" t="str">
        <f t="shared" si="43"/>
        <v/>
      </c>
      <c r="N372" s="586" t="str">
        <f t="shared" si="43"/>
        <v/>
      </c>
      <c r="O372" s="586" t="str">
        <f t="shared" si="43"/>
        <v/>
      </c>
      <c r="P372" s="586" t="str">
        <f t="shared" si="43"/>
        <v/>
      </c>
      <c r="Q372" s="586" t="str">
        <f t="shared" si="43"/>
        <v/>
      </c>
      <c r="R372" s="586" t="str">
        <f t="shared" si="43"/>
        <v/>
      </c>
      <c r="S372" s="586" t="b">
        <f t="shared" si="43"/>
        <v>1</v>
      </c>
      <c r="T372" s="586" t="str">
        <f t="shared" si="43"/>
        <v/>
      </c>
      <c r="U372" s="586" t="b">
        <f t="shared" si="43"/>
        <v>1</v>
      </c>
      <c r="V372" s="586" t="str">
        <f t="shared" si="43"/>
        <v/>
      </c>
      <c r="W372" s="586" t="b">
        <f t="shared" si="43"/>
        <v>1</v>
      </c>
      <c r="X372" s="586" t="str">
        <f t="shared" si="43"/>
        <v/>
      </c>
      <c r="Y372" s="586" t="b">
        <f t="shared" si="43"/>
        <v>1</v>
      </c>
      <c r="Z372" s="586" t="str">
        <f t="shared" si="43"/>
        <v/>
      </c>
      <c r="AA372" s="586" t="b">
        <f t="shared" si="43"/>
        <v>1</v>
      </c>
      <c r="AB372" s="586" t="str">
        <f t="shared" si="43"/>
        <v/>
      </c>
      <c r="AC372" s="586" t="b">
        <f t="shared" si="43"/>
        <v>1</v>
      </c>
      <c r="AD372" s="586" t="str">
        <f t="shared" si="43"/>
        <v/>
      </c>
      <c r="AE372" s="586" t="str">
        <f t="shared" si="43"/>
        <v/>
      </c>
      <c r="AF372" s="586" t="str">
        <f t="shared" si="43"/>
        <v/>
      </c>
      <c r="AG372" s="586" t="str">
        <f t="shared" si="43"/>
        <v/>
      </c>
      <c r="AH372" s="586" t="str">
        <f t="shared" si="43"/>
        <v/>
      </c>
      <c r="AI372" s="586" t="str">
        <f t="shared" si="43"/>
        <v/>
      </c>
      <c r="AJ372" s="586" t="b">
        <f t="shared" si="43"/>
        <v>1</v>
      </c>
      <c r="AK372" s="586" t="str">
        <f t="shared" si="43"/>
        <v/>
      </c>
      <c r="AL372" s="492"/>
      <c r="AM372" s="492"/>
      <c r="AN372" s="30"/>
      <c r="AO372" s="17"/>
      <c r="AP372" s="9"/>
      <c r="AQ372" s="9"/>
      <c r="AR372" s="9"/>
    </row>
    <row r="373" spans="1:44" customFormat="1" ht="12" customHeight="1" outlineLevel="2" x14ac:dyDescent="0.35">
      <c r="A373" s="7"/>
      <c r="B373" s="8"/>
      <c r="C373" s="18"/>
      <c r="D373" s="18"/>
      <c r="E373" s="18"/>
      <c r="F373" s="24"/>
      <c r="G373" s="547"/>
      <c r="H373" s="25"/>
      <c r="I373" s="510" t="str">
        <f>General!G75</f>
        <v>o</v>
      </c>
      <c r="J373" s="586" t="str">
        <f t="shared" ref="J373:AK376" si="44">IF(ISBLANK(J335),"",J335)</f>
        <v/>
      </c>
      <c r="K373" s="586" t="str">
        <f t="shared" si="44"/>
        <v/>
      </c>
      <c r="L373" s="586" t="str">
        <f t="shared" si="44"/>
        <v/>
      </c>
      <c r="M373" s="586" t="str">
        <f t="shared" si="44"/>
        <v/>
      </c>
      <c r="N373" s="586" t="str">
        <f t="shared" si="44"/>
        <v/>
      </c>
      <c r="O373" s="586" t="str">
        <f t="shared" si="44"/>
        <v/>
      </c>
      <c r="P373" s="586" t="str">
        <f t="shared" si="44"/>
        <v/>
      </c>
      <c r="Q373" s="586" t="str">
        <f t="shared" si="44"/>
        <v/>
      </c>
      <c r="R373" s="586" t="str">
        <f t="shared" si="44"/>
        <v/>
      </c>
      <c r="S373" s="586" t="b">
        <f t="shared" si="44"/>
        <v>1</v>
      </c>
      <c r="T373" s="586" t="str">
        <f t="shared" si="44"/>
        <v/>
      </c>
      <c r="U373" s="586" t="str">
        <f t="shared" si="44"/>
        <v/>
      </c>
      <c r="V373" s="586" t="str">
        <f t="shared" si="44"/>
        <v/>
      </c>
      <c r="W373" s="586" t="b">
        <f t="shared" si="44"/>
        <v>1</v>
      </c>
      <c r="X373" s="586" t="str">
        <f t="shared" si="44"/>
        <v/>
      </c>
      <c r="Y373" s="586" t="str">
        <f t="shared" si="44"/>
        <v/>
      </c>
      <c r="Z373" s="586" t="str">
        <f t="shared" si="44"/>
        <v/>
      </c>
      <c r="AA373" s="586" t="b">
        <f t="shared" si="44"/>
        <v>1</v>
      </c>
      <c r="AB373" s="586" t="str">
        <f t="shared" si="44"/>
        <v/>
      </c>
      <c r="AC373" s="586" t="b">
        <f t="shared" si="44"/>
        <v>1</v>
      </c>
      <c r="AD373" s="586" t="str">
        <f t="shared" si="44"/>
        <v/>
      </c>
      <c r="AE373" s="586" t="str">
        <f t="shared" si="44"/>
        <v/>
      </c>
      <c r="AF373" s="586" t="str">
        <f t="shared" si="44"/>
        <v/>
      </c>
      <c r="AG373" s="586" t="str">
        <f t="shared" si="44"/>
        <v/>
      </c>
      <c r="AH373" s="586" t="str">
        <f t="shared" si="44"/>
        <v/>
      </c>
      <c r="AI373" s="586" t="str">
        <f t="shared" si="44"/>
        <v/>
      </c>
      <c r="AJ373" s="586" t="str">
        <f t="shared" si="44"/>
        <v/>
      </c>
      <c r="AK373" s="586" t="str">
        <f t="shared" si="44"/>
        <v/>
      </c>
      <c r="AL373" s="492"/>
      <c r="AM373" s="492"/>
      <c r="AN373" s="30" t="b">
        <f t="shared" si="30"/>
        <v>1</v>
      </c>
      <c r="AO373" s="17"/>
      <c r="AP373" s="9"/>
      <c r="AQ373" s="9"/>
      <c r="AR373" s="9"/>
    </row>
    <row r="374" spans="1:44" customFormat="1" ht="12" customHeight="1" outlineLevel="2" x14ac:dyDescent="0.35">
      <c r="A374" s="7"/>
      <c r="B374" s="8"/>
      <c r="C374" s="18"/>
      <c r="D374" s="18"/>
      <c r="E374" s="18"/>
      <c r="F374" s="24"/>
      <c r="G374" s="547"/>
      <c r="H374" s="25"/>
      <c r="I374" s="510" t="str">
        <f>General!G76</f>
        <v>od</v>
      </c>
      <c r="J374" s="586" t="str">
        <f t="shared" si="44"/>
        <v/>
      </c>
      <c r="K374" s="586" t="str">
        <f t="shared" si="44"/>
        <v/>
      </c>
      <c r="L374" s="586" t="str">
        <f t="shared" si="44"/>
        <v/>
      </c>
      <c r="M374" s="586" t="str">
        <f t="shared" si="44"/>
        <v/>
      </c>
      <c r="N374" s="586" t="str">
        <f t="shared" si="44"/>
        <v/>
      </c>
      <c r="O374" s="586" t="str">
        <f t="shared" si="44"/>
        <v/>
      </c>
      <c r="P374" s="586" t="str">
        <f t="shared" si="44"/>
        <v/>
      </c>
      <c r="Q374" s="586" t="str">
        <f t="shared" si="44"/>
        <v/>
      </c>
      <c r="R374" s="586" t="str">
        <f t="shared" si="44"/>
        <v/>
      </c>
      <c r="S374" s="586" t="b">
        <f t="shared" si="44"/>
        <v>1</v>
      </c>
      <c r="T374" s="586" t="str">
        <f t="shared" si="44"/>
        <v/>
      </c>
      <c r="U374" s="586" t="str">
        <f t="shared" si="44"/>
        <v/>
      </c>
      <c r="V374" s="586" t="str">
        <f t="shared" si="44"/>
        <v/>
      </c>
      <c r="W374" s="586" t="b">
        <f t="shared" si="44"/>
        <v>1</v>
      </c>
      <c r="X374" s="586" t="str">
        <f t="shared" si="44"/>
        <v/>
      </c>
      <c r="Y374" s="586" t="str">
        <f t="shared" si="44"/>
        <v/>
      </c>
      <c r="Z374" s="586" t="str">
        <f t="shared" si="44"/>
        <v/>
      </c>
      <c r="AA374" s="586" t="b">
        <f t="shared" si="44"/>
        <v>1</v>
      </c>
      <c r="AB374" s="586" t="str">
        <f t="shared" si="44"/>
        <v/>
      </c>
      <c r="AC374" s="586" t="b">
        <f t="shared" si="44"/>
        <v>1</v>
      </c>
      <c r="AD374" s="586" t="str">
        <f t="shared" si="44"/>
        <v/>
      </c>
      <c r="AE374" s="586" t="str">
        <f t="shared" si="44"/>
        <v/>
      </c>
      <c r="AF374" s="586" t="str">
        <f t="shared" si="44"/>
        <v/>
      </c>
      <c r="AG374" s="586" t="str">
        <f t="shared" si="44"/>
        <v/>
      </c>
      <c r="AH374" s="586" t="str">
        <f t="shared" si="44"/>
        <v/>
      </c>
      <c r="AI374" s="586" t="str">
        <f t="shared" si="44"/>
        <v/>
      </c>
      <c r="AJ374" s="586" t="str">
        <f t="shared" si="44"/>
        <v/>
      </c>
      <c r="AK374" s="586" t="str">
        <f t="shared" si="44"/>
        <v/>
      </c>
      <c r="AL374" s="492"/>
      <c r="AM374" s="492"/>
      <c r="AN374" s="30" t="b">
        <f t="shared" si="30"/>
        <v>1</v>
      </c>
      <c r="AO374" s="17"/>
      <c r="AP374" s="9"/>
      <c r="AQ374" s="9"/>
      <c r="AR374" s="9"/>
    </row>
    <row r="375" spans="1:44" customFormat="1" ht="12" customHeight="1" outlineLevel="2" x14ac:dyDescent="0.35">
      <c r="A375" s="7"/>
      <c r="B375" s="8"/>
      <c r="C375" s="18"/>
      <c r="D375" s="18"/>
      <c r="E375" s="18"/>
      <c r="F375" s="24"/>
      <c r="G375" s="547"/>
      <c r="H375" s="25"/>
      <c r="I375" s="510" t="str">
        <f>General!G77</f>
        <v>of</v>
      </c>
      <c r="J375" s="586" t="str">
        <f t="shared" si="44"/>
        <v/>
      </c>
      <c r="K375" s="586" t="str">
        <f t="shared" si="44"/>
        <v/>
      </c>
      <c r="L375" s="586" t="str">
        <f t="shared" si="44"/>
        <v/>
      </c>
      <c r="M375" s="586" t="str">
        <f t="shared" si="44"/>
        <v/>
      </c>
      <c r="N375" s="586" t="str">
        <f t="shared" si="44"/>
        <v/>
      </c>
      <c r="O375" s="586" t="str">
        <f t="shared" si="44"/>
        <v/>
      </c>
      <c r="P375" s="586" t="str">
        <f t="shared" si="44"/>
        <v/>
      </c>
      <c r="Q375" s="586" t="str">
        <f t="shared" si="44"/>
        <v/>
      </c>
      <c r="R375" s="586" t="str">
        <f t="shared" si="44"/>
        <v/>
      </c>
      <c r="S375" s="586" t="b">
        <f t="shared" si="44"/>
        <v>1</v>
      </c>
      <c r="T375" s="586" t="str">
        <f t="shared" si="44"/>
        <v/>
      </c>
      <c r="U375" s="586" t="str">
        <f t="shared" si="44"/>
        <v/>
      </c>
      <c r="V375" s="586" t="str">
        <f t="shared" si="44"/>
        <v/>
      </c>
      <c r="W375" s="586" t="b">
        <f t="shared" si="44"/>
        <v>1</v>
      </c>
      <c r="X375" s="586" t="str">
        <f t="shared" si="44"/>
        <v/>
      </c>
      <c r="Y375" s="586" t="str">
        <f t="shared" si="44"/>
        <v/>
      </c>
      <c r="Z375" s="586" t="str">
        <f t="shared" si="44"/>
        <v/>
      </c>
      <c r="AA375" s="586" t="b">
        <f t="shared" si="44"/>
        <v>1</v>
      </c>
      <c r="AB375" s="586" t="str">
        <f t="shared" si="44"/>
        <v/>
      </c>
      <c r="AC375" s="586" t="b">
        <f t="shared" si="44"/>
        <v>1</v>
      </c>
      <c r="AD375" s="586" t="str">
        <f t="shared" si="44"/>
        <v/>
      </c>
      <c r="AE375" s="586" t="str">
        <f t="shared" si="44"/>
        <v/>
      </c>
      <c r="AF375" s="586" t="str">
        <f t="shared" si="44"/>
        <v/>
      </c>
      <c r="AG375" s="586" t="str">
        <f t="shared" si="44"/>
        <v/>
      </c>
      <c r="AH375" s="586" t="str">
        <f t="shared" si="44"/>
        <v/>
      </c>
      <c r="AI375" s="586" t="str">
        <f t="shared" si="44"/>
        <v/>
      </c>
      <c r="AJ375" s="586" t="str">
        <f t="shared" si="44"/>
        <v/>
      </c>
      <c r="AK375" s="586" t="str">
        <f t="shared" si="44"/>
        <v/>
      </c>
      <c r="AL375" s="492"/>
      <c r="AM375" s="492"/>
      <c r="AN375" s="30" t="b">
        <f t="shared" si="30"/>
        <v>1</v>
      </c>
      <c r="AO375" s="17"/>
      <c r="AP375" s="9"/>
      <c r="AQ375" s="9"/>
      <c r="AR375" s="9"/>
    </row>
    <row r="376" spans="1:44" customFormat="1" ht="12" customHeight="1" outlineLevel="2" x14ac:dyDescent="0.35">
      <c r="A376" s="7"/>
      <c r="B376" s="8"/>
      <c r="C376" s="18"/>
      <c r="D376" s="18"/>
      <c r="E376" s="18"/>
      <c r="F376" s="24"/>
      <c r="G376" s="547"/>
      <c r="H376" s="25"/>
      <c r="I376" s="510" t="str">
        <f>General!G78</f>
        <v>r</v>
      </c>
      <c r="J376" s="586" t="str">
        <f t="shared" si="44"/>
        <v/>
      </c>
      <c r="K376" s="586" t="str">
        <f t="shared" si="44"/>
        <v/>
      </c>
      <c r="L376" s="586" t="str">
        <f t="shared" si="44"/>
        <v/>
      </c>
      <c r="M376" s="586" t="str">
        <f t="shared" ref="M376:AK376" si="45">IF(ISBLANK(M338),"",M338)</f>
        <v/>
      </c>
      <c r="N376" s="586" t="str">
        <f t="shared" si="45"/>
        <v/>
      </c>
      <c r="O376" s="586" t="str">
        <f t="shared" si="45"/>
        <v/>
      </c>
      <c r="P376" s="586" t="str">
        <f t="shared" si="45"/>
        <v/>
      </c>
      <c r="Q376" s="586" t="str">
        <f t="shared" si="45"/>
        <v/>
      </c>
      <c r="R376" s="586" t="str">
        <f t="shared" si="45"/>
        <v/>
      </c>
      <c r="S376" s="586" t="str">
        <f t="shared" si="45"/>
        <v/>
      </c>
      <c r="T376" s="586" t="str">
        <f t="shared" si="45"/>
        <v/>
      </c>
      <c r="U376" s="586" t="b">
        <f t="shared" si="45"/>
        <v>1</v>
      </c>
      <c r="V376" s="586" t="str">
        <f t="shared" si="45"/>
        <v/>
      </c>
      <c r="W376" s="586" t="str">
        <f t="shared" si="45"/>
        <v/>
      </c>
      <c r="X376" s="586" t="str">
        <f t="shared" si="45"/>
        <v/>
      </c>
      <c r="Y376" s="586" t="b">
        <f t="shared" si="45"/>
        <v>1</v>
      </c>
      <c r="Z376" s="586" t="str">
        <f t="shared" si="45"/>
        <v/>
      </c>
      <c r="AA376" s="586" t="str">
        <f t="shared" si="45"/>
        <v/>
      </c>
      <c r="AB376" s="586" t="str">
        <f t="shared" si="45"/>
        <v/>
      </c>
      <c r="AC376" s="586" t="str">
        <f t="shared" si="45"/>
        <v/>
      </c>
      <c r="AD376" s="586" t="str">
        <f t="shared" si="45"/>
        <v/>
      </c>
      <c r="AE376" s="586" t="str">
        <f t="shared" si="45"/>
        <v/>
      </c>
      <c r="AF376" s="586" t="str">
        <f t="shared" si="45"/>
        <v/>
      </c>
      <c r="AG376" s="586" t="str">
        <f t="shared" si="45"/>
        <v/>
      </c>
      <c r="AH376" s="586" t="str">
        <f t="shared" si="45"/>
        <v/>
      </c>
      <c r="AI376" s="586" t="str">
        <f t="shared" si="45"/>
        <v/>
      </c>
      <c r="AJ376" s="586" t="str">
        <f t="shared" si="45"/>
        <v/>
      </c>
      <c r="AK376" s="586" t="str">
        <f t="shared" si="45"/>
        <v/>
      </c>
      <c r="AL376" s="492"/>
      <c r="AM376" s="492"/>
      <c r="AN376" s="30" t="b">
        <f t="shared" si="30"/>
        <v>1</v>
      </c>
      <c r="AO376" s="17"/>
      <c r="AP376" s="9"/>
      <c r="AQ376" s="9"/>
      <c r="AR376" s="9"/>
    </row>
    <row r="377" spans="1:44" customFormat="1" ht="12" customHeight="1" outlineLevel="2" x14ac:dyDescent="0.35">
      <c r="A377" s="7"/>
      <c r="B377" s="8"/>
      <c r="C377" s="18"/>
      <c r="D377" s="18"/>
      <c r="E377" s="18"/>
      <c r="F377" s="24"/>
      <c r="G377" s="547"/>
      <c r="H377" s="25"/>
      <c r="I377" s="510" t="str">
        <f>General!G79</f>
        <v>rd</v>
      </c>
      <c r="J377" s="586" t="str">
        <f t="shared" ref="J377:AK382" si="46">IF(ISBLANK(J339),"",J339)</f>
        <v/>
      </c>
      <c r="K377" s="586" t="str">
        <f t="shared" si="46"/>
        <v/>
      </c>
      <c r="L377" s="586" t="str">
        <f t="shared" si="46"/>
        <v/>
      </c>
      <c r="M377" s="586" t="str">
        <f t="shared" si="46"/>
        <v/>
      </c>
      <c r="N377" s="586" t="str">
        <f t="shared" si="46"/>
        <v/>
      </c>
      <c r="O377" s="586" t="str">
        <f t="shared" si="46"/>
        <v/>
      </c>
      <c r="P377" s="586" t="str">
        <f t="shared" si="46"/>
        <v/>
      </c>
      <c r="Q377" s="586" t="str">
        <f t="shared" si="46"/>
        <v/>
      </c>
      <c r="R377" s="586" t="str">
        <f t="shared" si="46"/>
        <v/>
      </c>
      <c r="S377" s="586" t="str">
        <f t="shared" si="46"/>
        <v/>
      </c>
      <c r="T377" s="586" t="str">
        <f t="shared" si="46"/>
        <v/>
      </c>
      <c r="U377" s="586" t="b">
        <f t="shared" si="46"/>
        <v>1</v>
      </c>
      <c r="V377" s="586" t="str">
        <f t="shared" si="46"/>
        <v/>
      </c>
      <c r="W377" s="586" t="str">
        <f t="shared" si="46"/>
        <v/>
      </c>
      <c r="X377" s="586" t="str">
        <f t="shared" si="46"/>
        <v/>
      </c>
      <c r="Y377" s="586" t="b">
        <f t="shared" si="46"/>
        <v>1</v>
      </c>
      <c r="Z377" s="586" t="str">
        <f t="shared" si="46"/>
        <v/>
      </c>
      <c r="AA377" s="586" t="str">
        <f t="shared" si="46"/>
        <v/>
      </c>
      <c r="AB377" s="586" t="str">
        <f t="shared" si="46"/>
        <v/>
      </c>
      <c r="AC377" s="586" t="str">
        <f t="shared" si="46"/>
        <v/>
      </c>
      <c r="AD377" s="586" t="str">
        <f t="shared" si="46"/>
        <v/>
      </c>
      <c r="AE377" s="586" t="str">
        <f t="shared" si="46"/>
        <v/>
      </c>
      <c r="AF377" s="586" t="str">
        <f t="shared" si="46"/>
        <v/>
      </c>
      <c r="AG377" s="586" t="str">
        <f t="shared" si="46"/>
        <v/>
      </c>
      <c r="AH377" s="586" t="str">
        <f t="shared" si="46"/>
        <v/>
      </c>
      <c r="AI377" s="586" t="str">
        <f t="shared" si="46"/>
        <v/>
      </c>
      <c r="AJ377" s="586" t="str">
        <f t="shared" si="46"/>
        <v/>
      </c>
      <c r="AK377" s="586" t="str">
        <f t="shared" si="46"/>
        <v/>
      </c>
      <c r="AL377" s="492"/>
      <c r="AM377" s="492"/>
      <c r="AN377" s="30" t="b">
        <f t="shared" si="30"/>
        <v>1</v>
      </c>
      <c r="AO377" s="17"/>
      <c r="AP377" s="9"/>
      <c r="AQ377" s="9"/>
      <c r="AR377" s="9"/>
    </row>
    <row r="378" spans="1:44" customFormat="1" ht="12" customHeight="1" outlineLevel="2" x14ac:dyDescent="0.35">
      <c r="A378" s="7"/>
      <c r="B378" s="8"/>
      <c r="C378" s="18"/>
      <c r="D378" s="18"/>
      <c r="E378" s="18"/>
      <c r="F378" s="24"/>
      <c r="G378" s="547"/>
      <c r="H378" s="25"/>
      <c r="I378" s="510" t="str">
        <f>General!G80</f>
        <v>v</v>
      </c>
      <c r="J378" s="586" t="str">
        <f t="shared" si="46"/>
        <v/>
      </c>
      <c r="K378" s="586" t="str">
        <f t="shared" si="46"/>
        <v/>
      </c>
      <c r="L378" s="586" t="str">
        <f t="shared" si="46"/>
        <v/>
      </c>
      <c r="M378" s="586" t="str">
        <f t="shared" si="46"/>
        <v/>
      </c>
      <c r="N378" s="586" t="str">
        <f t="shared" si="46"/>
        <v/>
      </c>
      <c r="O378" s="586" t="str">
        <f t="shared" si="46"/>
        <v/>
      </c>
      <c r="P378" s="586" t="str">
        <f t="shared" si="46"/>
        <v/>
      </c>
      <c r="Q378" s="586" t="str">
        <f t="shared" si="46"/>
        <v/>
      </c>
      <c r="R378" s="586" t="str">
        <f t="shared" si="46"/>
        <v/>
      </c>
      <c r="S378" s="586" t="str">
        <f t="shared" si="46"/>
        <v/>
      </c>
      <c r="T378" s="586" t="str">
        <f t="shared" si="46"/>
        <v/>
      </c>
      <c r="U378" s="586" t="str">
        <f t="shared" si="46"/>
        <v/>
      </c>
      <c r="V378" s="586" t="str">
        <f t="shared" si="46"/>
        <v/>
      </c>
      <c r="W378" s="586" t="str">
        <f t="shared" si="46"/>
        <v/>
      </c>
      <c r="X378" s="586" t="str">
        <f t="shared" si="46"/>
        <v/>
      </c>
      <c r="Y378" s="586" t="str">
        <f t="shared" si="46"/>
        <v/>
      </c>
      <c r="Z378" s="586" t="str">
        <f t="shared" si="46"/>
        <v/>
      </c>
      <c r="AA378" s="586" t="str">
        <f t="shared" si="46"/>
        <v/>
      </c>
      <c r="AB378" s="586" t="str">
        <f t="shared" si="46"/>
        <v/>
      </c>
      <c r="AC378" s="586" t="str">
        <f t="shared" si="46"/>
        <v/>
      </c>
      <c r="AD378" s="586" t="str">
        <f t="shared" si="46"/>
        <v/>
      </c>
      <c r="AE378" s="586" t="str">
        <f t="shared" si="46"/>
        <v/>
      </c>
      <c r="AF378" s="586" t="str">
        <f t="shared" si="46"/>
        <v/>
      </c>
      <c r="AG378" s="586" t="str">
        <f t="shared" si="46"/>
        <v/>
      </c>
      <c r="AH378" s="586" t="str">
        <f t="shared" si="46"/>
        <v/>
      </c>
      <c r="AI378" s="586" t="str">
        <f t="shared" si="46"/>
        <v/>
      </c>
      <c r="AJ378" s="586" t="b">
        <f t="shared" si="46"/>
        <v>1</v>
      </c>
      <c r="AK378" s="586" t="str">
        <f t="shared" si="46"/>
        <v/>
      </c>
      <c r="AL378" s="492"/>
      <c r="AM378" s="492"/>
      <c r="AN378" s="30" t="b">
        <f t="shared" si="30"/>
        <v>1</v>
      </c>
      <c r="AO378" s="17"/>
      <c r="AP378" s="9"/>
      <c r="AQ378" s="9"/>
      <c r="AR378" s="9"/>
    </row>
    <row r="379" spans="1:44" customFormat="1" ht="12" customHeight="1" outlineLevel="2" x14ac:dyDescent="0.35">
      <c r="A379" s="7"/>
      <c r="B379" s="8"/>
      <c r="C379" s="18"/>
      <c r="D379" s="18"/>
      <c r="E379" s="18"/>
      <c r="F379" s="24"/>
      <c r="G379" s="547"/>
      <c r="H379" s="25"/>
      <c r="I379" s="510" t="str">
        <f>General!G81</f>
        <v>w</v>
      </c>
      <c r="J379" s="586" t="str">
        <f t="shared" si="46"/>
        <v/>
      </c>
      <c r="K379" s="586" t="str">
        <f t="shared" si="46"/>
        <v/>
      </c>
      <c r="L379" s="586" t="str">
        <f t="shared" si="46"/>
        <v/>
      </c>
      <c r="M379" s="586" t="str">
        <f t="shared" si="46"/>
        <v/>
      </c>
      <c r="N379" s="586" t="str">
        <f t="shared" si="46"/>
        <v/>
      </c>
      <c r="O379" s="586" t="str">
        <f t="shared" si="46"/>
        <v/>
      </c>
      <c r="P379" s="586" t="str">
        <f t="shared" si="46"/>
        <v/>
      </c>
      <c r="Q379" s="586" t="str">
        <f t="shared" si="46"/>
        <v/>
      </c>
      <c r="R379" s="586" t="str">
        <f t="shared" si="46"/>
        <v/>
      </c>
      <c r="S379" s="586" t="str">
        <f t="shared" si="46"/>
        <v/>
      </c>
      <c r="T379" s="586" t="str">
        <f t="shared" si="46"/>
        <v/>
      </c>
      <c r="U379" s="586" t="str">
        <f t="shared" si="46"/>
        <v/>
      </c>
      <c r="V379" s="586" t="str">
        <f t="shared" si="46"/>
        <v/>
      </c>
      <c r="W379" s="586" t="b">
        <f t="shared" si="46"/>
        <v>1</v>
      </c>
      <c r="X379" s="586" t="str">
        <f t="shared" si="46"/>
        <v/>
      </c>
      <c r="Y379" s="586" t="str">
        <f t="shared" si="46"/>
        <v/>
      </c>
      <c r="Z379" s="586" t="str">
        <f t="shared" si="46"/>
        <v/>
      </c>
      <c r="AA379" s="586" t="b">
        <f t="shared" si="46"/>
        <v>1</v>
      </c>
      <c r="AB379" s="586" t="str">
        <f t="shared" si="46"/>
        <v/>
      </c>
      <c r="AC379" s="586" t="b">
        <f t="shared" si="46"/>
        <v>1</v>
      </c>
      <c r="AD379" s="586" t="str">
        <f t="shared" si="46"/>
        <v/>
      </c>
      <c r="AE379" s="586" t="str">
        <f t="shared" si="46"/>
        <v/>
      </c>
      <c r="AF379" s="586" t="str">
        <f t="shared" si="46"/>
        <v/>
      </c>
      <c r="AG379" s="586" t="str">
        <f t="shared" si="46"/>
        <v/>
      </c>
      <c r="AH379" s="586" t="str">
        <f t="shared" si="46"/>
        <v/>
      </c>
      <c r="AI379" s="586" t="str">
        <f t="shared" si="46"/>
        <v/>
      </c>
      <c r="AJ379" s="586" t="str">
        <f t="shared" si="46"/>
        <v/>
      </c>
      <c r="AK379" s="586" t="str">
        <f t="shared" si="46"/>
        <v/>
      </c>
      <c r="AL379" s="492"/>
      <c r="AM379" s="492"/>
      <c r="AN379" s="30" t="b">
        <f t="shared" si="30"/>
        <v>1</v>
      </c>
      <c r="AO379" s="17"/>
      <c r="AP379" s="9"/>
      <c r="AQ379" s="9"/>
      <c r="AR379" s="9"/>
    </row>
    <row r="380" spans="1:44" customFormat="1" outlineLevel="2" x14ac:dyDescent="0.35">
      <c r="A380" s="7"/>
      <c r="B380" s="8"/>
      <c r="C380" s="18"/>
      <c r="D380" s="18"/>
      <c r="E380" s="18"/>
      <c r="F380" s="24"/>
      <c r="G380" s="547"/>
      <c r="H380" s="25"/>
      <c r="I380" s="510" t="str">
        <f>General!G82</f>
        <v>wd</v>
      </c>
      <c r="J380" s="586" t="str">
        <f t="shared" si="46"/>
        <v/>
      </c>
      <c r="K380" s="586" t="str">
        <f t="shared" si="46"/>
        <v/>
      </c>
      <c r="L380" s="586" t="str">
        <f t="shared" si="46"/>
        <v/>
      </c>
      <c r="M380" s="586" t="str">
        <f t="shared" si="46"/>
        <v/>
      </c>
      <c r="N380" s="586" t="str">
        <f t="shared" si="46"/>
        <v/>
      </c>
      <c r="O380" s="586" t="str">
        <f t="shared" si="46"/>
        <v/>
      </c>
      <c r="P380" s="586" t="str">
        <f t="shared" si="46"/>
        <v/>
      </c>
      <c r="Q380" s="586" t="str">
        <f t="shared" si="46"/>
        <v/>
      </c>
      <c r="R380" s="586" t="str">
        <f t="shared" si="46"/>
        <v/>
      </c>
      <c r="S380" s="586" t="str">
        <f t="shared" si="46"/>
        <v/>
      </c>
      <c r="T380" s="586" t="str">
        <f t="shared" si="46"/>
        <v/>
      </c>
      <c r="U380" s="586" t="str">
        <f t="shared" si="46"/>
        <v/>
      </c>
      <c r="V380" s="586" t="str">
        <f t="shared" si="46"/>
        <v/>
      </c>
      <c r="W380" s="586" t="b">
        <f t="shared" si="46"/>
        <v>1</v>
      </c>
      <c r="X380" s="586" t="str">
        <f t="shared" si="46"/>
        <v/>
      </c>
      <c r="Y380" s="586" t="str">
        <f t="shared" si="46"/>
        <v/>
      </c>
      <c r="Z380" s="586" t="str">
        <f t="shared" si="46"/>
        <v/>
      </c>
      <c r="AA380" s="586" t="b">
        <f t="shared" si="46"/>
        <v>1</v>
      </c>
      <c r="AB380" s="586" t="str">
        <f t="shared" si="46"/>
        <v/>
      </c>
      <c r="AC380" s="586" t="b">
        <f t="shared" si="46"/>
        <v>1</v>
      </c>
      <c r="AD380" s="586" t="str">
        <f t="shared" si="46"/>
        <v/>
      </c>
      <c r="AE380" s="586" t="str">
        <f t="shared" si="46"/>
        <v/>
      </c>
      <c r="AF380" s="586" t="str">
        <f t="shared" si="46"/>
        <v/>
      </c>
      <c r="AG380" s="586" t="str">
        <f t="shared" si="46"/>
        <v/>
      </c>
      <c r="AH380" s="586" t="str">
        <f t="shared" si="46"/>
        <v/>
      </c>
      <c r="AI380" s="586" t="str">
        <f t="shared" si="46"/>
        <v/>
      </c>
      <c r="AJ380" s="586" t="str">
        <f t="shared" si="46"/>
        <v/>
      </c>
      <c r="AK380" s="586" t="str">
        <f t="shared" si="46"/>
        <v/>
      </c>
      <c r="AL380" s="492"/>
      <c r="AM380" s="492"/>
      <c r="AN380" s="30" t="b">
        <f t="shared" si="30"/>
        <v>1</v>
      </c>
      <c r="AO380" s="17"/>
      <c r="AP380" s="9"/>
      <c r="AQ380" s="9"/>
      <c r="AR380" s="9"/>
    </row>
    <row r="381" spans="1:44" customFormat="1" outlineLevel="2" x14ac:dyDescent="0.35">
      <c r="A381" s="7"/>
      <c r="B381" s="8"/>
      <c r="C381" s="18"/>
      <c r="D381" s="18"/>
      <c r="E381" s="18"/>
      <c r="F381" s="24"/>
      <c r="G381" s="547"/>
      <c r="H381" s="24"/>
      <c r="I381" s="510" t="str">
        <f>General!G83</f>
        <v>z</v>
      </c>
      <c r="J381" s="586" t="str">
        <f t="shared" si="46"/>
        <v/>
      </c>
      <c r="K381" s="586" t="str">
        <f t="shared" si="46"/>
        <v/>
      </c>
      <c r="L381" s="586" t="str">
        <f t="shared" si="46"/>
        <v/>
      </c>
      <c r="M381" s="586" t="str">
        <f t="shared" si="46"/>
        <v/>
      </c>
      <c r="N381" s="586" t="str">
        <f t="shared" si="46"/>
        <v/>
      </c>
      <c r="O381" s="586" t="str">
        <f t="shared" si="46"/>
        <v/>
      </c>
      <c r="P381" s="586" t="str">
        <f t="shared" si="46"/>
        <v/>
      </c>
      <c r="Q381" s="586" t="str">
        <f t="shared" si="46"/>
        <v/>
      </c>
      <c r="R381" s="586" t="str">
        <f t="shared" si="46"/>
        <v/>
      </c>
      <c r="S381" s="586" t="str">
        <f t="shared" si="46"/>
        <v/>
      </c>
      <c r="T381" s="586" t="str">
        <f t="shared" si="46"/>
        <v/>
      </c>
      <c r="U381" s="586" t="b">
        <f t="shared" si="46"/>
        <v>1</v>
      </c>
      <c r="V381" s="586" t="str">
        <f t="shared" si="46"/>
        <v/>
      </c>
      <c r="W381" s="586" t="str">
        <f t="shared" si="46"/>
        <v/>
      </c>
      <c r="X381" s="586" t="str">
        <f t="shared" si="46"/>
        <v/>
      </c>
      <c r="Y381" s="586" t="b">
        <f t="shared" si="46"/>
        <v>1</v>
      </c>
      <c r="Z381" s="586" t="str">
        <f t="shared" si="46"/>
        <v/>
      </c>
      <c r="AA381" s="586" t="str">
        <f t="shared" si="46"/>
        <v/>
      </c>
      <c r="AB381" s="586" t="str">
        <f t="shared" si="46"/>
        <v/>
      </c>
      <c r="AC381" s="586" t="str">
        <f t="shared" si="46"/>
        <v/>
      </c>
      <c r="AD381" s="586" t="str">
        <f t="shared" si="46"/>
        <v/>
      </c>
      <c r="AE381" s="586" t="str">
        <f t="shared" si="46"/>
        <v/>
      </c>
      <c r="AF381" s="586" t="str">
        <f t="shared" si="46"/>
        <v/>
      </c>
      <c r="AG381" s="586" t="str">
        <f t="shared" si="46"/>
        <v/>
      </c>
      <c r="AH381" s="586" t="str">
        <f t="shared" si="46"/>
        <v/>
      </c>
      <c r="AI381" s="586" t="str">
        <f t="shared" si="46"/>
        <v/>
      </c>
      <c r="AJ381" s="586" t="str">
        <f t="shared" si="46"/>
        <v/>
      </c>
      <c r="AK381" s="586" t="str">
        <f t="shared" si="46"/>
        <v/>
      </c>
      <c r="AL381" s="492"/>
      <c r="AM381" s="492"/>
      <c r="AN381" s="30" t="b">
        <f t="shared" si="30"/>
        <v>1</v>
      </c>
      <c r="AO381" s="17"/>
      <c r="AP381" s="9"/>
      <c r="AQ381" s="9"/>
      <c r="AR381" s="9"/>
    </row>
    <row r="382" spans="1:44" customFormat="1" outlineLevel="2" x14ac:dyDescent="0.35">
      <c r="A382" s="7"/>
      <c r="B382" s="8"/>
      <c r="C382" s="18"/>
      <c r="D382" s="18"/>
      <c r="E382" s="18"/>
      <c r="F382" s="24"/>
      <c r="G382" s="547"/>
      <c r="H382" s="24"/>
      <c r="I382" s="510" t="str">
        <f>General!G84</f>
        <v>zd</v>
      </c>
      <c r="J382" s="586" t="str">
        <f t="shared" si="46"/>
        <v/>
      </c>
      <c r="K382" s="586" t="str">
        <f t="shared" si="46"/>
        <v/>
      </c>
      <c r="L382" s="586" t="str">
        <f t="shared" si="46"/>
        <v/>
      </c>
      <c r="M382" s="586" t="str">
        <f t="shared" si="46"/>
        <v/>
      </c>
      <c r="N382" s="586" t="str">
        <f t="shared" si="46"/>
        <v/>
      </c>
      <c r="O382" s="586" t="str">
        <f t="shared" si="46"/>
        <v/>
      </c>
      <c r="P382" s="586" t="str">
        <f t="shared" si="46"/>
        <v/>
      </c>
      <c r="Q382" s="586" t="str">
        <f t="shared" si="46"/>
        <v/>
      </c>
      <c r="R382" s="586" t="str">
        <f t="shared" si="46"/>
        <v/>
      </c>
      <c r="S382" s="586" t="str">
        <f t="shared" si="46"/>
        <v/>
      </c>
      <c r="T382" s="586" t="str">
        <f t="shared" si="46"/>
        <v/>
      </c>
      <c r="U382" s="586" t="b">
        <f t="shared" si="46"/>
        <v>1</v>
      </c>
      <c r="V382" s="586" t="str">
        <f t="shared" si="46"/>
        <v/>
      </c>
      <c r="W382" s="586" t="str">
        <f t="shared" si="46"/>
        <v/>
      </c>
      <c r="X382" s="586" t="str">
        <f t="shared" si="46"/>
        <v/>
      </c>
      <c r="Y382" s="586" t="b">
        <f t="shared" si="46"/>
        <v>1</v>
      </c>
      <c r="Z382" s="586" t="str">
        <f t="shared" si="46"/>
        <v/>
      </c>
      <c r="AA382" s="586" t="str">
        <f t="shared" si="46"/>
        <v/>
      </c>
      <c r="AB382" s="586" t="str">
        <f t="shared" si="46"/>
        <v/>
      </c>
      <c r="AC382" s="586" t="str">
        <f t="shared" si="46"/>
        <v/>
      </c>
      <c r="AD382" s="586" t="str">
        <f t="shared" si="46"/>
        <v/>
      </c>
      <c r="AE382" s="586" t="str">
        <f t="shared" si="46"/>
        <v/>
      </c>
      <c r="AF382" s="586" t="str">
        <f t="shared" si="46"/>
        <v/>
      </c>
      <c r="AG382" s="586" t="str">
        <f t="shared" si="46"/>
        <v/>
      </c>
      <c r="AH382" s="586" t="str">
        <f t="shared" si="46"/>
        <v/>
      </c>
      <c r="AI382" s="586" t="str">
        <f t="shared" si="46"/>
        <v/>
      </c>
      <c r="AJ382" s="586" t="str">
        <f t="shared" si="46"/>
        <v/>
      </c>
      <c r="AK382" s="586" t="str">
        <f t="shared" si="46"/>
        <v/>
      </c>
      <c r="AL382" s="492"/>
      <c r="AM382" s="492"/>
      <c r="AN382" s="30" t="b">
        <f t="shared" si="30"/>
        <v>1</v>
      </c>
      <c r="AO382" s="17"/>
      <c r="AP382" s="9"/>
      <c r="AQ382" s="9"/>
      <c r="AR382" s="9"/>
    </row>
    <row r="383" spans="1:44" customFormat="1" outlineLevel="1" x14ac:dyDescent="0.35">
      <c r="A383" s="7"/>
      <c r="B383" s="8"/>
      <c r="C383" s="18"/>
      <c r="D383" s="18"/>
      <c r="E383" s="18"/>
      <c r="F383" s="24"/>
      <c r="G383" s="24"/>
      <c r="H383" s="28"/>
      <c r="I383" s="34"/>
      <c r="J383" s="587"/>
      <c r="K383" s="587"/>
      <c r="L383" s="587"/>
      <c r="M383" s="587"/>
      <c r="N383" s="587"/>
      <c r="O383" s="587"/>
      <c r="P383" s="587"/>
      <c r="Q383" s="587"/>
      <c r="R383" s="587"/>
      <c r="S383" s="587"/>
      <c r="T383" s="587"/>
      <c r="U383" s="587"/>
      <c r="X383" s="35"/>
      <c r="Y383" s="35"/>
      <c r="Z383" s="35"/>
      <c r="AA383" s="35"/>
      <c r="AB383" s="35"/>
      <c r="AC383" s="35"/>
      <c r="AD383" s="587"/>
      <c r="AE383" s="587"/>
      <c r="AF383" s="587"/>
      <c r="AG383" s="587"/>
      <c r="AH383" s="587"/>
      <c r="AI383" s="587"/>
      <c r="AJ383" s="587"/>
      <c r="AK383" s="35"/>
      <c r="AL383" s="35"/>
      <c r="AM383" s="35"/>
      <c r="AN383" s="27"/>
      <c r="AO383" s="17"/>
      <c r="AP383" s="9"/>
      <c r="AQ383" s="9"/>
      <c r="AR383" s="9"/>
    </row>
    <row r="384" spans="1:44" customFormat="1" outlineLevel="1" x14ac:dyDescent="0.35">
      <c r="A384" s="7"/>
      <c r="B384" s="8"/>
      <c r="C384" s="18"/>
      <c r="D384" s="18"/>
      <c r="E384" s="18"/>
      <c r="F384" s="24"/>
      <c r="G384" s="24"/>
      <c r="H384" s="34"/>
      <c r="I384" s="34"/>
      <c r="J384" s="587"/>
      <c r="K384" s="587"/>
      <c r="L384" s="587"/>
      <c r="M384" s="587"/>
      <c r="N384" s="587"/>
      <c r="O384" s="587"/>
      <c r="P384" s="587"/>
      <c r="Q384" s="587"/>
      <c r="R384" s="587"/>
      <c r="S384" s="587"/>
      <c r="T384" s="587"/>
      <c r="U384" s="587"/>
      <c r="V384" s="35"/>
      <c r="W384" s="35"/>
      <c r="X384" s="35"/>
      <c r="Y384" s="35"/>
      <c r="Z384" s="35"/>
      <c r="AA384" s="35"/>
      <c r="AB384" s="35"/>
      <c r="AC384" s="35"/>
      <c r="AD384" s="35"/>
      <c r="AE384" s="587"/>
      <c r="AF384" s="587"/>
      <c r="AG384" s="587"/>
      <c r="AH384" s="587"/>
      <c r="AI384" s="587"/>
      <c r="AJ384" s="587"/>
      <c r="AK384" s="35"/>
      <c r="AL384" s="35"/>
      <c r="AM384" s="35"/>
      <c r="AN384" s="27"/>
      <c r="AO384" s="17"/>
      <c r="AP384" s="9"/>
      <c r="AQ384" s="9"/>
      <c r="AR384" s="9"/>
    </row>
    <row r="385" spans="1:44" customFormat="1" ht="5.15" customHeight="1" outlineLevel="1" x14ac:dyDescent="0.3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4" customHeight="1" outlineLevel="1" x14ac:dyDescent="0.3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3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39" t="s">
        <v>2179</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40" t="s">
        <v>2178</v>
      </c>
      <c r="K12" s="641"/>
      <c r="L12" s="641"/>
      <c r="M12" s="641"/>
      <c r="N12" s="641"/>
      <c r="O12" s="641"/>
      <c r="P12" s="641"/>
      <c r="Q12" s="641"/>
      <c r="R12" s="641"/>
      <c r="S12" s="641"/>
      <c r="T12" s="641"/>
      <c r="U12" s="641"/>
      <c r="V12" s="641"/>
      <c r="W12" s="641"/>
      <c r="X12" s="642"/>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7" activePane="bottomLeft" state="frozen"/>
      <selection pane="bottomLeft" activeCell="I138" sqref="I138:K142"/>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3" max="63" width="11.453125" bestFit="1" customWidth="1"/>
    <col min="66" max="66" width="11.7265625" customWidth="1"/>
  </cols>
  <sheetData>
    <row r="1" spans="1:46"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35">
      <c r="A11" s="45"/>
      <c r="B11" s="54"/>
      <c r="C11" s="47">
        <f>INT($C$6)+1.045</f>
        <v>2.0449999999999999</v>
      </c>
      <c r="D11" s="73"/>
      <c r="E11" s="70"/>
      <c r="F11" s="70"/>
      <c r="G11" s="73"/>
      <c r="H11" s="76" t="s">
        <v>134</v>
      </c>
      <c r="I11" s="279">
        <v>45930.900759259297</v>
      </c>
      <c r="J11" s="643" t="s">
        <v>3787</v>
      </c>
      <c r="K11" s="639"/>
      <c r="L11" s="639"/>
      <c r="M11" s="639"/>
      <c r="N11" s="639"/>
      <c r="O11" s="639"/>
      <c r="P11" s="639"/>
      <c r="Q11" s="639"/>
      <c r="R11" s="639"/>
      <c r="S11" s="639"/>
      <c r="T11" s="639"/>
      <c r="U11" s="639"/>
      <c r="V11" s="639"/>
      <c r="W11" s="639"/>
      <c r="X11" s="639"/>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35">
      <c r="A12" s="45"/>
      <c r="B12" s="54"/>
      <c r="C12" s="47">
        <f>INT($C$6)+1.045</f>
        <v>2.0449999999999999</v>
      </c>
      <c r="D12" s="73"/>
      <c r="E12" s="70"/>
      <c r="F12" s="70"/>
      <c r="G12" s="73"/>
      <c r="H12" s="76" t="s">
        <v>135</v>
      </c>
      <c r="I12" s="271">
        <v>45931.428264120397</v>
      </c>
      <c r="J12" s="640" t="s">
        <v>3499</v>
      </c>
      <c r="K12" s="641"/>
      <c r="L12" s="641"/>
      <c r="M12" s="641"/>
      <c r="N12" s="641"/>
      <c r="O12" s="641"/>
      <c r="P12" s="641"/>
      <c r="Q12" s="641"/>
      <c r="R12" s="641"/>
      <c r="S12" s="641"/>
      <c r="T12" s="641"/>
      <c r="U12" s="641"/>
      <c r="V12" s="641"/>
      <c r="W12" s="641"/>
      <c r="X12" s="642"/>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49999999999999" customHeight="1" outlineLevel="1" x14ac:dyDescent="0.3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3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35">
      <c r="A44" s="45"/>
      <c r="B44" s="54"/>
      <c r="C44" s="87">
        <f>INT($C$29)+2</f>
        <v>3</v>
      </c>
      <c r="D44" s="73"/>
      <c r="E44" s="70"/>
      <c r="F44" s="70"/>
      <c r="G44" s="73"/>
      <c r="H44" s="76" t="s">
        <v>2561</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35">
      <c r="A47" s="45"/>
      <c r="B47" s="54"/>
      <c r="C47" s="87">
        <f>INT($C$29)+2</f>
        <v>3</v>
      </c>
      <c r="D47" s="73"/>
      <c r="E47" s="70"/>
      <c r="F47" s="70"/>
      <c r="G47" s="73"/>
      <c r="H47" s="76"/>
      <c r="I47" s="76"/>
      <c r="J47" s="95" t="s">
        <v>2717</v>
      </c>
      <c r="K47" s="95"/>
      <c r="L47" s="95"/>
      <c r="M47" s="95"/>
      <c r="N47" s="95"/>
      <c r="O47" s="76"/>
      <c r="P47" s="95" t="s">
        <v>2718</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6"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3485</v>
      </c>
      <c r="Q48" s="96" t="s">
        <v>3492</v>
      </c>
      <c r="R48" s="96" t="s">
        <v>3486</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3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3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3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3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3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3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3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3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3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3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3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3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3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49999999999999" customHeight="1" outlineLevel="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15"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5"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35">
      <c r="A93" s="45"/>
      <c r="B93" s="54"/>
      <c r="C93" s="87">
        <f>INT($C$81)+2</f>
        <v>3</v>
      </c>
      <c r="D93" s="73"/>
      <c r="E93" s="70"/>
      <c r="F93" s="70"/>
      <c r="G93" s="73"/>
      <c r="H93" s="105"/>
      <c r="I93" s="106" t="s">
        <v>2205</v>
      </c>
      <c r="J93" s="107"/>
      <c r="K93" s="76"/>
      <c r="L93" s="76"/>
      <c r="M93" s="107"/>
      <c r="N93" s="106" t="s">
        <v>175</v>
      </c>
      <c r="O93" s="107"/>
      <c r="P93" s="107"/>
      <c r="Q93" s="608" t="s">
        <v>176</v>
      </c>
      <c r="R93" s="607"/>
      <c r="S93" s="607"/>
      <c r="T93" s="607"/>
      <c r="U93" s="607" t="s">
        <v>177</v>
      </c>
      <c r="V93" s="607"/>
      <c r="W93" s="607" t="s">
        <v>178</v>
      </c>
      <c r="X93" s="607"/>
      <c r="Y93" s="106" t="s">
        <v>2691</v>
      </c>
      <c r="Z93" s="107"/>
      <c r="AA93" s="107"/>
      <c r="AB93" s="107"/>
      <c r="AC93" s="107"/>
      <c r="AD93" s="107"/>
      <c r="AE93" s="76"/>
      <c r="AF93" s="76" t="s">
        <v>2690</v>
      </c>
      <c r="AG93" s="76"/>
      <c r="AH93" s="76"/>
      <c r="AI93" s="76"/>
      <c r="AJ93" s="76"/>
      <c r="AK93" s="76"/>
      <c r="AL93" s="76"/>
      <c r="AM93" s="76"/>
      <c r="AN93" s="73"/>
      <c r="AO93" s="57"/>
      <c r="AP93" s="45"/>
      <c r="AQ93" s="45"/>
      <c r="AR93" s="45"/>
      <c r="AS93" s="437"/>
      <c r="AT93" s="437"/>
      <c r="AX93" s="425" t="s">
        <v>2181</v>
      </c>
      <c r="BD93" t="s">
        <v>2234</v>
      </c>
    </row>
    <row r="94" spans="1:65" outlineLevel="2" x14ac:dyDescent="0.35">
      <c r="A94" s="45"/>
      <c r="B94" s="54"/>
      <c r="C94" s="87">
        <f>INT($C$81)+2</f>
        <v>3</v>
      </c>
      <c r="D94" s="73"/>
      <c r="E94" s="70"/>
      <c r="F94" s="70"/>
      <c r="G94" s="73"/>
      <c r="H94" s="76"/>
      <c r="I94" s="95" t="s">
        <v>3279</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3237</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2235</v>
      </c>
    </row>
    <row r="95" spans="1:65" outlineLevel="3" x14ac:dyDescent="0.3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D95" t="s">
        <v>2236</v>
      </c>
      <c r="BE95" s="153">
        <v>50</v>
      </c>
      <c r="BF95">
        <f>IFERROR(MIN(2,MATCH($BE95,i_woolp_mpg_range_w5,1)),1)-1</f>
        <v>1</v>
      </c>
      <c r="BG95" t="s">
        <v>2237</v>
      </c>
      <c r="BH95" s="97">
        <v>50</v>
      </c>
      <c r="BI95">
        <f>IFERROR(MIN(2,MATCH($BH95,i_woolp_fdprem_range_w5,1)),1)-1</f>
        <v>1</v>
      </c>
      <c r="BK95" s="313" t="s">
        <v>2315</v>
      </c>
      <c r="BL95" s="313"/>
      <c r="BM95" s="313"/>
    </row>
    <row r="96" spans="1:65" outlineLevel="3" x14ac:dyDescent="0.3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2238</v>
      </c>
      <c r="BD96" s="321" t="s">
        <v>2239</v>
      </c>
      <c r="BE96" s="321" t="s">
        <v>2237</v>
      </c>
      <c r="BF96" s="330" t="s">
        <v>2243</v>
      </c>
      <c r="BG96" s="415" t="s">
        <v>2676</v>
      </c>
      <c r="BK96" s="319" t="s">
        <v>2314</v>
      </c>
      <c r="BL96" s="319" t="s">
        <v>2236</v>
      </c>
      <c r="BM96" s="319" t="s">
        <v>2237</v>
      </c>
    </row>
    <row r="97" spans="1:65" outlineLevel="3" x14ac:dyDescent="0.3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IF($BC97=i_woolp_fd_std,_xlfn.FORECAST.LINEAR($BE$95,OFFSET($I97:$M97,0,$BF$95,1,2),OFFSET(i_woolp_mpg_range_w5,0,$BF$95,1,2)),0)</f>
        <v>0</v>
      </c>
      <c r="BE97" s="316">
        <f t="shared" ref="BE97:BE113" ca="1" si="13">_xlfn.FORECAST.LINEAR($BH$95,OFFSET($AF97:$AJ97,0,$BI$95,1,2),OFFSET(i_woolp_fdprem_range_w5,0,$BI$95,1,2))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65" outlineLevel="3" x14ac:dyDescent="0.3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65" outlineLevel="3" x14ac:dyDescent="0.3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65" outlineLevel="3" x14ac:dyDescent="0.3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row>
    <row r="101" spans="1:65" outlineLevel="3" x14ac:dyDescent="0.3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row>
    <row r="102" spans="1:65" outlineLevel="3" x14ac:dyDescent="0.3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65" outlineLevel="3" x14ac:dyDescent="0.3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row>
    <row r="104" spans="1:65" outlineLevel="3" x14ac:dyDescent="0.3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7">N103</f>
        <v>0</v>
      </c>
      <c r="O104" s="289">
        <f t="shared" si="17"/>
        <v>-1.9178082191780823E-2</v>
      </c>
      <c r="P104" s="289">
        <f t="shared" si="17"/>
        <v>-5.4794520547945202E-2</v>
      </c>
      <c r="Q104" s="601">
        <f t="shared" si="17"/>
        <v>-2.7397260273972601E-2</v>
      </c>
      <c r="R104" s="601">
        <f t="shared" si="17"/>
        <v>-1.0958904109589041E-2</v>
      </c>
      <c r="S104" s="601">
        <f t="shared" si="17"/>
        <v>0</v>
      </c>
      <c r="T104" s="601">
        <f t="shared" si="17"/>
        <v>4.10958904109589E-3</v>
      </c>
      <c r="U104" s="601">
        <f t="shared" si="17"/>
        <v>0</v>
      </c>
      <c r="V104" s="601">
        <f t="shared" si="17"/>
        <v>0</v>
      </c>
      <c r="W104" s="601">
        <f t="shared" si="17"/>
        <v>0</v>
      </c>
      <c r="X104" s="601">
        <f t="shared" ref="X104:AD108" si="18">X103</f>
        <v>0</v>
      </c>
      <c r="Y104" s="289">
        <f t="shared" si="18"/>
        <v>0.94399999999999995</v>
      </c>
      <c r="Z104" s="290">
        <f t="shared" si="18"/>
        <v>0.82499999999999996</v>
      </c>
      <c r="AA104" s="290">
        <f t="shared" si="18"/>
        <v>0.82499999999999996</v>
      </c>
      <c r="AB104" s="290">
        <f t="shared" si="18"/>
        <v>0.57499999999999996</v>
      </c>
      <c r="AC104" s="290">
        <f t="shared" si="18"/>
        <v>0.60499999999999998</v>
      </c>
      <c r="AD104" s="290">
        <f t="shared" si="18"/>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65" outlineLevel="3" x14ac:dyDescent="0.3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7"/>
        <v>0</v>
      </c>
      <c r="O105" s="289">
        <f t="shared" si="17"/>
        <v>-1.9178082191780823E-2</v>
      </c>
      <c r="P105" s="289">
        <f t="shared" si="17"/>
        <v>-5.4794520547945202E-2</v>
      </c>
      <c r="Q105" s="601">
        <f t="shared" si="17"/>
        <v>-2.7397260273972601E-2</v>
      </c>
      <c r="R105" s="601">
        <f t="shared" si="17"/>
        <v>-1.0958904109589041E-2</v>
      </c>
      <c r="S105" s="601">
        <f t="shared" si="17"/>
        <v>0</v>
      </c>
      <c r="T105" s="601">
        <f t="shared" si="17"/>
        <v>4.10958904109589E-3</v>
      </c>
      <c r="U105" s="601">
        <f t="shared" si="17"/>
        <v>0</v>
      </c>
      <c r="V105" s="601">
        <f t="shared" si="17"/>
        <v>0</v>
      </c>
      <c r="W105" s="601">
        <f t="shared" si="17"/>
        <v>0</v>
      </c>
      <c r="X105" s="601">
        <f t="shared" si="18"/>
        <v>0</v>
      </c>
      <c r="Y105" s="289">
        <f t="shared" si="18"/>
        <v>0.94399999999999995</v>
      </c>
      <c r="Z105" s="290">
        <f t="shared" si="18"/>
        <v>0.82499999999999996</v>
      </c>
      <c r="AA105" s="290">
        <f t="shared" si="18"/>
        <v>0.82499999999999996</v>
      </c>
      <c r="AB105" s="290">
        <f t="shared" si="18"/>
        <v>0.57499999999999996</v>
      </c>
      <c r="AC105" s="290">
        <f t="shared" si="18"/>
        <v>0.60499999999999998</v>
      </c>
      <c r="AD105" s="290">
        <f t="shared" si="18"/>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19">1-((1+AG105)/(1+AG104))^(1/($H104-$H105))</f>
        <v>-4.2312962455467229E-2</v>
      </c>
      <c r="AY105" s="116">
        <f t="shared" ref="AY105:AY106" si="20">1-((1+AH105)/(1+AH104))^(1/($H104-$H105))</f>
        <v>-0.10052083333333339</v>
      </c>
      <c r="AZ105" s="116">
        <f t="shared" ref="AZ105:AZ106" si="21">1-((1+AI105)/(1+AI104))^(1/($H104-$H105))</f>
        <v>-0.13867433087839065</v>
      </c>
      <c r="BC105" s="315">
        <f t="shared" si="11"/>
        <v>20</v>
      </c>
      <c r="BD105">
        <f t="shared" ca="1" si="12"/>
        <v>0</v>
      </c>
      <c r="BE105" s="316">
        <f t="shared" ca="1" si="13"/>
        <v>-9.1339327969711337E-2</v>
      </c>
      <c r="BF105" s="317">
        <f t="shared" ca="1" si="14"/>
        <v>1359.36</v>
      </c>
      <c r="BG105" s="317">
        <f t="shared" ca="1" si="15"/>
        <v>788.92815953006618</v>
      </c>
    </row>
    <row r="106" spans="1:65" outlineLevel="3" x14ac:dyDescent="0.3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7"/>
        <v>0</v>
      </c>
      <c r="O106" s="289">
        <f t="shared" si="17"/>
        <v>-1.9178082191780823E-2</v>
      </c>
      <c r="P106" s="289">
        <f t="shared" si="17"/>
        <v>-5.4794520547945202E-2</v>
      </c>
      <c r="Q106" s="601">
        <f t="shared" si="17"/>
        <v>-2.7397260273972601E-2</v>
      </c>
      <c r="R106" s="601">
        <f t="shared" si="17"/>
        <v>-1.0958904109589041E-2</v>
      </c>
      <c r="S106" s="601">
        <f t="shared" si="17"/>
        <v>0</v>
      </c>
      <c r="T106" s="601">
        <f t="shared" si="17"/>
        <v>4.10958904109589E-3</v>
      </c>
      <c r="U106" s="601">
        <f t="shared" si="17"/>
        <v>0</v>
      </c>
      <c r="V106" s="601">
        <f t="shared" si="17"/>
        <v>0</v>
      </c>
      <c r="W106" s="601">
        <f t="shared" si="17"/>
        <v>0</v>
      </c>
      <c r="X106" s="601">
        <f t="shared" si="18"/>
        <v>0</v>
      </c>
      <c r="Y106" s="289">
        <f t="shared" si="18"/>
        <v>0.94399999999999995</v>
      </c>
      <c r="Z106" s="290">
        <f t="shared" si="18"/>
        <v>0.82499999999999996</v>
      </c>
      <c r="AA106" s="290">
        <f t="shared" si="18"/>
        <v>0.82499999999999996</v>
      </c>
      <c r="AB106" s="290">
        <f t="shared" si="18"/>
        <v>0.57499999999999996</v>
      </c>
      <c r="AC106" s="290">
        <f t="shared" si="18"/>
        <v>0.60499999999999998</v>
      </c>
      <c r="AD106" s="290">
        <f t="shared" si="18"/>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19"/>
        <v>-1.3962097991184974E-2</v>
      </c>
      <c r="AY106" s="116">
        <f t="shared" si="20"/>
        <v>-2.8571428571428692E-2</v>
      </c>
      <c r="AZ106" s="116">
        <f t="shared" si="21"/>
        <v>-3.6180631120783513E-2</v>
      </c>
      <c r="BC106" s="315">
        <f t="shared" si="11"/>
        <v>21</v>
      </c>
      <c r="BD106">
        <f t="shared" ca="1" si="12"/>
        <v>0</v>
      </c>
      <c r="BE106" s="316">
        <f t="shared" ca="1" si="13"/>
        <v>-0.11657990219277492</v>
      </c>
      <c r="BF106" s="317">
        <f t="shared" ca="1" si="14"/>
        <v>1321.6</v>
      </c>
      <c r="BG106" s="317">
        <f t="shared" ca="1" si="15"/>
        <v>760.75255271078879</v>
      </c>
    </row>
    <row r="107" spans="1:65" outlineLevel="3" x14ac:dyDescent="0.3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7"/>
        <v>0</v>
      </c>
      <c r="O107" s="289">
        <f t="shared" si="17"/>
        <v>-1.9178082191780823E-2</v>
      </c>
      <c r="P107" s="289">
        <f t="shared" si="17"/>
        <v>-5.4794520547945202E-2</v>
      </c>
      <c r="Q107" s="601">
        <f t="shared" si="17"/>
        <v>-2.7397260273972601E-2</v>
      </c>
      <c r="R107" s="601">
        <f t="shared" si="17"/>
        <v>-1.0958904109589041E-2</v>
      </c>
      <c r="S107" s="601">
        <f t="shared" si="17"/>
        <v>0</v>
      </c>
      <c r="T107" s="601">
        <f t="shared" si="17"/>
        <v>4.10958904109589E-3</v>
      </c>
      <c r="U107" s="601">
        <f t="shared" si="17"/>
        <v>0</v>
      </c>
      <c r="V107" s="601">
        <f t="shared" si="17"/>
        <v>0</v>
      </c>
      <c r="W107" s="601">
        <f t="shared" si="17"/>
        <v>0</v>
      </c>
      <c r="X107" s="601">
        <f t="shared" si="18"/>
        <v>0</v>
      </c>
      <c r="Y107" s="289">
        <f t="shared" si="18"/>
        <v>0.94399999999999995</v>
      </c>
      <c r="Z107" s="290">
        <f t="shared" si="18"/>
        <v>0.82499999999999996</v>
      </c>
      <c r="AA107" s="290">
        <f t="shared" si="18"/>
        <v>0.82499999999999996</v>
      </c>
      <c r="AB107" s="290">
        <f t="shared" si="18"/>
        <v>0.57499999999999996</v>
      </c>
      <c r="AC107" s="290">
        <f t="shared" si="18"/>
        <v>0.60499999999999998</v>
      </c>
      <c r="AD107" s="290">
        <f t="shared" si="18"/>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2">1-((1+AG107)/(1+AG106))^(1/($H106-$H107))</f>
        <v>-8.4836810501518478E-3</v>
      </c>
      <c r="AY107" s="116">
        <f t="shared" ref="AY107:AZ113" si="23">1-((1+AH107)/(1+AH106))^(1/($H106-$H107))</f>
        <v>-1.8181818181818077E-2</v>
      </c>
      <c r="AZ107" s="116">
        <f t="shared" si="23"/>
        <v>-2.9170943991198017E-2</v>
      </c>
      <c r="BC107" s="315">
        <f t="shared" si="11"/>
        <v>22</v>
      </c>
      <c r="BD107">
        <f t="shared" ca="1" si="12"/>
        <v>0</v>
      </c>
      <c r="BE107" s="316">
        <f t="shared" ca="1" si="13"/>
        <v>-0.13235526108218965</v>
      </c>
      <c r="BF107" s="317">
        <f t="shared" ca="1" si="14"/>
        <v>1298</v>
      </c>
      <c r="BG107" s="317">
        <f t="shared" ca="1" si="15"/>
        <v>744.32756407782733</v>
      </c>
    </row>
    <row r="108" spans="1:65" outlineLevel="3" x14ac:dyDescent="0.3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7"/>
        <v>0</v>
      </c>
      <c r="O108" s="289">
        <f t="shared" si="17"/>
        <v>-1.9178082191780823E-2</v>
      </c>
      <c r="P108" s="289">
        <f t="shared" si="17"/>
        <v>-5.4794520547945202E-2</v>
      </c>
      <c r="Q108" s="601">
        <f t="shared" si="17"/>
        <v>-2.7397260273972601E-2</v>
      </c>
      <c r="R108" s="601">
        <f t="shared" si="17"/>
        <v>-1.0958904109589041E-2</v>
      </c>
      <c r="S108" s="601">
        <f t="shared" si="17"/>
        <v>0</v>
      </c>
      <c r="T108" s="601">
        <f t="shared" si="17"/>
        <v>4.10958904109589E-3</v>
      </c>
      <c r="U108" s="601">
        <f t="shared" si="17"/>
        <v>0</v>
      </c>
      <c r="V108" s="601">
        <f t="shared" si="17"/>
        <v>0</v>
      </c>
      <c r="W108" s="601">
        <f t="shared" si="17"/>
        <v>0</v>
      </c>
      <c r="X108" s="601">
        <f t="shared" si="18"/>
        <v>0</v>
      </c>
      <c r="Y108" s="289">
        <f t="shared" si="18"/>
        <v>0.94399999999999995</v>
      </c>
      <c r="Z108" s="290">
        <f t="shared" si="18"/>
        <v>0.82499999999999996</v>
      </c>
      <c r="AA108" s="290">
        <f t="shared" si="18"/>
        <v>0.82499999999999996</v>
      </c>
      <c r="AB108" s="290">
        <f t="shared" si="18"/>
        <v>0.57499999999999996</v>
      </c>
      <c r="AC108" s="290">
        <f t="shared" si="18"/>
        <v>0.60499999999999998</v>
      </c>
      <c r="AD108" s="290">
        <f t="shared" si="18"/>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2"/>
        <v>-5.6888994195000597E-2</v>
      </c>
      <c r="AY108" s="116">
        <f t="shared" si="23"/>
        <v>-8.7386318703044585E-2</v>
      </c>
      <c r="AZ108" s="116">
        <f t="shared" si="23"/>
        <v>-0.11019742671817934</v>
      </c>
      <c r="BC108" s="315">
        <f t="shared" si="11"/>
        <v>23</v>
      </c>
      <c r="BD108">
        <f t="shared" ca="1" si="12"/>
        <v>0</v>
      </c>
      <c r="BE108" s="316">
        <f t="shared" ca="1" si="13"/>
        <v>-0.20208234737340267</v>
      </c>
      <c r="BF108" s="317">
        <f t="shared" ca="1" si="14"/>
        <v>1193.6879999999999</v>
      </c>
      <c r="BG108" s="317">
        <f t="shared" ca="1" si="15"/>
        <v>685.44491404519579</v>
      </c>
    </row>
    <row r="109" spans="1:65" outlineLevel="3" x14ac:dyDescent="0.3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24">N108</f>
        <v>0</v>
      </c>
      <c r="O109" s="289">
        <f t="shared" si="24"/>
        <v>-1.9178082191780823E-2</v>
      </c>
      <c r="P109" s="289">
        <f t="shared" si="24"/>
        <v>-5.4794520547945202E-2</v>
      </c>
      <c r="Q109" s="601">
        <f t="shared" si="24"/>
        <v>-2.7397260273972601E-2</v>
      </c>
      <c r="R109" s="601">
        <f t="shared" si="24"/>
        <v>-1.0958904109589041E-2</v>
      </c>
      <c r="S109" s="601">
        <f t="shared" si="24"/>
        <v>0</v>
      </c>
      <c r="T109" s="601">
        <f t="shared" si="24"/>
        <v>4.10958904109589E-3</v>
      </c>
      <c r="U109" s="601">
        <f t="shared" si="24"/>
        <v>0</v>
      </c>
      <c r="V109" s="601">
        <f t="shared" si="24"/>
        <v>0</v>
      </c>
      <c r="W109" s="601">
        <f t="shared" si="24"/>
        <v>0</v>
      </c>
      <c r="X109" s="601">
        <f t="shared" si="24"/>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2"/>
        <v>-8.0793695872952043E-2</v>
      </c>
      <c r="AY109" s="116">
        <f t="shared" si="23"/>
        <v>-9.2855406624080983E-2</v>
      </c>
      <c r="AZ109" s="116">
        <f t="shared" si="23"/>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65" outlineLevel="3" x14ac:dyDescent="0.3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24"/>
        <v>0</v>
      </c>
      <c r="O110" s="289">
        <f t="shared" si="24"/>
        <v>-1.9178082191780823E-2</v>
      </c>
      <c r="P110" s="289">
        <f t="shared" si="24"/>
        <v>-5.4794520547945202E-2</v>
      </c>
      <c r="Q110" s="601">
        <f t="shared" si="24"/>
        <v>-2.7397260273972601E-2</v>
      </c>
      <c r="R110" s="601">
        <f t="shared" si="24"/>
        <v>-1.0958904109589041E-2</v>
      </c>
      <c r="S110" s="601">
        <f t="shared" si="24"/>
        <v>0</v>
      </c>
      <c r="T110" s="601">
        <f t="shared" si="24"/>
        <v>4.10958904109589E-3</v>
      </c>
      <c r="U110" s="601">
        <f t="shared" si="24"/>
        <v>0</v>
      </c>
      <c r="V110" s="601">
        <f t="shared" si="24"/>
        <v>0</v>
      </c>
      <c r="W110" s="601">
        <f t="shared" si="24"/>
        <v>0</v>
      </c>
      <c r="X110" s="601">
        <f t="shared" si="24"/>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2"/>
        <v>-8.6795350029972962E-2</v>
      </c>
      <c r="AY110" s="116">
        <f t="shared" si="23"/>
        <v>-0.10674473123186012</v>
      </c>
      <c r="AZ110" s="116">
        <f t="shared" si="23"/>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row>
    <row r="111" spans="1:65" outlineLevel="3" x14ac:dyDescent="0.3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25">N109</f>
        <v>0</v>
      </c>
      <c r="O111" s="289">
        <f t="shared" si="25"/>
        <v>-1.9178082191780823E-2</v>
      </c>
      <c r="P111" s="289">
        <f t="shared" si="25"/>
        <v>-5.4794520547945202E-2</v>
      </c>
      <c r="Q111" s="601">
        <f t="shared" si="25"/>
        <v>-2.7397260273972601E-2</v>
      </c>
      <c r="R111" s="601">
        <f t="shared" si="25"/>
        <v>-1.0958904109589041E-2</v>
      </c>
      <c r="S111" s="601">
        <f t="shared" si="25"/>
        <v>0</v>
      </c>
      <c r="T111" s="601">
        <f t="shared" si="25"/>
        <v>4.10958904109589E-3</v>
      </c>
      <c r="U111" s="601">
        <f t="shared" si="25"/>
        <v>0</v>
      </c>
      <c r="V111" s="601">
        <f t="shared" si="25"/>
        <v>0</v>
      </c>
      <c r="W111" s="601">
        <f t="shared" si="25"/>
        <v>0</v>
      </c>
      <c r="X111" s="601">
        <f t="shared" si="25"/>
        <v>0</v>
      </c>
      <c r="Y111" s="289">
        <f t="shared" si="25"/>
        <v>0.86099999999999999</v>
      </c>
      <c r="Z111" s="290">
        <f t="shared" si="25"/>
        <v>0.61299999999999999</v>
      </c>
      <c r="AA111" s="290">
        <f t="shared" si="25"/>
        <v>0.59399999999999997</v>
      </c>
      <c r="AB111" s="290">
        <f t="shared" si="25"/>
        <v>0.42599999999999999</v>
      </c>
      <c r="AC111" s="290">
        <f t="shared" si="25"/>
        <v>0.41499999999999998</v>
      </c>
      <c r="AD111" s="290">
        <f t="shared" si="25"/>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2"/>
        <v>-7.077966923229817E-2</v>
      </c>
      <c r="AY111" s="116">
        <f t="shared" si="23"/>
        <v>-8.4903523662664515E-2</v>
      </c>
      <c r="AZ111" s="116">
        <f t="shared" si="23"/>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row>
    <row r="112" spans="1:65" outlineLevel="3" x14ac:dyDescent="0.3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26">N110</f>
        <v>0</v>
      </c>
      <c r="O112" s="289">
        <f t="shared" si="26"/>
        <v>-1.9178082191780823E-2</v>
      </c>
      <c r="P112" s="289">
        <f t="shared" si="26"/>
        <v>-5.4794520547945202E-2</v>
      </c>
      <c r="Q112" s="601">
        <f t="shared" si="26"/>
        <v>-2.7397260273972601E-2</v>
      </c>
      <c r="R112" s="601">
        <f t="shared" si="26"/>
        <v>-1.0958904109589041E-2</v>
      </c>
      <c r="S112" s="601">
        <f t="shared" si="26"/>
        <v>0</v>
      </c>
      <c r="T112" s="601">
        <f t="shared" si="26"/>
        <v>4.10958904109589E-3</v>
      </c>
      <c r="U112" s="601">
        <f t="shared" si="26"/>
        <v>0</v>
      </c>
      <c r="V112" s="601">
        <f t="shared" si="26"/>
        <v>0</v>
      </c>
      <c r="W112" s="601">
        <f t="shared" si="26"/>
        <v>0</v>
      </c>
      <c r="X112" s="601">
        <f t="shared" si="26"/>
        <v>0</v>
      </c>
      <c r="Y112" s="289">
        <f t="shared" si="26"/>
        <v>0.86099999999999999</v>
      </c>
      <c r="Z112" s="290">
        <f t="shared" si="26"/>
        <v>0.61299999999999999</v>
      </c>
      <c r="AA112" s="290">
        <f t="shared" si="26"/>
        <v>0.59399999999999997</v>
      </c>
      <c r="AB112" s="290">
        <f t="shared" si="26"/>
        <v>0.42599999999999999</v>
      </c>
      <c r="AC112" s="290">
        <f t="shared" si="26"/>
        <v>0.41499999999999998</v>
      </c>
      <c r="AD112" s="290">
        <f t="shared" si="26"/>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2"/>
        <v>-8.0983869874452274E-2</v>
      </c>
      <c r="AY112" s="116">
        <f t="shared" si="23"/>
        <v>-8.612037144215301E-2</v>
      </c>
      <c r="AZ112" s="116">
        <f t="shared" si="23"/>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3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27">N111</f>
        <v>0</v>
      </c>
      <c r="O113" s="293">
        <f t="shared" si="27"/>
        <v>-1.9178082191780823E-2</v>
      </c>
      <c r="P113" s="293">
        <f t="shared" si="27"/>
        <v>-5.4794520547945202E-2</v>
      </c>
      <c r="Q113" s="599">
        <f t="shared" si="27"/>
        <v>-2.7397260273972601E-2</v>
      </c>
      <c r="R113" s="599">
        <f t="shared" si="27"/>
        <v>-1.0958904109589041E-2</v>
      </c>
      <c r="S113" s="599">
        <f t="shared" si="27"/>
        <v>0</v>
      </c>
      <c r="T113" s="599">
        <f t="shared" si="27"/>
        <v>4.10958904109589E-3</v>
      </c>
      <c r="U113" s="599">
        <f t="shared" si="27"/>
        <v>0</v>
      </c>
      <c r="V113" s="599">
        <f t="shared" si="27"/>
        <v>0</v>
      </c>
      <c r="W113" s="599">
        <f t="shared" si="27"/>
        <v>0</v>
      </c>
      <c r="X113" s="599">
        <f t="shared" si="27"/>
        <v>0</v>
      </c>
      <c r="Y113" s="293">
        <f t="shared" si="27"/>
        <v>0.86099999999999999</v>
      </c>
      <c r="Z113" s="294">
        <f t="shared" si="27"/>
        <v>0.61299999999999999</v>
      </c>
      <c r="AA113" s="294">
        <f t="shared" si="27"/>
        <v>0.59399999999999997</v>
      </c>
      <c r="AB113" s="294">
        <f t="shared" si="27"/>
        <v>0.42599999999999999</v>
      </c>
      <c r="AC113" s="294">
        <f t="shared" si="27"/>
        <v>0.41499999999999998</v>
      </c>
      <c r="AD113" s="294">
        <f t="shared" si="27"/>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2"/>
        <v>-0.1071552448938502</v>
      </c>
      <c r="AY113" s="116">
        <f t="shared" si="23"/>
        <v>-0.11636800399929625</v>
      </c>
      <c r="AZ113" s="116">
        <f t="shared" si="23"/>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1" t="s">
        <v>3236</v>
      </c>
      <c r="J114" s="119"/>
      <c r="K114" s="119"/>
      <c r="L114" s="119"/>
      <c r="M114" s="119"/>
      <c r="N114" s="119" t="s">
        <v>197</v>
      </c>
      <c r="O114" s="119"/>
      <c r="P114" s="119"/>
      <c r="Q114" s="598" t="s">
        <v>3235</v>
      </c>
      <c r="R114" s="598"/>
      <c r="S114" s="598"/>
      <c r="T114" s="598"/>
      <c r="U114" s="598"/>
      <c r="V114" s="598"/>
      <c r="W114" s="598"/>
      <c r="X114" s="598"/>
      <c r="Y114" s="119" t="s">
        <v>2183</v>
      </c>
      <c r="Z114" s="119"/>
      <c r="AA114" s="119"/>
      <c r="AB114" s="119"/>
      <c r="AC114" s="119"/>
      <c r="AD114" s="119"/>
      <c r="AE114" s="76"/>
      <c r="AF114" s="119" t="s">
        <v>3234</v>
      </c>
      <c r="AG114" s="119"/>
      <c r="AH114" s="119"/>
      <c r="AI114" s="119"/>
      <c r="AJ114" s="119"/>
      <c r="AK114" s="76"/>
      <c r="AL114" s="76"/>
      <c r="AM114" s="76"/>
      <c r="AN114" s="73"/>
      <c r="AO114" s="57"/>
      <c r="AP114" s="45"/>
      <c r="AQ114" s="45"/>
      <c r="AR114" s="45"/>
      <c r="AS114" s="437"/>
      <c r="AT114" s="437"/>
    </row>
    <row r="115" spans="1:59" ht="15.5" outlineLevel="3" thickTop="1" thickBot="1" x14ac:dyDescent="0.4">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2692</v>
      </c>
    </row>
    <row r="116" spans="1:59" ht="15" outlineLevel="3" thickTop="1" x14ac:dyDescent="0.3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2694</v>
      </c>
    </row>
    <row r="117" spans="1:59" outlineLevel="3" x14ac:dyDescent="0.3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2693</v>
      </c>
    </row>
    <row r="118" spans="1:59" outlineLevel="3" x14ac:dyDescent="0.35">
      <c r="A118" s="45"/>
      <c r="B118" s="54"/>
      <c r="C118" s="87">
        <f>INT($C$81+3)</f>
        <v>4</v>
      </c>
      <c r="D118" s="73"/>
      <c r="E118" s="70"/>
      <c r="F118" s="70"/>
      <c r="G118" s="73"/>
      <c r="H118" s="76" t="s">
        <v>202</v>
      </c>
      <c r="I118" s="97">
        <v>50</v>
      </c>
      <c r="J118" s="76" t="s">
        <v>2682</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35">
      <c r="A123" s="45"/>
      <c r="B123" s="54"/>
      <c r="C123" s="87">
        <f>INT($C$81)+2</f>
        <v>3</v>
      </c>
      <c r="D123" s="73"/>
      <c r="E123" s="70"/>
      <c r="F123" s="70"/>
      <c r="G123" s="73"/>
      <c r="H123" s="76" t="s">
        <v>2184</v>
      </c>
      <c r="I123" s="76"/>
      <c r="J123" s="76" t="str">
        <f t="shared" ref="J123:O123" si="28">Y95</f>
        <v>Fleece</v>
      </c>
      <c r="K123" s="76" t="str">
        <f t="shared" si="28"/>
        <v>Pieces</v>
      </c>
      <c r="L123" s="76" t="str">
        <f t="shared" si="28"/>
        <v>Bellies</v>
      </c>
      <c r="M123" s="76" t="str">
        <f t="shared" si="28"/>
        <v>Locks</v>
      </c>
      <c r="N123" s="76" t="str">
        <f t="shared" si="28"/>
        <v>Stains</v>
      </c>
      <c r="O123" s="76" t="str">
        <f t="shared" si="28"/>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3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35">
      <c r="A125" s="45"/>
      <c r="B125" s="54"/>
      <c r="C125" s="87">
        <f>INT($C$81+3)</f>
        <v>4</v>
      </c>
      <c r="D125" s="73"/>
      <c r="E125" s="70"/>
      <c r="F125" s="70"/>
      <c r="G125" s="73"/>
      <c r="H125" s="76"/>
      <c r="I125" s="78" t="s">
        <v>2188</v>
      </c>
      <c r="J125" s="309">
        <f t="shared" ref="J125:P125" si="29">(J126/J$124)/SUMPRODUCT($J126:$P126,(1/$J$124:$P$124))</f>
        <v>0.750407617373261</v>
      </c>
      <c r="K125" s="295">
        <f t="shared" si="29"/>
        <v>0.1131434988500704</v>
      </c>
      <c r="L125" s="295">
        <f t="shared" si="29"/>
        <v>4.1071090082575555E-2</v>
      </c>
      <c r="M125" s="295">
        <f t="shared" si="29"/>
        <v>1.2445784873507741E-2</v>
      </c>
      <c r="N125" s="295">
        <f t="shared" si="29"/>
        <v>3.1593146217365808E-2</v>
      </c>
      <c r="O125" s="295">
        <f t="shared" si="29"/>
        <v>0</v>
      </c>
      <c r="P125" s="295">
        <f t="shared" si="29"/>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3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3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35">
      <c r="A128" s="45"/>
      <c r="B128" s="54"/>
      <c r="C128" s="87">
        <f>INT($C$81+3)</f>
        <v>4</v>
      </c>
      <c r="D128" s="73"/>
      <c r="E128" s="70"/>
      <c r="F128" s="70"/>
      <c r="G128" s="73"/>
      <c r="H128" s="76"/>
      <c r="I128" s="121" t="s">
        <v>2193</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35">
      <c r="A129" s="45"/>
      <c r="B129" s="54"/>
      <c r="C129" s="87">
        <f>INT($C$81)+2</f>
        <v>3</v>
      </c>
      <c r="D129" s="73"/>
      <c r="E129" s="70"/>
      <c r="F129" s="70"/>
      <c r="G129" s="73"/>
      <c r="H129" s="76" t="s">
        <v>2194</v>
      </c>
      <c r="I129" s="76"/>
      <c r="J129" s="76" t="str">
        <f t="shared" ref="J129:P129" si="30">J123</f>
        <v>Fleece</v>
      </c>
      <c r="K129" s="76" t="str">
        <f t="shared" si="30"/>
        <v>Pieces</v>
      </c>
      <c r="L129" s="76" t="str">
        <f t="shared" si="30"/>
        <v>Bellies</v>
      </c>
      <c r="M129" s="76" t="str">
        <f t="shared" si="30"/>
        <v>Locks</v>
      </c>
      <c r="N129" s="76" t="str">
        <f t="shared" si="30"/>
        <v>Stains</v>
      </c>
      <c r="O129" s="76" t="str">
        <f t="shared" si="30"/>
        <v>Off types</v>
      </c>
      <c r="P129" s="76" t="str">
        <f t="shared" si="30"/>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35">
      <c r="A130" s="45"/>
      <c r="B130" s="54"/>
      <c r="C130" s="87">
        <f>INT($C$81+3)</f>
        <v>4</v>
      </c>
      <c r="D130" s="73"/>
      <c r="E130" s="70"/>
      <c r="F130" s="70"/>
      <c r="G130" s="73"/>
      <c r="H130" s="76"/>
      <c r="I130" s="78" t="s">
        <v>2188</v>
      </c>
      <c r="J130" s="309">
        <f t="shared" ref="J130:P130" si="31">(J131/J$124)/SUMPRODUCT($J131:$P131,(1/$J$124:$P$124))</f>
        <v>0.78918322295805732</v>
      </c>
      <c r="K130" s="295">
        <f t="shared" si="31"/>
        <v>9.1832229580573951E-2</v>
      </c>
      <c r="L130" s="295">
        <f t="shared" si="31"/>
        <v>3.7880794701986756E-2</v>
      </c>
      <c r="M130" s="295">
        <f t="shared" si="31"/>
        <v>9.7130242825607064E-3</v>
      </c>
      <c r="N130" s="295">
        <f t="shared" si="31"/>
        <v>2.7196467991169981E-2</v>
      </c>
      <c r="O130" s="295">
        <f t="shared" si="31"/>
        <v>0</v>
      </c>
      <c r="P130" s="295">
        <f t="shared" si="31"/>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3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3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35">
      <c r="A133" s="45"/>
      <c r="B133" s="54"/>
      <c r="C133" s="87">
        <f>INT($C$81+3)</f>
        <v>4</v>
      </c>
      <c r="D133" s="73"/>
      <c r="E133" s="70"/>
      <c r="F133" s="70"/>
      <c r="G133" s="73"/>
      <c r="H133" s="76"/>
      <c r="I133" s="121" t="s">
        <v>2193</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35">
      <c r="A135" s="45"/>
      <c r="B135" s="54"/>
      <c r="C135" s="87">
        <f>INT($C$81)+1</f>
        <v>2</v>
      </c>
      <c r="D135" s="73"/>
      <c r="E135" s="70"/>
      <c r="F135" s="70"/>
      <c r="G135" s="73"/>
      <c r="H135" s="90" t="s">
        <v>3233</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35">
      <c r="A137" s="45"/>
      <c r="B137" s="54"/>
      <c r="C137" s="87">
        <f t="shared" ref="C137:C146" si="32">INT($C$81+3)</f>
        <v>4</v>
      </c>
      <c r="D137" s="73"/>
      <c r="E137" s="70"/>
      <c r="F137" s="70"/>
      <c r="G137" s="73"/>
      <c r="H137" s="246" t="s">
        <v>3232</v>
      </c>
      <c r="I137" s="76" t="s">
        <v>2780</v>
      </c>
      <c r="J137" s="76" t="s">
        <v>2781</v>
      </c>
      <c r="K137" s="76" t="s">
        <v>3231</v>
      </c>
      <c r="L137" s="76"/>
      <c r="M137" s="76"/>
      <c r="N137" s="76"/>
      <c r="O137" s="76"/>
      <c r="P137" s="246" t="s">
        <v>3230</v>
      </c>
      <c r="Q137" s="76"/>
      <c r="R137" s="76" t="s">
        <v>3229</v>
      </c>
      <c r="S137" s="76" t="s">
        <v>3228</v>
      </c>
      <c r="T137" s="76" t="s">
        <v>3227</v>
      </c>
      <c r="U137" s="76" t="s">
        <v>3226</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35">
      <c r="A138" s="45"/>
      <c r="B138" s="54"/>
      <c r="C138" s="87">
        <f t="shared" si="32"/>
        <v>4</v>
      </c>
      <c r="D138" s="73"/>
      <c r="E138" s="70"/>
      <c r="F138" s="70"/>
      <c r="G138" s="73"/>
      <c r="H138" s="76" t="s">
        <v>3225</v>
      </c>
      <c r="I138" s="595">
        <v>-0.10100000000000001</v>
      </c>
      <c r="J138" s="595">
        <v>0</v>
      </c>
      <c r="K138" s="594">
        <v>0</v>
      </c>
      <c r="L138" s="76"/>
      <c r="M138" s="76"/>
      <c r="N138" s="76"/>
      <c r="O138" s="76"/>
      <c r="P138" s="76" t="s">
        <v>3225</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35">
      <c r="A139" s="45"/>
      <c r="B139" s="54"/>
      <c r="C139" s="87">
        <f t="shared" si="32"/>
        <v>4</v>
      </c>
      <c r="D139" s="73"/>
      <c r="E139" s="70"/>
      <c r="F139" s="70"/>
      <c r="G139" s="73"/>
      <c r="H139" s="76" t="s">
        <v>3224</v>
      </c>
      <c r="I139" s="595">
        <v>0</v>
      </c>
      <c r="J139" s="595">
        <v>0.113</v>
      </c>
      <c r="K139" s="594">
        <v>5.9005989731888203E-3</v>
      </c>
      <c r="L139" s="76"/>
      <c r="M139" s="76"/>
      <c r="N139" s="76"/>
      <c r="O139" s="76"/>
      <c r="P139" s="76" t="s">
        <v>3224</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35">
      <c r="A140" s="45"/>
      <c r="B140" s="54"/>
      <c r="C140" s="87">
        <f t="shared" si="32"/>
        <v>4</v>
      </c>
      <c r="D140" s="73"/>
      <c r="E140" s="70"/>
      <c r="F140" s="70"/>
      <c r="G140" s="73"/>
      <c r="H140" s="76" t="s">
        <v>3223</v>
      </c>
      <c r="I140" s="595">
        <v>-6.0999999999999999E-2</v>
      </c>
      <c r="J140" s="595">
        <v>5.1999999999999998E-2</v>
      </c>
      <c r="K140" s="594">
        <v>3.5107296137339059E-3</v>
      </c>
      <c r="L140" s="76"/>
      <c r="M140" s="76"/>
      <c r="N140" s="76"/>
      <c r="O140" s="76"/>
      <c r="P140" s="76" t="s">
        <v>3223</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35">
      <c r="A141" s="45"/>
      <c r="B141" s="54"/>
      <c r="C141" s="87">
        <f t="shared" si="32"/>
        <v>4</v>
      </c>
      <c r="D141" s="73"/>
      <c r="E141" s="70"/>
      <c r="F141" s="70"/>
      <c r="G141" s="73"/>
      <c r="H141" s="76" t="s">
        <v>3222</v>
      </c>
      <c r="I141" s="356">
        <v>47.809731093905945</v>
      </c>
      <c r="J141" s="365">
        <v>4566.4973039173738</v>
      </c>
      <c r="K141" s="356">
        <v>45.892351332455597</v>
      </c>
      <c r="L141" s="76"/>
      <c r="M141" s="76"/>
      <c r="N141" s="76"/>
      <c r="O141" s="76"/>
      <c r="P141" s="76" t="s">
        <v>3222</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35">
      <c r="A142" s="45"/>
      <c r="B142" s="54"/>
      <c r="C142" s="87">
        <f t="shared" si="32"/>
        <v>4</v>
      </c>
      <c r="D142" s="73"/>
      <c r="E142" s="70"/>
      <c r="F142" s="70"/>
      <c r="G142" s="73"/>
      <c r="H142" s="76" t="s">
        <v>3221</v>
      </c>
      <c r="I142" s="438">
        <v>-0.22538711253423788</v>
      </c>
      <c r="J142" s="592">
        <v>-0.50483440440253269</v>
      </c>
      <c r="K142" s="592">
        <v>-0.22213692403040283</v>
      </c>
      <c r="L142" s="76"/>
      <c r="M142" s="76"/>
      <c r="N142" s="76"/>
      <c r="O142" s="76"/>
      <c r="P142" s="76" t="s">
        <v>3221</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35">
      <c r="A143" s="45"/>
      <c r="B143" s="54"/>
      <c r="C143" s="87">
        <f t="shared" si="32"/>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35">
      <c r="A144" s="45"/>
      <c r="B144" s="54"/>
      <c r="C144" s="87">
        <f t="shared" si="32"/>
        <v>4</v>
      </c>
      <c r="D144" s="73"/>
      <c r="E144" s="70"/>
      <c r="F144" s="70"/>
      <c r="G144" s="73"/>
      <c r="H144" s="76" t="s">
        <v>3220</v>
      </c>
      <c r="I144" s="76">
        <v>35</v>
      </c>
      <c r="J144" s="76"/>
      <c r="K144" s="76"/>
      <c r="L144" s="76"/>
      <c r="M144" s="76"/>
      <c r="N144" s="76"/>
      <c r="O144" s="76"/>
      <c r="P144" s="76" t="s">
        <v>3219</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35">
      <c r="A145" s="45"/>
      <c r="B145" s="54"/>
      <c r="C145" s="87">
        <f t="shared" si="32"/>
        <v>4</v>
      </c>
      <c r="D145" s="73"/>
      <c r="E145" s="70"/>
      <c r="F145" s="70"/>
      <c r="G145" s="73"/>
      <c r="H145" s="76"/>
      <c r="I145" s="76"/>
      <c r="J145" s="76"/>
      <c r="K145" s="76"/>
      <c r="L145" s="76"/>
      <c r="M145" s="76"/>
      <c r="N145" s="76"/>
      <c r="O145" s="76"/>
      <c r="P145" s="76" t="s">
        <v>3218</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35">
      <c r="A146" s="45"/>
      <c r="B146" s="54"/>
      <c r="C146" s="87">
        <f t="shared" si="32"/>
        <v>4</v>
      </c>
      <c r="D146" s="73"/>
      <c r="E146" s="70"/>
      <c r="F146" s="70"/>
      <c r="G146" s="73"/>
      <c r="H146" s="76" t="s">
        <v>196</v>
      </c>
      <c r="I146" s="591" t="s">
        <v>3217</v>
      </c>
      <c r="J146" s="119"/>
      <c r="K146" s="119"/>
      <c r="L146" s="119"/>
      <c r="M146" s="119"/>
      <c r="N146" s="119"/>
      <c r="O146" s="76"/>
      <c r="P146" s="76" t="s">
        <v>196</v>
      </c>
      <c r="Q146" s="76"/>
      <c r="R146" s="591" t="s">
        <v>3216</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35">
      <c r="A151" s="45"/>
      <c r="B151" s="54"/>
      <c r="C151" s="87">
        <f t="shared" ref="C151:C157" si="33">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35">
      <c r="A152" s="45"/>
      <c r="B152" s="54"/>
      <c r="C152" s="87">
        <f t="shared" si="33"/>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35">
      <c r="A153" s="45"/>
      <c r="B153" s="54"/>
      <c r="C153" s="87">
        <f t="shared" si="33"/>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35">
      <c r="A154" s="45"/>
      <c r="B154" s="54"/>
      <c r="C154" s="87">
        <f t="shared" si="33"/>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35">
      <c r="A155" s="45"/>
      <c r="B155" s="54"/>
      <c r="C155" s="87">
        <f t="shared" si="33"/>
        <v>4</v>
      </c>
      <c r="D155" s="73"/>
      <c r="E155" s="70"/>
      <c r="F155" s="70"/>
      <c r="G155" s="73"/>
      <c r="H155" s="125" t="s">
        <v>2198</v>
      </c>
      <c r="I155" s="126"/>
      <c r="J155" s="126"/>
      <c r="K155" s="298">
        <f>SUM(K151:K154)</f>
        <v>0.4467741935483871</v>
      </c>
      <c r="L155" s="127"/>
      <c r="M155" s="76"/>
      <c r="N155" s="76" t="s">
        <v>2677</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35">
      <c r="A156" s="45"/>
      <c r="B156" s="54"/>
      <c r="C156" s="87">
        <f t="shared" si="33"/>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35">
      <c r="A157" s="45"/>
      <c r="B157" s="54"/>
      <c r="C157" s="87">
        <f t="shared" si="33"/>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49999999999999" customHeight="1" outlineLevel="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15"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5"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58"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58"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58"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58"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2240</v>
      </c>
    </row>
    <row r="181" spans="1:58" outlineLevel="2" x14ac:dyDescent="0.35">
      <c r="A181" s="45"/>
      <c r="B181" s="54"/>
      <c r="C181" s="87">
        <f>INT($C$167)+2</f>
        <v>3</v>
      </c>
      <c r="D181" s="73"/>
      <c r="E181" s="70"/>
      <c r="F181" s="70"/>
      <c r="G181" s="73"/>
      <c r="H181" s="130"/>
      <c r="I181" s="95" t="s">
        <v>219</v>
      </c>
      <c r="J181" s="107"/>
      <c r="K181" s="107"/>
      <c r="L181" s="76"/>
      <c r="M181" s="76"/>
      <c r="N181" s="76" t="s">
        <v>220</v>
      </c>
      <c r="O181" s="76" t="s">
        <v>2779</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2549</v>
      </c>
      <c r="AM181" s="95"/>
      <c r="AN181" s="73"/>
      <c r="AO181" s="57"/>
      <c r="AP181" s="45"/>
      <c r="AQ181" s="45"/>
      <c r="AR181" s="45"/>
      <c r="AS181" s="437"/>
      <c r="AT181" s="437"/>
      <c r="AV181" t="s">
        <v>2681</v>
      </c>
    </row>
    <row r="182" spans="1:58"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2780</v>
      </c>
      <c r="P182" s="134" t="s">
        <v>2781</v>
      </c>
      <c r="Q182" s="134" t="s">
        <v>2782</v>
      </c>
      <c r="R182" s="134" t="s">
        <v>2783</v>
      </c>
      <c r="S182" s="134" t="s">
        <v>2784</v>
      </c>
      <c r="T182" s="134" t="s">
        <v>2785</v>
      </c>
      <c r="U182" s="132" t="s">
        <v>232</v>
      </c>
      <c r="V182" s="132" t="s">
        <v>233</v>
      </c>
      <c r="W182" s="133" t="s">
        <v>234</v>
      </c>
      <c r="X182" s="133" t="s">
        <v>2678</v>
      </c>
      <c r="Y182" s="133" t="s">
        <v>2679</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2241</v>
      </c>
      <c r="AX182" t="s">
        <v>2242</v>
      </c>
      <c r="AY182" t="s">
        <v>1173</v>
      </c>
      <c r="AZ182" s="5" t="s">
        <v>2680</v>
      </c>
      <c r="BA182" s="419" t="s">
        <v>272</v>
      </c>
      <c r="BD182" t="s">
        <v>2286</v>
      </c>
    </row>
    <row r="183" spans="1:58" outlineLevel="3" x14ac:dyDescent="0.35">
      <c r="A183" s="45"/>
      <c r="B183" s="54"/>
      <c r="C183" s="87">
        <f>INT($C$167+3)</f>
        <v>4</v>
      </c>
      <c r="D183" s="73"/>
      <c r="E183" s="70">
        <v>0</v>
      </c>
      <c r="F183" s="70"/>
      <c r="G183" s="73"/>
      <c r="H183" s="135" t="s">
        <v>2775</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4">SUMIFS($AF183:$AK183,$AF$182:$AK$182,AL$182)</f>
        <v>3.17</v>
      </c>
      <c r="AM183" s="144">
        <f t="shared" si="34"/>
        <v>7.4500000000000011E-2</v>
      </c>
      <c r="AN183" s="73"/>
      <c r="AO183" s="57"/>
      <c r="AP183" s="45"/>
      <c r="AQ183" s="45"/>
      <c r="AR183" s="45"/>
      <c r="AS183" s="437"/>
      <c r="AT183" s="437"/>
      <c r="AV183" s="322" t="str">
        <f t="shared" ref="AV183:AV190" si="35">$H183</f>
        <v>Lamb grid (0)</v>
      </c>
      <c r="AW183" s="323">
        <v>50</v>
      </c>
      <c r="AX183" s="313">
        <f>IFERROR(MIN(COUNT(i_salep_percentile_range_s4)-1,MATCH($AW183,i_salep_percentile_range_s4,1)),1)-1</f>
        <v>2</v>
      </c>
      <c r="AY183" s="314">
        <f t="shared" ref="AY183:AY190" ca="1" si="36">_xlfn.FORECAST.LINEAR($AW$183,OFFSET($Z183:$AD183,0,$AX$183,1,2),OFFSET(i_salep_percentile_range_s4,0,$AX$183,1,2))</f>
        <v>1</v>
      </c>
      <c r="AZ183" s="324">
        <f t="shared" ref="AZ183:AZ190" ca="1" si="37">$Y183*$AY183</f>
        <v>5.7692035986889678</v>
      </c>
      <c r="BA183" s="324">
        <f t="shared" ref="BA183:BA190" ca="1" si="38">AZ183*(1+INDEX(i_salep_months_priceadj_s7s9p4,1+$E183*2,MATCH(BA$182,$J$267:$U$267,0)))</f>
        <v>5.7692035986889678</v>
      </c>
    </row>
    <row r="184" spans="1:58" outlineLevel="3" x14ac:dyDescent="0.35">
      <c r="A184" s="45"/>
      <c r="B184" s="54"/>
      <c r="C184" s="87">
        <f t="shared" ref="C184:C191" si="39">INT($C$167)+3</f>
        <v>4</v>
      </c>
      <c r="D184" s="73"/>
      <c r="E184" s="70">
        <v>1</v>
      </c>
      <c r="F184" s="70"/>
      <c r="G184" s="73"/>
      <c r="H184" s="76" t="s">
        <v>2776</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4"/>
        <v>3.17</v>
      </c>
      <c r="AM184" s="152">
        <f t="shared" si="34"/>
        <v>7.4500000000000011E-2</v>
      </c>
      <c r="AN184" s="73"/>
      <c r="AO184" s="57"/>
      <c r="AP184" s="45"/>
      <c r="AQ184" s="45"/>
      <c r="AR184" s="45"/>
      <c r="AS184" s="437"/>
      <c r="AT184" s="437"/>
      <c r="AV184" s="325" t="str">
        <f t="shared" si="35"/>
        <v>empty grid (1)</v>
      </c>
      <c r="AY184" s="316">
        <f t="shared" ca="1" si="36"/>
        <v>1</v>
      </c>
      <c r="AZ184" s="326">
        <f t="shared" ca="1" si="37"/>
        <v>0</v>
      </c>
      <c r="BA184" s="326">
        <f t="shared" ca="1" si="38"/>
        <v>0</v>
      </c>
    </row>
    <row r="185" spans="1:58" outlineLevel="3" x14ac:dyDescent="0.35">
      <c r="A185" s="45"/>
      <c r="B185" s="54"/>
      <c r="C185" s="87">
        <f t="shared" si="39"/>
        <v>4</v>
      </c>
      <c r="D185" s="73"/>
      <c r="E185" s="70">
        <v>2</v>
      </c>
      <c r="F185" s="70"/>
      <c r="G185" s="73"/>
      <c r="H185" s="76" t="s">
        <v>2777</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4"/>
        <v>3.17</v>
      </c>
      <c r="AM185" s="152">
        <f t="shared" si="34"/>
        <v>7.4500000000000011E-2</v>
      </c>
      <c r="AN185" s="73"/>
      <c r="AO185" s="57"/>
      <c r="AP185" s="45"/>
      <c r="AQ185" s="45"/>
      <c r="AR185" s="45"/>
      <c r="AS185" s="437"/>
      <c r="AT185" s="437"/>
      <c r="AV185" s="325" t="str">
        <f t="shared" si="35"/>
        <v>empty grid (2)</v>
      </c>
      <c r="AY185" s="316">
        <f t="shared" ca="1" si="36"/>
        <v>1</v>
      </c>
      <c r="AZ185" s="326">
        <f t="shared" ca="1" si="37"/>
        <v>0</v>
      </c>
      <c r="BA185" s="326">
        <f t="shared" ca="1" si="38"/>
        <v>0</v>
      </c>
    </row>
    <row r="186" spans="1:58" outlineLevel="3" x14ac:dyDescent="0.35">
      <c r="A186" s="45"/>
      <c r="B186" s="54"/>
      <c r="C186" s="87">
        <f t="shared" si="39"/>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40">Z$189</f>
        <v>0.63909774436090228</v>
      </c>
      <c r="AA186" s="589">
        <f t="shared" si="40"/>
        <v>0.85964912280701755</v>
      </c>
      <c r="AB186" s="96">
        <v>1</v>
      </c>
      <c r="AC186" s="589">
        <f t="shared" si="40"/>
        <v>1.2656641604010026</v>
      </c>
      <c r="AD186" s="589">
        <f t="shared" si="40"/>
        <v>1.5563909774436091</v>
      </c>
      <c r="AE186" s="147" t="s">
        <v>238</v>
      </c>
      <c r="AF186" s="148">
        <v>3</v>
      </c>
      <c r="AG186" s="149">
        <v>0.05</v>
      </c>
      <c r="AH186" s="148">
        <v>0.17</v>
      </c>
      <c r="AI186" s="148">
        <v>0.2</v>
      </c>
      <c r="AJ186" s="148"/>
      <c r="AK186" s="150">
        <v>4.4999999999999997E-3</v>
      </c>
      <c r="AL186" s="151">
        <f t="shared" si="34"/>
        <v>3.37</v>
      </c>
      <c r="AM186" s="152">
        <f t="shared" si="34"/>
        <v>5.45E-2</v>
      </c>
      <c r="AN186" s="73"/>
      <c r="AO186" s="57"/>
      <c r="AP186" s="45"/>
      <c r="AQ186" s="45"/>
      <c r="AR186" s="45"/>
      <c r="AS186" s="437"/>
      <c r="AT186" s="437"/>
      <c r="AV186" s="325" t="str">
        <f t="shared" si="35"/>
        <v>Yearling grid (3)</v>
      </c>
      <c r="AY186" s="316">
        <f t="shared" ca="1" si="36"/>
        <v>1</v>
      </c>
      <c r="AZ186" s="326">
        <f t="shared" ca="1" si="37"/>
        <v>3.6661218629701886</v>
      </c>
      <c r="BA186" s="326">
        <f t="shared" ca="1" si="38"/>
        <v>3.6661218629701886</v>
      </c>
      <c r="BD186" s="326">
        <f ca="1">50*0.44*AZ186</f>
        <v>80.654680985344143</v>
      </c>
      <c r="BE186" t="s">
        <v>2287</v>
      </c>
    </row>
    <row r="187" spans="1:58" outlineLevel="3" x14ac:dyDescent="0.35">
      <c r="A187" s="45"/>
      <c r="B187" s="54"/>
      <c r="C187" s="87">
        <f t="shared" si="39"/>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4"/>
        <v>5.37</v>
      </c>
      <c r="AM187" s="152">
        <f t="shared" si="34"/>
        <v>5.45E-2</v>
      </c>
      <c r="AN187" s="73"/>
      <c r="AO187" s="57"/>
      <c r="AP187" s="45"/>
      <c r="AQ187" s="45"/>
      <c r="AR187" s="45"/>
      <c r="AS187" s="437"/>
      <c r="AT187" s="437"/>
      <c r="AV187" s="325" t="str">
        <f t="shared" si="35"/>
        <v>Export wether grid (4)</v>
      </c>
      <c r="AY187" s="316">
        <f t="shared" ca="1" si="36"/>
        <v>1</v>
      </c>
      <c r="AZ187" s="326">
        <f t="shared" ca="1" si="37"/>
        <v>103.34061503440209</v>
      </c>
      <c r="BA187" s="326">
        <f t="shared" ca="1" si="38"/>
        <v>103.34061503440209</v>
      </c>
    </row>
    <row r="188" spans="1:58" outlineLevel="3" x14ac:dyDescent="0.35">
      <c r="A188" s="45"/>
      <c r="B188" s="54"/>
      <c r="C188" s="87">
        <f t="shared" si="39"/>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34"/>
        <v>4.16</v>
      </c>
      <c r="AM188" s="152">
        <f t="shared" si="34"/>
        <v>5.45E-2</v>
      </c>
      <c r="AN188" s="73"/>
      <c r="AO188" s="57"/>
      <c r="AP188" s="45"/>
      <c r="AQ188" s="45"/>
      <c r="AR188" s="45"/>
      <c r="AS188" s="437"/>
      <c r="AT188" s="437"/>
      <c r="AV188" s="325" t="str">
        <f t="shared" si="35"/>
        <v>Breeder grid (5)</v>
      </c>
      <c r="AY188" s="316">
        <f t="shared" ca="1" si="36"/>
        <v>1</v>
      </c>
      <c r="AZ188" s="326">
        <f t="shared" ca="1" si="37"/>
        <v>130</v>
      </c>
      <c r="BA188" s="326">
        <f t="shared" ca="1" si="38"/>
        <v>130</v>
      </c>
      <c r="BD188" s="326">
        <f ca="1">AZ188*(1+AVERAGE($J$279:$U$279))*($M$238/$N$238)</f>
        <v>109.45161290322579</v>
      </c>
      <c r="BE188" t="s">
        <v>2288</v>
      </c>
    </row>
    <row r="189" spans="1:58" outlineLevel="3" x14ac:dyDescent="0.35">
      <c r="A189" s="45"/>
      <c r="B189" s="54"/>
      <c r="C189" s="87">
        <f t="shared" si="39"/>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4"/>
        <v>4.16</v>
      </c>
      <c r="AM189" s="161">
        <f t="shared" si="34"/>
        <v>5.45E-2</v>
      </c>
      <c r="AN189" s="73"/>
      <c r="AO189" s="57"/>
      <c r="AP189" s="45"/>
      <c r="AQ189" s="45"/>
      <c r="AR189" s="45"/>
      <c r="AS189" s="437"/>
      <c r="AT189" s="437"/>
      <c r="AV189" s="325" t="str">
        <f t="shared" si="35"/>
        <v>Mutton grid (6)</v>
      </c>
      <c r="AY189" s="316">
        <f t="shared" ca="1" si="36"/>
        <v>1</v>
      </c>
      <c r="AZ189" s="326">
        <f t="shared" ca="1" si="37"/>
        <v>3.6661218629701886</v>
      </c>
      <c r="BA189" s="326">
        <f t="shared" ca="1" si="38"/>
        <v>3.6661218629701886</v>
      </c>
      <c r="BD189" s="326">
        <f ca="1">BE189*0.42*BA189</f>
        <v>76.988559122373957</v>
      </c>
      <c r="BE189">
        <v>50</v>
      </c>
      <c r="BF189" t="s">
        <v>2773</v>
      </c>
    </row>
    <row r="190" spans="1:58" outlineLevel="3" x14ac:dyDescent="0.35">
      <c r="A190" s="45"/>
      <c r="B190" s="54"/>
      <c r="C190" s="87">
        <f t="shared" si="39"/>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34"/>
        <v>4.16</v>
      </c>
      <c r="AM190" s="170">
        <f t="shared" si="34"/>
        <v>5.45E-2</v>
      </c>
      <c r="AN190" s="73"/>
      <c r="AO190" s="57"/>
      <c r="AP190" s="45"/>
      <c r="AQ190" s="45"/>
      <c r="AR190" s="45"/>
      <c r="AS190" s="437"/>
      <c r="AT190" s="437"/>
      <c r="AV190" s="327" t="str">
        <f t="shared" si="35"/>
        <v>Ram grid (7)</v>
      </c>
      <c r="AW190" s="319"/>
      <c r="AX190" s="319"/>
      <c r="AY190" s="320">
        <f t="shared" ca="1" si="36"/>
        <v>1</v>
      </c>
      <c r="AZ190" s="328">
        <f t="shared" ca="1" si="37"/>
        <v>1.9950000000000001</v>
      </c>
      <c r="BA190" s="328">
        <f t="shared" ca="1" si="38"/>
        <v>1.9950000000000001</v>
      </c>
    </row>
    <row r="191" spans="1:58" outlineLevel="3" x14ac:dyDescent="0.35">
      <c r="A191" s="45"/>
      <c r="B191" s="54"/>
      <c r="C191" s="87">
        <f t="shared" si="39"/>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3215</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58"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2778</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2550</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44.936697642048117</v>
      </c>
      <c r="AX196" s="439">
        <f t="array" aca="1" ref="AX196" ca="1">AX210*AX223*INDEX($BA$183:$BA$190,AX$207,1)*$AV196*AX$195</f>
        <v>0</v>
      </c>
      <c r="AY196" s="439">
        <f t="array" aca="1" ref="AY196" ca="1">AY210*AY223*INDEX($BA$183:$BA$190,AY$207,1)*$AV196*AY$195</f>
        <v>0</v>
      </c>
      <c r="AZ196" s="439">
        <f t="array" aca="1" ref="AZ196" ca="1">AZ210*AZ223*INDEX($BA$183:$BA$190,AZ$207,1)*$AV196*AZ$195</f>
        <v>22.2082382083771</v>
      </c>
      <c r="BA196" s="439">
        <f t="array" aca="1" ref="BA196" ca="1">BA210*BA223*INDEX($BA$183:$BA$190,BA$207,1)</f>
        <v>22.558022989939918</v>
      </c>
      <c r="BB196" s="439">
        <f t="array" aca="1" ref="BB196" ca="1">BB210*BB223*INDEX($BA$183:$BA$190,BB$207,1)</f>
        <v>121.61290322580645</v>
      </c>
      <c r="BC196" s="439">
        <f t="array" aca="1" ref="BC196" ca="1">BC210*BC223*INDEX($BA$183:$BA$190,BC$207,1)*$AV196*BC$195</f>
        <v>22.2082382083771</v>
      </c>
      <c r="BD196" s="439">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67"/>
      <c r="AI197" s="467"/>
      <c r="AJ197" s="467"/>
      <c r="AK197" s="467"/>
      <c r="AL197" s="467"/>
      <c r="AM197" s="467"/>
      <c r="AN197" s="73"/>
      <c r="AO197" s="57"/>
      <c r="AP197" s="45"/>
      <c r="AQ197" s="45"/>
      <c r="AR197" s="45"/>
      <c r="AS197" s="437"/>
      <c r="AT197" s="437"/>
      <c r="AV197" s="173">
        <v>35</v>
      </c>
      <c r="AW197" s="439">
        <f t="array" aca="1" ref="AW197" ca="1">AW211*AW224*INDEX($BA$183:$BA$190,AW$207,1)*$AV197*AW$195</f>
        <v>62.911376698867358</v>
      </c>
      <c r="AX197" s="439">
        <f t="array" aca="1" ref="AX197" ca="1">AX211*AX224*INDEX($BA$183:$BA$190,AX$207,1)*$AV197*AX$195</f>
        <v>0</v>
      </c>
      <c r="AY197" s="439">
        <f t="array" aca="1" ref="AY197" ca="1">AY211*AY224*INDEX($BA$183:$BA$190,AY$207,1)*$AV197*AY$195</f>
        <v>0</v>
      </c>
      <c r="AZ197" s="439">
        <f t="array" aca="1" ref="AZ197" ca="1">AZ211*AZ224*INDEX($BA$183:$BA$190,AZ$207,1)*$AV197*AZ$195</f>
        <v>45.600915787867656</v>
      </c>
      <c r="BA197" s="439">
        <f t="array" aca="1" ref="BA197" ca="1">BA211*BA224*INDEX($BA$183:$BA$190,BA$207,1)</f>
        <v>72.33843052408146</v>
      </c>
      <c r="BB197" s="439">
        <f t="array" aca="1" ref="BB197" ca="1">BB211*BB224*INDEX($BA$183:$BA$190,BB$207,1)</f>
        <v>121.61290322580645</v>
      </c>
      <c r="BC197" s="439">
        <f t="array" aca="1" ref="BC197" ca="1">BC211*BC224*INDEX($BA$183:$BA$190,BC$207,1)*$AV197*BC$195</f>
        <v>45.600915787867656</v>
      </c>
      <c r="BD197" s="439">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v>0.85133333333333328</v>
      </c>
      <c r="R198" s="386">
        <v>0.70809675221439938</v>
      </c>
      <c r="S198" s="386">
        <v>0.70809675221439938</v>
      </c>
      <c r="T198" s="386">
        <v>0.70809675221439938</v>
      </c>
      <c r="U198" s="387">
        <v>0.95133819951338194</v>
      </c>
      <c r="V198" s="175">
        <v>0</v>
      </c>
      <c r="W198" s="174"/>
      <c r="X198" s="385">
        <v>0.88462809917355367</v>
      </c>
      <c r="Y198" s="386">
        <v>1</v>
      </c>
      <c r="Z198" s="386">
        <v>1</v>
      </c>
      <c r="AA198" s="386">
        <v>1</v>
      </c>
      <c r="AB198" s="387">
        <v>0.89564738292011015</v>
      </c>
      <c r="AC198" s="175">
        <v>0</v>
      </c>
      <c r="AD198" s="76"/>
      <c r="AE198" s="438"/>
      <c r="AF198" s="438"/>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91.384185003233256</v>
      </c>
      <c r="AX198" s="439">
        <f t="array" aca="1" ref="AX198" ca="1">AX212*AX225*INDEX($BA$183:$BA$190,AX$207,1)*$AV198*AX$195</f>
        <v>0</v>
      </c>
      <c r="AY198" s="439">
        <f t="array" aca="1" ref="AY198" ca="1">AY212*AY225*INDEX($BA$183:$BA$190,AY$207,1)*$AV198*AY$195</f>
        <v>0</v>
      </c>
      <c r="AZ198" s="439">
        <f t="array" aca="1" ref="AZ198" ca="1">AZ212*AZ225*INDEX($BA$183:$BA$190,AZ$207,1)*$AV198*AZ$195</f>
        <v>52.115332328991606</v>
      </c>
      <c r="BA198" s="439">
        <f t="array" aca="1" ref="BA198" ca="1">BA212*BA225*INDEX($BA$183:$BA$190,BA$207,1)</f>
        <v>79.227804859708257</v>
      </c>
      <c r="BB198" s="439">
        <f t="array" aca="1" ref="BB198" ca="1">BB212*BB225*INDEX($BA$183:$BA$190,BB$207,1)</f>
        <v>121.61290322580645</v>
      </c>
      <c r="BC198" s="439">
        <f t="array" aca="1" ref="BC198" ca="1">BC212*BC225*INDEX($BA$183:$BA$190,BC$207,1)*$AV198*BC$195</f>
        <v>52.115332328991606</v>
      </c>
      <c r="BD198" s="439">
        <f t="array" aca="1" ref="BD198" ca="1">BD212*BD225*INDEX($BA$183:$BA$190,BD$207,1)*$AV198*BD$195</f>
        <v>16.758000000000003</v>
      </c>
    </row>
    <row r="199" spans="1:56" outlineLevel="3" x14ac:dyDescent="0.3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0.86159999999999992</v>
      </c>
      <c r="R199" s="389">
        <f>R200*0.9</f>
        <v>0.9</v>
      </c>
      <c r="S199" s="389">
        <f>S200*0.9</f>
        <v>0.9</v>
      </c>
      <c r="T199" s="389">
        <f>T200*0.9</f>
        <v>0.9</v>
      </c>
      <c r="U199" s="390">
        <f>U200*0.9</f>
        <v>0.85620437956204376</v>
      </c>
      <c r="V199" s="175">
        <v>0</v>
      </c>
      <c r="W199" s="174"/>
      <c r="X199" s="388">
        <v>0.8040891961755271</v>
      </c>
      <c r="Y199" s="389">
        <v>1</v>
      </c>
      <c r="Z199" s="389">
        <v>1</v>
      </c>
      <c r="AA199" s="389">
        <v>1</v>
      </c>
      <c r="AB199" s="390">
        <v>0.76100470273132148</v>
      </c>
      <c r="AC199" s="175">
        <v>0</v>
      </c>
      <c r="AD199" s="76"/>
      <c r="AE199" s="438"/>
      <c r="AF199" s="438"/>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114.23023125404156</v>
      </c>
      <c r="AX199" s="439">
        <f t="array" aca="1" ref="AX199" ca="1">AX213*AX226*INDEX($BA$183:$BA$190,AX$207,1)*$AV199*AX$195</f>
        <v>0</v>
      </c>
      <c r="AY199" s="439">
        <f t="array" aca="1" ref="AY199" ca="1">AY213*AY226*INDEX($BA$183:$BA$190,AY$207,1)*$AV199*AY$195</f>
        <v>0</v>
      </c>
      <c r="AZ199" s="439">
        <f t="array" aca="1" ref="AZ199" ca="1">AZ213*AZ226*INDEX($BA$183:$BA$190,AZ$207,1)*$AV199*AZ$195</f>
        <v>69.289703210136565</v>
      </c>
      <c r="BA199" s="439">
        <f t="array" aca="1" ref="BA199" ca="1">BA213*BA226*INDEX($BA$183:$BA$190,BA$207,1)</f>
        <v>85.256007403381744</v>
      </c>
      <c r="BB199" s="439">
        <f t="array" aca="1" ref="BB199" ca="1">BB213*BB226*INDEX($BA$183:$BA$190,BB$207,1)</f>
        <v>121.61290322580645</v>
      </c>
      <c r="BC199" s="439">
        <f t="array" aca="1" ref="BC199" ca="1">BC213*BC226*INDEX($BA$183:$BA$190,BC$207,1)*$AV199*BC$195</f>
        <v>69.289703210136565</v>
      </c>
      <c r="BD199" s="439">
        <f t="array" aca="1" ref="BD199" ca="1">BD213*BD226*INDEX($BA$183:$BA$190,BD$207,1)*$AV199*BD$195</f>
        <v>18.85275</v>
      </c>
    </row>
    <row r="200" spans="1:56" outlineLevel="3" x14ac:dyDescent="0.35">
      <c r="A200" s="45"/>
      <c r="B200" s="54"/>
      <c r="C200" s="87">
        <f t="shared" si="41"/>
        <v>4</v>
      </c>
      <c r="D200" s="73"/>
      <c r="E200" s="70">
        <f t="shared" si="42"/>
        <v>0</v>
      </c>
      <c r="F200" s="70">
        <f t="shared" si="42"/>
        <v>0</v>
      </c>
      <c r="G200" s="73"/>
      <c r="H200" s="97" t="s">
        <v>2551</v>
      </c>
      <c r="I200" s="173">
        <v>18.100000000000001</v>
      </c>
      <c r="J200" s="444">
        <v>4.8</v>
      </c>
      <c r="K200" s="445">
        <v>6.8</v>
      </c>
      <c r="L200" s="445">
        <v>6.8</v>
      </c>
      <c r="M200" s="445">
        <v>6.8</v>
      </c>
      <c r="N200" s="446">
        <v>3.6</v>
      </c>
      <c r="O200" s="443">
        <v>0</v>
      </c>
      <c r="P200" s="174"/>
      <c r="Q200" s="388">
        <v>0.95733333333333326</v>
      </c>
      <c r="R200" s="389">
        <v>1</v>
      </c>
      <c r="S200" s="389">
        <v>1</v>
      </c>
      <c r="T200" s="389">
        <v>1</v>
      </c>
      <c r="U200" s="390">
        <v>0.95133819951338194</v>
      </c>
      <c r="V200" s="175">
        <v>0</v>
      </c>
      <c r="W200" s="174"/>
      <c r="X200" s="388">
        <v>0.69242982478276593</v>
      </c>
      <c r="Y200" s="389">
        <v>1</v>
      </c>
      <c r="Z200" s="389">
        <v>1</v>
      </c>
      <c r="AA200" s="389">
        <v>1</v>
      </c>
      <c r="AB200" s="390">
        <v>0.63046029222499811</v>
      </c>
      <c r="AC200" s="175">
        <v>0</v>
      </c>
      <c r="AD200" s="76"/>
      <c r="AE200" s="438"/>
      <c r="AF200" s="438"/>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126.92247917115729</v>
      </c>
      <c r="AX200" s="439">
        <f t="array" aca="1" ref="AX200" ca="1">AX214*AX227*INDEX($BA$183:$BA$190,AX$207,1)*$AV200*AX$195</f>
        <v>0</v>
      </c>
      <c r="AY200" s="439">
        <f t="array" aca="1" ref="AY200" ca="1">AY214*AY227*INDEX($BA$183:$BA$190,AY$207,1)*$AV200*AY$195</f>
        <v>0</v>
      </c>
      <c r="AZ200" s="439">
        <f t="array" aca="1" ref="AZ200" ca="1">AZ214*AZ227*INDEX($BA$183:$BA$190,AZ$207,1)*$AV200*AZ$195</f>
        <v>76.988559122373957</v>
      </c>
      <c r="BA200" s="439">
        <f t="array" aca="1" ref="BA200" ca="1">BA214*BA227*INDEX($BA$183:$BA$190,BA$207,1)</f>
        <v>90.423038155101835</v>
      </c>
      <c r="BB200" s="439">
        <f t="array" aca="1" ref="BB200" ca="1">BB214*BB227*INDEX($BA$183:$BA$190,BB$207,1)</f>
        <v>121.61290322580645</v>
      </c>
      <c r="BC200" s="439">
        <f t="array" aca="1" ref="BC200" ca="1">BC214*BC227*INDEX($BA$183:$BA$190,BC$207,1)*$AV200*BC$195</f>
        <v>76.988559122373957</v>
      </c>
      <c r="BD200" s="439">
        <f t="array" aca="1" ref="BD200" ca="1">BD214*BD227*INDEX($BA$183:$BA$190,BD$207,1)*$AV200*BD$195</f>
        <v>20.947499999999998</v>
      </c>
    </row>
    <row r="201" spans="1:56" outlineLevel="3" x14ac:dyDescent="0.35">
      <c r="A201" s="45"/>
      <c r="B201" s="54"/>
      <c r="C201" s="87">
        <f t="shared" si="41"/>
        <v>4</v>
      </c>
      <c r="D201" s="73"/>
      <c r="E201" s="70">
        <f t="shared" si="42"/>
        <v>0</v>
      </c>
      <c r="F201" s="70">
        <f t="shared" si="42"/>
        <v>0</v>
      </c>
      <c r="G201" s="73"/>
      <c r="H201" s="97" t="s">
        <v>255</v>
      </c>
      <c r="I201" s="173">
        <v>28.1</v>
      </c>
      <c r="J201" s="444">
        <v>4.3</v>
      </c>
      <c r="K201" s="445">
        <v>5.3</v>
      </c>
      <c r="L201" s="445">
        <v>5.3</v>
      </c>
      <c r="M201" s="445">
        <v>5.3</v>
      </c>
      <c r="N201" s="446">
        <v>3.6</v>
      </c>
      <c r="O201" s="443">
        <v>0</v>
      </c>
      <c r="P201" s="174"/>
      <c r="Q201" s="388">
        <v>0.92261111111111116</v>
      </c>
      <c r="R201" s="389">
        <v>0.87592003768474347</v>
      </c>
      <c r="S201" s="389">
        <v>0.87592003768474347</v>
      </c>
      <c r="T201" s="389">
        <v>0.87592003768474347</v>
      </c>
      <c r="U201" s="390">
        <v>0.95133819951338194</v>
      </c>
      <c r="V201" s="175">
        <v>0</v>
      </c>
      <c r="W201" s="174"/>
      <c r="X201" s="388">
        <v>0.76440403426850423</v>
      </c>
      <c r="Y201" s="389">
        <v>1</v>
      </c>
      <c r="Z201" s="389">
        <v>1</v>
      </c>
      <c r="AA201" s="389">
        <v>1</v>
      </c>
      <c r="AB201" s="390">
        <v>0.71534869594928063</v>
      </c>
      <c r="AC201" s="175">
        <v>0</v>
      </c>
      <c r="AD201" s="76"/>
      <c r="AE201" s="438"/>
      <c r="AF201" s="438"/>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139.61472708827301</v>
      </c>
      <c r="AX201" s="439">
        <f t="array" aca="1" ref="AX201" ca="1">AX215*AX228*INDEX($BA$183:$BA$190,AX$207,1)*$AV201*AX$195</f>
        <v>0</v>
      </c>
      <c r="AY201" s="439">
        <f t="array" aca="1" ref="AY201" ca="1">AY215*AY228*INDEX($BA$183:$BA$190,AY$207,1)*$AV201*AY$195</f>
        <v>0</v>
      </c>
      <c r="AZ201" s="439">
        <f t="array" aca="1" ref="AZ201" ca="1">AZ215*AZ228*INDEX($BA$183:$BA$190,AZ$207,1)*$AV201*AZ$195</f>
        <v>84.687415034611348</v>
      </c>
      <c r="BA201" s="439">
        <f t="array" aca="1" ref="BA201" ca="1">BA215*BA228*INDEX($BA$183:$BA$190,BA$207,1)</f>
        <v>94.728897114868573</v>
      </c>
      <c r="BB201" s="439">
        <f t="array" aca="1" ref="BB201" ca="1">BB215*BB228*INDEX($BA$183:$BA$190,BB$207,1)</f>
        <v>121.61290322580645</v>
      </c>
      <c r="BC201" s="439">
        <f t="array" aca="1" ref="BC201" ca="1">BC215*BC228*INDEX($BA$183:$BA$190,BC$207,1)*$AV201*BC$195</f>
        <v>84.687415034611348</v>
      </c>
      <c r="BD201" s="439">
        <f t="array" aca="1" ref="BD201" ca="1">BD215*BD228*INDEX($BA$183:$BA$190,BD$207,1)*$AV201*BD$195</f>
        <v>23.042249999999999</v>
      </c>
    </row>
    <row r="202" spans="1:56" outlineLevel="3" x14ac:dyDescent="0.35">
      <c r="A202" s="45"/>
      <c r="B202" s="54"/>
      <c r="C202" s="87">
        <f t="shared" si="41"/>
        <v>4</v>
      </c>
      <c r="D202" s="73"/>
      <c r="E202" s="70">
        <f t="shared" si="42"/>
        <v>0</v>
      </c>
      <c r="F202" s="70">
        <f t="shared" si="42"/>
        <v>0</v>
      </c>
      <c r="G202" s="73"/>
      <c r="H202" s="76"/>
      <c r="I202" s="173">
        <v>31.1</v>
      </c>
      <c r="J202" s="444">
        <v>4</v>
      </c>
      <c r="K202" s="445">
        <v>5</v>
      </c>
      <c r="L202" s="445">
        <v>5</v>
      </c>
      <c r="M202" s="445">
        <v>5</v>
      </c>
      <c r="N202" s="446">
        <v>3.6</v>
      </c>
      <c r="O202" s="443">
        <v>0</v>
      </c>
      <c r="P202" s="174"/>
      <c r="Q202" s="388">
        <v>0.87644444444444447</v>
      </c>
      <c r="R202" s="389">
        <v>0.75088954500719218</v>
      </c>
      <c r="S202" s="389">
        <v>0.75088954500719218</v>
      </c>
      <c r="T202" s="389">
        <v>0.75088954500719218</v>
      </c>
      <c r="U202" s="390">
        <v>0.94890510948905105</v>
      </c>
      <c r="V202" s="175">
        <v>0</v>
      </c>
      <c r="W202" s="174"/>
      <c r="X202" s="388">
        <v>0.8666666666666667</v>
      </c>
      <c r="Y202" s="389">
        <v>1</v>
      </c>
      <c r="Z202" s="389">
        <v>1</v>
      </c>
      <c r="AA202" s="389">
        <v>1</v>
      </c>
      <c r="AB202" s="390">
        <v>0.84952380952380946</v>
      </c>
      <c r="AC202" s="175">
        <v>0</v>
      </c>
      <c r="AD202" s="76"/>
      <c r="AE202" s="438"/>
      <c r="AF202" s="438"/>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152.30697500538875</v>
      </c>
      <c r="AX202" s="439">
        <f t="array" aca="1" ref="AX202" ca="1">AX216*AX229*INDEX($BA$183:$BA$190,AX$207,1)*$AV202*AX$195</f>
        <v>0</v>
      </c>
      <c r="AY202" s="439">
        <f t="array" aca="1" ref="AY202" ca="1">AY216*AY229*INDEX($BA$183:$BA$190,AY$207,1)*$AV202*AY$195</f>
        <v>0</v>
      </c>
      <c r="AZ202" s="439">
        <f t="array" aca="1" ref="AZ202" ca="1">AZ216*AZ229*INDEX($BA$183:$BA$190,AZ$207,1)*$AV202*AZ$195</f>
        <v>92.386270946848754</v>
      </c>
      <c r="BA202" s="439">
        <f t="array" aca="1" ref="BA202" ca="1">BA216*BA229*INDEX($BA$183:$BA$190,BA$207,1)</f>
        <v>103.34061503440209</v>
      </c>
      <c r="BB202" s="439">
        <f t="array" aca="1" ref="BB202" ca="1">BB216*BB229*INDEX($BA$183:$BA$190,BB$207,1)</f>
        <v>121.61290322580645</v>
      </c>
      <c r="BC202" s="439">
        <f t="array" aca="1" ref="BC202" ca="1">BC216*BC229*INDEX($BA$183:$BA$190,BC$207,1)*$AV202*BC$195</f>
        <v>92.386270946848754</v>
      </c>
      <c r="BD202" s="439">
        <f t="array" aca="1" ref="BD202" ca="1">BD216*BD229*INDEX($BA$183:$BA$190,BD$207,1)*$AV202*BD$195</f>
        <v>25.137</v>
      </c>
    </row>
    <row r="203" spans="1:56" outlineLevel="3" x14ac:dyDescent="0.35">
      <c r="A203" s="45"/>
      <c r="B203" s="54"/>
      <c r="C203" s="87">
        <f t="shared" si="41"/>
        <v>4</v>
      </c>
      <c r="D203" s="73"/>
      <c r="E203" s="70">
        <f t="shared" si="42"/>
        <v>0</v>
      </c>
      <c r="F203" s="70">
        <f t="shared" si="42"/>
        <v>0</v>
      </c>
      <c r="G203" s="73"/>
      <c r="H203" s="76"/>
      <c r="I203" s="173">
        <f t="shared" ref="I203:N204" si="43">I202</f>
        <v>31.1</v>
      </c>
      <c r="J203" s="444">
        <f t="shared" si="43"/>
        <v>4</v>
      </c>
      <c r="K203" s="445">
        <f t="shared" si="43"/>
        <v>5</v>
      </c>
      <c r="L203" s="445">
        <f t="shared" si="43"/>
        <v>5</v>
      </c>
      <c r="M203" s="445">
        <f t="shared" si="43"/>
        <v>5</v>
      </c>
      <c r="N203" s="446">
        <f t="shared" si="43"/>
        <v>3.6</v>
      </c>
      <c r="O203" s="443">
        <v>0</v>
      </c>
      <c r="P203" s="174"/>
      <c r="Q203" s="388">
        <f t="shared" ref="Q203:U204" si="44">Q202</f>
        <v>0.87644444444444447</v>
      </c>
      <c r="R203" s="389">
        <f t="shared" si="44"/>
        <v>0.75088954500719218</v>
      </c>
      <c r="S203" s="389">
        <f t="shared" si="44"/>
        <v>0.75088954500719218</v>
      </c>
      <c r="T203" s="389">
        <f t="shared" si="44"/>
        <v>0.75088954500719218</v>
      </c>
      <c r="U203" s="390">
        <f t="shared" si="44"/>
        <v>0.94890510948905105</v>
      </c>
      <c r="V203" s="175">
        <v>0</v>
      </c>
      <c r="W203" s="174"/>
      <c r="X203" s="388">
        <f t="shared" ref="X203:AB204" si="45">X202</f>
        <v>0.8666666666666667</v>
      </c>
      <c r="Y203" s="389">
        <f t="shared" si="45"/>
        <v>1</v>
      </c>
      <c r="Z203" s="389">
        <f t="shared" si="45"/>
        <v>1</v>
      </c>
      <c r="AA203" s="389">
        <f t="shared" si="45"/>
        <v>1</v>
      </c>
      <c r="AB203" s="390">
        <f t="shared" si="45"/>
        <v>0.84952380952380946</v>
      </c>
      <c r="AC203" s="175">
        <v>0</v>
      </c>
      <c r="AD203" s="76"/>
      <c r="AE203" s="438"/>
      <c r="AF203" s="438"/>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144.52612556023351</v>
      </c>
      <c r="AX203" s="439">
        <f t="array" aca="1" ref="AX203" ca="1">AX217*AX230*INDEX($BA$183:$BA$190,AX$207,1)*$AV203*AX$195</f>
        <v>0</v>
      </c>
      <c r="AY203" s="439">
        <f t="array" aca="1" ref="AY203" ca="1">AY217*AY230*INDEX($BA$183:$BA$190,AY$207,1)*$AV203*AY$195</f>
        <v>0</v>
      </c>
      <c r="AZ203" s="439">
        <f t="array" aca="1" ref="AZ203" ca="1">AZ217*AZ230*INDEX($BA$183:$BA$190,AZ$207,1)*$AV203*AZ$195</f>
        <v>100.08512685908615</v>
      </c>
      <c r="BA203" s="439">
        <f t="array" aca="1" ref="BA203" ca="1">BA217*BA230*INDEX($BA$183:$BA$190,BA$207,1)</f>
        <v>103.34061503440209</v>
      </c>
      <c r="BB203" s="439">
        <f t="array" aca="1" ref="BB203" ca="1">BB217*BB230*INDEX($BA$183:$BA$190,BB$207,1)</f>
        <v>121.61290322580645</v>
      </c>
      <c r="BC203" s="439">
        <f t="array" aca="1" ref="BC203" ca="1">BC217*BC230*INDEX($BA$183:$BA$190,BC$207,1)*$AV203*BC$195</f>
        <v>100.08512685908615</v>
      </c>
      <c r="BD203" s="439">
        <f t="array" aca="1" ref="BD203" ca="1">BD217*BD230*INDEX($BA$183:$BA$190,BD$207,1)*$AV203*BD$195</f>
        <v>27.231750000000002</v>
      </c>
    </row>
    <row r="204" spans="1:56" outlineLevel="3" x14ac:dyDescent="0.35">
      <c r="A204" s="45"/>
      <c r="B204" s="54"/>
      <c r="C204" s="87">
        <f t="shared" si="41"/>
        <v>4</v>
      </c>
      <c r="D204" s="73"/>
      <c r="E204" s="70">
        <f t="shared" si="42"/>
        <v>0</v>
      </c>
      <c r="F204" s="70">
        <f t="shared" si="42"/>
        <v>0</v>
      </c>
      <c r="G204" s="73"/>
      <c r="H204" s="76"/>
      <c r="I204" s="173">
        <f t="shared" si="43"/>
        <v>31.1</v>
      </c>
      <c r="J204" s="447">
        <f t="shared" si="43"/>
        <v>4</v>
      </c>
      <c r="K204" s="448">
        <f t="shared" si="43"/>
        <v>5</v>
      </c>
      <c r="L204" s="448">
        <f t="shared" si="43"/>
        <v>5</v>
      </c>
      <c r="M204" s="448">
        <f t="shared" si="43"/>
        <v>5</v>
      </c>
      <c r="N204" s="449">
        <f t="shared" si="43"/>
        <v>3.6</v>
      </c>
      <c r="O204" s="443">
        <v>0</v>
      </c>
      <c r="P204" s="174"/>
      <c r="Q204" s="391">
        <f t="shared" si="44"/>
        <v>0.87644444444444447</v>
      </c>
      <c r="R204" s="392">
        <f t="shared" si="44"/>
        <v>0.75088954500719218</v>
      </c>
      <c r="S204" s="392">
        <f t="shared" si="44"/>
        <v>0.75088954500719218</v>
      </c>
      <c r="T204" s="392">
        <f t="shared" si="44"/>
        <v>0.75088954500719218</v>
      </c>
      <c r="U204" s="393">
        <f t="shared" si="44"/>
        <v>0.94890510948905105</v>
      </c>
      <c r="V204" s="175">
        <v>0</v>
      </c>
      <c r="W204" s="174"/>
      <c r="X204" s="391">
        <f t="shared" si="45"/>
        <v>0.8666666666666667</v>
      </c>
      <c r="Y204" s="392">
        <f t="shared" si="45"/>
        <v>1</v>
      </c>
      <c r="Z204" s="392">
        <f t="shared" si="45"/>
        <v>1</v>
      </c>
      <c r="AA204" s="392">
        <f t="shared" si="45"/>
        <v>1</v>
      </c>
      <c r="AB204" s="393">
        <f t="shared" si="45"/>
        <v>0.84952380952380946</v>
      </c>
      <c r="AC204" s="175">
        <v>0</v>
      </c>
      <c r="AD204" s="76"/>
      <c r="AE204" s="438"/>
      <c r="AF204" s="438"/>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155.64351983409762</v>
      </c>
      <c r="AX204" s="439">
        <f t="array" aca="1" ref="AX204" ca="1">AX218*AX231*INDEX($BA$183:$BA$190,AX$207,1)*$AV204*AX$195</f>
        <v>0</v>
      </c>
      <c r="AY204" s="439">
        <f t="array" aca="1" ref="AY204" ca="1">AY218*AY231*INDEX($BA$183:$BA$190,AY$207,1)*$AV204*AY$195</f>
        <v>0</v>
      </c>
      <c r="AZ204" s="439">
        <f t="array" aca="1" ref="AZ204" ca="1">AZ218*AZ231*INDEX($BA$183:$BA$190,AZ$207,1)*$AV204*AZ$195</f>
        <v>107.78398277132355</v>
      </c>
      <c r="BA204" s="439">
        <f t="array" aca="1" ref="BA204" ca="1">BA218*BA231*INDEX($BA$183:$BA$190,BA$207,1)</f>
        <v>103.34061503440209</v>
      </c>
      <c r="BB204" s="439">
        <f t="array" aca="1" ref="BB204" ca="1">BB218*BB231*INDEX($BA$183:$BA$190,BB$207,1)</f>
        <v>121.61290322580645</v>
      </c>
      <c r="BC204" s="439">
        <f t="array" aca="1" ref="BC204" ca="1">BC218*BC231*INDEX($BA$183:$BA$190,BC$207,1)*$AV204*BC$195</f>
        <v>107.78398277132355</v>
      </c>
      <c r="BD204" s="439">
        <f t="array" aca="1" ref="BD204" ca="1">BD218*BD231*INDEX($BA$183:$BA$190,BD$207,1)*$AV204*BD$195</f>
        <v>29.326499999999999</v>
      </c>
    </row>
    <row r="205" spans="1:56" outlineLevel="3" x14ac:dyDescent="0.35">
      <c r="A205" s="45"/>
      <c r="B205" s="54"/>
      <c r="C205" s="87">
        <f t="shared" si="41"/>
        <v>4</v>
      </c>
      <c r="D205" s="73"/>
      <c r="E205" s="70">
        <f t="shared" si="42"/>
        <v>0</v>
      </c>
      <c r="F205" s="70">
        <f t="shared" si="42"/>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3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3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35">
      <c r="A208" s="45"/>
      <c r="B208" s="54"/>
      <c r="C208" s="87">
        <f t="shared" si="46"/>
        <v>4</v>
      </c>
      <c r="D208" s="73"/>
      <c r="E208" s="70"/>
      <c r="F208" s="70">
        <f t="shared" si="47"/>
        <v>1</v>
      </c>
      <c r="G208" s="73"/>
      <c r="H208" s="97" t="s">
        <v>2552</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2774</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35">
      <c r="A209" s="45"/>
      <c r="B209" s="54"/>
      <c r="C209" s="87">
        <f t="shared" si="46"/>
        <v>4</v>
      </c>
      <c r="D209" s="73"/>
      <c r="E209" s="70"/>
      <c r="F209" s="70">
        <f t="shared" si="47"/>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35">
      <c r="A210" s="45"/>
      <c r="B210" s="54"/>
      <c r="C210" s="87">
        <f t="shared" si="46"/>
        <v>4</v>
      </c>
      <c r="D210" s="73"/>
      <c r="E210" s="70"/>
      <c r="F210" s="70">
        <f t="shared" si="47"/>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46"/>
        <v>4</v>
      </c>
      <c r="D211" s="73"/>
      <c r="E211" s="70"/>
      <c r="F211" s="70">
        <f t="shared" si="47"/>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46"/>
        <v>4</v>
      </c>
      <c r="D212" s="73"/>
      <c r="E212" s="70"/>
      <c r="F212" s="70">
        <f t="shared" si="47"/>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46"/>
        <v>4</v>
      </c>
      <c r="D213" s="73"/>
      <c r="E213" s="70"/>
      <c r="F213" s="70">
        <f t="shared" si="47"/>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48"/>
        <v>4</v>
      </c>
      <c r="D216" s="73"/>
      <c r="E216" s="70"/>
      <c r="F216" s="70">
        <f t="shared" si="49"/>
        <v>2</v>
      </c>
      <c r="G216" s="73"/>
      <c r="H216" s="97" t="s">
        <v>2552</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48"/>
        <v>4</v>
      </c>
      <c r="D217" s="73"/>
      <c r="E217" s="70"/>
      <c r="F217" s="70">
        <f t="shared" si="49"/>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48"/>
        <v>4</v>
      </c>
      <c r="D218" s="73"/>
      <c r="E218" s="70"/>
      <c r="F218" s="70">
        <f t="shared" si="49"/>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48"/>
        <v>4</v>
      </c>
      <c r="D219" s="73"/>
      <c r="E219" s="70"/>
      <c r="F219" s="70">
        <f t="shared" si="49"/>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35">
      <c r="A220" s="45"/>
      <c r="B220" s="54"/>
      <c r="C220" s="87">
        <f t="shared" si="48"/>
        <v>4</v>
      </c>
      <c r="D220" s="73"/>
      <c r="E220" s="70"/>
      <c r="F220" s="70">
        <f t="shared" si="49"/>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35">
      <c r="A221" s="45"/>
      <c r="B221" s="54"/>
      <c r="C221" s="87">
        <f t="shared" si="48"/>
        <v>4</v>
      </c>
      <c r="D221" s="73"/>
      <c r="E221" s="70"/>
      <c r="F221" s="70">
        <f t="shared" si="49"/>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50">I246</f>
        <v>10.1</v>
      </c>
      <c r="J222" s="440">
        <f t="shared" si="50"/>
        <v>3</v>
      </c>
      <c r="K222" s="441">
        <f t="shared" si="50"/>
        <v>3</v>
      </c>
      <c r="L222" s="441">
        <f t="shared" si="50"/>
        <v>3</v>
      </c>
      <c r="M222" s="441">
        <f t="shared" si="50"/>
        <v>3</v>
      </c>
      <c r="N222" s="442">
        <f t="shared" si="50"/>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3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4">
        <f t="shared" si="50"/>
        <v>4.4000000000000004</v>
      </c>
      <c r="K223" s="445">
        <f t="shared" si="50"/>
        <v>4.4000000000000004</v>
      </c>
      <c r="L223" s="445">
        <f t="shared" si="50"/>
        <v>4.4000000000000004</v>
      </c>
      <c r="M223" s="445">
        <f t="shared" si="50"/>
        <v>4.4000000000000004</v>
      </c>
      <c r="N223" s="446">
        <f t="shared" si="50"/>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51"/>
        <v>4</v>
      </c>
      <c r="D224" s="73"/>
      <c r="E224" s="70"/>
      <c r="F224" s="70">
        <f t="shared" si="52"/>
        <v>3</v>
      </c>
      <c r="G224" s="73"/>
      <c r="H224" s="179" t="s">
        <v>256</v>
      </c>
      <c r="I224" s="173">
        <f t="shared" si="50"/>
        <v>18.100000000000001</v>
      </c>
      <c r="J224" s="444">
        <f t="shared" si="50"/>
        <v>5</v>
      </c>
      <c r="K224" s="445">
        <f t="shared" si="50"/>
        <v>5.2</v>
      </c>
      <c r="L224" s="445">
        <f t="shared" si="50"/>
        <v>5.2</v>
      </c>
      <c r="M224" s="445">
        <f t="shared" si="50"/>
        <v>5.2</v>
      </c>
      <c r="N224" s="446">
        <f t="shared" si="50"/>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51"/>
        <v>4</v>
      </c>
      <c r="D225" s="73"/>
      <c r="E225" s="70"/>
      <c r="F225" s="70">
        <f t="shared" si="52"/>
        <v>3</v>
      </c>
      <c r="G225" s="73"/>
      <c r="H225" s="76"/>
      <c r="I225" s="173">
        <f t="shared" si="50"/>
        <v>35.1</v>
      </c>
      <c r="J225" s="444">
        <f t="shared" si="50"/>
        <v>4.5</v>
      </c>
      <c r="K225" s="445">
        <f t="shared" si="50"/>
        <v>4.9000000000000004</v>
      </c>
      <c r="L225" s="445">
        <f t="shared" si="50"/>
        <v>4.9000000000000004</v>
      </c>
      <c r="M225" s="445">
        <f t="shared" si="50"/>
        <v>4.9000000000000004</v>
      </c>
      <c r="N225" s="446">
        <f t="shared" si="50"/>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51"/>
        <v>4</v>
      </c>
      <c r="D226" s="73"/>
      <c r="E226" s="70"/>
      <c r="F226" s="70">
        <f t="shared" si="52"/>
        <v>3</v>
      </c>
      <c r="G226" s="73"/>
      <c r="H226" s="76"/>
      <c r="I226" s="173">
        <f t="shared" si="50"/>
        <v>40.1</v>
      </c>
      <c r="J226" s="444">
        <f t="shared" si="50"/>
        <v>4.4000000000000004</v>
      </c>
      <c r="K226" s="445">
        <f t="shared" si="50"/>
        <v>4.5999999999999996</v>
      </c>
      <c r="L226" s="445">
        <f t="shared" si="50"/>
        <v>4.5999999999999996</v>
      </c>
      <c r="M226" s="445">
        <f t="shared" si="50"/>
        <v>4.5999999999999996</v>
      </c>
      <c r="N226" s="446">
        <f t="shared" si="50"/>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51"/>
        <v>4</v>
      </c>
      <c r="D227" s="73"/>
      <c r="E227" s="70"/>
      <c r="F227" s="70">
        <f t="shared" si="52"/>
        <v>3</v>
      </c>
      <c r="G227" s="73"/>
      <c r="H227" s="76"/>
      <c r="I227" s="173">
        <f t="shared" si="50"/>
        <v>45.1</v>
      </c>
      <c r="J227" s="444">
        <f t="shared" si="50"/>
        <v>4</v>
      </c>
      <c r="K227" s="445">
        <f t="shared" si="50"/>
        <v>4</v>
      </c>
      <c r="L227" s="445">
        <f t="shared" si="50"/>
        <v>4</v>
      </c>
      <c r="M227" s="445">
        <f t="shared" si="50"/>
        <v>4</v>
      </c>
      <c r="N227" s="446">
        <f t="shared" si="50"/>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51"/>
        <v>4</v>
      </c>
      <c r="D228" s="73"/>
      <c r="E228" s="70"/>
      <c r="F228" s="70">
        <f t="shared" si="52"/>
        <v>3</v>
      </c>
      <c r="G228" s="73"/>
      <c r="H228" s="76"/>
      <c r="I228" s="173">
        <f t="shared" si="50"/>
        <v>45.1</v>
      </c>
      <c r="J228" s="447">
        <f t="shared" si="50"/>
        <v>4</v>
      </c>
      <c r="K228" s="448">
        <f t="shared" si="50"/>
        <v>4</v>
      </c>
      <c r="L228" s="448">
        <f t="shared" si="50"/>
        <v>4</v>
      </c>
      <c r="M228" s="448">
        <f t="shared" si="50"/>
        <v>4</v>
      </c>
      <c r="N228" s="449">
        <f t="shared" si="50"/>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51"/>
        <v>4</v>
      </c>
      <c r="D229" s="73"/>
      <c r="E229" s="70"/>
      <c r="F229" s="70">
        <f t="shared" si="52"/>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53">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53"/>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54"/>
        <v>4</v>
      </c>
      <c r="D232" s="73"/>
      <c r="E232" s="70"/>
      <c r="F232" s="70">
        <f t="shared" si="55"/>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53"/>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35">
      <c r="A233" s="45"/>
      <c r="B233" s="54"/>
      <c r="C233" s="87">
        <f t="shared" si="54"/>
        <v>4</v>
      </c>
      <c r="D233" s="73"/>
      <c r="E233" s="70"/>
      <c r="F233" s="70">
        <f t="shared" si="55"/>
        <v>4</v>
      </c>
      <c r="G233" s="73"/>
      <c r="H233" s="97" t="s">
        <v>2553</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53"/>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35">
      <c r="A234" s="45"/>
      <c r="B234" s="54"/>
      <c r="C234" s="87">
        <f t="shared" si="54"/>
        <v>4</v>
      </c>
      <c r="D234" s="73"/>
      <c r="E234" s="70"/>
      <c r="F234" s="70">
        <f t="shared" si="55"/>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53"/>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35">
      <c r="A235" s="45"/>
      <c r="B235" s="54"/>
      <c r="C235" s="87">
        <f t="shared" si="54"/>
        <v>4</v>
      </c>
      <c r="D235" s="73"/>
      <c r="E235" s="70"/>
      <c r="F235" s="70">
        <f t="shared" si="55"/>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53"/>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35">
      <c r="A236" s="45"/>
      <c r="B236" s="54"/>
      <c r="C236" s="87">
        <f t="shared" si="54"/>
        <v>4</v>
      </c>
      <c r="D236" s="73"/>
      <c r="E236" s="70"/>
      <c r="F236" s="70">
        <f t="shared" si="55"/>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53"/>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35">
      <c r="A237" s="45"/>
      <c r="B237" s="54"/>
      <c r="C237" s="87">
        <f t="shared" si="54"/>
        <v>4</v>
      </c>
      <c r="D237" s="73"/>
      <c r="E237" s="70"/>
      <c r="F237" s="70">
        <f t="shared" si="55"/>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3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35">
      <c r="A240" s="45"/>
      <c r="B240" s="54"/>
      <c r="C240" s="87">
        <f t="shared" si="56"/>
        <v>4</v>
      </c>
      <c r="D240" s="73"/>
      <c r="E240" s="70"/>
      <c r="F240" s="70">
        <f t="shared" si="57"/>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35">
      <c r="A241" s="45"/>
      <c r="B241" s="54"/>
      <c r="C241" s="87">
        <f t="shared" si="56"/>
        <v>4</v>
      </c>
      <c r="D241" s="73"/>
      <c r="E241" s="70"/>
      <c r="F241" s="70">
        <f t="shared" si="57"/>
        <v>5</v>
      </c>
      <c r="G241" s="73"/>
      <c r="H241" s="97" t="s">
        <v>2554</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35">
      <c r="A242" s="45"/>
      <c r="B242" s="54"/>
      <c r="C242" s="87">
        <f t="shared" si="56"/>
        <v>4</v>
      </c>
      <c r="D242" s="73"/>
      <c r="E242" s="70"/>
      <c r="F242" s="70">
        <f t="shared" si="57"/>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35">
      <c r="A243" s="45"/>
      <c r="B243" s="54"/>
      <c r="C243" s="87">
        <f t="shared" si="56"/>
        <v>4</v>
      </c>
      <c r="D243" s="73"/>
      <c r="E243" s="70"/>
      <c r="F243" s="70">
        <f t="shared" si="57"/>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35">
      <c r="A244" s="45"/>
      <c r="B244" s="54"/>
      <c r="C244" s="87">
        <f t="shared" si="56"/>
        <v>4</v>
      </c>
      <c r="D244" s="73"/>
      <c r="E244" s="70"/>
      <c r="F244" s="70">
        <f t="shared" si="57"/>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35">
      <c r="A245" s="45"/>
      <c r="B245" s="54"/>
      <c r="C245" s="87">
        <f t="shared" si="56"/>
        <v>4</v>
      </c>
      <c r="D245" s="73"/>
      <c r="E245" s="70"/>
      <c r="F245" s="70">
        <f t="shared" si="57"/>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3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3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35">
      <c r="A248" s="45"/>
      <c r="B248" s="54"/>
      <c r="C248" s="87">
        <f t="shared" si="58"/>
        <v>4</v>
      </c>
      <c r="D248" s="73"/>
      <c r="E248" s="70"/>
      <c r="F248" s="70">
        <f t="shared" si="59"/>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35">
      <c r="A249" s="45"/>
      <c r="B249" s="54"/>
      <c r="C249" s="87">
        <f t="shared" si="58"/>
        <v>4</v>
      </c>
      <c r="D249" s="73"/>
      <c r="E249" s="70"/>
      <c r="F249" s="70">
        <f t="shared" si="59"/>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35">
      <c r="A250" s="45"/>
      <c r="B250" s="54"/>
      <c r="C250" s="87">
        <f t="shared" si="58"/>
        <v>4</v>
      </c>
      <c r="D250" s="73"/>
      <c r="E250" s="70"/>
      <c r="F250" s="70">
        <f t="shared" si="59"/>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35">
      <c r="A251" s="45"/>
      <c r="B251" s="54"/>
      <c r="C251" s="87">
        <f t="shared" si="58"/>
        <v>4</v>
      </c>
      <c r="D251" s="73"/>
      <c r="E251" s="70"/>
      <c r="F251" s="70">
        <f t="shared" si="59"/>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35">
      <c r="A252" s="45"/>
      <c r="B252" s="54"/>
      <c r="C252" s="87">
        <f t="shared" si="58"/>
        <v>4</v>
      </c>
      <c r="D252" s="73"/>
      <c r="E252" s="70"/>
      <c r="F252" s="70">
        <f t="shared" si="59"/>
        <v>6</v>
      </c>
      <c r="G252" s="73"/>
      <c r="H252" s="76"/>
      <c r="I252" s="173">
        <f t="shared" ref="I252:N252" si="60">I251</f>
        <v>45.1</v>
      </c>
      <c r="J252" s="461">
        <f t="shared" si="60"/>
        <v>4</v>
      </c>
      <c r="K252" s="462">
        <f t="shared" si="60"/>
        <v>4</v>
      </c>
      <c r="L252" s="462">
        <f t="shared" si="60"/>
        <v>4</v>
      </c>
      <c r="M252" s="462">
        <f t="shared" si="60"/>
        <v>4</v>
      </c>
      <c r="N252" s="463">
        <f t="shared" si="60"/>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35">
      <c r="A253" s="45"/>
      <c r="B253" s="54"/>
      <c r="C253" s="87">
        <f t="shared" si="58"/>
        <v>4</v>
      </c>
      <c r="D253" s="73"/>
      <c r="E253" s="70"/>
      <c r="F253" s="70">
        <f t="shared" si="59"/>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3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3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35">
      <c r="A256" s="45"/>
      <c r="B256" s="54"/>
      <c r="C256" s="87">
        <f t="shared" si="61"/>
        <v>4</v>
      </c>
      <c r="D256" s="73"/>
      <c r="E256" s="70"/>
      <c r="F256" s="70">
        <f t="shared" si="62"/>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35">
      <c r="A257" s="45"/>
      <c r="B257" s="54"/>
      <c r="C257" s="87">
        <f t="shared" si="61"/>
        <v>4</v>
      </c>
      <c r="D257" s="73"/>
      <c r="E257" s="70"/>
      <c r="F257" s="70">
        <f t="shared" si="62"/>
        <v>7</v>
      </c>
      <c r="G257" s="73"/>
      <c r="H257" s="76"/>
      <c r="I257" s="173">
        <f t="shared" ref="I257:N260" si="63">I256</f>
        <v>30</v>
      </c>
      <c r="J257" s="464">
        <f t="shared" si="63"/>
        <v>1</v>
      </c>
      <c r="K257" s="465">
        <f t="shared" si="63"/>
        <v>1</v>
      </c>
      <c r="L257" s="465">
        <f t="shared" si="63"/>
        <v>1</v>
      </c>
      <c r="M257" s="465">
        <f t="shared" si="63"/>
        <v>1</v>
      </c>
      <c r="N257" s="466">
        <f t="shared" si="63"/>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35">
      <c r="A258" s="45"/>
      <c r="B258" s="54"/>
      <c r="C258" s="87">
        <f t="shared" si="61"/>
        <v>4</v>
      </c>
      <c r="D258" s="73"/>
      <c r="E258" s="70"/>
      <c r="F258" s="70">
        <f t="shared" si="62"/>
        <v>7</v>
      </c>
      <c r="G258" s="73"/>
      <c r="H258" s="76"/>
      <c r="I258" s="173">
        <f t="shared" si="63"/>
        <v>30</v>
      </c>
      <c r="J258" s="464">
        <f t="shared" si="63"/>
        <v>1</v>
      </c>
      <c r="K258" s="465">
        <f t="shared" si="63"/>
        <v>1</v>
      </c>
      <c r="L258" s="465">
        <f t="shared" si="63"/>
        <v>1</v>
      </c>
      <c r="M258" s="465">
        <f t="shared" si="63"/>
        <v>1</v>
      </c>
      <c r="N258" s="466">
        <f t="shared" si="63"/>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35">
      <c r="A259" s="45"/>
      <c r="B259" s="54"/>
      <c r="C259" s="87">
        <f t="shared" si="61"/>
        <v>4</v>
      </c>
      <c r="D259" s="73"/>
      <c r="E259" s="70"/>
      <c r="F259" s="70">
        <f t="shared" si="62"/>
        <v>7</v>
      </c>
      <c r="G259" s="73"/>
      <c r="H259" s="76"/>
      <c r="I259" s="173">
        <f t="shared" si="63"/>
        <v>30</v>
      </c>
      <c r="J259" s="464">
        <f t="shared" si="63"/>
        <v>1</v>
      </c>
      <c r="K259" s="465">
        <f t="shared" si="63"/>
        <v>1</v>
      </c>
      <c r="L259" s="465">
        <f t="shared" si="63"/>
        <v>1</v>
      </c>
      <c r="M259" s="465">
        <f t="shared" si="63"/>
        <v>1</v>
      </c>
      <c r="N259" s="466">
        <f t="shared" si="63"/>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35">
      <c r="A260" s="45"/>
      <c r="B260" s="54"/>
      <c r="C260" s="87">
        <f t="shared" si="61"/>
        <v>4</v>
      </c>
      <c r="D260" s="73"/>
      <c r="E260" s="70"/>
      <c r="F260" s="70">
        <f t="shared" si="62"/>
        <v>7</v>
      </c>
      <c r="G260" s="73"/>
      <c r="H260" s="76"/>
      <c r="I260" s="173">
        <f t="shared" si="63"/>
        <v>30</v>
      </c>
      <c r="J260" s="461">
        <f t="shared" si="63"/>
        <v>1</v>
      </c>
      <c r="K260" s="462">
        <f t="shared" si="63"/>
        <v>1</v>
      </c>
      <c r="L260" s="462">
        <f t="shared" si="63"/>
        <v>1</v>
      </c>
      <c r="M260" s="462">
        <f t="shared" si="63"/>
        <v>1</v>
      </c>
      <c r="N260" s="463">
        <f t="shared" si="63"/>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35">
      <c r="A261" s="45"/>
      <c r="B261" s="54"/>
      <c r="C261" s="87">
        <f t="shared" si="61"/>
        <v>4</v>
      </c>
      <c r="D261" s="73"/>
      <c r="E261" s="70"/>
      <c r="F261" s="70">
        <f t="shared" si="62"/>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3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3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3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3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3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3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3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3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3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3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2" outlineLevel="3" x14ac:dyDescent="0.35">
      <c r="A317" s="45"/>
      <c r="B317" s="54"/>
      <c r="C317" s="87">
        <f t="shared" ref="C317:C322" si="65">INT($C$293)+3</f>
        <v>4</v>
      </c>
      <c r="D317" s="73"/>
      <c r="E317" s="70"/>
      <c r="F317" s="70"/>
      <c r="G317" s="73"/>
      <c r="H317" s="187"/>
      <c r="I317" s="76"/>
      <c r="J317" s="270" t="s">
        <v>2140</v>
      </c>
      <c r="K317" s="270" t="s">
        <v>2136</v>
      </c>
      <c r="L317" s="270" t="s">
        <v>2137</v>
      </c>
      <c r="M317" s="270" t="s">
        <v>2952</v>
      </c>
      <c r="N317" s="270" t="s">
        <v>2951</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35">
      <c r="A318" s="45"/>
      <c r="B318" s="54"/>
      <c r="C318" s="87">
        <f t="shared" si="65"/>
        <v>4</v>
      </c>
      <c r="D318" s="73"/>
      <c r="E318" s="70"/>
      <c r="F318" s="70"/>
      <c r="G318" s="73"/>
      <c r="H318" s="76"/>
      <c r="I318" s="76"/>
      <c r="J318" s="96" t="s">
        <v>2141</v>
      </c>
      <c r="K318" s="96" t="s">
        <v>2138</v>
      </c>
      <c r="L318" s="96" t="s">
        <v>2139</v>
      </c>
      <c r="M318" s="96" t="s">
        <v>2949</v>
      </c>
      <c r="N318" s="96" t="s">
        <v>2950</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35">
      <c r="A319" s="45"/>
      <c r="B319" s="54"/>
      <c r="C319" s="87">
        <f t="shared" si="65"/>
        <v>4</v>
      </c>
      <c r="D319" s="73"/>
      <c r="E319" s="70"/>
      <c r="F319" s="70">
        <v>0</v>
      </c>
      <c r="G319" s="73"/>
      <c r="H319" s="188" t="s">
        <v>2142</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35">
      <c r="A320" s="45"/>
      <c r="B320" s="54"/>
      <c r="C320" s="87">
        <f t="shared" si="65"/>
        <v>4</v>
      </c>
      <c r="D320" s="73"/>
      <c r="E320" s="70"/>
      <c r="F320" s="70">
        <v>1</v>
      </c>
      <c r="G320" s="73"/>
      <c r="H320" s="188" t="s">
        <v>2134</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3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3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1" outlineLevel="2" x14ac:dyDescent="0.35">
      <c r="A326" s="45"/>
      <c r="B326" s="54"/>
      <c r="C326" s="87">
        <f>INT($C$293)+2</f>
        <v>3</v>
      </c>
      <c r="D326" s="73"/>
      <c r="E326" s="70"/>
      <c r="F326" s="70"/>
      <c r="G326" s="73"/>
      <c r="H326" s="109"/>
      <c r="I326" s="109"/>
      <c r="J326" s="109"/>
      <c r="K326" s="109"/>
      <c r="L326" s="109" t="s">
        <v>3013</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2970</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2971</v>
      </c>
      <c r="U328" s="191" t="s">
        <v>2969</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35">
      <c r="A329" s="45"/>
      <c r="B329" s="54"/>
      <c r="C329" s="87">
        <f>INT($C$293)+3</f>
        <v>4</v>
      </c>
      <c r="D329" s="73"/>
      <c r="E329" s="70"/>
      <c r="F329" s="70"/>
      <c r="G329" s="73"/>
      <c r="H329" s="76" t="s">
        <v>2968</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3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3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3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3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37"/>
      <c r="AT333" s="437"/>
    </row>
    <row r="334" spans="1:46" outlineLevel="3" x14ac:dyDescent="0.3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3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37"/>
      <c r="AT335" s="437"/>
    </row>
    <row r="336" spans="1:46" ht="31.5" outlineLevel="3" x14ac:dyDescent="0.3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2972</v>
      </c>
      <c r="U336" s="194" t="s">
        <v>2972</v>
      </c>
      <c r="V336" s="194"/>
      <c r="W336" s="194"/>
      <c r="X336" s="194" t="s">
        <v>2974</v>
      </c>
      <c r="Y336" s="194" t="s">
        <v>346</v>
      </c>
      <c r="Z336" s="194" t="s">
        <v>347</v>
      </c>
      <c r="AA336" s="194" t="s">
        <v>2974</v>
      </c>
      <c r="AB336" s="194" t="s">
        <v>2973</v>
      </c>
      <c r="AC336" s="194"/>
      <c r="AD336" s="194"/>
      <c r="AE336" s="194"/>
      <c r="AF336" s="194" t="s">
        <v>2975</v>
      </c>
      <c r="AG336" s="194"/>
      <c r="AH336" s="470"/>
      <c r="AI336" s="470"/>
      <c r="AJ336" s="470"/>
      <c r="AK336" s="470"/>
      <c r="AL336" s="470"/>
      <c r="AM336" s="470"/>
      <c r="AN336" s="73"/>
      <c r="AO336" s="57"/>
      <c r="AP336" s="45"/>
      <c r="AQ336" s="45"/>
      <c r="AR336" s="45"/>
      <c r="AS336" s="437"/>
      <c r="AT336" s="437"/>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37"/>
      <c r="AT342" s="437"/>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1"/>
      <c r="AI343" s="471"/>
      <c r="AJ343" s="471"/>
      <c r="AK343" s="471"/>
      <c r="AL343" s="471"/>
      <c r="AM343" s="471"/>
      <c r="AN343" s="73"/>
      <c r="AO343" s="57"/>
      <c r="AP343" s="45"/>
      <c r="AQ343" s="45"/>
      <c r="AR343" s="45"/>
      <c r="AS343" s="437"/>
      <c r="AT343" s="437"/>
    </row>
    <row r="344" spans="1:46" outlineLevel="3" x14ac:dyDescent="0.3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3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3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3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3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3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3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3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3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3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3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3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3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3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3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3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3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3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3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3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3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3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3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3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3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35">
      <c r="A369" s="45"/>
      <c r="B369" s="54"/>
      <c r="C369" s="87">
        <f t="shared" si="71"/>
        <v>4</v>
      </c>
      <c r="D369" s="73"/>
      <c r="E369" s="70"/>
      <c r="F369" s="70"/>
      <c r="G369" s="73"/>
      <c r="H369" s="76" t="s">
        <v>2328</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35">
      <c r="A370" s="45"/>
      <c r="B370" s="54"/>
      <c r="C370" s="87">
        <f t="shared" si="71"/>
        <v>4</v>
      </c>
      <c r="D370" s="73"/>
      <c r="E370" s="70"/>
      <c r="F370" s="70"/>
      <c r="G370" s="73"/>
      <c r="H370" s="76" t="s">
        <v>2329</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3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3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35">
      <c r="A399" s="45"/>
      <c r="B399" s="54"/>
      <c r="C399" s="87">
        <f>INT($C$387)+2</f>
        <v>3</v>
      </c>
      <c r="D399" s="73"/>
      <c r="E399" s="70"/>
      <c r="F399" s="70"/>
      <c r="G399" s="73"/>
      <c r="H399" s="76" t="s">
        <v>406</v>
      </c>
      <c r="I399" s="97" t="b">
        <v>0</v>
      </c>
      <c r="J399" s="230" t="s">
        <v>407</v>
      </c>
      <c r="K399" s="95"/>
      <c r="L399" s="95"/>
      <c r="M399" s="76"/>
      <c r="N399" s="230" t="s">
        <v>2674</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35">
      <c r="A400" s="45"/>
      <c r="B400" s="54"/>
      <c r="C400" s="87">
        <f>INT($C$387)+2</f>
        <v>3</v>
      </c>
      <c r="D400" s="73"/>
      <c r="E400" s="70"/>
      <c r="F400" s="70"/>
      <c r="G400" s="73"/>
      <c r="H400" s="76"/>
      <c r="I400" s="231" t="s">
        <v>128</v>
      </c>
      <c r="J400" s="96">
        <v>0</v>
      </c>
      <c r="K400" s="96">
        <v>1</v>
      </c>
      <c r="L400" s="96">
        <v>2</v>
      </c>
      <c r="M400" s="96" t="s">
        <v>2813</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3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3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35">
      <c r="A404" s="45"/>
      <c r="B404" s="54"/>
      <c r="C404" s="87">
        <f t="shared" si="73"/>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3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3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3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35">
      <c r="A408" s="45"/>
      <c r="B408" s="54"/>
      <c r="C408" s="87">
        <f t="shared" si="73"/>
        <v>4</v>
      </c>
      <c r="D408" s="73"/>
      <c r="E408" s="70"/>
      <c r="F408" s="70"/>
      <c r="G408" s="73"/>
      <c r="H408" s="284" t="s">
        <v>3250</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3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3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3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3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3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35">
      <c r="A414" s="45"/>
      <c r="B414" s="54"/>
      <c r="C414" s="87">
        <f t="shared" si="73"/>
        <v>4</v>
      </c>
      <c r="D414" s="73"/>
      <c r="E414" s="70"/>
      <c r="F414" s="70"/>
      <c r="G414" s="73"/>
      <c r="H414" s="284" t="s">
        <v>2877</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35">
      <c r="A415" s="45"/>
      <c r="B415" s="54"/>
      <c r="C415" s="87">
        <f t="shared" si="73"/>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35">
      <c r="A416" s="45"/>
      <c r="B416" s="54"/>
      <c r="C416" s="87">
        <f t="shared" si="73"/>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35">
      <c r="A417" s="45"/>
      <c r="B417" s="54"/>
      <c r="C417" s="87">
        <f t="shared" si="73"/>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3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3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3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3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2881</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2878</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2882</v>
      </c>
      <c r="J10" s="18"/>
      <c r="K10" s="18" t="s">
        <v>2883</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2884</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2879</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2880</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2989</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79" t="s">
        <v>2990</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2885</v>
      </c>
      <c r="J33" s="24"/>
      <c r="L33" s="62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0" t="s">
        <v>2886</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0" t="s">
        <v>2887</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1" t="s">
        <v>2979</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1" t="s">
        <v>2978</v>
      </c>
      <c r="J37" s="24"/>
      <c r="L37" s="627">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2991</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0" t="s">
        <v>2992</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0" t="s">
        <v>2994</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0" t="s">
        <v>2993</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0" t="s">
        <v>3010</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0" t="s">
        <v>3011</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0" t="s">
        <v>3012</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2703</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0" t="s">
        <v>3476</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0" t="s">
        <v>3477</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0" t="s">
        <v>3478</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0" t="s">
        <v>3479</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0" t="s">
        <v>3015</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0" t="s">
        <v>3016</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0" t="s">
        <v>3017</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3000</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3005</v>
      </c>
      <c r="X68" s="21"/>
      <c r="Y68" s="18" t="s">
        <v>3005</v>
      </c>
      <c r="Z68" s="18"/>
      <c r="AA68" s="18"/>
      <c r="AB68" s="21"/>
      <c r="AC68" s="21"/>
      <c r="AD68" s="21"/>
      <c r="AE68" s="17"/>
      <c r="AF68" s="9"/>
      <c r="AG68" s="9"/>
      <c r="AH68" s="9"/>
    </row>
    <row r="69" spans="1:34" ht="12" customHeight="1" x14ac:dyDescent="0.35">
      <c r="A69" s="7"/>
      <c r="B69" s="8"/>
      <c r="C69" s="18"/>
      <c r="D69" s="18"/>
      <c r="E69" s="18"/>
      <c r="F69" s="18"/>
      <c r="G69" s="18" t="s">
        <v>2997</v>
      </c>
      <c r="H69" s="18"/>
      <c r="I69" s="18" t="s">
        <v>2999</v>
      </c>
      <c r="J69" s="18"/>
      <c r="K69" s="18"/>
      <c r="L69" s="18" t="s">
        <v>2998</v>
      </c>
      <c r="M69" s="18"/>
      <c r="N69" s="18" t="s">
        <v>2995</v>
      </c>
      <c r="O69" s="18"/>
      <c r="P69" s="18" t="s">
        <v>2996</v>
      </c>
      <c r="Q69" s="18"/>
      <c r="R69" s="18"/>
      <c r="S69" s="18"/>
      <c r="T69" s="18"/>
      <c r="U69" s="18" t="s">
        <v>3002</v>
      </c>
      <c r="V69" s="21"/>
      <c r="W69" s="18" t="s">
        <v>3003</v>
      </c>
      <c r="X69" s="21"/>
      <c r="Y69" s="18" t="s">
        <v>3004</v>
      </c>
      <c r="Z69" s="18"/>
      <c r="AA69" s="18" t="s">
        <v>3001</v>
      </c>
      <c r="AB69" s="21"/>
      <c r="AC69" s="21"/>
      <c r="AD69" s="21"/>
      <c r="AE69" s="17"/>
      <c r="AF69" s="9"/>
      <c r="AG69" s="9"/>
      <c r="AH69" s="9"/>
    </row>
    <row r="70" spans="1:34" ht="12" customHeight="1" x14ac:dyDescent="0.3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3006</v>
      </c>
      <c r="U70" s="473">
        <v>0.4</v>
      </c>
      <c r="V70" s="24"/>
      <c r="W70" s="474">
        <v>1.4999999999999999E-2</v>
      </c>
      <c r="X70" s="484"/>
      <c r="Y70" s="474">
        <v>1.2E-2</v>
      </c>
      <c r="Z70" s="24"/>
      <c r="AA70" s="380">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0" t="str">
        <f>General!G67</f>
        <v>bd</v>
      </c>
      <c r="Q71" s="380">
        <v>0.32</v>
      </c>
      <c r="R71" s="24"/>
      <c r="S71" s="24"/>
      <c r="T71" t="s">
        <v>3007</v>
      </c>
      <c r="U71" s="473">
        <v>0.4</v>
      </c>
      <c r="V71" s="24"/>
      <c r="W71" s="474">
        <v>2.7E-2</v>
      </c>
      <c r="X71" s="484"/>
      <c r="Y71" s="474">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0" t="str">
        <f>General!G68</f>
        <v>f</v>
      </c>
      <c r="Q72" s="380">
        <v>0.51</v>
      </c>
      <c r="R72" s="24"/>
      <c r="S72" s="24"/>
      <c r="T72" t="s">
        <v>3008</v>
      </c>
      <c r="U72" s="473">
        <v>0.8</v>
      </c>
      <c r="V72" s="24"/>
      <c r="W72" s="474">
        <v>1.4999999999999999E-2</v>
      </c>
      <c r="X72" s="484"/>
      <c r="Y72" s="474">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0" t="str">
        <f>General!G69</f>
        <v>h</v>
      </c>
      <c r="Q73" s="380">
        <v>0.43</v>
      </c>
      <c r="R73" s="24"/>
      <c r="S73" s="24"/>
      <c r="T73" t="s">
        <v>3009</v>
      </c>
      <c r="U73" s="473">
        <v>0.4</v>
      </c>
      <c r="V73" s="24"/>
      <c r="W73" s="474">
        <v>1.4999999999999999E-2</v>
      </c>
      <c r="X73" s="484"/>
      <c r="Y73" s="474">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2980</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2987</v>
      </c>
      <c r="M101" s="18"/>
      <c r="N101" s="18" t="s">
        <v>2986</v>
      </c>
      <c r="O101" s="18"/>
      <c r="P101" s="18" t="s">
        <v>2988</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79" t="s">
        <v>2982</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0" t="s">
        <v>2983</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79" t="s">
        <v>2981</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0"/>
      <c r="I106" s="480" t="s">
        <v>2984</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0"/>
      <c r="I107" s="480" t="s">
        <v>2985</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0"/>
      <c r="I110" s="345" t="s">
        <v>3018</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0"/>
      <c r="I111" s="325" t="s">
        <v>3019</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0"/>
      <c r="I112" s="325" t="s">
        <v>3020</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0"/>
      <c r="I113" s="325" t="s">
        <v>3021</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8"/>
  <sheetViews>
    <sheetView topLeftCell="A3" zoomScale="85" zoomScaleNormal="85" workbookViewId="0">
      <pane xSplit="9" ySplit="36" topLeftCell="J1725" activePane="bottomRight" state="frozen"/>
      <selection activeCell="A3" sqref="A3"/>
      <selection pane="topRight" activeCell="J3" sqref="J3"/>
      <selection pane="bottomLeft" activeCell="A39" sqref="A39"/>
      <selection pane="bottomRight" activeCell="J12" sqref="J12:AD12"/>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45934.592494791701</v>
      </c>
      <c r="J11" s="633" t="s">
        <v>3790</v>
      </c>
      <c r="K11" s="634"/>
      <c r="L11" s="634"/>
      <c r="M11" s="634"/>
      <c r="N11" s="634"/>
      <c r="O11" s="634"/>
      <c r="P11" s="634"/>
      <c r="Q11" s="634"/>
      <c r="R11" s="634"/>
      <c r="S11" s="634"/>
      <c r="T11" s="634"/>
      <c r="U11" s="634"/>
      <c r="V11" s="634"/>
      <c r="W11" s="634"/>
      <c r="X11" s="634"/>
      <c r="Y11" s="634"/>
      <c r="Z11" s="634"/>
      <c r="AA11" s="634"/>
      <c r="AB11" s="634"/>
      <c r="AC11" s="634"/>
      <c r="AD11" s="635"/>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46036.275988657399</v>
      </c>
      <c r="J12" s="636" t="s">
        <v>3802</v>
      </c>
      <c r="K12" s="637"/>
      <c r="L12" s="637"/>
      <c r="M12" s="637"/>
      <c r="N12" s="637"/>
      <c r="O12" s="637"/>
      <c r="P12" s="637"/>
      <c r="Q12" s="637"/>
      <c r="R12" s="637"/>
      <c r="S12" s="637"/>
      <c r="T12" s="637"/>
      <c r="U12" s="637"/>
      <c r="V12" s="637"/>
      <c r="W12" s="637"/>
      <c r="X12" s="637"/>
      <c r="Y12" s="637"/>
      <c r="Z12" s="637"/>
      <c r="AA12" s="637"/>
      <c r="AB12" s="637"/>
      <c r="AC12" s="637"/>
      <c r="AD12" s="644"/>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INT(MAX($C$39:$C$2107))+1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2946</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3307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3" t="s">
        <v>3289</v>
      </c>
      <c r="X35" s="613" t="s">
        <v>3290</v>
      </c>
      <c r="Y35" s="72" t="s">
        <v>3288</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INT(MAX($C$39:$C$2107))+1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INT(MAX($C$39:$C$2107))+1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3300</v>
      </c>
      <c r="G44" s="73"/>
      <c r="H44" s="129" t="s">
        <v>2966</v>
      </c>
      <c r="I44" s="96" t="s">
        <v>692</v>
      </c>
      <c r="J44" s="96"/>
      <c r="K44" s="76"/>
      <c r="L44" s="76"/>
      <c r="M44" s="76"/>
      <c r="N44" s="76"/>
      <c r="O44" s="76"/>
      <c r="P44" s="76"/>
      <c r="Q44" s="76"/>
      <c r="R44" s="76"/>
      <c r="S44" s="76"/>
      <c r="T44" s="76" t="s">
        <v>3297</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2948</v>
      </c>
      <c r="I45" s="96" t="s">
        <v>692</v>
      </c>
      <c r="J45" s="96"/>
      <c r="K45" s="76"/>
      <c r="L45" s="76"/>
      <c r="M45" s="76"/>
      <c r="N45" s="76"/>
      <c r="O45" s="76"/>
      <c r="P45" s="76"/>
      <c r="Q45" s="76"/>
      <c r="R45" s="76"/>
      <c r="S45" s="76"/>
      <c r="T45" s="76"/>
      <c r="U45" s="612">
        <f t="shared" ref="U45:AD45" si="1">3.058*U44/(U$377*U$383)</f>
        <v>27.53301320528211</v>
      </c>
      <c r="V45" s="612">
        <f t="shared" si="1"/>
        <v>36.710684273709482</v>
      </c>
      <c r="W45" s="612">
        <f t="shared" si="1"/>
        <v>37.985046730692275</v>
      </c>
      <c r="X45" s="612">
        <f t="shared" si="1"/>
        <v>36.710684273709482</v>
      </c>
      <c r="Y45" s="612">
        <f t="shared" si="1"/>
        <v>46.242001600640258</v>
      </c>
      <c r="Z45" s="612">
        <f t="shared" si="1"/>
        <v>36.710684273709482</v>
      </c>
      <c r="AA45" s="612">
        <f t="shared" si="1"/>
        <v>44.052821128451377</v>
      </c>
      <c r="AB45" s="612">
        <f t="shared" si="1"/>
        <v>42.829131652661061</v>
      </c>
      <c r="AC45" s="612">
        <f t="shared" si="1"/>
        <v>42.829131652661061</v>
      </c>
      <c r="AD45" s="612">
        <f t="shared" si="1"/>
        <v>48.947579031612641</v>
      </c>
      <c r="AE45" s="76"/>
      <c r="AF45" s="97" t="s">
        <v>2965</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3299</v>
      </c>
      <c r="G50" s="73"/>
      <c r="H50" s="129" t="s">
        <v>464</v>
      </c>
      <c r="I50" s="96" t="s">
        <v>465</v>
      </c>
      <c r="J50" s="96"/>
      <c r="K50" s="76"/>
      <c r="L50" s="76"/>
      <c r="M50" s="76"/>
      <c r="N50" s="76"/>
      <c r="O50" s="76"/>
      <c r="P50" s="76"/>
      <c r="Q50" s="76"/>
      <c r="R50" s="76"/>
      <c r="S50" s="76"/>
      <c r="T50" s="76" t="s">
        <v>3297</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3298</v>
      </c>
      <c r="G51" s="73"/>
      <c r="H51" s="129" t="s">
        <v>466</v>
      </c>
      <c r="I51" s="96" t="s">
        <v>1403</v>
      </c>
      <c r="J51" s="96"/>
      <c r="K51" s="76"/>
      <c r="L51" s="76"/>
      <c r="M51" s="76"/>
      <c r="N51" s="76"/>
      <c r="O51" s="76"/>
      <c r="P51" s="76"/>
      <c r="Q51" s="76"/>
      <c r="R51" s="76"/>
      <c r="S51" s="76"/>
      <c r="T51" s="76" t="s">
        <v>3297</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2956</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2957</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2958</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2959</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2960</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2961</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2520</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2546</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2547</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2722</v>
      </c>
      <c r="I60" s="96" t="s">
        <v>2364</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2517</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2721</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2720</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2721</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2721</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2740</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2569</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2947</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2762</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2912</v>
      </c>
      <c r="G111" s="73"/>
      <c r="H111" s="76" t="s">
        <v>2913</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2914</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2915</v>
      </c>
      <c r="G112" s="73" t="s">
        <v>131</v>
      </c>
      <c r="H112" s="76" t="s">
        <v>2916</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2914</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2917</v>
      </c>
      <c r="G113" s="73" t="s">
        <v>131</v>
      </c>
      <c r="H113" s="76" t="s">
        <v>2918</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2919</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2920</v>
      </c>
      <c r="G114" s="73" t="s">
        <v>131</v>
      </c>
      <c r="H114" s="76" t="s">
        <v>2921</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2922</v>
      </c>
      <c r="G115" s="73" t="s">
        <v>131</v>
      </c>
      <c r="H115" s="76" t="s">
        <v>2923</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2924</v>
      </c>
      <c r="G116" s="73" t="s">
        <v>131</v>
      </c>
      <c r="H116" s="76" t="s">
        <v>2925</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2926</v>
      </c>
      <c r="G117" s="73" t="s">
        <v>131</v>
      </c>
      <c r="H117" s="76" t="s">
        <v>2927</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2928</v>
      </c>
      <c r="G118" s="73" t="s">
        <v>131</v>
      </c>
      <c r="H118" s="76" t="s">
        <v>2929</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2930</v>
      </c>
      <c r="G119" s="73" t="s">
        <v>131</v>
      </c>
      <c r="H119" s="76" t="s">
        <v>2931</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2932</v>
      </c>
      <c r="G120" s="73" t="s">
        <v>131</v>
      </c>
      <c r="H120" s="76" t="s">
        <v>2933</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2934</v>
      </c>
      <c r="G121" s="73" t="s">
        <v>131</v>
      </c>
      <c r="H121" s="76" t="s">
        <v>2935</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2936</v>
      </c>
      <c r="G122" s="73" t="s">
        <v>131</v>
      </c>
      <c r="H122" s="76" t="s">
        <v>2937</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2938</v>
      </c>
      <c r="G123" s="73" t="s">
        <v>131</v>
      </c>
      <c r="H123" s="76" t="s">
        <v>2939</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2940</v>
      </c>
      <c r="G124" s="73" t="s">
        <v>131</v>
      </c>
      <c r="H124" s="76" t="s">
        <v>2941</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2942</v>
      </c>
      <c r="G125" s="73" t="s">
        <v>131</v>
      </c>
      <c r="H125" s="76" t="s">
        <v>2943</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3297</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2832</v>
      </c>
      <c r="S175" s="76" t="s">
        <v>2832</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2832</v>
      </c>
      <c r="S176" s="76" t="s">
        <v>2832</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2831</v>
      </c>
      <c r="I177" s="96" t="s">
        <v>502</v>
      </c>
      <c r="J177" s="96"/>
      <c r="K177" s="97">
        <v>0.85</v>
      </c>
      <c r="L177" s="97">
        <v>0.85</v>
      </c>
      <c r="M177" s="97">
        <v>0.85</v>
      </c>
      <c r="N177" s="97">
        <v>0.85</v>
      </c>
      <c r="O177" s="97">
        <v>0.85</v>
      </c>
      <c r="P177" s="97">
        <v>0.85</v>
      </c>
      <c r="Q177" s="76"/>
      <c r="R177" s="76" t="s">
        <v>2832</v>
      </c>
      <c r="S177" s="76" t="s">
        <v>2832</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2834</v>
      </c>
      <c r="S178" s="76" t="s">
        <v>2834</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2832</v>
      </c>
      <c r="S179" s="76" t="s">
        <v>2832</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2832</v>
      </c>
      <c r="S180" s="76" t="s">
        <v>2832</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2835</v>
      </c>
      <c r="S181" s="76" t="s">
        <v>2835</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2832</v>
      </c>
      <c r="S182" s="76" t="s">
        <v>2832</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2832</v>
      </c>
      <c r="S183" s="76" t="s">
        <v>2832</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2832</v>
      </c>
      <c r="S184" s="76" t="s">
        <v>2832</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2832</v>
      </c>
      <c r="S185" s="76" t="s">
        <v>2832</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2833</v>
      </c>
      <c r="I186" s="96" t="s">
        <v>502</v>
      </c>
      <c r="J186" s="96"/>
      <c r="K186" s="97">
        <v>0.7</v>
      </c>
      <c r="L186" s="97">
        <v>0.7</v>
      </c>
      <c r="M186" s="97">
        <v>0.7</v>
      </c>
      <c r="N186" s="97">
        <v>0.7</v>
      </c>
      <c r="O186" s="97">
        <v>0.7</v>
      </c>
      <c r="P186" s="97">
        <v>0.7</v>
      </c>
      <c r="Q186" s="76"/>
      <c r="R186" s="76" t="s">
        <v>2832</v>
      </c>
      <c r="S186" s="76" t="s">
        <v>2832</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2832</v>
      </c>
      <c r="S187" s="76" t="s">
        <v>2832</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2832</v>
      </c>
      <c r="S188" s="76" t="s">
        <v>2832</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2832</v>
      </c>
      <c r="S189" s="76" t="s">
        <v>2832</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2832</v>
      </c>
      <c r="S190" s="76" t="s">
        <v>2832</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3251</v>
      </c>
      <c r="I191" s="96" t="s">
        <v>626</v>
      </c>
      <c r="J191" s="96"/>
      <c r="K191" s="97">
        <v>0.43</v>
      </c>
      <c r="L191" s="97">
        <v>0.43</v>
      </c>
      <c r="M191" s="76"/>
      <c r="N191" s="76"/>
      <c r="O191" s="76"/>
      <c r="P191" s="76"/>
      <c r="Q191" s="76"/>
      <c r="R191" s="76" t="s">
        <v>2832</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2818</v>
      </c>
      <c r="G192" s="73"/>
      <c r="H192" s="76" t="s">
        <v>3199</v>
      </c>
      <c r="I192" s="96" t="s">
        <v>2830</v>
      </c>
      <c r="J192" s="96"/>
      <c r="K192" s="97">
        <v>8.9999999999999993E-3</v>
      </c>
      <c r="L192" s="97">
        <v>8.9999999999999993E-3</v>
      </c>
      <c r="M192" s="97">
        <v>8.9999999999999993E-3</v>
      </c>
      <c r="N192" s="97">
        <v>8.9999999999999993E-3</v>
      </c>
      <c r="O192" s="97">
        <v>8.9999999999999993E-3</v>
      </c>
      <c r="P192" s="97">
        <v>8.9999999999999993E-3</v>
      </c>
      <c r="Q192" s="76"/>
      <c r="R192" s="76" t="s">
        <v>3196</v>
      </c>
      <c r="S192" s="76" t="s">
        <v>3196</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2819</v>
      </c>
      <c r="G193" s="73"/>
      <c r="H193" s="76" t="s">
        <v>3200</v>
      </c>
      <c r="I193" s="96" t="s">
        <v>2830</v>
      </c>
      <c r="J193" s="96"/>
      <c r="K193" s="97">
        <v>7.6536</v>
      </c>
      <c r="L193" s="97">
        <v>7.6536</v>
      </c>
      <c r="M193" s="97">
        <v>7.6536</v>
      </c>
      <c r="N193" s="97">
        <v>7.6536</v>
      </c>
      <c r="O193" s="97">
        <v>7.6536</v>
      </c>
      <c r="P193" s="97">
        <v>7.6536</v>
      </c>
      <c r="Q193" s="76"/>
      <c r="R193" s="76" t="s">
        <v>3196</v>
      </c>
      <c r="S193" s="76" t="s">
        <v>3196</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2823</v>
      </c>
      <c r="G194" s="73"/>
      <c r="H194" s="76" t="s">
        <v>2870</v>
      </c>
      <c r="I194" s="96" t="s">
        <v>2830</v>
      </c>
      <c r="J194" s="96"/>
      <c r="K194" s="97">
        <v>0.43</v>
      </c>
      <c r="L194" s="97">
        <v>0.43</v>
      </c>
      <c r="M194" s="97">
        <v>0.43</v>
      </c>
      <c r="N194" s="97">
        <v>0.43</v>
      </c>
      <c r="O194" s="97">
        <v>0.43</v>
      </c>
      <c r="P194" s="97">
        <v>0.43</v>
      </c>
      <c r="Q194" s="76"/>
      <c r="R194" s="76" t="s">
        <v>2829</v>
      </c>
      <c r="S194" s="76" t="s">
        <v>2829</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2824</v>
      </c>
      <c r="G195" s="73"/>
      <c r="H195" s="76" t="s">
        <v>2871</v>
      </c>
      <c r="I195" s="96" t="s">
        <v>2830</v>
      </c>
      <c r="J195" s="96"/>
      <c r="K195" s="97">
        <f>1/0.4-1</f>
        <v>1.5</v>
      </c>
      <c r="L195" s="97">
        <f t="shared" ref="L195:P196" si="31">K195</f>
        <v>1.5</v>
      </c>
      <c r="M195" s="97">
        <f t="shared" si="31"/>
        <v>1.5</v>
      </c>
      <c r="N195" s="97">
        <f t="shared" si="31"/>
        <v>1.5</v>
      </c>
      <c r="O195" s="97">
        <f t="shared" si="31"/>
        <v>1.5</v>
      </c>
      <c r="P195" s="97">
        <f t="shared" si="31"/>
        <v>1.5</v>
      </c>
      <c r="Q195" s="76"/>
      <c r="R195" s="76" t="s">
        <v>2829</v>
      </c>
      <c r="S195" s="76" t="s">
        <v>2829</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2820</v>
      </c>
      <c r="G196" s="73"/>
      <c r="H196" s="76" t="s">
        <v>2872</v>
      </c>
      <c r="I196" s="96" t="s">
        <v>2830</v>
      </c>
      <c r="J196" s="96"/>
      <c r="K196" s="97">
        <f>1/0.4-1</f>
        <v>1.5</v>
      </c>
      <c r="L196" s="97">
        <f t="shared" si="31"/>
        <v>1.5</v>
      </c>
      <c r="M196" s="97">
        <f t="shared" si="31"/>
        <v>1.5</v>
      </c>
      <c r="N196" s="97">
        <f t="shared" si="31"/>
        <v>1.5</v>
      </c>
      <c r="O196" s="97">
        <f t="shared" si="31"/>
        <v>1.5</v>
      </c>
      <c r="P196" s="97">
        <f t="shared" si="31"/>
        <v>1.5</v>
      </c>
      <c r="Q196" s="76"/>
      <c r="R196" s="76" t="s">
        <v>2829</v>
      </c>
      <c r="S196" s="76" t="s">
        <v>2829</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2821</v>
      </c>
      <c r="G197" s="73"/>
      <c r="H197" s="76" t="s">
        <v>2873</v>
      </c>
      <c r="I197" s="96" t="s">
        <v>2830</v>
      </c>
      <c r="J197" s="96"/>
      <c r="K197" s="97">
        <f>1/0.4-1</f>
        <v>1.5</v>
      </c>
      <c r="L197" s="334">
        <f>K197</f>
        <v>1.5</v>
      </c>
      <c r="M197" s="76"/>
      <c r="N197" s="76"/>
      <c r="O197" s="76"/>
      <c r="P197" s="76"/>
      <c r="Q197" s="76"/>
      <c r="R197" s="76" t="s">
        <v>2829</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2822</v>
      </c>
      <c r="G198" s="73"/>
      <c r="H198" s="76" t="s">
        <v>3197</v>
      </c>
      <c r="I198" s="96" t="s">
        <v>2830</v>
      </c>
      <c r="J198" s="96"/>
      <c r="K198" s="97">
        <f t="shared" ref="K198:P198" si="33">1/0.2-1</f>
        <v>4</v>
      </c>
      <c r="L198" s="97">
        <f t="shared" si="33"/>
        <v>4</v>
      </c>
      <c r="M198" s="97">
        <f t="shared" si="33"/>
        <v>4</v>
      </c>
      <c r="N198" s="97">
        <f t="shared" si="33"/>
        <v>4</v>
      </c>
      <c r="O198" s="97">
        <f t="shared" si="33"/>
        <v>4</v>
      </c>
      <c r="P198" s="97">
        <f t="shared" si="33"/>
        <v>4</v>
      </c>
      <c r="Q198" s="76"/>
      <c r="R198" s="76" t="s">
        <v>3196</v>
      </c>
      <c r="S198" s="76" t="s">
        <v>3196</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2825</v>
      </c>
      <c r="G199" s="73"/>
      <c r="H199" s="76" t="s">
        <v>3198</v>
      </c>
      <c r="I199" s="96" t="s">
        <v>2830</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3196</v>
      </c>
      <c r="S199" s="76" t="s">
        <v>3196</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2826</v>
      </c>
      <c r="G200" s="73"/>
      <c r="H200" s="76" t="s">
        <v>2874</v>
      </c>
      <c r="I200" s="96" t="s">
        <v>2830</v>
      </c>
      <c r="J200" s="96"/>
      <c r="K200" s="97">
        <v>0</v>
      </c>
      <c r="L200" s="97">
        <v>0</v>
      </c>
      <c r="M200" s="97">
        <v>0</v>
      </c>
      <c r="N200" s="97">
        <v>0</v>
      </c>
      <c r="O200" s="97">
        <v>0</v>
      </c>
      <c r="P200" s="97">
        <v>0</v>
      </c>
      <c r="Q200" s="76"/>
      <c r="R200" s="76" t="s">
        <v>2829</v>
      </c>
      <c r="S200" s="76" t="s">
        <v>2829</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2827</v>
      </c>
      <c r="G201" s="73"/>
      <c r="H201" s="76" t="s">
        <v>2875</v>
      </c>
      <c r="I201" s="96" t="s">
        <v>2830</v>
      </c>
      <c r="J201" s="96"/>
      <c r="K201" s="97">
        <v>0</v>
      </c>
      <c r="L201" s="97">
        <v>0</v>
      </c>
      <c r="M201" s="97">
        <v>0</v>
      </c>
      <c r="N201" s="97">
        <v>0</v>
      </c>
      <c r="O201" s="97">
        <v>0</v>
      </c>
      <c r="P201" s="97">
        <v>0</v>
      </c>
      <c r="Q201" s="76"/>
      <c r="R201" s="76" t="s">
        <v>2829</v>
      </c>
      <c r="S201" s="76" t="s">
        <v>2829</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2828</v>
      </c>
      <c r="G202" s="73"/>
      <c r="H202" s="76" t="s">
        <v>2876</v>
      </c>
      <c r="I202" s="96" t="s">
        <v>2830</v>
      </c>
      <c r="J202" s="96"/>
      <c r="K202" s="97">
        <v>0</v>
      </c>
      <c r="L202" s="97">
        <v>0</v>
      </c>
      <c r="M202" s="97">
        <v>0</v>
      </c>
      <c r="N202" s="97">
        <v>0</v>
      </c>
      <c r="O202" s="97">
        <v>0</v>
      </c>
      <c r="P202" s="97">
        <v>0</v>
      </c>
      <c r="Q202" s="76"/>
      <c r="R202" s="76" t="s">
        <v>2829</v>
      </c>
      <c r="S202" s="76" t="s">
        <v>2829</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3252</v>
      </c>
      <c r="G203" s="73"/>
      <c r="H203" s="76" t="s">
        <v>3260</v>
      </c>
      <c r="I203" s="96" t="s">
        <v>626</v>
      </c>
      <c r="J203" s="96"/>
      <c r="K203" s="281">
        <f>K$179 / 0.7</f>
        <v>0.57142857142857151</v>
      </c>
      <c r="L203" s="281">
        <f t="shared" ref="L203:L209" si="35">K203</f>
        <v>0.57142857142857151</v>
      </c>
      <c r="M203" s="76"/>
      <c r="N203" s="76"/>
      <c r="O203" s="76"/>
      <c r="P203" s="76"/>
      <c r="Q203" s="76"/>
      <c r="R203" s="76" t="s">
        <v>2832</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3253</v>
      </c>
      <c r="G204" s="73"/>
      <c r="H204" s="76" t="s">
        <v>3261</v>
      </c>
      <c r="I204" s="96" t="s">
        <v>626</v>
      </c>
      <c r="J204" s="96"/>
      <c r="K204" s="281">
        <f>K$180 / 0.7</f>
        <v>2.8571428571428574E-2</v>
      </c>
      <c r="L204" s="281">
        <f t="shared" si="35"/>
        <v>2.8571428571428574E-2</v>
      </c>
      <c r="M204" s="76"/>
      <c r="N204" s="76"/>
      <c r="O204" s="76"/>
      <c r="P204" s="76"/>
      <c r="Q204" s="76"/>
      <c r="R204" s="76" t="s">
        <v>2832</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3254</v>
      </c>
      <c r="G205" s="73"/>
      <c r="H205" s="76" t="s">
        <v>3262</v>
      </c>
      <c r="I205" s="96" t="s">
        <v>626</v>
      </c>
      <c r="J205" s="96"/>
      <c r="K205" s="281">
        <f>K$182 / 0.7</f>
        <v>0.19000000000000003</v>
      </c>
      <c r="L205" s="281">
        <f t="shared" si="35"/>
        <v>0.19000000000000003</v>
      </c>
      <c r="M205" s="76"/>
      <c r="N205" s="76"/>
      <c r="O205" s="76"/>
      <c r="P205" s="76"/>
      <c r="Q205" s="76"/>
      <c r="R205" s="76" t="s">
        <v>2832</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3255</v>
      </c>
      <c r="G206" s="73"/>
      <c r="H206" s="76" t="s">
        <v>3263</v>
      </c>
      <c r="I206" s="96" t="s">
        <v>626</v>
      </c>
      <c r="J206" s="96"/>
      <c r="K206" s="281">
        <f>1/(1+K$194)</f>
        <v>0.69930069930069938</v>
      </c>
      <c r="L206" s="281">
        <f t="shared" si="35"/>
        <v>0.69930069930069938</v>
      </c>
      <c r="M206" s="76"/>
      <c r="N206" s="76"/>
      <c r="O206" s="76"/>
      <c r="P206" s="76"/>
      <c r="Q206" s="76"/>
      <c r="R206" s="76" t="s">
        <v>3267</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3257</v>
      </c>
      <c r="G207" s="73"/>
      <c r="H207" s="76" t="s">
        <v>3264</v>
      </c>
      <c r="I207" s="96" t="s">
        <v>626</v>
      </c>
      <c r="J207" s="96"/>
      <c r="K207" s="258">
        <v>1</v>
      </c>
      <c r="L207" s="258">
        <f t="shared" si="35"/>
        <v>1</v>
      </c>
      <c r="M207" s="76"/>
      <c r="N207" s="76"/>
      <c r="O207" s="76"/>
      <c r="P207" s="76"/>
      <c r="Q207" s="76"/>
      <c r="R207" s="76" t="s">
        <v>3267</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3256</v>
      </c>
      <c r="G208" s="73"/>
      <c r="H208" s="76" t="s">
        <v>3265</v>
      </c>
      <c r="I208" s="96" t="s">
        <v>626</v>
      </c>
      <c r="J208" s="96"/>
      <c r="K208" s="281">
        <f>1/(1+K$195)</f>
        <v>0.4</v>
      </c>
      <c r="L208" s="281">
        <f t="shared" si="35"/>
        <v>0.4</v>
      </c>
      <c r="M208" s="76"/>
      <c r="N208" s="76"/>
      <c r="O208" s="76"/>
      <c r="P208" s="76"/>
      <c r="Q208" s="76"/>
      <c r="R208" s="76" t="s">
        <v>3267</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3258</v>
      </c>
      <c r="G209" s="73"/>
      <c r="H209" s="76" t="s">
        <v>3266</v>
      </c>
      <c r="I209" s="96" t="s">
        <v>626</v>
      </c>
      <c r="J209" s="96"/>
      <c r="K209" s="258">
        <v>1</v>
      </c>
      <c r="L209" s="258">
        <f t="shared" si="35"/>
        <v>1</v>
      </c>
      <c r="M209" s="76"/>
      <c r="N209" s="76"/>
      <c r="O209" s="76"/>
      <c r="P209" s="76"/>
      <c r="Q209" s="76"/>
      <c r="R209" s="76" t="s">
        <v>3267</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3259</v>
      </c>
      <c r="G210" s="73"/>
      <c r="H210" s="76" t="s">
        <v>3269</v>
      </c>
      <c r="I210" s="96" t="s">
        <v>502</v>
      </c>
      <c r="J210" s="96"/>
      <c r="K210" s="97">
        <v>0.7</v>
      </c>
      <c r="L210" s="97">
        <v>0.7</v>
      </c>
      <c r="M210" s="97">
        <v>0.7</v>
      </c>
      <c r="N210" s="97">
        <v>0.7</v>
      </c>
      <c r="O210" s="97">
        <v>0.7</v>
      </c>
      <c r="P210" s="97">
        <v>0.7</v>
      </c>
      <c r="Q210" s="76"/>
      <c r="R210" s="76" t="s">
        <v>2832</v>
      </c>
      <c r="S210" s="76" t="s">
        <v>2832</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3268</v>
      </c>
      <c r="G211" s="73"/>
      <c r="H211" s="76" t="s">
        <v>3285</v>
      </c>
      <c r="I211" s="96" t="s">
        <v>626</v>
      </c>
      <c r="J211" s="96"/>
      <c r="K211" s="281">
        <f>0.448*K$175</f>
        <v>0.224</v>
      </c>
      <c r="L211" s="281">
        <f>K211</f>
        <v>0.224</v>
      </c>
      <c r="M211" s="76"/>
      <c r="N211" s="76"/>
      <c r="O211" s="76"/>
      <c r="P211" s="76"/>
      <c r="Q211" s="76"/>
      <c r="R211" s="76" t="s">
        <v>3287</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3284</v>
      </c>
      <c r="G212" s="73"/>
      <c r="H212" s="76" t="s">
        <v>3286</v>
      </c>
      <c r="I212" s="96" t="s">
        <v>626</v>
      </c>
      <c r="J212" s="96"/>
      <c r="K212" s="281">
        <f>0.448*K$176</f>
        <v>8.9600000000000009E-3</v>
      </c>
      <c r="L212" s="281">
        <f>K212</f>
        <v>8.9600000000000009E-3</v>
      </c>
      <c r="M212" s="76"/>
      <c r="N212" s="76"/>
      <c r="O212" s="76"/>
      <c r="P212" s="76"/>
      <c r="Q212" s="76"/>
      <c r="R212" s="76" t="s">
        <v>3287</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2836</v>
      </c>
      <c r="G234" s="73"/>
      <c r="H234" s="76" t="s">
        <v>3201</v>
      </c>
      <c r="I234" s="96" t="s">
        <v>2839</v>
      </c>
      <c r="J234" s="96"/>
      <c r="K234" s="97">
        <v>0</v>
      </c>
      <c r="L234" s="97">
        <v>0</v>
      </c>
      <c r="M234" s="97">
        <v>0</v>
      </c>
      <c r="N234" s="97">
        <v>0</v>
      </c>
      <c r="O234" s="97">
        <v>0</v>
      </c>
      <c r="P234" s="97">
        <v>0</v>
      </c>
      <c r="Q234" s="76"/>
      <c r="R234" s="76" t="s">
        <v>3207</v>
      </c>
      <c r="S234" s="76" t="s">
        <v>3207</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2837</v>
      </c>
      <c r="G235" s="73"/>
      <c r="H235" s="76" t="s">
        <v>2840</v>
      </c>
      <c r="I235" s="96" t="s">
        <v>2839</v>
      </c>
      <c r="J235" s="96"/>
      <c r="K235" s="97">
        <v>1.9E-2</v>
      </c>
      <c r="L235" s="97">
        <v>1.9E-2</v>
      </c>
      <c r="M235" s="97">
        <v>1.9E-2</v>
      </c>
      <c r="N235" s="97">
        <v>1.9E-2</v>
      </c>
      <c r="O235" s="97">
        <v>1.9E-2</v>
      </c>
      <c r="P235" s="97">
        <v>1.9E-2</v>
      </c>
      <c r="Q235" s="76"/>
      <c r="R235" s="76" t="s">
        <v>3207</v>
      </c>
      <c r="S235" s="76" t="s">
        <v>3207</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2838</v>
      </c>
      <c r="G236" s="73"/>
      <c r="H236" s="76" t="s">
        <v>2841</v>
      </c>
      <c r="I236" s="96" t="s">
        <v>2839</v>
      </c>
      <c r="J236" s="96"/>
      <c r="K236" s="97">
        <v>0.185</v>
      </c>
      <c r="L236" s="97">
        <v>0.185</v>
      </c>
      <c r="M236" s="97">
        <v>0.185</v>
      </c>
      <c r="N236" s="97">
        <v>0.185</v>
      </c>
      <c r="O236" s="97">
        <v>0.185</v>
      </c>
      <c r="P236" s="97">
        <v>0.185</v>
      </c>
      <c r="Q236" s="76"/>
      <c r="R236" s="76" t="s">
        <v>3207</v>
      </c>
      <c r="S236" s="76" t="s">
        <v>3207</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3202</v>
      </c>
      <c r="G237" s="73"/>
      <c r="H237" s="76" t="s">
        <v>662</v>
      </c>
      <c r="I237" s="96" t="s">
        <v>502</v>
      </c>
      <c r="J237" s="96"/>
      <c r="K237" s="97">
        <v>0.106</v>
      </c>
      <c r="L237" s="97">
        <v>0.106</v>
      </c>
      <c r="M237" s="97">
        <v>0.106</v>
      </c>
      <c r="N237" s="97">
        <v>0.106</v>
      </c>
      <c r="O237" s="97">
        <v>0.106</v>
      </c>
      <c r="P237" s="97">
        <v>0.106</v>
      </c>
      <c r="Q237" s="76"/>
      <c r="R237" s="76" t="s">
        <v>3206</v>
      </c>
      <c r="S237" s="76" t="s">
        <v>3206</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3203</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3206</v>
      </c>
      <c r="S238" s="76" t="s">
        <v>3206</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3205</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3206</v>
      </c>
      <c r="S239" s="76" t="s">
        <v>3206</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3204</v>
      </c>
      <c r="G240" s="73"/>
      <c r="H240" s="76" t="s">
        <v>671</v>
      </c>
      <c r="I240" s="96" t="s">
        <v>502</v>
      </c>
      <c r="J240" s="96"/>
      <c r="K240" s="97">
        <v>0.39</v>
      </c>
      <c r="L240" s="97">
        <v>0.39</v>
      </c>
      <c r="M240" s="97">
        <v>0.39</v>
      </c>
      <c r="N240" s="97">
        <v>0.39</v>
      </c>
      <c r="O240" s="97">
        <v>0.39</v>
      </c>
      <c r="P240" s="97">
        <v>0.39</v>
      </c>
      <c r="Q240" s="76"/>
      <c r="R240" s="76" t="s">
        <v>3206</v>
      </c>
      <c r="S240" s="76" t="s">
        <v>3206</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3280</v>
      </c>
      <c r="G277" s="73"/>
      <c r="H277" s="76" t="s">
        <v>3281</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3282</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2857</v>
      </c>
      <c r="G278" s="73"/>
      <c r="H278" s="76" t="s">
        <v>2860</v>
      </c>
      <c r="I278" s="96"/>
      <c r="J278" s="96"/>
      <c r="K278" s="97">
        <v>5.9630000000000001</v>
      </c>
      <c r="L278" s="97">
        <v>5.9630000000000001</v>
      </c>
      <c r="M278" s="97"/>
      <c r="N278" s="97"/>
      <c r="O278" s="97"/>
      <c r="P278" s="97"/>
      <c r="Q278" s="76"/>
      <c r="R278" s="76" t="s">
        <v>2863</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2858</v>
      </c>
      <c r="G279" s="73"/>
      <c r="H279" s="76" t="s">
        <v>2861</v>
      </c>
      <c r="I279" s="96"/>
      <c r="J279" s="96"/>
      <c r="K279" s="97">
        <v>11.2</v>
      </c>
      <c r="L279" s="97">
        <v>11.2</v>
      </c>
      <c r="M279" s="97"/>
      <c r="N279" s="97"/>
      <c r="O279" s="97"/>
      <c r="P279" s="97"/>
      <c r="Q279" s="76"/>
      <c r="R279" s="76" t="s">
        <v>2863</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2859</v>
      </c>
      <c r="G280" s="73"/>
      <c r="H280" s="76" t="s">
        <v>2862</v>
      </c>
      <c r="I280" s="96"/>
      <c r="J280" s="96"/>
      <c r="K280" s="97">
        <v>9.4500000000000001E-3</v>
      </c>
      <c r="L280" s="97">
        <v>9.4500000000000001E-3</v>
      </c>
      <c r="M280" s="97"/>
      <c r="N280" s="97"/>
      <c r="O280" s="97"/>
      <c r="P280" s="97"/>
      <c r="Q280" s="76"/>
      <c r="R280" s="76" t="s">
        <v>2863</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2864</v>
      </c>
      <c r="G281" s="73"/>
      <c r="H281" s="76" t="s">
        <v>2865</v>
      </c>
      <c r="I281" s="96"/>
      <c r="J281" s="96"/>
      <c r="K281" s="97">
        <v>0</v>
      </c>
      <c r="L281" s="97">
        <v>0</v>
      </c>
      <c r="M281" s="97"/>
      <c r="N281" s="97"/>
      <c r="O281" s="97"/>
      <c r="P281" s="97"/>
      <c r="Q281" s="76"/>
      <c r="R281" s="76" t="s">
        <v>2863</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2575</v>
      </c>
      <c r="G283" s="73"/>
      <c r="H283" s="76" t="s">
        <v>791</v>
      </c>
      <c r="I283" s="96" t="s">
        <v>665</v>
      </c>
      <c r="J283" s="96"/>
      <c r="K283" s="76"/>
      <c r="L283" s="76"/>
      <c r="M283" s="76"/>
      <c r="N283" s="76"/>
      <c r="O283" s="76"/>
      <c r="P283" s="76"/>
      <c r="Q283" s="76"/>
      <c r="R283" s="76"/>
      <c r="S283" s="76"/>
      <c r="T283" s="76" t="s">
        <v>3297</v>
      </c>
      <c r="U283" s="97">
        <v>1</v>
      </c>
      <c r="V283" s="97">
        <v>1</v>
      </c>
      <c r="W283" s="97">
        <v>0.92001599999999994</v>
      </c>
      <c r="X283" s="97">
        <v>1.06843</v>
      </c>
      <c r="Y283" s="97">
        <v>1</v>
      </c>
      <c r="Z283" s="97">
        <v>1.25</v>
      </c>
      <c r="AA283" s="97">
        <v>1.25</v>
      </c>
      <c r="AB283" s="97">
        <v>1.25</v>
      </c>
      <c r="AC283" s="97">
        <v>1.25</v>
      </c>
      <c r="AD283" s="97">
        <v>1.25</v>
      </c>
      <c r="AE283" s="76"/>
      <c r="AF283" s="97" t="s">
        <v>2574</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3238</v>
      </c>
      <c r="I310" s="96" t="s">
        <v>3240</v>
      </c>
      <c r="J310" s="96"/>
      <c r="K310" s="97">
        <v>31.7</v>
      </c>
      <c r="L310" s="97">
        <v>31.7</v>
      </c>
      <c r="M310" s="76"/>
      <c r="N310" s="76"/>
      <c r="O310" s="76"/>
      <c r="P310" s="76"/>
      <c r="Q310" s="76"/>
      <c r="R310" s="76" t="s">
        <v>3239</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2832</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3297</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2316</v>
      </c>
      <c r="I322" s="96" t="s">
        <v>2867</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3297</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2856</v>
      </c>
      <c r="G330" s="73"/>
      <c r="H330" s="76" t="s">
        <v>2964</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2866</v>
      </c>
      <c r="G331" s="73"/>
      <c r="H331" s="76" t="s">
        <v>2316</v>
      </c>
      <c r="I331" s="96" t="s">
        <v>2867</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2868</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3241</v>
      </c>
      <c r="G332" s="73"/>
      <c r="H332" s="76" t="s">
        <v>3242</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3243</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3301</v>
      </c>
      <c r="G333" s="73"/>
      <c r="H333" s="76" t="s">
        <v>3304</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3303</v>
      </c>
      <c r="G334" s="73"/>
      <c r="H334" s="76" t="s">
        <v>3306</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3305</v>
      </c>
      <c r="G335" s="73"/>
      <c r="H335" s="76" t="s">
        <v>3309</v>
      </c>
      <c r="I335" s="96"/>
      <c r="J335" s="96"/>
      <c r="K335" s="76"/>
      <c r="L335" s="76"/>
      <c r="M335" s="76"/>
      <c r="N335" s="76"/>
      <c r="O335" s="76"/>
      <c r="P335" s="76"/>
      <c r="Q335" s="76"/>
      <c r="R335" s="76"/>
      <c r="S335" s="76"/>
      <c r="T335" s="76" t="s">
        <v>3297</v>
      </c>
      <c r="U335" s="97">
        <v>0.85</v>
      </c>
      <c r="V335" s="97">
        <v>0.85</v>
      </c>
      <c r="W335" s="97">
        <v>0.85</v>
      </c>
      <c r="X335" s="97">
        <v>0.85</v>
      </c>
      <c r="Y335" s="97">
        <v>0.85</v>
      </c>
      <c r="Z335" s="97">
        <v>0.85</v>
      </c>
      <c r="AA335" s="97">
        <v>0.85</v>
      </c>
      <c r="AB335" s="97">
        <v>0.85</v>
      </c>
      <c r="AC335" s="97">
        <v>0.85</v>
      </c>
      <c r="AD335" s="97">
        <v>0.85</v>
      </c>
      <c r="AE335" s="76"/>
      <c r="AF335" s="97" t="s">
        <v>3302</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3308</v>
      </c>
      <c r="G336" s="73"/>
      <c r="H336" s="76" t="s">
        <v>3310</v>
      </c>
      <c r="I336" s="96"/>
      <c r="J336" s="96"/>
      <c r="K336" s="76"/>
      <c r="L336" s="76"/>
      <c r="M336" s="76"/>
      <c r="N336" s="76"/>
      <c r="O336" s="76"/>
      <c r="P336" s="76"/>
      <c r="Q336" s="76"/>
      <c r="R336" s="76"/>
      <c r="S336" s="76"/>
      <c r="T336" s="76" t="s">
        <v>3297</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2869</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3297</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2355</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3297</v>
      </c>
      <c r="U365" s="253">
        <f t="shared" si="68"/>
        <v>20.3</v>
      </c>
      <c r="V365" s="253">
        <f t="shared" si="68"/>
        <v>20.3</v>
      </c>
      <c r="W365" s="615">
        <f>INDEX($K365:$Q365,1,W$43)-(INDEX($K364:$Q364,1,W$43)-W364)</f>
        <v>16.3</v>
      </c>
      <c r="X365" s="615">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2355</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2967</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2807</v>
      </c>
      <c r="I377" s="96" t="s">
        <v>2967</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2808</v>
      </c>
      <c r="I378" s="96" t="s">
        <v>2967</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2801</v>
      </c>
      <c r="G379" s="73"/>
      <c r="H379" s="76" t="s">
        <v>2809</v>
      </c>
      <c r="I379" s="96" t="s">
        <v>2967</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2802</v>
      </c>
      <c r="G380" s="73"/>
      <c r="H380" s="76" t="s">
        <v>2816</v>
      </c>
      <c r="I380" s="96" t="s">
        <v>2967</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2803</v>
      </c>
      <c r="G381" s="73"/>
      <c r="H381" s="76" t="s">
        <v>2817</v>
      </c>
      <c r="I381" s="96" t="s">
        <v>2967</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2804</v>
      </c>
      <c r="G382" s="73"/>
      <c r="H382" s="76" t="s">
        <v>971</v>
      </c>
      <c r="I382" s="96" t="s">
        <v>502</v>
      </c>
      <c r="J382" s="96"/>
      <c r="K382" s="97">
        <v>1</v>
      </c>
      <c r="L382" s="97">
        <v>1</v>
      </c>
      <c r="M382" s="97">
        <v>1</v>
      </c>
      <c r="N382" s="97">
        <v>1</v>
      </c>
      <c r="O382" s="97">
        <v>1</v>
      </c>
      <c r="P382" s="97">
        <v>1</v>
      </c>
      <c r="Q382" s="76"/>
      <c r="R382" s="76" t="s">
        <v>2962</v>
      </c>
      <c r="S382" s="76" t="s">
        <v>2963</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2805</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2806</v>
      </c>
      <c r="G384" s="73"/>
      <c r="H384" s="76" t="s">
        <v>2811</v>
      </c>
      <c r="I384" s="96" t="s">
        <v>502</v>
      </c>
      <c r="J384" s="96"/>
      <c r="K384" s="97">
        <v>0.157</v>
      </c>
      <c r="L384" s="97">
        <v>0.157</v>
      </c>
      <c r="M384" s="97">
        <v>0.157</v>
      </c>
      <c r="N384" s="97">
        <v>0.157</v>
      </c>
      <c r="O384" s="97">
        <v>0.157</v>
      </c>
      <c r="P384" s="97">
        <v>0.157</v>
      </c>
      <c r="Q384" s="76"/>
      <c r="R384" s="76" t="s">
        <v>2812</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2815</v>
      </c>
      <c r="G385" s="73"/>
      <c r="H385" s="76" t="s">
        <v>2810</v>
      </c>
      <c r="I385" s="96" t="s">
        <v>502</v>
      </c>
      <c r="J385" s="96"/>
      <c r="K385" s="97">
        <v>0.85</v>
      </c>
      <c r="L385" s="97">
        <v>0.85</v>
      </c>
      <c r="M385" s="97"/>
      <c r="N385" s="97"/>
      <c r="O385" s="97"/>
      <c r="P385" s="97"/>
      <c r="Q385" s="76"/>
      <c r="R385" s="76" t="s">
        <v>2814</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2842</v>
      </c>
      <c r="G386" s="73"/>
      <c r="H386" s="76" t="s">
        <v>2816</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2843</v>
      </c>
      <c r="G387" s="73"/>
      <c r="H387" s="76" t="s">
        <v>2817</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2844</v>
      </c>
      <c r="G388" s="73"/>
      <c r="H388" s="76" t="s">
        <v>2852</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2829</v>
      </c>
      <c r="S388" s="76" t="s">
        <v>2829</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2845</v>
      </c>
      <c r="G389" s="73"/>
      <c r="H389" s="76" t="s">
        <v>2850</v>
      </c>
      <c r="I389" s="96" t="s">
        <v>502</v>
      </c>
      <c r="J389" s="96"/>
      <c r="K389" s="97">
        <v>0.05</v>
      </c>
      <c r="L389" s="97">
        <v>0.05</v>
      </c>
      <c r="M389" s="97">
        <v>0.05</v>
      </c>
      <c r="N389" s="97">
        <v>0.05</v>
      </c>
      <c r="O389" s="97">
        <v>0.05</v>
      </c>
      <c r="P389" s="97">
        <v>0.05</v>
      </c>
      <c r="Q389" s="76"/>
      <c r="R389" s="76" t="s">
        <v>2829</v>
      </c>
      <c r="S389" s="76" t="s">
        <v>2829</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2846</v>
      </c>
      <c r="G390" s="73"/>
      <c r="H390" s="76" t="s">
        <v>2851</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2829</v>
      </c>
      <c r="S390" s="76" t="s">
        <v>2829</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2847</v>
      </c>
      <c r="G391" s="73"/>
      <c r="H391" s="76" t="s">
        <v>2853</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2829</v>
      </c>
      <c r="S391" s="76" t="s">
        <v>2829</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2848</v>
      </c>
      <c r="G392" s="73"/>
      <c r="H392" s="76" t="s">
        <v>2854</v>
      </c>
      <c r="I392" s="96" t="s">
        <v>502</v>
      </c>
      <c r="J392" s="96"/>
      <c r="K392" s="97">
        <v>2.0609999999999999</v>
      </c>
      <c r="L392" s="97">
        <v>2.0609999999999999</v>
      </c>
      <c r="M392" s="97">
        <v>2.0609999999999999</v>
      </c>
      <c r="N392" s="97">
        <v>2.0609999999999999</v>
      </c>
      <c r="O392" s="97">
        <v>2.0609999999999999</v>
      </c>
      <c r="P392" s="97">
        <v>2.0609999999999999</v>
      </c>
      <c r="Q392" s="76"/>
      <c r="R392" s="76" t="s">
        <v>2829</v>
      </c>
      <c r="S392" s="76" t="s">
        <v>2829</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2849</v>
      </c>
      <c r="G393" s="73"/>
      <c r="H393" s="76" t="s">
        <v>2855</v>
      </c>
      <c r="I393" s="96" t="s">
        <v>502</v>
      </c>
      <c r="J393" s="96"/>
      <c r="K393" s="97">
        <v>-0.53</v>
      </c>
      <c r="L393" s="97">
        <v>-0.53</v>
      </c>
      <c r="M393" s="97">
        <v>-0.53</v>
      </c>
      <c r="N393" s="97">
        <v>-0.53</v>
      </c>
      <c r="O393" s="97">
        <v>-0.53</v>
      </c>
      <c r="P393" s="97">
        <v>-0.53</v>
      </c>
      <c r="Q393" s="76"/>
      <c r="R393" s="76" t="s">
        <v>2829</v>
      </c>
      <c r="S393" s="76" t="s">
        <v>2829</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3248</v>
      </c>
      <c r="G394" s="73"/>
      <c r="H394" s="76" t="s">
        <v>3271</v>
      </c>
      <c r="I394" s="96" t="s">
        <v>502</v>
      </c>
      <c r="J394" s="96"/>
      <c r="K394" s="281">
        <v>0.1</v>
      </c>
      <c r="L394" s="281">
        <v>0.1</v>
      </c>
      <c r="M394" s="281">
        <v>0.1</v>
      </c>
      <c r="N394" s="281">
        <v>0.1</v>
      </c>
      <c r="O394" s="281">
        <v>0.1</v>
      </c>
      <c r="P394" s="281">
        <v>0.1</v>
      </c>
      <c r="Q394" s="76"/>
      <c r="R394" s="76" t="s">
        <v>3249</v>
      </c>
      <c r="S394" s="76" t="s">
        <v>3249</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3273</v>
      </c>
      <c r="G395" s="73"/>
      <c r="H395" s="76" t="s">
        <v>3270</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3272</v>
      </c>
      <c r="S395" s="76" t="s">
        <v>3249</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2356</v>
      </c>
      <c r="I398" s="96" t="s">
        <v>2977</v>
      </c>
      <c r="J398" s="96"/>
      <c r="K398" s="97">
        <v>1.84E-2</v>
      </c>
      <c r="L398" s="97">
        <v>1.84E-2</v>
      </c>
      <c r="M398" s="97">
        <v>1.84E-2</v>
      </c>
      <c r="N398" s="97">
        <v>1.84E-2</v>
      </c>
      <c r="O398" s="97">
        <v>1.84E-2</v>
      </c>
      <c r="P398" s="97">
        <v>1.84E-2</v>
      </c>
      <c r="Q398" s="76"/>
      <c r="R398" s="76" t="s">
        <v>2976</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2360</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2357</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2358</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2359</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35">
      <c r="A405" s="45"/>
      <c r="B405" s="54"/>
      <c r="C405" s="47">
        <f>INT($C$29)+3</f>
        <v>4</v>
      </c>
      <c r="D405" s="73"/>
      <c r="E405" s="70"/>
      <c r="F405" s="70" t="s">
        <v>2573</v>
      </c>
      <c r="G405" s="73"/>
      <c r="H405" s="76" t="s">
        <v>2363</v>
      </c>
      <c r="I405" s="96" t="s">
        <v>502</v>
      </c>
      <c r="J405" s="96"/>
      <c r="K405" s="97">
        <v>9.375E-2</v>
      </c>
      <c r="L405" s="97">
        <v>0.20499999999999999</v>
      </c>
      <c r="M405" s="97">
        <v>0</v>
      </c>
      <c r="N405" s="97">
        <v>0</v>
      </c>
      <c r="O405" s="97">
        <v>0</v>
      </c>
      <c r="P405" s="97">
        <v>0</v>
      </c>
      <c r="Q405" s="76"/>
      <c r="R405" s="97" t="s">
        <v>2567</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3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3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3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3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2738</v>
      </c>
      <c r="S412" s="76" t="s">
        <v>550</v>
      </c>
      <c r="T412" s="76" t="s">
        <v>3297</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3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3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3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3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3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3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3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3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3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35">
      <c r="A424" s="45"/>
      <c r="B424" s="54"/>
      <c r="C424" s="47">
        <f t="shared" si="84"/>
        <v>3</v>
      </c>
      <c r="D424" s="73"/>
      <c r="E424" s="70"/>
      <c r="F424" s="70" t="s">
        <v>1025</v>
      </c>
      <c r="G424" s="73"/>
      <c r="H424" s="374" t="s">
        <v>2739</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3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3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3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3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3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35">
      <c r="A440" s="45"/>
      <c r="B440" s="54"/>
      <c r="C440" s="47">
        <f t="shared" si="89"/>
        <v>3</v>
      </c>
      <c r="D440" s="73"/>
      <c r="E440" s="70"/>
      <c r="F440" s="70" t="s">
        <v>1047</v>
      </c>
      <c r="G440" s="73"/>
      <c r="H440" s="76" t="s">
        <v>2570</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3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3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3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3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3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3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35">
      <c r="A447" s="45"/>
      <c r="B447" s="54"/>
      <c r="C447" s="47">
        <f t="shared" si="89"/>
        <v>3</v>
      </c>
      <c r="D447" s="73"/>
      <c r="E447" s="70"/>
      <c r="F447" s="70" t="s">
        <v>1054</v>
      </c>
      <c r="G447" s="73"/>
      <c r="H447" s="76" t="s">
        <v>3487</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35">
      <c r="A448" s="45"/>
      <c r="B448" s="54"/>
      <c r="C448" s="47">
        <f t="shared" si="89"/>
        <v>3</v>
      </c>
      <c r="D448" s="73"/>
      <c r="E448" s="70"/>
      <c r="F448" s="70" t="s">
        <v>1055</v>
      </c>
      <c r="G448" s="73"/>
      <c r="H448" s="76" t="s">
        <v>2570</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35">
      <c r="A455" s="45"/>
      <c r="B455" s="54"/>
      <c r="C455" s="47">
        <f t="shared" si="89"/>
        <v>3</v>
      </c>
      <c r="D455" s="73"/>
      <c r="E455" s="70"/>
      <c r="F455" s="70" t="s">
        <v>1062</v>
      </c>
      <c r="G455" s="73"/>
      <c r="H455" s="76" t="s">
        <v>3491</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35">
      <c r="A456" s="45"/>
      <c r="B456" s="54"/>
      <c r="C456" s="47">
        <f t="shared" si="89"/>
        <v>3</v>
      </c>
      <c r="D456" s="73"/>
      <c r="E456" s="70"/>
      <c r="F456" s="70" t="s">
        <v>1063</v>
      </c>
      <c r="G456" s="73"/>
      <c r="H456" s="76" t="s">
        <v>2570</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3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3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3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3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3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3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35">
      <c r="A463" s="45"/>
      <c r="B463" s="54"/>
      <c r="C463" s="47">
        <f t="shared" si="89"/>
        <v>3</v>
      </c>
      <c r="D463" s="73"/>
      <c r="E463" s="70"/>
      <c r="F463" s="70" t="s">
        <v>1070</v>
      </c>
      <c r="G463" s="73"/>
      <c r="H463" s="76" t="s">
        <v>3488</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1071</v>
      </c>
      <c r="G464" s="73"/>
      <c r="H464" s="76" t="s">
        <v>2570</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ref="C471:C502" si="96">INT($C$29)+2</f>
        <v>3</v>
      </c>
      <c r="D471" s="73"/>
      <c r="E471" s="70"/>
      <c r="F471" s="70" t="s">
        <v>1078</v>
      </c>
      <c r="G471" s="73"/>
      <c r="H471" s="76" t="s">
        <v>3489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si="96"/>
        <v>3</v>
      </c>
      <c r="D472" s="73"/>
      <c r="E472" s="70"/>
      <c r="F472" s="70" t="s">
        <v>1079</v>
      </c>
      <c r="G472" s="73"/>
      <c r="H472" s="76" t="s">
        <v>2570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6"/>
        <v>3</v>
      </c>
      <c r="D479" s="73"/>
      <c r="E479" s="70"/>
      <c r="F479" s="70" t="s">
        <v>1086</v>
      </c>
      <c r="G479" s="73"/>
      <c r="H479" s="76" t="s">
        <v>3490</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6"/>
        <v>3</v>
      </c>
      <c r="D480" s="73"/>
      <c r="E480" s="70"/>
      <c r="F480" s="70" t="s">
        <v>1087</v>
      </c>
      <c r="G480" s="73"/>
      <c r="H480" s="76" t="s">
        <v>2570</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3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2566</v>
      </c>
      <c r="AG503" s="76"/>
      <c r="AH503" s="97">
        <v>1</v>
      </c>
      <c r="AI503" s="97">
        <v>1</v>
      </c>
      <c r="AJ503" s="73"/>
      <c r="AK503" s="57"/>
      <c r="AL503" s="45"/>
      <c r="AM503" s="45"/>
      <c r="AN503" s="45"/>
    </row>
    <row r="504" spans="1:40" hidden="1" outlineLevel="2" x14ac:dyDescent="0.35">
      <c r="A504" s="45"/>
      <c r="B504" s="54"/>
      <c r="C504" s="47">
        <f t="shared" si="97"/>
        <v>3</v>
      </c>
      <c r="D504" s="73"/>
      <c r="E504" s="70"/>
      <c r="F504" s="70" t="s">
        <v>1111</v>
      </c>
      <c r="G504" s="73"/>
      <c r="H504" s="76" t="s">
        <v>2576</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35">
      <c r="A505" s="45"/>
      <c r="B505" s="54"/>
      <c r="C505" s="47">
        <f t="shared" si="97"/>
        <v>3</v>
      </c>
      <c r="D505" s="73"/>
      <c r="E505" s="70"/>
      <c r="F505" s="70" t="s">
        <v>1112</v>
      </c>
      <c r="G505" s="73"/>
      <c r="H505" s="76" t="s">
        <v>2577</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35">
      <c r="A506" s="45"/>
      <c r="B506" s="54"/>
      <c r="C506" s="47">
        <f t="shared" si="97"/>
        <v>3</v>
      </c>
      <c r="D506" s="73"/>
      <c r="E506" s="70"/>
      <c r="F506" s="70" t="s">
        <v>1113</v>
      </c>
      <c r="G506" s="73"/>
      <c r="H506" s="76" t="s">
        <v>2578</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35">
      <c r="A507" s="45"/>
      <c r="B507" s="54"/>
      <c r="C507" s="47">
        <f t="shared" si="97"/>
        <v>3</v>
      </c>
      <c r="D507" s="73"/>
      <c r="E507" s="70"/>
      <c r="F507" s="70" t="s">
        <v>1114</v>
      </c>
      <c r="G507" s="73"/>
      <c r="H507" s="76" t="s">
        <v>2579</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7"/>
        <v>3</v>
      </c>
      <c r="D508" s="73"/>
      <c r="E508" s="70"/>
      <c r="F508" s="70" t="s">
        <v>1115</v>
      </c>
      <c r="G508" s="73"/>
      <c r="H508" s="76" t="s">
        <v>2580</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7"/>
        <v>3</v>
      </c>
      <c r="D509" s="73"/>
      <c r="E509" s="70"/>
      <c r="F509" s="70" t="s">
        <v>1116</v>
      </c>
      <c r="G509" s="73"/>
      <c r="H509" s="76" t="s">
        <v>2581</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35">
      <c r="A510" s="45"/>
      <c r="B510" s="54"/>
      <c r="C510" s="47">
        <f t="shared" si="97"/>
        <v>3</v>
      </c>
      <c r="D510" s="73"/>
      <c r="E510" s="70"/>
      <c r="F510" s="70" t="s">
        <v>1117</v>
      </c>
      <c r="G510" s="73"/>
      <c r="H510" s="76" t="s">
        <v>2582</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3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3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35">
      <c r="A536" s="45"/>
      <c r="B536" s="54"/>
      <c r="C536" s="47">
        <f t="shared" si="98"/>
        <v>3</v>
      </c>
      <c r="D536" s="73"/>
      <c r="E536" s="70"/>
      <c r="F536" s="70" t="s">
        <v>1147</v>
      </c>
      <c r="G536" s="73"/>
      <c r="H536" s="76" t="s">
        <v>2583</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2571</v>
      </c>
      <c r="AG536" s="76"/>
      <c r="AH536" s="97">
        <v>1</v>
      </c>
      <c r="AI536" s="97">
        <v>1</v>
      </c>
      <c r="AJ536" s="73"/>
      <c r="AK536" s="57"/>
      <c r="AL536" s="45"/>
      <c r="AM536" s="45"/>
      <c r="AN536" s="45"/>
    </row>
    <row r="537" spans="1:40" hidden="1" outlineLevel="2" x14ac:dyDescent="0.35">
      <c r="A537" s="45"/>
      <c r="B537" s="54"/>
      <c r="C537" s="47">
        <f t="shared" si="98"/>
        <v>3</v>
      </c>
      <c r="D537" s="73"/>
      <c r="E537" s="70"/>
      <c r="F537" s="70" t="s">
        <v>1148</v>
      </c>
      <c r="G537" s="73"/>
      <c r="H537" s="76" t="s">
        <v>2584</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35">
      <c r="A538" s="45"/>
      <c r="B538" s="54"/>
      <c r="C538" s="47">
        <f t="shared" si="98"/>
        <v>3</v>
      </c>
      <c r="D538" s="73"/>
      <c r="E538" s="70"/>
      <c r="F538" s="70" t="s">
        <v>1149</v>
      </c>
      <c r="G538" s="73"/>
      <c r="H538" s="76" t="s">
        <v>2585</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35">
      <c r="A539" s="45"/>
      <c r="B539" s="54"/>
      <c r="C539" s="47">
        <f t="shared" si="98"/>
        <v>3</v>
      </c>
      <c r="D539" s="73"/>
      <c r="E539" s="70"/>
      <c r="F539" s="70" t="s">
        <v>1150</v>
      </c>
      <c r="G539" s="73"/>
      <c r="H539" s="76" t="s">
        <v>2586</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35">
      <c r="A540" s="45"/>
      <c r="B540" s="54"/>
      <c r="C540" s="47">
        <f t="shared" si="98"/>
        <v>3</v>
      </c>
      <c r="D540" s="73"/>
      <c r="E540" s="70"/>
      <c r="F540" s="70" t="s">
        <v>1151</v>
      </c>
      <c r="G540" s="73"/>
      <c r="H540" s="76" t="s">
        <v>2587</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35">
      <c r="A541" s="45"/>
      <c r="B541" s="54"/>
      <c r="C541" s="47">
        <f t="shared" si="98"/>
        <v>3</v>
      </c>
      <c r="D541" s="73"/>
      <c r="E541" s="70"/>
      <c r="F541" s="70" t="s">
        <v>1152</v>
      </c>
      <c r="G541" s="73"/>
      <c r="H541" s="76" t="s">
        <v>2588</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35">
      <c r="A542" s="45"/>
      <c r="B542" s="54"/>
      <c r="C542" s="47">
        <f t="shared" si="98"/>
        <v>3</v>
      </c>
      <c r="D542" s="73"/>
      <c r="E542" s="70"/>
      <c r="F542" s="70" t="s">
        <v>1153</v>
      </c>
      <c r="G542" s="73"/>
      <c r="H542" s="76" t="s">
        <v>2589</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3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35">
      <c r="A544" s="45"/>
      <c r="B544" s="54"/>
      <c r="C544" s="47">
        <f t="shared" si="98"/>
        <v>3</v>
      </c>
      <c r="D544" s="73"/>
      <c r="E544" s="70"/>
      <c r="F544" s="70" t="s">
        <v>1156</v>
      </c>
      <c r="G544" s="73"/>
      <c r="H544" s="76" t="s">
        <v>2590</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35">
      <c r="A545" s="45"/>
      <c r="B545" s="54"/>
      <c r="C545" s="47">
        <f t="shared" si="98"/>
        <v>3</v>
      </c>
      <c r="D545" s="73"/>
      <c r="E545" s="70"/>
      <c r="F545" s="70" t="s">
        <v>1157</v>
      </c>
      <c r="G545" s="73"/>
      <c r="H545" s="76" t="s">
        <v>2591</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35">
      <c r="A546" s="45"/>
      <c r="B546" s="54"/>
      <c r="C546" s="47">
        <f t="shared" si="98"/>
        <v>3</v>
      </c>
      <c r="D546" s="73"/>
      <c r="E546" s="70"/>
      <c r="F546" s="70" t="s">
        <v>1158</v>
      </c>
      <c r="G546" s="73"/>
      <c r="H546" s="76" t="s">
        <v>2592</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35">
      <c r="A547" s="45"/>
      <c r="B547" s="54"/>
      <c r="C547" s="47">
        <f t="shared" si="98"/>
        <v>3</v>
      </c>
      <c r="D547" s="73"/>
      <c r="E547" s="70"/>
      <c r="F547" s="70" t="s">
        <v>1159</v>
      </c>
      <c r="G547" s="73"/>
      <c r="H547" s="76" t="s">
        <v>2593</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35">
      <c r="A548" s="45"/>
      <c r="B548" s="54"/>
      <c r="C548" s="47">
        <f t="shared" si="98"/>
        <v>3</v>
      </c>
      <c r="D548" s="73"/>
      <c r="E548" s="70"/>
      <c r="F548" s="70" t="s">
        <v>1160</v>
      </c>
      <c r="G548" s="73"/>
      <c r="H548" s="76" t="s">
        <v>2594</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35">
      <c r="A549" s="45"/>
      <c r="B549" s="54"/>
      <c r="C549" s="47">
        <f t="shared" si="98"/>
        <v>3</v>
      </c>
      <c r="D549" s="73"/>
      <c r="E549" s="70"/>
      <c r="F549" s="70" t="s">
        <v>1161</v>
      </c>
      <c r="G549" s="73"/>
      <c r="H549" s="76" t="s">
        <v>2595</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35">
      <c r="A550" s="45"/>
      <c r="B550" s="54"/>
      <c r="C550" s="47">
        <f t="shared" si="98"/>
        <v>3</v>
      </c>
      <c r="D550" s="73"/>
      <c r="E550" s="70"/>
      <c r="F550" s="70" t="s">
        <v>1162</v>
      </c>
      <c r="G550" s="73"/>
      <c r="H550" s="76" t="s">
        <v>2596</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3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3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3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35">
      <c r="A560" s="45"/>
      <c r="B560" s="54"/>
      <c r="C560" s="47">
        <f t="shared" si="98"/>
        <v>3</v>
      </c>
      <c r="D560" s="73"/>
      <c r="E560" s="70"/>
      <c r="F560" s="70" t="s">
        <v>1175</v>
      </c>
      <c r="G560" s="73"/>
      <c r="H560" s="76" t="s">
        <v>2597</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35">
      <c r="A561" s="45"/>
      <c r="B561" s="54"/>
      <c r="C561" s="47">
        <f t="shared" si="98"/>
        <v>3</v>
      </c>
      <c r="D561" s="73"/>
      <c r="E561" s="70"/>
      <c r="F561" s="70" t="s">
        <v>1176</v>
      </c>
      <c r="G561" s="73"/>
      <c r="H561" s="76" t="s">
        <v>2598</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8"/>
        <v>3</v>
      </c>
      <c r="D562" s="73"/>
      <c r="E562" s="70"/>
      <c r="F562" s="70" t="s">
        <v>1177</v>
      </c>
      <c r="G562" s="73"/>
      <c r="H562" s="76" t="s">
        <v>2599</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8"/>
        <v>3</v>
      </c>
      <c r="D563" s="73"/>
      <c r="E563" s="70"/>
      <c r="F563" s="70" t="s">
        <v>1178</v>
      </c>
      <c r="G563" s="73"/>
      <c r="H563" s="76" t="s">
        <v>2600</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8"/>
        <v>3</v>
      </c>
      <c r="D564" s="73"/>
      <c r="E564" s="70"/>
      <c r="F564" s="70" t="s">
        <v>1179</v>
      </c>
      <c r="G564" s="73"/>
      <c r="H564" s="76" t="s">
        <v>2601</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8"/>
        <v>3</v>
      </c>
      <c r="D565" s="73"/>
      <c r="E565" s="70"/>
      <c r="F565" s="70" t="s">
        <v>1180</v>
      </c>
      <c r="G565" s="73"/>
      <c r="H565" s="76" t="s">
        <v>2602</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8"/>
        <v>3</v>
      </c>
      <c r="D566" s="73"/>
      <c r="E566" s="70"/>
      <c r="F566" s="70" t="s">
        <v>1181</v>
      </c>
      <c r="G566" s="73"/>
      <c r="H566" s="76" t="s">
        <v>2603</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2675</v>
      </c>
      <c r="AG567" s="76"/>
      <c r="AH567" s="97">
        <v>1</v>
      </c>
      <c r="AI567" s="97">
        <v>1</v>
      </c>
      <c r="AJ567" s="73"/>
      <c r="AK567" s="57"/>
      <c r="AL567" s="45"/>
      <c r="AM567" s="45"/>
      <c r="AN567" s="45"/>
    </row>
    <row r="568" spans="1:40" hidden="1" outlineLevel="2" x14ac:dyDescent="0.35">
      <c r="A568" s="45"/>
      <c r="B568" s="54"/>
      <c r="C568" s="47">
        <f t="shared" si="103"/>
        <v>3</v>
      </c>
      <c r="D568" s="73"/>
      <c r="E568" s="70"/>
      <c r="F568" s="70" t="s">
        <v>1183</v>
      </c>
      <c r="G568" s="73"/>
      <c r="H568" s="76" t="s">
        <v>2604</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2702</v>
      </c>
      <c r="AG568" s="76"/>
      <c r="AH568" s="97">
        <v>1</v>
      </c>
      <c r="AI568" s="97">
        <v>1</v>
      </c>
      <c r="AJ568" s="73"/>
      <c r="AK568" s="57"/>
      <c r="AL568" s="45"/>
      <c r="AM568" s="45"/>
      <c r="AN568" s="45"/>
    </row>
    <row r="569" spans="1:40" hidden="1" outlineLevel="2" x14ac:dyDescent="0.35">
      <c r="A569" s="45"/>
      <c r="B569" s="54"/>
      <c r="C569" s="47">
        <f t="shared" si="103"/>
        <v>3</v>
      </c>
      <c r="D569" s="73"/>
      <c r="E569" s="70"/>
      <c r="F569" s="70" t="s">
        <v>1184</v>
      </c>
      <c r="G569" s="73"/>
      <c r="H569" s="76" t="s">
        <v>2605</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35">
      <c r="A570" s="45"/>
      <c r="B570" s="54"/>
      <c r="C570" s="47">
        <f t="shared" si="103"/>
        <v>3</v>
      </c>
      <c r="D570" s="73"/>
      <c r="E570" s="70"/>
      <c r="F570" s="70" t="s">
        <v>1185</v>
      </c>
      <c r="G570" s="73"/>
      <c r="H570" s="76" t="s">
        <v>2606</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35">
      <c r="A571" s="45"/>
      <c r="B571" s="54"/>
      <c r="C571" s="47">
        <f t="shared" si="103"/>
        <v>3</v>
      </c>
      <c r="D571" s="73"/>
      <c r="E571" s="70"/>
      <c r="F571" s="70" t="s">
        <v>1186</v>
      </c>
      <c r="G571" s="73"/>
      <c r="H571" s="76" t="s">
        <v>2607</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35">
      <c r="A572" s="45"/>
      <c r="B572" s="54"/>
      <c r="C572" s="47">
        <f t="shared" si="103"/>
        <v>3</v>
      </c>
      <c r="D572" s="73"/>
      <c r="E572" s="70"/>
      <c r="F572" s="70" t="s">
        <v>1187</v>
      </c>
      <c r="G572" s="73"/>
      <c r="H572" s="76" t="s">
        <v>2608</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35">
      <c r="A573" s="45"/>
      <c r="B573" s="54"/>
      <c r="C573" s="47">
        <f t="shared" si="103"/>
        <v>3</v>
      </c>
      <c r="D573" s="73"/>
      <c r="E573" s="70"/>
      <c r="F573" s="70" t="s">
        <v>1188</v>
      </c>
      <c r="G573" s="73"/>
      <c r="H573" s="76" t="s">
        <v>2609</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35">
      <c r="A574" s="45"/>
      <c r="B574" s="54"/>
      <c r="C574" s="47">
        <f t="shared" si="103"/>
        <v>3</v>
      </c>
      <c r="D574" s="73"/>
      <c r="E574" s="70"/>
      <c r="F574" s="70" t="s">
        <v>1189</v>
      </c>
      <c r="G574" s="73"/>
      <c r="H574" s="76" t="s">
        <v>2610</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3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35">
      <c r="A576" s="45"/>
      <c r="B576" s="54"/>
      <c r="C576" s="47">
        <f t="shared" si="103"/>
        <v>3</v>
      </c>
      <c r="D576" s="73"/>
      <c r="E576" s="70"/>
      <c r="F576" s="70" t="s">
        <v>1192</v>
      </c>
      <c r="G576" s="73"/>
      <c r="H576" s="76" t="s">
        <v>2611</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35">
      <c r="A577" s="45"/>
      <c r="B577" s="54"/>
      <c r="C577" s="47">
        <f t="shared" si="103"/>
        <v>3</v>
      </c>
      <c r="D577" s="73"/>
      <c r="E577" s="70"/>
      <c r="F577" s="70" t="s">
        <v>1193</v>
      </c>
      <c r="G577" s="73"/>
      <c r="H577" s="76" t="s">
        <v>2612</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35">
      <c r="A578" s="45"/>
      <c r="B578" s="54"/>
      <c r="C578" s="47">
        <f t="shared" si="103"/>
        <v>3</v>
      </c>
      <c r="D578" s="73"/>
      <c r="E578" s="70"/>
      <c r="F578" s="70" t="s">
        <v>1194</v>
      </c>
      <c r="G578" s="73"/>
      <c r="H578" s="76" t="s">
        <v>2613</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35">
      <c r="A579" s="45"/>
      <c r="B579" s="54"/>
      <c r="C579" s="47">
        <f t="shared" si="103"/>
        <v>3</v>
      </c>
      <c r="D579" s="73"/>
      <c r="E579" s="70"/>
      <c r="F579" s="70" t="s">
        <v>1195</v>
      </c>
      <c r="G579" s="73"/>
      <c r="H579" s="76" t="s">
        <v>2614</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35">
      <c r="A580" s="45"/>
      <c r="B580" s="54"/>
      <c r="C580" s="47">
        <f t="shared" si="103"/>
        <v>3</v>
      </c>
      <c r="D580" s="73"/>
      <c r="E580" s="70"/>
      <c r="F580" s="70" t="s">
        <v>1196</v>
      </c>
      <c r="G580" s="73"/>
      <c r="H580" s="76" t="s">
        <v>2615</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35">
      <c r="A581" s="45"/>
      <c r="B581" s="54"/>
      <c r="C581" s="47">
        <f t="shared" si="103"/>
        <v>3</v>
      </c>
      <c r="D581" s="73"/>
      <c r="E581" s="70"/>
      <c r="F581" s="70" t="s">
        <v>1197</v>
      </c>
      <c r="G581" s="73"/>
      <c r="H581" s="76" t="s">
        <v>2616</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35">
      <c r="A582" s="45"/>
      <c r="B582" s="54"/>
      <c r="C582" s="47">
        <f t="shared" si="103"/>
        <v>3</v>
      </c>
      <c r="D582" s="73"/>
      <c r="E582" s="70"/>
      <c r="F582" s="70" t="s">
        <v>1198</v>
      </c>
      <c r="G582" s="73"/>
      <c r="H582" s="76" t="s">
        <v>2617</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3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35">
      <c r="A584" s="45"/>
      <c r="B584" s="54"/>
      <c r="C584" s="47">
        <f t="shared" si="103"/>
        <v>3</v>
      </c>
      <c r="D584" s="73"/>
      <c r="E584" s="70"/>
      <c r="F584" s="70" t="s">
        <v>1201</v>
      </c>
      <c r="G584" s="73"/>
      <c r="H584" s="76" t="s">
        <v>2618</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35">
      <c r="A585" s="45"/>
      <c r="B585" s="54"/>
      <c r="C585" s="47">
        <f t="shared" si="103"/>
        <v>3</v>
      </c>
      <c r="D585" s="73"/>
      <c r="E585" s="70"/>
      <c r="F585" s="70" t="s">
        <v>1202</v>
      </c>
      <c r="G585" s="73"/>
      <c r="H585" s="76" t="s">
        <v>2619</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35">
      <c r="A586" s="45"/>
      <c r="B586" s="54"/>
      <c r="C586" s="47">
        <f t="shared" si="103"/>
        <v>3</v>
      </c>
      <c r="D586" s="73"/>
      <c r="E586" s="70"/>
      <c r="F586" s="70" t="s">
        <v>1203</v>
      </c>
      <c r="G586" s="73"/>
      <c r="H586" s="76" t="s">
        <v>2620</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35">
      <c r="A587" s="45"/>
      <c r="B587" s="54"/>
      <c r="C587" s="47">
        <f t="shared" si="103"/>
        <v>3</v>
      </c>
      <c r="D587" s="73"/>
      <c r="E587" s="70"/>
      <c r="F587" s="70" t="s">
        <v>1204</v>
      </c>
      <c r="G587" s="73"/>
      <c r="H587" s="76" t="s">
        <v>2621</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35">
      <c r="A588" s="45"/>
      <c r="B588" s="54"/>
      <c r="C588" s="47">
        <f t="shared" si="103"/>
        <v>3</v>
      </c>
      <c r="D588" s="73"/>
      <c r="E588" s="70"/>
      <c r="F588" s="70" t="s">
        <v>1205</v>
      </c>
      <c r="G588" s="73"/>
      <c r="H588" s="76" t="s">
        <v>2622</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35">
      <c r="A589" s="45"/>
      <c r="B589" s="54"/>
      <c r="C589" s="47">
        <f t="shared" si="103"/>
        <v>3</v>
      </c>
      <c r="D589" s="73"/>
      <c r="E589" s="70"/>
      <c r="F589" s="70" t="s">
        <v>1206</v>
      </c>
      <c r="G589" s="73"/>
      <c r="H589" s="76" t="s">
        <v>2623</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35">
      <c r="A590" s="45"/>
      <c r="B590" s="54"/>
      <c r="C590" s="47">
        <f t="shared" si="103"/>
        <v>3</v>
      </c>
      <c r="D590" s="73"/>
      <c r="E590" s="70"/>
      <c r="F590" s="70" t="s">
        <v>1207</v>
      </c>
      <c r="G590" s="73"/>
      <c r="H590" s="76" t="s">
        <v>2624</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35">
      <c r="A591" s="45"/>
      <c r="B591" s="54"/>
      <c r="C591" s="47">
        <f t="shared" si="103"/>
        <v>3</v>
      </c>
      <c r="D591" s="73"/>
      <c r="E591" s="70"/>
      <c r="F591" s="70" t="s">
        <v>2634</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35">
      <c r="A592" s="45"/>
      <c r="B592" s="54"/>
      <c r="C592" s="47">
        <f t="shared" si="103"/>
        <v>3</v>
      </c>
      <c r="D592" s="73"/>
      <c r="E592" s="70"/>
      <c r="F592" s="70" t="s">
        <v>2635</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103"/>
        <v>3</v>
      </c>
      <c r="D593" s="73"/>
      <c r="E593" s="70"/>
      <c r="F593" s="70" t="s">
        <v>2636</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103"/>
        <v>3</v>
      </c>
      <c r="D594" s="73"/>
      <c r="E594" s="70"/>
      <c r="F594" s="70" t="s">
        <v>2637</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103"/>
        <v>3</v>
      </c>
      <c r="D595" s="73"/>
      <c r="E595" s="70"/>
      <c r="F595" s="70" t="s">
        <v>2638</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103"/>
        <v>3</v>
      </c>
      <c r="D596" s="73"/>
      <c r="E596" s="70"/>
      <c r="F596" s="70" t="s">
        <v>2639</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103"/>
        <v>3</v>
      </c>
      <c r="D597" s="73"/>
      <c r="E597" s="70"/>
      <c r="F597" s="70" t="s">
        <v>2640</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103"/>
        <v>3</v>
      </c>
      <c r="D598" s="73"/>
      <c r="E598" s="70"/>
      <c r="F598" s="70" t="s">
        <v>2641</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35">
      <c r="A599" s="45"/>
      <c r="B599" s="54"/>
      <c r="C599" s="47">
        <f t="shared" ref="C599:C630" si="107">INT($C$29)+2</f>
        <v>3</v>
      </c>
      <c r="D599" s="73"/>
      <c r="E599" s="70"/>
      <c r="F599" s="70" t="s">
        <v>2642</v>
      </c>
      <c r="G599" s="73"/>
      <c r="H599" s="76" t="s">
        <v>2666</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35">
      <c r="A600" s="45"/>
      <c r="B600" s="54"/>
      <c r="C600" s="47">
        <f t="shared" si="107"/>
        <v>3</v>
      </c>
      <c r="D600" s="73"/>
      <c r="E600" s="70"/>
      <c r="F600" s="70" t="s">
        <v>2643</v>
      </c>
      <c r="G600" s="73"/>
      <c r="H600" s="76" t="s">
        <v>2667</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35">
      <c r="A601" s="45"/>
      <c r="B601" s="54"/>
      <c r="C601" s="47">
        <f t="shared" si="107"/>
        <v>3</v>
      </c>
      <c r="D601" s="73"/>
      <c r="E601" s="70"/>
      <c r="F601" s="70" t="s">
        <v>2644</v>
      </c>
      <c r="G601" s="73"/>
      <c r="H601" s="76" t="s">
        <v>2668</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7"/>
        <v>3</v>
      </c>
      <c r="D602" s="73"/>
      <c r="E602" s="70"/>
      <c r="F602" s="70" t="s">
        <v>2645</v>
      </c>
      <c r="G602" s="73"/>
      <c r="H602" s="76" t="s">
        <v>2669</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7"/>
        <v>3</v>
      </c>
      <c r="D603" s="73"/>
      <c r="E603" s="70"/>
      <c r="F603" s="70" t="s">
        <v>2646</v>
      </c>
      <c r="G603" s="73"/>
      <c r="H603" s="76" t="s">
        <v>2670</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7"/>
        <v>3</v>
      </c>
      <c r="D604" s="73"/>
      <c r="E604" s="70"/>
      <c r="F604" s="70" t="s">
        <v>2647</v>
      </c>
      <c r="G604" s="73"/>
      <c r="H604" s="76" t="s">
        <v>2671</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7"/>
        <v>3</v>
      </c>
      <c r="D605" s="73"/>
      <c r="E605" s="70"/>
      <c r="F605" s="70" t="s">
        <v>2648</v>
      </c>
      <c r="G605" s="73"/>
      <c r="H605" s="76" t="s">
        <v>2672</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7"/>
        <v>3</v>
      </c>
      <c r="D606" s="73"/>
      <c r="E606" s="70"/>
      <c r="F606" s="70" t="s">
        <v>2649</v>
      </c>
      <c r="G606" s="73"/>
      <c r="H606" s="76" t="s">
        <v>2673</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7"/>
        <v>3</v>
      </c>
      <c r="D607" s="73"/>
      <c r="E607" s="70"/>
      <c r="F607" s="70" t="s">
        <v>2650</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35">
      <c r="A608" s="45"/>
      <c r="B608" s="54"/>
      <c r="C608" s="47">
        <f t="shared" si="107"/>
        <v>3</v>
      </c>
      <c r="D608" s="73"/>
      <c r="E608" s="70"/>
      <c r="F608" s="70" t="s">
        <v>2651</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7"/>
        <v>3</v>
      </c>
      <c r="D609" s="73"/>
      <c r="E609" s="70"/>
      <c r="F609" s="70" t="s">
        <v>2652</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7"/>
        <v>3</v>
      </c>
      <c r="D610" s="73"/>
      <c r="E610" s="70"/>
      <c r="F610" s="70" t="s">
        <v>2653</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7"/>
        <v>3</v>
      </c>
      <c r="D611" s="73"/>
      <c r="E611" s="70"/>
      <c r="F611" s="70" t="s">
        <v>2654</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7"/>
        <v>3</v>
      </c>
      <c r="D612" s="73"/>
      <c r="E612" s="70"/>
      <c r="F612" s="70" t="s">
        <v>2655</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7"/>
        <v>3</v>
      </c>
      <c r="D613" s="73"/>
      <c r="E613" s="70"/>
      <c r="F613" s="70" t="s">
        <v>2656</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7"/>
        <v>3</v>
      </c>
      <c r="D614" s="73"/>
      <c r="E614" s="70"/>
      <c r="F614" s="70" t="s">
        <v>2657</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35">
      <c r="A615" s="45"/>
      <c r="B615" s="54"/>
      <c r="C615" s="47">
        <f t="shared" si="107"/>
        <v>3</v>
      </c>
      <c r="D615" s="73"/>
      <c r="E615" s="70"/>
      <c r="F615" s="70" t="s">
        <v>2658</v>
      </c>
      <c r="G615" s="73"/>
      <c r="H615" s="76" t="s">
        <v>2751</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35">
      <c r="A616" s="45"/>
      <c r="B616" s="54"/>
      <c r="C616" s="47">
        <f t="shared" si="107"/>
        <v>3</v>
      </c>
      <c r="D616" s="73"/>
      <c r="E616" s="70"/>
      <c r="F616" s="70" t="s">
        <v>2659</v>
      </c>
      <c r="G616" s="73"/>
      <c r="H616" s="76" t="s">
        <v>2667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35">
      <c r="A617" s="45"/>
      <c r="B617" s="54"/>
      <c r="C617" s="47">
        <f t="shared" si="107"/>
        <v>3</v>
      </c>
      <c r="D617" s="73"/>
      <c r="E617" s="70"/>
      <c r="F617" s="70" t="s">
        <v>2660</v>
      </c>
      <c r="G617" s="73"/>
      <c r="H617" s="76" t="s">
        <v>2668</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7"/>
        <v>3</v>
      </c>
      <c r="D618" s="73"/>
      <c r="E618" s="70"/>
      <c r="F618" s="70" t="s">
        <v>2661</v>
      </c>
      <c r="G618" s="73"/>
      <c r="H618" s="76" t="s">
        <v>2669</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7"/>
        <v>3</v>
      </c>
      <c r="D619" s="73"/>
      <c r="E619" s="70"/>
      <c r="F619" s="70" t="s">
        <v>2662</v>
      </c>
      <c r="G619" s="73"/>
      <c r="H619" s="76" t="s">
        <v>2670</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7"/>
        <v>3</v>
      </c>
      <c r="D620" s="73"/>
      <c r="E620" s="70"/>
      <c r="F620" s="70" t="s">
        <v>2663</v>
      </c>
      <c r="G620" s="73"/>
      <c r="H620" s="76" t="s">
        <v>2671</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7"/>
        <v>3</v>
      </c>
      <c r="D621" s="73"/>
      <c r="E621" s="70"/>
      <c r="F621" s="70" t="s">
        <v>2664</v>
      </c>
      <c r="G621" s="73"/>
      <c r="H621" s="76" t="s">
        <v>2672</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7"/>
        <v>3</v>
      </c>
      <c r="D622" s="73"/>
      <c r="E622" s="70"/>
      <c r="F622" s="70" t="s">
        <v>2665</v>
      </c>
      <c r="G622" s="73"/>
      <c r="H622" s="76" t="s">
        <v>2673</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35">
      <c r="A623" s="45"/>
      <c r="B623" s="54"/>
      <c r="C623" s="47">
        <f t="shared" si="107"/>
        <v>3</v>
      </c>
      <c r="D623" s="73"/>
      <c r="E623" s="70"/>
      <c r="F623" s="70" t="s">
        <v>2753</v>
      </c>
      <c r="G623" s="73"/>
      <c r="H623" s="76" t="s">
        <v>2752</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3498</v>
      </c>
      <c r="AG623" s="76"/>
      <c r="AH623" s="97">
        <v>1</v>
      </c>
      <c r="AI623" s="97">
        <v>1</v>
      </c>
      <c r="AJ623" s="73"/>
      <c r="AK623" s="57"/>
      <c r="AL623" s="45"/>
      <c r="AM623" s="45"/>
      <c r="AN623" s="45"/>
    </row>
    <row r="624" spans="1:40" hidden="1" outlineLevel="2" x14ac:dyDescent="0.35">
      <c r="A624" s="45"/>
      <c r="B624" s="54"/>
      <c r="C624" s="47">
        <f t="shared" si="107"/>
        <v>3</v>
      </c>
      <c r="D624" s="73"/>
      <c r="E624" s="70"/>
      <c r="F624" s="70" t="s">
        <v>2754</v>
      </c>
      <c r="G624" s="73"/>
      <c r="H624" s="76" t="s">
        <v>2667</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3497</v>
      </c>
      <c r="AG624" s="76"/>
      <c r="AH624" s="97">
        <v>1</v>
      </c>
      <c r="AI624" s="97">
        <v>1</v>
      </c>
      <c r="AJ624" s="73"/>
      <c r="AK624" s="57"/>
      <c r="AL624" s="45"/>
      <c r="AM624" s="45"/>
      <c r="AN624" s="45"/>
    </row>
    <row r="625" spans="1:40" hidden="1" outlineLevel="2" x14ac:dyDescent="0.35">
      <c r="A625" s="45"/>
      <c r="B625" s="54"/>
      <c r="C625" s="47">
        <f t="shared" si="107"/>
        <v>3</v>
      </c>
      <c r="D625" s="73"/>
      <c r="E625" s="70"/>
      <c r="F625" s="70" t="s">
        <v>2755</v>
      </c>
      <c r="G625" s="73"/>
      <c r="H625" s="76" t="s">
        <v>2668</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35">
      <c r="A626" s="45"/>
      <c r="B626" s="54"/>
      <c r="C626" s="47">
        <f t="shared" si="107"/>
        <v>3</v>
      </c>
      <c r="D626" s="73"/>
      <c r="E626" s="70"/>
      <c r="F626" s="70" t="s">
        <v>2756</v>
      </c>
      <c r="G626" s="73"/>
      <c r="H626" s="76" t="s">
        <v>2669</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35">
      <c r="A627" s="45"/>
      <c r="B627" s="54"/>
      <c r="C627" s="47">
        <f t="shared" si="107"/>
        <v>3</v>
      </c>
      <c r="D627" s="73"/>
      <c r="E627" s="70"/>
      <c r="F627" s="70" t="s">
        <v>2757</v>
      </c>
      <c r="G627" s="73"/>
      <c r="H627" s="76" t="s">
        <v>2670</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35">
      <c r="A628" s="45"/>
      <c r="B628" s="54"/>
      <c r="C628" s="47">
        <f t="shared" si="107"/>
        <v>3</v>
      </c>
      <c r="D628" s="73"/>
      <c r="E628" s="70"/>
      <c r="F628" s="70" t="s">
        <v>2758</v>
      </c>
      <c r="G628" s="73"/>
      <c r="H628" s="76" t="s">
        <v>2671</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35">
      <c r="A629" s="45"/>
      <c r="B629" s="54"/>
      <c r="C629" s="47">
        <f t="shared" si="107"/>
        <v>3</v>
      </c>
      <c r="D629" s="73"/>
      <c r="E629" s="70"/>
      <c r="F629" s="70" t="s">
        <v>2759</v>
      </c>
      <c r="G629" s="73"/>
      <c r="H629" s="76" t="s">
        <v>2672</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35">
      <c r="A630" s="45"/>
      <c r="B630" s="54"/>
      <c r="C630" s="47">
        <f t="shared" si="107"/>
        <v>3</v>
      </c>
      <c r="D630" s="73"/>
      <c r="E630" s="70"/>
      <c r="F630" s="70" t="s">
        <v>2760</v>
      </c>
      <c r="G630" s="73"/>
      <c r="H630" s="76" t="s">
        <v>2673</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3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3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3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3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35">
      <c r="A636" s="45"/>
      <c r="B636" s="54"/>
      <c r="C636" s="47">
        <f t="shared" si="115"/>
        <v>3</v>
      </c>
      <c r="D636" s="73"/>
      <c r="E636" s="70"/>
      <c r="F636" s="70" t="s">
        <v>1214</v>
      </c>
      <c r="G636" s="73"/>
      <c r="H636" s="76" t="s">
        <v>2625</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35">
      <c r="A637" s="45"/>
      <c r="B637" s="54"/>
      <c r="C637" s="47">
        <f t="shared" si="115"/>
        <v>3</v>
      </c>
      <c r="D637" s="73"/>
      <c r="E637" s="70"/>
      <c r="F637" s="70" t="s">
        <v>1215</v>
      </c>
      <c r="G637" s="73"/>
      <c r="H637" s="76" t="s">
        <v>2626</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3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3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3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35">
      <c r="A657" s="45"/>
      <c r="B657" s="54"/>
      <c r="C657" s="47">
        <f t="shared" si="117"/>
        <v>3</v>
      </c>
      <c r="D657" s="73"/>
      <c r="E657" s="70"/>
      <c r="F657" s="70" t="s">
        <v>1237</v>
      </c>
      <c r="G657" s="73"/>
      <c r="H657" s="76" t="s">
        <v>2625</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2563</v>
      </c>
      <c r="AG657" s="76"/>
      <c r="AH657" s="97">
        <v>1</v>
      </c>
      <c r="AI657" s="97">
        <v>1</v>
      </c>
      <c r="AJ657" s="73"/>
      <c r="AK657" s="57"/>
      <c r="AL657" s="45"/>
      <c r="AM657" s="45"/>
      <c r="AN657" s="45"/>
    </row>
    <row r="658" spans="1:40" hidden="1" outlineLevel="2" x14ac:dyDescent="0.35">
      <c r="A658" s="45"/>
      <c r="B658" s="54"/>
      <c r="C658" s="47">
        <f t="shared" si="117"/>
        <v>3</v>
      </c>
      <c r="D658" s="73"/>
      <c r="E658" s="70"/>
      <c r="F658" s="70" t="s">
        <v>1238</v>
      </c>
      <c r="G658" s="73"/>
      <c r="H658" s="76" t="s">
        <v>2626</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3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35">
      <c r="A660" s="45"/>
      <c r="B660" s="54"/>
      <c r="C660" s="47">
        <f t="shared" si="117"/>
        <v>3</v>
      </c>
      <c r="D660" s="73"/>
      <c r="E660" s="70"/>
      <c r="F660" s="70" t="s">
        <v>1241</v>
      </c>
      <c r="G660" s="73"/>
      <c r="H660" s="76" t="s">
        <v>2627</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35">
      <c r="A661" s="45"/>
      <c r="B661" s="54"/>
      <c r="C661" s="47">
        <f t="shared" si="117"/>
        <v>3</v>
      </c>
      <c r="D661" s="73"/>
      <c r="E661" s="70"/>
      <c r="F661" s="70" t="s">
        <v>1242</v>
      </c>
      <c r="G661" s="73"/>
      <c r="H661" s="76" t="s">
        <v>2628</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3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35">
      <c r="A663" s="45"/>
      <c r="B663" s="54"/>
      <c r="C663" s="47">
        <f t="shared" si="117"/>
        <v>3</v>
      </c>
      <c r="D663" s="73"/>
      <c r="E663" s="70"/>
      <c r="F663" s="70" t="s">
        <v>1245</v>
      </c>
      <c r="G663" s="73"/>
      <c r="H663" s="76" t="s">
        <v>2629</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35">
      <c r="A664" s="45"/>
      <c r="B664" s="54"/>
      <c r="C664" s="47">
        <f t="shared" si="117"/>
        <v>3</v>
      </c>
      <c r="D664" s="73"/>
      <c r="E664" s="70"/>
      <c r="F664" s="70" t="s">
        <v>1246</v>
      </c>
      <c r="G664" s="73"/>
      <c r="H664" s="76" t="s">
        <v>2630</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35">
      <c r="A665" s="45"/>
      <c r="B665" s="54"/>
      <c r="C665" s="47">
        <f t="shared" si="117"/>
        <v>3</v>
      </c>
      <c r="D665" s="73"/>
      <c r="E665" s="70"/>
      <c r="F665" s="70" t="s">
        <v>1247</v>
      </c>
      <c r="G665" s="73"/>
      <c r="H665" s="76" t="s">
        <v>2953</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35">
      <c r="A666" s="45"/>
      <c r="B666" s="54"/>
      <c r="C666" s="47">
        <f t="shared" si="117"/>
        <v>3</v>
      </c>
      <c r="D666" s="73"/>
      <c r="E666" s="70"/>
      <c r="F666" s="70" t="s">
        <v>1248</v>
      </c>
      <c r="G666" s="73"/>
      <c r="H666" s="76" t="s">
        <v>2954</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35">
      <c r="A667" s="45"/>
      <c r="B667" s="54"/>
      <c r="C667" s="47">
        <f t="shared" si="117"/>
        <v>3</v>
      </c>
      <c r="D667" s="73"/>
      <c r="E667" s="70"/>
      <c r="F667" s="70" t="s">
        <v>1249</v>
      </c>
      <c r="G667" s="73"/>
      <c r="H667" s="76" t="s">
        <v>2955</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3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35">
      <c r="A669" s="45"/>
      <c r="B669" s="54"/>
      <c r="C669" s="47">
        <f t="shared" si="117"/>
        <v>3</v>
      </c>
      <c r="D669" s="73"/>
      <c r="E669" s="70"/>
      <c r="F669" s="70" t="s">
        <v>1252</v>
      </c>
      <c r="G669" s="73"/>
      <c r="H669" s="76" t="s">
        <v>2629</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35">
      <c r="A670" s="45"/>
      <c r="B670" s="54"/>
      <c r="C670" s="47">
        <f t="shared" si="117"/>
        <v>3</v>
      </c>
      <c r="D670" s="73"/>
      <c r="E670" s="70"/>
      <c r="F670" s="70" t="s">
        <v>1253</v>
      </c>
      <c r="G670" s="73"/>
      <c r="H670" s="76" t="s">
        <v>2630</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3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35">
      <c r="A672" s="45"/>
      <c r="B672" s="54"/>
      <c r="C672" s="47">
        <f t="shared" si="117"/>
        <v>3</v>
      </c>
      <c r="D672" s="73"/>
      <c r="E672" s="70"/>
      <c r="F672" s="70" t="s">
        <v>1256</v>
      </c>
      <c r="G672" s="73"/>
      <c r="H672" s="76" t="s">
        <v>2629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35">
      <c r="A673" s="45"/>
      <c r="B673" s="54"/>
      <c r="C673" s="47">
        <f t="shared" si="117"/>
        <v>3</v>
      </c>
      <c r="D673" s="73"/>
      <c r="E673" s="70"/>
      <c r="F673" s="70" t="s">
        <v>1258</v>
      </c>
      <c r="G673" s="73"/>
      <c r="H673" s="76" t="s">
        <v>2630</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3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3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3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3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35">
      <c r="A679" s="45"/>
      <c r="B679" s="54"/>
      <c r="C679" s="47">
        <f t="shared" si="117"/>
        <v>3</v>
      </c>
      <c r="D679" s="73"/>
      <c r="E679" s="70"/>
      <c r="F679" s="70" t="s">
        <v>1268</v>
      </c>
      <c r="G679" s="73"/>
      <c r="H679" s="76" t="s">
        <v>2327</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3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35">
      <c r="A681" s="45"/>
      <c r="B681" s="54"/>
      <c r="C681" s="47">
        <f t="shared" si="117"/>
        <v>3</v>
      </c>
      <c r="D681" s="73"/>
      <c r="E681" s="70"/>
      <c r="F681" s="70" t="s">
        <v>1271</v>
      </c>
      <c r="G681" s="73"/>
      <c r="H681" s="76" t="s">
        <v>2629</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35">
      <c r="A682" s="45"/>
      <c r="B682" s="54"/>
      <c r="C682" s="47">
        <f t="shared" si="117"/>
        <v>3</v>
      </c>
      <c r="D682" s="73"/>
      <c r="E682" s="70"/>
      <c r="F682" s="70" t="s">
        <v>1272</v>
      </c>
      <c r="G682" s="73"/>
      <c r="H682" s="76" t="s">
        <v>2630</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3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35">
      <c r="A684" s="45"/>
      <c r="B684" s="54"/>
      <c r="C684" s="47">
        <f t="shared" si="117"/>
        <v>3</v>
      </c>
      <c r="D684" s="73"/>
      <c r="E684" s="70"/>
      <c r="F684" s="70" t="s">
        <v>1275</v>
      </c>
      <c r="G684" s="73"/>
      <c r="H684" s="76" t="s">
        <v>2629</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35">
      <c r="A685" s="45"/>
      <c r="B685" s="54"/>
      <c r="C685" s="47">
        <f t="shared" si="117"/>
        <v>3</v>
      </c>
      <c r="D685" s="73"/>
      <c r="E685" s="70"/>
      <c r="F685" s="70" t="s">
        <v>1277</v>
      </c>
      <c r="G685" s="73"/>
      <c r="H685" s="76" t="s">
        <v>2630</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3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35">
      <c r="A687" s="45"/>
      <c r="B687" s="54"/>
      <c r="C687" s="47">
        <f t="shared" si="117"/>
        <v>3</v>
      </c>
      <c r="D687" s="73"/>
      <c r="E687" s="70"/>
      <c r="F687" s="70" t="s">
        <v>1280</v>
      </c>
      <c r="G687" s="73"/>
      <c r="H687" s="76" t="s">
        <v>2629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35">
      <c r="A688" s="45"/>
      <c r="B688" s="54"/>
      <c r="C688" s="47">
        <f t="shared" si="117"/>
        <v>3</v>
      </c>
      <c r="D688" s="73"/>
      <c r="E688" s="70"/>
      <c r="F688" s="70" t="s">
        <v>1282</v>
      </c>
      <c r="G688" s="73"/>
      <c r="H688" s="76" t="s">
        <v>2630</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3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3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3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35">
      <c r="A693" s="45"/>
      <c r="B693" s="54"/>
      <c r="C693" s="47">
        <f t="shared" si="117"/>
        <v>3</v>
      </c>
      <c r="D693" s="73"/>
      <c r="E693" s="70"/>
      <c r="F693" s="70" t="s">
        <v>1289</v>
      </c>
      <c r="G693" s="73"/>
      <c r="H693" s="76" t="s">
        <v>2627</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35">
      <c r="A694" s="45"/>
      <c r="B694" s="54"/>
      <c r="C694" s="47">
        <f t="shared" si="117"/>
        <v>3</v>
      </c>
      <c r="D694" s="73"/>
      <c r="E694" s="70"/>
      <c r="F694" s="70" t="s">
        <v>1291</v>
      </c>
      <c r="G694" s="73"/>
      <c r="H694" s="76" t="s">
        <v>2628</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3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35">
      <c r="A696" s="45"/>
      <c r="B696" s="54"/>
      <c r="C696" s="47">
        <f t="shared" si="117"/>
        <v>3</v>
      </c>
      <c r="D696" s="73"/>
      <c r="E696" s="70"/>
      <c r="F696" s="70" t="s">
        <v>1294</v>
      </c>
      <c r="G696" s="73"/>
      <c r="H696" s="76" t="s">
        <v>2627</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35">
      <c r="A697" s="45"/>
      <c r="B697" s="54"/>
      <c r="C697" s="47">
        <f t="shared" si="117"/>
        <v>3</v>
      </c>
      <c r="D697" s="73"/>
      <c r="E697" s="70"/>
      <c r="F697" s="70" t="s">
        <v>1295</v>
      </c>
      <c r="G697" s="73"/>
      <c r="H697" s="76" t="s">
        <v>2628</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35">
      <c r="A698" s="45"/>
      <c r="B698" s="54"/>
      <c r="C698" s="47">
        <f t="shared" si="117"/>
        <v>3</v>
      </c>
      <c r="D698" s="73"/>
      <c r="E698" s="70"/>
      <c r="F698" s="70" t="s">
        <v>1296</v>
      </c>
      <c r="G698" s="73"/>
      <c r="H698" s="76" t="s">
        <v>2944</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2945</v>
      </c>
      <c r="AG698" s="76"/>
      <c r="AH698" s="97">
        <v>1</v>
      </c>
      <c r="AI698" s="97">
        <v>1</v>
      </c>
      <c r="AJ698" s="73"/>
      <c r="AK698" s="57"/>
      <c r="AL698" s="45"/>
      <c r="AM698" s="45"/>
      <c r="AN698" s="45"/>
    </row>
    <row r="699" spans="1:40" hidden="1" outlineLevel="2" x14ac:dyDescent="0.35">
      <c r="A699" s="45"/>
      <c r="B699" s="54"/>
      <c r="C699" s="47">
        <f t="shared" si="117"/>
        <v>3</v>
      </c>
      <c r="D699" s="73"/>
      <c r="E699" s="70"/>
      <c r="F699" s="70" t="s">
        <v>1297</v>
      </c>
      <c r="G699" s="73"/>
      <c r="H699" s="76" t="s">
        <v>2627</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35">
      <c r="A700" s="45"/>
      <c r="B700" s="54"/>
      <c r="C700" s="47">
        <f t="shared" si="117"/>
        <v>3</v>
      </c>
      <c r="D700" s="73"/>
      <c r="E700" s="70"/>
      <c r="F700" s="70" t="s">
        <v>1298</v>
      </c>
      <c r="G700" s="73"/>
      <c r="H700" s="76" t="s">
        <v>2628</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3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3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3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3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3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3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3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3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3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3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3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3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3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35">
      <c r="A771" s="45"/>
      <c r="B771" s="54"/>
      <c r="C771" s="47">
        <f t="shared" si="137"/>
        <v>4</v>
      </c>
      <c r="D771" s="73"/>
      <c r="E771" s="70"/>
      <c r="F771" s="70" t="s">
        <v>1379</v>
      </c>
      <c r="G771" s="73"/>
      <c r="H771" s="76" t="s">
        <v>2709</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2715</v>
      </c>
      <c r="AG771" s="76"/>
      <c r="AH771" s="97">
        <v>1</v>
      </c>
      <c r="AI771" s="97">
        <v>1</v>
      </c>
      <c r="AJ771" s="73"/>
      <c r="AK771" s="57"/>
      <c r="AL771" s="45"/>
      <c r="AM771" s="45"/>
      <c r="AN771" s="45"/>
    </row>
    <row r="772" spans="1:40" hidden="1" outlineLevel="2" x14ac:dyDescent="0.35">
      <c r="A772" s="45"/>
      <c r="B772" s="54"/>
      <c r="C772" s="47">
        <f t="shared" si="137"/>
        <v>4</v>
      </c>
      <c r="D772" s="73"/>
      <c r="E772" s="70"/>
      <c r="F772" s="70" t="s">
        <v>1380</v>
      </c>
      <c r="G772" s="73"/>
      <c r="H772" s="76" t="s">
        <v>2710</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35">
      <c r="A773" s="45"/>
      <c r="B773" s="54"/>
      <c r="C773" s="47">
        <f t="shared" si="137"/>
        <v>4</v>
      </c>
      <c r="D773" s="73"/>
      <c r="E773" s="70"/>
      <c r="F773" s="70" t="s">
        <v>1381</v>
      </c>
      <c r="G773" s="73"/>
      <c r="H773" s="76" t="s">
        <v>2711</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35">
      <c r="A774" s="45"/>
      <c r="B774" s="54"/>
      <c r="C774" s="47">
        <f t="shared" si="137"/>
        <v>4</v>
      </c>
      <c r="D774" s="73"/>
      <c r="E774" s="70"/>
      <c r="F774" s="70" t="s">
        <v>1382</v>
      </c>
      <c r="G774" s="73"/>
      <c r="H774" s="76" t="s">
        <v>2712</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35">
      <c r="A775" s="45">
        <v>4</v>
      </c>
      <c r="B775" s="54"/>
      <c r="C775" s="47">
        <f t="shared" si="137"/>
        <v>4</v>
      </c>
      <c r="D775" s="73"/>
      <c r="E775" s="70"/>
      <c r="F775" s="70" t="s">
        <v>1383</v>
      </c>
      <c r="G775" s="73"/>
      <c r="H775" s="76" t="s">
        <v>2713</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35">
      <c r="A776" s="45">
        <f>A775</f>
        <v>4</v>
      </c>
      <c r="B776" s="54"/>
      <c r="C776" s="47">
        <f t="shared" si="137"/>
        <v>4</v>
      </c>
      <c r="D776" s="73"/>
      <c r="E776" s="70"/>
      <c r="F776" s="70" t="s">
        <v>1384</v>
      </c>
      <c r="G776" s="73"/>
      <c r="H776" s="76" t="s">
        <v>2714</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3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3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3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3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3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3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3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3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3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3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3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3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3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3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3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3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3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3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3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3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3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3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3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3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3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3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3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3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3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3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3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3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3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3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3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3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3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3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collapsed="1" x14ac:dyDescent="0.3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41</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hidden="1" outlineLevel="2" collapsed="1" x14ac:dyDescent="0.3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3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2" x14ac:dyDescent="0.3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hidden="1" outlineLevel="2" x14ac:dyDescent="0.3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2568</v>
      </c>
      <c r="AG825" s="76"/>
      <c r="AH825" s="97">
        <v>1</v>
      </c>
      <c r="AI825" s="97">
        <v>1</v>
      </c>
      <c r="AJ825" s="73"/>
      <c r="AK825" s="57"/>
      <c r="AL825" s="45"/>
      <c r="AM825" s="45"/>
      <c r="AN825" s="45"/>
    </row>
    <row r="826" spans="1:40" hidden="1" outlineLevel="2" x14ac:dyDescent="0.3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hidden="1" outlineLevel="2" x14ac:dyDescent="0.3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hidden="1" outlineLevel="2" x14ac:dyDescent="0.3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hidden="1" outlineLevel="2" x14ac:dyDescent="0.3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hidden="1" outlineLevel="2" x14ac:dyDescent="0.3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hidden="1" outlineLevel="2" x14ac:dyDescent="0.3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hidden="1" outlineLevel="2" x14ac:dyDescent="0.3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hidden="1" outlineLevel="2" x14ac:dyDescent="0.3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hidden="1" outlineLevel="2" x14ac:dyDescent="0.3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hidden="1" outlineLevel="2" x14ac:dyDescent="0.3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hidden="1" outlineLevel="2" x14ac:dyDescent="0.3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hidden="1" outlineLevel="2" x14ac:dyDescent="0.3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hidden="1" outlineLevel="2" x14ac:dyDescent="0.3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hidden="1" outlineLevel="2" x14ac:dyDescent="0.3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hidden="1" outlineLevel="2" x14ac:dyDescent="0.3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hidden="1" outlineLevel="2" x14ac:dyDescent="0.3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hidden="1" outlineLevel="2" x14ac:dyDescent="0.3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hidden="1" outlineLevel="2" x14ac:dyDescent="0.3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hidden="1" outlineLevel="2" x14ac:dyDescent="0.3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hidden="1" outlineLevel="2" x14ac:dyDescent="0.3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hidden="1" outlineLevel="2" x14ac:dyDescent="0.3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hidden="1" outlineLevel="2" x14ac:dyDescent="0.3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hidden="1" outlineLevel="2" x14ac:dyDescent="0.3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hidden="1" outlineLevel="2" x14ac:dyDescent="0.3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hidden="1" outlineLevel="2" x14ac:dyDescent="0.3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hidden="1" outlineLevel="2" x14ac:dyDescent="0.3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hidden="1" outlineLevel="2" x14ac:dyDescent="0.3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hidden="1" outlineLevel="2" x14ac:dyDescent="0.3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2564</v>
      </c>
      <c r="AG853" s="76"/>
      <c r="AH853" s="97">
        <v>1</v>
      </c>
      <c r="AI853" s="97">
        <v>1</v>
      </c>
      <c r="AJ853" s="73"/>
      <c r="AK853" s="57"/>
      <c r="AL853" s="45"/>
      <c r="AM853" s="45"/>
      <c r="AN853" s="45"/>
    </row>
    <row r="854" spans="1:40" hidden="1" outlineLevel="2" x14ac:dyDescent="0.3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hidden="1" outlineLevel="2" x14ac:dyDescent="0.3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hidden="1" outlineLevel="2" x14ac:dyDescent="0.35">
      <c r="A856" s="45"/>
      <c r="B856" s="54"/>
      <c r="C856" s="47">
        <f t="shared" si="160"/>
        <v>3</v>
      </c>
      <c r="D856" s="73"/>
      <c r="E856" s="70"/>
      <c r="F856" s="70" t="s">
        <v>1546</v>
      </c>
      <c r="G856" s="73"/>
      <c r="H856" s="76" t="s">
        <v>2719</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hidden="1" outlineLevel="2" x14ac:dyDescent="0.3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2716</v>
      </c>
      <c r="AG857" s="76"/>
      <c r="AH857" s="76">
        <v>1</v>
      </c>
      <c r="AI857" s="76">
        <v>1</v>
      </c>
      <c r="AJ857" s="73"/>
      <c r="AK857" s="57"/>
      <c r="AL857" s="45"/>
      <c r="AM857" s="45"/>
      <c r="AN857" s="45"/>
    </row>
    <row r="858" spans="1:40" hidden="1" outlineLevel="2" x14ac:dyDescent="0.3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hidden="1" outlineLevel="2" x14ac:dyDescent="0.3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hidden="1" outlineLevel="2" x14ac:dyDescent="0.3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hidden="1" outlineLevel="2" x14ac:dyDescent="0.3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hidden="1" outlineLevel="2" x14ac:dyDescent="0.3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hidden="1" outlineLevel="2" collapsed="1" x14ac:dyDescent="0.3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2701</v>
      </c>
      <c r="AG863" s="76"/>
      <c r="AH863" s="97">
        <v>1</v>
      </c>
      <c r="AI863" s="97">
        <v>1</v>
      </c>
      <c r="AJ863" s="73"/>
      <c r="AK863" s="57"/>
      <c r="AL863" s="45"/>
      <c r="AM863" s="45"/>
      <c r="AN863" s="45"/>
    </row>
    <row r="864" spans="1:40" hidden="1" outlineLevel="3" x14ac:dyDescent="0.3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3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3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hidden="1" outlineLevel="2" x14ac:dyDescent="0.3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hidden="1" outlineLevel="2" x14ac:dyDescent="0.3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hidden="1" outlineLevel="2" x14ac:dyDescent="0.3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hidden="1" outlineLevel="2" x14ac:dyDescent="0.3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hidden="1" outlineLevel="2" x14ac:dyDescent="0.3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hidden="1" outlineLevel="2" x14ac:dyDescent="0.3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hidden="1" outlineLevel="2" x14ac:dyDescent="0.3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hidden="1" outlineLevel="2" x14ac:dyDescent="0.3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hidden="1" outlineLevel="2" x14ac:dyDescent="0.3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hidden="1" outlineLevel="2" x14ac:dyDescent="0.3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hidden="1" outlineLevel="2" collapsed="1" x14ac:dyDescent="0.3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3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3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71"/>
        <v>3</v>
      </c>
      <c r="D900" s="73"/>
      <c r="E900" s="70"/>
      <c r="F900" s="70" t="s">
        <v>2487</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71"/>
        <v>3</v>
      </c>
      <c r="D901" s="73"/>
      <c r="E901" s="70"/>
      <c r="F901" s="70" t="s">
        <v>2488</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71"/>
        <v>3</v>
      </c>
      <c r="D902" s="73"/>
      <c r="E902" s="70"/>
      <c r="F902" s="70" t="s">
        <v>2489</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71"/>
        <v>3</v>
      </c>
      <c r="D903" s="73"/>
      <c r="E903" s="70"/>
      <c r="F903" s="70" t="s">
        <v>2490</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71"/>
        <v>3</v>
      </c>
      <c r="D904" s="73"/>
      <c r="E904" s="70"/>
      <c r="F904" s="70" t="s">
        <v>2491</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71"/>
        <v>3</v>
      </c>
      <c r="D905" s="73"/>
      <c r="E905" s="70"/>
      <c r="F905" s="70" t="s">
        <v>2492</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71"/>
        <v>3</v>
      </c>
      <c r="D906" s="73"/>
      <c r="E906" s="70"/>
      <c r="F906" s="70" t="s">
        <v>2493</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71"/>
        <v>3</v>
      </c>
      <c r="D907" s="73"/>
      <c r="E907" s="70"/>
      <c r="F907" s="70" t="s">
        <v>2494</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2" x14ac:dyDescent="0.35">
      <c r="A908" s="45"/>
      <c r="B908" s="54"/>
      <c r="C908" s="47">
        <f t="shared" si="171"/>
        <v>3</v>
      </c>
      <c r="D908" s="73"/>
      <c r="E908" s="70"/>
      <c r="F908" s="70" t="s">
        <v>2495</v>
      </c>
      <c r="G908" s="73"/>
      <c r="H908" s="76" t="s">
        <v>2697</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hidden="1" outlineLevel="2" x14ac:dyDescent="0.35">
      <c r="A909" s="45"/>
      <c r="B909" s="54"/>
      <c r="C909" s="47">
        <f t="shared" si="171"/>
        <v>3</v>
      </c>
      <c r="D909" s="73"/>
      <c r="E909" s="70"/>
      <c r="F909" s="70" t="s">
        <v>2496</v>
      </c>
      <c r="G909" s="73"/>
      <c r="H909" s="76" t="s">
        <v>2699</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hidden="1" outlineLevel="2" x14ac:dyDescent="0.35">
      <c r="A910" s="45"/>
      <c r="B910" s="54"/>
      <c r="C910" s="47">
        <f t="shared" si="171"/>
        <v>3</v>
      </c>
      <c r="D910" s="73"/>
      <c r="E910" s="70"/>
      <c r="F910" s="70" t="s">
        <v>2497</v>
      </c>
      <c r="G910" s="73"/>
      <c r="H910" s="76" t="s">
        <v>2698</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hidden="1" outlineLevel="2" x14ac:dyDescent="0.35">
      <c r="A911" s="45"/>
      <c r="B911" s="54"/>
      <c r="C911" s="47">
        <f t="shared" si="171"/>
        <v>3</v>
      </c>
      <c r="D911" s="73"/>
      <c r="E911" s="70"/>
      <c r="F911" s="70" t="s">
        <v>2498</v>
      </c>
      <c r="G911" s="73"/>
      <c r="H911" s="76" t="s">
        <v>2700</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hidden="1" outlineLevel="2" x14ac:dyDescent="0.35">
      <c r="A912" s="45"/>
      <c r="B912" s="54"/>
      <c r="C912" s="47">
        <f t="shared" si="171"/>
        <v>3</v>
      </c>
      <c r="D912" s="73"/>
      <c r="E912" s="70"/>
      <c r="F912" s="70" t="s">
        <v>2499</v>
      </c>
      <c r="G912" s="73"/>
      <c r="H912" s="76" t="s">
        <v>2750</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2761</v>
      </c>
      <c r="AG912" s="76"/>
      <c r="AH912" s="76">
        <v>1</v>
      </c>
      <c r="AI912" s="76">
        <v>1</v>
      </c>
      <c r="AJ912" s="73"/>
      <c r="AK912" s="57"/>
      <c r="AL912" s="45"/>
      <c r="AM912" s="45"/>
      <c r="AN912" s="45"/>
    </row>
    <row r="913" spans="1:40" hidden="1" outlineLevel="2" x14ac:dyDescent="0.35">
      <c r="A913" s="45"/>
      <c r="B913" s="54"/>
      <c r="C913" s="47">
        <f t="shared" si="171"/>
        <v>3</v>
      </c>
      <c r="D913" s="73"/>
      <c r="E913" s="70"/>
      <c r="F913" s="70" t="s">
        <v>2500</v>
      </c>
      <c r="G913" s="73"/>
      <c r="H913" s="76" t="s">
        <v>2699</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2800</v>
      </c>
      <c r="AG913" s="76"/>
      <c r="AH913" s="97">
        <v>1</v>
      </c>
      <c r="AI913" s="97">
        <v>1</v>
      </c>
      <c r="AJ913" s="73"/>
      <c r="AK913" s="57"/>
      <c r="AL913" s="45"/>
      <c r="AM913" s="45"/>
      <c r="AN913" s="45"/>
    </row>
    <row r="914" spans="1:40" hidden="1" outlineLevel="2" x14ac:dyDescent="0.35">
      <c r="A914" s="45"/>
      <c r="B914" s="54"/>
      <c r="C914" s="47">
        <f t="shared" si="171"/>
        <v>3</v>
      </c>
      <c r="D914" s="73"/>
      <c r="E914" s="70"/>
      <c r="F914" s="70" t="s">
        <v>2501</v>
      </c>
      <c r="G914" s="73"/>
      <c r="H914" s="76" t="s">
        <v>2698</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hidden="1" outlineLevel="2" x14ac:dyDescent="0.35">
      <c r="A915" s="45"/>
      <c r="B915" s="54"/>
      <c r="C915" s="47">
        <f t="shared" si="171"/>
        <v>3</v>
      </c>
      <c r="D915" s="73"/>
      <c r="E915" s="70"/>
      <c r="F915" s="70" t="s">
        <v>2502</v>
      </c>
      <c r="G915" s="73"/>
      <c r="H915" s="76" t="s">
        <v>2700</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hidden="1" outlineLevel="2" x14ac:dyDescent="0.35">
      <c r="A916" s="45"/>
      <c r="B916" s="54"/>
      <c r="C916" s="47">
        <f t="shared" si="171"/>
        <v>3</v>
      </c>
      <c r="D916" s="73"/>
      <c r="E916" s="70"/>
      <c r="F916" s="70" t="s">
        <v>2503</v>
      </c>
      <c r="G916" s="73"/>
      <c r="H916" s="76" t="s">
        <v>2511</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2519</v>
      </c>
      <c r="AG916" s="76"/>
      <c r="AH916" s="76">
        <v>1</v>
      </c>
      <c r="AI916" s="76">
        <v>1</v>
      </c>
      <c r="AJ916" s="73"/>
      <c r="AK916" s="57"/>
      <c r="AL916" s="45"/>
      <c r="AM916" s="45"/>
      <c r="AN916" s="45"/>
    </row>
    <row r="917" spans="1:40" hidden="1" outlineLevel="2" x14ac:dyDescent="0.35">
      <c r="A917" s="45"/>
      <c r="B917" s="54"/>
      <c r="C917" s="47">
        <f t="shared" si="171"/>
        <v>3</v>
      </c>
      <c r="D917" s="73"/>
      <c r="E917" s="70"/>
      <c r="F917" s="70" t="s">
        <v>2504</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2515</v>
      </c>
      <c r="AG917" s="76"/>
      <c r="AH917" s="97">
        <v>1</v>
      </c>
      <c r="AI917" s="97">
        <v>1</v>
      </c>
      <c r="AJ917" s="73"/>
      <c r="AK917" s="57"/>
      <c r="AL917" s="45"/>
      <c r="AM917" s="45"/>
      <c r="AN917" s="45"/>
    </row>
    <row r="918" spans="1:40" hidden="1" outlineLevel="2" x14ac:dyDescent="0.35">
      <c r="A918" s="45"/>
      <c r="B918" s="54"/>
      <c r="C918" s="47">
        <f t="shared" si="171"/>
        <v>3</v>
      </c>
      <c r="D918" s="73"/>
      <c r="E918" s="70"/>
      <c r="F918" s="70" t="s">
        <v>2505</v>
      </c>
      <c r="G918" s="73"/>
      <c r="H918" s="76" t="s">
        <v>1488</v>
      </c>
      <c r="I918" s="96" t="s">
        <v>502</v>
      </c>
      <c r="J918" s="96"/>
      <c r="K918" s="76"/>
      <c r="L918" s="76"/>
      <c r="M918" s="76"/>
      <c r="N918" s="76"/>
      <c r="O918" s="76"/>
      <c r="P918" s="76"/>
      <c r="Q918" s="76"/>
      <c r="R918" s="76"/>
      <c r="S918" s="76"/>
      <c r="T918" s="76"/>
      <c r="U918" s="97">
        <v>6.5</v>
      </c>
      <c r="V918" s="255">
        <f t="shared" si="179"/>
        <v>6.5</v>
      </c>
      <c r="W918" s="255">
        <f t="shared" si="180"/>
        <v>6.5</v>
      </c>
      <c r="X918" s="255">
        <f t="shared" si="180"/>
        <v>6.5</v>
      </c>
      <c r="Y918" s="255">
        <f>V918</f>
        <v>6.5</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hidden="1" outlineLevel="2" x14ac:dyDescent="0.35">
      <c r="A919" s="45"/>
      <c r="B919" s="54"/>
      <c r="C919" s="47">
        <f t="shared" si="171"/>
        <v>3</v>
      </c>
      <c r="D919" s="73"/>
      <c r="E919" s="70"/>
      <c r="F919" s="70" t="s">
        <v>2506</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2518</v>
      </c>
      <c r="AG919" s="76"/>
      <c r="AH919" s="76">
        <v>1</v>
      </c>
      <c r="AI919" s="76">
        <v>1</v>
      </c>
      <c r="AJ919" s="73"/>
      <c r="AK919" s="57"/>
      <c r="AL919" s="45"/>
      <c r="AM919" s="45"/>
      <c r="AN919" s="45"/>
    </row>
    <row r="920" spans="1:40" hidden="1" outlineLevel="2" x14ac:dyDescent="0.35">
      <c r="A920" s="45"/>
      <c r="B920" s="54"/>
      <c r="C920" s="47">
        <f t="shared" si="171"/>
        <v>3</v>
      </c>
      <c r="D920" s="73"/>
      <c r="E920" s="70"/>
      <c r="F920" s="70" t="s">
        <v>2507</v>
      </c>
      <c r="G920" s="73"/>
      <c r="H920" s="76" t="s">
        <v>3324</v>
      </c>
      <c r="I920" s="96" t="s">
        <v>502</v>
      </c>
      <c r="J920" s="96"/>
      <c r="K920" s="76"/>
      <c r="L920" s="76"/>
      <c r="M920" s="76"/>
      <c r="N920" s="76"/>
      <c r="O920" s="76"/>
      <c r="P920" s="76"/>
      <c r="Q920" s="76"/>
      <c r="R920" s="76"/>
      <c r="S920" s="76"/>
      <c r="T920" s="76" t="s">
        <v>3297</v>
      </c>
      <c r="U920" s="97">
        <v>0</v>
      </c>
      <c r="V920" s="255">
        <f>U920</f>
        <v>0</v>
      </c>
      <c r="W920" s="630">
        <f>W924</f>
        <v>1.80097</v>
      </c>
      <c r="X920" s="630">
        <f t="shared" ref="X920:Y920" si="183">X924</f>
        <v>1.9570099999999999</v>
      </c>
      <c r="Y920" s="630">
        <f t="shared" si="183"/>
        <v>1.7747839999999999</v>
      </c>
      <c r="Z920" s="255">
        <f t="shared" ref="Z920:Z923" si="184">AA920</f>
        <v>0</v>
      </c>
      <c r="AA920" s="97">
        <v>0</v>
      </c>
      <c r="AB920" s="255">
        <f t="shared" ref="AB920:AB923" si="185">AA920</f>
        <v>0</v>
      </c>
      <c r="AC920" s="255">
        <f t="shared" ref="AC920:AC923" si="186">AB920</f>
        <v>0</v>
      </c>
      <c r="AD920" s="255">
        <f t="shared" ref="AD920:AD923" si="187">AC920</f>
        <v>0</v>
      </c>
      <c r="AE920" s="76"/>
      <c r="AF920" s="97" t="s">
        <v>2732</v>
      </c>
      <c r="AG920" s="76"/>
      <c r="AH920" s="76">
        <v>1</v>
      </c>
      <c r="AI920" s="76">
        <v>1</v>
      </c>
      <c r="AJ920" s="73"/>
      <c r="AK920" s="57"/>
      <c r="AL920" s="45"/>
      <c r="AM920" s="45"/>
      <c r="AN920" s="45"/>
    </row>
    <row r="921" spans="1:40" hidden="1" outlineLevel="2" x14ac:dyDescent="0.35">
      <c r="A921" s="45"/>
      <c r="B921" s="54"/>
      <c r="C921" s="47">
        <f t="shared" si="171"/>
        <v>3</v>
      </c>
      <c r="D921" s="73"/>
      <c r="E921" s="70"/>
      <c r="F921" s="70" t="s">
        <v>2508</v>
      </c>
      <c r="G921" s="73"/>
      <c r="H921" s="76" t="s">
        <v>2512</v>
      </c>
      <c r="I921" s="96" t="s">
        <v>502</v>
      </c>
      <c r="J921" s="96"/>
      <c r="K921" s="76"/>
      <c r="L921" s="76"/>
      <c r="M921" s="76"/>
      <c r="N921" s="76"/>
      <c r="O921" s="76"/>
      <c r="P921" s="76"/>
      <c r="Q921" s="76"/>
      <c r="R921" s="76"/>
      <c r="S921" s="76"/>
      <c r="T921" s="76" t="s">
        <v>3297</v>
      </c>
      <c r="U921" s="97">
        <v>3.8066000000000004</v>
      </c>
      <c r="V921" s="255">
        <f>U921</f>
        <v>3.8066000000000004</v>
      </c>
      <c r="W921" s="630">
        <f t="shared" ref="W921:Y921" si="188">W925</f>
        <v>5.2321099999999996</v>
      </c>
      <c r="X921" s="630">
        <f t="shared" si="188"/>
        <v>5.3830999999999998</v>
      </c>
      <c r="Y921" s="630">
        <f t="shared" si="188"/>
        <v>5.2835130000000001</v>
      </c>
      <c r="Z921" s="255">
        <f t="shared" si="184"/>
        <v>3.8066000000000004</v>
      </c>
      <c r="AA921" s="97">
        <v>3.8066000000000004</v>
      </c>
      <c r="AB921" s="255">
        <f t="shared" si="185"/>
        <v>3.8066000000000004</v>
      </c>
      <c r="AC921" s="255">
        <f t="shared" si="186"/>
        <v>3.8066000000000004</v>
      </c>
      <c r="AD921" s="255">
        <f t="shared" si="187"/>
        <v>3.8066000000000004</v>
      </c>
      <c r="AE921" s="76"/>
      <c r="AF921" s="76"/>
      <c r="AG921" s="76"/>
      <c r="AH921" s="97">
        <v>1</v>
      </c>
      <c r="AI921" s="97">
        <v>1</v>
      </c>
      <c r="AJ921" s="73"/>
      <c r="AK921" s="57"/>
      <c r="AL921" s="45"/>
      <c r="AM921" s="45"/>
      <c r="AN921" s="45"/>
    </row>
    <row r="922" spans="1:40" hidden="1" outlineLevel="2" x14ac:dyDescent="0.35">
      <c r="A922" s="45"/>
      <c r="B922" s="54"/>
      <c r="C922" s="47">
        <f t="shared" si="171"/>
        <v>3</v>
      </c>
      <c r="D922" s="73"/>
      <c r="E922" s="70"/>
      <c r="F922" s="70" t="s">
        <v>2509</v>
      </c>
      <c r="G922" s="73"/>
      <c r="H922" s="76" t="s">
        <v>2513</v>
      </c>
      <c r="I922" s="96" t="s">
        <v>502</v>
      </c>
      <c r="J922" s="96"/>
      <c r="K922" s="76"/>
      <c r="L922" s="76"/>
      <c r="M922" s="76"/>
      <c r="N922" s="76"/>
      <c r="O922" s="76"/>
      <c r="P922" s="76"/>
      <c r="Q922" s="76"/>
      <c r="R922" s="76"/>
      <c r="S922" s="76"/>
      <c r="T922" s="76"/>
      <c r="U922" s="97">
        <v>7.3066000000000004</v>
      </c>
      <c r="V922" s="255">
        <f>U922</f>
        <v>7.3066000000000004</v>
      </c>
      <c r="W922" s="630">
        <f t="shared" ref="W922:Y922" si="189">W926</f>
        <v>7.9349999999999996</v>
      </c>
      <c r="X922" s="630">
        <f t="shared" si="189"/>
        <v>7.9349999999999996</v>
      </c>
      <c r="Y922" s="630">
        <f t="shared" si="189"/>
        <v>7.9349999999999996</v>
      </c>
      <c r="Z922" s="255">
        <f t="shared" si="184"/>
        <v>7.3066000000000004</v>
      </c>
      <c r="AA922" s="97">
        <v>7.3066000000000004</v>
      </c>
      <c r="AB922" s="255">
        <f t="shared" si="185"/>
        <v>7.3066000000000004</v>
      </c>
      <c r="AC922" s="255">
        <f t="shared" si="186"/>
        <v>7.3066000000000004</v>
      </c>
      <c r="AD922" s="255">
        <f t="shared" si="187"/>
        <v>7.3066000000000004</v>
      </c>
      <c r="AE922" s="76"/>
      <c r="AF922" s="97" t="s">
        <v>2764</v>
      </c>
      <c r="AG922" s="76"/>
      <c r="AH922" s="97">
        <v>1</v>
      </c>
      <c r="AI922" s="97">
        <v>1</v>
      </c>
      <c r="AJ922" s="73"/>
      <c r="AK922" s="57"/>
      <c r="AL922" s="45"/>
      <c r="AM922" s="45"/>
      <c r="AN922" s="45"/>
    </row>
    <row r="923" spans="1:40" hidden="1" outlineLevel="2" x14ac:dyDescent="0.35">
      <c r="A923" s="45"/>
      <c r="B923" s="54"/>
      <c r="C923" s="47">
        <f t="shared" si="171"/>
        <v>3</v>
      </c>
      <c r="D923" s="73"/>
      <c r="E923" s="70"/>
      <c r="F923" s="70" t="s">
        <v>2510</v>
      </c>
      <c r="G923" s="73"/>
      <c r="H923" s="76" t="s">
        <v>2514</v>
      </c>
      <c r="I923" s="96" t="s">
        <v>502</v>
      </c>
      <c r="J923" s="96"/>
      <c r="K923" s="76"/>
      <c r="L923" s="76"/>
      <c r="M923" s="76"/>
      <c r="N923" s="76"/>
      <c r="O923" s="76"/>
      <c r="P923" s="76"/>
      <c r="Q923" s="76"/>
      <c r="R923" s="76"/>
      <c r="S923" s="76"/>
      <c r="T923" s="76"/>
      <c r="U923" s="76">
        <v>100</v>
      </c>
      <c r="V923" s="76">
        <f t="shared" si="179"/>
        <v>100</v>
      </c>
      <c r="W923" s="630">
        <f t="shared" ref="W923:Y923" si="190">W927</f>
        <v>100</v>
      </c>
      <c r="X923" s="630">
        <f t="shared" si="190"/>
        <v>100</v>
      </c>
      <c r="Y923" s="630">
        <f t="shared" si="190"/>
        <v>100</v>
      </c>
      <c r="Z923" s="76">
        <f t="shared" si="184"/>
        <v>100</v>
      </c>
      <c r="AA923" s="76">
        <v>100</v>
      </c>
      <c r="AB923" s="76">
        <f t="shared" si="185"/>
        <v>100</v>
      </c>
      <c r="AC923" s="76">
        <f t="shared" si="186"/>
        <v>100</v>
      </c>
      <c r="AD923" s="76">
        <f t="shared" si="187"/>
        <v>100</v>
      </c>
      <c r="AE923" s="76"/>
      <c r="AF923" s="264" t="s">
        <v>2518</v>
      </c>
      <c r="AG923" s="76"/>
      <c r="AH923" s="76">
        <v>1</v>
      </c>
      <c r="AI923" s="76">
        <v>1</v>
      </c>
      <c r="AJ923" s="73"/>
      <c r="AK923" s="57"/>
      <c r="AL923" s="45"/>
      <c r="AM923" s="45"/>
      <c r="AN923" s="45"/>
    </row>
    <row r="924" spans="1:40" hidden="1" outlineLevel="2" x14ac:dyDescent="0.35">
      <c r="A924" s="45"/>
      <c r="B924" s="54"/>
      <c r="C924" s="47">
        <f t="shared" si="171"/>
        <v>3</v>
      </c>
      <c r="D924" s="73"/>
      <c r="E924" s="70"/>
      <c r="F924" s="70" t="s">
        <v>3329</v>
      </c>
      <c r="G924" s="73"/>
      <c r="H924" s="76" t="s">
        <v>2572</v>
      </c>
      <c r="I924" s="96" t="s">
        <v>502</v>
      </c>
      <c r="J924" s="96"/>
      <c r="K924" s="76"/>
      <c r="L924" s="76"/>
      <c r="M924" s="76"/>
      <c r="N924" s="76"/>
      <c r="O924" s="76"/>
      <c r="P924" s="76"/>
      <c r="Q924" s="76"/>
      <c r="R924" s="76"/>
      <c r="S924" s="76"/>
      <c r="T924" s="76" t="s">
        <v>3297</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2732</v>
      </c>
      <c r="AG924" s="76"/>
      <c r="AH924" s="76">
        <v>1</v>
      </c>
      <c r="AI924" s="76">
        <v>1</v>
      </c>
      <c r="AJ924" s="73"/>
      <c r="AK924" s="57"/>
      <c r="AL924" s="45"/>
      <c r="AM924" s="45"/>
      <c r="AN924" s="45"/>
    </row>
    <row r="925" spans="1:40" hidden="1" outlineLevel="2" x14ac:dyDescent="0.35">
      <c r="A925" s="45"/>
      <c r="B925" s="54"/>
      <c r="C925" s="47">
        <f t="shared" si="171"/>
        <v>3</v>
      </c>
      <c r="D925" s="73"/>
      <c r="E925" s="70"/>
      <c r="F925" s="70" t="s">
        <v>3330</v>
      </c>
      <c r="G925" s="73"/>
      <c r="H925" s="76" t="s">
        <v>2512</v>
      </c>
      <c r="I925" s="96" t="s">
        <v>502</v>
      </c>
      <c r="J925" s="96"/>
      <c r="K925" s="76"/>
      <c r="L925" s="76"/>
      <c r="M925" s="76"/>
      <c r="N925" s="76"/>
      <c r="O925" s="76"/>
      <c r="P925" s="76"/>
      <c r="Q925" s="76"/>
      <c r="R925" s="76"/>
      <c r="S925" s="76"/>
      <c r="T925" s="76" t="s">
        <v>3297</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hidden="1" outlineLevel="2" x14ac:dyDescent="0.35">
      <c r="A926" s="45"/>
      <c r="B926" s="54"/>
      <c r="C926" s="47">
        <f t="shared" si="171"/>
        <v>3</v>
      </c>
      <c r="D926" s="73"/>
      <c r="E926" s="70"/>
      <c r="F926" s="70" t="s">
        <v>3331</v>
      </c>
      <c r="G926" s="73"/>
      <c r="H926" s="76" t="s">
        <v>2513</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2764</v>
      </c>
      <c r="AG926" s="76"/>
      <c r="AH926" s="97">
        <v>1</v>
      </c>
      <c r="AI926" s="97">
        <v>1</v>
      </c>
      <c r="AJ926" s="73"/>
      <c r="AK926" s="57"/>
      <c r="AL926" s="45"/>
      <c r="AM926" s="45"/>
      <c r="AN926" s="45"/>
    </row>
    <row r="927" spans="1:40" hidden="1" outlineLevel="2" x14ac:dyDescent="0.35">
      <c r="A927" s="45"/>
      <c r="B927" s="54"/>
      <c r="C927" s="47">
        <f t="shared" si="171"/>
        <v>3</v>
      </c>
      <c r="D927" s="73"/>
      <c r="E927" s="70"/>
      <c r="F927" s="70" t="s">
        <v>3332</v>
      </c>
      <c r="G927" s="73"/>
      <c r="H927" s="76" t="s">
        <v>2514</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2518</v>
      </c>
      <c r="AG927" s="76"/>
      <c r="AH927" s="76">
        <v>1</v>
      </c>
      <c r="AI927" s="76">
        <v>1</v>
      </c>
      <c r="AJ927" s="73"/>
      <c r="AK927" s="57"/>
      <c r="AL927" s="45"/>
      <c r="AM927" s="45"/>
      <c r="AN927" s="45"/>
    </row>
    <row r="928" spans="1:40" hidden="1" outlineLevel="2" x14ac:dyDescent="0.35">
      <c r="A928" s="45"/>
      <c r="B928" s="54"/>
      <c r="C928" s="47">
        <f t="shared" si="171"/>
        <v>3</v>
      </c>
      <c r="D928" s="73"/>
      <c r="E928" s="70"/>
      <c r="F928" s="70" t="s">
        <v>3379</v>
      </c>
      <c r="G928" s="73"/>
      <c r="H928" s="76" t="s">
        <v>3753</v>
      </c>
      <c r="I928" s="96" t="s">
        <v>502</v>
      </c>
      <c r="J928" s="96"/>
      <c r="K928" s="76"/>
      <c r="L928" s="76"/>
      <c r="M928" s="76"/>
      <c r="N928" s="76"/>
      <c r="O928" s="76"/>
      <c r="P928" s="76"/>
      <c r="Q928" s="76"/>
      <c r="R928" s="76"/>
      <c r="S928" s="76"/>
      <c r="T928" s="76"/>
      <c r="U928" s="97">
        <v>0</v>
      </c>
      <c r="V928" s="255">
        <f t="shared" ref="V928:V931" si="191">U928</f>
        <v>0</v>
      </c>
      <c r="W928" s="255">
        <f t="shared" ref="W928:W929" si="192">U928</f>
        <v>0</v>
      </c>
      <c r="X928" s="255">
        <f t="shared" ref="X928:X929" si="193">V928</f>
        <v>0</v>
      </c>
      <c r="Y928" s="255">
        <f t="shared" ref="Y928:Y929" si="194">V928</f>
        <v>0</v>
      </c>
      <c r="Z928" s="255">
        <f t="shared" ref="Z928:Z931" si="195">AA928</f>
        <v>0</v>
      </c>
      <c r="AA928" s="97">
        <f>U928</f>
        <v>0</v>
      </c>
      <c r="AB928" s="255">
        <f t="shared" ref="AB928:AB931" si="196">AA928</f>
        <v>0</v>
      </c>
      <c r="AC928" s="255">
        <f t="shared" ref="AC928:AC931" si="197">AB928</f>
        <v>0</v>
      </c>
      <c r="AD928" s="255">
        <f t="shared" ref="AD928:AD931" si="198">AC928</f>
        <v>0</v>
      </c>
      <c r="AE928" s="76"/>
      <c r="AF928" s="97" t="s">
        <v>3378</v>
      </c>
      <c r="AG928" s="76"/>
      <c r="AH928" s="76">
        <v>1</v>
      </c>
      <c r="AI928" s="76">
        <v>1</v>
      </c>
      <c r="AJ928" s="73"/>
      <c r="AK928" s="57"/>
      <c r="AL928" s="45"/>
      <c r="AM928" s="45"/>
      <c r="AN928" s="45"/>
    </row>
    <row r="929" spans="1:40" hidden="1" outlineLevel="2" x14ac:dyDescent="0.35">
      <c r="A929" s="45"/>
      <c r="B929" s="54"/>
      <c r="C929" s="47">
        <f t="shared" si="171"/>
        <v>3</v>
      </c>
      <c r="D929" s="73"/>
      <c r="E929" s="70"/>
      <c r="F929" s="70" t="s">
        <v>3380</v>
      </c>
      <c r="G929" s="73"/>
      <c r="H929" s="76" t="s">
        <v>2512</v>
      </c>
      <c r="I929" s="96" t="s">
        <v>502</v>
      </c>
      <c r="J929" s="96"/>
      <c r="K929" s="76"/>
      <c r="L929" s="76"/>
      <c r="M929" s="76"/>
      <c r="N929" s="76"/>
      <c r="O929" s="76"/>
      <c r="P929" s="76"/>
      <c r="Q929" s="76"/>
      <c r="R929" s="76"/>
      <c r="S929" s="76"/>
      <c r="T929" s="76"/>
      <c r="U929" s="97">
        <v>0</v>
      </c>
      <c r="V929" s="255">
        <f t="shared" si="191"/>
        <v>0</v>
      </c>
      <c r="W929" s="255">
        <f t="shared" si="192"/>
        <v>0</v>
      </c>
      <c r="X929" s="255">
        <f t="shared" si="193"/>
        <v>0</v>
      </c>
      <c r="Y929" s="255">
        <f t="shared" si="194"/>
        <v>0</v>
      </c>
      <c r="Z929" s="255">
        <f t="shared" si="195"/>
        <v>0</v>
      </c>
      <c r="AA929" s="97">
        <f t="shared" ref="AA929:AA930" si="199">U929</f>
        <v>0</v>
      </c>
      <c r="AB929" s="255">
        <f t="shared" si="196"/>
        <v>0</v>
      </c>
      <c r="AC929" s="255">
        <f t="shared" si="197"/>
        <v>0</v>
      </c>
      <c r="AD929" s="255">
        <f t="shared" si="198"/>
        <v>0</v>
      </c>
      <c r="AE929" s="76"/>
      <c r="AF929" s="97" t="s">
        <v>3758</v>
      </c>
      <c r="AG929" s="76"/>
      <c r="AH929" s="97">
        <v>1</v>
      </c>
      <c r="AI929" s="97">
        <v>1</v>
      </c>
      <c r="AJ929" s="73"/>
      <c r="AK929" s="57"/>
      <c r="AL929" s="45"/>
      <c r="AM929" s="45"/>
      <c r="AN929" s="45"/>
    </row>
    <row r="930" spans="1:40" hidden="1" outlineLevel="2" x14ac:dyDescent="0.35">
      <c r="A930" s="45"/>
      <c r="B930" s="54"/>
      <c r="C930" s="47">
        <f t="shared" si="171"/>
        <v>3</v>
      </c>
      <c r="D930" s="73"/>
      <c r="E930" s="70"/>
      <c r="F930" s="70" t="s">
        <v>3381</v>
      </c>
      <c r="G930" s="73"/>
      <c r="H930" s="76" t="s">
        <v>2513</v>
      </c>
      <c r="I930" s="96" t="s">
        <v>502</v>
      </c>
      <c r="J930" s="96"/>
      <c r="K930" s="76"/>
      <c r="L930" s="76"/>
      <c r="M930" s="76"/>
      <c r="N930" s="76"/>
      <c r="O930" s="76"/>
      <c r="P930" s="76"/>
      <c r="Q930" s="76"/>
      <c r="R930" s="76"/>
      <c r="S930" s="76"/>
      <c r="T930" s="76"/>
      <c r="U930" s="97">
        <v>-3.3000000000000002E-2</v>
      </c>
      <c r="V930" s="255">
        <f t="shared" si="191"/>
        <v>-3.3000000000000002E-2</v>
      </c>
      <c r="W930" s="255">
        <f>U930</f>
        <v>-3.3000000000000002E-2</v>
      </c>
      <c r="X930" s="255">
        <f>V930</f>
        <v>-3.3000000000000002E-2</v>
      </c>
      <c r="Y930" s="255">
        <f>V930</f>
        <v>-3.3000000000000002E-2</v>
      </c>
      <c r="Z930" s="255">
        <f t="shared" si="195"/>
        <v>-3.3000000000000002E-2</v>
      </c>
      <c r="AA930" s="97">
        <f t="shared" si="199"/>
        <v>-3.3000000000000002E-2</v>
      </c>
      <c r="AB930" s="255">
        <f t="shared" si="196"/>
        <v>-3.3000000000000002E-2</v>
      </c>
      <c r="AC930" s="255">
        <f t="shared" si="197"/>
        <v>-3.3000000000000002E-2</v>
      </c>
      <c r="AD930" s="255">
        <f t="shared" si="198"/>
        <v>-3.3000000000000002E-2</v>
      </c>
      <c r="AE930" s="76"/>
      <c r="AF930" s="97"/>
      <c r="AG930" s="76"/>
      <c r="AH930" s="97">
        <v>1</v>
      </c>
      <c r="AI930" s="97">
        <v>1</v>
      </c>
      <c r="AJ930" s="73"/>
      <c r="AK930" s="57"/>
      <c r="AL930" s="45"/>
      <c r="AM930" s="45"/>
      <c r="AN930" s="45"/>
    </row>
    <row r="931" spans="1:40" hidden="1" outlineLevel="2" x14ac:dyDescent="0.35">
      <c r="A931" s="45"/>
      <c r="B931" s="54"/>
      <c r="C931" s="47">
        <f t="shared" si="171"/>
        <v>3</v>
      </c>
      <c r="D931" s="73"/>
      <c r="E931" s="70"/>
      <c r="F931" s="70" t="s">
        <v>3382</v>
      </c>
      <c r="G931" s="73"/>
      <c r="H931" s="76" t="s">
        <v>2514</v>
      </c>
      <c r="I931" s="96" t="s">
        <v>502</v>
      </c>
      <c r="J931" s="96"/>
      <c r="K931" s="76"/>
      <c r="L931" s="76"/>
      <c r="M931" s="76"/>
      <c r="N931" s="76"/>
      <c r="O931" s="76"/>
      <c r="P931" s="76"/>
      <c r="Q931" s="76"/>
      <c r="R931" s="76"/>
      <c r="S931" s="76"/>
      <c r="T931" s="76"/>
      <c r="U931" s="253">
        <f>U930</f>
        <v>-3.3000000000000002E-2</v>
      </c>
      <c r="V931" s="76">
        <f t="shared" si="191"/>
        <v>-3.3000000000000002E-2</v>
      </c>
      <c r="W931" s="76">
        <f>U931</f>
        <v>-3.3000000000000002E-2</v>
      </c>
      <c r="X931" s="76">
        <f>V931</f>
        <v>-3.3000000000000002E-2</v>
      </c>
      <c r="Y931" s="76">
        <f>V931</f>
        <v>-3.3000000000000002E-2</v>
      </c>
      <c r="Z931" s="76">
        <f t="shared" si="195"/>
        <v>-3.3000000000000002E-2</v>
      </c>
      <c r="AA931" s="253">
        <f>AA930</f>
        <v>-3.3000000000000002E-2</v>
      </c>
      <c r="AB931" s="76">
        <f t="shared" si="196"/>
        <v>-3.3000000000000002E-2</v>
      </c>
      <c r="AC931" s="76">
        <f t="shared" si="197"/>
        <v>-3.3000000000000002E-2</v>
      </c>
      <c r="AD931" s="76">
        <f t="shared" si="198"/>
        <v>-3.3000000000000002E-2</v>
      </c>
      <c r="AE931" s="76"/>
      <c r="AF931" s="264" t="s">
        <v>3377</v>
      </c>
      <c r="AG931" s="76"/>
      <c r="AH931" s="76">
        <v>1</v>
      </c>
      <c r="AI931" s="76">
        <v>1</v>
      </c>
      <c r="AJ931" s="73"/>
      <c r="AK931" s="57"/>
      <c r="AL931" s="45"/>
      <c r="AM931" s="45"/>
      <c r="AN931" s="45"/>
    </row>
    <row r="932" spans="1:40" hidden="1" outlineLevel="2" x14ac:dyDescent="0.35">
      <c r="A932" s="45"/>
      <c r="B932" s="54"/>
      <c r="C932" s="47">
        <f t="shared" si="171"/>
        <v>3</v>
      </c>
      <c r="D932" s="73"/>
      <c r="E932" s="70"/>
      <c r="F932" s="70" t="s">
        <v>3383</v>
      </c>
      <c r="G932" s="73"/>
      <c r="H932" s="76" t="s">
        <v>3754</v>
      </c>
      <c r="I932" s="96" t="s">
        <v>502</v>
      </c>
      <c r="J932" s="96"/>
      <c r="K932" s="76"/>
      <c r="L932" s="76"/>
      <c r="M932" s="76"/>
      <c r="N932" s="76"/>
      <c r="O932" s="76"/>
      <c r="P932" s="76"/>
      <c r="Q932" s="76"/>
      <c r="R932" s="76"/>
      <c r="S932" s="76"/>
      <c r="T932" s="76"/>
      <c r="U932" s="97">
        <v>0</v>
      </c>
      <c r="V932" s="255">
        <f t="shared" ref="V932:V935" si="200">U932</f>
        <v>0</v>
      </c>
      <c r="W932" s="255">
        <f t="shared" ref="W932:W933" si="201">U932</f>
        <v>0</v>
      </c>
      <c r="X932" s="255">
        <f t="shared" ref="X932:X933" si="202">V932</f>
        <v>0</v>
      </c>
      <c r="Y932" s="255">
        <f t="shared" ref="Y932:Y933" si="203">V932</f>
        <v>0</v>
      </c>
      <c r="Z932" s="255">
        <f t="shared" ref="Z932:Z935" si="204">AA932</f>
        <v>0</v>
      </c>
      <c r="AA932" s="97">
        <f>U932</f>
        <v>0</v>
      </c>
      <c r="AB932" s="255">
        <f t="shared" ref="AB932:AB935" si="205">AA932</f>
        <v>0</v>
      </c>
      <c r="AC932" s="255">
        <f t="shared" ref="AC932:AC935" si="206">AB932</f>
        <v>0</v>
      </c>
      <c r="AD932" s="255">
        <f t="shared" ref="AD932:AD935" si="207">AC932</f>
        <v>0</v>
      </c>
      <c r="AE932" s="76"/>
      <c r="AF932" s="97" t="s">
        <v>3378</v>
      </c>
      <c r="AG932" s="76"/>
      <c r="AH932" s="76">
        <v>1</v>
      </c>
      <c r="AI932" s="76">
        <v>1</v>
      </c>
      <c r="AJ932" s="73"/>
      <c r="AK932" s="57"/>
      <c r="AL932" s="45"/>
      <c r="AM932" s="45"/>
      <c r="AN932" s="45"/>
    </row>
    <row r="933" spans="1:40" hidden="1" outlineLevel="2" x14ac:dyDescent="0.35">
      <c r="A933" s="45"/>
      <c r="B933" s="54"/>
      <c r="C933" s="47">
        <f t="shared" si="171"/>
        <v>3</v>
      </c>
      <c r="D933" s="73"/>
      <c r="E933" s="70"/>
      <c r="F933" s="70" t="s">
        <v>3384</v>
      </c>
      <c r="G933" s="73"/>
      <c r="H933" s="76" t="s">
        <v>2512</v>
      </c>
      <c r="I933" s="96" t="s">
        <v>502</v>
      </c>
      <c r="J933" s="96"/>
      <c r="K933" s="76"/>
      <c r="L933" s="76"/>
      <c r="M933" s="76"/>
      <c r="N933" s="76"/>
      <c r="O933" s="76"/>
      <c r="P933" s="76"/>
      <c r="Q933" s="76"/>
      <c r="R933" s="76"/>
      <c r="S933" s="76"/>
      <c r="T933" s="76"/>
      <c r="U933" s="97">
        <v>0</v>
      </c>
      <c r="V933" s="255">
        <f t="shared" si="200"/>
        <v>0</v>
      </c>
      <c r="W933" s="255">
        <f t="shared" si="201"/>
        <v>0</v>
      </c>
      <c r="X933" s="255">
        <f t="shared" si="202"/>
        <v>0</v>
      </c>
      <c r="Y933" s="255">
        <f t="shared" si="203"/>
        <v>0</v>
      </c>
      <c r="Z933" s="255">
        <f t="shared" si="204"/>
        <v>0</v>
      </c>
      <c r="AA933" s="97">
        <f t="shared" ref="AA933:AA934" si="208">U933</f>
        <v>0</v>
      </c>
      <c r="AB933" s="255">
        <f t="shared" si="205"/>
        <v>0</v>
      </c>
      <c r="AC933" s="255">
        <f t="shared" si="206"/>
        <v>0</v>
      </c>
      <c r="AD933" s="255">
        <f t="shared" si="207"/>
        <v>0</v>
      </c>
      <c r="AE933" s="76"/>
      <c r="AF933" s="97" t="s">
        <v>3758</v>
      </c>
      <c r="AG933" s="76"/>
      <c r="AH933" s="97">
        <v>1</v>
      </c>
      <c r="AI933" s="97">
        <v>1</v>
      </c>
      <c r="AJ933" s="73"/>
      <c r="AK933" s="57"/>
      <c r="AL933" s="45"/>
      <c r="AM933" s="45"/>
      <c r="AN933" s="45"/>
    </row>
    <row r="934" spans="1:40" hidden="1" outlineLevel="2" x14ac:dyDescent="0.35">
      <c r="A934" s="45"/>
      <c r="B934" s="54"/>
      <c r="C934" s="47">
        <f t="shared" si="171"/>
        <v>3</v>
      </c>
      <c r="D934" s="73"/>
      <c r="E934" s="70"/>
      <c r="F934" s="70" t="s">
        <v>3385</v>
      </c>
      <c r="G934" s="73"/>
      <c r="H934" s="76" t="s">
        <v>2513</v>
      </c>
      <c r="I934" s="96" t="s">
        <v>502</v>
      </c>
      <c r="J934" s="96"/>
      <c r="K934" s="76"/>
      <c r="L934" s="76"/>
      <c r="M934" s="76"/>
      <c r="N934" s="76"/>
      <c r="O934" s="76"/>
      <c r="P934" s="76"/>
      <c r="Q934" s="76"/>
      <c r="R934" s="76"/>
      <c r="S934" s="76"/>
      <c r="T934" s="76"/>
      <c r="U934" s="97">
        <v>1.0269999999999999E-3</v>
      </c>
      <c r="V934" s="255">
        <f t="shared" si="200"/>
        <v>1.0269999999999999E-3</v>
      </c>
      <c r="W934" s="255">
        <f>U934</f>
        <v>1.0269999999999999E-3</v>
      </c>
      <c r="X934" s="255">
        <f>V934</f>
        <v>1.0269999999999999E-3</v>
      </c>
      <c r="Y934" s="255">
        <f>V934</f>
        <v>1.0269999999999999E-3</v>
      </c>
      <c r="Z934" s="255">
        <f t="shared" si="204"/>
        <v>1.0269999999999999E-3</v>
      </c>
      <c r="AA934" s="97">
        <f t="shared" si="208"/>
        <v>1.0269999999999999E-3</v>
      </c>
      <c r="AB934" s="255">
        <f t="shared" si="205"/>
        <v>1.0269999999999999E-3</v>
      </c>
      <c r="AC934" s="255">
        <f t="shared" si="206"/>
        <v>1.0269999999999999E-3</v>
      </c>
      <c r="AD934" s="255">
        <f t="shared" si="207"/>
        <v>1.0269999999999999E-3</v>
      </c>
      <c r="AE934" s="76"/>
      <c r="AF934" s="97"/>
      <c r="AG934" s="76"/>
      <c r="AH934" s="97">
        <v>1</v>
      </c>
      <c r="AI934" s="97">
        <v>1</v>
      </c>
      <c r="AJ934" s="73"/>
      <c r="AK934" s="57"/>
      <c r="AL934" s="45"/>
      <c r="AM934" s="45"/>
      <c r="AN934" s="45"/>
    </row>
    <row r="935" spans="1:40" hidden="1" outlineLevel="2" x14ac:dyDescent="0.35">
      <c r="A935" s="45"/>
      <c r="B935" s="54"/>
      <c r="C935" s="47">
        <f t="shared" si="171"/>
        <v>3</v>
      </c>
      <c r="D935" s="73"/>
      <c r="E935" s="70"/>
      <c r="F935" s="70" t="s">
        <v>3386</v>
      </c>
      <c r="G935" s="73"/>
      <c r="H935" s="76" t="s">
        <v>2514</v>
      </c>
      <c r="I935" s="96" t="s">
        <v>502</v>
      </c>
      <c r="J935" s="96"/>
      <c r="K935" s="76"/>
      <c r="L935" s="76"/>
      <c r="M935" s="76"/>
      <c r="N935" s="76"/>
      <c r="O935" s="76"/>
      <c r="P935" s="76"/>
      <c r="Q935" s="76"/>
      <c r="R935" s="76"/>
      <c r="S935" s="76"/>
      <c r="T935" s="76"/>
      <c r="U935" s="253">
        <f>U934</f>
        <v>1.0269999999999999E-3</v>
      </c>
      <c r="V935" s="76">
        <f t="shared" si="200"/>
        <v>1.0269999999999999E-3</v>
      </c>
      <c r="W935" s="76">
        <f>U935</f>
        <v>1.0269999999999999E-3</v>
      </c>
      <c r="X935" s="76">
        <f>V935</f>
        <v>1.0269999999999999E-3</v>
      </c>
      <c r="Y935" s="76">
        <f>V935</f>
        <v>1.0269999999999999E-3</v>
      </c>
      <c r="Z935" s="76">
        <f t="shared" si="204"/>
        <v>1.0269999999999999E-3</v>
      </c>
      <c r="AA935" s="253">
        <f>AA934</f>
        <v>1.0269999999999999E-3</v>
      </c>
      <c r="AB935" s="76">
        <f t="shared" si="205"/>
        <v>1.0269999999999999E-3</v>
      </c>
      <c r="AC935" s="76">
        <f t="shared" si="206"/>
        <v>1.0269999999999999E-3</v>
      </c>
      <c r="AD935" s="76">
        <f t="shared" si="207"/>
        <v>1.0269999999999999E-3</v>
      </c>
      <c r="AE935" s="76"/>
      <c r="AF935" s="264" t="s">
        <v>3377</v>
      </c>
      <c r="AG935" s="76"/>
      <c r="AH935" s="76">
        <v>1</v>
      </c>
      <c r="AI935" s="76">
        <v>1</v>
      </c>
      <c r="AJ935" s="73"/>
      <c r="AK935" s="57"/>
      <c r="AL935" s="45"/>
      <c r="AM935" s="45"/>
      <c r="AN935" s="45"/>
    </row>
    <row r="936" spans="1:40" hidden="1" outlineLevel="2" x14ac:dyDescent="0.35">
      <c r="A936" s="45"/>
      <c r="B936" s="54"/>
      <c r="C936" s="47">
        <f t="shared" si="171"/>
        <v>3</v>
      </c>
      <c r="D936" s="73"/>
      <c r="E936" s="70"/>
      <c r="F936" s="70" t="s">
        <v>3387</v>
      </c>
      <c r="G936" s="73"/>
      <c r="H936" s="76" t="s">
        <v>3755</v>
      </c>
      <c r="I936" s="96" t="s">
        <v>502</v>
      </c>
      <c r="J936" s="96"/>
      <c r="K936" s="76"/>
      <c r="L936" s="76"/>
      <c r="M936" s="76"/>
      <c r="N936" s="76"/>
      <c r="O936" s="76"/>
      <c r="P936" s="76"/>
      <c r="Q936" s="76"/>
      <c r="R936" s="76"/>
      <c r="S936" s="76"/>
      <c r="T936" s="76"/>
      <c r="U936" s="97">
        <v>0</v>
      </c>
      <c r="V936" s="255">
        <f t="shared" ref="V936:V939" si="209">U936</f>
        <v>0</v>
      </c>
      <c r="W936" s="255">
        <f t="shared" ref="W936:W937" si="210">U936</f>
        <v>0</v>
      </c>
      <c r="X936" s="255">
        <f t="shared" ref="X936:X937" si="211">V936</f>
        <v>0</v>
      </c>
      <c r="Y936" s="255">
        <f t="shared" ref="Y936:Y937" si="212">V936</f>
        <v>0</v>
      </c>
      <c r="Z936" s="255">
        <f t="shared" ref="Z936:Z939" si="213">AA936</f>
        <v>0</v>
      </c>
      <c r="AA936" s="97">
        <f>U936</f>
        <v>0</v>
      </c>
      <c r="AB936" s="255">
        <f t="shared" ref="AB936:AB939" si="214">AA936</f>
        <v>0</v>
      </c>
      <c r="AC936" s="255">
        <f t="shared" ref="AC936:AC939" si="215">AB936</f>
        <v>0</v>
      </c>
      <c r="AD936" s="255">
        <f t="shared" ref="AD936:AD939" si="216">AC936</f>
        <v>0</v>
      </c>
      <c r="AE936" s="76"/>
      <c r="AF936" s="97" t="s">
        <v>3378</v>
      </c>
      <c r="AG936" s="76"/>
      <c r="AH936" s="76">
        <v>1</v>
      </c>
      <c r="AI936" s="76">
        <v>1</v>
      </c>
      <c r="AJ936" s="73"/>
      <c r="AK936" s="57"/>
      <c r="AL936" s="45"/>
      <c r="AM936" s="45"/>
      <c r="AN936" s="45"/>
    </row>
    <row r="937" spans="1:40" hidden="1" outlineLevel="2" x14ac:dyDescent="0.35">
      <c r="A937" s="45"/>
      <c r="B937" s="54"/>
      <c r="C937" s="47">
        <f t="shared" si="171"/>
        <v>3</v>
      </c>
      <c r="D937" s="73"/>
      <c r="E937" s="70"/>
      <c r="F937" s="70" t="s">
        <v>3388</v>
      </c>
      <c r="G937" s="73"/>
      <c r="H937" s="76" t="s">
        <v>2512</v>
      </c>
      <c r="I937" s="96" t="s">
        <v>502</v>
      </c>
      <c r="J937" s="96"/>
      <c r="K937" s="76"/>
      <c r="L937" s="76"/>
      <c r="M937" s="76"/>
      <c r="N937" s="76"/>
      <c r="O937" s="76"/>
      <c r="P937" s="76"/>
      <c r="Q937" s="76"/>
      <c r="R937" s="76"/>
      <c r="S937" s="76"/>
      <c r="T937" s="76"/>
      <c r="U937" s="97">
        <v>0</v>
      </c>
      <c r="V937" s="255">
        <f t="shared" si="209"/>
        <v>0</v>
      </c>
      <c r="W937" s="255">
        <f t="shared" si="210"/>
        <v>0</v>
      </c>
      <c r="X937" s="255">
        <f t="shared" si="211"/>
        <v>0</v>
      </c>
      <c r="Y937" s="255">
        <f t="shared" si="212"/>
        <v>0</v>
      </c>
      <c r="Z937" s="255">
        <f t="shared" si="213"/>
        <v>0</v>
      </c>
      <c r="AA937" s="97">
        <f t="shared" ref="AA937:AA938" si="217">U937</f>
        <v>0</v>
      </c>
      <c r="AB937" s="255">
        <f t="shared" si="214"/>
        <v>0</v>
      </c>
      <c r="AC937" s="255">
        <f t="shared" si="215"/>
        <v>0</v>
      </c>
      <c r="AD937" s="255">
        <f t="shared" si="216"/>
        <v>0</v>
      </c>
      <c r="AE937" s="76"/>
      <c r="AF937" s="97" t="s">
        <v>3758</v>
      </c>
      <c r="AG937" s="76"/>
      <c r="AH937" s="97">
        <v>1</v>
      </c>
      <c r="AI937" s="97">
        <v>1</v>
      </c>
      <c r="AJ937" s="73"/>
      <c r="AK937" s="57"/>
      <c r="AL937" s="45"/>
      <c r="AM937" s="45"/>
      <c r="AN937" s="45"/>
    </row>
    <row r="938" spans="1:40" hidden="1" outlineLevel="2" x14ac:dyDescent="0.35">
      <c r="A938" s="45"/>
      <c r="B938" s="54"/>
      <c r="C938" s="47">
        <f t="shared" si="171"/>
        <v>3</v>
      </c>
      <c r="D938" s="73"/>
      <c r="E938" s="70"/>
      <c r="F938" s="70" t="s">
        <v>3389</v>
      </c>
      <c r="G938" s="73"/>
      <c r="H938" s="76" t="s">
        <v>2513</v>
      </c>
      <c r="I938" s="96" t="s">
        <v>502</v>
      </c>
      <c r="J938" s="96"/>
      <c r="K938" s="76"/>
      <c r="L938" s="76"/>
      <c r="M938" s="76"/>
      <c r="N938" s="76"/>
      <c r="O938" s="76"/>
      <c r="P938" s="76"/>
      <c r="Q938" s="76"/>
      <c r="R938" s="76"/>
      <c r="S938" s="76"/>
      <c r="T938" s="76"/>
      <c r="U938" s="97">
        <v>7.0199999999999999E-2</v>
      </c>
      <c r="V938" s="255">
        <f t="shared" si="209"/>
        <v>7.0199999999999999E-2</v>
      </c>
      <c r="W938" s="255">
        <f>U938</f>
        <v>7.0199999999999999E-2</v>
      </c>
      <c r="X938" s="255">
        <f>V938</f>
        <v>7.0199999999999999E-2</v>
      </c>
      <c r="Y938" s="255">
        <f>V938</f>
        <v>7.0199999999999999E-2</v>
      </c>
      <c r="Z938" s="255">
        <f t="shared" si="213"/>
        <v>7.0199999999999999E-2</v>
      </c>
      <c r="AA938" s="97">
        <f t="shared" si="217"/>
        <v>7.0199999999999999E-2</v>
      </c>
      <c r="AB938" s="255">
        <f t="shared" si="214"/>
        <v>7.0199999999999999E-2</v>
      </c>
      <c r="AC938" s="255">
        <f t="shared" si="215"/>
        <v>7.0199999999999999E-2</v>
      </c>
      <c r="AD938" s="255">
        <f t="shared" si="216"/>
        <v>7.0199999999999999E-2</v>
      </c>
      <c r="AE938" s="76"/>
      <c r="AF938" s="97"/>
      <c r="AG938" s="76"/>
      <c r="AH938" s="97">
        <v>1</v>
      </c>
      <c r="AI938" s="97">
        <v>1</v>
      </c>
      <c r="AJ938" s="73"/>
      <c r="AK938" s="57"/>
      <c r="AL938" s="45"/>
      <c r="AM938" s="45"/>
      <c r="AN938" s="45"/>
    </row>
    <row r="939" spans="1:40" hidden="1" outlineLevel="2" x14ac:dyDescent="0.35">
      <c r="A939" s="45"/>
      <c r="B939" s="54"/>
      <c r="C939" s="47">
        <f t="shared" si="171"/>
        <v>3</v>
      </c>
      <c r="D939" s="73"/>
      <c r="E939" s="70"/>
      <c r="F939" s="70" t="s">
        <v>3390</v>
      </c>
      <c r="G939" s="73"/>
      <c r="H939" s="76" t="s">
        <v>2514</v>
      </c>
      <c r="I939" s="96" t="s">
        <v>502</v>
      </c>
      <c r="J939" s="96"/>
      <c r="K939" s="76"/>
      <c r="L939" s="76"/>
      <c r="M939" s="76"/>
      <c r="N939" s="76"/>
      <c r="O939" s="76"/>
      <c r="P939" s="76"/>
      <c r="Q939" s="76"/>
      <c r="R939" s="76"/>
      <c r="S939" s="76"/>
      <c r="T939" s="76"/>
      <c r="U939" s="253">
        <f>U938</f>
        <v>7.0199999999999999E-2</v>
      </c>
      <c r="V939" s="76">
        <f t="shared" si="209"/>
        <v>7.0199999999999999E-2</v>
      </c>
      <c r="W939" s="76">
        <f>U939</f>
        <v>7.0199999999999999E-2</v>
      </c>
      <c r="X939" s="76">
        <f>V939</f>
        <v>7.0199999999999999E-2</v>
      </c>
      <c r="Y939" s="76">
        <f>V939</f>
        <v>7.0199999999999999E-2</v>
      </c>
      <c r="Z939" s="76">
        <f t="shared" si="213"/>
        <v>7.0199999999999999E-2</v>
      </c>
      <c r="AA939" s="253">
        <f>AA938</f>
        <v>7.0199999999999999E-2</v>
      </c>
      <c r="AB939" s="76">
        <f t="shared" si="214"/>
        <v>7.0199999999999999E-2</v>
      </c>
      <c r="AC939" s="76">
        <f t="shared" si="215"/>
        <v>7.0199999999999999E-2</v>
      </c>
      <c r="AD939" s="76">
        <f t="shared" si="216"/>
        <v>7.0199999999999999E-2</v>
      </c>
      <c r="AE939" s="76"/>
      <c r="AF939" s="264" t="s">
        <v>3377</v>
      </c>
      <c r="AG939" s="76"/>
      <c r="AH939" s="76">
        <v>1</v>
      </c>
      <c r="AI939" s="76">
        <v>1</v>
      </c>
      <c r="AJ939" s="73"/>
      <c r="AK939" s="57"/>
      <c r="AL939" s="45"/>
      <c r="AM939" s="45"/>
      <c r="AN939" s="45"/>
    </row>
    <row r="940" spans="1:40" hidden="1" outlineLevel="2" x14ac:dyDescent="0.35">
      <c r="A940" s="45"/>
      <c r="B940" s="54"/>
      <c r="C940" s="47">
        <f t="shared" si="171"/>
        <v>3</v>
      </c>
      <c r="D940" s="73"/>
      <c r="E940" s="70"/>
      <c r="F940" s="70" t="s">
        <v>3391</v>
      </c>
      <c r="G940" s="73"/>
      <c r="H940" s="76" t="s">
        <v>3756</v>
      </c>
      <c r="I940" s="96" t="s">
        <v>502</v>
      </c>
      <c r="J940" s="96"/>
      <c r="K940" s="76"/>
      <c r="L940" s="76"/>
      <c r="M940" s="76"/>
      <c r="N940" s="76"/>
      <c r="O940" s="76"/>
      <c r="P940" s="76"/>
      <c r="Q940" s="76"/>
      <c r="R940" s="76"/>
      <c r="S940" s="76"/>
      <c r="T940" s="76"/>
      <c r="U940" s="97">
        <v>0</v>
      </c>
      <c r="V940" s="255">
        <f t="shared" ref="V940:V943" si="218">U940</f>
        <v>0</v>
      </c>
      <c r="W940" s="255">
        <f t="shared" ref="W940:W941" si="219">U940</f>
        <v>0</v>
      </c>
      <c r="X940" s="255">
        <f t="shared" ref="X940:X941" si="220">V940</f>
        <v>0</v>
      </c>
      <c r="Y940" s="255">
        <f t="shared" ref="Y940:Y941" si="221">V940</f>
        <v>0</v>
      </c>
      <c r="Z940" s="255">
        <f t="shared" ref="Z940:Z943" si="222">AA940</f>
        <v>0</v>
      </c>
      <c r="AA940" s="97">
        <f>U940</f>
        <v>0</v>
      </c>
      <c r="AB940" s="255">
        <f t="shared" ref="AB940:AB943" si="223">AA940</f>
        <v>0</v>
      </c>
      <c r="AC940" s="255">
        <f t="shared" ref="AC940:AC943" si="224">AB940</f>
        <v>0</v>
      </c>
      <c r="AD940" s="255">
        <f t="shared" ref="AD940:AD943" si="225">AC940</f>
        <v>0</v>
      </c>
      <c r="AE940" s="76"/>
      <c r="AF940" s="97" t="s">
        <v>3378</v>
      </c>
      <c r="AG940" s="76"/>
      <c r="AH940" s="76">
        <v>1</v>
      </c>
      <c r="AI940" s="76">
        <v>1</v>
      </c>
      <c r="AJ940" s="73"/>
      <c r="AK940" s="57"/>
      <c r="AL940" s="45"/>
      <c r="AM940" s="45"/>
      <c r="AN940" s="45"/>
    </row>
    <row r="941" spans="1:40" hidden="1" outlineLevel="2" x14ac:dyDescent="0.35">
      <c r="A941" s="45"/>
      <c r="B941" s="54"/>
      <c r="C941" s="47">
        <f t="shared" si="171"/>
        <v>3</v>
      </c>
      <c r="D941" s="73"/>
      <c r="E941" s="70"/>
      <c r="F941" s="70" t="s">
        <v>3392</v>
      </c>
      <c r="G941" s="73"/>
      <c r="H941" s="76" t="s">
        <v>2512</v>
      </c>
      <c r="I941" s="96" t="s">
        <v>502</v>
      </c>
      <c r="J941" s="96"/>
      <c r="K941" s="76"/>
      <c r="L941" s="76"/>
      <c r="M941" s="76"/>
      <c r="N941" s="76"/>
      <c r="O941" s="76"/>
      <c r="P941" s="76"/>
      <c r="Q941" s="76"/>
      <c r="R941" s="76"/>
      <c r="S941" s="76"/>
      <c r="T941" s="76"/>
      <c r="U941" s="97">
        <v>0</v>
      </c>
      <c r="V941" s="255">
        <f t="shared" si="218"/>
        <v>0</v>
      </c>
      <c r="W941" s="255">
        <f t="shared" si="219"/>
        <v>0</v>
      </c>
      <c r="X941" s="255">
        <f t="shared" si="220"/>
        <v>0</v>
      </c>
      <c r="Y941" s="255">
        <f t="shared" si="221"/>
        <v>0</v>
      </c>
      <c r="Z941" s="255">
        <f t="shared" si="222"/>
        <v>0</v>
      </c>
      <c r="AA941" s="97">
        <f t="shared" ref="AA941:AA942" si="226">U941</f>
        <v>0</v>
      </c>
      <c r="AB941" s="255">
        <f t="shared" si="223"/>
        <v>0</v>
      </c>
      <c r="AC941" s="255">
        <f t="shared" si="224"/>
        <v>0</v>
      </c>
      <c r="AD941" s="255">
        <f t="shared" si="225"/>
        <v>0</v>
      </c>
      <c r="AE941" s="76"/>
      <c r="AF941" s="97" t="s">
        <v>3758</v>
      </c>
      <c r="AG941" s="76"/>
      <c r="AH941" s="97">
        <v>1</v>
      </c>
      <c r="AI941" s="97">
        <v>1</v>
      </c>
      <c r="AJ941" s="73"/>
      <c r="AK941" s="57"/>
      <c r="AL941" s="45"/>
      <c r="AM941" s="45"/>
      <c r="AN941" s="45"/>
    </row>
    <row r="942" spans="1:40" hidden="1" outlineLevel="2" x14ac:dyDescent="0.35">
      <c r="A942" s="45"/>
      <c r="B942" s="54"/>
      <c r="C942" s="47">
        <f t="shared" si="171"/>
        <v>3</v>
      </c>
      <c r="D942" s="73"/>
      <c r="E942" s="70"/>
      <c r="F942" s="70" t="s">
        <v>3393</v>
      </c>
      <c r="G942" s="73"/>
      <c r="H942" s="76" t="s">
        <v>2513</v>
      </c>
      <c r="I942" s="96" t="s">
        <v>502</v>
      </c>
      <c r="J942" s="96"/>
      <c r="K942" s="76"/>
      <c r="L942" s="76"/>
      <c r="M942" s="76"/>
      <c r="N942" s="76"/>
      <c r="O942" s="76"/>
      <c r="P942" s="76"/>
      <c r="Q942" s="76"/>
      <c r="R942" s="76"/>
      <c r="S942" s="76"/>
      <c r="T942" s="76"/>
      <c r="U942" s="97">
        <v>4.4400000000000002E-2</v>
      </c>
      <c r="V942" s="255">
        <f t="shared" si="218"/>
        <v>4.4400000000000002E-2</v>
      </c>
      <c r="W942" s="255">
        <f>U942</f>
        <v>4.4400000000000002E-2</v>
      </c>
      <c r="X942" s="255">
        <f>V942</f>
        <v>4.4400000000000002E-2</v>
      </c>
      <c r="Y942" s="255">
        <f>V942</f>
        <v>4.4400000000000002E-2</v>
      </c>
      <c r="Z942" s="255">
        <f t="shared" si="222"/>
        <v>4.4400000000000002E-2</v>
      </c>
      <c r="AA942" s="97">
        <f t="shared" si="226"/>
        <v>4.4400000000000002E-2</v>
      </c>
      <c r="AB942" s="255">
        <f t="shared" si="223"/>
        <v>4.4400000000000002E-2</v>
      </c>
      <c r="AC942" s="255">
        <f t="shared" si="224"/>
        <v>4.4400000000000002E-2</v>
      </c>
      <c r="AD942" s="255">
        <f t="shared" si="225"/>
        <v>4.4400000000000002E-2</v>
      </c>
      <c r="AE942" s="76"/>
      <c r="AF942" s="97"/>
      <c r="AG942" s="76"/>
      <c r="AH942" s="97">
        <v>1</v>
      </c>
      <c r="AI942" s="97">
        <v>1</v>
      </c>
      <c r="AJ942" s="73"/>
      <c r="AK942" s="57"/>
      <c r="AL942" s="45"/>
      <c r="AM942" s="45"/>
      <c r="AN942" s="45"/>
    </row>
    <row r="943" spans="1:40" hidden="1" outlineLevel="2" x14ac:dyDescent="0.35">
      <c r="A943" s="45"/>
      <c r="B943" s="54"/>
      <c r="C943" s="47">
        <f t="shared" si="171"/>
        <v>3</v>
      </c>
      <c r="D943" s="73"/>
      <c r="E943" s="70"/>
      <c r="F943" s="70" t="s">
        <v>3394</v>
      </c>
      <c r="G943" s="73"/>
      <c r="H943" s="76" t="s">
        <v>2514</v>
      </c>
      <c r="I943" s="96" t="s">
        <v>502</v>
      </c>
      <c r="J943" s="96"/>
      <c r="K943" s="76"/>
      <c r="L943" s="76"/>
      <c r="M943" s="76"/>
      <c r="N943" s="76"/>
      <c r="O943" s="76"/>
      <c r="P943" s="76"/>
      <c r="Q943" s="76"/>
      <c r="R943" s="76"/>
      <c r="S943" s="76"/>
      <c r="T943" s="76"/>
      <c r="U943" s="253">
        <f>U942</f>
        <v>4.4400000000000002E-2</v>
      </c>
      <c r="V943" s="76">
        <f t="shared" si="218"/>
        <v>4.4400000000000002E-2</v>
      </c>
      <c r="W943" s="76">
        <f>U943</f>
        <v>4.4400000000000002E-2</v>
      </c>
      <c r="X943" s="76">
        <f>V943</f>
        <v>4.4400000000000002E-2</v>
      </c>
      <c r="Y943" s="76">
        <f>V943</f>
        <v>4.4400000000000002E-2</v>
      </c>
      <c r="Z943" s="76">
        <f t="shared" si="222"/>
        <v>4.4400000000000002E-2</v>
      </c>
      <c r="AA943" s="253">
        <f>AA942</f>
        <v>4.4400000000000002E-2</v>
      </c>
      <c r="AB943" s="76">
        <f t="shared" si="223"/>
        <v>4.4400000000000002E-2</v>
      </c>
      <c r="AC943" s="76">
        <f t="shared" si="224"/>
        <v>4.4400000000000002E-2</v>
      </c>
      <c r="AD943" s="76">
        <f t="shared" si="225"/>
        <v>4.4400000000000002E-2</v>
      </c>
      <c r="AE943" s="76"/>
      <c r="AF943" s="264" t="s">
        <v>3377</v>
      </c>
      <c r="AG943" s="76"/>
      <c r="AH943" s="76">
        <v>1</v>
      </c>
      <c r="AI943" s="76">
        <v>1</v>
      </c>
      <c r="AJ943" s="73"/>
      <c r="AK943" s="57"/>
      <c r="AL943" s="45"/>
      <c r="AM943" s="45"/>
      <c r="AN943" s="45"/>
    </row>
    <row r="944" spans="1:40" hidden="1" outlineLevel="2" x14ac:dyDescent="0.35">
      <c r="A944" s="45"/>
      <c r="B944" s="54"/>
      <c r="C944" s="47">
        <f t="shared" si="171"/>
        <v>3</v>
      </c>
      <c r="D944" s="73"/>
      <c r="E944" s="70"/>
      <c r="F944" s="70" t="s">
        <v>3396</v>
      </c>
      <c r="G944" s="73"/>
      <c r="H944" s="76" t="s">
        <v>3757</v>
      </c>
      <c r="I944" s="96" t="s">
        <v>502</v>
      </c>
      <c r="J944" s="96"/>
      <c r="K944" s="76"/>
      <c r="L944" s="76"/>
      <c r="M944" s="76"/>
      <c r="N944" s="76"/>
      <c r="O944" s="76"/>
      <c r="P944" s="76"/>
      <c r="Q944" s="76"/>
      <c r="R944" s="76"/>
      <c r="S944" s="76"/>
      <c r="T944" s="76"/>
      <c r="U944" s="97">
        <v>0</v>
      </c>
      <c r="V944" s="255">
        <f t="shared" ref="V944:V947" si="227">U944</f>
        <v>0</v>
      </c>
      <c r="W944" s="255">
        <f t="shared" ref="W944:W945" si="228">U944</f>
        <v>0</v>
      </c>
      <c r="X944" s="255">
        <f t="shared" ref="X944:X945" si="229">V944</f>
        <v>0</v>
      </c>
      <c r="Y944" s="255">
        <f t="shared" ref="Y944:Y945" si="230">V944</f>
        <v>0</v>
      </c>
      <c r="Z944" s="255">
        <f t="shared" ref="Z944:Z947" si="231">AA944</f>
        <v>0</v>
      </c>
      <c r="AA944" s="97">
        <f>U944</f>
        <v>0</v>
      </c>
      <c r="AB944" s="255">
        <f t="shared" ref="AB944:AB947" si="232">AA944</f>
        <v>0</v>
      </c>
      <c r="AC944" s="255">
        <f t="shared" ref="AC944:AC947" si="233">AB944</f>
        <v>0</v>
      </c>
      <c r="AD944" s="255">
        <f t="shared" ref="AD944:AD947" si="234">AC944</f>
        <v>0</v>
      </c>
      <c r="AE944" s="76"/>
      <c r="AF944" s="97" t="s">
        <v>3378</v>
      </c>
      <c r="AG944" s="76"/>
      <c r="AH944" s="76">
        <v>1</v>
      </c>
      <c r="AI944" s="76">
        <v>1</v>
      </c>
      <c r="AJ944" s="73"/>
      <c r="AK944" s="57"/>
      <c r="AL944" s="45"/>
      <c r="AM944" s="45"/>
      <c r="AN944" s="45"/>
    </row>
    <row r="945" spans="1:40" hidden="1" outlineLevel="2" x14ac:dyDescent="0.35">
      <c r="A945" s="45"/>
      <c r="B945" s="54"/>
      <c r="C945" s="47">
        <f t="shared" ref="C945:C983" si="235">INT($C$29)+2</f>
        <v>3</v>
      </c>
      <c r="D945" s="73"/>
      <c r="E945" s="70"/>
      <c r="F945" s="70" t="s">
        <v>3397</v>
      </c>
      <c r="G945" s="73"/>
      <c r="H945" s="76" t="s">
        <v>2512</v>
      </c>
      <c r="I945" s="96" t="s">
        <v>502</v>
      </c>
      <c r="J945" s="96"/>
      <c r="K945" s="76"/>
      <c r="L945" s="76"/>
      <c r="M945" s="76"/>
      <c r="N945" s="76"/>
      <c r="O945" s="76"/>
      <c r="P945" s="76"/>
      <c r="Q945" s="76"/>
      <c r="R945" s="76"/>
      <c r="S945" s="76"/>
      <c r="T945" s="76"/>
      <c r="U945" s="97">
        <v>0</v>
      </c>
      <c r="V945" s="255">
        <f t="shared" si="227"/>
        <v>0</v>
      </c>
      <c r="W945" s="255">
        <f t="shared" si="228"/>
        <v>0</v>
      </c>
      <c r="X945" s="255">
        <f t="shared" si="229"/>
        <v>0</v>
      </c>
      <c r="Y945" s="255">
        <f t="shared" si="230"/>
        <v>0</v>
      </c>
      <c r="Z945" s="255">
        <f t="shared" si="231"/>
        <v>0</v>
      </c>
      <c r="AA945" s="97">
        <f t="shared" ref="AA945:AA947" si="236">U945</f>
        <v>0</v>
      </c>
      <c r="AB945" s="255">
        <f t="shared" si="232"/>
        <v>0</v>
      </c>
      <c r="AC945" s="255">
        <f t="shared" si="233"/>
        <v>0</v>
      </c>
      <c r="AD945" s="255">
        <f t="shared" si="234"/>
        <v>0</v>
      </c>
      <c r="AE945" s="76"/>
      <c r="AF945" s="97" t="s">
        <v>3758</v>
      </c>
      <c r="AG945" s="76"/>
      <c r="AH945" s="97">
        <v>1</v>
      </c>
      <c r="AI945" s="97">
        <v>1</v>
      </c>
      <c r="AJ945" s="73"/>
      <c r="AK945" s="57"/>
      <c r="AL945" s="45"/>
      <c r="AM945" s="45"/>
      <c r="AN945" s="45"/>
    </row>
    <row r="946" spans="1:40" hidden="1" outlineLevel="2" x14ac:dyDescent="0.35">
      <c r="A946" s="45"/>
      <c r="B946" s="54"/>
      <c r="C946" s="47">
        <f t="shared" si="235"/>
        <v>3</v>
      </c>
      <c r="D946" s="73"/>
      <c r="E946" s="70"/>
      <c r="F946" s="70" t="s">
        <v>3398</v>
      </c>
      <c r="G946" s="73"/>
      <c r="H946" s="76" t="s">
        <v>2513</v>
      </c>
      <c r="I946" s="96" t="s">
        <v>502</v>
      </c>
      <c r="J946" s="96"/>
      <c r="K946" s="76"/>
      <c r="L946" s="76"/>
      <c r="M946" s="76"/>
      <c r="N946" s="76"/>
      <c r="O946" s="76"/>
      <c r="P946" s="76"/>
      <c r="Q946" s="76"/>
      <c r="R946" s="76"/>
      <c r="S946" s="76"/>
      <c r="T946" s="76"/>
      <c r="U946" s="97">
        <v>0.95</v>
      </c>
      <c r="V946" s="255">
        <f t="shared" si="227"/>
        <v>0.95</v>
      </c>
      <c r="W946" s="255">
        <f>U946</f>
        <v>0.95</v>
      </c>
      <c r="X946" s="255">
        <f>V946</f>
        <v>0.95</v>
      </c>
      <c r="Y946" s="255">
        <f>V946</f>
        <v>0.95</v>
      </c>
      <c r="Z946" s="255">
        <f t="shared" si="231"/>
        <v>0.95</v>
      </c>
      <c r="AA946" s="97">
        <f t="shared" si="236"/>
        <v>0.95</v>
      </c>
      <c r="AB946" s="255">
        <f t="shared" si="232"/>
        <v>0.95</v>
      </c>
      <c r="AC946" s="255">
        <f t="shared" si="233"/>
        <v>0.95</v>
      </c>
      <c r="AD946" s="255">
        <f t="shared" si="234"/>
        <v>0.95</v>
      </c>
      <c r="AE946" s="76"/>
      <c r="AF946" s="97"/>
      <c r="AG946" s="76"/>
      <c r="AH946" s="97">
        <v>1</v>
      </c>
      <c r="AI946" s="97">
        <v>1</v>
      </c>
      <c r="AJ946" s="73"/>
      <c r="AK946" s="57"/>
      <c r="AL946" s="45"/>
      <c r="AM946" s="45"/>
      <c r="AN946" s="45"/>
    </row>
    <row r="947" spans="1:40" hidden="1" outlineLevel="2" x14ac:dyDescent="0.35">
      <c r="A947" s="45"/>
      <c r="B947" s="54"/>
      <c r="C947" s="47">
        <f t="shared" si="235"/>
        <v>3</v>
      </c>
      <c r="D947" s="73"/>
      <c r="E947" s="70"/>
      <c r="F947" s="70" t="s">
        <v>3399</v>
      </c>
      <c r="G947" s="73"/>
      <c r="H947" s="76" t="s">
        <v>2514</v>
      </c>
      <c r="I947" s="96" t="s">
        <v>502</v>
      </c>
      <c r="J947" s="96"/>
      <c r="K947" s="76"/>
      <c r="L947" s="76"/>
      <c r="M947" s="76"/>
      <c r="N947" s="76"/>
      <c r="O947" s="76"/>
      <c r="P947" s="76"/>
      <c r="Q947" s="76"/>
      <c r="R947" s="76"/>
      <c r="S947" s="76"/>
      <c r="T947" s="76"/>
      <c r="U947" s="97">
        <v>1.6046</v>
      </c>
      <c r="V947" s="76">
        <f t="shared" si="227"/>
        <v>1.6046</v>
      </c>
      <c r="W947" s="76">
        <f>U947</f>
        <v>1.6046</v>
      </c>
      <c r="X947" s="76">
        <f>V947</f>
        <v>1.6046</v>
      </c>
      <c r="Y947" s="76">
        <f>V947</f>
        <v>1.6046</v>
      </c>
      <c r="Z947" s="76">
        <f t="shared" si="231"/>
        <v>1.6046</v>
      </c>
      <c r="AA947" s="97">
        <f t="shared" si="236"/>
        <v>1.6046</v>
      </c>
      <c r="AB947" s="76">
        <f t="shared" si="232"/>
        <v>1.6046</v>
      </c>
      <c r="AC947" s="76">
        <f t="shared" si="233"/>
        <v>1.6046</v>
      </c>
      <c r="AD947" s="76">
        <f t="shared" si="234"/>
        <v>1.6046</v>
      </c>
      <c r="AE947" s="76"/>
      <c r="AF947" s="264"/>
      <c r="AG947" s="76"/>
      <c r="AH947" s="76">
        <v>1</v>
      </c>
      <c r="AI947" s="76">
        <v>1</v>
      </c>
      <c r="AJ947" s="73"/>
      <c r="AK947" s="57"/>
      <c r="AL947" s="45"/>
      <c r="AM947" s="45"/>
      <c r="AN947" s="45"/>
    </row>
    <row r="948" spans="1:40" hidden="1" outlineLevel="2" x14ac:dyDescent="0.35">
      <c r="A948" s="45"/>
      <c r="B948" s="54"/>
      <c r="C948" s="47">
        <f t="shared" si="235"/>
        <v>3</v>
      </c>
      <c r="D948" s="73"/>
      <c r="E948" s="70"/>
      <c r="F948" s="70" t="s">
        <v>3400</v>
      </c>
      <c r="G948" s="73"/>
      <c r="H948" s="76" t="s">
        <v>3760</v>
      </c>
      <c r="I948" s="96" t="s">
        <v>502</v>
      </c>
      <c r="J948" s="96"/>
      <c r="K948" s="76"/>
      <c r="L948" s="76"/>
      <c r="M948" s="76"/>
      <c r="N948" s="76"/>
      <c r="O948" s="76"/>
      <c r="P948" s="76"/>
      <c r="Q948" s="76"/>
      <c r="R948" s="76"/>
      <c r="S948" s="76"/>
      <c r="T948" s="76"/>
      <c r="U948" s="97">
        <v>0</v>
      </c>
      <c r="V948" s="255">
        <f t="shared" ref="V948:V951" si="237">U948</f>
        <v>0</v>
      </c>
      <c r="W948" s="255">
        <f t="shared" ref="W948:W949" si="238">U948</f>
        <v>0</v>
      </c>
      <c r="X948" s="255">
        <f t="shared" ref="X948:X949" si="239">V948</f>
        <v>0</v>
      </c>
      <c r="Y948" s="255">
        <f t="shared" ref="Y948:Y949" si="240">V948</f>
        <v>0</v>
      </c>
      <c r="Z948" s="255">
        <f t="shared" ref="Z948:Z951" si="241">AA948</f>
        <v>0</v>
      </c>
      <c r="AA948" s="97">
        <f>U948</f>
        <v>0</v>
      </c>
      <c r="AB948" s="255">
        <f t="shared" ref="AB948:AB951" si="242">AA948</f>
        <v>0</v>
      </c>
      <c r="AC948" s="255">
        <f t="shared" ref="AC948:AC951" si="243">AB948</f>
        <v>0</v>
      </c>
      <c r="AD948" s="255">
        <f t="shared" ref="AD948:AD951" si="244">AC948</f>
        <v>0</v>
      </c>
      <c r="AE948" s="76"/>
      <c r="AF948" s="97" t="s">
        <v>3378</v>
      </c>
      <c r="AG948" s="76"/>
      <c r="AH948" s="76">
        <v>1</v>
      </c>
      <c r="AI948" s="76">
        <v>1</v>
      </c>
      <c r="AJ948" s="73"/>
      <c r="AK948" s="57"/>
      <c r="AL948" s="45"/>
      <c r="AM948" s="45"/>
      <c r="AN948" s="45"/>
    </row>
    <row r="949" spans="1:40" hidden="1" outlineLevel="2" x14ac:dyDescent="0.35">
      <c r="A949" s="45"/>
      <c r="B949" s="54"/>
      <c r="C949" s="47">
        <f t="shared" si="235"/>
        <v>3</v>
      </c>
      <c r="D949" s="73"/>
      <c r="E949" s="70"/>
      <c r="F949" s="70" t="s">
        <v>3401</v>
      </c>
      <c r="G949" s="73"/>
      <c r="H949" s="76" t="s">
        <v>2512</v>
      </c>
      <c r="I949" s="96" t="s">
        <v>502</v>
      </c>
      <c r="J949" s="96"/>
      <c r="K949" s="76"/>
      <c r="L949" s="76"/>
      <c r="M949" s="76"/>
      <c r="N949" s="76"/>
      <c r="O949" s="76"/>
      <c r="P949" s="76"/>
      <c r="Q949" s="76"/>
      <c r="R949" s="76"/>
      <c r="S949" s="76"/>
      <c r="T949" s="76"/>
      <c r="U949" s="97">
        <v>0</v>
      </c>
      <c r="V949" s="255">
        <f t="shared" si="237"/>
        <v>0</v>
      </c>
      <c r="W949" s="255">
        <f t="shared" si="238"/>
        <v>0</v>
      </c>
      <c r="X949" s="255">
        <f t="shared" si="239"/>
        <v>0</v>
      </c>
      <c r="Y949" s="255">
        <f t="shared" si="240"/>
        <v>0</v>
      </c>
      <c r="Z949" s="255">
        <f t="shared" si="241"/>
        <v>0</v>
      </c>
      <c r="AA949" s="97">
        <f t="shared" ref="AA949:AA950" si="245">U949</f>
        <v>0</v>
      </c>
      <c r="AB949" s="255">
        <f t="shared" si="242"/>
        <v>0</v>
      </c>
      <c r="AC949" s="255">
        <f t="shared" si="243"/>
        <v>0</v>
      </c>
      <c r="AD949" s="255">
        <f t="shared" si="244"/>
        <v>0</v>
      </c>
      <c r="AE949" s="76"/>
      <c r="AF949" s="97" t="s">
        <v>3395</v>
      </c>
      <c r="AG949" s="76"/>
      <c r="AH949" s="97">
        <v>1</v>
      </c>
      <c r="AI949" s="97">
        <v>1</v>
      </c>
      <c r="AJ949" s="73"/>
      <c r="AK949" s="57"/>
      <c r="AL949" s="45"/>
      <c r="AM949" s="45"/>
      <c r="AN949" s="45"/>
    </row>
    <row r="950" spans="1:40" hidden="1" outlineLevel="2" x14ac:dyDescent="0.35">
      <c r="A950" s="45"/>
      <c r="B950" s="54"/>
      <c r="C950" s="47">
        <f t="shared" si="235"/>
        <v>3</v>
      </c>
      <c r="D950" s="73"/>
      <c r="E950" s="70"/>
      <c r="F950" s="70" t="s">
        <v>3402</v>
      </c>
      <c r="G950" s="73"/>
      <c r="H950" s="76" t="s">
        <v>2513</v>
      </c>
      <c r="I950" s="96" t="s">
        <v>502</v>
      </c>
      <c r="J950" s="96"/>
      <c r="K950" s="76"/>
      <c r="L950" s="76"/>
      <c r="M950" s="76"/>
      <c r="N950" s="76"/>
      <c r="O950" s="76"/>
      <c r="P950" s="76"/>
      <c r="Q950" s="76"/>
      <c r="R950" s="76"/>
      <c r="S950" s="76"/>
      <c r="T950" s="76"/>
      <c r="U950" s="97">
        <v>0.1779</v>
      </c>
      <c r="V950" s="255">
        <f t="shared" si="237"/>
        <v>0.1779</v>
      </c>
      <c r="W950" s="255">
        <f>U950</f>
        <v>0.1779</v>
      </c>
      <c r="X950" s="255">
        <f>V950</f>
        <v>0.1779</v>
      </c>
      <c r="Y950" s="255">
        <f>V950</f>
        <v>0.1779</v>
      </c>
      <c r="Z950" s="255">
        <f t="shared" si="241"/>
        <v>0.1779</v>
      </c>
      <c r="AA950" s="97">
        <f t="shared" si="245"/>
        <v>0.1779</v>
      </c>
      <c r="AB950" s="255">
        <f t="shared" si="242"/>
        <v>0.1779</v>
      </c>
      <c r="AC950" s="255">
        <f t="shared" si="243"/>
        <v>0.1779</v>
      </c>
      <c r="AD950" s="255">
        <f t="shared" si="244"/>
        <v>0.1779</v>
      </c>
      <c r="AE950" s="76"/>
      <c r="AF950" s="97"/>
      <c r="AG950" s="76"/>
      <c r="AH950" s="97">
        <v>1</v>
      </c>
      <c r="AI950" s="97">
        <v>1</v>
      </c>
      <c r="AJ950" s="73"/>
      <c r="AK950" s="57"/>
      <c r="AL950" s="45"/>
      <c r="AM950" s="45"/>
      <c r="AN950" s="45"/>
    </row>
    <row r="951" spans="1:40" hidden="1" outlineLevel="2" x14ac:dyDescent="0.35">
      <c r="A951" s="45"/>
      <c r="B951" s="54"/>
      <c r="C951" s="47">
        <f t="shared" si="235"/>
        <v>3</v>
      </c>
      <c r="D951" s="73"/>
      <c r="E951" s="70"/>
      <c r="F951" s="70" t="s">
        <v>3403</v>
      </c>
      <c r="G951" s="73"/>
      <c r="H951" s="76" t="s">
        <v>2514</v>
      </c>
      <c r="I951" s="96" t="s">
        <v>502</v>
      </c>
      <c r="J951" s="96"/>
      <c r="K951" s="76"/>
      <c r="L951" s="76"/>
      <c r="M951" s="76"/>
      <c r="N951" s="76"/>
      <c r="O951" s="76"/>
      <c r="P951" s="76"/>
      <c r="Q951" s="76"/>
      <c r="R951" s="76"/>
      <c r="S951" s="76"/>
      <c r="T951" s="76"/>
      <c r="U951" s="253">
        <f>U950</f>
        <v>0.1779</v>
      </c>
      <c r="V951" s="76">
        <f t="shared" si="237"/>
        <v>0.1779</v>
      </c>
      <c r="W951" s="76">
        <f>U951</f>
        <v>0.1779</v>
      </c>
      <c r="X951" s="76">
        <f>V951</f>
        <v>0.1779</v>
      </c>
      <c r="Y951" s="76">
        <f>V951</f>
        <v>0.1779</v>
      </c>
      <c r="Z951" s="76">
        <f t="shared" si="241"/>
        <v>0.1779</v>
      </c>
      <c r="AA951" s="253">
        <f>AA950</f>
        <v>0.1779</v>
      </c>
      <c r="AB951" s="76">
        <f t="shared" si="242"/>
        <v>0.1779</v>
      </c>
      <c r="AC951" s="76">
        <f t="shared" si="243"/>
        <v>0.1779</v>
      </c>
      <c r="AD951" s="76">
        <f t="shared" si="244"/>
        <v>0.1779</v>
      </c>
      <c r="AE951" s="76"/>
      <c r="AF951" s="264" t="s">
        <v>3377</v>
      </c>
      <c r="AG951" s="76"/>
      <c r="AH951" s="76">
        <v>1</v>
      </c>
      <c r="AI951" s="76">
        <v>1</v>
      </c>
      <c r="AJ951" s="73"/>
      <c r="AK951" s="57"/>
      <c r="AL951" s="45"/>
      <c r="AM951" s="45"/>
      <c r="AN951" s="45"/>
    </row>
    <row r="952" spans="1:40" hidden="1" outlineLevel="2" x14ac:dyDescent="0.35">
      <c r="A952" s="45"/>
      <c r="B952" s="54"/>
      <c r="C952" s="47">
        <f t="shared" si="235"/>
        <v>3</v>
      </c>
      <c r="D952" s="73"/>
      <c r="E952" s="70"/>
      <c r="F952" s="70" t="s">
        <v>3404</v>
      </c>
      <c r="G952" s="73"/>
      <c r="H952" s="76" t="s">
        <v>3761</v>
      </c>
      <c r="I952" s="96" t="s">
        <v>502</v>
      </c>
      <c r="J952" s="96"/>
      <c r="K952" s="76"/>
      <c r="L952" s="76"/>
      <c r="M952" s="76"/>
      <c r="N952" s="76"/>
      <c r="O952" s="76"/>
      <c r="P952" s="76"/>
      <c r="Q952" s="76"/>
      <c r="R952" s="76"/>
      <c r="S952" s="76"/>
      <c r="T952" s="76"/>
      <c r="U952" s="97">
        <v>0</v>
      </c>
      <c r="V952" s="255">
        <f t="shared" ref="V952:V967" si="246">U952</f>
        <v>0</v>
      </c>
      <c r="W952" s="255">
        <f t="shared" ref="W952:W953" si="247">U952</f>
        <v>0</v>
      </c>
      <c r="X952" s="255">
        <f t="shared" ref="X952:X953" si="248">V952</f>
        <v>0</v>
      </c>
      <c r="Y952" s="255">
        <f t="shared" ref="Y952:Y953" si="249">V952</f>
        <v>0</v>
      </c>
      <c r="Z952" s="255">
        <f t="shared" ref="Z952:Z967" si="250">AA952</f>
        <v>0</v>
      </c>
      <c r="AA952" s="97">
        <f>U952</f>
        <v>0</v>
      </c>
      <c r="AB952" s="255">
        <f t="shared" ref="AB952:AB967" si="251">AA952</f>
        <v>0</v>
      </c>
      <c r="AC952" s="255">
        <f t="shared" ref="AC952:AC967" si="252">AB952</f>
        <v>0</v>
      </c>
      <c r="AD952" s="255">
        <f t="shared" ref="AD952:AD967" si="253">AC952</f>
        <v>0</v>
      </c>
      <c r="AE952" s="76"/>
      <c r="AF952" s="97" t="s">
        <v>3378</v>
      </c>
      <c r="AG952" s="76"/>
      <c r="AH952" s="76">
        <v>1</v>
      </c>
      <c r="AI952" s="76">
        <v>1</v>
      </c>
      <c r="AJ952" s="73"/>
      <c r="AK952" s="57"/>
      <c r="AL952" s="45"/>
      <c r="AM952" s="45"/>
      <c r="AN952" s="45"/>
    </row>
    <row r="953" spans="1:40" hidden="1" outlineLevel="2" x14ac:dyDescent="0.35">
      <c r="A953" s="45"/>
      <c r="B953" s="54"/>
      <c r="C953" s="47">
        <f t="shared" si="235"/>
        <v>3</v>
      </c>
      <c r="D953" s="73"/>
      <c r="E953" s="70"/>
      <c r="F953" s="70" t="s">
        <v>3405</v>
      </c>
      <c r="G953" s="73"/>
      <c r="H953" s="76" t="s">
        <v>2512</v>
      </c>
      <c r="I953" s="96" t="s">
        <v>502</v>
      </c>
      <c r="J953" s="96"/>
      <c r="K953" s="76"/>
      <c r="L953" s="76"/>
      <c r="M953" s="76"/>
      <c r="N953" s="76"/>
      <c r="O953" s="76"/>
      <c r="P953" s="76"/>
      <c r="Q953" s="76"/>
      <c r="R953" s="76"/>
      <c r="S953" s="76"/>
      <c r="T953" s="76"/>
      <c r="U953" s="97">
        <v>0</v>
      </c>
      <c r="V953" s="255">
        <f t="shared" si="246"/>
        <v>0</v>
      </c>
      <c r="W953" s="255">
        <f t="shared" si="247"/>
        <v>0</v>
      </c>
      <c r="X953" s="255">
        <f t="shared" si="248"/>
        <v>0</v>
      </c>
      <c r="Y953" s="255">
        <f t="shared" si="249"/>
        <v>0</v>
      </c>
      <c r="Z953" s="255">
        <f t="shared" si="250"/>
        <v>0</v>
      </c>
      <c r="AA953" s="97">
        <f t="shared" ref="AA953:AA954" si="254">U953</f>
        <v>0</v>
      </c>
      <c r="AB953" s="255">
        <f t="shared" si="251"/>
        <v>0</v>
      </c>
      <c r="AC953" s="255">
        <f t="shared" si="252"/>
        <v>0</v>
      </c>
      <c r="AD953" s="255">
        <f t="shared" si="253"/>
        <v>0</v>
      </c>
      <c r="AE953" s="76"/>
      <c r="AF953" s="97" t="s">
        <v>3395</v>
      </c>
      <c r="AG953" s="76"/>
      <c r="AH953" s="97">
        <v>1</v>
      </c>
      <c r="AI953" s="97">
        <v>1</v>
      </c>
      <c r="AJ953" s="73"/>
      <c r="AK953" s="57"/>
      <c r="AL953" s="45"/>
      <c r="AM953" s="45"/>
      <c r="AN953" s="45"/>
    </row>
    <row r="954" spans="1:40" hidden="1" outlineLevel="2" x14ac:dyDescent="0.35">
      <c r="A954" s="45"/>
      <c r="B954" s="54"/>
      <c r="C954" s="47">
        <f t="shared" si="235"/>
        <v>3</v>
      </c>
      <c r="D954" s="73"/>
      <c r="E954" s="70"/>
      <c r="F954" s="70" t="s">
        <v>3406</v>
      </c>
      <c r="G954" s="73"/>
      <c r="H954" s="76" t="s">
        <v>2513</v>
      </c>
      <c r="I954" s="96" t="s">
        <v>502</v>
      </c>
      <c r="J954" s="96"/>
      <c r="K954" s="76"/>
      <c r="L954" s="76"/>
      <c r="M954" s="76"/>
      <c r="N954" s="76"/>
      <c r="O954" s="76"/>
      <c r="P954" s="76"/>
      <c r="Q954" s="76"/>
      <c r="R954" s="76"/>
      <c r="S954" s="76"/>
      <c r="T954" s="76"/>
      <c r="U954" s="97">
        <v>-1.312E-3</v>
      </c>
      <c r="V954" s="255">
        <f t="shared" si="246"/>
        <v>-1.312E-3</v>
      </c>
      <c r="W954" s="255">
        <f>U954</f>
        <v>-1.312E-3</v>
      </c>
      <c r="X954" s="255">
        <f>V954</f>
        <v>-1.312E-3</v>
      </c>
      <c r="Y954" s="255">
        <f>V954</f>
        <v>-1.312E-3</v>
      </c>
      <c r="Z954" s="255">
        <f t="shared" si="250"/>
        <v>-1.312E-3</v>
      </c>
      <c r="AA954" s="97">
        <f t="shared" si="254"/>
        <v>-1.312E-3</v>
      </c>
      <c r="AB954" s="255">
        <f t="shared" si="251"/>
        <v>-1.312E-3</v>
      </c>
      <c r="AC954" s="255">
        <f t="shared" si="252"/>
        <v>-1.312E-3</v>
      </c>
      <c r="AD954" s="255">
        <f t="shared" si="253"/>
        <v>-1.312E-3</v>
      </c>
      <c r="AE954" s="76"/>
      <c r="AF954" s="97"/>
      <c r="AG954" s="76"/>
      <c r="AH954" s="97">
        <v>1</v>
      </c>
      <c r="AI954" s="97">
        <v>1</v>
      </c>
      <c r="AJ954" s="73"/>
      <c r="AK954" s="57"/>
      <c r="AL954" s="45"/>
      <c r="AM954" s="45"/>
      <c r="AN954" s="45"/>
    </row>
    <row r="955" spans="1:40" hidden="1" outlineLevel="2" x14ac:dyDescent="0.35">
      <c r="A955" s="45"/>
      <c r="B955" s="54"/>
      <c r="C955" s="47">
        <f t="shared" si="235"/>
        <v>3</v>
      </c>
      <c r="D955" s="73"/>
      <c r="E955" s="70"/>
      <c r="F955" s="70" t="s">
        <v>3407</v>
      </c>
      <c r="G955" s="73"/>
      <c r="H955" s="76" t="s">
        <v>2514</v>
      </c>
      <c r="I955" s="96" t="s">
        <v>502</v>
      </c>
      <c r="J955" s="96"/>
      <c r="K955" s="76"/>
      <c r="L955" s="76"/>
      <c r="M955" s="76"/>
      <c r="N955" s="76"/>
      <c r="O955" s="76"/>
      <c r="P955" s="76"/>
      <c r="Q955" s="76"/>
      <c r="R955" s="76"/>
      <c r="S955" s="76"/>
      <c r="T955" s="76"/>
      <c r="U955" s="253">
        <f>U954</f>
        <v>-1.312E-3</v>
      </c>
      <c r="V955" s="76">
        <f t="shared" si="246"/>
        <v>-1.312E-3</v>
      </c>
      <c r="W955" s="76">
        <f>U955</f>
        <v>-1.312E-3</v>
      </c>
      <c r="X955" s="76">
        <f>V955</f>
        <v>-1.312E-3</v>
      </c>
      <c r="Y955" s="76">
        <f>V955</f>
        <v>-1.312E-3</v>
      </c>
      <c r="Z955" s="76">
        <f t="shared" si="250"/>
        <v>-1.312E-3</v>
      </c>
      <c r="AA955" s="253">
        <f>AA954</f>
        <v>-1.312E-3</v>
      </c>
      <c r="AB955" s="76">
        <f t="shared" si="251"/>
        <v>-1.312E-3</v>
      </c>
      <c r="AC955" s="76">
        <f t="shared" si="252"/>
        <v>-1.312E-3</v>
      </c>
      <c r="AD955" s="76">
        <f t="shared" si="253"/>
        <v>-1.312E-3</v>
      </c>
      <c r="AE955" s="76"/>
      <c r="AF955" s="264" t="s">
        <v>3377</v>
      </c>
      <c r="AG955" s="76"/>
      <c r="AH955" s="76">
        <v>1</v>
      </c>
      <c r="AI955" s="76">
        <v>1</v>
      </c>
      <c r="AJ955" s="73"/>
      <c r="AK955" s="57"/>
      <c r="AL955" s="45"/>
      <c r="AM955" s="45"/>
      <c r="AN955" s="45"/>
    </row>
    <row r="956" spans="1:40" hidden="1" outlineLevel="2" x14ac:dyDescent="0.35">
      <c r="A956" s="45"/>
      <c r="B956" s="54"/>
      <c r="C956" s="47">
        <f t="shared" si="235"/>
        <v>3</v>
      </c>
      <c r="D956" s="73"/>
      <c r="E956" s="70"/>
      <c r="F956" s="70" t="s">
        <v>3408</v>
      </c>
      <c r="G956" s="73"/>
      <c r="H956" s="76" t="s">
        <v>3762</v>
      </c>
      <c r="I956" s="96" t="s">
        <v>502</v>
      </c>
      <c r="J956" s="96"/>
      <c r="K956" s="76"/>
      <c r="L956" s="76"/>
      <c r="M956" s="76"/>
      <c r="N956" s="76"/>
      <c r="O956" s="76"/>
      <c r="P956" s="76"/>
      <c r="Q956" s="76"/>
      <c r="R956" s="76"/>
      <c r="S956" s="76"/>
      <c r="T956" s="76"/>
      <c r="U956" s="97">
        <v>0</v>
      </c>
      <c r="V956" s="255">
        <f t="shared" si="246"/>
        <v>0</v>
      </c>
      <c r="W956" s="255">
        <f t="shared" ref="W956:W957" si="255">U956</f>
        <v>0</v>
      </c>
      <c r="X956" s="255">
        <f t="shared" ref="X956:X957" si="256">V956</f>
        <v>0</v>
      </c>
      <c r="Y956" s="255">
        <f t="shared" ref="Y956:Y957" si="257">V956</f>
        <v>0</v>
      </c>
      <c r="Z956" s="255">
        <f t="shared" si="250"/>
        <v>0</v>
      </c>
      <c r="AA956" s="97">
        <f>U956</f>
        <v>0</v>
      </c>
      <c r="AB956" s="255">
        <f t="shared" si="251"/>
        <v>0</v>
      </c>
      <c r="AC956" s="255">
        <f t="shared" si="252"/>
        <v>0</v>
      </c>
      <c r="AD956" s="255">
        <f t="shared" si="253"/>
        <v>0</v>
      </c>
      <c r="AE956" s="76"/>
      <c r="AF956" s="97" t="s">
        <v>3378</v>
      </c>
      <c r="AG956" s="76"/>
      <c r="AH956" s="76">
        <v>1</v>
      </c>
      <c r="AI956" s="76">
        <v>1</v>
      </c>
      <c r="AJ956" s="73"/>
      <c r="AK956" s="57"/>
      <c r="AL956" s="45"/>
      <c r="AM956" s="45"/>
      <c r="AN956" s="45"/>
    </row>
    <row r="957" spans="1:40" hidden="1" outlineLevel="2" x14ac:dyDescent="0.35">
      <c r="A957" s="45"/>
      <c r="B957" s="54"/>
      <c r="C957" s="47">
        <f t="shared" si="235"/>
        <v>3</v>
      </c>
      <c r="D957" s="73"/>
      <c r="E957" s="70"/>
      <c r="F957" s="70" t="s">
        <v>3409</v>
      </c>
      <c r="G957" s="73"/>
      <c r="H957" s="76" t="s">
        <v>2512</v>
      </c>
      <c r="I957" s="96" t="s">
        <v>502</v>
      </c>
      <c r="J957" s="96"/>
      <c r="K957" s="76"/>
      <c r="L957" s="76"/>
      <c r="M957" s="76"/>
      <c r="N957" s="76"/>
      <c r="O957" s="76"/>
      <c r="P957" s="76"/>
      <c r="Q957" s="76"/>
      <c r="R957" s="76"/>
      <c r="S957" s="76"/>
      <c r="T957" s="76"/>
      <c r="U957" s="97">
        <v>0</v>
      </c>
      <c r="V957" s="255">
        <f t="shared" si="246"/>
        <v>0</v>
      </c>
      <c r="W957" s="255">
        <f t="shared" si="255"/>
        <v>0</v>
      </c>
      <c r="X957" s="255">
        <f t="shared" si="256"/>
        <v>0</v>
      </c>
      <c r="Y957" s="255">
        <f t="shared" si="257"/>
        <v>0</v>
      </c>
      <c r="Z957" s="255">
        <f t="shared" si="250"/>
        <v>0</v>
      </c>
      <c r="AA957" s="97">
        <f t="shared" ref="AA957:AA958" si="258">U957</f>
        <v>0</v>
      </c>
      <c r="AB957" s="255">
        <f t="shared" si="251"/>
        <v>0</v>
      </c>
      <c r="AC957" s="255">
        <f t="shared" si="252"/>
        <v>0</v>
      </c>
      <c r="AD957" s="255">
        <f t="shared" si="253"/>
        <v>0</v>
      </c>
      <c r="AE957" s="76"/>
      <c r="AF957" s="97" t="s">
        <v>3395</v>
      </c>
      <c r="AG957" s="76"/>
      <c r="AH957" s="97">
        <v>1</v>
      </c>
      <c r="AI957" s="97">
        <v>1</v>
      </c>
      <c r="AJ957" s="73"/>
      <c r="AK957" s="57"/>
      <c r="AL957" s="45"/>
      <c r="AM957" s="45"/>
      <c r="AN957" s="45"/>
    </row>
    <row r="958" spans="1:40" hidden="1" outlineLevel="2" x14ac:dyDescent="0.35">
      <c r="A958" s="45"/>
      <c r="B958" s="54"/>
      <c r="C958" s="47">
        <f t="shared" si="235"/>
        <v>3</v>
      </c>
      <c r="D958" s="73"/>
      <c r="E958" s="70"/>
      <c r="F958" s="70" t="s">
        <v>3410</v>
      </c>
      <c r="G958" s="73"/>
      <c r="H958" s="76" t="s">
        <v>2513</v>
      </c>
      <c r="I958" s="96" t="s">
        <v>502</v>
      </c>
      <c r="J958" s="96"/>
      <c r="K958" s="76"/>
      <c r="L958" s="76"/>
      <c r="M958" s="76"/>
      <c r="N958" s="76"/>
      <c r="O958" s="76"/>
      <c r="P958" s="76"/>
      <c r="Q958" s="76"/>
      <c r="R958" s="76"/>
      <c r="S958" s="76"/>
      <c r="T958" s="76"/>
      <c r="U958" s="97">
        <v>-5.5010000000000003E-2</v>
      </c>
      <c r="V958" s="255">
        <f t="shared" si="246"/>
        <v>-5.5010000000000003E-2</v>
      </c>
      <c r="W958" s="255">
        <f>U958</f>
        <v>-5.5010000000000003E-2</v>
      </c>
      <c r="X958" s="255">
        <f>V958</f>
        <v>-5.5010000000000003E-2</v>
      </c>
      <c r="Y958" s="255">
        <f>V958</f>
        <v>-5.5010000000000003E-2</v>
      </c>
      <c r="Z958" s="255">
        <f t="shared" si="250"/>
        <v>-5.5010000000000003E-2</v>
      </c>
      <c r="AA958" s="97">
        <f t="shared" si="258"/>
        <v>-5.5010000000000003E-2</v>
      </c>
      <c r="AB958" s="255">
        <f t="shared" si="251"/>
        <v>-5.5010000000000003E-2</v>
      </c>
      <c r="AC958" s="255">
        <f t="shared" si="252"/>
        <v>-5.5010000000000003E-2</v>
      </c>
      <c r="AD958" s="255">
        <f t="shared" si="253"/>
        <v>-5.5010000000000003E-2</v>
      </c>
      <c r="AE958" s="76"/>
      <c r="AF958" s="97"/>
      <c r="AG958" s="76"/>
      <c r="AH958" s="97">
        <v>1</v>
      </c>
      <c r="AI958" s="97">
        <v>1</v>
      </c>
      <c r="AJ958" s="73"/>
      <c r="AK958" s="57"/>
      <c r="AL958" s="45"/>
      <c r="AM958" s="45"/>
      <c r="AN958" s="45"/>
    </row>
    <row r="959" spans="1:40" hidden="1" outlineLevel="2" x14ac:dyDescent="0.35">
      <c r="A959" s="45"/>
      <c r="B959" s="54"/>
      <c r="C959" s="47">
        <f t="shared" si="235"/>
        <v>3</v>
      </c>
      <c r="D959" s="73"/>
      <c r="E959" s="70"/>
      <c r="F959" s="70" t="s">
        <v>3411</v>
      </c>
      <c r="G959" s="73"/>
      <c r="H959" s="76" t="s">
        <v>2514</v>
      </c>
      <c r="I959" s="96" t="s">
        <v>502</v>
      </c>
      <c r="J959" s="96"/>
      <c r="K959" s="76"/>
      <c r="L959" s="76"/>
      <c r="M959" s="76"/>
      <c r="N959" s="76"/>
      <c r="O959" s="76"/>
      <c r="P959" s="76"/>
      <c r="Q959" s="76"/>
      <c r="R959" s="76"/>
      <c r="S959" s="76"/>
      <c r="T959" s="76"/>
      <c r="U959" s="253">
        <f>U958</f>
        <v>-5.5010000000000003E-2</v>
      </c>
      <c r="V959" s="76">
        <f t="shared" si="246"/>
        <v>-5.5010000000000003E-2</v>
      </c>
      <c r="W959" s="76">
        <f>U959</f>
        <v>-5.5010000000000003E-2</v>
      </c>
      <c r="X959" s="76">
        <f>V959</f>
        <v>-5.5010000000000003E-2</v>
      </c>
      <c r="Y959" s="76">
        <f>V959</f>
        <v>-5.5010000000000003E-2</v>
      </c>
      <c r="Z959" s="76">
        <f t="shared" si="250"/>
        <v>-5.5010000000000003E-2</v>
      </c>
      <c r="AA959" s="253">
        <f>AA958</f>
        <v>-5.5010000000000003E-2</v>
      </c>
      <c r="AB959" s="76">
        <f t="shared" si="251"/>
        <v>-5.5010000000000003E-2</v>
      </c>
      <c r="AC959" s="76">
        <f t="shared" si="252"/>
        <v>-5.5010000000000003E-2</v>
      </c>
      <c r="AD959" s="76">
        <f t="shared" si="253"/>
        <v>-5.5010000000000003E-2</v>
      </c>
      <c r="AE959" s="76"/>
      <c r="AF959" s="264" t="s">
        <v>3377</v>
      </c>
      <c r="AG959" s="76"/>
      <c r="AH959" s="76">
        <v>1</v>
      </c>
      <c r="AI959" s="76">
        <v>1</v>
      </c>
      <c r="AJ959" s="73"/>
      <c r="AK959" s="57"/>
      <c r="AL959" s="45"/>
      <c r="AM959" s="45"/>
      <c r="AN959" s="45"/>
    </row>
    <row r="960" spans="1:40" hidden="1" outlineLevel="2" x14ac:dyDescent="0.35">
      <c r="A960" s="45"/>
      <c r="B960" s="54"/>
      <c r="C960" s="47">
        <f t="shared" si="235"/>
        <v>3</v>
      </c>
      <c r="D960" s="73"/>
      <c r="E960" s="70"/>
      <c r="F960" s="70" t="s">
        <v>3412</v>
      </c>
      <c r="G960" s="73"/>
      <c r="H960" s="76" t="s">
        <v>3763</v>
      </c>
      <c r="I960" s="96" t="s">
        <v>502</v>
      </c>
      <c r="J960" s="96"/>
      <c r="K960" s="76"/>
      <c r="L960" s="76"/>
      <c r="M960" s="76"/>
      <c r="N960" s="76"/>
      <c r="O960" s="76"/>
      <c r="P960" s="76"/>
      <c r="Q960" s="76"/>
      <c r="R960" s="76"/>
      <c r="S960" s="76"/>
      <c r="T960" s="76"/>
      <c r="U960" s="97">
        <v>0</v>
      </c>
      <c r="V960" s="255">
        <f t="shared" ref="V960:V963" si="259">U960</f>
        <v>0</v>
      </c>
      <c r="W960" s="255">
        <f t="shared" ref="W960:W961" si="260">U960</f>
        <v>0</v>
      </c>
      <c r="X960" s="255">
        <f t="shared" ref="X960:X961" si="261">V960</f>
        <v>0</v>
      </c>
      <c r="Y960" s="255">
        <f t="shared" ref="Y960:Y961" si="262">V960</f>
        <v>0</v>
      </c>
      <c r="Z960" s="255">
        <f t="shared" ref="Z960:Z963" si="263">AA960</f>
        <v>0</v>
      </c>
      <c r="AA960" s="97">
        <f>U960</f>
        <v>0</v>
      </c>
      <c r="AB960" s="255">
        <f t="shared" ref="AB960:AB963" si="264">AA960</f>
        <v>0</v>
      </c>
      <c r="AC960" s="255">
        <f t="shared" ref="AC960:AC963" si="265">AB960</f>
        <v>0</v>
      </c>
      <c r="AD960" s="255">
        <f t="shared" ref="AD960:AD963" si="266">AC960</f>
        <v>0</v>
      </c>
      <c r="AE960" s="76"/>
      <c r="AF960" s="97" t="s">
        <v>3378</v>
      </c>
      <c r="AG960" s="76"/>
      <c r="AH960" s="76">
        <v>1</v>
      </c>
      <c r="AI960" s="76">
        <v>1</v>
      </c>
      <c r="AJ960" s="73"/>
      <c r="AK960" s="57"/>
      <c r="AL960" s="45"/>
      <c r="AM960" s="45"/>
      <c r="AN960" s="45"/>
    </row>
    <row r="961" spans="1:40" hidden="1" outlineLevel="2" x14ac:dyDescent="0.35">
      <c r="A961" s="45"/>
      <c r="B961" s="54"/>
      <c r="C961" s="47">
        <f t="shared" si="235"/>
        <v>3</v>
      </c>
      <c r="D961" s="73"/>
      <c r="E961" s="70"/>
      <c r="F961" s="70" t="s">
        <v>3413</v>
      </c>
      <c r="G961" s="73"/>
      <c r="H961" s="76" t="s">
        <v>2512</v>
      </c>
      <c r="I961" s="96" t="s">
        <v>502</v>
      </c>
      <c r="J961" s="96"/>
      <c r="K961" s="76"/>
      <c r="L961" s="76"/>
      <c r="M961" s="76"/>
      <c r="N961" s="76"/>
      <c r="O961" s="76"/>
      <c r="P961" s="76"/>
      <c r="Q961" s="76"/>
      <c r="R961" s="76"/>
      <c r="S961" s="76"/>
      <c r="T961" s="76"/>
      <c r="U961" s="97">
        <v>0</v>
      </c>
      <c r="V961" s="255">
        <f t="shared" si="259"/>
        <v>0</v>
      </c>
      <c r="W961" s="255">
        <f t="shared" si="260"/>
        <v>0</v>
      </c>
      <c r="X961" s="255">
        <f t="shared" si="261"/>
        <v>0</v>
      </c>
      <c r="Y961" s="255">
        <f t="shared" si="262"/>
        <v>0</v>
      </c>
      <c r="Z961" s="255">
        <f t="shared" si="263"/>
        <v>0</v>
      </c>
      <c r="AA961" s="97">
        <f t="shared" ref="AA961:AA962" si="267">U961</f>
        <v>0</v>
      </c>
      <c r="AB961" s="255">
        <f t="shared" si="264"/>
        <v>0</v>
      </c>
      <c r="AC961" s="255">
        <f t="shared" si="265"/>
        <v>0</v>
      </c>
      <c r="AD961" s="255">
        <f t="shared" si="266"/>
        <v>0</v>
      </c>
      <c r="AE961" s="76"/>
      <c r="AF961" s="97" t="s">
        <v>3395</v>
      </c>
      <c r="AG961" s="76"/>
      <c r="AH961" s="97">
        <v>1</v>
      </c>
      <c r="AI961" s="97">
        <v>1</v>
      </c>
      <c r="AJ961" s="73"/>
      <c r="AK961" s="57"/>
      <c r="AL961" s="45"/>
      <c r="AM961" s="45"/>
      <c r="AN961" s="45"/>
    </row>
    <row r="962" spans="1:40" hidden="1" outlineLevel="2" x14ac:dyDescent="0.35">
      <c r="A962" s="45"/>
      <c r="B962" s="54"/>
      <c r="C962" s="47">
        <f t="shared" si="235"/>
        <v>3</v>
      </c>
      <c r="D962" s="73"/>
      <c r="E962" s="70"/>
      <c r="F962" s="70" t="s">
        <v>3414</v>
      </c>
      <c r="G962" s="73"/>
      <c r="H962" s="76" t="s">
        <v>2513</v>
      </c>
      <c r="I962" s="96" t="s">
        <v>502</v>
      </c>
      <c r="J962" s="96"/>
      <c r="K962" s="76"/>
      <c r="L962" s="76"/>
      <c r="M962" s="76"/>
      <c r="N962" s="76"/>
      <c r="O962" s="76"/>
      <c r="P962" s="76"/>
      <c r="Q962" s="76"/>
      <c r="R962" s="76"/>
      <c r="S962" s="76"/>
      <c r="T962" s="76"/>
      <c r="U962" s="97">
        <v>0</v>
      </c>
      <c r="V962" s="255">
        <f t="shared" si="259"/>
        <v>0</v>
      </c>
      <c r="W962" s="255">
        <f>U962</f>
        <v>0</v>
      </c>
      <c r="X962" s="255">
        <f>V962</f>
        <v>0</v>
      </c>
      <c r="Y962" s="255">
        <f>V962</f>
        <v>0</v>
      </c>
      <c r="Z962" s="255">
        <f t="shared" si="263"/>
        <v>0</v>
      </c>
      <c r="AA962" s="97">
        <f t="shared" si="267"/>
        <v>0</v>
      </c>
      <c r="AB962" s="255">
        <f t="shared" si="264"/>
        <v>0</v>
      </c>
      <c r="AC962" s="255">
        <f t="shared" si="265"/>
        <v>0</v>
      </c>
      <c r="AD962" s="255">
        <f t="shared" si="266"/>
        <v>0</v>
      </c>
      <c r="AE962" s="76"/>
      <c r="AF962" s="97"/>
      <c r="AG962" s="76"/>
      <c r="AH962" s="97">
        <v>1</v>
      </c>
      <c r="AI962" s="97">
        <v>1</v>
      </c>
      <c r="AJ962" s="73"/>
      <c r="AK962" s="57"/>
      <c r="AL962" s="45"/>
      <c r="AM962" s="45"/>
      <c r="AN962" s="45"/>
    </row>
    <row r="963" spans="1:40" hidden="1" outlineLevel="2" x14ac:dyDescent="0.35">
      <c r="A963" s="45"/>
      <c r="B963" s="54"/>
      <c r="C963" s="47">
        <f t="shared" si="235"/>
        <v>3</v>
      </c>
      <c r="D963" s="73"/>
      <c r="E963" s="70"/>
      <c r="F963" s="70" t="s">
        <v>3415</v>
      </c>
      <c r="G963" s="73"/>
      <c r="H963" s="76" t="s">
        <v>2514</v>
      </c>
      <c r="I963" s="96" t="s">
        <v>502</v>
      </c>
      <c r="J963" s="96"/>
      <c r="K963" s="76"/>
      <c r="L963" s="76"/>
      <c r="M963" s="76"/>
      <c r="N963" s="76"/>
      <c r="O963" s="76"/>
      <c r="P963" s="76"/>
      <c r="Q963" s="76"/>
      <c r="R963" s="76"/>
      <c r="S963" s="76"/>
      <c r="T963" s="76"/>
      <c r="U963" s="253">
        <f>U962</f>
        <v>0</v>
      </c>
      <c r="V963" s="76">
        <f t="shared" si="259"/>
        <v>0</v>
      </c>
      <c r="W963" s="76">
        <f>U963</f>
        <v>0</v>
      </c>
      <c r="X963" s="76">
        <f>V963</f>
        <v>0</v>
      </c>
      <c r="Y963" s="76">
        <f>V963</f>
        <v>0</v>
      </c>
      <c r="Z963" s="76">
        <f t="shared" si="263"/>
        <v>0</v>
      </c>
      <c r="AA963" s="253">
        <f>AA962</f>
        <v>0</v>
      </c>
      <c r="AB963" s="76">
        <f t="shared" si="264"/>
        <v>0</v>
      </c>
      <c r="AC963" s="76">
        <f t="shared" si="265"/>
        <v>0</v>
      </c>
      <c r="AD963" s="76">
        <f t="shared" si="266"/>
        <v>0</v>
      </c>
      <c r="AE963" s="76"/>
      <c r="AF963" s="264" t="s">
        <v>3377</v>
      </c>
      <c r="AG963" s="76"/>
      <c r="AH963" s="76">
        <v>1</v>
      </c>
      <c r="AI963" s="76">
        <v>1</v>
      </c>
      <c r="AJ963" s="73"/>
      <c r="AK963" s="57"/>
      <c r="AL963" s="45"/>
      <c r="AM963" s="45"/>
      <c r="AN963" s="45"/>
    </row>
    <row r="964" spans="1:40" hidden="1" outlineLevel="2" x14ac:dyDescent="0.35">
      <c r="A964" s="45"/>
      <c r="B964" s="54"/>
      <c r="C964" s="47">
        <f t="shared" si="235"/>
        <v>3</v>
      </c>
      <c r="D964" s="73"/>
      <c r="E964" s="70"/>
      <c r="F964" s="70" t="s">
        <v>3416</v>
      </c>
      <c r="G964" s="73"/>
      <c r="H964" s="76" t="s">
        <v>3764</v>
      </c>
      <c r="I964" s="96" t="s">
        <v>502</v>
      </c>
      <c r="J964" s="96"/>
      <c r="K964" s="76"/>
      <c r="L964" s="76"/>
      <c r="M964" s="76"/>
      <c r="N964" s="76"/>
      <c r="O964" s="76"/>
      <c r="P964" s="76"/>
      <c r="Q964" s="76"/>
      <c r="R964" s="76"/>
      <c r="S964" s="76"/>
      <c r="T964" s="76"/>
      <c r="U964" s="97">
        <v>0</v>
      </c>
      <c r="V964" s="255">
        <f t="shared" si="246"/>
        <v>0</v>
      </c>
      <c r="W964" s="255">
        <f t="shared" ref="W964:W965" si="268">U964</f>
        <v>0</v>
      </c>
      <c r="X964" s="255">
        <f t="shared" ref="X964:X965" si="269">V964</f>
        <v>0</v>
      </c>
      <c r="Y964" s="255">
        <f t="shared" ref="Y964:Y965" si="270">V964</f>
        <v>0</v>
      </c>
      <c r="Z964" s="255">
        <f t="shared" si="250"/>
        <v>0</v>
      </c>
      <c r="AA964" s="97">
        <f>U964</f>
        <v>0</v>
      </c>
      <c r="AB964" s="255">
        <f t="shared" si="251"/>
        <v>0</v>
      </c>
      <c r="AC964" s="255">
        <f t="shared" si="252"/>
        <v>0</v>
      </c>
      <c r="AD964" s="255">
        <f t="shared" si="253"/>
        <v>0</v>
      </c>
      <c r="AE964" s="76"/>
      <c r="AF964" s="97" t="s">
        <v>3378</v>
      </c>
      <c r="AG964" s="76"/>
      <c r="AH964" s="76">
        <v>1</v>
      </c>
      <c r="AI964" s="76">
        <v>1</v>
      </c>
      <c r="AJ964" s="73"/>
      <c r="AK964" s="57"/>
      <c r="AL964" s="45"/>
      <c r="AM964" s="45"/>
      <c r="AN964" s="45"/>
    </row>
    <row r="965" spans="1:40" hidden="1" outlineLevel="2" x14ac:dyDescent="0.35">
      <c r="A965" s="45"/>
      <c r="B965" s="54"/>
      <c r="C965" s="47">
        <f t="shared" si="235"/>
        <v>3</v>
      </c>
      <c r="D965" s="73"/>
      <c r="E965" s="70"/>
      <c r="F965" s="70" t="s">
        <v>3417</v>
      </c>
      <c r="G965" s="73"/>
      <c r="H965" s="76" t="s">
        <v>2512</v>
      </c>
      <c r="I965" s="96" t="s">
        <v>502</v>
      </c>
      <c r="J965" s="96"/>
      <c r="K965" s="76"/>
      <c r="L965" s="76"/>
      <c r="M965" s="76"/>
      <c r="N965" s="76"/>
      <c r="O965" s="76"/>
      <c r="P965" s="76"/>
      <c r="Q965" s="76"/>
      <c r="R965" s="76"/>
      <c r="S965" s="76"/>
      <c r="T965" s="76"/>
      <c r="U965" s="97">
        <v>0</v>
      </c>
      <c r="V965" s="255">
        <f t="shared" si="246"/>
        <v>0</v>
      </c>
      <c r="W965" s="255">
        <f t="shared" si="268"/>
        <v>0</v>
      </c>
      <c r="X965" s="255">
        <f t="shared" si="269"/>
        <v>0</v>
      </c>
      <c r="Y965" s="255">
        <f t="shared" si="270"/>
        <v>0</v>
      </c>
      <c r="Z965" s="255">
        <f t="shared" si="250"/>
        <v>0</v>
      </c>
      <c r="AA965" s="97">
        <f t="shared" ref="AA965:AA966" si="271">U965</f>
        <v>0</v>
      </c>
      <c r="AB965" s="255">
        <f t="shared" si="251"/>
        <v>0</v>
      </c>
      <c r="AC965" s="255">
        <f t="shared" si="252"/>
        <v>0</v>
      </c>
      <c r="AD965" s="255">
        <f t="shared" si="253"/>
        <v>0</v>
      </c>
      <c r="AE965" s="76"/>
      <c r="AF965" s="97" t="s">
        <v>3395</v>
      </c>
      <c r="AG965" s="76"/>
      <c r="AH965" s="97">
        <v>1</v>
      </c>
      <c r="AI965" s="97">
        <v>1</v>
      </c>
      <c r="AJ965" s="73"/>
      <c r="AK965" s="57"/>
      <c r="AL965" s="45"/>
      <c r="AM965" s="45"/>
      <c r="AN965" s="45"/>
    </row>
    <row r="966" spans="1:40" hidden="1" outlineLevel="2" x14ac:dyDescent="0.35">
      <c r="A966" s="45"/>
      <c r="B966" s="54"/>
      <c r="C966" s="47">
        <f t="shared" si="235"/>
        <v>3</v>
      </c>
      <c r="D966" s="73"/>
      <c r="E966" s="70"/>
      <c r="F966" s="70" t="s">
        <v>3418</v>
      </c>
      <c r="G966" s="73"/>
      <c r="H966" s="76" t="s">
        <v>2513</v>
      </c>
      <c r="I966" s="96" t="s">
        <v>502</v>
      </c>
      <c r="J966" s="96"/>
      <c r="K966" s="76"/>
      <c r="L966" s="76"/>
      <c r="M966" s="76"/>
      <c r="N966" s="76"/>
      <c r="O966" s="76"/>
      <c r="P966" s="76"/>
      <c r="Q966" s="76"/>
      <c r="R966" s="76"/>
      <c r="S966" s="76"/>
      <c r="T966" s="76"/>
      <c r="U966" s="97">
        <v>9.2600000000000002E-2</v>
      </c>
      <c r="V966" s="255">
        <f t="shared" si="246"/>
        <v>9.2600000000000002E-2</v>
      </c>
      <c r="W966" s="255">
        <f>U966</f>
        <v>9.2600000000000002E-2</v>
      </c>
      <c r="X966" s="255">
        <f>V966</f>
        <v>9.2600000000000002E-2</v>
      </c>
      <c r="Y966" s="255">
        <f>V966</f>
        <v>9.2600000000000002E-2</v>
      </c>
      <c r="Z966" s="255">
        <f t="shared" si="250"/>
        <v>9.2600000000000002E-2</v>
      </c>
      <c r="AA966" s="97">
        <f t="shared" si="271"/>
        <v>9.2600000000000002E-2</v>
      </c>
      <c r="AB966" s="255">
        <f t="shared" si="251"/>
        <v>9.2600000000000002E-2</v>
      </c>
      <c r="AC966" s="255">
        <f t="shared" si="252"/>
        <v>9.2600000000000002E-2</v>
      </c>
      <c r="AD966" s="255">
        <f t="shared" si="253"/>
        <v>9.2600000000000002E-2</v>
      </c>
      <c r="AE966" s="76"/>
      <c r="AF966" s="97"/>
      <c r="AG966" s="76"/>
      <c r="AH966" s="97">
        <v>1</v>
      </c>
      <c r="AI966" s="97">
        <v>1</v>
      </c>
      <c r="AJ966" s="73"/>
      <c r="AK966" s="57"/>
      <c r="AL966" s="45"/>
      <c r="AM966" s="45"/>
      <c r="AN966" s="45"/>
    </row>
    <row r="967" spans="1:40" hidden="1" outlineLevel="2" x14ac:dyDescent="0.35">
      <c r="A967" s="45"/>
      <c r="B967" s="54"/>
      <c r="C967" s="47">
        <f t="shared" si="235"/>
        <v>3</v>
      </c>
      <c r="D967" s="73"/>
      <c r="E967" s="70"/>
      <c r="F967" s="70" t="s">
        <v>3419</v>
      </c>
      <c r="G967" s="73"/>
      <c r="H967" s="76" t="s">
        <v>2514</v>
      </c>
      <c r="I967" s="96" t="s">
        <v>502</v>
      </c>
      <c r="J967" s="96"/>
      <c r="K967" s="76"/>
      <c r="L967" s="76"/>
      <c r="M967" s="76"/>
      <c r="N967" s="76"/>
      <c r="O967" s="76"/>
      <c r="P967" s="76"/>
      <c r="Q967" s="76"/>
      <c r="R967" s="76"/>
      <c r="S967" s="76"/>
      <c r="T967" s="76"/>
      <c r="U967" s="253">
        <f>U966</f>
        <v>9.2600000000000002E-2</v>
      </c>
      <c r="V967" s="76">
        <f t="shared" si="246"/>
        <v>9.2600000000000002E-2</v>
      </c>
      <c r="W967" s="76">
        <f>U967</f>
        <v>9.2600000000000002E-2</v>
      </c>
      <c r="X967" s="76">
        <f>V967</f>
        <v>9.2600000000000002E-2</v>
      </c>
      <c r="Y967" s="76">
        <f>V967</f>
        <v>9.2600000000000002E-2</v>
      </c>
      <c r="Z967" s="76">
        <f t="shared" si="250"/>
        <v>9.2600000000000002E-2</v>
      </c>
      <c r="AA967" s="253">
        <f>AA966</f>
        <v>9.2600000000000002E-2</v>
      </c>
      <c r="AB967" s="76">
        <f t="shared" si="251"/>
        <v>9.2600000000000002E-2</v>
      </c>
      <c r="AC967" s="76">
        <f t="shared" si="252"/>
        <v>9.2600000000000002E-2</v>
      </c>
      <c r="AD967" s="76">
        <f t="shared" si="253"/>
        <v>9.2600000000000002E-2</v>
      </c>
      <c r="AE967" s="76"/>
      <c r="AF967" s="264" t="s">
        <v>3377</v>
      </c>
      <c r="AG967" s="76"/>
      <c r="AH967" s="76">
        <v>1</v>
      </c>
      <c r="AI967" s="76">
        <v>1</v>
      </c>
      <c r="AJ967" s="73"/>
      <c r="AK967" s="57"/>
      <c r="AL967" s="45"/>
      <c r="AM967" s="45"/>
      <c r="AN967" s="45"/>
    </row>
    <row r="968" spans="1:40" hidden="1" outlineLevel="2" x14ac:dyDescent="0.35">
      <c r="A968" s="45"/>
      <c r="B968" s="54"/>
      <c r="C968" s="47">
        <f t="shared" si="235"/>
        <v>3</v>
      </c>
      <c r="D968" s="73"/>
      <c r="E968" s="70"/>
      <c r="F968" s="70" t="s">
        <v>3420</v>
      </c>
      <c r="G968" s="73"/>
      <c r="H968" s="76" t="s">
        <v>3765</v>
      </c>
      <c r="I968" s="96" t="s">
        <v>502</v>
      </c>
      <c r="J968" s="96"/>
      <c r="K968" s="76"/>
      <c r="L968" s="76"/>
      <c r="M968" s="76"/>
      <c r="N968" s="76"/>
      <c r="O968" s="76"/>
      <c r="P968" s="76"/>
      <c r="Q968" s="76"/>
      <c r="R968" s="76"/>
      <c r="S968" s="76"/>
      <c r="T968" s="76"/>
      <c r="U968" s="97">
        <v>0</v>
      </c>
      <c r="V968" s="255">
        <f t="shared" ref="V968:V975" si="272">U968</f>
        <v>0</v>
      </c>
      <c r="W968" s="255">
        <f t="shared" ref="W968:W969" si="273">U968</f>
        <v>0</v>
      </c>
      <c r="X968" s="255">
        <f t="shared" ref="X968:X969" si="274">V968</f>
        <v>0</v>
      </c>
      <c r="Y968" s="255">
        <f t="shared" ref="Y968:Y969" si="275">V968</f>
        <v>0</v>
      </c>
      <c r="Z968" s="255">
        <f t="shared" ref="Z968:Z975" si="276">AA968</f>
        <v>0</v>
      </c>
      <c r="AA968" s="97">
        <f>U968</f>
        <v>0</v>
      </c>
      <c r="AB968" s="255">
        <f t="shared" ref="AB968:AB975" si="277">AA968</f>
        <v>0</v>
      </c>
      <c r="AC968" s="255">
        <f t="shared" ref="AC968:AC975" si="278">AB968</f>
        <v>0</v>
      </c>
      <c r="AD968" s="255">
        <f t="shared" ref="AD968:AD975" si="279">AC968</f>
        <v>0</v>
      </c>
      <c r="AE968" s="76"/>
      <c r="AF968" s="97" t="s">
        <v>3378</v>
      </c>
      <c r="AG968" s="76"/>
      <c r="AH968" s="76">
        <v>1</v>
      </c>
      <c r="AI968" s="76">
        <v>1</v>
      </c>
      <c r="AJ968" s="73"/>
      <c r="AK968" s="57"/>
      <c r="AL968" s="45"/>
      <c r="AM968" s="45"/>
      <c r="AN968" s="45"/>
    </row>
    <row r="969" spans="1:40" hidden="1" outlineLevel="2" x14ac:dyDescent="0.35">
      <c r="A969" s="45"/>
      <c r="B969" s="54"/>
      <c r="C969" s="47">
        <f t="shared" si="235"/>
        <v>3</v>
      </c>
      <c r="D969" s="73"/>
      <c r="E969" s="70"/>
      <c r="F969" s="70" t="s">
        <v>3421</v>
      </c>
      <c r="G969" s="73"/>
      <c r="H969" s="76" t="s">
        <v>2512</v>
      </c>
      <c r="I969" s="96" t="s">
        <v>502</v>
      </c>
      <c r="J969" s="96"/>
      <c r="K969" s="76"/>
      <c r="L969" s="76"/>
      <c r="M969" s="76"/>
      <c r="N969" s="76"/>
      <c r="O969" s="76"/>
      <c r="P969" s="76"/>
      <c r="Q969" s="76"/>
      <c r="R969" s="76"/>
      <c r="S969" s="76"/>
      <c r="T969" s="76"/>
      <c r="U969" s="97">
        <v>0</v>
      </c>
      <c r="V969" s="255">
        <f t="shared" si="272"/>
        <v>0</v>
      </c>
      <c r="W969" s="255">
        <f t="shared" si="273"/>
        <v>0</v>
      </c>
      <c r="X969" s="255">
        <f t="shared" si="274"/>
        <v>0</v>
      </c>
      <c r="Y969" s="255">
        <f t="shared" si="275"/>
        <v>0</v>
      </c>
      <c r="Z969" s="255">
        <f t="shared" si="276"/>
        <v>0</v>
      </c>
      <c r="AA969" s="97">
        <f t="shared" ref="AA969:AA970" si="280">U969</f>
        <v>0</v>
      </c>
      <c r="AB969" s="255">
        <f t="shared" si="277"/>
        <v>0</v>
      </c>
      <c r="AC969" s="255">
        <f t="shared" si="278"/>
        <v>0</v>
      </c>
      <c r="AD969" s="255">
        <f t="shared" si="279"/>
        <v>0</v>
      </c>
      <c r="AE969" s="76"/>
      <c r="AF969" s="97" t="s">
        <v>3395</v>
      </c>
      <c r="AG969" s="76"/>
      <c r="AH969" s="97">
        <v>1</v>
      </c>
      <c r="AI969" s="97">
        <v>1</v>
      </c>
      <c r="AJ969" s="73"/>
      <c r="AK969" s="57"/>
      <c r="AL969" s="45"/>
      <c r="AM969" s="45"/>
      <c r="AN969" s="45"/>
    </row>
    <row r="970" spans="1:40" hidden="1" outlineLevel="2" x14ac:dyDescent="0.35">
      <c r="A970" s="45"/>
      <c r="B970" s="54"/>
      <c r="C970" s="47">
        <f t="shared" si="235"/>
        <v>3</v>
      </c>
      <c r="D970" s="73"/>
      <c r="E970" s="70"/>
      <c r="F970" s="70" t="s">
        <v>3422</v>
      </c>
      <c r="G970" s="73"/>
      <c r="H970" s="76" t="s">
        <v>2513</v>
      </c>
      <c r="I970" s="96" t="s">
        <v>502</v>
      </c>
      <c r="J970" s="96"/>
      <c r="K970" s="76"/>
      <c r="L970" s="76"/>
      <c r="M970" s="76"/>
      <c r="N970" s="76"/>
      <c r="O970" s="76"/>
      <c r="P970" s="76"/>
      <c r="Q970" s="76"/>
      <c r="R970" s="76"/>
      <c r="S970" s="76"/>
      <c r="T970" s="76"/>
      <c r="U970" s="97">
        <v>-2.2100000000000001E-4</v>
      </c>
      <c r="V970" s="255">
        <f t="shared" si="272"/>
        <v>-2.2100000000000001E-4</v>
      </c>
      <c r="W970" s="255">
        <f>U970</f>
        <v>-2.2100000000000001E-4</v>
      </c>
      <c r="X970" s="255">
        <f>V970</f>
        <v>-2.2100000000000001E-4</v>
      </c>
      <c r="Y970" s="255">
        <f>V970</f>
        <v>-2.2100000000000001E-4</v>
      </c>
      <c r="Z970" s="255">
        <f t="shared" si="276"/>
        <v>-2.2100000000000001E-4</v>
      </c>
      <c r="AA970" s="97">
        <f t="shared" si="280"/>
        <v>-2.2100000000000001E-4</v>
      </c>
      <c r="AB970" s="255">
        <f t="shared" si="277"/>
        <v>-2.2100000000000001E-4</v>
      </c>
      <c r="AC970" s="255">
        <f t="shared" si="278"/>
        <v>-2.2100000000000001E-4</v>
      </c>
      <c r="AD970" s="255">
        <f t="shared" si="279"/>
        <v>-2.2100000000000001E-4</v>
      </c>
      <c r="AE970" s="76"/>
      <c r="AF970" s="97"/>
      <c r="AG970" s="76"/>
      <c r="AH970" s="97">
        <v>1</v>
      </c>
      <c r="AI970" s="97">
        <v>1</v>
      </c>
      <c r="AJ970" s="73"/>
      <c r="AK970" s="57"/>
      <c r="AL970" s="45"/>
      <c r="AM970" s="45"/>
      <c r="AN970" s="45"/>
    </row>
    <row r="971" spans="1:40" hidden="1" outlineLevel="2" x14ac:dyDescent="0.35">
      <c r="A971" s="45"/>
      <c r="B971" s="54"/>
      <c r="C971" s="47">
        <f t="shared" si="235"/>
        <v>3</v>
      </c>
      <c r="D971" s="73"/>
      <c r="E971" s="70"/>
      <c r="F971" s="70" t="s">
        <v>3423</v>
      </c>
      <c r="G971" s="73"/>
      <c r="H971" s="76" t="s">
        <v>2514</v>
      </c>
      <c r="I971" s="96" t="s">
        <v>502</v>
      </c>
      <c r="J971" s="96"/>
      <c r="K971" s="76"/>
      <c r="L971" s="76"/>
      <c r="M971" s="76"/>
      <c r="N971" s="76"/>
      <c r="O971" s="76"/>
      <c r="P971" s="76"/>
      <c r="Q971" s="76"/>
      <c r="R971" s="76"/>
      <c r="S971" s="76"/>
      <c r="T971" s="76"/>
      <c r="U971" s="253">
        <f>U970</f>
        <v>-2.2100000000000001E-4</v>
      </c>
      <c r="V971" s="76">
        <f t="shared" si="272"/>
        <v>-2.2100000000000001E-4</v>
      </c>
      <c r="W971" s="76">
        <f>U971</f>
        <v>-2.2100000000000001E-4</v>
      </c>
      <c r="X971" s="76">
        <f>V971</f>
        <v>-2.2100000000000001E-4</v>
      </c>
      <c r="Y971" s="76">
        <f>V971</f>
        <v>-2.2100000000000001E-4</v>
      </c>
      <c r="Z971" s="76">
        <f t="shared" si="276"/>
        <v>-2.2100000000000001E-4</v>
      </c>
      <c r="AA971" s="253">
        <f>AA970</f>
        <v>-2.2100000000000001E-4</v>
      </c>
      <c r="AB971" s="76">
        <f t="shared" si="277"/>
        <v>-2.2100000000000001E-4</v>
      </c>
      <c r="AC971" s="76">
        <f t="shared" si="278"/>
        <v>-2.2100000000000001E-4</v>
      </c>
      <c r="AD971" s="76">
        <f t="shared" si="279"/>
        <v>-2.2100000000000001E-4</v>
      </c>
      <c r="AE971" s="76"/>
      <c r="AF971" s="264" t="s">
        <v>3377</v>
      </c>
      <c r="AG971" s="76"/>
      <c r="AH971" s="76">
        <v>1</v>
      </c>
      <c r="AI971" s="76">
        <v>1</v>
      </c>
      <c r="AJ971" s="73"/>
      <c r="AK971" s="57"/>
      <c r="AL971" s="45"/>
      <c r="AM971" s="45"/>
      <c r="AN971" s="45"/>
    </row>
    <row r="972" spans="1:40" hidden="1" outlineLevel="2" x14ac:dyDescent="0.35">
      <c r="A972" s="45"/>
      <c r="B972" s="54"/>
      <c r="C972" s="47">
        <f t="shared" si="235"/>
        <v>3</v>
      </c>
      <c r="D972" s="73"/>
      <c r="E972" s="70"/>
      <c r="F972" s="70" t="s">
        <v>3744</v>
      </c>
      <c r="G972" s="73"/>
      <c r="H972" s="76" t="s">
        <v>3766</v>
      </c>
      <c r="I972" s="96" t="s">
        <v>502</v>
      </c>
      <c r="J972" s="96"/>
      <c r="K972" s="76"/>
      <c r="L972" s="76"/>
      <c r="M972" s="76"/>
      <c r="N972" s="76"/>
      <c r="O972" s="76"/>
      <c r="P972" s="76"/>
      <c r="Q972" s="76"/>
      <c r="R972" s="76"/>
      <c r="S972" s="76"/>
      <c r="T972" s="76"/>
      <c r="U972" s="97">
        <v>0</v>
      </c>
      <c r="V972" s="255">
        <f t="shared" si="272"/>
        <v>0</v>
      </c>
      <c r="W972" s="255">
        <f t="shared" ref="W972:W973" si="281">U972</f>
        <v>0</v>
      </c>
      <c r="X972" s="255">
        <f t="shared" ref="X972:X973" si="282">V972</f>
        <v>0</v>
      </c>
      <c r="Y972" s="255">
        <f t="shared" ref="Y972:Y973" si="283">V972</f>
        <v>0</v>
      </c>
      <c r="Z972" s="255">
        <f t="shared" si="276"/>
        <v>0</v>
      </c>
      <c r="AA972" s="97">
        <f>U972</f>
        <v>0</v>
      </c>
      <c r="AB972" s="255">
        <f t="shared" si="277"/>
        <v>0</v>
      </c>
      <c r="AC972" s="255">
        <f t="shared" si="278"/>
        <v>0</v>
      </c>
      <c r="AD972" s="255">
        <f t="shared" si="279"/>
        <v>0</v>
      </c>
      <c r="AE972" s="76"/>
      <c r="AF972" s="97" t="s">
        <v>3378</v>
      </c>
      <c r="AG972" s="76"/>
      <c r="AH972" s="76">
        <v>1</v>
      </c>
      <c r="AI972" s="76">
        <v>1</v>
      </c>
      <c r="AJ972" s="73"/>
      <c r="AK972" s="57"/>
      <c r="AL972" s="45"/>
      <c r="AM972" s="45"/>
      <c r="AN972" s="45"/>
    </row>
    <row r="973" spans="1:40" hidden="1" outlineLevel="2" x14ac:dyDescent="0.35">
      <c r="A973" s="45"/>
      <c r="B973" s="54"/>
      <c r="C973" s="47">
        <f t="shared" si="235"/>
        <v>3</v>
      </c>
      <c r="D973" s="73"/>
      <c r="E973" s="70"/>
      <c r="F973" s="70" t="s">
        <v>3745</v>
      </c>
      <c r="G973" s="73"/>
      <c r="H973" s="76" t="s">
        <v>2512</v>
      </c>
      <c r="I973" s="96" t="s">
        <v>502</v>
      </c>
      <c r="J973" s="96"/>
      <c r="K973" s="76"/>
      <c r="L973" s="76"/>
      <c r="M973" s="76"/>
      <c r="N973" s="76"/>
      <c r="O973" s="76"/>
      <c r="P973" s="76"/>
      <c r="Q973" s="76"/>
      <c r="R973" s="76"/>
      <c r="S973" s="76"/>
      <c r="T973" s="76"/>
      <c r="U973" s="97">
        <v>0</v>
      </c>
      <c r="V973" s="255">
        <f t="shared" si="272"/>
        <v>0</v>
      </c>
      <c r="W973" s="255">
        <f t="shared" si="281"/>
        <v>0</v>
      </c>
      <c r="X973" s="255">
        <f t="shared" si="282"/>
        <v>0</v>
      </c>
      <c r="Y973" s="255">
        <f t="shared" si="283"/>
        <v>0</v>
      </c>
      <c r="Z973" s="255">
        <f t="shared" si="276"/>
        <v>0</v>
      </c>
      <c r="AA973" s="97">
        <f t="shared" ref="AA973:AA974" si="284">U973</f>
        <v>0</v>
      </c>
      <c r="AB973" s="255">
        <f t="shared" si="277"/>
        <v>0</v>
      </c>
      <c r="AC973" s="255">
        <f t="shared" si="278"/>
        <v>0</v>
      </c>
      <c r="AD973" s="255">
        <f t="shared" si="279"/>
        <v>0</v>
      </c>
      <c r="AE973" s="76"/>
      <c r="AF973" s="97" t="s">
        <v>3395</v>
      </c>
      <c r="AG973" s="76"/>
      <c r="AH973" s="97">
        <v>1</v>
      </c>
      <c r="AI973" s="97">
        <v>1</v>
      </c>
      <c r="AJ973" s="73"/>
      <c r="AK973" s="57"/>
      <c r="AL973" s="45"/>
      <c r="AM973" s="45"/>
      <c r="AN973" s="45"/>
    </row>
    <row r="974" spans="1:40" hidden="1" outlineLevel="2" x14ac:dyDescent="0.35">
      <c r="A974" s="45"/>
      <c r="B974" s="54"/>
      <c r="C974" s="47">
        <f t="shared" si="235"/>
        <v>3</v>
      </c>
      <c r="D974" s="73"/>
      <c r="E974" s="70"/>
      <c r="F974" s="70" t="s">
        <v>3746</v>
      </c>
      <c r="G974" s="73"/>
      <c r="H974" s="76" t="s">
        <v>2513</v>
      </c>
      <c r="I974" s="96" t="s">
        <v>502</v>
      </c>
      <c r="J974" s="96"/>
      <c r="K974" s="76"/>
      <c r="L974" s="76"/>
      <c r="M974" s="76"/>
      <c r="N974" s="76"/>
      <c r="O974" s="76"/>
      <c r="P974" s="76"/>
      <c r="Q974" s="76"/>
      <c r="R974" s="76"/>
      <c r="S974" s="76"/>
      <c r="T974" s="76"/>
      <c r="U974" s="97">
        <v>-6.34</v>
      </c>
      <c r="V974" s="255">
        <f t="shared" si="272"/>
        <v>-6.34</v>
      </c>
      <c r="W974" s="255">
        <f>U974</f>
        <v>-6.34</v>
      </c>
      <c r="X974" s="255">
        <f>V974</f>
        <v>-6.34</v>
      </c>
      <c r="Y974" s="255">
        <f>V974</f>
        <v>-6.34</v>
      </c>
      <c r="Z974" s="255">
        <f t="shared" si="276"/>
        <v>-6.34</v>
      </c>
      <c r="AA974" s="97">
        <f t="shared" si="284"/>
        <v>-6.34</v>
      </c>
      <c r="AB974" s="255">
        <f t="shared" si="277"/>
        <v>-6.34</v>
      </c>
      <c r="AC974" s="255">
        <f t="shared" si="278"/>
        <v>-6.34</v>
      </c>
      <c r="AD974" s="255">
        <f t="shared" si="279"/>
        <v>-6.34</v>
      </c>
      <c r="AE974" s="76"/>
      <c r="AF974" s="97"/>
      <c r="AG974" s="76"/>
      <c r="AH974" s="97">
        <v>1</v>
      </c>
      <c r="AI974" s="97">
        <v>1</v>
      </c>
      <c r="AJ974" s="73"/>
      <c r="AK974" s="57"/>
      <c r="AL974" s="45"/>
      <c r="AM974" s="45"/>
      <c r="AN974" s="45"/>
    </row>
    <row r="975" spans="1:40" hidden="1" outlineLevel="2" x14ac:dyDescent="0.35">
      <c r="A975" s="45"/>
      <c r="B975" s="54"/>
      <c r="C975" s="47">
        <f t="shared" si="235"/>
        <v>3</v>
      </c>
      <c r="D975" s="73"/>
      <c r="E975" s="70"/>
      <c r="F975" s="70" t="s">
        <v>3747</v>
      </c>
      <c r="G975" s="73"/>
      <c r="H975" s="76" t="s">
        <v>2514</v>
      </c>
      <c r="I975" s="96" t="s">
        <v>502</v>
      </c>
      <c r="J975" s="96"/>
      <c r="K975" s="76"/>
      <c r="L975" s="76"/>
      <c r="M975" s="76"/>
      <c r="N975" s="76"/>
      <c r="O975" s="76"/>
      <c r="P975" s="76"/>
      <c r="Q975" s="76"/>
      <c r="R975" s="76"/>
      <c r="S975" s="76"/>
      <c r="T975" s="76"/>
      <c r="U975" s="253">
        <f>U974</f>
        <v>-6.34</v>
      </c>
      <c r="V975" s="76">
        <f t="shared" si="272"/>
        <v>-6.34</v>
      </c>
      <c r="W975" s="76">
        <f>U975</f>
        <v>-6.34</v>
      </c>
      <c r="X975" s="76">
        <f>V975</f>
        <v>-6.34</v>
      </c>
      <c r="Y975" s="76">
        <f>V975</f>
        <v>-6.34</v>
      </c>
      <c r="Z975" s="76">
        <f t="shared" si="276"/>
        <v>-6.34</v>
      </c>
      <c r="AA975" s="253">
        <f>AA974</f>
        <v>-6.34</v>
      </c>
      <c r="AB975" s="76">
        <f t="shared" si="277"/>
        <v>-6.34</v>
      </c>
      <c r="AC975" s="76">
        <f t="shared" si="278"/>
        <v>-6.34</v>
      </c>
      <c r="AD975" s="76">
        <f t="shared" si="279"/>
        <v>-6.34</v>
      </c>
      <c r="AE975" s="76"/>
      <c r="AF975" s="264" t="s">
        <v>3377</v>
      </c>
      <c r="AG975" s="76"/>
      <c r="AH975" s="76">
        <v>1</v>
      </c>
      <c r="AI975" s="76">
        <v>1</v>
      </c>
      <c r="AJ975" s="73"/>
      <c r="AK975" s="57"/>
      <c r="AL975" s="45"/>
      <c r="AM975" s="45"/>
      <c r="AN975" s="45"/>
    </row>
    <row r="976" spans="1:40" hidden="1" outlineLevel="2" x14ac:dyDescent="0.35">
      <c r="A976" s="45"/>
      <c r="B976" s="54"/>
      <c r="C976" s="47">
        <f t="shared" si="235"/>
        <v>3</v>
      </c>
      <c r="D976" s="73"/>
      <c r="E976" s="70"/>
      <c r="F976" s="70" t="s">
        <v>3767</v>
      </c>
      <c r="G976" s="73"/>
      <c r="H976" s="76" t="s">
        <v>3777</v>
      </c>
      <c r="I976" s="96" t="s">
        <v>502</v>
      </c>
      <c r="J976" s="96"/>
      <c r="K976" s="76"/>
      <c r="L976" s="76"/>
      <c r="M976" s="76"/>
      <c r="N976" s="76"/>
      <c r="O976" s="76"/>
      <c r="P976" s="76"/>
      <c r="Q976" s="76"/>
      <c r="R976" s="76"/>
      <c r="S976" s="76"/>
      <c r="T976" s="76"/>
      <c r="U976" s="97">
        <v>0</v>
      </c>
      <c r="V976" s="255">
        <f t="shared" ref="V976:V979" si="285">U976</f>
        <v>0</v>
      </c>
      <c r="W976" s="255">
        <f t="shared" ref="W976:W977" si="286">U976</f>
        <v>0</v>
      </c>
      <c r="X976" s="255">
        <f t="shared" ref="X976:X977" si="287">V976</f>
        <v>0</v>
      </c>
      <c r="Y976" s="255">
        <f t="shared" ref="Y976:Y977" si="288">V976</f>
        <v>0</v>
      </c>
      <c r="Z976" s="255">
        <f t="shared" ref="Z976:Z979" si="289">AA976</f>
        <v>0</v>
      </c>
      <c r="AA976" s="97">
        <f>U976</f>
        <v>0</v>
      </c>
      <c r="AB976" s="255">
        <f t="shared" ref="AB976:AB979" si="290">AA976</f>
        <v>0</v>
      </c>
      <c r="AC976" s="255">
        <f t="shared" ref="AC976:AC979" si="291">AB976</f>
        <v>0</v>
      </c>
      <c r="AD976" s="255">
        <f t="shared" ref="AD976:AD979" si="292">AC976</f>
        <v>0</v>
      </c>
      <c r="AE976" s="76"/>
      <c r="AF976" s="97" t="s">
        <v>3775</v>
      </c>
      <c r="AG976" s="76"/>
      <c r="AH976" s="76">
        <v>1</v>
      </c>
      <c r="AI976" s="76">
        <v>1</v>
      </c>
      <c r="AJ976" s="73"/>
      <c r="AK976" s="57"/>
      <c r="AL976" s="45"/>
      <c r="AM976" s="45"/>
      <c r="AN976" s="45"/>
    </row>
    <row r="977" spans="1:40" hidden="1" outlineLevel="2" x14ac:dyDescent="0.35">
      <c r="A977" s="45"/>
      <c r="B977" s="54"/>
      <c r="C977" s="47">
        <f t="shared" si="235"/>
        <v>3</v>
      </c>
      <c r="D977" s="73"/>
      <c r="E977" s="70"/>
      <c r="F977" s="70" t="s">
        <v>3768</v>
      </c>
      <c r="G977" s="73"/>
      <c r="H977" s="76" t="s">
        <v>2512</v>
      </c>
      <c r="I977" s="96" t="s">
        <v>502</v>
      </c>
      <c r="J977" s="96"/>
      <c r="K977" s="76"/>
      <c r="L977" s="76"/>
      <c r="M977" s="76"/>
      <c r="N977" s="76"/>
      <c r="O977" s="76"/>
      <c r="P977" s="76"/>
      <c r="Q977" s="76"/>
      <c r="R977" s="76"/>
      <c r="S977" s="76"/>
      <c r="T977" s="76"/>
      <c r="U977" s="97">
        <v>0</v>
      </c>
      <c r="V977" s="255">
        <f t="shared" si="285"/>
        <v>0</v>
      </c>
      <c r="W977" s="255">
        <f t="shared" si="286"/>
        <v>0</v>
      </c>
      <c r="X977" s="255">
        <f t="shared" si="287"/>
        <v>0</v>
      </c>
      <c r="Y977" s="255">
        <f t="shared" si="288"/>
        <v>0</v>
      </c>
      <c r="Z977" s="255">
        <f t="shared" si="289"/>
        <v>0</v>
      </c>
      <c r="AA977" s="97">
        <f t="shared" ref="AA977:AA978" si="293">U977</f>
        <v>0</v>
      </c>
      <c r="AB977" s="255">
        <f t="shared" si="290"/>
        <v>0</v>
      </c>
      <c r="AC977" s="255">
        <f t="shared" si="291"/>
        <v>0</v>
      </c>
      <c r="AD977" s="255">
        <f t="shared" si="292"/>
        <v>0</v>
      </c>
      <c r="AE977" s="76"/>
      <c r="AF977" s="97" t="s">
        <v>3776</v>
      </c>
      <c r="AG977" s="76"/>
      <c r="AH977" s="97">
        <v>1</v>
      </c>
      <c r="AI977" s="97">
        <v>1</v>
      </c>
      <c r="AJ977" s="73"/>
      <c r="AK977" s="57"/>
      <c r="AL977" s="45"/>
      <c r="AM977" s="45"/>
      <c r="AN977" s="45"/>
    </row>
    <row r="978" spans="1:40" hidden="1" outlineLevel="2" x14ac:dyDescent="0.35">
      <c r="A978" s="45"/>
      <c r="B978" s="54"/>
      <c r="C978" s="47">
        <f t="shared" si="235"/>
        <v>3</v>
      </c>
      <c r="D978" s="73"/>
      <c r="E978" s="70"/>
      <c r="F978" s="70" t="s">
        <v>3769</v>
      </c>
      <c r="G978" s="73"/>
      <c r="H978" s="76" t="s">
        <v>2513</v>
      </c>
      <c r="I978" s="96" t="s">
        <v>502</v>
      </c>
      <c r="J978" s="96"/>
      <c r="K978" s="76"/>
      <c r="L978" s="76"/>
      <c r="M978" s="76"/>
      <c r="N978" s="76"/>
      <c r="O978" s="76"/>
      <c r="P978" s="76"/>
      <c r="Q978" s="76"/>
      <c r="R978" s="76"/>
      <c r="S978" s="76"/>
      <c r="T978" s="76"/>
      <c r="U978" s="97">
        <v>4.3999999999999997E-2</v>
      </c>
      <c r="V978" s="255">
        <f t="shared" si="285"/>
        <v>4.3999999999999997E-2</v>
      </c>
      <c r="W978" s="255">
        <f>U978</f>
        <v>4.3999999999999997E-2</v>
      </c>
      <c r="X978" s="255">
        <f>V978</f>
        <v>4.3999999999999997E-2</v>
      </c>
      <c r="Y978" s="255">
        <f>V978</f>
        <v>4.3999999999999997E-2</v>
      </c>
      <c r="Z978" s="255">
        <f t="shared" si="289"/>
        <v>4.3999999999999997E-2</v>
      </c>
      <c r="AA978" s="97">
        <f t="shared" si="293"/>
        <v>4.3999999999999997E-2</v>
      </c>
      <c r="AB978" s="255">
        <f t="shared" si="290"/>
        <v>4.3999999999999997E-2</v>
      </c>
      <c r="AC978" s="255">
        <f t="shared" si="291"/>
        <v>4.3999999999999997E-2</v>
      </c>
      <c r="AD978" s="255">
        <f t="shared" si="292"/>
        <v>4.3999999999999997E-2</v>
      </c>
      <c r="AE978" s="76"/>
      <c r="AF978" s="97"/>
      <c r="AG978" s="76"/>
      <c r="AH978" s="97">
        <v>1</v>
      </c>
      <c r="AI978" s="97">
        <v>1</v>
      </c>
      <c r="AJ978" s="73"/>
      <c r="AK978" s="57"/>
      <c r="AL978" s="45"/>
      <c r="AM978" s="45"/>
      <c r="AN978" s="45"/>
    </row>
    <row r="979" spans="1:40" hidden="1" outlineLevel="2" x14ac:dyDescent="0.35">
      <c r="A979" s="45"/>
      <c r="B979" s="54"/>
      <c r="C979" s="47">
        <f t="shared" si="235"/>
        <v>3</v>
      </c>
      <c r="D979" s="73"/>
      <c r="E979" s="70"/>
      <c r="F979" s="70" t="s">
        <v>3770</v>
      </c>
      <c r="G979" s="73"/>
      <c r="H979" s="76" t="s">
        <v>2514</v>
      </c>
      <c r="I979" s="96" t="s">
        <v>502</v>
      </c>
      <c r="J979" s="96"/>
      <c r="K979" s="76"/>
      <c r="L979" s="76"/>
      <c r="M979" s="76"/>
      <c r="N979" s="76"/>
      <c r="O979" s="76"/>
      <c r="P979" s="76"/>
      <c r="Q979" s="76"/>
      <c r="R979" s="76"/>
      <c r="S979" s="76"/>
      <c r="T979" s="76"/>
      <c r="U979" s="253">
        <f>U978</f>
        <v>4.3999999999999997E-2</v>
      </c>
      <c r="V979" s="76">
        <f t="shared" si="285"/>
        <v>4.3999999999999997E-2</v>
      </c>
      <c r="W979" s="76">
        <f>U979</f>
        <v>4.3999999999999997E-2</v>
      </c>
      <c r="X979" s="76">
        <f>V979</f>
        <v>4.3999999999999997E-2</v>
      </c>
      <c r="Y979" s="76">
        <f>V979</f>
        <v>4.3999999999999997E-2</v>
      </c>
      <c r="Z979" s="76">
        <f t="shared" si="289"/>
        <v>4.3999999999999997E-2</v>
      </c>
      <c r="AA979" s="253">
        <f>AA978</f>
        <v>4.3999999999999997E-2</v>
      </c>
      <c r="AB979" s="76">
        <f t="shared" si="290"/>
        <v>4.3999999999999997E-2</v>
      </c>
      <c r="AC979" s="76">
        <f t="shared" si="291"/>
        <v>4.3999999999999997E-2</v>
      </c>
      <c r="AD979" s="76">
        <f t="shared" si="292"/>
        <v>4.3999999999999997E-2</v>
      </c>
      <c r="AE979" s="76"/>
      <c r="AF979" s="264" t="s">
        <v>3377</v>
      </c>
      <c r="AG979" s="76"/>
      <c r="AH979" s="76">
        <v>1</v>
      </c>
      <c r="AI979" s="76">
        <v>1</v>
      </c>
      <c r="AJ979" s="73"/>
      <c r="AK979" s="57"/>
      <c r="AL979" s="45"/>
      <c r="AM979" s="45"/>
      <c r="AN979" s="45"/>
    </row>
    <row r="980" spans="1:40" hidden="1" outlineLevel="2" x14ac:dyDescent="0.35">
      <c r="A980" s="45"/>
      <c r="B980" s="54"/>
      <c r="C980" s="47">
        <f t="shared" si="235"/>
        <v>3</v>
      </c>
      <c r="D980" s="73"/>
      <c r="E980" s="70"/>
      <c r="F980" s="70" t="s">
        <v>3771</v>
      </c>
      <c r="G980" s="73"/>
      <c r="H980" s="76" t="s">
        <v>3778</v>
      </c>
      <c r="I980" s="96" t="s">
        <v>502</v>
      </c>
      <c r="J980" s="96"/>
      <c r="K980" s="76"/>
      <c r="L980" s="76"/>
      <c r="M980" s="76"/>
      <c r="N980" s="76"/>
      <c r="O980" s="76"/>
      <c r="P980" s="76"/>
      <c r="Q980" s="76"/>
      <c r="R980" s="76"/>
      <c r="S980" s="76"/>
      <c r="T980" s="76"/>
      <c r="U980" s="97">
        <v>1</v>
      </c>
      <c r="V980" s="255">
        <f t="shared" ref="V980:V983" si="294">U980</f>
        <v>1</v>
      </c>
      <c r="W980" s="255">
        <f t="shared" ref="W980:W981" si="295">U980</f>
        <v>1</v>
      </c>
      <c r="X980" s="255">
        <f t="shared" ref="X980:X981" si="296">V980</f>
        <v>1</v>
      </c>
      <c r="Y980" s="255">
        <f t="shared" ref="Y980:Y981" si="297">V980</f>
        <v>1</v>
      </c>
      <c r="Z980" s="255">
        <f t="shared" ref="Z980:Z983" si="298">AA980</f>
        <v>1</v>
      </c>
      <c r="AA980" s="97">
        <f>U980</f>
        <v>1</v>
      </c>
      <c r="AB980" s="255">
        <f t="shared" ref="AB980:AB983" si="299">AA980</f>
        <v>1</v>
      </c>
      <c r="AC980" s="255">
        <f t="shared" ref="AC980:AC983" si="300">AB980</f>
        <v>1</v>
      </c>
      <c r="AD980" s="255">
        <f t="shared" ref="AD980:AD983" si="301">AC980</f>
        <v>1</v>
      </c>
      <c r="AE980" s="76"/>
      <c r="AF980" s="97" t="s">
        <v>3775</v>
      </c>
      <c r="AG980" s="76"/>
      <c r="AH980" s="76">
        <v>1</v>
      </c>
      <c r="AI980" s="76">
        <v>1</v>
      </c>
      <c r="AJ980" s="73"/>
      <c r="AK980" s="57"/>
      <c r="AL980" s="45"/>
      <c r="AM980" s="45"/>
      <c r="AN980" s="45"/>
    </row>
    <row r="981" spans="1:40" hidden="1" outlineLevel="2" x14ac:dyDescent="0.35">
      <c r="A981" s="45"/>
      <c r="B981" s="54"/>
      <c r="C981" s="47">
        <f t="shared" si="235"/>
        <v>3</v>
      </c>
      <c r="D981" s="73"/>
      <c r="E981" s="70"/>
      <c r="F981" s="70" t="s">
        <v>3772</v>
      </c>
      <c r="G981" s="73"/>
      <c r="H981" s="76" t="s">
        <v>2512</v>
      </c>
      <c r="I981" s="96" t="s">
        <v>502</v>
      </c>
      <c r="J981" s="96"/>
      <c r="K981" s="76"/>
      <c r="L981" s="76"/>
      <c r="M981" s="76"/>
      <c r="N981" s="76"/>
      <c r="O981" s="76"/>
      <c r="P981" s="76"/>
      <c r="Q981" s="76"/>
      <c r="R981" s="76"/>
      <c r="S981" s="76"/>
      <c r="T981" s="76"/>
      <c r="U981" s="97">
        <v>1</v>
      </c>
      <c r="V981" s="255">
        <f t="shared" si="294"/>
        <v>1</v>
      </c>
      <c r="W981" s="255">
        <f t="shared" si="295"/>
        <v>1</v>
      </c>
      <c r="X981" s="255">
        <f t="shared" si="296"/>
        <v>1</v>
      </c>
      <c r="Y981" s="255">
        <f t="shared" si="297"/>
        <v>1</v>
      </c>
      <c r="Z981" s="255">
        <f t="shared" si="298"/>
        <v>1</v>
      </c>
      <c r="AA981" s="97">
        <f t="shared" ref="AA981:AA982" si="302">U981</f>
        <v>1</v>
      </c>
      <c r="AB981" s="255">
        <f t="shared" si="299"/>
        <v>1</v>
      </c>
      <c r="AC981" s="255">
        <f t="shared" si="300"/>
        <v>1</v>
      </c>
      <c r="AD981" s="255">
        <f t="shared" si="301"/>
        <v>1</v>
      </c>
      <c r="AE981" s="76"/>
      <c r="AF981" s="97" t="s">
        <v>3776</v>
      </c>
      <c r="AG981" s="76"/>
      <c r="AH981" s="97">
        <v>1</v>
      </c>
      <c r="AI981" s="97">
        <v>1</v>
      </c>
      <c r="AJ981" s="73"/>
      <c r="AK981" s="57"/>
      <c r="AL981" s="45"/>
      <c r="AM981" s="45"/>
      <c r="AN981" s="45"/>
    </row>
    <row r="982" spans="1:40" hidden="1" outlineLevel="2" x14ac:dyDescent="0.35">
      <c r="A982" s="45"/>
      <c r="B982" s="54"/>
      <c r="C982" s="47">
        <f t="shared" si="235"/>
        <v>3</v>
      </c>
      <c r="D982" s="73"/>
      <c r="E982" s="70"/>
      <c r="F982" s="70" t="s">
        <v>3773</v>
      </c>
      <c r="G982" s="73"/>
      <c r="H982" s="76" t="s">
        <v>2513</v>
      </c>
      <c r="I982" s="96" t="s">
        <v>502</v>
      </c>
      <c r="J982" s="96"/>
      <c r="K982" s="76"/>
      <c r="L982" s="76"/>
      <c r="M982" s="76"/>
      <c r="N982" s="76"/>
      <c r="O982" s="76"/>
      <c r="P982" s="76"/>
      <c r="Q982" s="76"/>
      <c r="R982" s="76"/>
      <c r="S982" s="76"/>
      <c r="T982" s="76"/>
      <c r="U982" s="97">
        <v>0.75</v>
      </c>
      <c r="V982" s="255">
        <f t="shared" si="294"/>
        <v>0.75</v>
      </c>
      <c r="W982" s="255">
        <f>U982</f>
        <v>0.75</v>
      </c>
      <c r="X982" s="255">
        <f>V982</f>
        <v>0.75</v>
      </c>
      <c r="Y982" s="255">
        <f>V982</f>
        <v>0.75</v>
      </c>
      <c r="Z982" s="255">
        <f t="shared" si="298"/>
        <v>0.75</v>
      </c>
      <c r="AA982" s="97">
        <f t="shared" si="302"/>
        <v>0.75</v>
      </c>
      <c r="AB982" s="255">
        <f t="shared" si="299"/>
        <v>0.75</v>
      </c>
      <c r="AC982" s="255">
        <f t="shared" si="300"/>
        <v>0.75</v>
      </c>
      <c r="AD982" s="255">
        <f t="shared" si="301"/>
        <v>0.75</v>
      </c>
      <c r="AE982" s="76"/>
      <c r="AF982" s="97"/>
      <c r="AG982" s="76"/>
      <c r="AH982" s="97">
        <v>1</v>
      </c>
      <c r="AI982" s="97">
        <v>1</v>
      </c>
      <c r="AJ982" s="73"/>
      <c r="AK982" s="57"/>
      <c r="AL982" s="45"/>
      <c r="AM982" s="45"/>
      <c r="AN982" s="45"/>
    </row>
    <row r="983" spans="1:40" hidden="1" outlineLevel="2" x14ac:dyDescent="0.35">
      <c r="A983" s="45"/>
      <c r="B983" s="54"/>
      <c r="C983" s="47">
        <f t="shared" si="235"/>
        <v>3</v>
      </c>
      <c r="D983" s="73"/>
      <c r="E983" s="70"/>
      <c r="F983" s="70" t="s">
        <v>3774</v>
      </c>
      <c r="G983" s="73"/>
      <c r="H983" s="76" t="s">
        <v>2514</v>
      </c>
      <c r="I983" s="96" t="s">
        <v>502</v>
      </c>
      <c r="J983" s="96"/>
      <c r="K983" s="76"/>
      <c r="L983" s="76"/>
      <c r="M983" s="76"/>
      <c r="N983" s="76"/>
      <c r="O983" s="76"/>
      <c r="P983" s="76"/>
      <c r="Q983" s="76"/>
      <c r="R983" s="76"/>
      <c r="S983" s="76"/>
      <c r="T983" s="76"/>
      <c r="U983" s="253">
        <f>U982</f>
        <v>0.75</v>
      </c>
      <c r="V983" s="76">
        <f t="shared" si="294"/>
        <v>0.75</v>
      </c>
      <c r="W983" s="76">
        <f>U983</f>
        <v>0.75</v>
      </c>
      <c r="X983" s="76">
        <f>V983</f>
        <v>0.75</v>
      </c>
      <c r="Y983" s="76">
        <f>V983</f>
        <v>0.75</v>
      </c>
      <c r="Z983" s="76">
        <f t="shared" si="298"/>
        <v>0.75</v>
      </c>
      <c r="AA983" s="253">
        <f>AA982</f>
        <v>0.75</v>
      </c>
      <c r="AB983" s="76">
        <f t="shared" si="299"/>
        <v>0.75</v>
      </c>
      <c r="AC983" s="76">
        <f t="shared" si="300"/>
        <v>0.75</v>
      </c>
      <c r="AD983" s="76">
        <f t="shared" si="301"/>
        <v>0.75</v>
      </c>
      <c r="AE983" s="76"/>
      <c r="AF983" s="264" t="s">
        <v>3377</v>
      </c>
      <c r="AG983" s="76"/>
      <c r="AH983" s="76">
        <v>1</v>
      </c>
      <c r="AI983" s="76">
        <v>1</v>
      </c>
      <c r="AJ983" s="73"/>
      <c r="AK983" s="57"/>
      <c r="AL983" s="45"/>
      <c r="AM983" s="45"/>
      <c r="AN983" s="45"/>
    </row>
    <row r="984" spans="1:40" outlineLevel="1" collapsed="1" x14ac:dyDescent="0.35">
      <c r="A984" s="45"/>
      <c r="B984" s="54"/>
      <c r="C984" s="47">
        <f>INT($C$29)+1</f>
        <v>2</v>
      </c>
      <c r="D984" s="73"/>
      <c r="E984" s="70"/>
      <c r="F984" s="265" t="s">
        <v>1611</v>
      </c>
      <c r="G984" s="73"/>
      <c r="H984" s="246" t="s">
        <v>1612</v>
      </c>
      <c r="I984" s="129"/>
      <c r="J984" s="129" t="s">
        <v>1045</v>
      </c>
      <c r="K984" s="76"/>
      <c r="L984" s="76"/>
      <c r="M984" s="76"/>
      <c r="N984" s="76"/>
      <c r="O984" s="76"/>
      <c r="P984" s="76"/>
      <c r="Q984" s="76"/>
      <c r="R984" s="76"/>
      <c r="S984" s="76"/>
      <c r="T984" s="76"/>
      <c r="U984" s="79">
        <v>41</v>
      </c>
      <c r="V984" s="79">
        <v>4</v>
      </c>
      <c r="W984" s="79">
        <v>-12</v>
      </c>
      <c r="X984" s="76"/>
      <c r="Y984" s="76"/>
      <c r="Z984" s="76"/>
      <c r="AA984" s="76"/>
      <c r="AB984" s="76"/>
      <c r="AC984" s="76"/>
      <c r="AD984" s="76"/>
      <c r="AE984" s="76"/>
      <c r="AF984" s="76"/>
      <c r="AG984" s="76"/>
      <c r="AH984" s="76"/>
      <c r="AI984" s="76"/>
      <c r="AJ984" s="73"/>
      <c r="AK984" s="57"/>
      <c r="AL984" s="45"/>
      <c r="AM984" s="45"/>
      <c r="AN984" s="45"/>
    </row>
    <row r="985" spans="1:40" hidden="1" outlineLevel="2" x14ac:dyDescent="0.35">
      <c r="A985" s="45"/>
      <c r="B985" s="54"/>
      <c r="C985" s="47">
        <f>INT($C$29)+2</f>
        <v>3</v>
      </c>
      <c r="D985" s="73"/>
      <c r="E985" s="70" t="s">
        <v>790</v>
      </c>
      <c r="F985" s="70" t="s">
        <v>1613</v>
      </c>
      <c r="G985" s="73"/>
      <c r="H985" s="76" t="s">
        <v>1614</v>
      </c>
      <c r="I985" s="96" t="s">
        <v>665</v>
      </c>
      <c r="J985" s="96"/>
      <c r="K985" s="76"/>
      <c r="L985" s="76"/>
      <c r="M985" s="76"/>
      <c r="N985" s="76"/>
      <c r="O985" s="76"/>
      <c r="P985" s="76"/>
      <c r="Q985" s="76"/>
      <c r="R985" s="76" t="s">
        <v>672</v>
      </c>
      <c r="S985" s="76" t="s">
        <v>794</v>
      </c>
      <c r="T985" s="76"/>
      <c r="U985" s="76">
        <v>0</v>
      </c>
      <c r="V985" s="76">
        <v>0</v>
      </c>
      <c r="W985" s="76">
        <v>0</v>
      </c>
      <c r="X985" s="76">
        <v>0</v>
      </c>
      <c r="Y985" s="76">
        <v>0</v>
      </c>
      <c r="Z985" s="76">
        <v>0</v>
      </c>
      <c r="AA985" s="76">
        <v>0</v>
      </c>
      <c r="AB985" s="76">
        <v>0</v>
      </c>
      <c r="AC985" s="76">
        <v>0</v>
      </c>
      <c r="AD985" s="76">
        <v>0</v>
      </c>
      <c r="AE985" s="76"/>
      <c r="AF985" s="264" t="s">
        <v>1615</v>
      </c>
      <c r="AG985" s="76"/>
      <c r="AH985" s="76">
        <v>1</v>
      </c>
      <c r="AI985" s="76">
        <v>1</v>
      </c>
      <c r="AJ985" s="73"/>
      <c r="AK985" s="57"/>
      <c r="AL985" s="45"/>
      <c r="AM985" s="45"/>
      <c r="AN985" s="45"/>
    </row>
    <row r="986" spans="1:40" hidden="1" outlineLevel="2" x14ac:dyDescent="0.35">
      <c r="A986" s="45"/>
      <c r="B986" s="54"/>
      <c r="C986" s="47">
        <f>INT($C$29)+2</f>
        <v>3</v>
      </c>
      <c r="D986" s="73"/>
      <c r="E986" s="70"/>
      <c r="F986" s="70" t="s">
        <v>1616</v>
      </c>
      <c r="G986" s="73"/>
      <c r="H986" s="76" t="s">
        <v>1617</v>
      </c>
      <c r="I986" s="96" t="s">
        <v>665</v>
      </c>
      <c r="J986" s="96"/>
      <c r="K986" s="97">
        <v>0.38900000000000001</v>
      </c>
      <c r="L986" s="97">
        <v>0.48599999999999999</v>
      </c>
      <c r="M986" s="97">
        <v>0.375</v>
      </c>
      <c r="N986" s="97">
        <v>0.375</v>
      </c>
      <c r="O986" s="97">
        <v>0.375</v>
      </c>
      <c r="P986" s="97">
        <v>0.5</v>
      </c>
      <c r="Q986" s="76"/>
      <c r="R986" s="76" t="s">
        <v>672</v>
      </c>
      <c r="S986" s="76" t="s">
        <v>794</v>
      </c>
      <c r="T986" s="76"/>
      <c r="U986" s="253">
        <f t="shared" ref="U986:AD988" si="303">INDEX($K986:$Q986,1,U$43)</f>
        <v>0.38900000000000001</v>
      </c>
      <c r="V986" s="253">
        <f t="shared" si="303"/>
        <v>0.38900000000000001</v>
      </c>
      <c r="W986" s="253">
        <f t="shared" si="303"/>
        <v>0.38900000000000001</v>
      </c>
      <c r="X986" s="253">
        <f t="shared" si="303"/>
        <v>0.38900000000000001</v>
      </c>
      <c r="Y986" s="253">
        <f t="shared" si="303"/>
        <v>0.38900000000000001</v>
      </c>
      <c r="Z986" s="253">
        <f t="shared" si="303"/>
        <v>0.48599999999999999</v>
      </c>
      <c r="AA986" s="253">
        <f t="shared" si="303"/>
        <v>0.48599999999999999</v>
      </c>
      <c r="AB986" s="253">
        <f t="shared" si="303"/>
        <v>0.48599999999999999</v>
      </c>
      <c r="AC986" s="253">
        <f t="shared" si="303"/>
        <v>0.48599999999999999</v>
      </c>
      <c r="AD986" s="253">
        <f t="shared" si="303"/>
        <v>0.48599999999999999</v>
      </c>
      <c r="AE986" s="76"/>
      <c r="AF986" s="76"/>
      <c r="AG986" s="76"/>
      <c r="AH986" s="97">
        <v>1</v>
      </c>
      <c r="AI986" s="97">
        <v>1</v>
      </c>
      <c r="AJ986" s="73"/>
      <c r="AK986" s="57"/>
      <c r="AL986" s="45"/>
      <c r="AM986" s="45"/>
      <c r="AN986" s="45"/>
    </row>
    <row r="987" spans="1:40" hidden="1" outlineLevel="2" x14ac:dyDescent="0.35">
      <c r="A987" s="45"/>
      <c r="B987" s="54"/>
      <c r="C987" s="47">
        <f>INT($C$29)+2</f>
        <v>3</v>
      </c>
      <c r="D987" s="73"/>
      <c r="E987" s="70"/>
      <c r="F987" s="70" t="s">
        <v>1613</v>
      </c>
      <c r="G987" s="73"/>
      <c r="H987" s="76" t="s">
        <v>1618</v>
      </c>
      <c r="I987" s="96" t="s">
        <v>665</v>
      </c>
      <c r="J987" s="96"/>
      <c r="K987" s="97">
        <v>0.622</v>
      </c>
      <c r="L987" s="97">
        <v>0.77800000000000002</v>
      </c>
      <c r="M987" s="76"/>
      <c r="N987" s="76"/>
      <c r="O987" s="76"/>
      <c r="P987" s="76"/>
      <c r="Q987" s="76"/>
      <c r="R987" s="76" t="s">
        <v>672</v>
      </c>
      <c r="S987" s="76" t="s">
        <v>794</v>
      </c>
      <c r="T987" s="76"/>
      <c r="U987" s="253">
        <f t="shared" si="303"/>
        <v>0.622</v>
      </c>
      <c r="V987" s="253">
        <f t="shared" si="303"/>
        <v>0.622</v>
      </c>
      <c r="W987" s="253">
        <f t="shared" si="303"/>
        <v>0.622</v>
      </c>
      <c r="X987" s="253">
        <f t="shared" si="303"/>
        <v>0.622</v>
      </c>
      <c r="Y987" s="253">
        <f t="shared" si="303"/>
        <v>0.622</v>
      </c>
      <c r="Z987" s="253">
        <f t="shared" si="303"/>
        <v>0.77800000000000002</v>
      </c>
      <c r="AA987" s="253">
        <f t="shared" si="303"/>
        <v>0.77800000000000002</v>
      </c>
      <c r="AB987" s="253">
        <f t="shared" si="303"/>
        <v>0.77800000000000002</v>
      </c>
      <c r="AC987" s="253">
        <f t="shared" si="303"/>
        <v>0.77800000000000002</v>
      </c>
      <c r="AD987" s="253">
        <f t="shared" si="303"/>
        <v>0.77800000000000002</v>
      </c>
      <c r="AE987" s="76"/>
      <c r="AF987" s="76"/>
      <c r="AG987" s="76"/>
      <c r="AH987" s="97">
        <v>1</v>
      </c>
      <c r="AI987" s="97">
        <v>1</v>
      </c>
      <c r="AJ987" s="73"/>
      <c r="AK987" s="57"/>
      <c r="AL987" s="45"/>
      <c r="AM987" s="45"/>
      <c r="AN987" s="45"/>
    </row>
    <row r="988" spans="1:40" hidden="1" outlineLevel="2" collapsed="1" x14ac:dyDescent="0.35">
      <c r="A988" s="45"/>
      <c r="B988" s="54"/>
      <c r="C988" s="47">
        <f>INT($C$29)+2</f>
        <v>3</v>
      </c>
      <c r="D988" s="73"/>
      <c r="E988" s="70"/>
      <c r="F988" s="70" t="s">
        <v>1619</v>
      </c>
      <c r="G988" s="73"/>
      <c r="H988" s="76" t="s">
        <v>1620</v>
      </c>
      <c r="I988" s="96" t="s">
        <v>665</v>
      </c>
      <c r="J988" s="96"/>
      <c r="K988" s="97">
        <v>0.746</v>
      </c>
      <c r="L988" s="97">
        <v>0.93400000000000005</v>
      </c>
      <c r="M988" s="76"/>
      <c r="N988" s="76"/>
      <c r="O988" s="76"/>
      <c r="P988" s="76"/>
      <c r="Q988" s="76"/>
      <c r="R988" s="76" t="s">
        <v>672</v>
      </c>
      <c r="S988" s="76" t="s">
        <v>794</v>
      </c>
      <c r="T988" s="76"/>
      <c r="U988" s="253">
        <f t="shared" si="303"/>
        <v>0.746</v>
      </c>
      <c r="V988" s="253">
        <f t="shared" si="303"/>
        <v>0.746</v>
      </c>
      <c r="W988" s="253">
        <f t="shared" si="303"/>
        <v>0.746</v>
      </c>
      <c r="X988" s="253">
        <f t="shared" si="303"/>
        <v>0.746</v>
      </c>
      <c r="Y988" s="253">
        <f t="shared" si="303"/>
        <v>0.746</v>
      </c>
      <c r="Z988" s="253">
        <f t="shared" si="303"/>
        <v>0.93400000000000005</v>
      </c>
      <c r="AA988" s="253">
        <f t="shared" si="303"/>
        <v>0.93400000000000005</v>
      </c>
      <c r="AB988" s="253">
        <f t="shared" si="303"/>
        <v>0.93400000000000005</v>
      </c>
      <c r="AC988" s="253">
        <f t="shared" si="303"/>
        <v>0.93400000000000005</v>
      </c>
      <c r="AD988" s="253">
        <f t="shared" si="303"/>
        <v>0.93400000000000005</v>
      </c>
      <c r="AE988" s="76"/>
      <c r="AF988" s="76"/>
      <c r="AG988" s="76"/>
      <c r="AH988" s="97">
        <v>1</v>
      </c>
      <c r="AI988" s="97">
        <v>1</v>
      </c>
      <c r="AJ988" s="73"/>
      <c r="AK988" s="57"/>
      <c r="AL988" s="45"/>
      <c r="AM988" s="45"/>
      <c r="AN988" s="45"/>
    </row>
    <row r="989" spans="1:40" hidden="1" outlineLevel="3" x14ac:dyDescent="0.35">
      <c r="A989" s="45"/>
      <c r="B989" s="54"/>
      <c r="C989" s="47">
        <f t="shared" ref="C989:C1020" si="304">INT($C$29)+3</f>
        <v>4</v>
      </c>
      <c r="D989" s="73"/>
      <c r="E989" s="70"/>
      <c r="F989" s="70" t="s">
        <v>1621</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35">
      <c r="A990" s="45"/>
      <c r="B990" s="54"/>
      <c r="C990" s="47">
        <f t="shared" si="304"/>
        <v>4</v>
      </c>
      <c r="D990" s="73"/>
      <c r="E990" s="70"/>
      <c r="F990" s="70" t="s">
        <v>1622</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304"/>
        <v>4</v>
      </c>
      <c r="D991" s="73"/>
      <c r="E991" s="70"/>
      <c r="F991" s="70" t="s">
        <v>1623</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304"/>
        <v>4</v>
      </c>
      <c r="D992" s="73"/>
      <c r="E992" s="70"/>
      <c r="F992" s="70" t="s">
        <v>1624</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304"/>
        <v>4</v>
      </c>
      <c r="D993" s="73"/>
      <c r="E993" s="70"/>
      <c r="F993" s="70" t="s">
        <v>1625</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304"/>
        <v>4</v>
      </c>
      <c r="D994" s="73"/>
      <c r="E994" s="70"/>
      <c r="F994" s="70" t="s">
        <v>1626</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304"/>
        <v>4</v>
      </c>
      <c r="D995" s="73"/>
      <c r="E995" s="70"/>
      <c r="F995" s="70" t="s">
        <v>1627</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304"/>
        <v>4</v>
      </c>
      <c r="D996" s="73"/>
      <c r="E996" s="70"/>
      <c r="F996" s="70" t="s">
        <v>1628</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304"/>
        <v>4</v>
      </c>
      <c r="D997" s="73"/>
      <c r="E997" s="70"/>
      <c r="F997" s="70" t="s">
        <v>1629</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304"/>
        <v>4</v>
      </c>
      <c r="D998" s="73"/>
      <c r="E998" s="70"/>
      <c r="F998" s="70" t="s">
        <v>1630</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304"/>
        <v>4</v>
      </c>
      <c r="D999" s="73"/>
      <c r="E999" s="70"/>
      <c r="F999" s="70" t="s">
        <v>1631</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304"/>
        <v>4</v>
      </c>
      <c r="D1000" s="73"/>
      <c r="E1000" s="70"/>
      <c r="F1000" s="70" t="s">
        <v>1632</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304"/>
        <v>4</v>
      </c>
      <c r="D1001" s="73"/>
      <c r="E1001" s="70"/>
      <c r="F1001" s="70" t="s">
        <v>1633</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304"/>
        <v>4</v>
      </c>
      <c r="D1002" s="73"/>
      <c r="E1002" s="70"/>
      <c r="F1002" s="70" t="s">
        <v>1634</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304"/>
        <v>4</v>
      </c>
      <c r="D1003" s="73"/>
      <c r="E1003" s="70"/>
      <c r="F1003" s="70" t="s">
        <v>1635</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304"/>
        <v>4</v>
      </c>
      <c r="D1004" s="73"/>
      <c r="E1004" s="70"/>
      <c r="F1004" s="70" t="s">
        <v>1636</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304"/>
        <v>4</v>
      </c>
      <c r="D1005" s="73"/>
      <c r="E1005" s="70"/>
      <c r="F1005" s="70" t="s">
        <v>1637</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304"/>
        <v>4</v>
      </c>
      <c r="D1006" s="73"/>
      <c r="E1006" s="70"/>
      <c r="F1006" s="70" t="s">
        <v>1638</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304"/>
        <v>4</v>
      </c>
      <c r="D1007" s="73"/>
      <c r="E1007" s="70"/>
      <c r="F1007" s="70" t="s">
        <v>1639</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304"/>
        <v>4</v>
      </c>
      <c r="D1008" s="73"/>
      <c r="E1008" s="70"/>
      <c r="F1008" s="70" t="s">
        <v>1640</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si="304"/>
        <v>4</v>
      </c>
      <c r="D1009" s="73"/>
      <c r="E1009" s="70"/>
      <c r="F1009" s="70" t="s">
        <v>1641</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304"/>
        <v>4</v>
      </c>
      <c r="D1010" s="73"/>
      <c r="E1010" s="70"/>
      <c r="F1010" s="70" t="s">
        <v>1642</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304"/>
        <v>4</v>
      </c>
      <c r="D1011" s="73"/>
      <c r="E1011" s="70"/>
      <c r="F1011" s="70" t="s">
        <v>1643</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304"/>
        <v>4</v>
      </c>
      <c r="D1012" s="73"/>
      <c r="E1012" s="70"/>
      <c r="F1012" s="70" t="s">
        <v>1644</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304"/>
        <v>4</v>
      </c>
      <c r="D1013" s="73"/>
      <c r="E1013" s="70"/>
      <c r="F1013" s="70" t="s">
        <v>1645</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304"/>
        <v>4</v>
      </c>
      <c r="D1014" s="73"/>
      <c r="E1014" s="70"/>
      <c r="F1014" s="70" t="s">
        <v>1646</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304"/>
        <v>4</v>
      </c>
      <c r="D1015" s="73"/>
      <c r="E1015" s="70"/>
      <c r="F1015" s="70" t="s">
        <v>1647</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304"/>
        <v>4</v>
      </c>
      <c r="D1016" s="73"/>
      <c r="E1016" s="70"/>
      <c r="F1016" s="70" t="s">
        <v>1648</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304"/>
        <v>4</v>
      </c>
      <c r="D1017" s="73"/>
      <c r="E1017" s="70"/>
      <c r="F1017" s="70" t="s">
        <v>1649</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304"/>
        <v>4</v>
      </c>
      <c r="D1018" s="73"/>
      <c r="E1018" s="70"/>
      <c r="F1018" s="70" t="s">
        <v>1650</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304"/>
        <v>4</v>
      </c>
      <c r="D1019" s="73"/>
      <c r="E1019" s="70"/>
      <c r="F1019" s="70" t="s">
        <v>1651</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304"/>
        <v>4</v>
      </c>
      <c r="D1020" s="73"/>
      <c r="E1020" s="70"/>
      <c r="F1020" s="70" t="s">
        <v>1652</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ref="C1021:C1052" si="305">INT($C$29)+3</f>
        <v>4</v>
      </c>
      <c r="D1021" s="73"/>
      <c r="E1021" s="70"/>
      <c r="F1021" s="70" t="s">
        <v>1653</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si="305"/>
        <v>4</v>
      </c>
      <c r="D1022" s="73"/>
      <c r="E1022" s="70"/>
      <c r="F1022" s="70" t="s">
        <v>1654</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305"/>
        <v>4</v>
      </c>
      <c r="D1023" s="73"/>
      <c r="E1023" s="70"/>
      <c r="F1023" s="70" t="s">
        <v>1655</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305"/>
        <v>4</v>
      </c>
      <c r="D1024" s="73"/>
      <c r="E1024" s="70"/>
      <c r="F1024" s="70" t="s">
        <v>1656</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305"/>
        <v>4</v>
      </c>
      <c r="D1025" s="73"/>
      <c r="E1025" s="70"/>
      <c r="F1025" s="70" t="s">
        <v>1657</v>
      </c>
      <c r="G1025" s="73"/>
      <c r="H1025" s="76" t="s">
        <v>1473</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305"/>
        <v>4</v>
      </c>
      <c r="D1026" s="73"/>
      <c r="E1026" s="70"/>
      <c r="F1026" s="70" t="s">
        <v>1658</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305"/>
        <v>4</v>
      </c>
      <c r="D1027" s="73"/>
      <c r="E1027" s="70"/>
      <c r="F1027" s="70" t="s">
        <v>1659</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305"/>
        <v>4</v>
      </c>
      <c r="D1028" s="73"/>
      <c r="E1028" s="70"/>
      <c r="F1028" s="70" t="s">
        <v>1660</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305"/>
        <v>4</v>
      </c>
      <c r="D1029" s="73"/>
      <c r="E1029" s="70"/>
      <c r="F1029" s="70" t="s">
        <v>1661</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305"/>
        <v>4</v>
      </c>
      <c r="D1030" s="73"/>
      <c r="E1030" s="70"/>
      <c r="F1030" s="70" t="s">
        <v>1662</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305"/>
        <v>4</v>
      </c>
      <c r="D1031" s="73"/>
      <c r="E1031" s="70"/>
      <c r="F1031" s="70" t="s">
        <v>1663</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305"/>
        <v>4</v>
      </c>
      <c r="D1032" s="73"/>
      <c r="E1032" s="70"/>
      <c r="F1032" s="70" t="s">
        <v>1664</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305"/>
        <v>4</v>
      </c>
      <c r="D1033" s="73"/>
      <c r="E1033" s="70"/>
      <c r="F1033" s="70" t="s">
        <v>1665</v>
      </c>
      <c r="G1033" s="73"/>
      <c r="H1033" s="76" t="s">
        <v>1561</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305"/>
        <v>4</v>
      </c>
      <c r="D1034" s="73"/>
      <c r="E1034" s="70"/>
      <c r="F1034" s="70" t="s">
        <v>1666</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305"/>
        <v>4</v>
      </c>
      <c r="D1035" s="73"/>
      <c r="E1035" s="70"/>
      <c r="F1035" s="70" t="s">
        <v>1667</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305"/>
        <v>4</v>
      </c>
      <c r="D1036" s="73"/>
      <c r="E1036" s="70"/>
      <c r="F1036" s="70" t="s">
        <v>1668</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35">
      <c r="A1037" s="45"/>
      <c r="B1037" s="54"/>
      <c r="C1037" s="47">
        <f t="shared" si="305"/>
        <v>4</v>
      </c>
      <c r="D1037" s="73"/>
      <c r="E1037" s="70"/>
      <c r="F1037" s="70" t="s">
        <v>1669</v>
      </c>
      <c r="G1037" s="73"/>
      <c r="H1037" s="76" t="s">
        <v>1566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35">
      <c r="A1038" s="45"/>
      <c r="B1038" s="54"/>
      <c r="C1038" s="47">
        <f t="shared" si="305"/>
        <v>4</v>
      </c>
      <c r="D1038" s="73"/>
      <c r="E1038" s="70"/>
      <c r="F1038" s="70" t="s">
        <v>1670</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35">
      <c r="A1039" s="45"/>
      <c r="B1039" s="54"/>
      <c r="C1039" s="47">
        <f t="shared" si="305"/>
        <v>4</v>
      </c>
      <c r="D1039" s="73"/>
      <c r="E1039" s="70"/>
      <c r="F1039" s="70" t="s">
        <v>1671</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35">
      <c r="A1040" s="45"/>
      <c r="B1040" s="54"/>
      <c r="C1040" s="47">
        <f t="shared" si="305"/>
        <v>4</v>
      </c>
      <c r="D1040" s="73"/>
      <c r="E1040" s="70"/>
      <c r="F1040" s="70" t="s">
        <v>1672</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35">
      <c r="A1041" s="45"/>
      <c r="B1041" s="54"/>
      <c r="C1041" s="47">
        <f t="shared" si="305"/>
        <v>4</v>
      </c>
      <c r="D1041" s="73"/>
      <c r="E1041" s="70"/>
      <c r="F1041" s="70" t="s">
        <v>1673</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305"/>
        <v>4</v>
      </c>
      <c r="D1042" s="73"/>
      <c r="E1042" s="70"/>
      <c r="F1042" s="70" t="s">
        <v>1674</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305"/>
        <v>4</v>
      </c>
      <c r="D1043" s="73"/>
      <c r="E1043" s="70"/>
      <c r="F1043" s="70" t="s">
        <v>1675</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305"/>
        <v>4</v>
      </c>
      <c r="D1044" s="73"/>
      <c r="E1044" s="70"/>
      <c r="F1044" s="70" t="s">
        <v>1676</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305"/>
        <v>4</v>
      </c>
      <c r="D1045" s="73"/>
      <c r="E1045" s="70"/>
      <c r="F1045" s="70" t="s">
        <v>1677</v>
      </c>
      <c r="G1045" s="73"/>
      <c r="H1045" s="76" t="s">
        <v>1473</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305"/>
        <v>4</v>
      </c>
      <c r="D1046" s="73"/>
      <c r="E1046" s="70"/>
      <c r="F1046" s="70" t="s">
        <v>1678</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305"/>
        <v>4</v>
      </c>
      <c r="D1047" s="73"/>
      <c r="E1047" s="70"/>
      <c r="F1047" s="70" t="s">
        <v>1679</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305"/>
        <v>4</v>
      </c>
      <c r="D1048" s="73"/>
      <c r="E1048" s="70"/>
      <c r="F1048" s="70" t="s">
        <v>1680</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35">
      <c r="A1049" s="45"/>
      <c r="B1049" s="54"/>
      <c r="C1049" s="47">
        <f t="shared" si="305"/>
        <v>4</v>
      </c>
      <c r="D1049" s="73"/>
      <c r="E1049" s="70"/>
      <c r="F1049" s="70" t="s">
        <v>1681</v>
      </c>
      <c r="G1049" s="73"/>
      <c r="H1049" s="76" t="s">
        <v>1473</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35">
      <c r="A1050" s="45"/>
      <c r="B1050" s="54"/>
      <c r="C1050" s="47">
        <f t="shared" si="305"/>
        <v>4</v>
      </c>
      <c r="D1050" s="73"/>
      <c r="E1050" s="70"/>
      <c r="F1050" s="70" t="s">
        <v>1682</v>
      </c>
      <c r="G1050" s="73"/>
      <c r="H1050" s="76" t="s">
        <v>1475</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35">
      <c r="A1051" s="45"/>
      <c r="B1051" s="54"/>
      <c r="C1051" s="47">
        <f t="shared" si="305"/>
        <v>4</v>
      </c>
      <c r="D1051" s="73"/>
      <c r="E1051" s="70"/>
      <c r="F1051" s="70" t="s">
        <v>1683</v>
      </c>
      <c r="G1051" s="73"/>
      <c r="H1051" s="76" t="s">
        <v>1477</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35">
      <c r="A1052" s="45"/>
      <c r="B1052" s="54"/>
      <c r="C1052" s="47">
        <f t="shared" si="305"/>
        <v>4</v>
      </c>
      <c r="D1052" s="73"/>
      <c r="E1052" s="70"/>
      <c r="F1052" s="70" t="s">
        <v>1684</v>
      </c>
      <c r="G1052" s="73"/>
      <c r="H1052" s="76" t="s">
        <v>1479</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35">
      <c r="A1053" s="45"/>
      <c r="B1053" s="54"/>
      <c r="C1053" s="47">
        <f t="shared" ref="C1053:C1060" si="306">INT($C$29)+3</f>
        <v>4</v>
      </c>
      <c r="D1053" s="73"/>
      <c r="E1053" s="70"/>
      <c r="F1053" s="70" t="s">
        <v>1685</v>
      </c>
      <c r="G1053" s="73"/>
      <c r="H1053" s="76" t="s">
        <v>1595</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35">
      <c r="A1054" s="45"/>
      <c r="B1054" s="54"/>
      <c r="C1054" s="47">
        <f t="shared" si="306"/>
        <v>4</v>
      </c>
      <c r="D1054" s="73"/>
      <c r="E1054" s="70"/>
      <c r="F1054" s="70" t="s">
        <v>1686</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35">
      <c r="A1055" s="45"/>
      <c r="B1055" s="54"/>
      <c r="C1055" s="47">
        <f t="shared" si="306"/>
        <v>4</v>
      </c>
      <c r="D1055" s="73"/>
      <c r="E1055" s="70"/>
      <c r="F1055" s="70" t="s">
        <v>1687</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35">
      <c r="A1056" s="45"/>
      <c r="B1056" s="54"/>
      <c r="C1056" s="47">
        <f t="shared" si="306"/>
        <v>4</v>
      </c>
      <c r="D1056" s="73"/>
      <c r="E1056" s="70"/>
      <c r="F1056" s="70" t="s">
        <v>1688</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35">
      <c r="A1057" s="45"/>
      <c r="B1057" s="54"/>
      <c r="C1057" s="47">
        <f t="shared" si="306"/>
        <v>4</v>
      </c>
      <c r="D1057" s="73"/>
      <c r="E1057" s="70"/>
      <c r="F1057" s="70" t="s">
        <v>1689</v>
      </c>
      <c r="G1057" s="73"/>
      <c r="H1057" s="76" t="s">
        <v>1600</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35">
      <c r="A1058" s="45"/>
      <c r="B1058" s="54"/>
      <c r="C1058" s="47">
        <f t="shared" si="306"/>
        <v>4</v>
      </c>
      <c r="D1058" s="73"/>
      <c r="E1058" s="70"/>
      <c r="F1058" s="70" t="s">
        <v>1690</v>
      </c>
      <c r="G1058" s="73"/>
      <c r="H1058" s="76" t="s">
        <v>1602</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35">
      <c r="A1059" s="45"/>
      <c r="B1059" s="54"/>
      <c r="C1059" s="47">
        <f t="shared" si="306"/>
        <v>4</v>
      </c>
      <c r="D1059" s="73"/>
      <c r="E1059" s="70"/>
      <c r="F1059" s="70" t="s">
        <v>1691</v>
      </c>
      <c r="G1059" s="73"/>
      <c r="H1059" s="76" t="s">
        <v>1604</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35">
      <c r="A1060" s="45"/>
      <c r="B1060" s="54"/>
      <c r="C1060" s="47">
        <f t="shared" si="306"/>
        <v>4</v>
      </c>
      <c r="D1060" s="73"/>
      <c r="E1060" s="70"/>
      <c r="F1060" s="70" t="s">
        <v>1692</v>
      </c>
      <c r="G1060" s="73"/>
      <c r="H1060" s="76" t="s">
        <v>1606</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35">
      <c r="A1061" s="45"/>
      <c r="B1061" s="54"/>
      <c r="C1061" s="47">
        <f>INT($C$29)+2</f>
        <v>3</v>
      </c>
      <c r="D1061" s="73"/>
      <c r="E1061" s="70" t="s">
        <v>1693</v>
      </c>
      <c r="F1061" s="70" t="s">
        <v>1694</v>
      </c>
      <c r="G1061" s="73"/>
      <c r="H1061" s="76" t="s">
        <v>1695</v>
      </c>
      <c r="I1061" s="96" t="s">
        <v>502</v>
      </c>
      <c r="J1061" s="96"/>
      <c r="K1061" s="76"/>
      <c r="L1061" s="76"/>
      <c r="M1061" s="76"/>
      <c r="N1061" s="76"/>
      <c r="O1061" s="76"/>
      <c r="P1061" s="76"/>
      <c r="Q1061" s="76"/>
      <c r="R1061" s="76"/>
      <c r="S1061" s="76"/>
      <c r="T1061" s="76"/>
      <c r="U1061" s="76">
        <v>0</v>
      </c>
      <c r="V1061" s="76">
        <v>0</v>
      </c>
      <c r="W1061" s="76">
        <v>0</v>
      </c>
      <c r="X1061" s="76">
        <v>0</v>
      </c>
      <c r="Y1061" s="76">
        <v>0</v>
      </c>
      <c r="Z1061" s="76">
        <v>0</v>
      </c>
      <c r="AA1061" s="76">
        <v>0</v>
      </c>
      <c r="AB1061" s="76">
        <v>0</v>
      </c>
      <c r="AC1061" s="76">
        <v>0</v>
      </c>
      <c r="AD1061" s="76">
        <v>0</v>
      </c>
      <c r="AE1061" s="76"/>
      <c r="AF1061" s="264" t="s">
        <v>1696</v>
      </c>
      <c r="AG1061" s="76"/>
      <c r="AH1061" s="76">
        <v>1</v>
      </c>
      <c r="AI1061" s="76">
        <v>1</v>
      </c>
      <c r="AJ1061" s="73"/>
      <c r="AK1061" s="57"/>
      <c r="AL1061" s="45"/>
      <c r="AM1061" s="45"/>
      <c r="AN1061" s="45"/>
    </row>
    <row r="1062" spans="1:40" hidden="1" outlineLevel="2" x14ac:dyDescent="0.35">
      <c r="A1062" s="45"/>
      <c r="B1062" s="54"/>
      <c r="C1062" s="47">
        <f>INT($C$29)+2</f>
        <v>3</v>
      </c>
      <c r="D1062" s="73"/>
      <c r="E1062" s="70"/>
      <c r="F1062" s="70" t="s">
        <v>1697</v>
      </c>
      <c r="G1062" s="73"/>
      <c r="H1062" s="76" t="s">
        <v>1698</v>
      </c>
      <c r="I1062" s="96" t="s">
        <v>502</v>
      </c>
      <c r="J1062" s="96"/>
      <c r="K1062" s="97">
        <v>0.52400000000000002</v>
      </c>
      <c r="L1062" s="97">
        <v>0.65500000000000003</v>
      </c>
      <c r="M1062" s="97">
        <v>0.41599999999999998</v>
      </c>
      <c r="N1062" s="97">
        <v>0.41599999999999998</v>
      </c>
      <c r="O1062" s="97">
        <v>0.41599999999999998</v>
      </c>
      <c r="P1062" s="97">
        <v>0.57699999999999996</v>
      </c>
      <c r="Q1062" s="76"/>
      <c r="R1062" s="76" t="s">
        <v>550</v>
      </c>
      <c r="S1062" s="76" t="s">
        <v>550</v>
      </c>
      <c r="T1062" s="76"/>
      <c r="U1062" s="253">
        <f t="shared" ref="U1062:AD1064" si="307">INDEX($K1062:$Q1062,1,U$43)</f>
        <v>0.52400000000000002</v>
      </c>
      <c r="V1062" s="253">
        <f t="shared" si="307"/>
        <v>0.52400000000000002</v>
      </c>
      <c r="W1062" s="253">
        <f t="shared" si="307"/>
        <v>0.52400000000000002</v>
      </c>
      <c r="X1062" s="253">
        <f t="shared" si="307"/>
        <v>0.52400000000000002</v>
      </c>
      <c r="Y1062" s="253">
        <f t="shared" si="307"/>
        <v>0.52400000000000002</v>
      </c>
      <c r="Z1062" s="253">
        <f t="shared" si="307"/>
        <v>0.65500000000000003</v>
      </c>
      <c r="AA1062" s="253">
        <f t="shared" si="307"/>
        <v>0.65500000000000003</v>
      </c>
      <c r="AB1062" s="253">
        <f t="shared" si="307"/>
        <v>0.65500000000000003</v>
      </c>
      <c r="AC1062" s="253">
        <f t="shared" si="307"/>
        <v>0.65500000000000003</v>
      </c>
      <c r="AD1062" s="253">
        <f t="shared" si="307"/>
        <v>0.65500000000000003</v>
      </c>
      <c r="AE1062" s="76"/>
      <c r="AF1062" s="76"/>
      <c r="AG1062" s="76"/>
      <c r="AH1062" s="97">
        <v>1</v>
      </c>
      <c r="AI1062" s="97">
        <v>1</v>
      </c>
      <c r="AJ1062" s="73"/>
      <c r="AK1062" s="57"/>
      <c r="AL1062" s="45"/>
      <c r="AM1062" s="45"/>
      <c r="AN1062" s="45"/>
    </row>
    <row r="1063" spans="1:40" hidden="1" outlineLevel="2" x14ac:dyDescent="0.35">
      <c r="A1063" s="45"/>
      <c r="B1063" s="54"/>
      <c r="C1063" s="47">
        <f>INT($C$29)+2</f>
        <v>3</v>
      </c>
      <c r="D1063" s="73"/>
      <c r="E1063" s="70"/>
      <c r="F1063" s="70" t="s">
        <v>1699</v>
      </c>
      <c r="G1063" s="73"/>
      <c r="H1063" s="76" t="s">
        <v>1700</v>
      </c>
      <c r="I1063" s="96" t="s">
        <v>502</v>
      </c>
      <c r="J1063" s="96"/>
      <c r="K1063" s="97">
        <v>0.70699999999999996</v>
      </c>
      <c r="L1063" s="97">
        <v>0.88400000000000001</v>
      </c>
      <c r="M1063" s="76"/>
      <c r="N1063" s="76"/>
      <c r="O1063" s="76"/>
      <c r="P1063" s="76"/>
      <c r="Q1063" s="76"/>
      <c r="R1063" s="76" t="s">
        <v>550</v>
      </c>
      <c r="S1063" s="76"/>
      <c r="T1063" s="76"/>
      <c r="U1063" s="253">
        <f t="shared" si="307"/>
        <v>0.70699999999999996</v>
      </c>
      <c r="V1063" s="253">
        <f t="shared" si="307"/>
        <v>0.70699999999999996</v>
      </c>
      <c r="W1063" s="253">
        <f t="shared" si="307"/>
        <v>0.70699999999999996</v>
      </c>
      <c r="X1063" s="253">
        <f t="shared" si="307"/>
        <v>0.70699999999999996</v>
      </c>
      <c r="Y1063" s="253">
        <f t="shared" si="307"/>
        <v>0.70699999999999996</v>
      </c>
      <c r="Z1063" s="253">
        <f t="shared" si="307"/>
        <v>0.88400000000000001</v>
      </c>
      <c r="AA1063" s="253">
        <f t="shared" si="307"/>
        <v>0.88400000000000001</v>
      </c>
      <c r="AB1063" s="253">
        <f t="shared" si="307"/>
        <v>0.88400000000000001</v>
      </c>
      <c r="AC1063" s="253">
        <f t="shared" si="307"/>
        <v>0.88400000000000001</v>
      </c>
      <c r="AD1063" s="253">
        <f t="shared" si="307"/>
        <v>0.88400000000000001</v>
      </c>
      <c r="AE1063" s="76"/>
      <c r="AF1063" s="76"/>
      <c r="AG1063" s="76"/>
      <c r="AH1063" s="97">
        <v>1</v>
      </c>
      <c r="AI1063" s="97">
        <v>1</v>
      </c>
      <c r="AJ1063" s="73"/>
      <c r="AK1063" s="57"/>
      <c r="AL1063" s="45"/>
      <c r="AM1063" s="45"/>
      <c r="AN1063" s="45"/>
    </row>
    <row r="1064" spans="1:40" hidden="1" outlineLevel="2" collapsed="1" x14ac:dyDescent="0.35">
      <c r="A1064" s="45"/>
      <c r="B1064" s="54"/>
      <c r="C1064" s="47">
        <f>INT($C$29)+2</f>
        <v>3</v>
      </c>
      <c r="D1064" s="73"/>
      <c r="E1064" s="70"/>
      <c r="F1064" s="70" t="s">
        <v>1701</v>
      </c>
      <c r="G1064" s="73"/>
      <c r="H1064" s="76" t="s">
        <v>1702</v>
      </c>
      <c r="I1064" s="96" t="s">
        <v>502</v>
      </c>
      <c r="J1064" s="96"/>
      <c r="K1064" s="97">
        <v>0.89100000000000001</v>
      </c>
      <c r="L1064" s="97">
        <v>1.1140000000000001</v>
      </c>
      <c r="M1064" s="76"/>
      <c r="N1064" s="76"/>
      <c r="O1064" s="76"/>
      <c r="P1064" s="76"/>
      <c r="Q1064" s="76"/>
      <c r="R1064" s="76" t="s">
        <v>550</v>
      </c>
      <c r="S1064" s="76"/>
      <c r="T1064" s="76"/>
      <c r="U1064" s="253">
        <f t="shared" si="307"/>
        <v>0.89100000000000001</v>
      </c>
      <c r="V1064" s="253">
        <f t="shared" si="307"/>
        <v>0.89100000000000001</v>
      </c>
      <c r="W1064" s="253">
        <f t="shared" si="307"/>
        <v>0.89100000000000001</v>
      </c>
      <c r="X1064" s="253">
        <f t="shared" si="307"/>
        <v>0.89100000000000001</v>
      </c>
      <c r="Y1064" s="253">
        <f t="shared" si="307"/>
        <v>0.89100000000000001</v>
      </c>
      <c r="Z1064" s="253">
        <f t="shared" si="307"/>
        <v>1.1140000000000001</v>
      </c>
      <c r="AA1064" s="253">
        <f t="shared" si="307"/>
        <v>1.1140000000000001</v>
      </c>
      <c r="AB1064" s="253">
        <f t="shared" si="307"/>
        <v>1.1140000000000001</v>
      </c>
      <c r="AC1064" s="253">
        <f t="shared" si="307"/>
        <v>1.1140000000000001</v>
      </c>
      <c r="AD1064" s="253">
        <f t="shared" si="307"/>
        <v>1.1140000000000001</v>
      </c>
      <c r="AE1064" s="76"/>
      <c r="AF1064" s="76"/>
      <c r="AG1064" s="76"/>
      <c r="AH1064" s="97">
        <v>1</v>
      </c>
      <c r="AI1064" s="97">
        <v>1</v>
      </c>
      <c r="AJ1064" s="73"/>
      <c r="AK1064" s="57"/>
      <c r="AL1064" s="45"/>
      <c r="AM1064" s="45"/>
      <c r="AN1064" s="45"/>
    </row>
    <row r="1065" spans="1:40" hidden="1" outlineLevel="3" x14ac:dyDescent="0.35">
      <c r="A1065" s="45"/>
      <c r="B1065" s="54"/>
      <c r="C1065" s="47">
        <f t="shared" ref="C1065:C1128" si="308">INT($C$29)+3</f>
        <v>4</v>
      </c>
      <c r="D1065" s="73"/>
      <c r="E1065" s="70"/>
      <c r="F1065" s="70" t="s">
        <v>2521</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35">
      <c r="A1066" s="45"/>
      <c r="B1066" s="54"/>
      <c r="C1066" s="47">
        <f t="shared" si="308"/>
        <v>4</v>
      </c>
      <c r="D1066" s="73"/>
      <c r="E1066" s="70"/>
      <c r="F1066" s="70" t="s">
        <v>2522</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35">
      <c r="A1067" s="45"/>
      <c r="B1067" s="54"/>
      <c r="C1067" s="47">
        <f t="shared" si="308"/>
        <v>4</v>
      </c>
      <c r="D1067" s="73"/>
      <c r="E1067" s="70"/>
      <c r="F1067" s="70" t="s">
        <v>2523</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35">
      <c r="A1068" s="45"/>
      <c r="B1068" s="54"/>
      <c r="C1068" s="47">
        <f t="shared" si="308"/>
        <v>4</v>
      </c>
      <c r="D1068" s="73"/>
      <c r="E1068" s="70"/>
      <c r="F1068" s="70" t="s">
        <v>2524</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35">
      <c r="A1069" s="45"/>
      <c r="B1069" s="54"/>
      <c r="C1069" s="47">
        <f t="shared" si="308"/>
        <v>4</v>
      </c>
      <c r="D1069" s="73"/>
      <c r="E1069" s="70"/>
      <c r="F1069" s="70" t="s">
        <v>2525</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35">
      <c r="A1070" s="45"/>
      <c r="B1070" s="54"/>
      <c r="C1070" s="47">
        <f t="shared" si="308"/>
        <v>4</v>
      </c>
      <c r="D1070" s="73"/>
      <c r="E1070" s="70"/>
      <c r="F1070" s="70" t="s">
        <v>2526</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35">
      <c r="A1071" s="45"/>
      <c r="B1071" s="54"/>
      <c r="C1071" s="47">
        <f t="shared" si="308"/>
        <v>4</v>
      </c>
      <c r="D1071" s="73"/>
      <c r="E1071" s="70"/>
      <c r="F1071" s="70" t="s">
        <v>2527</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35">
      <c r="A1072" s="45"/>
      <c r="B1072" s="54"/>
      <c r="C1072" s="47">
        <f t="shared" si="308"/>
        <v>4</v>
      </c>
      <c r="D1072" s="73"/>
      <c r="E1072" s="70"/>
      <c r="F1072" s="70" t="s">
        <v>2528</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35">
      <c r="A1073" s="45"/>
      <c r="B1073" s="54"/>
      <c r="C1073" s="47">
        <f t="shared" si="308"/>
        <v>4</v>
      </c>
      <c r="D1073" s="73"/>
      <c r="E1073" s="70"/>
      <c r="F1073" s="70" t="s">
        <v>2529</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35">
      <c r="A1074" s="45"/>
      <c r="B1074" s="54"/>
      <c r="C1074" s="47">
        <f t="shared" si="308"/>
        <v>4</v>
      </c>
      <c r="D1074" s="73"/>
      <c r="E1074" s="70"/>
      <c r="F1074" s="70" t="s">
        <v>2530</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35">
      <c r="A1075" s="45"/>
      <c r="B1075" s="54"/>
      <c r="C1075" s="47">
        <f t="shared" si="308"/>
        <v>4</v>
      </c>
      <c r="D1075" s="73"/>
      <c r="E1075" s="70"/>
      <c r="F1075" s="70" t="s">
        <v>2531</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35">
      <c r="A1076" s="45"/>
      <c r="B1076" s="54"/>
      <c r="C1076" s="47">
        <f t="shared" si="308"/>
        <v>4</v>
      </c>
      <c r="D1076" s="73"/>
      <c r="E1076" s="70"/>
      <c r="F1076" s="70" t="s">
        <v>2532</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35">
      <c r="A1077" s="45"/>
      <c r="B1077" s="54"/>
      <c r="C1077" s="47">
        <f t="shared" si="308"/>
        <v>4</v>
      </c>
      <c r="D1077" s="73"/>
      <c r="E1077" s="70"/>
      <c r="F1077" s="70" t="s">
        <v>2533</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35">
      <c r="A1078" s="45"/>
      <c r="B1078" s="54"/>
      <c r="C1078" s="47">
        <f t="shared" si="308"/>
        <v>4</v>
      </c>
      <c r="D1078" s="73"/>
      <c r="E1078" s="70"/>
      <c r="F1078" s="70" t="s">
        <v>2534</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35">
      <c r="A1079" s="45"/>
      <c r="B1079" s="54"/>
      <c r="C1079" s="47">
        <f t="shared" si="308"/>
        <v>4</v>
      </c>
      <c r="D1079" s="73"/>
      <c r="E1079" s="70"/>
      <c r="F1079" s="70" t="s">
        <v>2535</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35">
      <c r="A1080" s="45"/>
      <c r="B1080" s="54"/>
      <c r="C1080" s="47">
        <f t="shared" si="308"/>
        <v>4</v>
      </c>
      <c r="D1080" s="73"/>
      <c r="E1080" s="70"/>
      <c r="F1080" s="70" t="s">
        <v>2536</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35">
      <c r="A1081" s="45"/>
      <c r="B1081" s="54"/>
      <c r="C1081" s="47">
        <f t="shared" si="308"/>
        <v>4</v>
      </c>
      <c r="D1081" s="73"/>
      <c r="E1081" s="70"/>
      <c r="F1081" s="70" t="s">
        <v>2537</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35">
      <c r="A1082" s="45"/>
      <c r="B1082" s="54"/>
      <c r="C1082" s="47">
        <f t="shared" si="308"/>
        <v>4</v>
      </c>
      <c r="D1082" s="73"/>
      <c r="E1082" s="70"/>
      <c r="F1082" s="70" t="s">
        <v>2538</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35">
      <c r="A1083" s="45"/>
      <c r="B1083" s="54"/>
      <c r="C1083" s="47">
        <f t="shared" si="308"/>
        <v>4</v>
      </c>
      <c r="D1083" s="73"/>
      <c r="E1083" s="70"/>
      <c r="F1083" s="70" t="s">
        <v>2539</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35">
      <c r="A1084" s="45"/>
      <c r="B1084" s="54"/>
      <c r="C1084" s="47">
        <f t="shared" si="308"/>
        <v>4</v>
      </c>
      <c r="D1084" s="73"/>
      <c r="E1084" s="70"/>
      <c r="F1084" s="70" t="s">
        <v>2540</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35">
      <c r="A1085" s="45"/>
      <c r="B1085" s="54"/>
      <c r="C1085" s="47">
        <f t="shared" si="308"/>
        <v>4</v>
      </c>
      <c r="D1085" s="73"/>
      <c r="E1085" s="70"/>
      <c r="F1085" s="70" t="s">
        <v>2541</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35">
      <c r="A1086" s="45"/>
      <c r="B1086" s="54"/>
      <c r="C1086" s="47">
        <f t="shared" si="308"/>
        <v>4</v>
      </c>
      <c r="D1086" s="73"/>
      <c r="E1086" s="70"/>
      <c r="F1086" s="70" t="s">
        <v>2542</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35">
      <c r="A1087" s="45"/>
      <c r="B1087" s="54"/>
      <c r="C1087" s="47">
        <f t="shared" si="308"/>
        <v>4</v>
      </c>
      <c r="D1087" s="73"/>
      <c r="E1087" s="70"/>
      <c r="F1087" s="70" t="s">
        <v>2543</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35">
      <c r="A1088" s="45"/>
      <c r="B1088" s="54"/>
      <c r="C1088" s="47">
        <f t="shared" si="308"/>
        <v>4</v>
      </c>
      <c r="D1088" s="73"/>
      <c r="E1088" s="70"/>
      <c r="F1088" s="70" t="s">
        <v>2544</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35">
      <c r="A1089" s="45"/>
      <c r="B1089" s="54"/>
      <c r="C1089" s="47">
        <f t="shared" si="308"/>
        <v>4</v>
      </c>
      <c r="D1089" s="73"/>
      <c r="E1089" s="70"/>
      <c r="F1089" s="70" t="s">
        <v>3325</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35">
      <c r="A1090" s="45"/>
      <c r="B1090" s="54"/>
      <c r="C1090" s="47">
        <f t="shared" si="308"/>
        <v>4</v>
      </c>
      <c r="D1090" s="73"/>
      <c r="E1090" s="70"/>
      <c r="F1090" s="70" t="s">
        <v>3326</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35">
      <c r="A1091" s="45"/>
      <c r="B1091" s="54"/>
      <c r="C1091" s="47">
        <f t="shared" si="308"/>
        <v>4</v>
      </c>
      <c r="D1091" s="73"/>
      <c r="E1091" s="70"/>
      <c r="F1091" s="70" t="s">
        <v>3327</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35">
      <c r="A1092" s="45"/>
      <c r="B1092" s="54"/>
      <c r="C1092" s="47">
        <f t="shared" si="308"/>
        <v>4</v>
      </c>
      <c r="D1092" s="73"/>
      <c r="E1092" s="70"/>
      <c r="F1092" s="70" t="s">
        <v>3328</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35">
      <c r="A1093" s="45"/>
      <c r="B1093" s="54"/>
      <c r="C1093" s="47">
        <f t="shared" si="308"/>
        <v>4</v>
      </c>
      <c r="D1093" s="73"/>
      <c r="E1093" s="70"/>
      <c r="F1093" s="70" t="s">
        <v>3424</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35">
      <c r="A1094" s="45"/>
      <c r="B1094" s="54"/>
      <c r="C1094" s="47">
        <f t="shared" si="308"/>
        <v>4</v>
      </c>
      <c r="D1094" s="73"/>
      <c r="E1094" s="70"/>
      <c r="F1094" s="70" t="s">
        <v>3425</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35">
      <c r="A1095" s="45"/>
      <c r="B1095" s="54"/>
      <c r="C1095" s="47">
        <f t="shared" si="308"/>
        <v>4</v>
      </c>
      <c r="D1095" s="73"/>
      <c r="E1095" s="70"/>
      <c r="F1095" s="70" t="s">
        <v>3426</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35">
      <c r="A1096" s="45"/>
      <c r="B1096" s="54"/>
      <c r="C1096" s="47">
        <f t="shared" si="308"/>
        <v>4</v>
      </c>
      <c r="D1096" s="73"/>
      <c r="E1096" s="70"/>
      <c r="F1096" s="70" t="s">
        <v>3427</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35">
      <c r="A1097" s="45"/>
      <c r="B1097" s="54"/>
      <c r="C1097" s="47">
        <f t="shared" si="308"/>
        <v>4</v>
      </c>
      <c r="D1097" s="73"/>
      <c r="E1097" s="70"/>
      <c r="F1097" s="70" t="s">
        <v>3428</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35">
      <c r="A1098" s="45"/>
      <c r="B1098" s="54"/>
      <c r="C1098" s="47">
        <f t="shared" si="308"/>
        <v>4</v>
      </c>
      <c r="D1098" s="73"/>
      <c r="E1098" s="70"/>
      <c r="F1098" s="70" t="s">
        <v>3429</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35">
      <c r="A1099" s="45"/>
      <c r="B1099" s="54"/>
      <c r="C1099" s="47">
        <f t="shared" si="308"/>
        <v>4</v>
      </c>
      <c r="D1099" s="73"/>
      <c r="E1099" s="70"/>
      <c r="F1099" s="70" t="s">
        <v>3430</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35">
      <c r="A1100" s="45"/>
      <c r="B1100" s="54"/>
      <c r="C1100" s="47">
        <f t="shared" si="308"/>
        <v>4</v>
      </c>
      <c r="D1100" s="73"/>
      <c r="E1100" s="70"/>
      <c r="F1100" s="70" t="s">
        <v>3431</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35">
      <c r="A1101" s="45"/>
      <c r="B1101" s="54"/>
      <c r="C1101" s="47">
        <f t="shared" si="308"/>
        <v>4</v>
      </c>
      <c r="D1101" s="73"/>
      <c r="E1101" s="70"/>
      <c r="F1101" s="70" t="s">
        <v>3432</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35">
      <c r="A1102" s="45"/>
      <c r="B1102" s="54"/>
      <c r="C1102" s="47">
        <f t="shared" si="308"/>
        <v>4</v>
      </c>
      <c r="D1102" s="73"/>
      <c r="E1102" s="70"/>
      <c r="F1102" s="70" t="s">
        <v>3433</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35">
      <c r="A1103" s="45"/>
      <c r="B1103" s="54"/>
      <c r="C1103" s="47">
        <f t="shared" si="308"/>
        <v>4</v>
      </c>
      <c r="D1103" s="73"/>
      <c r="E1103" s="70"/>
      <c r="F1103" s="70" t="s">
        <v>3434</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35">
      <c r="A1104" s="45"/>
      <c r="B1104" s="54"/>
      <c r="C1104" s="47">
        <f t="shared" si="308"/>
        <v>4</v>
      </c>
      <c r="D1104" s="73"/>
      <c r="E1104" s="70"/>
      <c r="F1104" s="70" t="s">
        <v>3435</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35">
      <c r="A1105" s="45"/>
      <c r="B1105" s="54"/>
      <c r="C1105" s="47">
        <f t="shared" si="308"/>
        <v>4</v>
      </c>
      <c r="D1105" s="73"/>
      <c r="E1105" s="70"/>
      <c r="F1105" s="70" t="s">
        <v>3436</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35">
      <c r="A1106" s="45"/>
      <c r="B1106" s="54"/>
      <c r="C1106" s="47">
        <f t="shared" si="308"/>
        <v>4</v>
      </c>
      <c r="D1106" s="73"/>
      <c r="E1106" s="70"/>
      <c r="F1106" s="70" t="s">
        <v>3437</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35">
      <c r="A1107" s="45"/>
      <c r="B1107" s="54"/>
      <c r="C1107" s="47">
        <f t="shared" si="308"/>
        <v>4</v>
      </c>
      <c r="D1107" s="73"/>
      <c r="E1107" s="70"/>
      <c r="F1107" s="70" t="s">
        <v>3438</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35">
      <c r="A1108" s="45"/>
      <c r="B1108" s="54"/>
      <c r="C1108" s="47">
        <f t="shared" si="308"/>
        <v>4</v>
      </c>
      <c r="D1108" s="73"/>
      <c r="E1108" s="70"/>
      <c r="F1108" s="70" t="s">
        <v>3439</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35">
      <c r="A1109" s="45"/>
      <c r="B1109" s="54"/>
      <c r="C1109" s="47">
        <f t="shared" si="308"/>
        <v>4</v>
      </c>
      <c r="D1109" s="73"/>
      <c r="E1109" s="70"/>
      <c r="F1109" s="70" t="s">
        <v>3440</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35">
      <c r="A1110" s="45"/>
      <c r="B1110" s="54"/>
      <c r="C1110" s="47">
        <f t="shared" si="308"/>
        <v>4</v>
      </c>
      <c r="D1110" s="73"/>
      <c r="E1110" s="70"/>
      <c r="F1110" s="70" t="s">
        <v>3441</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35">
      <c r="A1111" s="45"/>
      <c r="B1111" s="54"/>
      <c r="C1111" s="47">
        <f t="shared" si="308"/>
        <v>4</v>
      </c>
      <c r="D1111" s="73"/>
      <c r="E1111" s="70"/>
      <c r="F1111" s="70" t="s">
        <v>3442</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35">
      <c r="A1112" s="45"/>
      <c r="B1112" s="54"/>
      <c r="C1112" s="47">
        <f t="shared" si="308"/>
        <v>4</v>
      </c>
      <c r="D1112" s="73"/>
      <c r="E1112" s="70"/>
      <c r="F1112" s="70" t="s">
        <v>3443</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35">
      <c r="A1113" s="45"/>
      <c r="B1113" s="54"/>
      <c r="C1113" s="47">
        <f t="shared" si="308"/>
        <v>4</v>
      </c>
      <c r="D1113" s="73"/>
      <c r="E1113" s="70"/>
      <c r="F1113" s="70" t="s">
        <v>3444</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35">
      <c r="A1114" s="45"/>
      <c r="B1114" s="54"/>
      <c r="C1114" s="47">
        <f t="shared" si="308"/>
        <v>4</v>
      </c>
      <c r="D1114" s="73"/>
      <c r="E1114" s="70"/>
      <c r="F1114" s="70" t="s">
        <v>3445</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35">
      <c r="A1115" s="45"/>
      <c r="B1115" s="54"/>
      <c r="C1115" s="47">
        <f t="shared" si="308"/>
        <v>4</v>
      </c>
      <c r="D1115" s="73"/>
      <c r="E1115" s="70"/>
      <c r="F1115" s="70" t="s">
        <v>3446</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35">
      <c r="A1116" s="45"/>
      <c r="B1116" s="54"/>
      <c r="C1116" s="47">
        <f t="shared" si="308"/>
        <v>4</v>
      </c>
      <c r="D1116" s="73"/>
      <c r="E1116" s="70"/>
      <c r="F1116" s="70" t="s">
        <v>3447</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35">
      <c r="A1117" s="45"/>
      <c r="B1117" s="54"/>
      <c r="C1117" s="47">
        <f t="shared" si="308"/>
        <v>4</v>
      </c>
      <c r="D1117" s="73"/>
      <c r="E1117" s="70"/>
      <c r="F1117" s="70" t="s">
        <v>3448</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35">
      <c r="A1118" s="45"/>
      <c r="B1118" s="54"/>
      <c r="C1118" s="47">
        <f t="shared" si="308"/>
        <v>4</v>
      </c>
      <c r="D1118" s="73"/>
      <c r="E1118" s="70"/>
      <c r="F1118" s="70" t="s">
        <v>3449</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35">
      <c r="A1119" s="45"/>
      <c r="B1119" s="54"/>
      <c r="C1119" s="47">
        <f t="shared" si="308"/>
        <v>4</v>
      </c>
      <c r="D1119" s="73"/>
      <c r="E1119" s="70"/>
      <c r="F1119" s="70" t="s">
        <v>3450</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35">
      <c r="A1120" s="45"/>
      <c r="B1120" s="54"/>
      <c r="C1120" s="47">
        <f t="shared" si="308"/>
        <v>4</v>
      </c>
      <c r="D1120" s="73"/>
      <c r="E1120" s="70"/>
      <c r="F1120" s="70" t="s">
        <v>3451</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35">
      <c r="A1121" s="45"/>
      <c r="B1121" s="54"/>
      <c r="C1121" s="47">
        <f t="shared" si="308"/>
        <v>4</v>
      </c>
      <c r="D1121" s="73"/>
      <c r="E1121" s="70"/>
      <c r="F1121" s="70" t="s">
        <v>3452</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35">
      <c r="A1122" s="45"/>
      <c r="B1122" s="54"/>
      <c r="C1122" s="47">
        <f t="shared" si="308"/>
        <v>4</v>
      </c>
      <c r="D1122" s="73"/>
      <c r="E1122" s="70"/>
      <c r="F1122" s="70" t="s">
        <v>3453</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35">
      <c r="A1123" s="45"/>
      <c r="B1123" s="54"/>
      <c r="C1123" s="47">
        <f t="shared" si="308"/>
        <v>4</v>
      </c>
      <c r="D1123" s="73"/>
      <c r="E1123" s="70"/>
      <c r="F1123" s="70" t="s">
        <v>3454</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35">
      <c r="A1124" s="45"/>
      <c r="B1124" s="54"/>
      <c r="C1124" s="47">
        <f t="shared" si="308"/>
        <v>4</v>
      </c>
      <c r="D1124" s="73"/>
      <c r="E1124" s="70"/>
      <c r="F1124" s="70" t="s">
        <v>3455</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35">
      <c r="A1125" s="45"/>
      <c r="B1125" s="54"/>
      <c r="C1125" s="47">
        <f t="shared" si="308"/>
        <v>4</v>
      </c>
      <c r="D1125" s="73"/>
      <c r="E1125" s="70"/>
      <c r="F1125" s="70" t="s">
        <v>3456</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35">
      <c r="A1126" s="45"/>
      <c r="B1126" s="54"/>
      <c r="C1126" s="47">
        <f t="shared" si="308"/>
        <v>4</v>
      </c>
      <c r="D1126" s="73"/>
      <c r="E1126" s="70"/>
      <c r="F1126" s="70" t="s">
        <v>3457</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35">
      <c r="A1127" s="45"/>
      <c r="B1127" s="54"/>
      <c r="C1127" s="47">
        <f t="shared" si="308"/>
        <v>4</v>
      </c>
      <c r="D1127" s="73"/>
      <c r="E1127" s="70"/>
      <c r="F1127" s="70" t="s">
        <v>3458</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35">
      <c r="A1128" s="45"/>
      <c r="B1128" s="54"/>
      <c r="C1128" s="47">
        <f t="shared" si="308"/>
        <v>4</v>
      </c>
      <c r="D1128" s="73"/>
      <c r="E1128" s="70"/>
      <c r="F1128" s="70" t="s">
        <v>3459</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35">
      <c r="A1129" s="45"/>
      <c r="B1129" s="54"/>
      <c r="C1129" s="47">
        <f t="shared" ref="C1129:C1148" si="309">INT($C$29)+3</f>
        <v>4</v>
      </c>
      <c r="D1129" s="73"/>
      <c r="E1129" s="70"/>
      <c r="F1129" s="70" t="s">
        <v>3460</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35">
      <c r="A1130" s="45"/>
      <c r="B1130" s="54"/>
      <c r="C1130" s="47">
        <f t="shared" si="309"/>
        <v>4</v>
      </c>
      <c r="D1130" s="73"/>
      <c r="E1130" s="70"/>
      <c r="F1130" s="70" t="s">
        <v>3461</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35">
      <c r="A1131" s="45"/>
      <c r="B1131" s="54"/>
      <c r="C1131" s="47">
        <f t="shared" si="309"/>
        <v>4</v>
      </c>
      <c r="D1131" s="73"/>
      <c r="E1131" s="70"/>
      <c r="F1131" s="70" t="s">
        <v>3462</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35">
      <c r="A1132" s="45"/>
      <c r="B1132" s="54"/>
      <c r="C1132" s="47">
        <f t="shared" si="309"/>
        <v>4</v>
      </c>
      <c r="D1132" s="73"/>
      <c r="E1132" s="70"/>
      <c r="F1132" s="70" t="s">
        <v>3463</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309"/>
        <v>4</v>
      </c>
      <c r="D1133" s="73"/>
      <c r="E1133" s="70"/>
      <c r="F1133" s="70" t="s">
        <v>3464</v>
      </c>
      <c r="G1133" s="73"/>
      <c r="H1133" s="76" t="s">
        <v>1473</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309"/>
        <v>4</v>
      </c>
      <c r="D1134" s="73"/>
      <c r="E1134" s="70"/>
      <c r="F1134" s="70" t="s">
        <v>3465</v>
      </c>
      <c r="G1134" s="73"/>
      <c r="H1134" s="76" t="s">
        <v>1475</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309"/>
        <v>4</v>
      </c>
      <c r="D1135" s="73"/>
      <c r="E1135" s="70"/>
      <c r="F1135" s="70" t="s">
        <v>3466</v>
      </c>
      <c r="G1135" s="73"/>
      <c r="H1135" s="76" t="s">
        <v>1477</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309"/>
        <v>4</v>
      </c>
      <c r="D1136" s="73"/>
      <c r="E1136" s="70"/>
      <c r="F1136" s="70" t="s">
        <v>3467</v>
      </c>
      <c r="G1136" s="73"/>
      <c r="H1136" s="76" t="s">
        <v>1479</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309"/>
        <v>4</v>
      </c>
      <c r="D1137" s="73"/>
      <c r="E1137" s="70"/>
      <c r="F1137" s="70" t="s">
        <v>3748</v>
      </c>
      <c r="G1137" s="73"/>
      <c r="H1137" s="76" t="s">
        <v>1473</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309"/>
        <v>4</v>
      </c>
      <c r="D1138" s="73"/>
      <c r="E1138" s="70"/>
      <c r="F1138" s="70" t="s">
        <v>3749</v>
      </c>
      <c r="G1138" s="73"/>
      <c r="H1138" s="76" t="s">
        <v>1475</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309"/>
        <v>4</v>
      </c>
      <c r="D1139" s="73"/>
      <c r="E1139" s="70"/>
      <c r="F1139" s="70" t="s">
        <v>3750</v>
      </c>
      <c r="G1139" s="73"/>
      <c r="H1139" s="76" t="s">
        <v>1477</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si="309"/>
        <v>4</v>
      </c>
      <c r="D1140" s="73"/>
      <c r="E1140" s="70"/>
      <c r="F1140" s="70" t="s">
        <v>3751</v>
      </c>
      <c r="G1140" s="73"/>
      <c r="H1140" s="76" t="s">
        <v>1479</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309"/>
        <v>4</v>
      </c>
      <c r="D1141" s="73"/>
      <c r="E1141" s="70"/>
      <c r="F1141" s="70" t="s">
        <v>3783</v>
      </c>
      <c r="G1141" s="73"/>
      <c r="H1141" s="76" t="s">
        <v>1473</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309"/>
        <v>4</v>
      </c>
      <c r="D1142" s="73"/>
      <c r="E1142" s="70"/>
      <c r="F1142" s="70" t="s">
        <v>3784</v>
      </c>
      <c r="G1142" s="73"/>
      <c r="H1142" s="76" t="s">
        <v>1475</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309"/>
        <v>4</v>
      </c>
      <c r="D1143" s="73"/>
      <c r="E1143" s="70"/>
      <c r="F1143" s="70" t="s">
        <v>3785</v>
      </c>
      <c r="G1143" s="73"/>
      <c r="H1143" s="76" t="s">
        <v>1477</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309"/>
        <v>4</v>
      </c>
      <c r="D1144" s="73"/>
      <c r="E1144" s="70"/>
      <c r="F1144" s="70" t="s">
        <v>3786</v>
      </c>
      <c r="G1144" s="73"/>
      <c r="H1144" s="76" t="s">
        <v>1479</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309"/>
        <v>4</v>
      </c>
      <c r="D1145" s="73"/>
      <c r="E1145" s="70"/>
      <c r="F1145" s="70" t="s">
        <v>3779</v>
      </c>
      <c r="G1145" s="73"/>
      <c r="H1145" s="76" t="s">
        <v>1473</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309"/>
        <v>4</v>
      </c>
      <c r="D1146" s="73"/>
      <c r="E1146" s="70"/>
      <c r="F1146" s="70" t="s">
        <v>3780</v>
      </c>
      <c r="G1146" s="73"/>
      <c r="H1146" s="76" t="s">
        <v>1475</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309"/>
        <v>4</v>
      </c>
      <c r="D1147" s="73"/>
      <c r="E1147" s="70"/>
      <c r="F1147" s="70" t="s">
        <v>3781</v>
      </c>
      <c r="G1147" s="73"/>
      <c r="H1147" s="76" t="s">
        <v>1477</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309"/>
        <v>4</v>
      </c>
      <c r="D1148" s="73"/>
      <c r="E1148" s="70"/>
      <c r="F1148" s="70" t="s">
        <v>3782</v>
      </c>
      <c r="G1148" s="73"/>
      <c r="H1148" s="76" t="s">
        <v>1479</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1" collapsed="1" x14ac:dyDescent="0.35">
      <c r="A1149" s="45"/>
      <c r="B1149" s="54"/>
      <c r="C1149" s="47">
        <f>INT($C$29)+1</f>
        <v>2</v>
      </c>
      <c r="D1149" s="73"/>
      <c r="E1149" s="70"/>
      <c r="F1149" s="265" t="s">
        <v>1703</v>
      </c>
      <c r="G1149" s="73"/>
      <c r="H1149" s="246" t="s">
        <v>1704</v>
      </c>
      <c r="I1149" s="96"/>
      <c r="J1149" s="96" t="s">
        <v>519</v>
      </c>
      <c r="K1149" s="76"/>
      <c r="L1149" s="76"/>
      <c r="M1149" s="76"/>
      <c r="N1149" s="76"/>
      <c r="O1149" s="76"/>
      <c r="P1149" s="76"/>
      <c r="Q1149" s="76"/>
      <c r="R1149" s="76"/>
      <c r="S1149" s="76"/>
      <c r="T1149" s="76"/>
      <c r="U1149" s="79">
        <v>5</v>
      </c>
      <c r="V1149" s="76"/>
      <c r="W1149" s="79">
        <v>0</v>
      </c>
      <c r="X1149" s="76"/>
      <c r="Y1149" s="76"/>
      <c r="Z1149" s="76"/>
      <c r="AA1149" s="76"/>
      <c r="AB1149" s="76"/>
      <c r="AC1149" s="76"/>
      <c r="AD1149" s="76"/>
      <c r="AE1149" s="76"/>
      <c r="AF1149" s="76"/>
      <c r="AG1149" s="76"/>
      <c r="AH1149" s="76"/>
      <c r="AI1149" s="76"/>
      <c r="AJ1149" s="73"/>
      <c r="AK1149" s="57"/>
      <c r="AL1149" s="45"/>
      <c r="AM1149" s="45"/>
      <c r="AN1149" s="45"/>
    </row>
    <row r="1150" spans="1:40" hidden="1" outlineLevel="2" x14ac:dyDescent="0.35">
      <c r="A1150" s="45"/>
      <c r="B1150" s="54"/>
      <c r="C1150" s="47">
        <f>INT($C$29)+2</f>
        <v>3</v>
      </c>
      <c r="D1150" s="73"/>
      <c r="E1150" s="70" t="s">
        <v>1705</v>
      </c>
      <c r="F1150" s="70" t="s">
        <v>1706</v>
      </c>
      <c r="G1150" s="73"/>
      <c r="H1150" s="76" t="s">
        <v>1707</v>
      </c>
      <c r="I1150" s="76"/>
      <c r="J1150" s="76"/>
      <c r="K1150" s="97">
        <v>0.99704199999999998</v>
      </c>
      <c r="L1150" s="97">
        <v>0.99704199999999998</v>
      </c>
      <c r="M1150" s="76"/>
      <c r="N1150" s="76"/>
      <c r="O1150" s="76"/>
      <c r="P1150" s="76"/>
      <c r="Q1150" s="76"/>
      <c r="R1150" s="76"/>
      <c r="S1150" s="76"/>
      <c r="T1150" s="76"/>
      <c r="U1150" s="253">
        <f t="shared" ref="U1150:AD1150" si="310">INDEX($K1150:$Q1150,1,U$43)</f>
        <v>0.99704199999999998</v>
      </c>
      <c r="V1150" s="253">
        <f t="shared" si="310"/>
        <v>0.99704199999999998</v>
      </c>
      <c r="W1150" s="253">
        <f t="shared" si="310"/>
        <v>0.99704199999999998</v>
      </c>
      <c r="X1150" s="253">
        <f t="shared" si="310"/>
        <v>0.99704199999999998</v>
      </c>
      <c r="Y1150" s="253">
        <f t="shared" si="310"/>
        <v>0.99704199999999998</v>
      </c>
      <c r="Z1150" s="253">
        <f t="shared" si="310"/>
        <v>0.99704199999999998</v>
      </c>
      <c r="AA1150" s="253">
        <f t="shared" si="310"/>
        <v>0.99704199999999998</v>
      </c>
      <c r="AB1150" s="253">
        <f t="shared" si="310"/>
        <v>0.99704199999999998</v>
      </c>
      <c r="AC1150" s="253">
        <f t="shared" si="310"/>
        <v>0.99704199999999998</v>
      </c>
      <c r="AD1150" s="253">
        <f t="shared" si="310"/>
        <v>0.99704199999999998</v>
      </c>
      <c r="AE1150" s="76"/>
      <c r="AF1150" s="76"/>
      <c r="AG1150" s="76"/>
      <c r="AH1150" s="97">
        <v>1</v>
      </c>
      <c r="AI1150" s="97">
        <v>1</v>
      </c>
      <c r="AJ1150" s="73"/>
      <c r="AK1150" s="57"/>
      <c r="AL1150" s="45"/>
      <c r="AM1150" s="45"/>
      <c r="AN1150" s="45"/>
    </row>
    <row r="1151" spans="1:40" hidden="1" outlineLevel="2" x14ac:dyDescent="0.35">
      <c r="A1151" s="45"/>
      <c r="B1151" s="54"/>
      <c r="C1151" s="47">
        <f>INT($C$29)+2</f>
        <v>3</v>
      </c>
      <c r="D1151" s="73"/>
      <c r="E1151" s="70"/>
      <c r="F1151" s="70" t="s">
        <v>1708</v>
      </c>
      <c r="G1151" s="73"/>
      <c r="H1151" s="129" t="s">
        <v>2763</v>
      </c>
      <c r="I1151" s="96"/>
      <c r="J1151" s="96"/>
      <c r="K1151" s="76"/>
      <c r="L1151" s="76"/>
      <c r="M1151" s="76"/>
      <c r="N1151" s="76"/>
      <c r="O1151" s="76"/>
      <c r="P1151" s="76"/>
      <c r="Q1151" s="76"/>
      <c r="R1151" s="76"/>
      <c r="S1151" s="76"/>
      <c r="T1151" s="76"/>
      <c r="U1151" s="266">
        <v>0.19</v>
      </c>
      <c r="V1151" s="266">
        <v>0.19</v>
      </c>
      <c r="W1151" s="266">
        <v>0.19</v>
      </c>
      <c r="X1151" s="266">
        <v>0.19</v>
      </c>
      <c r="Y1151" s="266">
        <v>0.19</v>
      </c>
      <c r="Z1151" s="266">
        <v>0.25</v>
      </c>
      <c r="AA1151" s="266">
        <v>0.25</v>
      </c>
      <c r="AB1151" s="266">
        <v>0.25</v>
      </c>
      <c r="AC1151" s="266">
        <v>0.25</v>
      </c>
      <c r="AD1151" s="266">
        <v>0.25</v>
      </c>
      <c r="AE1151" s="76"/>
      <c r="AF1151" s="97" t="s">
        <v>1710</v>
      </c>
      <c r="AG1151" s="76"/>
      <c r="AH1151" s="97">
        <v>1</v>
      </c>
      <c r="AI1151" s="97">
        <v>1</v>
      </c>
      <c r="AJ1151" s="73"/>
      <c r="AK1151" s="57"/>
      <c r="AL1151" s="45"/>
      <c r="AM1151" s="45"/>
      <c r="AN1151" s="45"/>
    </row>
    <row r="1152" spans="1:40" hidden="1" outlineLevel="2" x14ac:dyDescent="0.35">
      <c r="A1152" s="45"/>
      <c r="B1152" s="54"/>
      <c r="C1152" s="47">
        <f>INT($C$29)+2</f>
        <v>3</v>
      </c>
      <c r="D1152" s="73"/>
      <c r="E1152" s="70"/>
      <c r="F1152" s="70" t="s">
        <v>1711</v>
      </c>
      <c r="G1152" s="73"/>
      <c r="H1152" s="76" t="s">
        <v>1712</v>
      </c>
      <c r="I1152" s="76"/>
      <c r="J1152" s="76"/>
      <c r="K1152" s="76"/>
      <c r="L1152" s="76"/>
      <c r="M1152" s="76"/>
      <c r="N1152" s="76"/>
      <c r="O1152" s="76"/>
      <c r="P1152" s="76"/>
      <c r="Q1152" s="76"/>
      <c r="R1152" s="76"/>
      <c r="S1152" s="76"/>
      <c r="T1152" s="76"/>
      <c r="U1152" s="97">
        <v>0.13739999999999999</v>
      </c>
      <c r="V1152" s="97">
        <v>0.13739999999999999</v>
      </c>
      <c r="W1152" s="97">
        <v>0.13739999999999999</v>
      </c>
      <c r="X1152" s="97">
        <v>0.13739999999999999</v>
      </c>
      <c r="Y1152" s="97">
        <v>0.13739999999999999</v>
      </c>
      <c r="Z1152" s="255">
        <f t="shared" ref="Z1152:AD1154" si="311">Y1152</f>
        <v>0.13739999999999999</v>
      </c>
      <c r="AA1152" s="255">
        <f t="shared" si="311"/>
        <v>0.13739999999999999</v>
      </c>
      <c r="AB1152" s="255">
        <f t="shared" si="311"/>
        <v>0.13739999999999999</v>
      </c>
      <c r="AC1152" s="255">
        <f t="shared" si="311"/>
        <v>0.13739999999999999</v>
      </c>
      <c r="AD1152" s="255">
        <f t="shared" si="311"/>
        <v>0.13739999999999999</v>
      </c>
      <c r="AE1152" s="76"/>
      <c r="AF1152" s="76"/>
      <c r="AG1152" s="76"/>
      <c r="AH1152" s="97">
        <v>1</v>
      </c>
      <c r="AI1152" s="97">
        <v>1</v>
      </c>
      <c r="AJ1152" s="73"/>
      <c r="AK1152" s="57"/>
      <c r="AL1152" s="45"/>
      <c r="AM1152" s="45"/>
      <c r="AN1152" s="45"/>
    </row>
    <row r="1153" spans="1:40" hidden="1" outlineLevel="2" x14ac:dyDescent="0.35">
      <c r="A1153" s="45"/>
      <c r="B1153" s="54"/>
      <c r="C1153" s="47">
        <f>INT($C$29)+2</f>
        <v>3</v>
      </c>
      <c r="D1153" s="73"/>
      <c r="E1153" s="70"/>
      <c r="F1153" s="70" t="s">
        <v>1713</v>
      </c>
      <c r="G1153" s="73"/>
      <c r="H1153" s="76" t="s">
        <v>1714</v>
      </c>
      <c r="I1153" s="76"/>
      <c r="J1153" s="76"/>
      <c r="K1153" s="76"/>
      <c r="L1153" s="76"/>
      <c r="M1153" s="76"/>
      <c r="N1153" s="76"/>
      <c r="O1153" s="76"/>
      <c r="P1153" s="76"/>
      <c r="Q1153" s="76"/>
      <c r="R1153" s="76"/>
      <c r="S1153" s="76"/>
      <c r="T1153" s="76"/>
      <c r="U1153" s="97">
        <v>0.16700000000000001</v>
      </c>
      <c r="V1153" s="97">
        <v>0.16700000000000001</v>
      </c>
      <c r="W1153" s="97">
        <v>0.16700000000000001</v>
      </c>
      <c r="X1153" s="97">
        <v>0.16700000000000001</v>
      </c>
      <c r="Y1153" s="97">
        <v>0.16700000000000001</v>
      </c>
      <c r="Z1153" s="255">
        <f t="shared" si="311"/>
        <v>0.16700000000000001</v>
      </c>
      <c r="AA1153" s="255">
        <f t="shared" si="311"/>
        <v>0.16700000000000001</v>
      </c>
      <c r="AB1153" s="255">
        <f t="shared" si="311"/>
        <v>0.16700000000000001</v>
      </c>
      <c r="AC1153" s="255">
        <f t="shared" si="311"/>
        <v>0.16700000000000001</v>
      </c>
      <c r="AD1153" s="255">
        <f t="shared" si="311"/>
        <v>0.16700000000000001</v>
      </c>
      <c r="AE1153" s="76"/>
      <c r="AF1153" s="76"/>
      <c r="AG1153" s="76"/>
      <c r="AH1153" s="97">
        <v>1</v>
      </c>
      <c r="AI1153" s="97">
        <v>1</v>
      </c>
      <c r="AJ1153" s="73"/>
      <c r="AK1153" s="57"/>
      <c r="AL1153" s="45"/>
      <c r="AM1153" s="45"/>
      <c r="AN1153" s="45"/>
    </row>
    <row r="1154" spans="1:40" hidden="1" outlineLevel="2" x14ac:dyDescent="0.35">
      <c r="A1154" s="45"/>
      <c r="B1154" s="54"/>
      <c r="C1154" s="47">
        <f>INT($C$29)+2</f>
        <v>3</v>
      </c>
      <c r="D1154" s="73"/>
      <c r="E1154" s="70"/>
      <c r="F1154" s="70" t="s">
        <v>1715</v>
      </c>
      <c r="G1154" s="73"/>
      <c r="H1154" s="76" t="s">
        <v>1716</v>
      </c>
      <c r="I1154" s="76"/>
      <c r="J1154" s="76"/>
      <c r="K1154" s="76"/>
      <c r="L1154" s="76"/>
      <c r="M1154" s="76"/>
      <c r="N1154" s="76"/>
      <c r="O1154" s="76"/>
      <c r="P1154" s="76"/>
      <c r="Q1154" s="76"/>
      <c r="R1154" s="76"/>
      <c r="S1154" s="76"/>
      <c r="T1154" s="76"/>
      <c r="U1154" s="97">
        <v>0.08</v>
      </c>
      <c r="V1154" s="97">
        <v>0.08</v>
      </c>
      <c r="W1154" s="97">
        <v>0.08</v>
      </c>
      <c r="X1154" s="97">
        <v>0.08</v>
      </c>
      <c r="Y1154" s="97">
        <v>0.08</v>
      </c>
      <c r="Z1154" s="255">
        <f t="shared" si="311"/>
        <v>0.08</v>
      </c>
      <c r="AA1154" s="255">
        <f t="shared" si="311"/>
        <v>0.08</v>
      </c>
      <c r="AB1154" s="255">
        <f t="shared" si="311"/>
        <v>0.08</v>
      </c>
      <c r="AC1154" s="255">
        <f t="shared" si="311"/>
        <v>0.08</v>
      </c>
      <c r="AD1154" s="255">
        <f t="shared" si="311"/>
        <v>0.08</v>
      </c>
      <c r="AE1154" s="76"/>
      <c r="AF1154" s="76"/>
      <c r="AG1154" s="76"/>
      <c r="AH1154" s="97">
        <v>1</v>
      </c>
      <c r="AI1154" s="97">
        <v>1</v>
      </c>
      <c r="AJ1154" s="73"/>
      <c r="AK1154" s="57"/>
      <c r="AL1154" s="45"/>
      <c r="AM1154" s="45"/>
      <c r="AN1154" s="45"/>
    </row>
    <row r="1155" spans="1:40" outlineLevel="1" collapsed="1" x14ac:dyDescent="0.35">
      <c r="A1155" s="45"/>
      <c r="B1155" s="54"/>
      <c r="C1155" s="47">
        <f>INT($C$29)+1</f>
        <v>2</v>
      </c>
      <c r="D1155" s="73"/>
      <c r="E1155" s="70"/>
      <c r="F1155" s="265" t="s">
        <v>1703</v>
      </c>
      <c r="G1155" s="73"/>
      <c r="H1155" s="267" t="s">
        <v>1717</v>
      </c>
      <c r="I1155" s="129"/>
      <c r="J1155" s="129" t="s">
        <v>1045</v>
      </c>
      <c r="K1155" s="76"/>
      <c r="L1155" s="76"/>
      <c r="M1155" s="76"/>
      <c r="N1155" s="76"/>
      <c r="O1155" s="76"/>
      <c r="P1155" s="76"/>
      <c r="Q1155" s="76"/>
      <c r="R1155" s="76"/>
      <c r="S1155" s="76"/>
      <c r="T1155" s="76"/>
      <c r="U1155" s="79">
        <v>20</v>
      </c>
      <c r="V1155" s="79">
        <v>8</v>
      </c>
      <c r="W1155" s="79">
        <v>0</v>
      </c>
      <c r="X1155" s="76"/>
      <c r="Y1155" s="76"/>
      <c r="Z1155" s="76"/>
      <c r="AA1155" s="76"/>
      <c r="AB1155" s="76"/>
      <c r="AC1155" s="76"/>
      <c r="AD1155" s="76"/>
      <c r="AE1155" s="76"/>
      <c r="AF1155" s="76"/>
      <c r="AG1155" s="76"/>
      <c r="AH1155" s="76"/>
      <c r="AI1155" s="76"/>
      <c r="AJ1155" s="73"/>
      <c r="AK1155" s="57"/>
      <c r="AL1155" s="45"/>
      <c r="AM1155" s="45"/>
      <c r="AN1155" s="45"/>
    </row>
    <row r="1156" spans="1:40" hidden="1" outlineLevel="2" collapsed="1" x14ac:dyDescent="0.35">
      <c r="A1156" s="45"/>
      <c r="B1156" s="54"/>
      <c r="C1156" s="47">
        <f t="shared" ref="C1156:C1163" si="312">INT($C$29)+2</f>
        <v>3</v>
      </c>
      <c r="D1156" s="73"/>
      <c r="E1156" s="70"/>
      <c r="F1156" s="70" t="s">
        <v>1718</v>
      </c>
      <c r="G1156" s="73"/>
      <c r="H1156" s="76" t="s">
        <v>3493</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35">
      <c r="A1157" s="45"/>
      <c r="B1157" s="54"/>
      <c r="C1157" s="47">
        <f t="shared" si="312"/>
        <v>3</v>
      </c>
      <c r="D1157" s="73"/>
      <c r="E1157" s="70"/>
      <c r="F1157" s="70" t="s">
        <v>3504</v>
      </c>
      <c r="G1157" s="73"/>
      <c r="H1157" s="76" t="s">
        <v>3500</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312"/>
        <v>3</v>
      </c>
      <c r="D1158" s="73"/>
      <c r="E1158" s="70"/>
      <c r="F1158" s="70" t="s">
        <v>1719</v>
      </c>
      <c r="G1158" s="73"/>
      <c r="H1158" s="76" t="s">
        <v>3501</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312"/>
        <v>3</v>
      </c>
      <c r="D1159" s="73"/>
      <c r="E1159" s="70"/>
      <c r="F1159" s="70" t="s">
        <v>3505</v>
      </c>
      <c r="G1159" s="73"/>
      <c r="H1159" s="76" t="s">
        <v>3502</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312"/>
        <v>3</v>
      </c>
      <c r="D1160" s="73"/>
      <c r="E1160" s="70"/>
      <c r="F1160" s="70" t="s">
        <v>1722</v>
      </c>
      <c r="G1160" s="73"/>
      <c r="H1160" s="76" t="s">
        <v>3503</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312"/>
        <v>3</v>
      </c>
      <c r="D1161" s="73"/>
      <c r="E1161" s="70"/>
      <c r="F1161" s="70" t="s">
        <v>3506</v>
      </c>
      <c r="G1161" s="73"/>
      <c r="H1161" s="76" t="s">
        <v>1724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312"/>
        <v>3</v>
      </c>
      <c r="D1162" s="73"/>
      <c r="E1162" s="70"/>
      <c r="F1162" s="70" t="s">
        <v>1725</v>
      </c>
      <c r="G1162" s="73"/>
      <c r="H1162" s="76" t="s">
        <v>1726</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312"/>
        <v>3</v>
      </c>
      <c r="D1163" s="73"/>
      <c r="E1163" s="70"/>
      <c r="F1163" s="70" t="s">
        <v>1727</v>
      </c>
      <c r="G1163" s="73"/>
      <c r="H1163" s="76" t="s">
        <v>1728</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ref="C1164:C1195" si="313">INT($C$29)+3</f>
        <v>4</v>
      </c>
      <c r="D1164" s="73"/>
      <c r="E1164" s="70"/>
      <c r="F1164" s="70" t="s">
        <v>1729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si="313"/>
        <v>4</v>
      </c>
      <c r="D1165" s="73"/>
      <c r="E1165" s="70"/>
      <c r="F1165" s="70" t="s">
        <v>1730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313"/>
        <v>4</v>
      </c>
      <c r="D1166" s="73"/>
      <c r="E1166" s="70"/>
      <c r="F1166" s="70" t="s">
        <v>1731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313"/>
        <v>4</v>
      </c>
      <c r="D1167" s="73"/>
      <c r="E1167" s="70"/>
      <c r="F1167" s="70" t="s">
        <v>1732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313"/>
        <v>4</v>
      </c>
      <c r="D1168" s="73"/>
      <c r="E1168" s="70"/>
      <c r="F1168" s="70" t="s">
        <v>1733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313"/>
        <v>4</v>
      </c>
      <c r="D1169" s="73"/>
      <c r="E1169" s="70"/>
      <c r="F1169" s="70" t="s">
        <v>1734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313"/>
        <v>4</v>
      </c>
      <c r="D1170" s="73"/>
      <c r="E1170" s="70"/>
      <c r="F1170" s="70" t="s">
        <v>1735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313"/>
        <v>4</v>
      </c>
      <c r="D1171" s="73"/>
      <c r="E1171" s="70"/>
      <c r="F1171" s="70" t="s">
        <v>1736</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si="313"/>
        <v>4</v>
      </c>
      <c r="D1172" s="73"/>
      <c r="E1172" s="70"/>
      <c r="F1172" s="70" t="s">
        <v>1737</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313"/>
        <v>4</v>
      </c>
      <c r="D1173" s="73"/>
      <c r="E1173" s="70"/>
      <c r="F1173" s="70" t="s">
        <v>1738</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313"/>
        <v>4</v>
      </c>
      <c r="D1174" s="73"/>
      <c r="E1174" s="70"/>
      <c r="F1174" s="70" t="s">
        <v>1739</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313"/>
        <v>4</v>
      </c>
      <c r="D1175" s="73"/>
      <c r="E1175" s="70"/>
      <c r="F1175" s="70" t="s">
        <v>1740</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313"/>
        <v>4</v>
      </c>
      <c r="D1176" s="73"/>
      <c r="E1176" s="70"/>
      <c r="F1176" s="70" t="s">
        <v>1741</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313"/>
        <v>4</v>
      </c>
      <c r="D1177" s="73"/>
      <c r="E1177" s="70"/>
      <c r="F1177" s="70" t="s">
        <v>1742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313"/>
        <v>4</v>
      </c>
      <c r="D1178" s="73"/>
      <c r="E1178" s="70"/>
      <c r="F1178" s="70" t="s">
        <v>1743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313"/>
        <v>4</v>
      </c>
      <c r="D1179" s="73"/>
      <c r="E1179" s="70"/>
      <c r="F1179" s="70" t="s">
        <v>1744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313"/>
        <v>4</v>
      </c>
      <c r="D1180" s="73"/>
      <c r="E1180" s="70"/>
      <c r="F1180" s="70" t="s">
        <v>1745</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313"/>
        <v>4</v>
      </c>
      <c r="D1181" s="73"/>
      <c r="E1181" s="70"/>
      <c r="F1181" s="70" t="s">
        <v>1746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313"/>
        <v>4</v>
      </c>
      <c r="D1182" s="73"/>
      <c r="E1182" s="70"/>
      <c r="F1182" s="70" t="s">
        <v>1747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313"/>
        <v>4</v>
      </c>
      <c r="D1183" s="73"/>
      <c r="E1183" s="70"/>
      <c r="F1183" s="70" t="s">
        <v>1748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313"/>
        <v>4</v>
      </c>
      <c r="D1184" s="73"/>
      <c r="E1184" s="70"/>
      <c r="F1184" s="70" t="s">
        <v>1749</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313"/>
        <v>4</v>
      </c>
      <c r="D1185" s="73"/>
      <c r="E1185" s="70"/>
      <c r="F1185" s="70" t="s">
        <v>1750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313"/>
        <v>4</v>
      </c>
      <c r="D1186" s="73"/>
      <c r="E1186" s="70"/>
      <c r="F1186" s="70" t="s">
        <v>1751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313"/>
        <v>4</v>
      </c>
      <c r="D1187" s="73"/>
      <c r="E1187" s="70"/>
      <c r="F1187" s="70" t="s">
        <v>1752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313"/>
        <v>4</v>
      </c>
      <c r="D1188" s="73"/>
      <c r="E1188" s="70"/>
      <c r="F1188" s="70" t="s">
        <v>1753</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313"/>
        <v>4</v>
      </c>
      <c r="D1189" s="73"/>
      <c r="E1189" s="70"/>
      <c r="F1189" s="70" t="s">
        <v>1754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313"/>
        <v>4</v>
      </c>
      <c r="D1190" s="73"/>
      <c r="E1190" s="70"/>
      <c r="F1190" s="70" t="s">
        <v>1755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313"/>
        <v>4</v>
      </c>
      <c r="D1191" s="73"/>
      <c r="E1191" s="70"/>
      <c r="F1191" s="70" t="s">
        <v>1756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313"/>
        <v>4</v>
      </c>
      <c r="D1192" s="73"/>
      <c r="E1192" s="70"/>
      <c r="F1192" s="70" t="s">
        <v>1757</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313"/>
        <v>4</v>
      </c>
      <c r="D1193" s="73"/>
      <c r="E1193" s="70"/>
      <c r="F1193" s="70" t="s">
        <v>1758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313"/>
        <v>4</v>
      </c>
      <c r="D1194" s="73"/>
      <c r="E1194" s="70"/>
      <c r="F1194" s="70" t="s">
        <v>1759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313"/>
        <v>4</v>
      </c>
      <c r="D1195" s="73"/>
      <c r="E1195" s="70"/>
      <c r="F1195" s="70" t="s">
        <v>1760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ref="C1196:C1227" si="314">INT($C$29)+3</f>
        <v>4</v>
      </c>
      <c r="D1196" s="73"/>
      <c r="E1196" s="70"/>
      <c r="F1196" s="70" t="s">
        <v>1761</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si="314"/>
        <v>4</v>
      </c>
      <c r="D1197" s="73"/>
      <c r="E1197" s="70"/>
      <c r="F1197" s="70" t="s">
        <v>1762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314"/>
        <v>4</v>
      </c>
      <c r="D1198" s="73"/>
      <c r="E1198" s="70"/>
      <c r="F1198" s="70" t="s">
        <v>1763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314"/>
        <v>4</v>
      </c>
      <c r="D1199" s="73"/>
      <c r="E1199" s="70"/>
      <c r="F1199" s="70" t="s">
        <v>1764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314"/>
        <v>4</v>
      </c>
      <c r="D1200" s="73"/>
      <c r="E1200" s="70"/>
      <c r="F1200" s="70" t="s">
        <v>1765</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314"/>
        <v>4</v>
      </c>
      <c r="D1201" s="73"/>
      <c r="E1201" s="70"/>
      <c r="F1201" s="70" t="s">
        <v>1766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314"/>
        <v>4</v>
      </c>
      <c r="D1202" s="73"/>
      <c r="E1202" s="70"/>
      <c r="F1202" s="70" t="s">
        <v>1767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314"/>
        <v>4</v>
      </c>
      <c r="D1203" s="73"/>
      <c r="E1203" s="70"/>
      <c r="F1203" s="70" t="s">
        <v>1768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si="314"/>
        <v>4</v>
      </c>
      <c r="D1204" s="73"/>
      <c r="E1204" s="70"/>
      <c r="F1204" s="70" t="s">
        <v>1769</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314"/>
        <v>4</v>
      </c>
      <c r="D1205" s="73"/>
      <c r="E1205" s="70"/>
      <c r="F1205" s="70" t="s">
        <v>1770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314"/>
        <v>4</v>
      </c>
      <c r="D1206" s="73"/>
      <c r="E1206" s="70"/>
      <c r="F1206" s="70" t="s">
        <v>1771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314"/>
        <v>4</v>
      </c>
      <c r="D1207" s="73"/>
      <c r="E1207" s="70"/>
      <c r="F1207" s="70" t="s">
        <v>1772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314"/>
        <v>4</v>
      </c>
      <c r="D1208" s="73"/>
      <c r="E1208" s="70"/>
      <c r="F1208" s="70" t="s">
        <v>1773</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314"/>
        <v>4</v>
      </c>
      <c r="D1209" s="73"/>
      <c r="E1209" s="70"/>
      <c r="F1209" s="70" t="s">
        <v>1774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314"/>
        <v>4</v>
      </c>
      <c r="D1210" s="73"/>
      <c r="E1210" s="70"/>
      <c r="F1210" s="70" t="s">
        <v>1775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314"/>
        <v>4</v>
      </c>
      <c r="D1211" s="73"/>
      <c r="E1211" s="70"/>
      <c r="F1211" s="70" t="s">
        <v>1776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314"/>
        <v>4</v>
      </c>
      <c r="D1212" s="73"/>
      <c r="E1212" s="70"/>
      <c r="F1212" s="70" t="s">
        <v>1777</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314"/>
        <v>4</v>
      </c>
      <c r="D1213" s="73"/>
      <c r="E1213" s="70"/>
      <c r="F1213" s="70" t="s">
        <v>1778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314"/>
        <v>4</v>
      </c>
      <c r="D1214" s="73"/>
      <c r="E1214" s="70"/>
      <c r="F1214" s="70" t="s">
        <v>1779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314"/>
        <v>4</v>
      </c>
      <c r="D1215" s="73"/>
      <c r="E1215" s="70"/>
      <c r="F1215" s="70" t="s">
        <v>1780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314"/>
        <v>4</v>
      </c>
      <c r="D1216" s="73"/>
      <c r="E1216" s="70"/>
      <c r="F1216" s="70" t="s">
        <v>1781</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314"/>
        <v>4</v>
      </c>
      <c r="D1217" s="73"/>
      <c r="E1217" s="70"/>
      <c r="F1217" s="70" t="s">
        <v>1782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314"/>
        <v>4</v>
      </c>
      <c r="D1218" s="73"/>
      <c r="E1218" s="70"/>
      <c r="F1218" s="70" t="s">
        <v>1783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314"/>
        <v>4</v>
      </c>
      <c r="D1219" s="73"/>
      <c r="E1219" s="70"/>
      <c r="F1219" s="70" t="s">
        <v>1784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314"/>
        <v>4</v>
      </c>
      <c r="D1220" s="73"/>
      <c r="E1220" s="70"/>
      <c r="F1220" s="70" t="s">
        <v>1785</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314"/>
        <v>4</v>
      </c>
      <c r="D1221" s="73"/>
      <c r="E1221" s="70"/>
      <c r="F1221" s="70" t="s">
        <v>1786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314"/>
        <v>4</v>
      </c>
      <c r="D1222" s="73"/>
      <c r="E1222" s="70"/>
      <c r="F1222" s="70" t="s">
        <v>1787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314"/>
        <v>4</v>
      </c>
      <c r="D1223" s="73"/>
      <c r="E1223" s="70"/>
      <c r="F1223" s="70" t="s">
        <v>1788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314"/>
        <v>4</v>
      </c>
      <c r="D1224" s="73"/>
      <c r="E1224" s="70"/>
      <c r="F1224" s="70" t="s">
        <v>1789</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314"/>
        <v>4</v>
      </c>
      <c r="D1225" s="73"/>
      <c r="E1225" s="70"/>
      <c r="F1225" s="70" t="s">
        <v>1790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314"/>
        <v>4</v>
      </c>
      <c r="D1226" s="73"/>
      <c r="E1226" s="70"/>
      <c r="F1226" s="70" t="s">
        <v>1791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314"/>
        <v>4</v>
      </c>
      <c r="D1227" s="73"/>
      <c r="E1227" s="70"/>
      <c r="F1227" s="70" t="s">
        <v>1792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35">
      <c r="A1228" s="45"/>
      <c r="B1228" s="54"/>
      <c r="C1228" s="47">
        <f t="shared" ref="C1228:C1251" si="315">INT($C$29)+3</f>
        <v>4</v>
      </c>
      <c r="D1228" s="73"/>
      <c r="E1228" s="70"/>
      <c r="F1228" s="70" t="s">
        <v>1793</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35">
      <c r="A1229" s="45"/>
      <c r="B1229" s="54"/>
      <c r="C1229" s="47">
        <f t="shared" si="315"/>
        <v>4</v>
      </c>
      <c r="D1229" s="73"/>
      <c r="E1229" s="70"/>
      <c r="F1229" s="70" t="s">
        <v>1794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35">
      <c r="A1230" s="45"/>
      <c r="B1230" s="54"/>
      <c r="C1230" s="47">
        <f t="shared" si="315"/>
        <v>4</v>
      </c>
      <c r="D1230" s="73"/>
      <c r="E1230" s="70"/>
      <c r="F1230" s="70" t="s">
        <v>1795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35">
      <c r="A1231" s="45"/>
      <c r="B1231" s="54"/>
      <c r="C1231" s="47">
        <f t="shared" si="315"/>
        <v>4</v>
      </c>
      <c r="D1231" s="73"/>
      <c r="E1231" s="70"/>
      <c r="F1231" s="70" t="s">
        <v>1796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35">
      <c r="A1232" s="45"/>
      <c r="B1232" s="54"/>
      <c r="C1232" s="47">
        <f t="shared" si="315"/>
        <v>4</v>
      </c>
      <c r="D1232" s="73"/>
      <c r="E1232" s="70"/>
      <c r="F1232" s="70" t="s">
        <v>1797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35">
      <c r="A1233" s="45"/>
      <c r="B1233" s="54"/>
      <c r="C1233" s="47">
        <f t="shared" si="315"/>
        <v>4</v>
      </c>
      <c r="D1233" s="73"/>
      <c r="E1233" s="70"/>
      <c r="F1233" s="70" t="s">
        <v>1798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35">
      <c r="A1234" s="45"/>
      <c r="B1234" s="54"/>
      <c r="C1234" s="47">
        <f t="shared" si="315"/>
        <v>4</v>
      </c>
      <c r="D1234" s="73"/>
      <c r="E1234" s="70"/>
      <c r="F1234" s="70" t="s">
        <v>1799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35">
      <c r="A1235" s="45"/>
      <c r="B1235" s="54"/>
      <c r="C1235" s="47">
        <f t="shared" si="315"/>
        <v>4</v>
      </c>
      <c r="D1235" s="73"/>
      <c r="E1235" s="70"/>
      <c r="F1235" s="70" t="s">
        <v>1800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35">
      <c r="A1236" s="45"/>
      <c r="B1236" s="54"/>
      <c r="C1236" s="47">
        <f t="shared" si="315"/>
        <v>4</v>
      </c>
      <c r="D1236" s="73"/>
      <c r="E1236" s="70"/>
      <c r="F1236" s="70" t="s">
        <v>1801</v>
      </c>
      <c r="G1236" s="73"/>
      <c r="H1236" s="76" t="s">
        <v>604</v>
      </c>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35">
      <c r="A1237" s="45"/>
      <c r="B1237" s="54"/>
      <c r="C1237" s="47">
        <f t="shared" si="315"/>
        <v>4</v>
      </c>
      <c r="D1237" s="73"/>
      <c r="E1237" s="70"/>
      <c r="F1237" s="70" t="s">
        <v>1802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35">
      <c r="A1238" s="45"/>
      <c r="B1238" s="54"/>
      <c r="C1238" s="47">
        <f t="shared" si="315"/>
        <v>4</v>
      </c>
      <c r="D1238" s="73"/>
      <c r="E1238" s="70"/>
      <c r="F1238" s="70" t="s">
        <v>1803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35">
      <c r="A1239" s="45"/>
      <c r="B1239" s="54"/>
      <c r="C1239" s="47">
        <f t="shared" si="315"/>
        <v>4</v>
      </c>
      <c r="D1239" s="73"/>
      <c r="E1239" s="70"/>
      <c r="F1239" s="70" t="s">
        <v>1804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35">
      <c r="A1240" s="45"/>
      <c r="B1240" s="54"/>
      <c r="C1240" s="47">
        <f t="shared" si="315"/>
        <v>4</v>
      </c>
      <c r="D1240" s="73"/>
      <c r="E1240" s="70"/>
      <c r="F1240" s="70" t="s">
        <v>1805</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35">
      <c r="A1241" s="45"/>
      <c r="B1241" s="54"/>
      <c r="C1241" s="47">
        <f t="shared" si="315"/>
        <v>4</v>
      </c>
      <c r="D1241" s="73"/>
      <c r="E1241" s="70"/>
      <c r="F1241" s="70" t="s">
        <v>1806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35">
      <c r="A1242" s="45"/>
      <c r="B1242" s="54"/>
      <c r="C1242" s="47">
        <f t="shared" si="315"/>
        <v>4</v>
      </c>
      <c r="D1242" s="73"/>
      <c r="E1242" s="70"/>
      <c r="F1242" s="70" t="s">
        <v>1807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35">
      <c r="A1243" s="45"/>
      <c r="B1243" s="54"/>
      <c r="C1243" s="47">
        <f t="shared" si="315"/>
        <v>4</v>
      </c>
      <c r="D1243" s="73"/>
      <c r="E1243" s="70"/>
      <c r="F1243" s="70" t="s">
        <v>1808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35">
      <c r="A1244" s="45"/>
      <c r="B1244" s="54"/>
      <c r="C1244" s="47">
        <f t="shared" si="315"/>
        <v>4</v>
      </c>
      <c r="D1244" s="73"/>
      <c r="E1244" s="70"/>
      <c r="F1244" s="70" t="s">
        <v>1809</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315"/>
        <v>4</v>
      </c>
      <c r="D1245" s="73"/>
      <c r="E1245" s="70"/>
      <c r="F1245" s="70" t="s">
        <v>1810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315"/>
        <v>4</v>
      </c>
      <c r="D1246" s="73"/>
      <c r="E1246" s="70"/>
      <c r="F1246" s="70" t="s">
        <v>1811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315"/>
        <v>4</v>
      </c>
      <c r="D1247" s="73"/>
      <c r="E1247" s="70"/>
      <c r="F1247" s="70" t="s">
        <v>1812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315"/>
        <v>4</v>
      </c>
      <c r="D1248" s="73"/>
      <c r="E1248" s="70"/>
      <c r="F1248" s="70" t="s">
        <v>1813</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315"/>
        <v>4</v>
      </c>
      <c r="D1249" s="73"/>
      <c r="E1249" s="70"/>
      <c r="F1249" s="70" t="s">
        <v>1814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315"/>
        <v>4</v>
      </c>
      <c r="D1250" s="73"/>
      <c r="E1250" s="70"/>
      <c r="F1250" s="70" t="s">
        <v>1815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315"/>
        <v>4</v>
      </c>
      <c r="D1251" s="73"/>
      <c r="E1251" s="70"/>
      <c r="F1251" s="70" t="s">
        <v>1816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2" x14ac:dyDescent="0.35">
      <c r="A1252" s="45"/>
      <c r="B1252" s="54"/>
      <c r="C1252" s="47">
        <f>INT($C$29)+2</f>
        <v>3</v>
      </c>
      <c r="D1252" s="73"/>
      <c r="E1252" s="70"/>
      <c r="F1252" s="70" t="s">
        <v>1817</v>
      </c>
      <c r="G1252" s="73"/>
      <c r="H1252" s="76" t="s">
        <v>1818</v>
      </c>
      <c r="I1252" s="96" t="s">
        <v>2150</v>
      </c>
      <c r="J1252" s="96"/>
      <c r="K1252" s="76"/>
      <c r="L1252" s="76"/>
      <c r="M1252" s="76"/>
      <c r="N1252" s="76"/>
      <c r="O1252" s="76"/>
      <c r="P1252" s="76"/>
      <c r="Q1252" s="76"/>
      <c r="R1252" s="76"/>
      <c r="S1252" s="76"/>
      <c r="T1252" s="76"/>
      <c r="U1252" s="97">
        <v>1.2E-2</v>
      </c>
      <c r="V1252" s="97">
        <v>1.2E-2</v>
      </c>
      <c r="W1252" s="97">
        <v>1.2E-2</v>
      </c>
      <c r="X1252" s="97">
        <v>1.2E-2</v>
      </c>
      <c r="Y1252" s="97">
        <v>1.2E-2</v>
      </c>
      <c r="Z1252" s="255">
        <f>Y1252</f>
        <v>1.2E-2</v>
      </c>
      <c r="AA1252" s="255">
        <f>Z1252</f>
        <v>1.2E-2</v>
      </c>
      <c r="AB1252" s="255">
        <f>AA1252</f>
        <v>1.2E-2</v>
      </c>
      <c r="AC1252" s="255">
        <f>AB1252</f>
        <v>1.2E-2</v>
      </c>
      <c r="AD1252" s="255">
        <f>AC1252</f>
        <v>1.2E-2</v>
      </c>
      <c r="AE1252" s="76"/>
      <c r="AF1252" s="97" t="s">
        <v>1819</v>
      </c>
      <c r="AG1252" s="76"/>
      <c r="AH1252" s="97">
        <v>1</v>
      </c>
      <c r="AI1252" s="97">
        <v>1</v>
      </c>
      <c r="AJ1252" s="73"/>
      <c r="AK1252" s="57"/>
      <c r="AL1252" s="45"/>
      <c r="AM1252" s="45"/>
      <c r="AN1252" s="45"/>
    </row>
    <row r="1253" spans="1:40" hidden="1" outlineLevel="2" x14ac:dyDescent="0.35">
      <c r="A1253" s="45"/>
      <c r="B1253" s="54"/>
      <c r="C1253" s="47">
        <f>INT($C$29)+2</f>
        <v>3</v>
      </c>
      <c r="D1253" s="73"/>
      <c r="E1253" s="70"/>
      <c r="F1253" s="70" t="s">
        <v>1820</v>
      </c>
      <c r="G1253" s="73"/>
      <c r="H1253" s="76" t="s">
        <v>1821</v>
      </c>
      <c r="I1253" s="96"/>
      <c r="J1253" s="96"/>
      <c r="K1253" s="76"/>
      <c r="L1253" s="76"/>
      <c r="M1253" s="76"/>
      <c r="N1253" s="76"/>
      <c r="O1253" s="76"/>
      <c r="P1253" s="76"/>
      <c r="Q1253" s="76"/>
      <c r="R1253" s="76"/>
      <c r="S1253" s="76"/>
      <c r="T1253" s="76"/>
      <c r="U1253" s="280">
        <f t="shared" ref="U1253:AD1253" si="316">U1254</f>
        <v>9.9999999999999985E-3</v>
      </c>
      <c r="V1253" s="253">
        <f t="shared" si="316"/>
        <v>9.9999999999999985E-3</v>
      </c>
      <c r="W1253" s="253">
        <f t="shared" si="316"/>
        <v>9.9999999999999985E-3</v>
      </c>
      <c r="X1253" s="253">
        <f t="shared" si="316"/>
        <v>9.9999999999999985E-3</v>
      </c>
      <c r="Y1253" s="253">
        <f t="shared" si="316"/>
        <v>9.9999999999999985E-3</v>
      </c>
      <c r="Z1253" s="253">
        <f t="shared" si="316"/>
        <v>9.9999999999999985E-3</v>
      </c>
      <c r="AA1253" s="253">
        <f t="shared" si="316"/>
        <v>9.9999999999999985E-3</v>
      </c>
      <c r="AB1253" s="253">
        <f t="shared" si="316"/>
        <v>9.9999999999999985E-3</v>
      </c>
      <c r="AC1253" s="253">
        <f t="shared" si="316"/>
        <v>9.9999999999999985E-3</v>
      </c>
      <c r="AD1253" s="253">
        <f t="shared" si="316"/>
        <v>9.9999999999999985E-3</v>
      </c>
      <c r="AE1253" s="76"/>
      <c r="AF1253" s="76"/>
      <c r="AG1253" s="76"/>
      <c r="AH1253" s="253">
        <f>AH1254</f>
        <v>1</v>
      </c>
      <c r="AI1253" s="253">
        <f>AI1254</f>
        <v>1</v>
      </c>
      <c r="AJ1253" s="73"/>
      <c r="AK1253" s="57"/>
      <c r="AL1253" s="45"/>
      <c r="AM1253" s="45"/>
      <c r="AN1253" s="45"/>
    </row>
    <row r="1254" spans="1:40" hidden="1" outlineLevel="2" x14ac:dyDescent="0.35">
      <c r="A1254" s="45"/>
      <c r="B1254" s="54"/>
      <c r="C1254" s="47">
        <f>INT($C$29)+2</f>
        <v>3</v>
      </c>
      <c r="D1254" s="73"/>
      <c r="E1254" s="70"/>
      <c r="F1254" s="70" t="s">
        <v>1822</v>
      </c>
      <c r="G1254" s="73"/>
      <c r="H1254" s="76" t="s">
        <v>1823</v>
      </c>
      <c r="I1254" s="96" t="s">
        <v>2149</v>
      </c>
      <c r="J1254" s="96"/>
      <c r="K1254" s="76"/>
      <c r="L1254" s="76"/>
      <c r="M1254" s="76"/>
      <c r="N1254" s="76"/>
      <c r="O1254" s="76"/>
      <c r="P1254" s="76"/>
      <c r="Q1254" s="76"/>
      <c r="R1254" s="76"/>
      <c r="S1254" s="76"/>
      <c r="T1254" s="76"/>
      <c r="U1254" s="281">
        <f>0.022-U$1252</f>
        <v>9.9999999999999985E-3</v>
      </c>
      <c r="V1254" s="97">
        <f>0.022-V$1252</f>
        <v>9.9999999999999985E-3</v>
      </c>
      <c r="W1254" s="97">
        <f>0.022-W$1252</f>
        <v>9.9999999999999985E-3</v>
      </c>
      <c r="X1254" s="97">
        <f>0.022-X$1252</f>
        <v>9.9999999999999985E-3</v>
      </c>
      <c r="Y1254" s="97">
        <f>0.022-Y$1252</f>
        <v>9.9999999999999985E-3</v>
      </c>
      <c r="Z1254" s="255">
        <f t="shared" ref="Z1254:AD1255" si="317">Y1254</f>
        <v>9.9999999999999985E-3</v>
      </c>
      <c r="AA1254" s="255">
        <f t="shared" si="317"/>
        <v>9.9999999999999985E-3</v>
      </c>
      <c r="AB1254" s="255">
        <f t="shared" si="317"/>
        <v>9.9999999999999985E-3</v>
      </c>
      <c r="AC1254" s="255">
        <f t="shared" si="317"/>
        <v>9.9999999999999985E-3</v>
      </c>
      <c r="AD1254" s="255">
        <f t="shared" si="317"/>
        <v>9.9999999999999985E-3</v>
      </c>
      <c r="AE1254" s="76"/>
      <c r="AF1254" s="76"/>
      <c r="AG1254" s="76"/>
      <c r="AH1254" s="97">
        <v>1</v>
      </c>
      <c r="AI1254" s="97">
        <v>1</v>
      </c>
      <c r="AJ1254" s="73"/>
      <c r="AK1254" s="57"/>
      <c r="AL1254" s="45"/>
      <c r="AM1254" s="45"/>
      <c r="AN1254" s="45"/>
    </row>
    <row r="1255" spans="1:40" hidden="1" outlineLevel="2" collapsed="1" x14ac:dyDescent="0.35">
      <c r="A1255" s="45"/>
      <c r="B1255" s="54"/>
      <c r="C1255" s="47">
        <f>INT($C$29)+2</f>
        <v>3</v>
      </c>
      <c r="D1255" s="73"/>
      <c r="E1255" s="70"/>
      <c r="F1255" s="70" t="s">
        <v>1824</v>
      </c>
      <c r="G1255" s="73"/>
      <c r="H1255" s="76" t="s">
        <v>1825</v>
      </c>
      <c r="I1255" s="96" t="s">
        <v>2149</v>
      </c>
      <c r="J1255" s="96"/>
      <c r="K1255" s="76"/>
      <c r="L1255" s="76"/>
      <c r="M1255" s="76"/>
      <c r="N1255" s="76"/>
      <c r="O1255" s="76"/>
      <c r="P1255" s="76"/>
      <c r="Q1255" s="76"/>
      <c r="R1255" s="76"/>
      <c r="S1255" s="76"/>
      <c r="T1255" s="76"/>
      <c r="U1255" s="281">
        <f>0.021-U$1252</f>
        <v>9.0000000000000011E-3</v>
      </c>
      <c r="V1255" s="97">
        <f>0.021-V$1252</f>
        <v>9.0000000000000011E-3</v>
      </c>
      <c r="W1255" s="97">
        <f>0.021-W$1252</f>
        <v>9.0000000000000011E-3</v>
      </c>
      <c r="X1255" s="97">
        <f>0.021-X$1252</f>
        <v>9.0000000000000011E-3</v>
      </c>
      <c r="Y1255" s="97">
        <f>0.021-Y$1252</f>
        <v>9.0000000000000011E-3</v>
      </c>
      <c r="Z1255" s="255">
        <f t="shared" si="317"/>
        <v>9.0000000000000011E-3</v>
      </c>
      <c r="AA1255" s="255">
        <f t="shared" si="317"/>
        <v>9.0000000000000011E-3</v>
      </c>
      <c r="AB1255" s="255">
        <f t="shared" si="317"/>
        <v>9.0000000000000011E-3</v>
      </c>
      <c r="AC1255" s="255">
        <f t="shared" si="317"/>
        <v>9.0000000000000011E-3</v>
      </c>
      <c r="AD1255" s="255">
        <f t="shared" si="317"/>
        <v>9.0000000000000011E-3</v>
      </c>
      <c r="AE1255" s="76"/>
      <c r="AF1255" s="76"/>
      <c r="AG1255" s="76"/>
      <c r="AH1255" s="97">
        <v>1</v>
      </c>
      <c r="AI1255" s="97">
        <v>1</v>
      </c>
      <c r="AJ1255" s="73"/>
      <c r="AK1255" s="57"/>
      <c r="AL1255" s="45"/>
      <c r="AM1255" s="45"/>
      <c r="AN1255" s="45"/>
    </row>
    <row r="1256" spans="1:40" hidden="1" outlineLevel="3" x14ac:dyDescent="0.35">
      <c r="A1256" s="45"/>
      <c r="B1256" s="54"/>
      <c r="C1256" s="47">
        <f>INT($C$29)+3</f>
        <v>4</v>
      </c>
      <c r="D1256" s="73"/>
      <c r="E1256" s="70"/>
      <c r="F1256" s="70" t="s">
        <v>1826</v>
      </c>
      <c r="G1256" s="73"/>
      <c r="H1256" s="76" t="s">
        <v>1827</v>
      </c>
      <c r="I1256" s="76"/>
      <c r="J1256" s="76"/>
      <c r="K1256" s="76"/>
      <c r="L1256" s="76"/>
      <c r="M1256" s="76"/>
      <c r="N1256" s="76"/>
      <c r="O1256" s="76"/>
      <c r="P1256" s="76"/>
      <c r="Q1256" s="76"/>
      <c r="R1256" s="76"/>
      <c r="S1256" s="76"/>
      <c r="T1256" s="76"/>
      <c r="U1256" s="76">
        <v>0</v>
      </c>
      <c r="V1256" s="76">
        <v>0</v>
      </c>
      <c r="W1256" s="76">
        <v>0</v>
      </c>
      <c r="X1256" s="76">
        <v>0</v>
      </c>
      <c r="Y1256" s="76">
        <v>0</v>
      </c>
      <c r="Z1256" s="76">
        <v>0</v>
      </c>
      <c r="AA1256" s="76">
        <v>0</v>
      </c>
      <c r="AB1256" s="76">
        <v>0</v>
      </c>
      <c r="AC1256" s="76">
        <v>0</v>
      </c>
      <c r="AD1256" s="76">
        <v>0</v>
      </c>
      <c r="AE1256" s="76"/>
      <c r="AF1256" s="76"/>
      <c r="AG1256" s="76"/>
      <c r="AH1256" s="76">
        <v>1</v>
      </c>
      <c r="AI1256" s="76">
        <v>1</v>
      </c>
      <c r="AJ1256" s="73"/>
      <c r="AK1256" s="57"/>
      <c r="AL1256" s="45"/>
      <c r="AM1256" s="45"/>
      <c r="AN1256" s="45"/>
    </row>
    <row r="1257" spans="1:40" hidden="1" outlineLevel="3" x14ac:dyDescent="0.35">
      <c r="A1257" s="45"/>
      <c r="B1257" s="54"/>
      <c r="C1257" s="47">
        <f>INT($C$29)+3</f>
        <v>4</v>
      </c>
      <c r="D1257" s="73"/>
      <c r="E1257" s="70"/>
      <c r="F1257" s="70" t="s">
        <v>1828</v>
      </c>
      <c r="G1257" s="73"/>
      <c r="H1257" s="76" t="s">
        <v>1829</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35">
      <c r="A1258" s="45"/>
      <c r="B1258" s="54"/>
      <c r="C1258" s="47">
        <f>INT($C$29)+3</f>
        <v>4</v>
      </c>
      <c r="D1258" s="73"/>
      <c r="E1258" s="70"/>
      <c r="F1258" s="70" t="s">
        <v>1830</v>
      </c>
      <c r="G1258" s="73"/>
      <c r="H1258" s="76" t="s">
        <v>1831</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2" x14ac:dyDescent="0.35">
      <c r="A1259" s="45"/>
      <c r="B1259" s="54"/>
      <c r="C1259" s="47">
        <f>INT($C$29)+2</f>
        <v>3</v>
      </c>
      <c r="D1259" s="73"/>
      <c r="E1259" s="70"/>
      <c r="F1259" s="70" t="s">
        <v>1832</v>
      </c>
      <c r="G1259" s="73"/>
      <c r="H1259" s="76" t="s">
        <v>1833</v>
      </c>
      <c r="I1259" s="76"/>
      <c r="J1259" s="76"/>
      <c r="K1259" s="76"/>
      <c r="L1259" s="76"/>
      <c r="M1259" s="76"/>
      <c r="N1259" s="76"/>
      <c r="O1259" s="76"/>
      <c r="P1259" s="76"/>
      <c r="Q1259" s="76"/>
      <c r="R1259" s="76"/>
      <c r="S1259" s="76"/>
      <c r="T1259" s="76"/>
      <c r="U1259" s="97">
        <v>0</v>
      </c>
      <c r="V1259" s="97">
        <v>0</v>
      </c>
      <c r="W1259" s="97">
        <v>0</v>
      </c>
      <c r="X1259" s="97">
        <v>0</v>
      </c>
      <c r="Y1259" s="97">
        <v>0</v>
      </c>
      <c r="Z1259" s="255">
        <f t="shared" ref="Z1259:AD1260" si="318">Y1259</f>
        <v>0</v>
      </c>
      <c r="AA1259" s="255">
        <f t="shared" si="318"/>
        <v>0</v>
      </c>
      <c r="AB1259" s="255">
        <f t="shared" si="318"/>
        <v>0</v>
      </c>
      <c r="AC1259" s="255">
        <f t="shared" si="318"/>
        <v>0</v>
      </c>
      <c r="AD1259" s="255">
        <f t="shared" si="318"/>
        <v>0</v>
      </c>
      <c r="AE1259" s="76"/>
      <c r="AF1259" s="97" t="s">
        <v>2147</v>
      </c>
      <c r="AG1259" s="76"/>
      <c r="AH1259" s="97">
        <v>1</v>
      </c>
      <c r="AI1259" s="97">
        <v>1</v>
      </c>
      <c r="AJ1259" s="73"/>
      <c r="AK1259" s="57"/>
      <c r="AL1259" s="45"/>
      <c r="AM1259" s="45"/>
      <c r="AN1259" s="45"/>
    </row>
    <row r="1260" spans="1:40" hidden="1" outlineLevel="2" x14ac:dyDescent="0.35">
      <c r="A1260" s="45"/>
      <c r="B1260" s="54"/>
      <c r="C1260" s="47">
        <f>INT($C$29)+2</f>
        <v>3</v>
      </c>
      <c r="D1260" s="73"/>
      <c r="E1260" s="70"/>
      <c r="F1260" s="70" t="s">
        <v>1834</v>
      </c>
      <c r="G1260" s="73"/>
      <c r="H1260" s="76" t="s">
        <v>1835</v>
      </c>
      <c r="I1260" s="96" t="s">
        <v>2152</v>
      </c>
      <c r="J1260" s="96"/>
      <c r="K1260" s="76"/>
      <c r="L1260" s="76"/>
      <c r="M1260" s="76"/>
      <c r="N1260" s="76"/>
      <c r="O1260" s="76"/>
      <c r="P1260" s="76"/>
      <c r="Q1260" s="76"/>
      <c r="R1260" s="76"/>
      <c r="S1260" s="76"/>
      <c r="T1260" s="76"/>
      <c r="U1260" s="97">
        <v>0</v>
      </c>
      <c r="V1260" s="97">
        <v>0</v>
      </c>
      <c r="W1260" s="97">
        <v>0</v>
      </c>
      <c r="X1260" s="97">
        <v>0</v>
      </c>
      <c r="Y1260" s="97">
        <v>0</v>
      </c>
      <c r="Z1260" s="255">
        <f t="shared" si="318"/>
        <v>0</v>
      </c>
      <c r="AA1260" s="255">
        <f t="shared" si="318"/>
        <v>0</v>
      </c>
      <c r="AB1260" s="255">
        <f t="shared" si="318"/>
        <v>0</v>
      </c>
      <c r="AC1260" s="255">
        <f t="shared" si="318"/>
        <v>0</v>
      </c>
      <c r="AD1260" s="255">
        <f t="shared" si="318"/>
        <v>0</v>
      </c>
      <c r="AE1260" s="76"/>
      <c r="AF1260" s="97" t="s">
        <v>1836</v>
      </c>
      <c r="AG1260" s="76"/>
      <c r="AH1260" s="97">
        <v>1</v>
      </c>
      <c r="AI1260" s="97">
        <v>1</v>
      </c>
      <c r="AJ1260" s="73"/>
      <c r="AK1260" s="57"/>
      <c r="AL1260" s="45"/>
      <c r="AM1260" s="45"/>
      <c r="AN1260" s="45"/>
    </row>
    <row r="1261" spans="1:40" hidden="1" outlineLevel="2" x14ac:dyDescent="0.35">
      <c r="A1261" s="45"/>
      <c r="B1261" s="54"/>
      <c r="C1261" s="47">
        <f>INT($C$29)+2</f>
        <v>3</v>
      </c>
      <c r="D1261" s="73"/>
      <c r="E1261" s="70"/>
      <c r="F1261" s="70" t="s">
        <v>1837</v>
      </c>
      <c r="G1261" s="73"/>
      <c r="H1261" s="76" t="s">
        <v>1838</v>
      </c>
      <c r="I1261" s="96"/>
      <c r="J1261" s="96"/>
      <c r="K1261" s="76"/>
      <c r="L1261" s="76"/>
      <c r="M1261" s="76"/>
      <c r="N1261" s="76"/>
      <c r="O1261" s="76"/>
      <c r="P1261" s="76"/>
      <c r="Q1261" s="76"/>
      <c r="R1261" s="76"/>
      <c r="S1261" s="76"/>
      <c r="T1261" s="76"/>
      <c r="U1261" s="253">
        <f t="shared" ref="U1261:AD1261" si="319">U1262</f>
        <v>-1.9E-2</v>
      </c>
      <c r="V1261" s="253">
        <f t="shared" si="319"/>
        <v>-1.9E-2</v>
      </c>
      <c r="W1261" s="253">
        <f t="shared" si="319"/>
        <v>-1.9E-2</v>
      </c>
      <c r="X1261" s="253">
        <f t="shared" si="319"/>
        <v>-1.9E-2</v>
      </c>
      <c r="Y1261" s="253">
        <f t="shared" si="319"/>
        <v>-1.9E-2</v>
      </c>
      <c r="Z1261" s="253">
        <f t="shared" si="319"/>
        <v>-1.9E-2</v>
      </c>
      <c r="AA1261" s="253">
        <f t="shared" si="319"/>
        <v>-1.9E-2</v>
      </c>
      <c r="AB1261" s="253">
        <f t="shared" si="319"/>
        <v>-1.9E-2</v>
      </c>
      <c r="AC1261" s="253">
        <f t="shared" si="319"/>
        <v>-1.9E-2</v>
      </c>
      <c r="AD1261" s="253">
        <f t="shared" si="319"/>
        <v>-1.9E-2</v>
      </c>
      <c r="AE1261" s="76"/>
      <c r="AF1261" s="76"/>
      <c r="AG1261" s="76"/>
      <c r="AH1261" s="253">
        <f>AH1262</f>
        <v>1</v>
      </c>
      <c r="AI1261" s="253">
        <f>AI1262</f>
        <v>1</v>
      </c>
      <c r="AJ1261" s="73"/>
      <c r="AK1261" s="57"/>
      <c r="AL1261" s="45"/>
      <c r="AM1261" s="45"/>
      <c r="AN1261" s="45"/>
    </row>
    <row r="1262" spans="1:40" hidden="1" outlineLevel="2" x14ac:dyDescent="0.35">
      <c r="A1262" s="45"/>
      <c r="B1262" s="54"/>
      <c r="C1262" s="47">
        <f>INT($C$29)+2</f>
        <v>3</v>
      </c>
      <c r="D1262" s="73"/>
      <c r="E1262" s="70"/>
      <c r="F1262" s="70" t="s">
        <v>1839</v>
      </c>
      <c r="G1262" s="73"/>
      <c r="H1262" s="76" t="s">
        <v>1840</v>
      </c>
      <c r="I1262" s="96" t="s">
        <v>2151</v>
      </c>
      <c r="J1262" s="96"/>
      <c r="K1262" s="76"/>
      <c r="L1262" s="76"/>
      <c r="M1262" s="76"/>
      <c r="N1262" s="76"/>
      <c r="O1262" s="76"/>
      <c r="P1262" s="76"/>
      <c r="Q1262" s="76"/>
      <c r="R1262" s="76"/>
      <c r="S1262" s="76"/>
      <c r="T1262" s="76"/>
      <c r="U1262" s="97">
        <f>-0.019-U$1260</f>
        <v>-1.9E-2</v>
      </c>
      <c r="V1262" s="97">
        <f>-0.019-V$1260</f>
        <v>-1.9E-2</v>
      </c>
      <c r="W1262" s="97">
        <f>-0.019-W$1260</f>
        <v>-1.9E-2</v>
      </c>
      <c r="X1262" s="97">
        <f>-0.019-X$1260</f>
        <v>-1.9E-2</v>
      </c>
      <c r="Y1262" s="97">
        <f>-0.019-Y$1260</f>
        <v>-1.9E-2</v>
      </c>
      <c r="Z1262" s="255">
        <f t="shared" ref="Z1262:AD1263" si="320">Y1262</f>
        <v>-1.9E-2</v>
      </c>
      <c r="AA1262" s="255">
        <f t="shared" si="320"/>
        <v>-1.9E-2</v>
      </c>
      <c r="AB1262" s="255">
        <f t="shared" si="320"/>
        <v>-1.9E-2</v>
      </c>
      <c r="AC1262" s="255">
        <f t="shared" si="320"/>
        <v>-1.9E-2</v>
      </c>
      <c r="AD1262" s="255">
        <f t="shared" si="320"/>
        <v>-1.9E-2</v>
      </c>
      <c r="AE1262" s="76"/>
      <c r="AF1262" s="76"/>
      <c r="AG1262" s="76"/>
      <c r="AH1262" s="97">
        <v>1</v>
      </c>
      <c r="AI1262" s="97">
        <v>1</v>
      </c>
      <c r="AJ1262" s="73"/>
      <c r="AK1262" s="57"/>
      <c r="AL1262" s="45"/>
      <c r="AM1262" s="45"/>
      <c r="AN1262" s="45"/>
    </row>
    <row r="1263" spans="1:40" hidden="1" outlineLevel="2" collapsed="1" x14ac:dyDescent="0.35">
      <c r="A1263" s="45"/>
      <c r="B1263" s="54"/>
      <c r="C1263" s="47">
        <f>INT($C$29)+2</f>
        <v>3</v>
      </c>
      <c r="D1263" s="73"/>
      <c r="E1263" s="70"/>
      <c r="F1263" s="70" t="s">
        <v>1841</v>
      </c>
      <c r="G1263" s="73"/>
      <c r="H1263" s="76" t="s">
        <v>1842</v>
      </c>
      <c r="I1263" s="96" t="s">
        <v>2151</v>
      </c>
      <c r="J1263" s="96"/>
      <c r="K1263" s="76"/>
      <c r="L1263" s="76"/>
      <c r="M1263" s="76"/>
      <c r="N1263" s="76"/>
      <c r="O1263" s="76"/>
      <c r="P1263" s="76"/>
      <c r="Q1263" s="76"/>
      <c r="R1263" s="76"/>
      <c r="S1263" s="76"/>
      <c r="T1263" s="76"/>
      <c r="U1263" s="97">
        <f>-0.031-U$1260</f>
        <v>-3.1E-2</v>
      </c>
      <c r="V1263" s="97">
        <f>-0.031-V$1260</f>
        <v>-3.1E-2</v>
      </c>
      <c r="W1263" s="97">
        <f>-0.031-W$1260</f>
        <v>-3.1E-2</v>
      </c>
      <c r="X1263" s="97">
        <f>-0.031-X$1260</f>
        <v>-3.1E-2</v>
      </c>
      <c r="Y1263" s="97">
        <f>-0.031-Y$1260</f>
        <v>-3.1E-2</v>
      </c>
      <c r="Z1263" s="255">
        <f t="shared" si="320"/>
        <v>-3.1E-2</v>
      </c>
      <c r="AA1263" s="255">
        <f t="shared" si="320"/>
        <v>-3.1E-2</v>
      </c>
      <c r="AB1263" s="255">
        <f t="shared" si="320"/>
        <v>-3.1E-2</v>
      </c>
      <c r="AC1263" s="255">
        <f t="shared" si="320"/>
        <v>-3.1E-2</v>
      </c>
      <c r="AD1263" s="255">
        <f t="shared" si="320"/>
        <v>-3.1E-2</v>
      </c>
      <c r="AE1263" s="76"/>
      <c r="AF1263" s="76"/>
      <c r="AG1263" s="76"/>
      <c r="AH1263" s="97">
        <v>1</v>
      </c>
      <c r="AI1263" s="97">
        <v>1</v>
      </c>
      <c r="AJ1263" s="73"/>
      <c r="AK1263" s="57"/>
      <c r="AL1263" s="45"/>
      <c r="AM1263" s="45"/>
      <c r="AN1263" s="45"/>
    </row>
    <row r="1264" spans="1:40" hidden="1" outlineLevel="3" x14ac:dyDescent="0.35">
      <c r="A1264" s="45"/>
      <c r="B1264" s="54"/>
      <c r="C1264" s="47">
        <f>INT($C$29)+3</f>
        <v>4</v>
      </c>
      <c r="D1264" s="73"/>
      <c r="E1264" s="70"/>
      <c r="F1264" s="70" t="s">
        <v>1843</v>
      </c>
      <c r="G1264" s="73"/>
      <c r="H1264" s="76" t="s">
        <v>1844</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35">
      <c r="A1265" s="45"/>
      <c r="B1265" s="54"/>
      <c r="C1265" s="47">
        <f>INT($C$29)+3</f>
        <v>4</v>
      </c>
      <c r="D1265" s="73"/>
      <c r="E1265" s="70"/>
      <c r="F1265" s="70" t="s">
        <v>1845</v>
      </c>
      <c r="G1265" s="73"/>
      <c r="H1265" s="76" t="s">
        <v>1846</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1847</v>
      </c>
      <c r="G1266" s="73"/>
      <c r="H1266" s="76" t="s">
        <v>1848</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collapsed="1" x14ac:dyDescent="0.35">
      <c r="A1267" s="45"/>
      <c r="B1267" s="54"/>
      <c r="C1267" s="47">
        <f>INT($C$29)+2</f>
        <v>3</v>
      </c>
      <c r="D1267" s="73"/>
      <c r="E1267" s="70"/>
      <c r="F1267" s="70" t="s">
        <v>1849</v>
      </c>
      <c r="G1267" s="73"/>
      <c r="H1267" s="76" t="s">
        <v>1728</v>
      </c>
      <c r="I1267" s="76"/>
      <c r="J1267" s="76"/>
      <c r="K1267" s="76"/>
      <c r="L1267" s="76"/>
      <c r="M1267" s="76"/>
      <c r="N1267" s="76"/>
      <c r="O1267" s="76"/>
      <c r="P1267" s="76"/>
      <c r="Q1267" s="76"/>
      <c r="R1267" s="76"/>
      <c r="S1267" s="76"/>
      <c r="T1267" s="76"/>
      <c r="U1267" s="97">
        <v>0</v>
      </c>
      <c r="V1267" s="97">
        <v>0</v>
      </c>
      <c r="W1267" s="97">
        <v>0</v>
      </c>
      <c r="X1267" s="97">
        <v>0</v>
      </c>
      <c r="Y1267" s="97">
        <v>0</v>
      </c>
      <c r="Z1267" s="255">
        <f>Y1267</f>
        <v>0</v>
      </c>
      <c r="AA1267" s="255">
        <f>Z1267</f>
        <v>0</v>
      </c>
      <c r="AB1267" s="255">
        <f>AA1267</f>
        <v>0</v>
      </c>
      <c r="AC1267" s="255">
        <f>AB1267</f>
        <v>0</v>
      </c>
      <c r="AD1267" s="255">
        <f>AC1267</f>
        <v>0</v>
      </c>
      <c r="AE1267" s="76"/>
      <c r="AF1267" s="97" t="s">
        <v>2147</v>
      </c>
      <c r="AG1267" s="76"/>
      <c r="AH1267" s="97">
        <v>1</v>
      </c>
      <c r="AI1267" s="97">
        <v>1</v>
      </c>
      <c r="AJ1267" s="73"/>
      <c r="AK1267" s="57"/>
      <c r="AL1267" s="45"/>
      <c r="AM1267" s="45"/>
      <c r="AN1267" s="45"/>
    </row>
    <row r="1268" spans="1:40" hidden="1" outlineLevel="3" x14ac:dyDescent="0.35">
      <c r="A1268" s="45"/>
      <c r="B1268" s="54"/>
      <c r="C1268" s="47">
        <f t="shared" ref="C1268:C1283" si="321">INT($C$29)+3</f>
        <v>4</v>
      </c>
      <c r="D1268" s="73"/>
      <c r="E1268" s="70"/>
      <c r="F1268" s="70" t="s">
        <v>1850</v>
      </c>
      <c r="G1268" s="73"/>
      <c r="H1268" s="76" t="s">
        <v>604</v>
      </c>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35">
      <c r="A1269" s="45"/>
      <c r="B1269" s="54"/>
      <c r="C1269" s="47">
        <f t="shared" si="321"/>
        <v>4</v>
      </c>
      <c r="D1269" s="73"/>
      <c r="E1269" s="70"/>
      <c r="F1269" s="70" t="s">
        <v>1851</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35">
      <c r="A1270" s="45"/>
      <c r="B1270" s="54"/>
      <c r="C1270" s="47">
        <f t="shared" si="321"/>
        <v>4</v>
      </c>
      <c r="D1270" s="73"/>
      <c r="E1270" s="70"/>
      <c r="F1270" s="70" t="s">
        <v>1852</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35">
      <c r="A1271" s="45"/>
      <c r="B1271" s="54"/>
      <c r="C1271" s="47">
        <f t="shared" si="321"/>
        <v>4</v>
      </c>
      <c r="D1271" s="73"/>
      <c r="E1271" s="70"/>
      <c r="F1271" s="70" t="s">
        <v>1853</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35">
      <c r="A1272" s="45"/>
      <c r="B1272" s="54"/>
      <c r="C1272" s="47">
        <f t="shared" si="321"/>
        <v>4</v>
      </c>
      <c r="D1272" s="73"/>
      <c r="E1272" s="70"/>
      <c r="F1272" s="70" t="s">
        <v>1854</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35">
      <c r="A1273" s="45"/>
      <c r="B1273" s="54"/>
      <c r="C1273" s="47">
        <f t="shared" si="321"/>
        <v>4</v>
      </c>
      <c r="D1273" s="73"/>
      <c r="E1273" s="70"/>
      <c r="F1273" s="70" t="s">
        <v>1855</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35">
      <c r="A1274" s="45"/>
      <c r="B1274" s="54"/>
      <c r="C1274" s="47">
        <f t="shared" si="321"/>
        <v>4</v>
      </c>
      <c r="D1274" s="73"/>
      <c r="E1274" s="70"/>
      <c r="F1274" s="70" t="s">
        <v>1856</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35">
      <c r="A1275" s="45"/>
      <c r="B1275" s="54"/>
      <c r="C1275" s="47">
        <f t="shared" si="321"/>
        <v>4</v>
      </c>
      <c r="D1275" s="73"/>
      <c r="E1275" s="70"/>
      <c r="F1275" s="70" t="s">
        <v>1857</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35">
      <c r="A1276" s="45"/>
      <c r="B1276" s="54"/>
      <c r="C1276" s="47">
        <f t="shared" si="321"/>
        <v>4</v>
      </c>
      <c r="D1276" s="73"/>
      <c r="E1276" s="70"/>
      <c r="F1276" s="70" t="s">
        <v>1858</v>
      </c>
      <c r="G1276" s="73"/>
      <c r="H1276" s="76" t="s">
        <v>604</v>
      </c>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35">
      <c r="A1277" s="45"/>
      <c r="B1277" s="54"/>
      <c r="C1277" s="47">
        <f t="shared" si="321"/>
        <v>4</v>
      </c>
      <c r="D1277" s="73"/>
      <c r="E1277" s="70"/>
      <c r="F1277" s="70" t="s">
        <v>1859</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35">
      <c r="A1278" s="45"/>
      <c r="B1278" s="54"/>
      <c r="C1278" s="47">
        <f t="shared" si="321"/>
        <v>4</v>
      </c>
      <c r="D1278" s="73"/>
      <c r="E1278" s="70"/>
      <c r="F1278" s="70" t="s">
        <v>1860</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35">
      <c r="A1279" s="45"/>
      <c r="B1279" s="54"/>
      <c r="C1279" s="47">
        <f t="shared" si="321"/>
        <v>4</v>
      </c>
      <c r="D1279" s="73"/>
      <c r="E1279" s="70"/>
      <c r="F1279" s="70" t="s">
        <v>1861</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35">
      <c r="A1280" s="45"/>
      <c r="B1280" s="54"/>
      <c r="C1280" s="47">
        <f t="shared" si="321"/>
        <v>4</v>
      </c>
      <c r="D1280" s="73"/>
      <c r="E1280" s="70"/>
      <c r="F1280" s="70" t="s">
        <v>1862</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35">
      <c r="A1281" s="45"/>
      <c r="B1281" s="54"/>
      <c r="C1281" s="47">
        <f t="shared" si="321"/>
        <v>4</v>
      </c>
      <c r="D1281" s="73"/>
      <c r="E1281" s="70"/>
      <c r="F1281" s="70" t="s">
        <v>1863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35">
      <c r="A1282" s="45"/>
      <c r="B1282" s="54"/>
      <c r="C1282" s="47">
        <f t="shared" si="321"/>
        <v>4</v>
      </c>
      <c r="D1282" s="73"/>
      <c r="E1282" s="70"/>
      <c r="F1282" s="70" t="s">
        <v>1864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35">
      <c r="A1283" s="45"/>
      <c r="B1283" s="54"/>
      <c r="C1283" s="47">
        <f t="shared" si="321"/>
        <v>4</v>
      </c>
      <c r="D1283" s="73"/>
      <c r="E1283" s="398"/>
      <c r="F1283" s="398" t="s">
        <v>1865</v>
      </c>
      <c r="G1283" s="73"/>
      <c r="H1283" s="109"/>
      <c r="I1283" s="109"/>
      <c r="J1283" s="109"/>
      <c r="K1283" s="109"/>
      <c r="L1283" s="109"/>
      <c r="M1283" s="109"/>
      <c r="N1283" s="109"/>
      <c r="O1283" s="109"/>
      <c r="P1283" s="109"/>
      <c r="Q1283" s="109"/>
      <c r="R1283" s="109"/>
      <c r="S1283" s="109"/>
      <c r="T1283" s="109"/>
      <c r="U1283" s="109"/>
      <c r="V1283" s="109"/>
      <c r="W1283" s="109"/>
      <c r="X1283" s="109"/>
      <c r="Y1283" s="109"/>
      <c r="Z1283" s="109"/>
      <c r="AA1283" s="109"/>
      <c r="AB1283" s="109"/>
      <c r="AC1283" s="109"/>
      <c r="AD1283" s="109"/>
      <c r="AE1283" s="109"/>
      <c r="AF1283" s="109"/>
      <c r="AG1283" s="109"/>
      <c r="AH1283" s="109">
        <v>1</v>
      </c>
      <c r="AI1283" s="109">
        <v>1</v>
      </c>
      <c r="AJ1283" s="73"/>
      <c r="AK1283" s="57"/>
      <c r="AL1283" s="45"/>
      <c r="AM1283" s="45"/>
      <c r="AN1283" s="45"/>
    </row>
    <row r="1284" spans="1:40" hidden="1" outlineLevel="2" x14ac:dyDescent="0.35">
      <c r="A1284" s="45"/>
      <c r="B1284" s="54"/>
      <c r="C1284" s="47">
        <f>INT($C$29)+2</f>
        <v>3</v>
      </c>
      <c r="D1284" s="73"/>
      <c r="E1284" s="402"/>
      <c r="F1284" s="402" t="s">
        <v>1866</v>
      </c>
      <c r="G1284" s="403"/>
      <c r="H1284" s="181" t="s">
        <v>1867</v>
      </c>
      <c r="I1284" s="151"/>
      <c r="J1284" s="151"/>
      <c r="K1284" s="181"/>
      <c r="L1284" s="181"/>
      <c r="M1284" s="181"/>
      <c r="N1284" s="181"/>
      <c r="O1284" s="181"/>
      <c r="P1284" s="181"/>
      <c r="Q1284" s="181"/>
      <c r="R1284" s="181"/>
      <c r="S1284" s="181"/>
      <c r="T1284" s="181"/>
      <c r="U1284" s="404">
        <v>3.024E-2</v>
      </c>
      <c r="V1284" s="405">
        <f>U1284</f>
        <v>3.024E-2</v>
      </c>
      <c r="W1284" s="405">
        <f>U1284</f>
        <v>3.024E-2</v>
      </c>
      <c r="X1284" s="405">
        <f>V1284</f>
        <v>3.024E-2</v>
      </c>
      <c r="Y1284" s="405">
        <f>V1284</f>
        <v>3.024E-2</v>
      </c>
      <c r="Z1284" s="405">
        <f>AA1284</f>
        <v>2.248E-2</v>
      </c>
      <c r="AA1284" s="404">
        <v>2.248E-2</v>
      </c>
      <c r="AB1284" s="405">
        <f>AA1284</f>
        <v>2.248E-2</v>
      </c>
      <c r="AC1284" s="405">
        <f>AB1284</f>
        <v>2.248E-2</v>
      </c>
      <c r="AD1284" s="405">
        <f>AC1284</f>
        <v>2.248E-2</v>
      </c>
      <c r="AE1284" s="181"/>
      <c r="AF1284" s="404" t="s">
        <v>1868</v>
      </c>
      <c r="AG1284" s="181"/>
      <c r="AH1284" s="404">
        <v>1</v>
      </c>
      <c r="AI1284" s="404">
        <v>1</v>
      </c>
      <c r="AJ1284" s="73"/>
      <c r="AK1284" s="57"/>
      <c r="AL1284" s="45"/>
      <c r="AM1284" s="45"/>
      <c r="AN1284" s="45"/>
    </row>
    <row r="1285" spans="1:40" hidden="1" outlineLevel="2" x14ac:dyDescent="0.35">
      <c r="A1285" s="45"/>
      <c r="B1285" s="54"/>
      <c r="C1285" s="47">
        <f>INT($C$29)+2</f>
        <v>3</v>
      </c>
      <c r="D1285" s="73"/>
      <c r="E1285" s="70"/>
      <c r="F1285" s="70" t="s">
        <v>1869</v>
      </c>
      <c r="G1285" s="234"/>
      <c r="H1285" s="76" t="s">
        <v>1870</v>
      </c>
      <c r="I1285" s="96"/>
      <c r="J1285" s="96"/>
      <c r="K1285" s="76"/>
      <c r="L1285" s="76"/>
      <c r="M1285" s="76"/>
      <c r="N1285" s="76"/>
      <c r="O1285" s="76"/>
      <c r="P1285" s="76"/>
      <c r="Q1285" s="76"/>
      <c r="R1285" s="76"/>
      <c r="S1285" s="76"/>
      <c r="T1285" s="76"/>
      <c r="U1285" s="253">
        <f t="shared" ref="U1285:AD1285" si="322">U1286</f>
        <v>8.5699999999999995E-3</v>
      </c>
      <c r="V1285" s="253">
        <f t="shared" si="322"/>
        <v>8.5699999999999995E-3</v>
      </c>
      <c r="W1285" s="253">
        <f t="shared" si="322"/>
        <v>8.5699999999999995E-3</v>
      </c>
      <c r="X1285" s="253">
        <f t="shared" si="322"/>
        <v>8.5699999999999995E-3</v>
      </c>
      <c r="Y1285" s="253">
        <f t="shared" si="322"/>
        <v>8.5699999999999995E-3</v>
      </c>
      <c r="Z1285" s="253">
        <f t="shared" si="322"/>
        <v>2.7799999999999999E-3</v>
      </c>
      <c r="AA1285" s="253">
        <f t="shared" si="322"/>
        <v>2.7799999999999999E-3</v>
      </c>
      <c r="AB1285" s="253">
        <f t="shared" si="322"/>
        <v>2.7799999999999999E-3</v>
      </c>
      <c r="AC1285" s="253">
        <f t="shared" si="322"/>
        <v>2.7799999999999999E-3</v>
      </c>
      <c r="AD1285" s="253">
        <f t="shared" si="322"/>
        <v>2.7799999999999999E-3</v>
      </c>
      <c r="AE1285" s="76"/>
      <c r="AF1285" s="97" t="s">
        <v>2160</v>
      </c>
      <c r="AG1285" s="76"/>
      <c r="AH1285" s="253">
        <f>AH1286</f>
        <v>1</v>
      </c>
      <c r="AI1285" s="253">
        <f>AI1286</f>
        <v>1</v>
      </c>
      <c r="AJ1285" s="73"/>
      <c r="AK1285" s="57"/>
      <c r="AL1285" s="45"/>
      <c r="AM1285" s="45"/>
      <c r="AN1285" s="45"/>
    </row>
    <row r="1286" spans="1:40" hidden="1" outlineLevel="2" x14ac:dyDescent="0.35">
      <c r="A1286" s="45"/>
      <c r="B1286" s="54"/>
      <c r="C1286" s="47">
        <f>INT($C$29)+2</f>
        <v>3</v>
      </c>
      <c r="D1286" s="73"/>
      <c r="E1286" s="70"/>
      <c r="F1286" s="70" t="s">
        <v>1871</v>
      </c>
      <c r="G1286" s="234"/>
      <c r="H1286" s="76" t="s">
        <v>1872</v>
      </c>
      <c r="I1286" s="96"/>
      <c r="J1286" s="96"/>
      <c r="K1286" s="76"/>
      <c r="L1286" s="76"/>
      <c r="M1286" s="76"/>
      <c r="N1286" s="76"/>
      <c r="O1286" s="76"/>
      <c r="P1286" s="76"/>
      <c r="Q1286" s="76"/>
      <c r="R1286" s="76"/>
      <c r="S1286" s="76"/>
      <c r="T1286" s="76"/>
      <c r="U1286" s="97">
        <v>8.5699999999999995E-3</v>
      </c>
      <c r="V1286" s="400">
        <f>U1286</f>
        <v>8.5699999999999995E-3</v>
      </c>
      <c r="W1286" s="400">
        <f>U1286</f>
        <v>8.5699999999999995E-3</v>
      </c>
      <c r="X1286" s="400">
        <f>V1286</f>
        <v>8.5699999999999995E-3</v>
      </c>
      <c r="Y1286" s="400">
        <f>V1286</f>
        <v>8.5699999999999995E-3</v>
      </c>
      <c r="Z1286" s="400">
        <f>AA1286</f>
        <v>2.7799999999999999E-3</v>
      </c>
      <c r="AA1286" s="97">
        <v>2.7799999999999999E-3</v>
      </c>
      <c r="AB1286" s="400">
        <f t="shared" ref="AB1286:AD1287" si="323">AA1286</f>
        <v>2.7799999999999999E-3</v>
      </c>
      <c r="AC1286" s="400">
        <f t="shared" si="323"/>
        <v>2.7799999999999999E-3</v>
      </c>
      <c r="AD1286" s="400">
        <f t="shared" si="323"/>
        <v>2.7799999999999999E-3</v>
      </c>
      <c r="AE1286" s="76"/>
      <c r="AF1286" s="76"/>
      <c r="AG1286" s="76"/>
      <c r="AH1286" s="97">
        <v>1</v>
      </c>
      <c r="AI1286" s="97">
        <v>1</v>
      </c>
      <c r="AJ1286" s="73"/>
      <c r="AK1286" s="57"/>
      <c r="AL1286" s="45"/>
      <c r="AM1286" s="45"/>
      <c r="AN1286" s="45"/>
    </row>
    <row r="1287" spans="1:40" hidden="1" outlineLevel="2" collapsed="1" x14ac:dyDescent="0.35">
      <c r="A1287" s="45"/>
      <c r="B1287" s="54"/>
      <c r="C1287" s="47">
        <f>INT($C$29)+2</f>
        <v>3</v>
      </c>
      <c r="D1287" s="73"/>
      <c r="E1287" s="70"/>
      <c r="F1287" s="70" t="s">
        <v>1873</v>
      </c>
      <c r="G1287" s="234"/>
      <c r="H1287" s="76" t="s">
        <v>1874</v>
      </c>
      <c r="I1287" s="96"/>
      <c r="J1287" s="96"/>
      <c r="K1287" s="76"/>
      <c r="L1287" s="76"/>
      <c r="M1287" s="76"/>
      <c r="N1287" s="76"/>
      <c r="O1287" s="76"/>
      <c r="P1287" s="76"/>
      <c r="Q1287" s="76"/>
      <c r="R1287" s="76"/>
      <c r="S1287" s="76"/>
      <c r="T1287" s="76"/>
      <c r="U1287" s="97">
        <v>1.626E-2</v>
      </c>
      <c r="V1287" s="400">
        <f>U1287</f>
        <v>1.626E-2</v>
      </c>
      <c r="W1287" s="400">
        <f>U1287</f>
        <v>1.626E-2</v>
      </c>
      <c r="X1287" s="400">
        <f>V1287</f>
        <v>1.626E-2</v>
      </c>
      <c r="Y1287" s="400">
        <f>V1287</f>
        <v>1.626E-2</v>
      </c>
      <c r="Z1287" s="400">
        <f>AA1287</f>
        <v>1.6129999999999999E-2</v>
      </c>
      <c r="AA1287" s="97">
        <v>1.6129999999999999E-2</v>
      </c>
      <c r="AB1287" s="400">
        <f t="shared" si="323"/>
        <v>1.6129999999999999E-2</v>
      </c>
      <c r="AC1287" s="400">
        <f t="shared" si="323"/>
        <v>1.6129999999999999E-2</v>
      </c>
      <c r="AD1287" s="400">
        <f t="shared" si="323"/>
        <v>1.6129999999999999E-2</v>
      </c>
      <c r="AE1287" s="76"/>
      <c r="AF1287" s="76"/>
      <c r="AG1287" s="76"/>
      <c r="AH1287" s="97">
        <v>1</v>
      </c>
      <c r="AI1287" s="97">
        <v>1</v>
      </c>
      <c r="AJ1287" s="73"/>
      <c r="AK1287" s="57"/>
      <c r="AL1287" s="45"/>
      <c r="AM1287" s="45"/>
      <c r="AN1287" s="45"/>
    </row>
    <row r="1288" spans="1:40" hidden="1" outlineLevel="3" x14ac:dyDescent="0.35">
      <c r="A1288" s="45"/>
      <c r="B1288" s="54"/>
      <c r="C1288" s="47">
        <f>INT($C$29)+3</f>
        <v>4</v>
      </c>
      <c r="D1288" s="73"/>
      <c r="E1288" s="70"/>
      <c r="F1288" s="70" t="s">
        <v>1875</v>
      </c>
      <c r="G1288" s="234"/>
      <c r="H1288" s="76" t="s">
        <v>1876</v>
      </c>
      <c r="I1288" s="76"/>
      <c r="J1288" s="76"/>
      <c r="K1288" s="76"/>
      <c r="L1288" s="76"/>
      <c r="M1288" s="76"/>
      <c r="N1288" s="76"/>
      <c r="O1288" s="76"/>
      <c r="P1288" s="76"/>
      <c r="Q1288" s="76"/>
      <c r="R1288" s="76"/>
      <c r="S1288" s="76"/>
      <c r="T1288" s="76"/>
      <c r="U1288" s="76">
        <v>0</v>
      </c>
      <c r="V1288" s="76">
        <v>0</v>
      </c>
      <c r="W1288" s="76">
        <v>0</v>
      </c>
      <c r="X1288" s="76">
        <v>0</v>
      </c>
      <c r="Y1288" s="76">
        <v>0</v>
      </c>
      <c r="Z1288" s="76">
        <v>0</v>
      </c>
      <c r="AA1288" s="76">
        <v>0</v>
      </c>
      <c r="AB1288" s="76">
        <v>0</v>
      </c>
      <c r="AC1288" s="76">
        <v>0</v>
      </c>
      <c r="AD1288" s="76">
        <v>0</v>
      </c>
      <c r="AE1288" s="76"/>
      <c r="AF1288" s="76"/>
      <c r="AG1288" s="76"/>
      <c r="AH1288" s="76">
        <v>1</v>
      </c>
      <c r="AI1288" s="76">
        <v>1</v>
      </c>
      <c r="AJ1288" s="73"/>
      <c r="AK1288" s="57"/>
      <c r="AL1288" s="45"/>
      <c r="AM1288" s="45"/>
      <c r="AN1288" s="45"/>
    </row>
    <row r="1289" spans="1:40" hidden="1" outlineLevel="3" x14ac:dyDescent="0.35">
      <c r="A1289" s="45"/>
      <c r="B1289" s="54"/>
      <c r="C1289" s="47">
        <f>INT($C$29)+3</f>
        <v>4</v>
      </c>
      <c r="D1289" s="73"/>
      <c r="E1289" s="70"/>
      <c r="F1289" s="70" t="s">
        <v>1877</v>
      </c>
      <c r="G1289" s="234"/>
      <c r="H1289" s="76" t="s">
        <v>1878</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1879</v>
      </c>
      <c r="G1290" s="234"/>
      <c r="H1290" s="76" t="s">
        <v>1880</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2" x14ac:dyDescent="0.35">
      <c r="A1291" s="45"/>
      <c r="B1291" s="54"/>
      <c r="C1291" s="47">
        <f t="shared" ref="C1291:C1307" si="324">INT($C$29)+2</f>
        <v>3</v>
      </c>
      <c r="D1291" s="73"/>
      <c r="E1291" s="406"/>
      <c r="F1291" s="406" t="s">
        <v>1881</v>
      </c>
      <c r="G1291" s="407"/>
      <c r="H1291" s="184" t="s">
        <v>1882</v>
      </c>
      <c r="I1291" s="184"/>
      <c r="J1291" s="184"/>
      <c r="K1291" s="184"/>
      <c r="L1291" s="184"/>
      <c r="M1291" s="184"/>
      <c r="N1291" s="184"/>
      <c r="O1291" s="184"/>
      <c r="P1291" s="184"/>
      <c r="Q1291" s="184"/>
      <c r="R1291" s="184"/>
      <c r="S1291" s="184"/>
      <c r="T1291" s="184"/>
      <c r="U1291" s="408">
        <v>3.496</v>
      </c>
      <c r="V1291" s="408">
        <v>3.496</v>
      </c>
      <c r="W1291" s="408">
        <v>3.496</v>
      </c>
      <c r="X1291" s="408">
        <v>3.496</v>
      </c>
      <c r="Y1291" s="408">
        <v>3.496</v>
      </c>
      <c r="Z1291" s="411">
        <f>AA1291</f>
        <v>4.2411000000000003</v>
      </c>
      <c r="AA1291" s="412">
        <v>4.2411000000000003</v>
      </c>
      <c r="AB1291" s="411">
        <f t="shared" ref="AB1291:AD1292" si="325">AA1291</f>
        <v>4.2411000000000003</v>
      </c>
      <c r="AC1291" s="411">
        <f t="shared" si="325"/>
        <v>4.2411000000000003</v>
      </c>
      <c r="AD1291" s="411">
        <f t="shared" si="325"/>
        <v>4.2411000000000003</v>
      </c>
      <c r="AE1291" s="184"/>
      <c r="AF1291" s="184"/>
      <c r="AG1291" s="184"/>
      <c r="AH1291" s="409">
        <v>1</v>
      </c>
      <c r="AI1291" s="409">
        <v>1</v>
      </c>
      <c r="AJ1291" s="73"/>
      <c r="AK1291" s="57"/>
      <c r="AL1291" s="45"/>
      <c r="AM1291" s="45"/>
      <c r="AN1291" s="45"/>
    </row>
    <row r="1292" spans="1:40" hidden="1" outlineLevel="2" x14ac:dyDescent="0.35">
      <c r="A1292" s="45"/>
      <c r="B1292" s="54"/>
      <c r="C1292" s="47">
        <f t="shared" si="324"/>
        <v>3</v>
      </c>
      <c r="D1292" s="73"/>
      <c r="E1292" s="399"/>
      <c r="F1292" s="399" t="s">
        <v>1883</v>
      </c>
      <c r="G1292" s="73"/>
      <c r="H1292" s="105" t="s">
        <v>1884</v>
      </c>
      <c r="I1292" s="177"/>
      <c r="J1292" s="177"/>
      <c r="K1292" s="105"/>
      <c r="L1292" s="105"/>
      <c r="M1292" s="105"/>
      <c r="N1292" s="105"/>
      <c r="O1292" s="105"/>
      <c r="P1292" s="105"/>
      <c r="Q1292" s="105"/>
      <c r="R1292" s="105"/>
      <c r="S1292" s="105"/>
      <c r="T1292" s="105"/>
      <c r="U1292" s="119">
        <v>0.18</v>
      </c>
      <c r="V1292" s="119">
        <v>0.18</v>
      </c>
      <c r="W1292" s="119">
        <v>0.18</v>
      </c>
      <c r="X1292" s="119">
        <v>0.18</v>
      </c>
      <c r="Y1292" s="119">
        <v>0.18</v>
      </c>
      <c r="Z1292" s="401">
        <f>AA1292</f>
        <v>0.13919999999999999</v>
      </c>
      <c r="AA1292" s="119">
        <v>0.13919999999999999</v>
      </c>
      <c r="AB1292" s="401">
        <f t="shared" si="325"/>
        <v>0.13919999999999999</v>
      </c>
      <c r="AC1292" s="401">
        <f t="shared" si="325"/>
        <v>0.13919999999999999</v>
      </c>
      <c r="AD1292" s="401">
        <f t="shared" si="325"/>
        <v>0.13919999999999999</v>
      </c>
      <c r="AE1292" s="105"/>
      <c r="AF1292" s="119" t="s">
        <v>1276</v>
      </c>
      <c r="AG1292" s="105"/>
      <c r="AH1292" s="119">
        <v>1</v>
      </c>
      <c r="AI1292" s="119">
        <v>1</v>
      </c>
      <c r="AJ1292" s="73"/>
      <c r="AK1292" s="57"/>
      <c r="AL1292" s="45"/>
      <c r="AM1292" s="45"/>
      <c r="AN1292" s="45"/>
    </row>
    <row r="1293" spans="1:40" hidden="1" outlineLevel="2" x14ac:dyDescent="0.35">
      <c r="A1293" s="45"/>
      <c r="B1293" s="54"/>
      <c r="C1293" s="47">
        <f t="shared" si="324"/>
        <v>3</v>
      </c>
      <c r="D1293" s="73"/>
      <c r="E1293" s="70"/>
      <c r="F1293" s="70" t="s">
        <v>1885</v>
      </c>
      <c r="G1293" s="73"/>
      <c r="H1293" s="76" t="s">
        <v>1886</v>
      </c>
      <c r="I1293" s="96"/>
      <c r="J1293" s="96"/>
      <c r="K1293" s="76"/>
      <c r="L1293" s="76"/>
      <c r="M1293" s="76"/>
      <c r="N1293" s="76"/>
      <c r="O1293" s="76"/>
      <c r="P1293" s="76"/>
      <c r="Q1293" s="76"/>
      <c r="R1293" s="76"/>
      <c r="S1293" s="76"/>
      <c r="T1293" s="76"/>
      <c r="U1293" s="253">
        <f t="shared" ref="U1293:AD1293" si="326">U1294</f>
        <v>0.03</v>
      </c>
      <c r="V1293" s="253">
        <f t="shared" si="326"/>
        <v>0.03</v>
      </c>
      <c r="W1293" s="253">
        <f t="shared" si="326"/>
        <v>0.03</v>
      </c>
      <c r="X1293" s="253">
        <f t="shared" si="326"/>
        <v>0.03</v>
      </c>
      <c r="Y1293" s="253">
        <f t="shared" si="326"/>
        <v>0.03</v>
      </c>
      <c r="Z1293" s="253">
        <f t="shared" si="326"/>
        <v>7.0000000000000062E-3</v>
      </c>
      <c r="AA1293" s="253">
        <f t="shared" si="326"/>
        <v>7.0000000000000062E-3</v>
      </c>
      <c r="AB1293" s="253">
        <f t="shared" si="326"/>
        <v>7.0000000000000062E-3</v>
      </c>
      <c r="AC1293" s="253">
        <f t="shared" si="326"/>
        <v>7.0000000000000062E-3</v>
      </c>
      <c r="AD1293" s="253">
        <f t="shared" si="326"/>
        <v>7.0000000000000062E-3</v>
      </c>
      <c r="AE1293" s="76"/>
      <c r="AF1293" s="97" t="s">
        <v>2160</v>
      </c>
      <c r="AG1293" s="76"/>
      <c r="AH1293" s="253">
        <f>AH1294</f>
        <v>1</v>
      </c>
      <c r="AI1293" s="253">
        <f>AI1294</f>
        <v>1</v>
      </c>
      <c r="AJ1293" s="73"/>
      <c r="AK1293" s="57"/>
      <c r="AL1293" s="45"/>
      <c r="AM1293" s="45"/>
      <c r="AN1293" s="45"/>
    </row>
    <row r="1294" spans="1:40" hidden="1" outlineLevel="2" x14ac:dyDescent="0.35">
      <c r="A1294" s="45"/>
      <c r="B1294" s="54"/>
      <c r="C1294" s="47">
        <f t="shared" si="324"/>
        <v>3</v>
      </c>
      <c r="D1294" s="73"/>
      <c r="E1294" s="70"/>
      <c r="F1294" s="70" t="s">
        <v>1887</v>
      </c>
      <c r="G1294" s="73"/>
      <c r="H1294" s="76" t="s">
        <v>1720</v>
      </c>
      <c r="I1294" s="96"/>
      <c r="J1294" s="96"/>
      <c r="K1294" s="76"/>
      <c r="L1294" s="76"/>
      <c r="M1294" s="76"/>
      <c r="N1294" s="76"/>
      <c r="O1294" s="76"/>
      <c r="P1294" s="76"/>
      <c r="Q1294" s="76"/>
      <c r="R1294" s="76"/>
      <c r="S1294" s="76"/>
      <c r="T1294" s="76"/>
      <c r="U1294" s="97">
        <f>0.21-U$1292</f>
        <v>0.03</v>
      </c>
      <c r="V1294" s="97">
        <f>0.21-V$1292</f>
        <v>0.03</v>
      </c>
      <c r="W1294" s="97">
        <f>0.21-W$1292</f>
        <v>0.03</v>
      </c>
      <c r="X1294" s="97">
        <f>0.21-X$1292</f>
        <v>0.03</v>
      </c>
      <c r="Y1294" s="97">
        <f>0.21-Y$1292</f>
        <v>0.03</v>
      </c>
      <c r="Z1294" s="255">
        <f t="shared" ref="Z1294:Z1300" si="327">AA1294</f>
        <v>7.0000000000000062E-3</v>
      </c>
      <c r="AA1294" s="97">
        <f>0.1462-AA$1292</f>
        <v>7.0000000000000062E-3</v>
      </c>
      <c r="AB1294" s="255">
        <f t="shared" ref="AB1294:AD1300" si="328">AA1294</f>
        <v>7.0000000000000062E-3</v>
      </c>
      <c r="AC1294" s="255">
        <f t="shared" si="328"/>
        <v>7.0000000000000062E-3</v>
      </c>
      <c r="AD1294" s="255">
        <f t="shared" si="328"/>
        <v>7.0000000000000062E-3</v>
      </c>
      <c r="AE1294" s="76"/>
      <c r="AF1294" s="76"/>
      <c r="AG1294" s="76"/>
      <c r="AH1294" s="97">
        <v>1</v>
      </c>
      <c r="AI1294" s="97">
        <v>1</v>
      </c>
      <c r="AJ1294" s="73"/>
      <c r="AK1294" s="57"/>
      <c r="AL1294" s="45"/>
      <c r="AM1294" s="45"/>
      <c r="AN1294" s="45"/>
    </row>
    <row r="1295" spans="1:40" hidden="1" outlineLevel="2" x14ac:dyDescent="0.35">
      <c r="A1295" s="45"/>
      <c r="B1295" s="54"/>
      <c r="C1295" s="47">
        <f t="shared" si="324"/>
        <v>3</v>
      </c>
      <c r="D1295" s="73"/>
      <c r="E1295" s="70"/>
      <c r="F1295" s="70" t="s">
        <v>1888</v>
      </c>
      <c r="G1295" s="73"/>
      <c r="H1295" s="76" t="s">
        <v>1721</v>
      </c>
      <c r="I1295" s="96"/>
      <c r="J1295" s="96"/>
      <c r="K1295" s="76"/>
      <c r="L1295" s="76"/>
      <c r="M1295" s="76"/>
      <c r="N1295" s="76"/>
      <c r="O1295" s="76"/>
      <c r="P1295" s="76"/>
      <c r="Q1295" s="76"/>
      <c r="R1295" s="76"/>
      <c r="S1295" s="76"/>
      <c r="T1295" s="76"/>
      <c r="U1295" s="97">
        <f>0.14-U$1292</f>
        <v>-3.999999999999998E-2</v>
      </c>
      <c r="V1295" s="97">
        <f>0.14-V$1292</f>
        <v>-3.999999999999998E-2</v>
      </c>
      <c r="W1295" s="97">
        <f>0.14-W$1292</f>
        <v>-3.999999999999998E-2</v>
      </c>
      <c r="X1295" s="97">
        <f>0.14-X$1292</f>
        <v>-3.999999999999998E-2</v>
      </c>
      <c r="Y1295" s="97">
        <f>0.14-Y$1292</f>
        <v>-3.999999999999998E-2</v>
      </c>
      <c r="Z1295" s="255">
        <f t="shared" si="327"/>
        <v>-3.0299999999999994E-2</v>
      </c>
      <c r="AA1295" s="97">
        <f>0.1089-AA$1292</f>
        <v>-3.0299999999999994E-2</v>
      </c>
      <c r="AB1295" s="255">
        <f t="shared" si="328"/>
        <v>-3.0299999999999994E-2</v>
      </c>
      <c r="AC1295" s="255">
        <f t="shared" si="328"/>
        <v>-3.0299999999999994E-2</v>
      </c>
      <c r="AD1295" s="255">
        <f t="shared" si="328"/>
        <v>-3.0299999999999994E-2</v>
      </c>
      <c r="AE1295" s="76"/>
      <c r="AF1295" s="76"/>
      <c r="AG1295" s="76"/>
      <c r="AH1295" s="97">
        <v>1</v>
      </c>
      <c r="AI1295" s="97">
        <v>1</v>
      </c>
      <c r="AJ1295" s="73"/>
      <c r="AK1295" s="57"/>
      <c r="AL1295" s="45"/>
      <c r="AM1295" s="45"/>
      <c r="AN1295" s="45"/>
    </row>
    <row r="1296" spans="1:40" hidden="1" outlineLevel="2" x14ac:dyDescent="0.35">
      <c r="A1296" s="45"/>
      <c r="B1296" s="54"/>
      <c r="C1296" s="47">
        <f t="shared" si="324"/>
        <v>3</v>
      </c>
      <c r="D1296" s="73"/>
      <c r="E1296" s="70"/>
      <c r="F1296" s="70" t="s">
        <v>1889</v>
      </c>
      <c r="G1296" s="73"/>
      <c r="H1296" s="76" t="s">
        <v>1723</v>
      </c>
      <c r="I1296" s="76"/>
      <c r="J1296" s="76"/>
      <c r="K1296" s="76"/>
      <c r="L1296" s="76"/>
      <c r="M1296" s="76"/>
      <c r="N1296" s="76"/>
      <c r="O1296" s="76"/>
      <c r="P1296" s="76"/>
      <c r="Q1296" s="76"/>
      <c r="R1296" s="76"/>
      <c r="S1296" s="76"/>
      <c r="T1296" s="76"/>
      <c r="U1296" s="97">
        <f>0-U$1292</f>
        <v>-0.18</v>
      </c>
      <c r="V1296" s="97">
        <f>0-V$1292</f>
        <v>-0.18</v>
      </c>
      <c r="W1296" s="97">
        <f>0-W$1292</f>
        <v>-0.18</v>
      </c>
      <c r="X1296" s="97">
        <f>0-X$1292</f>
        <v>-0.18</v>
      </c>
      <c r="Y1296" s="97">
        <f>0-Y$1292</f>
        <v>-0.18</v>
      </c>
      <c r="Z1296" s="255">
        <f t="shared" si="327"/>
        <v>-0.13919999999999999</v>
      </c>
      <c r="AA1296" s="97">
        <f>0-AA$1292</f>
        <v>-0.13919999999999999</v>
      </c>
      <c r="AB1296" s="255">
        <f t="shared" si="328"/>
        <v>-0.13919999999999999</v>
      </c>
      <c r="AC1296" s="255">
        <f t="shared" si="328"/>
        <v>-0.13919999999999999</v>
      </c>
      <c r="AD1296" s="255">
        <f t="shared" si="328"/>
        <v>-0.13919999999999999</v>
      </c>
      <c r="AE1296" s="76"/>
      <c r="AF1296" s="76"/>
      <c r="AG1296" s="76"/>
      <c r="AH1296" s="97">
        <v>1</v>
      </c>
      <c r="AI1296" s="97">
        <v>1</v>
      </c>
      <c r="AJ1296" s="73"/>
      <c r="AK1296" s="57"/>
      <c r="AL1296" s="45"/>
      <c r="AM1296" s="45"/>
      <c r="AN1296" s="45"/>
    </row>
    <row r="1297" spans="1:40" hidden="1" outlineLevel="2" x14ac:dyDescent="0.35">
      <c r="A1297" s="45"/>
      <c r="B1297" s="54"/>
      <c r="C1297" s="47">
        <f t="shared" si="324"/>
        <v>3</v>
      </c>
      <c r="D1297" s="73"/>
      <c r="E1297" s="70"/>
      <c r="F1297" s="70" t="s">
        <v>1890</v>
      </c>
      <c r="G1297" s="73"/>
      <c r="H1297" s="76" t="s">
        <v>1878</v>
      </c>
      <c r="I1297" s="76"/>
      <c r="J1297" s="76"/>
      <c r="K1297" s="76"/>
      <c r="L1297" s="76"/>
      <c r="M1297" s="76"/>
      <c r="N1297" s="76"/>
      <c r="O1297" s="76"/>
      <c r="P1297" s="76"/>
      <c r="Q1297" s="76"/>
      <c r="R1297" s="76"/>
      <c r="S1297" s="76"/>
      <c r="T1297" s="76"/>
      <c r="U1297" s="97">
        <v>7.9000000000000008E-3</v>
      </c>
      <c r="V1297" s="97">
        <v>7.9000000000000008E-3</v>
      </c>
      <c r="W1297" s="97">
        <v>7.9000000000000008E-3</v>
      </c>
      <c r="X1297" s="97">
        <v>7.9000000000000008E-3</v>
      </c>
      <c r="Y1297" s="97">
        <v>7.9000000000000008E-3</v>
      </c>
      <c r="Z1297" s="255">
        <f t="shared" si="327"/>
        <v>0</v>
      </c>
      <c r="AA1297" s="76">
        <v>0</v>
      </c>
      <c r="AB1297" s="255">
        <f t="shared" si="328"/>
        <v>0</v>
      </c>
      <c r="AC1297" s="255">
        <f t="shared" si="328"/>
        <v>0</v>
      </c>
      <c r="AD1297" s="255">
        <f t="shared" si="328"/>
        <v>0</v>
      </c>
      <c r="AE1297" s="76"/>
      <c r="AF1297" s="76"/>
      <c r="AG1297" s="76"/>
      <c r="AH1297" s="97">
        <v>1</v>
      </c>
      <c r="AI1297" s="97">
        <v>1</v>
      </c>
      <c r="AJ1297" s="73"/>
      <c r="AK1297" s="57"/>
      <c r="AL1297" s="45"/>
      <c r="AM1297" s="45"/>
      <c r="AN1297" s="45"/>
    </row>
    <row r="1298" spans="1:40" hidden="1" outlineLevel="2" x14ac:dyDescent="0.35">
      <c r="A1298" s="45"/>
      <c r="B1298" s="54"/>
      <c r="C1298" s="47">
        <f t="shared" si="324"/>
        <v>3</v>
      </c>
      <c r="D1298" s="73"/>
      <c r="E1298" s="70"/>
      <c r="F1298" s="70" t="s">
        <v>1891</v>
      </c>
      <c r="G1298" s="73"/>
      <c r="H1298" s="76" t="s">
        <v>1880</v>
      </c>
      <c r="I1298" s="76"/>
      <c r="J1298" s="76"/>
      <c r="K1298" s="76"/>
      <c r="L1298" s="76"/>
      <c r="M1298" s="76"/>
      <c r="N1298" s="76"/>
      <c r="O1298" s="76"/>
      <c r="P1298" s="76"/>
      <c r="Q1298" s="76"/>
      <c r="R1298" s="76"/>
      <c r="S1298" s="76"/>
      <c r="T1298" s="76"/>
      <c r="U1298" s="97">
        <v>-1.5E-6</v>
      </c>
      <c r="V1298" s="97">
        <v>-1.5E-6</v>
      </c>
      <c r="W1298" s="97">
        <v>-1.5E-6</v>
      </c>
      <c r="X1298" s="97">
        <v>-1.5E-6</v>
      </c>
      <c r="Y1298" s="97">
        <v>-1.5E-6</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35">
      <c r="A1299" s="45"/>
      <c r="B1299" s="54"/>
      <c r="C1299" s="47">
        <f t="shared" si="324"/>
        <v>3</v>
      </c>
      <c r="D1299" s="73"/>
      <c r="E1299" s="70"/>
      <c r="F1299" s="70" t="s">
        <v>1892</v>
      </c>
      <c r="G1299" s="73"/>
      <c r="H1299" s="76" t="s">
        <v>1893</v>
      </c>
      <c r="I1299" s="76"/>
      <c r="J1299" s="76"/>
      <c r="K1299" s="76"/>
      <c r="L1299" s="76"/>
      <c r="M1299" s="76"/>
      <c r="N1299" s="76"/>
      <c r="O1299" s="76"/>
      <c r="P1299" s="76"/>
      <c r="Q1299" s="76"/>
      <c r="R1299" s="76"/>
      <c r="S1299" s="76"/>
      <c r="T1299" s="76"/>
      <c r="U1299" s="97">
        <v>4.5599999999999996</v>
      </c>
      <c r="V1299" s="97">
        <v>4.5599999999999996</v>
      </c>
      <c r="W1299" s="97">
        <v>4.5599999999999996</v>
      </c>
      <c r="X1299" s="97">
        <v>4.5599999999999996</v>
      </c>
      <c r="Y1299" s="97">
        <v>4.5599999999999996</v>
      </c>
      <c r="Z1299" s="255">
        <f t="shared" si="327"/>
        <v>24.748000000000001</v>
      </c>
      <c r="AA1299" s="97">
        <f>27.01-0.2262*10</f>
        <v>24.748000000000001</v>
      </c>
      <c r="AB1299" s="255">
        <f t="shared" si="328"/>
        <v>24.748000000000001</v>
      </c>
      <c r="AC1299" s="255">
        <f t="shared" si="328"/>
        <v>24.748000000000001</v>
      </c>
      <c r="AD1299" s="255">
        <f t="shared" si="328"/>
        <v>24.748000000000001</v>
      </c>
      <c r="AE1299" s="76"/>
      <c r="AF1299" s="76"/>
      <c r="AG1299" s="76"/>
      <c r="AH1299" s="97">
        <v>1</v>
      </c>
      <c r="AI1299" s="97">
        <v>1</v>
      </c>
      <c r="AJ1299" s="73"/>
      <c r="AK1299" s="57"/>
      <c r="AL1299" s="45"/>
      <c r="AM1299" s="45"/>
      <c r="AN1299" s="45"/>
    </row>
    <row r="1300" spans="1:40" hidden="1" outlineLevel="2" x14ac:dyDescent="0.35">
      <c r="A1300" s="45"/>
      <c r="B1300" s="54"/>
      <c r="C1300" s="47">
        <f t="shared" si="324"/>
        <v>3</v>
      </c>
      <c r="D1300" s="73"/>
      <c r="E1300" s="70"/>
      <c r="F1300" s="70" t="s">
        <v>1894</v>
      </c>
      <c r="G1300" s="73"/>
      <c r="H1300" s="76" t="s">
        <v>1895</v>
      </c>
      <c r="I1300" s="96"/>
      <c r="J1300" s="96"/>
      <c r="K1300" s="76"/>
      <c r="L1300" s="76"/>
      <c r="M1300" s="76"/>
      <c r="N1300" s="76"/>
      <c r="O1300" s="76"/>
      <c r="P1300" s="76"/>
      <c r="Q1300" s="76"/>
      <c r="R1300" s="76"/>
      <c r="S1300" s="76"/>
      <c r="T1300" s="76"/>
      <c r="U1300" s="97">
        <f>2.05/1000</f>
        <v>2.0499999999999997E-3</v>
      </c>
      <c r="V1300" s="97">
        <f>2.05/1000</f>
        <v>2.0499999999999997E-3</v>
      </c>
      <c r="W1300" s="97">
        <f>2.05/1000</f>
        <v>2.0499999999999997E-3</v>
      </c>
      <c r="X1300" s="97">
        <f>2.05/1000</f>
        <v>2.0499999999999997E-3</v>
      </c>
      <c r="Y1300" s="97">
        <f>2.05/1000</f>
        <v>2.0499999999999997E-3</v>
      </c>
      <c r="Z1300" s="255">
        <f t="shared" si="327"/>
        <v>2.0499999999999997E-3</v>
      </c>
      <c r="AA1300" s="97">
        <f>2.05/1000</f>
        <v>2.0499999999999997E-3</v>
      </c>
      <c r="AB1300" s="255">
        <f t="shared" si="328"/>
        <v>2.0499999999999997E-3</v>
      </c>
      <c r="AC1300" s="255">
        <f t="shared" si="328"/>
        <v>2.0499999999999997E-3</v>
      </c>
      <c r="AD1300" s="255">
        <f t="shared" si="328"/>
        <v>2.0499999999999997E-3</v>
      </c>
      <c r="AE1300" s="76"/>
      <c r="AF1300" s="97" t="s">
        <v>1281</v>
      </c>
      <c r="AG1300" s="76"/>
      <c r="AH1300" s="97">
        <v>1</v>
      </c>
      <c r="AI1300" s="97">
        <v>1</v>
      </c>
      <c r="AJ1300" s="73"/>
      <c r="AK1300" s="57"/>
      <c r="AL1300" s="45"/>
      <c r="AM1300" s="45"/>
      <c r="AN1300" s="45"/>
    </row>
    <row r="1301" spans="1:40" hidden="1" outlineLevel="2" x14ac:dyDescent="0.35">
      <c r="A1301" s="45"/>
      <c r="B1301" s="54"/>
      <c r="C1301" s="47">
        <f t="shared" si="324"/>
        <v>3</v>
      </c>
      <c r="D1301" s="73"/>
      <c r="E1301" s="70"/>
      <c r="F1301" s="70" t="s">
        <v>1896</v>
      </c>
      <c r="G1301" s="73"/>
      <c r="H1301" s="76" t="s">
        <v>1897</v>
      </c>
      <c r="I1301" s="96"/>
      <c r="J1301" s="96"/>
      <c r="K1301" s="76"/>
      <c r="L1301" s="76"/>
      <c r="M1301" s="76"/>
      <c r="N1301" s="76"/>
      <c r="O1301" s="76"/>
      <c r="P1301" s="76"/>
      <c r="Q1301" s="76"/>
      <c r="R1301" s="76"/>
      <c r="S1301" s="76"/>
      <c r="T1301" s="76"/>
      <c r="U1301" s="253">
        <f t="shared" ref="U1301:AD1301" si="329">U1302</f>
        <v>-5.9999999999999724E-5</v>
      </c>
      <c r="V1301" s="253">
        <f t="shared" si="329"/>
        <v>-5.9999999999999724E-5</v>
      </c>
      <c r="W1301" s="253">
        <f t="shared" si="329"/>
        <v>-5.9999999999999724E-5</v>
      </c>
      <c r="X1301" s="253">
        <f t="shared" si="329"/>
        <v>-5.9999999999999724E-5</v>
      </c>
      <c r="Y1301" s="253">
        <f t="shared" si="329"/>
        <v>-5.9999999999999724E-5</v>
      </c>
      <c r="Z1301" s="253">
        <f t="shared" si="329"/>
        <v>-5.9999999999999724E-5</v>
      </c>
      <c r="AA1301" s="253">
        <f t="shared" si="329"/>
        <v>-5.9999999999999724E-5</v>
      </c>
      <c r="AB1301" s="253">
        <f t="shared" si="329"/>
        <v>-5.9999999999999724E-5</v>
      </c>
      <c r="AC1301" s="253">
        <f t="shared" si="329"/>
        <v>-5.9999999999999724E-5</v>
      </c>
      <c r="AD1301" s="253">
        <f t="shared" si="329"/>
        <v>-5.9999999999999724E-5</v>
      </c>
      <c r="AE1301" s="76"/>
      <c r="AF1301" s="76"/>
      <c r="AG1301" s="76"/>
      <c r="AH1301" s="253">
        <f>AH1302</f>
        <v>1</v>
      </c>
      <c r="AI1301" s="253">
        <f>AI1302</f>
        <v>1</v>
      </c>
      <c r="AJ1301" s="73"/>
      <c r="AK1301" s="57"/>
      <c r="AL1301" s="45"/>
      <c r="AM1301" s="45"/>
      <c r="AN1301" s="45"/>
    </row>
    <row r="1302" spans="1:40" hidden="1" outlineLevel="2" x14ac:dyDescent="0.35">
      <c r="A1302" s="45"/>
      <c r="B1302" s="54"/>
      <c r="C1302" s="47">
        <f t="shared" si="324"/>
        <v>3</v>
      </c>
      <c r="D1302" s="73"/>
      <c r="E1302" s="70"/>
      <c r="F1302" s="70" t="s">
        <v>1898</v>
      </c>
      <c r="G1302" s="73"/>
      <c r="H1302" s="76" t="s">
        <v>1899</v>
      </c>
      <c r="I1302" s="96"/>
      <c r="J1302" s="96"/>
      <c r="K1302" s="76"/>
      <c r="L1302" s="76"/>
      <c r="M1302" s="76"/>
      <c r="N1302" s="76"/>
      <c r="O1302" s="76"/>
      <c r="P1302" s="76"/>
      <c r="Q1302" s="76"/>
      <c r="R1302" s="76"/>
      <c r="S1302" s="76"/>
      <c r="T1302" s="76"/>
      <c r="U1302" s="97">
        <f>1.99/1000-U$1300</f>
        <v>-5.9999999999999724E-5</v>
      </c>
      <c r="V1302" s="97">
        <f>1.99/1000-V$1300</f>
        <v>-5.9999999999999724E-5</v>
      </c>
      <c r="W1302" s="97">
        <f>1.99/1000-W$1300</f>
        <v>-5.9999999999999724E-5</v>
      </c>
      <c r="X1302" s="97">
        <f>1.99/1000-X$1300</f>
        <v>-5.9999999999999724E-5</v>
      </c>
      <c r="Y1302" s="97">
        <f>1.99/1000-Y$1300</f>
        <v>-5.9999999999999724E-5</v>
      </c>
      <c r="Z1302" s="255">
        <f t="shared" ref="Z1302:Z1307" si="330">AA1302</f>
        <v>-5.9999999999999724E-5</v>
      </c>
      <c r="AA1302" s="97">
        <f>1.99/1000-AA$1300</f>
        <v>-5.9999999999999724E-5</v>
      </c>
      <c r="AB1302" s="255">
        <f t="shared" ref="AB1302:AD1307" si="331">AA1302</f>
        <v>-5.9999999999999724E-5</v>
      </c>
      <c r="AC1302" s="255">
        <f t="shared" si="331"/>
        <v>-5.9999999999999724E-5</v>
      </c>
      <c r="AD1302" s="255">
        <f t="shared" si="331"/>
        <v>-5.9999999999999724E-5</v>
      </c>
      <c r="AE1302" s="76"/>
      <c r="AF1302" s="76"/>
      <c r="AG1302" s="76"/>
      <c r="AH1302" s="97">
        <v>1</v>
      </c>
      <c r="AI1302" s="97">
        <v>1</v>
      </c>
      <c r="AJ1302" s="73"/>
      <c r="AK1302" s="57"/>
      <c r="AL1302" s="45"/>
      <c r="AM1302" s="45"/>
      <c r="AN1302" s="45"/>
    </row>
    <row r="1303" spans="1:40" hidden="1" outlineLevel="2" x14ac:dyDescent="0.35">
      <c r="A1303" s="45"/>
      <c r="B1303" s="54"/>
      <c r="C1303" s="47">
        <f t="shared" si="324"/>
        <v>3</v>
      </c>
      <c r="D1303" s="73"/>
      <c r="E1303" s="70"/>
      <c r="F1303" s="70" t="s">
        <v>1900</v>
      </c>
      <c r="G1303" s="73"/>
      <c r="H1303" s="76" t="s">
        <v>1901</v>
      </c>
      <c r="I1303" s="96"/>
      <c r="J1303" s="96"/>
      <c r="K1303" s="76"/>
      <c r="L1303" s="76"/>
      <c r="M1303" s="76"/>
      <c r="N1303" s="76"/>
      <c r="O1303" s="76"/>
      <c r="P1303" s="76"/>
      <c r="Q1303" s="76"/>
      <c r="R1303" s="76"/>
      <c r="S1303" s="76"/>
      <c r="T1303" s="76"/>
      <c r="U1303" s="97">
        <f>1.4/1000-U$1300</f>
        <v>-6.4999999999999975E-4</v>
      </c>
      <c r="V1303" s="97">
        <f>1.4/1000-V$1300</f>
        <v>-6.4999999999999975E-4</v>
      </c>
      <c r="W1303" s="97">
        <f>1.4/1000-W$1300</f>
        <v>-6.4999999999999975E-4</v>
      </c>
      <c r="X1303" s="97">
        <f>1.4/1000-X$1300</f>
        <v>-6.4999999999999975E-4</v>
      </c>
      <c r="Y1303" s="97">
        <f>1.4/1000-Y$1300</f>
        <v>-6.4999999999999975E-4</v>
      </c>
      <c r="Z1303" s="255">
        <f t="shared" si="330"/>
        <v>-6.4999999999999975E-4</v>
      </c>
      <c r="AA1303" s="97">
        <f>1.4/1000-AA$1300</f>
        <v>-6.4999999999999975E-4</v>
      </c>
      <c r="AB1303" s="255">
        <f t="shared" si="331"/>
        <v>-6.4999999999999975E-4</v>
      </c>
      <c r="AC1303" s="255">
        <f t="shared" si="331"/>
        <v>-6.4999999999999975E-4</v>
      </c>
      <c r="AD1303" s="255">
        <f t="shared" si="331"/>
        <v>-6.4999999999999975E-4</v>
      </c>
      <c r="AE1303" s="76"/>
      <c r="AF1303" s="76"/>
      <c r="AG1303" s="76"/>
      <c r="AH1303" s="97">
        <v>1</v>
      </c>
      <c r="AI1303" s="97">
        <v>1</v>
      </c>
      <c r="AJ1303" s="73"/>
      <c r="AK1303" s="57"/>
      <c r="AL1303" s="45"/>
      <c r="AM1303" s="45"/>
      <c r="AN1303" s="45"/>
    </row>
    <row r="1304" spans="1:40" hidden="1" outlineLevel="2" x14ac:dyDescent="0.35">
      <c r="A1304" s="45"/>
      <c r="B1304" s="54"/>
      <c r="C1304" s="47">
        <f t="shared" si="324"/>
        <v>3</v>
      </c>
      <c r="D1304" s="73"/>
      <c r="E1304" s="70"/>
      <c r="F1304" s="70" t="s">
        <v>1902</v>
      </c>
      <c r="G1304" s="73"/>
      <c r="H1304" s="76" t="s">
        <v>1903</v>
      </c>
      <c r="I1304" s="76"/>
      <c r="J1304" s="76"/>
      <c r="K1304" s="76"/>
      <c r="L1304" s="76"/>
      <c r="M1304" s="76"/>
      <c r="N1304" s="76"/>
      <c r="O1304" s="76"/>
      <c r="P1304" s="76"/>
      <c r="Q1304" s="76"/>
      <c r="R1304" s="76"/>
      <c r="S1304" s="76"/>
      <c r="T1304" s="76"/>
      <c r="U1304" s="97">
        <f>0-U$1300</f>
        <v>-2.0499999999999997E-3</v>
      </c>
      <c r="V1304" s="97">
        <f>0-V$1300</f>
        <v>-2.0499999999999997E-3</v>
      </c>
      <c r="W1304" s="97">
        <f>0-W$1300</f>
        <v>-2.0499999999999997E-3</v>
      </c>
      <c r="X1304" s="97">
        <f>0-X$1300</f>
        <v>-2.0499999999999997E-3</v>
      </c>
      <c r="Y1304" s="97">
        <f>0-Y$1300</f>
        <v>-2.0499999999999997E-3</v>
      </c>
      <c r="Z1304" s="255">
        <f t="shared" si="330"/>
        <v>-2.0499999999999997E-3</v>
      </c>
      <c r="AA1304" s="97">
        <f>0-AA$1300</f>
        <v>-2.0499999999999997E-3</v>
      </c>
      <c r="AB1304" s="255">
        <f t="shared" si="331"/>
        <v>-2.0499999999999997E-3</v>
      </c>
      <c r="AC1304" s="255">
        <f t="shared" si="331"/>
        <v>-2.0499999999999997E-3</v>
      </c>
      <c r="AD1304" s="255">
        <f t="shared" si="331"/>
        <v>-2.0499999999999997E-3</v>
      </c>
      <c r="AE1304" s="76"/>
      <c r="AF1304" s="76"/>
      <c r="AG1304" s="76"/>
      <c r="AH1304" s="97">
        <v>1</v>
      </c>
      <c r="AI1304" s="97">
        <v>1</v>
      </c>
      <c r="AJ1304" s="73"/>
      <c r="AK1304" s="57"/>
      <c r="AL1304" s="45"/>
      <c r="AM1304" s="45"/>
      <c r="AN1304" s="45"/>
    </row>
    <row r="1305" spans="1:40" hidden="1" outlineLevel="2" x14ac:dyDescent="0.35">
      <c r="A1305" s="45"/>
      <c r="B1305" s="54"/>
      <c r="C1305" s="47">
        <f t="shared" si="324"/>
        <v>3</v>
      </c>
      <c r="D1305" s="73"/>
      <c r="E1305" s="70"/>
      <c r="F1305" s="70" t="s">
        <v>1904</v>
      </c>
      <c r="G1305" s="73"/>
      <c r="H1305" s="76" t="s">
        <v>1905</v>
      </c>
      <c r="I1305" s="76"/>
      <c r="J1305" s="76"/>
      <c r="K1305" s="76"/>
      <c r="L1305" s="76"/>
      <c r="M1305" s="76"/>
      <c r="N1305" s="76"/>
      <c r="O1305" s="76"/>
      <c r="P1305" s="76"/>
      <c r="Q1305" s="76"/>
      <c r="R1305" s="76"/>
      <c r="S1305" s="76"/>
      <c r="T1305" s="76"/>
      <c r="U1305" s="97">
        <f>0.102/1000</f>
        <v>1.02E-4</v>
      </c>
      <c r="V1305" s="97">
        <f>0.102/1000</f>
        <v>1.02E-4</v>
      </c>
      <c r="W1305" s="97">
        <f>0.102/1000</f>
        <v>1.02E-4</v>
      </c>
      <c r="X1305" s="97">
        <f>0.102/1000</f>
        <v>1.02E-4</v>
      </c>
      <c r="Y1305" s="97">
        <f>0.102/1000</f>
        <v>1.02E-4</v>
      </c>
      <c r="Z1305" s="255">
        <f t="shared" si="330"/>
        <v>1.02E-4</v>
      </c>
      <c r="AA1305" s="97">
        <f>0.102/1000</f>
        <v>1.02E-4</v>
      </c>
      <c r="AB1305" s="255">
        <f t="shared" si="331"/>
        <v>1.02E-4</v>
      </c>
      <c r="AC1305" s="255">
        <f t="shared" si="331"/>
        <v>1.02E-4</v>
      </c>
      <c r="AD1305" s="255">
        <f t="shared" si="331"/>
        <v>1.02E-4</v>
      </c>
      <c r="AE1305" s="76"/>
      <c r="AF1305" s="76"/>
      <c r="AG1305" s="76"/>
      <c r="AH1305" s="97">
        <v>1</v>
      </c>
      <c r="AI1305" s="97">
        <v>1</v>
      </c>
      <c r="AJ1305" s="73"/>
      <c r="AK1305" s="57"/>
      <c r="AL1305" s="45"/>
      <c r="AM1305" s="45"/>
      <c r="AN1305" s="45"/>
    </row>
    <row r="1306" spans="1:40" hidden="1" outlineLevel="2" x14ac:dyDescent="0.35">
      <c r="A1306" s="45"/>
      <c r="B1306" s="54"/>
      <c r="C1306" s="47">
        <f t="shared" si="324"/>
        <v>3</v>
      </c>
      <c r="D1306" s="73"/>
      <c r="E1306" s="70"/>
      <c r="F1306" s="70" t="s">
        <v>1906</v>
      </c>
      <c r="G1306" s="73"/>
      <c r="H1306" s="76" t="s">
        <v>1907</v>
      </c>
      <c r="I1306" s="76"/>
      <c r="J1306" s="76"/>
      <c r="K1306" s="76"/>
      <c r="L1306" s="76"/>
      <c r="M1306" s="76"/>
      <c r="N1306" s="76"/>
      <c r="O1306" s="76"/>
      <c r="P1306" s="76"/>
      <c r="Q1306" s="76"/>
      <c r="R1306" s="76"/>
      <c r="S1306" s="76"/>
      <c r="T1306" s="76"/>
      <c r="U1306" s="97">
        <f>-0.000019/1000</f>
        <v>-1.9000000000000001E-8</v>
      </c>
      <c r="V1306" s="97">
        <f>-0.000019/1000</f>
        <v>-1.9000000000000001E-8</v>
      </c>
      <c r="W1306" s="97">
        <f>-0.000019/1000</f>
        <v>-1.9000000000000001E-8</v>
      </c>
      <c r="X1306" s="97">
        <f>-0.000019/1000</f>
        <v>-1.9000000000000001E-8</v>
      </c>
      <c r="Y1306" s="97">
        <f>-0.000019/1000</f>
        <v>-1.9000000000000001E-8</v>
      </c>
      <c r="Z1306" s="255">
        <f t="shared" si="330"/>
        <v>-1.9000000000000001E-8</v>
      </c>
      <c r="AA1306" s="97">
        <f>-0.000019/1000</f>
        <v>-1.9000000000000001E-8</v>
      </c>
      <c r="AB1306" s="255">
        <f t="shared" si="331"/>
        <v>-1.9000000000000001E-8</v>
      </c>
      <c r="AC1306" s="255">
        <f t="shared" si="331"/>
        <v>-1.9000000000000001E-8</v>
      </c>
      <c r="AD1306" s="255">
        <f t="shared" si="331"/>
        <v>-1.9000000000000001E-8</v>
      </c>
      <c r="AE1306" s="76"/>
      <c r="AF1306" s="76"/>
      <c r="AG1306" s="76"/>
      <c r="AH1306" s="97">
        <v>1</v>
      </c>
      <c r="AI1306" s="97">
        <v>1</v>
      </c>
      <c r="AJ1306" s="73"/>
      <c r="AK1306" s="57"/>
      <c r="AL1306" s="45"/>
      <c r="AM1306" s="45"/>
      <c r="AN1306" s="45"/>
    </row>
    <row r="1307" spans="1:40" hidden="1" outlineLevel="2" x14ac:dyDescent="0.35">
      <c r="A1307" s="45"/>
      <c r="B1307" s="54"/>
      <c r="C1307" s="47">
        <f t="shared" si="324"/>
        <v>3</v>
      </c>
      <c r="D1307" s="73"/>
      <c r="E1307" s="70"/>
      <c r="F1307" s="70" t="s">
        <v>1908</v>
      </c>
      <c r="G1307" s="73"/>
      <c r="H1307" s="76" t="s">
        <v>1909</v>
      </c>
      <c r="I1307" s="76"/>
      <c r="J1307" s="76"/>
      <c r="K1307" s="76"/>
      <c r="L1307" s="76"/>
      <c r="M1307" s="76"/>
      <c r="N1307" s="76"/>
      <c r="O1307" s="76"/>
      <c r="P1307" s="76"/>
      <c r="Q1307" s="76"/>
      <c r="R1307" s="76"/>
      <c r="S1307" s="76"/>
      <c r="T1307" s="76"/>
      <c r="U1307" s="97">
        <f>14.9/1000</f>
        <v>1.49E-2</v>
      </c>
      <c r="V1307" s="97">
        <f>14.9/1000</f>
        <v>1.49E-2</v>
      </c>
      <c r="W1307" s="97">
        <f>14.9/1000</f>
        <v>1.49E-2</v>
      </c>
      <c r="X1307" s="97">
        <f>14.9/1000</f>
        <v>1.49E-2</v>
      </c>
      <c r="Y1307" s="97">
        <f>14.9/1000</f>
        <v>1.49E-2</v>
      </c>
      <c r="Z1307" s="255">
        <f t="shared" si="330"/>
        <v>1.49E-2</v>
      </c>
      <c r="AA1307" s="97">
        <f>14.9/1000</f>
        <v>1.49E-2</v>
      </c>
      <c r="AB1307" s="255">
        <f t="shared" si="331"/>
        <v>1.49E-2</v>
      </c>
      <c r="AC1307" s="255">
        <f t="shared" si="331"/>
        <v>1.49E-2</v>
      </c>
      <c r="AD1307" s="255">
        <f t="shared" si="331"/>
        <v>1.49E-2</v>
      </c>
      <c r="AE1307" s="76"/>
      <c r="AF1307" s="76"/>
      <c r="AG1307" s="76"/>
      <c r="AH1307" s="97">
        <v>1</v>
      </c>
      <c r="AI1307" s="97">
        <v>1</v>
      </c>
      <c r="AJ1307" s="73"/>
      <c r="AK1307" s="57"/>
      <c r="AL1307" s="45"/>
      <c r="AM1307" s="45"/>
      <c r="AN1307" s="45"/>
    </row>
    <row r="1308" spans="1:40" hidden="1" outlineLevel="2" x14ac:dyDescent="0.35">
      <c r="A1308" s="45"/>
      <c r="B1308" s="54"/>
      <c r="C1308" s="47">
        <f>INT($C$29)+2</f>
        <v>3</v>
      </c>
      <c r="D1308" s="73"/>
      <c r="E1308" s="402"/>
      <c r="F1308" s="402" t="s">
        <v>3347</v>
      </c>
      <c r="G1308" s="40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2" x14ac:dyDescent="0.35">
      <c r="A1309" s="45"/>
      <c r="B1309" s="54"/>
      <c r="C1309" s="47">
        <f>INT($C$29)+2</f>
        <v>3</v>
      </c>
      <c r="D1309" s="73"/>
      <c r="E1309" s="70"/>
      <c r="F1309" s="70" t="s">
        <v>3348</v>
      </c>
      <c r="G1309" s="234"/>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35">
      <c r="A1310" s="45"/>
      <c r="B1310" s="54"/>
      <c r="C1310" s="47">
        <f>INT($C$29)+2</f>
        <v>3</v>
      </c>
      <c r="D1310" s="73"/>
      <c r="E1310" s="70"/>
      <c r="F1310" s="70" t="s">
        <v>3349</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35">
      <c r="A1311" s="45"/>
      <c r="B1311" s="54"/>
      <c r="C1311" s="47">
        <f>INT($C$29)+2</f>
        <v>3</v>
      </c>
      <c r="D1311" s="73"/>
      <c r="E1311" s="70"/>
      <c r="F1311" s="70" t="s">
        <v>3350</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35">
      <c r="A1312" s="45"/>
      <c r="B1312" s="54"/>
      <c r="C1312" s="47">
        <f>INT($C$29)+3</f>
        <v>4</v>
      </c>
      <c r="D1312" s="73"/>
      <c r="E1312" s="70"/>
      <c r="F1312" s="70" t="s">
        <v>3351</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collapsed="1" x14ac:dyDescent="0.35">
      <c r="A1313" s="45"/>
      <c r="B1313" s="54"/>
      <c r="C1313" s="47">
        <f>INT($C$29)+3</f>
        <v>4</v>
      </c>
      <c r="D1313" s="73"/>
      <c r="E1313" s="70"/>
      <c r="F1313" s="70" t="s">
        <v>3352</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35">
      <c r="A1314" s="45"/>
      <c r="B1314" s="54"/>
      <c r="C1314" s="47">
        <f>INT($C$29)+3</f>
        <v>4</v>
      </c>
      <c r="D1314" s="73"/>
      <c r="E1314" s="70"/>
      <c r="F1314" s="70" t="s">
        <v>3353</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35">
      <c r="A1315" s="45"/>
      <c r="B1315" s="54"/>
      <c r="C1315" s="47">
        <f t="shared" ref="C1315" si="332">INT($C$29)+2</f>
        <v>3</v>
      </c>
      <c r="D1315" s="73"/>
      <c r="E1315" s="406"/>
      <c r="F1315" s="406" t="s">
        <v>3354</v>
      </c>
      <c r="G1315" s="407"/>
      <c r="H1315" s="109"/>
      <c r="I1315" s="109"/>
      <c r="J1315" s="109"/>
      <c r="K1315" s="109"/>
      <c r="L1315" s="109"/>
      <c r="M1315" s="109"/>
      <c r="N1315" s="109"/>
      <c r="O1315" s="109"/>
      <c r="P1315" s="109"/>
      <c r="Q1315" s="109"/>
      <c r="R1315" s="109"/>
      <c r="S1315" s="109"/>
      <c r="T1315" s="109"/>
      <c r="U1315" s="109"/>
      <c r="V1315" s="109"/>
      <c r="W1315" s="109"/>
      <c r="X1315" s="109"/>
      <c r="Y1315" s="109"/>
      <c r="Z1315" s="109"/>
      <c r="AA1315" s="109"/>
      <c r="AB1315" s="109"/>
      <c r="AC1315" s="109"/>
      <c r="AD1315" s="109"/>
      <c r="AE1315" s="109"/>
      <c r="AF1315" s="109"/>
      <c r="AG1315" s="109"/>
      <c r="AH1315" s="109">
        <v>1</v>
      </c>
      <c r="AI1315" s="109">
        <v>1</v>
      </c>
      <c r="AJ1315" s="73"/>
      <c r="AK1315" s="57"/>
      <c r="AL1315" s="45"/>
      <c r="AM1315" s="45"/>
      <c r="AN1315" s="45"/>
    </row>
    <row r="1316" spans="1:40" outlineLevel="1" x14ac:dyDescent="0.35">
      <c r="A1316" s="45"/>
      <c r="B1316" s="54"/>
      <c r="C1316" s="47">
        <f>INT($C$29)+1</f>
        <v>2</v>
      </c>
      <c r="D1316" s="73"/>
      <c r="E1316" s="70"/>
      <c r="F1316" s="265" t="s">
        <v>1703</v>
      </c>
      <c r="G1316" s="73"/>
      <c r="H1316" s="267" t="s">
        <v>2631</v>
      </c>
      <c r="I1316" s="129"/>
      <c r="J1316" s="129" t="s">
        <v>1045</v>
      </c>
      <c r="K1316" s="76"/>
      <c r="L1316" s="76"/>
      <c r="M1316" s="76"/>
      <c r="N1316" s="76"/>
      <c r="O1316" s="76"/>
      <c r="P1316" s="76"/>
      <c r="Q1316" s="76"/>
      <c r="R1316" s="76"/>
      <c r="S1316" s="76"/>
      <c r="T1316" s="76"/>
      <c r="U1316" s="79">
        <v>28</v>
      </c>
      <c r="V1316" s="79">
        <v>15</v>
      </c>
      <c r="W1316" s="79">
        <v>-15</v>
      </c>
      <c r="X1316" s="76"/>
      <c r="Y1316" s="76"/>
      <c r="Z1316" s="76"/>
      <c r="AA1316" s="76"/>
      <c r="AB1316" s="76"/>
      <c r="AC1316" s="76"/>
      <c r="AD1316" s="76"/>
      <c r="AE1316" s="76"/>
      <c r="AF1316" s="76"/>
      <c r="AG1316" s="76"/>
      <c r="AH1316" s="76"/>
      <c r="AI1316" s="76"/>
      <c r="AJ1316" s="73"/>
      <c r="AK1316" s="57"/>
      <c r="AL1316" s="45"/>
      <c r="AM1316" s="45"/>
      <c r="AN1316" s="45"/>
    </row>
    <row r="1317" spans="1:40" outlineLevel="2" collapsed="1" x14ac:dyDescent="0.35">
      <c r="A1317" s="45"/>
      <c r="B1317" s="54"/>
      <c r="C1317" s="47">
        <f t="shared" ref="C1317:C1336" si="333">INT($C$29)+3</f>
        <v>4</v>
      </c>
      <c r="D1317" s="73"/>
      <c r="E1317" s="70"/>
      <c r="F1317" s="70" t="s">
        <v>1910</v>
      </c>
      <c r="G1317" s="73"/>
      <c r="H1317" s="76" t="s">
        <v>3494</v>
      </c>
      <c r="I1317" s="96" t="s">
        <v>2330</v>
      </c>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35">
      <c r="A1318" s="45"/>
      <c r="B1318" s="54"/>
      <c r="C1318" s="47">
        <f t="shared" si="333"/>
        <v>4</v>
      </c>
      <c r="D1318" s="73"/>
      <c r="E1318" s="70"/>
      <c r="F1318" s="70" t="s">
        <v>1911</v>
      </c>
      <c r="G1318" s="73"/>
      <c r="H1318" s="76" t="s">
        <v>1912</v>
      </c>
      <c r="I1318" s="96" t="s">
        <v>2331</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35">
      <c r="A1319" s="45"/>
      <c r="B1319" s="54"/>
      <c r="C1319" s="47">
        <f t="shared" si="333"/>
        <v>4</v>
      </c>
      <c r="D1319" s="73"/>
      <c r="E1319" s="70"/>
      <c r="F1319" s="70" t="s">
        <v>1913</v>
      </c>
      <c r="G1319" s="73"/>
      <c r="H1319" s="76" t="s">
        <v>1914</v>
      </c>
      <c r="I1319" s="96" t="s">
        <v>2332</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35">
      <c r="A1320" s="45"/>
      <c r="B1320" s="54"/>
      <c r="C1320" s="47">
        <f t="shared" si="333"/>
        <v>4</v>
      </c>
      <c r="D1320" s="73"/>
      <c r="E1320" s="70"/>
      <c r="F1320" s="70" t="s">
        <v>1915</v>
      </c>
      <c r="G1320" s="73"/>
      <c r="H1320" s="76" t="s">
        <v>2365</v>
      </c>
      <c r="I1320" s="96" t="s">
        <v>2366</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35">
      <c r="A1321" s="45"/>
      <c r="B1321" s="54"/>
      <c r="C1321" s="47">
        <f t="shared" si="333"/>
        <v>4</v>
      </c>
      <c r="D1321" s="73"/>
      <c r="E1321" s="70"/>
      <c r="F1321" s="70" t="s">
        <v>1917</v>
      </c>
      <c r="G1321" s="73"/>
      <c r="H1321" s="76" t="s">
        <v>1916</v>
      </c>
      <c r="I1321" s="96" t="s">
        <v>2333</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35">
      <c r="A1322" s="45"/>
      <c r="B1322" s="54"/>
      <c r="C1322" s="47">
        <f t="shared" si="333"/>
        <v>4</v>
      </c>
      <c r="D1322" s="73"/>
      <c r="E1322" s="70"/>
      <c r="F1322" s="70" t="s">
        <v>2371</v>
      </c>
      <c r="G1322" s="73"/>
      <c r="H1322" s="76" t="s">
        <v>1918</v>
      </c>
      <c r="I1322" s="96" t="s">
        <v>2334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35">
      <c r="A1323" s="45"/>
      <c r="B1323" s="54"/>
      <c r="C1323" s="47">
        <f t="shared" si="333"/>
        <v>4</v>
      </c>
      <c r="D1323" s="73"/>
      <c r="E1323" s="70"/>
      <c r="F1323" s="70" t="s">
        <v>2372</v>
      </c>
      <c r="G1323" s="73"/>
      <c r="H1323" s="76" t="s">
        <v>2367</v>
      </c>
      <c r="I1323" s="96" t="s">
        <v>2368</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35">
      <c r="A1324" s="45"/>
      <c r="B1324" s="54"/>
      <c r="C1324" s="47">
        <f t="shared" si="333"/>
        <v>4</v>
      </c>
      <c r="D1324" s="73"/>
      <c r="E1324" s="70"/>
      <c r="F1324" s="70" t="s">
        <v>2373</v>
      </c>
      <c r="G1324" s="73"/>
      <c r="H1324" s="76" t="s">
        <v>2369</v>
      </c>
      <c r="I1324" s="96" t="s">
        <v>2370</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35">
      <c r="A1325" s="45"/>
      <c r="B1325" s="54"/>
      <c r="C1325" s="47">
        <f t="shared" si="333"/>
        <v>4</v>
      </c>
      <c r="D1325" s="73"/>
      <c r="E1325" s="70"/>
      <c r="F1325" s="70" t="str">
        <f>SUBSTITUTE(F1321,",4)",",8)")</f>
        <v>C(U2,0,8)</v>
      </c>
      <c r="G1325" s="73"/>
      <c r="H1325" s="76" t="s">
        <v>2723</v>
      </c>
      <c r="I1325" s="96" t="s">
        <v>2727</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35">
      <c r="A1326" s="45"/>
      <c r="B1326" s="54"/>
      <c r="C1326" s="47">
        <f t="shared" si="333"/>
        <v>4</v>
      </c>
      <c r="D1326" s="73"/>
      <c r="E1326" s="70"/>
      <c r="F1326" s="70" t="str">
        <f>SUBSTITUTE(F1322,",5)",",9)")</f>
        <v>C(U2,0,9)</v>
      </c>
      <c r="G1326" s="73"/>
      <c r="H1326" s="76" t="s">
        <v>2724</v>
      </c>
      <c r="I1326" s="96" t="s">
        <v>2728</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35">
      <c r="A1327" s="45"/>
      <c r="B1327" s="54"/>
      <c r="C1327" s="47">
        <f t="shared" si="333"/>
        <v>4</v>
      </c>
      <c r="D1327" s="73"/>
      <c r="E1327" s="70"/>
      <c r="F1327" s="70" t="str">
        <f>SUBSTITUTE(F1323,",6)",",10)")</f>
        <v>C(U2,0,10)</v>
      </c>
      <c r="G1327" s="73"/>
      <c r="H1327" s="76" t="s">
        <v>2725</v>
      </c>
      <c r="I1327" s="96" t="s">
        <v>2729</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35">
      <c r="A1328" s="45"/>
      <c r="B1328" s="54"/>
      <c r="C1328" s="47">
        <f t="shared" si="333"/>
        <v>4</v>
      </c>
      <c r="D1328" s="73"/>
      <c r="E1328" s="70"/>
      <c r="F1328" s="70" t="str">
        <f>SUBSTITUTE(F1324,",7)",",11)")</f>
        <v>C(U2,0,11)</v>
      </c>
      <c r="G1328" s="73"/>
      <c r="H1328" s="76" t="s">
        <v>2726</v>
      </c>
      <c r="I1328" s="96" t="s">
        <v>2730</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35">
      <c r="A1329" s="45"/>
      <c r="B1329" s="54"/>
      <c r="C1329" s="47">
        <f t="shared" si="333"/>
        <v>4</v>
      </c>
      <c r="D1329" s="73"/>
      <c r="E1329" s="70"/>
      <c r="F1329" s="70" t="str">
        <f>SUBSTITUTE(F1324,",7)",",12)")</f>
        <v>C(U2,0,12)</v>
      </c>
      <c r="G1329" s="73"/>
      <c r="H1329" s="76" t="s">
        <v>3341</v>
      </c>
      <c r="I1329" s="96" t="s">
        <v>2729</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35">
      <c r="A1330" s="45"/>
      <c r="B1330" s="54"/>
      <c r="C1330" s="47">
        <f t="shared" si="333"/>
        <v>4</v>
      </c>
      <c r="D1330" s="73"/>
      <c r="E1330" s="70"/>
      <c r="F1330" s="70" t="str">
        <f>SUBSTITUTE(F1324,",7)",",13)")</f>
        <v>C(U2,0,13)</v>
      </c>
      <c r="G1330" s="73"/>
      <c r="H1330" s="76" t="s">
        <v>3342</v>
      </c>
      <c r="I1330" s="96" t="s">
        <v>2730</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35">
      <c r="A1331" s="45"/>
      <c r="B1331" s="54"/>
      <c r="C1331" s="47">
        <f t="shared" si="333"/>
        <v>4</v>
      </c>
      <c r="D1331" s="73"/>
      <c r="E1331" s="70"/>
      <c r="F1331" s="70" t="s">
        <v>1919</v>
      </c>
      <c r="G1331" s="73"/>
      <c r="H1331" s="76" t="s">
        <v>1920</v>
      </c>
      <c r="I1331" s="96" t="s">
        <v>2335</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35">
      <c r="A1332" s="45"/>
      <c r="B1332" s="54"/>
      <c r="C1332" s="47">
        <f t="shared" si="333"/>
        <v>4</v>
      </c>
      <c r="D1332" s="73"/>
      <c r="E1332" s="70"/>
      <c r="F1332" s="70" t="s">
        <v>1921</v>
      </c>
      <c r="G1332" s="73"/>
      <c r="H1332" s="76" t="s">
        <v>604</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35">
      <c r="A1333" s="45"/>
      <c r="B1333" s="54"/>
      <c r="C1333" s="47">
        <f t="shared" si="333"/>
        <v>4</v>
      </c>
      <c r="D1333" s="73"/>
      <c r="E1333" s="70"/>
      <c r="F1333" s="70" t="s">
        <v>1922</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35">
      <c r="A1334" s="45"/>
      <c r="B1334" s="54"/>
      <c r="C1334" s="47">
        <f t="shared" si="333"/>
        <v>4</v>
      </c>
      <c r="D1334" s="73"/>
      <c r="E1334" s="70"/>
      <c r="F1334" s="70" t="s">
        <v>1923</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35">
      <c r="A1335" s="45"/>
      <c r="B1335" s="54"/>
      <c r="C1335" s="47">
        <f t="shared" si="333"/>
        <v>4</v>
      </c>
      <c r="D1335" s="73"/>
      <c r="E1335" s="70"/>
      <c r="F1335" s="70" t="s">
        <v>1924</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35">
      <c r="A1336" s="45"/>
      <c r="B1336" s="54"/>
      <c r="C1336" s="47">
        <f t="shared" si="333"/>
        <v>4</v>
      </c>
      <c r="D1336" s="73"/>
      <c r="E1336" s="70"/>
      <c r="F1336" s="70" t="s">
        <v>1925</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35">
      <c r="A1337" s="45"/>
      <c r="B1337" s="54"/>
      <c r="C1337" s="47"/>
      <c r="D1337" s="73"/>
      <c r="E1337" s="70"/>
      <c r="F1337" s="70" t="s">
        <v>2374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35">
      <c r="A1338" s="45"/>
      <c r="B1338" s="54"/>
      <c r="C1338" s="47"/>
      <c r="D1338" s="73"/>
      <c r="E1338" s="70"/>
      <c r="F1338" s="70" t="s">
        <v>2375</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35">
      <c r="A1339" s="45"/>
      <c r="B1339" s="54"/>
      <c r="C1339" s="47"/>
      <c r="D1339" s="73"/>
      <c r="E1339" s="70"/>
      <c r="F1339" s="70" t="s">
        <v>2376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35">
      <c r="A1340" s="45"/>
      <c r="B1340" s="54"/>
      <c r="C1340" s="47">
        <f t="shared" ref="C1340:C1351" si="334">INT($C$29)+3</f>
        <v>4</v>
      </c>
      <c r="D1340" s="73"/>
      <c r="E1340" s="70"/>
      <c r="F1340" s="70" t="str">
        <f>SUBSTITUTE(F1336,",4)",",8)")</f>
        <v>C(U2,1,8)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35">
      <c r="A1341" s="45"/>
      <c r="B1341" s="54"/>
      <c r="C1341" s="47">
        <f t="shared" si="334"/>
        <v>4</v>
      </c>
      <c r="D1341" s="73"/>
      <c r="E1341" s="70"/>
      <c r="F1341" s="70" t="str">
        <f>SUBSTITUTE(F1337,",5)",",9)")</f>
        <v>C(U2,1,9)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35">
      <c r="A1342" s="45"/>
      <c r="B1342" s="54"/>
      <c r="C1342" s="47">
        <f t="shared" si="334"/>
        <v>4</v>
      </c>
      <c r="D1342" s="73"/>
      <c r="E1342" s="70"/>
      <c r="F1342" s="70" t="str">
        <f>SUBSTITUTE(F1338,",6)",",10)")</f>
        <v>C(U2,1,10)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35">
      <c r="A1343" s="45"/>
      <c r="B1343" s="54"/>
      <c r="C1343" s="47">
        <f t="shared" si="334"/>
        <v>4</v>
      </c>
      <c r="D1343" s="73"/>
      <c r="E1343" s="70"/>
      <c r="F1343" s="70" t="str">
        <f>SUBSTITUTE(F1339,",7)",",11)")</f>
        <v>C(U2,1,11)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35">
      <c r="A1344" s="45"/>
      <c r="B1344" s="54"/>
      <c r="C1344" s="47">
        <f t="shared" si="334"/>
        <v>4</v>
      </c>
      <c r="D1344" s="73"/>
      <c r="E1344" s="70"/>
      <c r="F1344" s="70" t="str">
        <f>SUBSTITUTE(F1338,",6)",",12)")</f>
        <v>C(U2,1,12)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35">
      <c r="A1345" s="45"/>
      <c r="B1345" s="54"/>
      <c r="C1345" s="47">
        <f t="shared" si="334"/>
        <v>4</v>
      </c>
      <c r="D1345" s="73"/>
      <c r="E1345" s="70"/>
      <c r="F1345" s="70" t="str">
        <f>SUBSTITUTE(F1339,",7)",",13)")</f>
        <v>C(U2,1,13)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35">
      <c r="A1346" s="45"/>
      <c r="B1346" s="54"/>
      <c r="C1346" s="47">
        <f t="shared" si="334"/>
        <v>4</v>
      </c>
      <c r="D1346" s="73"/>
      <c r="E1346" s="70"/>
      <c r="F1346" s="70" t="s">
        <v>1926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35">
      <c r="A1347" s="45"/>
      <c r="B1347" s="54"/>
      <c r="C1347" s="47">
        <f t="shared" si="334"/>
        <v>4</v>
      </c>
      <c r="D1347" s="73"/>
      <c r="E1347" s="70"/>
      <c r="F1347" s="70" t="s">
        <v>1927</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35">
      <c r="A1348" s="45"/>
      <c r="B1348" s="54"/>
      <c r="C1348" s="47">
        <f t="shared" si="334"/>
        <v>4</v>
      </c>
      <c r="D1348" s="73"/>
      <c r="E1348" s="70"/>
      <c r="F1348" s="70" t="s">
        <v>1928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35">
      <c r="A1349" s="45"/>
      <c r="B1349" s="54"/>
      <c r="C1349" s="47">
        <f t="shared" si="334"/>
        <v>4</v>
      </c>
      <c r="D1349" s="73"/>
      <c r="E1349" s="70"/>
      <c r="F1349" s="70" t="s">
        <v>1929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35">
      <c r="A1350" s="45"/>
      <c r="B1350" s="54"/>
      <c r="C1350" s="47">
        <f t="shared" si="334"/>
        <v>4</v>
      </c>
      <c r="D1350" s="73"/>
      <c r="E1350" s="70"/>
      <c r="F1350" s="70" t="s">
        <v>1930</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35">
      <c r="A1351" s="45"/>
      <c r="B1351" s="54"/>
      <c r="C1351" s="47">
        <f t="shared" si="334"/>
        <v>4</v>
      </c>
      <c r="D1351" s="73"/>
      <c r="E1351" s="70"/>
      <c r="F1351" s="70" t="s">
        <v>1931</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35">
      <c r="A1352" s="45"/>
      <c r="B1352" s="54"/>
      <c r="C1352" s="47"/>
      <c r="D1352" s="73"/>
      <c r="E1352" s="70"/>
      <c r="F1352" s="70" t="s">
        <v>2377</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35">
      <c r="A1353" s="45"/>
      <c r="B1353" s="54"/>
      <c r="C1353" s="47"/>
      <c r="D1353" s="73"/>
      <c r="E1353" s="70"/>
      <c r="F1353" s="70" t="s">
        <v>2378</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35">
      <c r="A1354" s="45"/>
      <c r="B1354" s="54"/>
      <c r="C1354" s="47"/>
      <c r="D1354" s="73"/>
      <c r="E1354" s="70"/>
      <c r="F1354" s="70" t="s">
        <v>2379</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35">
      <c r="A1355" s="45"/>
      <c r="B1355" s="54"/>
      <c r="C1355" s="47">
        <f t="shared" ref="C1355:C1366" si="335">INT($C$29)+3</f>
        <v>4</v>
      </c>
      <c r="D1355" s="73"/>
      <c r="E1355" s="70"/>
      <c r="F1355" s="70" t="str">
        <f>SUBSTITUTE(F1351,",4)",",8)")</f>
        <v>C(U2,2,8)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35">
      <c r="A1356" s="45"/>
      <c r="B1356" s="54"/>
      <c r="C1356" s="47">
        <f t="shared" si="335"/>
        <v>4</v>
      </c>
      <c r="D1356" s="73"/>
      <c r="E1356" s="70"/>
      <c r="F1356" s="70" t="str">
        <f>SUBSTITUTE(F1352,",5)",",9)")</f>
        <v>C(U2,2,9)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35">
      <c r="A1357" s="45"/>
      <c r="B1357" s="54"/>
      <c r="C1357" s="47">
        <f t="shared" si="335"/>
        <v>4</v>
      </c>
      <c r="D1357" s="73"/>
      <c r="E1357" s="70"/>
      <c r="F1357" s="70" t="str">
        <f>SUBSTITUTE(F1353,",6)",",10)")</f>
        <v>C(U2,2,10)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35">
      <c r="A1358" s="45"/>
      <c r="B1358" s="54"/>
      <c r="C1358" s="47">
        <f t="shared" si="335"/>
        <v>4</v>
      </c>
      <c r="D1358" s="73"/>
      <c r="E1358" s="70"/>
      <c r="F1358" s="70" t="str">
        <f>SUBSTITUTE(F1354,",7)",",11)")</f>
        <v>C(U2,2,11)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35">
      <c r="A1359" s="45"/>
      <c r="B1359" s="54"/>
      <c r="C1359" s="47">
        <f t="shared" si="335"/>
        <v>4</v>
      </c>
      <c r="D1359" s="73"/>
      <c r="E1359" s="70"/>
      <c r="F1359" s="70" t="str">
        <f>SUBSTITUTE(F1353,",6)",",12)")</f>
        <v>C(U2,2,12)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35">
      <c r="A1360" s="45"/>
      <c r="B1360" s="54"/>
      <c r="C1360" s="47">
        <f t="shared" si="335"/>
        <v>4</v>
      </c>
      <c r="D1360" s="73"/>
      <c r="E1360" s="70"/>
      <c r="F1360" s="70" t="str">
        <f>SUBSTITUTE(F1354,",7)",",13)")</f>
        <v>C(U2,2,13)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35">
      <c r="A1361" s="45"/>
      <c r="B1361" s="54"/>
      <c r="C1361" s="47">
        <f t="shared" si="335"/>
        <v>4</v>
      </c>
      <c r="D1361" s="73"/>
      <c r="E1361" s="70"/>
      <c r="F1361" s="70" t="s">
        <v>1932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35">
      <c r="A1362" s="45"/>
      <c r="B1362" s="54"/>
      <c r="C1362" s="47">
        <f t="shared" si="335"/>
        <v>4</v>
      </c>
      <c r="D1362" s="73"/>
      <c r="E1362" s="70"/>
      <c r="F1362" s="70" t="s">
        <v>1933</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35">
      <c r="A1363" s="45"/>
      <c r="B1363" s="54"/>
      <c r="C1363" s="47">
        <f t="shared" si="335"/>
        <v>4</v>
      </c>
      <c r="D1363" s="73"/>
      <c r="E1363" s="70"/>
      <c r="F1363" s="70" t="s">
        <v>1934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35">
      <c r="A1364" s="45"/>
      <c r="B1364" s="54"/>
      <c r="C1364" s="47">
        <f t="shared" si="335"/>
        <v>4</v>
      </c>
      <c r="D1364" s="73"/>
      <c r="E1364" s="70"/>
      <c r="F1364" s="70" t="s">
        <v>1935</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35">
      <c r="A1365" s="45"/>
      <c r="B1365" s="54"/>
      <c r="C1365" s="47">
        <f t="shared" si="335"/>
        <v>4</v>
      </c>
      <c r="D1365" s="73"/>
      <c r="E1365" s="70"/>
      <c r="F1365" s="70" t="s">
        <v>1936</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35">
      <c r="A1366" s="45"/>
      <c r="B1366" s="54"/>
      <c r="C1366" s="47">
        <f t="shared" si="335"/>
        <v>4</v>
      </c>
      <c r="D1366" s="73"/>
      <c r="E1366" s="70"/>
      <c r="F1366" s="70" t="s">
        <v>1937</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35">
      <c r="A1367" s="45"/>
      <c r="B1367" s="54"/>
      <c r="C1367" s="47"/>
      <c r="D1367" s="73"/>
      <c r="E1367" s="70"/>
      <c r="F1367" s="70" t="s">
        <v>2380</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35">
      <c r="A1368" s="45"/>
      <c r="B1368" s="54"/>
      <c r="C1368" s="47"/>
      <c r="D1368" s="73"/>
      <c r="E1368" s="70"/>
      <c r="F1368" s="70" t="s">
        <v>2381</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35">
      <c r="A1369" s="45"/>
      <c r="B1369" s="54"/>
      <c r="C1369" s="47"/>
      <c r="D1369" s="73"/>
      <c r="E1369" s="70"/>
      <c r="F1369" s="70" t="s">
        <v>2382</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35">
      <c r="A1370" s="45"/>
      <c r="B1370" s="54"/>
      <c r="C1370" s="47">
        <f t="shared" ref="C1370:C1381" si="336">INT($C$29)+3</f>
        <v>4</v>
      </c>
      <c r="D1370" s="73"/>
      <c r="E1370" s="70"/>
      <c r="F1370" s="70" t="str">
        <f>SUBSTITUTE(F1366,",4)",",8)")</f>
        <v>C(U2,3,8)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35">
      <c r="A1371" s="45"/>
      <c r="B1371" s="54"/>
      <c r="C1371" s="47">
        <f t="shared" si="336"/>
        <v>4</v>
      </c>
      <c r="D1371" s="73"/>
      <c r="E1371" s="70"/>
      <c r="F1371" s="70" t="str">
        <f>SUBSTITUTE(F1367,",5)",",9)")</f>
        <v>C(U2,3,9)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35">
      <c r="A1372" s="45"/>
      <c r="B1372" s="54"/>
      <c r="C1372" s="47">
        <f t="shared" si="336"/>
        <v>4</v>
      </c>
      <c r="D1372" s="73"/>
      <c r="E1372" s="70"/>
      <c r="F1372" s="70" t="str">
        <f>SUBSTITUTE(F1368,",6)",",10)")</f>
        <v>C(U2,3,10)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35">
      <c r="A1373" s="45"/>
      <c r="B1373" s="54"/>
      <c r="C1373" s="47">
        <f t="shared" si="336"/>
        <v>4</v>
      </c>
      <c r="D1373" s="73"/>
      <c r="E1373" s="70"/>
      <c r="F1373" s="70" t="str">
        <f>SUBSTITUTE(F1369,",7)",",11)")</f>
        <v>C(U2,3,11)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35">
      <c r="A1374" s="45"/>
      <c r="B1374" s="54"/>
      <c r="C1374" s="47">
        <f t="shared" si="336"/>
        <v>4</v>
      </c>
      <c r="D1374" s="73"/>
      <c r="E1374" s="70"/>
      <c r="F1374" s="70" t="str">
        <f>SUBSTITUTE(F1368,",6)",",12)")</f>
        <v>C(U2,3,12)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35">
      <c r="A1375" s="45"/>
      <c r="B1375" s="54"/>
      <c r="C1375" s="47">
        <f t="shared" si="336"/>
        <v>4</v>
      </c>
      <c r="D1375" s="73"/>
      <c r="E1375" s="70"/>
      <c r="F1375" s="70" t="str">
        <f>SUBSTITUTE(F1369,",7)",",13)")</f>
        <v>C(U2,3,13)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35">
      <c r="A1376" s="45"/>
      <c r="B1376" s="54"/>
      <c r="C1376" s="47">
        <f t="shared" si="336"/>
        <v>4</v>
      </c>
      <c r="D1376" s="73"/>
      <c r="E1376" s="70"/>
      <c r="F1376" s="70" t="s">
        <v>1938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35">
      <c r="A1377" s="45"/>
      <c r="B1377" s="54"/>
      <c r="C1377" s="47">
        <f t="shared" si="336"/>
        <v>4</v>
      </c>
      <c r="D1377" s="73"/>
      <c r="E1377" s="70"/>
      <c r="F1377" s="70" t="s">
        <v>1939</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35">
      <c r="A1378" s="45"/>
      <c r="B1378" s="54"/>
      <c r="C1378" s="47">
        <f t="shared" si="336"/>
        <v>4</v>
      </c>
      <c r="D1378" s="73"/>
      <c r="E1378" s="70"/>
      <c r="F1378" s="70" t="s">
        <v>1940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35">
      <c r="A1379" s="45"/>
      <c r="B1379" s="54"/>
      <c r="C1379" s="47">
        <f t="shared" si="336"/>
        <v>4</v>
      </c>
      <c r="D1379" s="73"/>
      <c r="E1379" s="70"/>
      <c r="F1379" s="70" t="s">
        <v>1941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35">
      <c r="A1380" s="45"/>
      <c r="B1380" s="54"/>
      <c r="C1380" s="47">
        <f t="shared" si="336"/>
        <v>4</v>
      </c>
      <c r="D1380" s="73"/>
      <c r="E1380" s="70"/>
      <c r="F1380" s="70" t="s">
        <v>1942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35">
      <c r="A1381" s="45"/>
      <c r="B1381" s="54"/>
      <c r="C1381" s="47">
        <f t="shared" si="336"/>
        <v>4</v>
      </c>
      <c r="D1381" s="73"/>
      <c r="E1381" s="70"/>
      <c r="F1381" s="70" t="s">
        <v>1943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35">
      <c r="A1382" s="45"/>
      <c r="B1382" s="54"/>
      <c r="C1382" s="47"/>
      <c r="D1382" s="73"/>
      <c r="E1382" s="70"/>
      <c r="F1382" s="70" t="s">
        <v>2404</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35">
      <c r="A1383" s="45"/>
      <c r="B1383" s="54"/>
      <c r="C1383" s="47"/>
      <c r="D1383" s="73"/>
      <c r="E1383" s="70"/>
      <c r="F1383" s="70" t="s">
        <v>2405</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35">
      <c r="A1384" s="45"/>
      <c r="B1384" s="54"/>
      <c r="C1384" s="47"/>
      <c r="D1384" s="73"/>
      <c r="E1384" s="70"/>
      <c r="F1384" s="70" t="s">
        <v>2406</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35">
      <c r="A1385" s="45"/>
      <c r="B1385" s="54"/>
      <c r="C1385" s="47">
        <f t="shared" ref="C1385:C1396" si="337">INT($C$29)+3</f>
        <v>4</v>
      </c>
      <c r="D1385" s="73"/>
      <c r="E1385" s="70"/>
      <c r="F1385" s="70" t="str">
        <f>SUBSTITUTE(F1381,",4)",",8)")</f>
        <v>C(U2,4,8)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35">
      <c r="A1386" s="45"/>
      <c r="B1386" s="54"/>
      <c r="C1386" s="47">
        <f t="shared" si="337"/>
        <v>4</v>
      </c>
      <c r="D1386" s="73"/>
      <c r="E1386" s="70"/>
      <c r="F1386" s="70" t="str">
        <f>SUBSTITUTE(F1382,",5)",",9)")</f>
        <v>C(U2,4,9)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35">
      <c r="A1387" s="45"/>
      <c r="B1387" s="54"/>
      <c r="C1387" s="47">
        <f t="shared" si="337"/>
        <v>4</v>
      </c>
      <c r="D1387" s="73"/>
      <c r="E1387" s="70"/>
      <c r="F1387" s="70" t="str">
        <f>SUBSTITUTE(F1383,",6)",",10)")</f>
        <v>C(U2,4,10)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35">
      <c r="A1388" s="45"/>
      <c r="B1388" s="54"/>
      <c r="C1388" s="47">
        <f t="shared" si="337"/>
        <v>4</v>
      </c>
      <c r="D1388" s="73"/>
      <c r="E1388" s="70"/>
      <c r="F1388" s="70" t="str">
        <f>SUBSTITUTE(F1384,",7)",",11)")</f>
        <v>C(U2,4,11)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35">
      <c r="A1389" s="45"/>
      <c r="B1389" s="54"/>
      <c r="C1389" s="47">
        <f t="shared" si="337"/>
        <v>4</v>
      </c>
      <c r="D1389" s="73"/>
      <c r="E1389" s="70"/>
      <c r="F1389" s="70" t="str">
        <f>SUBSTITUTE(F1383,",6)",",12)")</f>
        <v>C(U2,4,12)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35">
      <c r="A1390" s="45"/>
      <c r="B1390" s="54"/>
      <c r="C1390" s="47">
        <f t="shared" si="337"/>
        <v>4</v>
      </c>
      <c r="D1390" s="73"/>
      <c r="E1390" s="70"/>
      <c r="F1390" s="70" t="str">
        <f>SUBSTITUTE(F1384,",7)",",13)")</f>
        <v>C(U2,4,13)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35">
      <c r="A1391" s="45"/>
      <c r="B1391" s="54"/>
      <c r="C1391" s="47">
        <f t="shared" si="337"/>
        <v>4</v>
      </c>
      <c r="D1391" s="73"/>
      <c r="E1391" s="70"/>
      <c r="F1391" s="70" t="s">
        <v>1944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35">
      <c r="A1392" s="45"/>
      <c r="B1392" s="54"/>
      <c r="C1392" s="47">
        <f t="shared" si="337"/>
        <v>4</v>
      </c>
      <c r="D1392" s="73"/>
      <c r="E1392" s="70"/>
      <c r="F1392" s="70" t="s">
        <v>1945</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35">
      <c r="A1393" s="45"/>
      <c r="B1393" s="54"/>
      <c r="C1393" s="47">
        <f t="shared" si="337"/>
        <v>4</v>
      </c>
      <c r="D1393" s="73"/>
      <c r="E1393" s="70"/>
      <c r="F1393" s="70" t="s">
        <v>1946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35">
      <c r="A1394" s="45"/>
      <c r="B1394" s="54"/>
      <c r="C1394" s="47">
        <f t="shared" si="337"/>
        <v>4</v>
      </c>
      <c r="D1394" s="73"/>
      <c r="E1394" s="70"/>
      <c r="F1394" s="70" t="s">
        <v>1947</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35">
      <c r="A1395" s="45"/>
      <c r="B1395" s="54"/>
      <c r="C1395" s="47">
        <f t="shared" si="337"/>
        <v>4</v>
      </c>
      <c r="D1395" s="73"/>
      <c r="E1395" s="70"/>
      <c r="F1395" s="70" t="s">
        <v>1948</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35">
      <c r="A1396" s="45"/>
      <c r="B1396" s="54"/>
      <c r="C1396" s="47">
        <f t="shared" si="337"/>
        <v>4</v>
      </c>
      <c r="D1396" s="73"/>
      <c r="E1396" s="70"/>
      <c r="F1396" s="70" t="s">
        <v>1949</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35">
      <c r="A1397" s="45"/>
      <c r="B1397" s="54"/>
      <c r="C1397" s="47"/>
      <c r="D1397" s="73"/>
      <c r="E1397" s="70"/>
      <c r="F1397" s="70" t="s">
        <v>2407</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35">
      <c r="A1398" s="45"/>
      <c r="B1398" s="54"/>
      <c r="C1398" s="47"/>
      <c r="D1398" s="73"/>
      <c r="E1398" s="70"/>
      <c r="F1398" s="70" t="s">
        <v>2408</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35">
      <c r="A1399" s="45"/>
      <c r="B1399" s="54"/>
      <c r="C1399" s="47"/>
      <c r="D1399" s="73"/>
      <c r="E1399" s="70"/>
      <c r="F1399" s="70" t="s">
        <v>2409</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35">
      <c r="A1400" s="45"/>
      <c r="B1400" s="54"/>
      <c r="C1400" s="47">
        <f t="shared" ref="C1400:C1411" si="338">INT($C$29)+3</f>
        <v>4</v>
      </c>
      <c r="D1400" s="73"/>
      <c r="E1400" s="70"/>
      <c r="F1400" s="70" t="str">
        <f>SUBSTITUTE(F1396,",4)",",8)")</f>
        <v>C(U2,5,8)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35">
      <c r="A1401" s="45"/>
      <c r="B1401" s="54"/>
      <c r="C1401" s="47">
        <f t="shared" si="338"/>
        <v>4</v>
      </c>
      <c r="D1401" s="73"/>
      <c r="E1401" s="70"/>
      <c r="F1401" s="70" t="str">
        <f>SUBSTITUTE(F1397,",5)",",9)")</f>
        <v>C(U2,5,9)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35">
      <c r="A1402" s="45"/>
      <c r="B1402" s="54"/>
      <c r="C1402" s="47">
        <f t="shared" si="338"/>
        <v>4</v>
      </c>
      <c r="D1402" s="73"/>
      <c r="E1402" s="70"/>
      <c r="F1402" s="70" t="str">
        <f>SUBSTITUTE(F1398,",6)",",10)")</f>
        <v>C(U2,5,10)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35">
      <c r="A1403" s="45"/>
      <c r="B1403" s="54"/>
      <c r="C1403" s="47">
        <f t="shared" si="338"/>
        <v>4</v>
      </c>
      <c r="D1403" s="73"/>
      <c r="E1403" s="70"/>
      <c r="F1403" s="70" t="str">
        <f>SUBSTITUTE(F1399,",7)",",11)")</f>
        <v>C(U2,5,11)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35">
      <c r="A1404" s="45"/>
      <c r="B1404" s="54"/>
      <c r="C1404" s="47">
        <f t="shared" si="338"/>
        <v>4</v>
      </c>
      <c r="D1404" s="73"/>
      <c r="E1404" s="70"/>
      <c r="F1404" s="70" t="str">
        <f>SUBSTITUTE(F1398,",6)",",12)")</f>
        <v>C(U2,5,12)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35">
      <c r="A1405" s="45"/>
      <c r="B1405" s="54"/>
      <c r="C1405" s="47">
        <f t="shared" si="338"/>
        <v>4</v>
      </c>
      <c r="D1405" s="73"/>
      <c r="E1405" s="70"/>
      <c r="F1405" s="70" t="str">
        <f>SUBSTITUTE(F1399,",7)",",13)")</f>
        <v>C(U2,5,13)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35">
      <c r="A1406" s="45"/>
      <c r="B1406" s="54"/>
      <c r="C1406" s="47">
        <f t="shared" si="338"/>
        <v>4</v>
      </c>
      <c r="D1406" s="73"/>
      <c r="E1406" s="70"/>
      <c r="F1406" s="70" t="s">
        <v>1950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35">
      <c r="A1407" s="45"/>
      <c r="B1407" s="54"/>
      <c r="C1407" s="47">
        <f t="shared" si="338"/>
        <v>4</v>
      </c>
      <c r="D1407" s="73"/>
      <c r="E1407" s="70"/>
      <c r="F1407" s="70" t="s">
        <v>1951</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35">
      <c r="A1408" s="45"/>
      <c r="B1408" s="54"/>
      <c r="C1408" s="47">
        <f t="shared" si="338"/>
        <v>4</v>
      </c>
      <c r="D1408" s="73"/>
      <c r="E1408" s="70"/>
      <c r="F1408" s="70" t="s">
        <v>1952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35">
      <c r="A1409" s="45"/>
      <c r="B1409" s="54"/>
      <c r="C1409" s="47">
        <f t="shared" si="338"/>
        <v>4</v>
      </c>
      <c r="D1409" s="73"/>
      <c r="E1409" s="70"/>
      <c r="F1409" s="70" t="s">
        <v>1953</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35">
      <c r="A1410" s="45"/>
      <c r="B1410" s="54"/>
      <c r="C1410" s="47">
        <f t="shared" si="338"/>
        <v>4</v>
      </c>
      <c r="D1410" s="73"/>
      <c r="E1410" s="70"/>
      <c r="F1410" s="70" t="s">
        <v>1954</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35">
      <c r="A1411" s="45"/>
      <c r="B1411" s="54"/>
      <c r="C1411" s="47">
        <f t="shared" si="338"/>
        <v>4</v>
      </c>
      <c r="D1411" s="73"/>
      <c r="E1411" s="70"/>
      <c r="F1411" s="70" t="s">
        <v>1955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35">
      <c r="A1412" s="45"/>
      <c r="B1412" s="54"/>
      <c r="C1412" s="47"/>
      <c r="D1412" s="73"/>
      <c r="E1412" s="70"/>
      <c r="F1412" s="70" t="s">
        <v>2410</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35">
      <c r="A1413" s="45"/>
      <c r="B1413" s="54"/>
      <c r="C1413" s="47"/>
      <c r="D1413" s="73"/>
      <c r="E1413" s="70"/>
      <c r="F1413" s="70" t="s">
        <v>2411</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35">
      <c r="A1414" s="45"/>
      <c r="B1414" s="54"/>
      <c r="C1414" s="47"/>
      <c r="D1414" s="73"/>
      <c r="E1414" s="70"/>
      <c r="F1414" s="70" t="s">
        <v>2412</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35">
      <c r="A1415" s="45"/>
      <c r="B1415" s="54"/>
      <c r="C1415" s="47">
        <f t="shared" ref="C1415:C1426" si="339">INT($C$29)+3</f>
        <v>4</v>
      </c>
      <c r="D1415" s="73"/>
      <c r="E1415" s="70"/>
      <c r="F1415" s="70" t="str">
        <f>SUBSTITUTE(F1411,",4)",",8)")</f>
        <v>C(U2,6,8)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35">
      <c r="A1416" s="45"/>
      <c r="B1416" s="54"/>
      <c r="C1416" s="47">
        <f t="shared" si="339"/>
        <v>4</v>
      </c>
      <c r="D1416" s="73"/>
      <c r="E1416" s="70"/>
      <c r="F1416" s="70" t="str">
        <f>SUBSTITUTE(F1412,",5)",",9)")</f>
        <v>C(U2,6,9)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35">
      <c r="A1417" s="45"/>
      <c r="B1417" s="54"/>
      <c r="C1417" s="47">
        <f t="shared" si="339"/>
        <v>4</v>
      </c>
      <c r="D1417" s="73"/>
      <c r="E1417" s="70"/>
      <c r="F1417" s="70" t="str">
        <f>SUBSTITUTE(F1413,",6)",",10)")</f>
        <v>C(U2,6,10)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35">
      <c r="A1418" s="45"/>
      <c r="B1418" s="54"/>
      <c r="C1418" s="47">
        <f t="shared" si="339"/>
        <v>4</v>
      </c>
      <c r="D1418" s="73"/>
      <c r="E1418" s="70"/>
      <c r="F1418" s="70" t="str">
        <f>SUBSTITUTE(F1414,",7)",",11)")</f>
        <v>C(U2,6,11)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35">
      <c r="A1419" s="45"/>
      <c r="B1419" s="54"/>
      <c r="C1419" s="47">
        <f t="shared" si="339"/>
        <v>4</v>
      </c>
      <c r="D1419" s="73"/>
      <c r="E1419" s="70"/>
      <c r="F1419" s="70" t="str">
        <f>SUBSTITUTE(F1413,",6)",",12)")</f>
        <v>C(U2,6,12)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9"/>
        <v>4</v>
      </c>
      <c r="D1420" s="73"/>
      <c r="E1420" s="70"/>
      <c r="F1420" s="70" t="str">
        <f>SUBSTITUTE(F1414,",7)",",13)")</f>
        <v>C(U2,6,13)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9"/>
        <v>4</v>
      </c>
      <c r="D1421" s="73"/>
      <c r="E1421" s="70"/>
      <c r="F1421" s="70" t="s">
        <v>1956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9"/>
        <v>4</v>
      </c>
      <c r="D1422" s="73"/>
      <c r="E1422" s="70"/>
      <c r="F1422" s="70" t="s">
        <v>1957</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9"/>
        <v>4</v>
      </c>
      <c r="D1423" s="73"/>
      <c r="E1423" s="70"/>
      <c r="F1423" s="70" t="s">
        <v>1958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9"/>
        <v>4</v>
      </c>
      <c r="D1424" s="73"/>
      <c r="E1424" s="70"/>
      <c r="F1424" s="70" t="s">
        <v>1959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9"/>
        <v>4</v>
      </c>
      <c r="D1425" s="73"/>
      <c r="E1425" s="70"/>
      <c r="F1425" s="70" t="s">
        <v>1960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9"/>
        <v>4</v>
      </c>
      <c r="D1426" s="73"/>
      <c r="E1426" s="70"/>
      <c r="F1426" s="70" t="s">
        <v>1961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35">
      <c r="A1427" s="45"/>
      <c r="B1427" s="54"/>
      <c r="C1427" s="47"/>
      <c r="D1427" s="73"/>
      <c r="E1427" s="70"/>
      <c r="F1427" s="70" t="s">
        <v>2413</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35">
      <c r="A1428" s="45"/>
      <c r="B1428" s="54"/>
      <c r="C1428" s="47"/>
      <c r="D1428" s="73"/>
      <c r="E1428" s="70"/>
      <c r="F1428" s="70" t="s">
        <v>2414</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35">
      <c r="A1429" s="45"/>
      <c r="B1429" s="54"/>
      <c r="C1429" s="47"/>
      <c r="D1429" s="73"/>
      <c r="E1429" s="70"/>
      <c r="F1429" s="70" t="s">
        <v>2415</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f>INT($C$29)+3</f>
        <v>4</v>
      </c>
      <c r="D1430" s="73"/>
      <c r="E1430" s="70"/>
      <c r="F1430" s="70" t="str">
        <f>SUBSTITUTE(F1426,",4)",",8)")</f>
        <v>C(U2,7,8)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tr">
        <f>SUBSTITUTE(F1427,",5)",",9)")</f>
        <v>C(U2,7,9)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tr">
        <f>SUBSTITUTE(F1428,",6)",",10)")</f>
        <v>C(U2,7,10)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f>INT($C$29)+3</f>
        <v>4</v>
      </c>
      <c r="D1433" s="73"/>
      <c r="E1433" s="70"/>
      <c r="F1433" s="70" t="str">
        <f>SUBSTITUTE(F1429,",7)",",11)")</f>
        <v>C(U2,7,11)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f t="shared" ref="C1434:C1435" si="340">INT($C$29)+3</f>
        <v>4</v>
      </c>
      <c r="D1434" s="73"/>
      <c r="E1434" s="70"/>
      <c r="F1434" s="70" t="str">
        <f>SUBSTITUTE(F1428,",6)",",12)")</f>
        <v>C(U2,7,12)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f t="shared" si="340"/>
        <v>4</v>
      </c>
      <c r="D1435" s="73"/>
      <c r="E1435" s="70"/>
      <c r="F1435" s="70" t="str">
        <f>SUBSTITUTE(F1429,",7)",",13)")</f>
        <v>C(U2,7,13)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INT($C$29)+3</f>
        <v>4</v>
      </c>
      <c r="D1436" s="73"/>
      <c r="E1436" s="398"/>
      <c r="F1436" s="398" t="s">
        <v>1962</v>
      </c>
      <c r="G1436" s="73"/>
      <c r="H1436" s="109"/>
      <c r="I1436" s="109"/>
      <c r="J1436" s="109"/>
      <c r="K1436" s="109"/>
      <c r="L1436" s="109"/>
      <c r="M1436" s="109"/>
      <c r="N1436" s="109"/>
      <c r="O1436" s="109"/>
      <c r="P1436" s="109"/>
      <c r="Q1436" s="109"/>
      <c r="R1436" s="109"/>
      <c r="S1436" s="109"/>
      <c r="T1436" s="109"/>
      <c r="U1436" s="109"/>
      <c r="V1436" s="109"/>
      <c r="W1436" s="109"/>
      <c r="X1436" s="109"/>
      <c r="Y1436" s="109"/>
      <c r="Z1436" s="109"/>
      <c r="AA1436" s="109"/>
      <c r="AB1436" s="109"/>
      <c r="AC1436" s="109"/>
      <c r="AD1436" s="109"/>
      <c r="AE1436" s="109"/>
      <c r="AF1436" s="109"/>
      <c r="AG1436" s="109"/>
      <c r="AH1436" s="109">
        <v>1</v>
      </c>
      <c r="AI1436" s="109">
        <v>1</v>
      </c>
      <c r="AJ1436" s="73"/>
      <c r="AK1436" s="57"/>
      <c r="AL1436" s="45"/>
      <c r="AM1436" s="45"/>
      <c r="AN1436" s="45"/>
    </row>
    <row r="1437" spans="1:40" outlineLevel="2" x14ac:dyDescent="0.35">
      <c r="A1437" s="45"/>
      <c r="B1437" s="54"/>
      <c r="C1437" s="47">
        <f>INT($C$29)+2</f>
        <v>3</v>
      </c>
      <c r="D1437" s="73"/>
      <c r="E1437" s="402"/>
      <c r="F1437" s="402" t="s">
        <v>1963</v>
      </c>
      <c r="G1437" s="403"/>
      <c r="H1437" s="181" t="s">
        <v>1964</v>
      </c>
      <c r="I1437" s="181"/>
      <c r="J1437" s="181"/>
      <c r="K1437" s="181"/>
      <c r="L1437" s="181"/>
      <c r="M1437" s="181"/>
      <c r="N1437" s="181"/>
      <c r="O1437" s="181"/>
      <c r="P1437" s="181"/>
      <c r="Q1437" s="181"/>
      <c r="R1437" s="181"/>
      <c r="S1437" s="181"/>
      <c r="T1437" s="181"/>
      <c r="U1437" s="404">
        <v>3.157</v>
      </c>
      <c r="V1437" s="405">
        <f>U1437</f>
        <v>3.157</v>
      </c>
      <c r="W1437" s="405">
        <f t="shared" ref="W1437:X1439" si="341">U1437</f>
        <v>3.157</v>
      </c>
      <c r="X1437" s="405">
        <f t="shared" si="341"/>
        <v>3.157</v>
      </c>
      <c r="Y1437" s="405">
        <f>V1437</f>
        <v>3.157</v>
      </c>
      <c r="Z1437" s="405">
        <f>AA1437</f>
        <v>2.9750000000000001</v>
      </c>
      <c r="AA1437" s="404">
        <v>2.9750000000000001</v>
      </c>
      <c r="AB1437" s="405">
        <f t="shared" ref="AB1437:AD1439" si="342">AA1437</f>
        <v>2.9750000000000001</v>
      </c>
      <c r="AC1437" s="405">
        <f t="shared" si="342"/>
        <v>2.9750000000000001</v>
      </c>
      <c r="AD1437" s="405">
        <f t="shared" si="342"/>
        <v>2.9750000000000001</v>
      </c>
      <c r="AE1437" s="181"/>
      <c r="AF1437" s="404" t="s">
        <v>2565</v>
      </c>
      <c r="AG1437" s="181"/>
      <c r="AH1437" s="404">
        <v>1</v>
      </c>
      <c r="AI1437" s="404">
        <v>1</v>
      </c>
      <c r="AJ1437" s="73"/>
      <c r="AK1437" s="57"/>
      <c r="AL1437" s="45"/>
      <c r="AM1437" s="45"/>
      <c r="AN1437" s="45"/>
    </row>
    <row r="1438" spans="1:40" outlineLevel="2" x14ac:dyDescent="0.35">
      <c r="A1438" s="45"/>
      <c r="B1438" s="54"/>
      <c r="C1438" s="47">
        <f>INT($C$29)+2</f>
        <v>3</v>
      </c>
      <c r="D1438" s="73"/>
      <c r="E1438" s="70"/>
      <c r="F1438" s="70" t="s">
        <v>1965</v>
      </c>
      <c r="G1438" s="234"/>
      <c r="H1438" s="76" t="s">
        <v>1966</v>
      </c>
      <c r="I1438" s="76"/>
      <c r="J1438" s="76"/>
      <c r="K1438" s="76"/>
      <c r="L1438" s="76"/>
      <c r="M1438" s="76"/>
      <c r="N1438" s="76"/>
      <c r="O1438" s="76"/>
      <c r="P1438" s="76"/>
      <c r="Q1438" s="76"/>
      <c r="R1438" s="76"/>
      <c r="S1438" s="76"/>
      <c r="T1438" s="76"/>
      <c r="U1438" s="97">
        <v>-0.28570000000000001</v>
      </c>
      <c r="V1438" s="255">
        <f>U1438</f>
        <v>-0.28570000000000001</v>
      </c>
      <c r="W1438" s="255">
        <f t="shared" si="341"/>
        <v>-0.28570000000000001</v>
      </c>
      <c r="X1438" s="255">
        <f t="shared" si="341"/>
        <v>-0.28570000000000001</v>
      </c>
      <c r="Y1438" s="255">
        <f>V1438</f>
        <v>-0.28570000000000001</v>
      </c>
      <c r="Z1438" s="400">
        <f>AA1438</f>
        <v>-0.23649999999999999</v>
      </c>
      <c r="AA1438" s="97">
        <v>-0.23649999999999999</v>
      </c>
      <c r="AB1438" s="400">
        <f t="shared" si="342"/>
        <v>-0.23649999999999999</v>
      </c>
      <c r="AC1438" s="400">
        <f t="shared" si="342"/>
        <v>-0.23649999999999999</v>
      </c>
      <c r="AD1438" s="400">
        <f t="shared" si="342"/>
        <v>-0.23649999999999999</v>
      </c>
      <c r="AE1438" s="76"/>
      <c r="AF1438" s="76"/>
      <c r="AG1438" s="76"/>
      <c r="AH1438" s="97">
        <v>1</v>
      </c>
      <c r="AI1438" s="97">
        <v>1</v>
      </c>
      <c r="AJ1438" s="73"/>
      <c r="AK1438" s="57"/>
      <c r="AL1438" s="45"/>
      <c r="AM1438" s="45"/>
      <c r="AN1438" s="45"/>
    </row>
    <row r="1439" spans="1:40" outlineLevel="2" collapsed="1" x14ac:dyDescent="0.35">
      <c r="A1439" s="45"/>
      <c r="B1439" s="54"/>
      <c r="C1439" s="47">
        <f>INT($C$29)+2</f>
        <v>3</v>
      </c>
      <c r="D1439" s="73"/>
      <c r="E1439" s="70"/>
      <c r="F1439" s="70" t="s">
        <v>1967</v>
      </c>
      <c r="G1439" s="234"/>
      <c r="H1439" s="76" t="s">
        <v>1968</v>
      </c>
      <c r="I1439" s="76"/>
      <c r="J1439" s="76"/>
      <c r="K1439" s="76"/>
      <c r="L1439" s="76"/>
      <c r="M1439" s="76"/>
      <c r="N1439" s="76"/>
      <c r="O1439" s="76"/>
      <c r="P1439" s="76"/>
      <c r="Q1439" s="76"/>
      <c r="R1439" s="76"/>
      <c r="S1439" s="76"/>
      <c r="T1439" s="76"/>
      <c r="U1439" s="97">
        <v>-7.9950000000000004E-3</v>
      </c>
      <c r="V1439" s="255">
        <f>U1439</f>
        <v>-7.9950000000000004E-3</v>
      </c>
      <c r="W1439" s="255">
        <f t="shared" si="341"/>
        <v>-7.9950000000000004E-3</v>
      </c>
      <c r="X1439" s="255">
        <f t="shared" si="341"/>
        <v>-7.9950000000000004E-3</v>
      </c>
      <c r="Y1439" s="255">
        <f>V1439</f>
        <v>-7.9950000000000004E-3</v>
      </c>
      <c r="Z1439" s="400">
        <f>AA1439</f>
        <v>-1.761E-3</v>
      </c>
      <c r="AA1439" s="97">
        <v>-1.761E-3</v>
      </c>
      <c r="AB1439" s="400">
        <f t="shared" si="342"/>
        <v>-1.761E-3</v>
      </c>
      <c r="AC1439" s="400">
        <f t="shared" si="342"/>
        <v>-1.761E-3</v>
      </c>
      <c r="AD1439" s="400">
        <f t="shared" si="342"/>
        <v>-1.761E-3</v>
      </c>
      <c r="AE1439" s="76"/>
      <c r="AF1439" s="76"/>
      <c r="AG1439" s="76"/>
      <c r="AH1439" s="97">
        <v>1</v>
      </c>
      <c r="AI1439" s="97">
        <v>1</v>
      </c>
      <c r="AJ1439" s="73"/>
      <c r="AK1439" s="57"/>
      <c r="AL1439" s="45"/>
      <c r="AM1439" s="45"/>
      <c r="AN1439" s="45"/>
    </row>
    <row r="1440" spans="1:40" hidden="1" outlineLevel="3" x14ac:dyDescent="0.35">
      <c r="A1440" s="45"/>
      <c r="B1440" s="54"/>
      <c r="C1440" s="47">
        <f>INT($C$29)+3</f>
        <v>4</v>
      </c>
      <c r="D1440" s="73"/>
      <c r="E1440" s="70"/>
      <c r="F1440" s="70" t="s">
        <v>1969</v>
      </c>
      <c r="G1440" s="234"/>
      <c r="H1440" s="76" t="s">
        <v>2468</v>
      </c>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2" x14ac:dyDescent="0.35">
      <c r="A1441" s="45"/>
      <c r="B1441" s="54"/>
      <c r="C1441" s="47">
        <f>INT($C$29)+2</f>
        <v>3</v>
      </c>
      <c r="D1441" s="73"/>
      <c r="E1441" s="70"/>
      <c r="F1441" s="70" t="s">
        <v>1971</v>
      </c>
      <c r="G1441" s="234"/>
      <c r="H1441" s="76" t="s">
        <v>1970</v>
      </c>
      <c r="I1441" s="76"/>
      <c r="J1441" s="76"/>
      <c r="K1441" s="76"/>
      <c r="L1441" s="76"/>
      <c r="M1441" s="76"/>
      <c r="N1441" s="76"/>
      <c r="O1441" s="76"/>
      <c r="P1441" s="76"/>
      <c r="Q1441" s="76"/>
      <c r="R1441" s="76"/>
      <c r="S1441" s="76"/>
      <c r="T1441" s="76"/>
      <c r="U1441" s="97">
        <f>0.001337*0</f>
        <v>0</v>
      </c>
      <c r="V1441" s="255">
        <f>U1441</f>
        <v>0</v>
      </c>
      <c r="W1441" s="255">
        <f>U1441</f>
        <v>0</v>
      </c>
      <c r="X1441" s="255">
        <f>V1441</f>
        <v>0</v>
      </c>
      <c r="Y1441" s="255">
        <f>V1441</f>
        <v>0</v>
      </c>
      <c r="Z1441" s="400">
        <f>AA1441</f>
        <v>0</v>
      </c>
      <c r="AA1441" s="97">
        <v>0</v>
      </c>
      <c r="AB1441" s="400">
        <f t="shared" ref="AB1441:AD1442" si="343">AA1441</f>
        <v>0</v>
      </c>
      <c r="AC1441" s="400">
        <f t="shared" si="343"/>
        <v>0</v>
      </c>
      <c r="AD1441" s="400">
        <f t="shared" si="343"/>
        <v>0</v>
      </c>
      <c r="AE1441" s="76"/>
      <c r="AF1441" s="76"/>
      <c r="AG1441" s="76"/>
      <c r="AH1441" s="97">
        <v>1</v>
      </c>
      <c r="AI1441" s="97">
        <v>1</v>
      </c>
      <c r="AJ1441" s="73"/>
      <c r="AK1441" s="57"/>
      <c r="AL1441" s="45"/>
      <c r="AM1441" s="45"/>
      <c r="AN1441" s="45"/>
    </row>
    <row r="1442" spans="1:40" outlineLevel="2" collapsed="1" x14ac:dyDescent="0.35">
      <c r="A1442" s="45"/>
      <c r="B1442" s="54"/>
      <c r="C1442" s="47">
        <f>INT($C$29)+2</f>
        <v>3</v>
      </c>
      <c r="D1442" s="73"/>
      <c r="E1442" s="70"/>
      <c r="F1442" s="70" t="s">
        <v>2471</v>
      </c>
      <c r="G1442" s="234"/>
      <c r="H1442" s="76" t="s">
        <v>1972</v>
      </c>
      <c r="I1442" s="76"/>
      <c r="J1442" s="76"/>
      <c r="K1442" s="76"/>
      <c r="L1442" s="76"/>
      <c r="M1442" s="76"/>
      <c r="N1442" s="76"/>
      <c r="O1442" s="76"/>
      <c r="P1442" s="76"/>
      <c r="Q1442" s="76"/>
      <c r="R1442" s="76"/>
      <c r="S1442" s="76"/>
      <c r="T1442" s="76"/>
      <c r="U1442" s="97">
        <f>-0.000000272*0</f>
        <v>0</v>
      </c>
      <c r="V1442" s="255">
        <f>U1442</f>
        <v>0</v>
      </c>
      <c r="W1442" s="255">
        <f>U1442</f>
        <v>0</v>
      </c>
      <c r="X1442" s="255">
        <f>V1442</f>
        <v>0</v>
      </c>
      <c r="Y1442" s="255">
        <f>V1442</f>
        <v>0</v>
      </c>
      <c r="Z1442" s="400">
        <f>AA1442</f>
        <v>0</v>
      </c>
      <c r="AA1442" s="97">
        <v>0</v>
      </c>
      <c r="AB1442" s="400">
        <f t="shared" si="343"/>
        <v>0</v>
      </c>
      <c r="AC1442" s="400">
        <f t="shared" si="343"/>
        <v>0</v>
      </c>
      <c r="AD1442" s="400">
        <f t="shared" si="343"/>
        <v>0</v>
      </c>
      <c r="AE1442" s="76"/>
      <c r="AF1442" s="76"/>
      <c r="AG1442" s="76"/>
      <c r="AH1442" s="97">
        <v>1</v>
      </c>
      <c r="AI1442" s="97">
        <v>1</v>
      </c>
      <c r="AJ1442" s="73"/>
      <c r="AK1442" s="57"/>
      <c r="AL1442" s="45"/>
      <c r="AM1442" s="45"/>
      <c r="AN1442" s="45"/>
    </row>
    <row r="1443" spans="1:40" hidden="1" outlineLevel="3" x14ac:dyDescent="0.35">
      <c r="A1443" s="45"/>
      <c r="B1443" s="54"/>
      <c r="C1443" s="47">
        <f t="shared" ref="C1443:C1450" si="344">INT($C$29)+3</f>
        <v>4</v>
      </c>
      <c r="D1443" s="73"/>
      <c r="E1443" s="70"/>
      <c r="F1443" s="70" t="s">
        <v>2472</v>
      </c>
      <c r="G1443" s="234"/>
      <c r="H1443" s="76" t="s">
        <v>2469</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35">
      <c r="A1444" s="45"/>
      <c r="B1444" s="54"/>
      <c r="C1444" s="47">
        <f t="shared" si="344"/>
        <v>4</v>
      </c>
      <c r="D1444" s="73"/>
      <c r="E1444" s="70"/>
      <c r="F1444" s="70" t="s">
        <v>2473</v>
      </c>
      <c r="G1444" s="234"/>
      <c r="H1444" s="76" t="s">
        <v>2470</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44"/>
        <v>4</v>
      </c>
      <c r="D1445" s="73"/>
      <c r="E1445" s="70"/>
      <c r="F1445" s="70" t="str">
        <f>SUBSTITUTE(F1441,",4)",",8)")</f>
        <v>C(U2,8,8)</v>
      </c>
      <c r="G1445" s="73"/>
      <c r="H1445" s="76" t="s">
        <v>2723</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44"/>
        <v>4</v>
      </c>
      <c r="D1446" s="73"/>
      <c r="E1446" s="70"/>
      <c r="F1446" s="70" t="str">
        <f>SUBSTITUTE(F1442,",5)",",9)")</f>
        <v>C(U2,8,9)</v>
      </c>
      <c r="G1446" s="73"/>
      <c r="H1446" s="76" t="s">
        <v>2724</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44"/>
        <v>4</v>
      </c>
      <c r="D1447" s="73"/>
      <c r="E1447" s="70"/>
      <c r="F1447" s="70" t="str">
        <f>SUBSTITUTE(F1443,",6)",",10)")</f>
        <v>C(U2,8,10)</v>
      </c>
      <c r="G1447" s="73"/>
      <c r="H1447" s="76" t="s">
        <v>2725</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f t="shared" si="344"/>
        <v>4</v>
      </c>
      <c r="D1448" s="73"/>
      <c r="E1448" s="70"/>
      <c r="F1448" s="70" t="str">
        <f>SUBSTITUTE(F1444,",7)",",11)")</f>
        <v>C(U2,8,11)</v>
      </c>
      <c r="G1448" s="73"/>
      <c r="H1448" s="76" t="s">
        <v>2726</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f t="shared" si="344"/>
        <v>4</v>
      </c>
      <c r="D1449" s="73"/>
      <c r="E1449" s="70"/>
      <c r="F1449" s="70" t="str">
        <f>SUBSTITUTE(F1443,",6)",",12)")</f>
        <v>C(U2,8,12)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f t="shared" si="344"/>
        <v>4</v>
      </c>
      <c r="D1450" s="73"/>
      <c r="E1450" s="70"/>
      <c r="F1450" s="70" t="str">
        <f>SUBSTITUTE(F1444,",7)",",13)")</f>
        <v>C(U2,8,13)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2" collapsed="1" x14ac:dyDescent="0.35">
      <c r="A1451" s="45"/>
      <c r="B1451" s="54"/>
      <c r="C1451" s="47">
        <f>INT($C$29)+2</f>
        <v>3</v>
      </c>
      <c r="D1451" s="73"/>
      <c r="E1451" s="406"/>
      <c r="F1451" s="406" t="s">
        <v>1973</v>
      </c>
      <c r="G1451" s="407"/>
      <c r="H1451" s="184" t="s">
        <v>2632</v>
      </c>
      <c r="I1451" s="184"/>
      <c r="J1451" s="184"/>
      <c r="K1451" s="184"/>
      <c r="L1451" s="184"/>
      <c r="M1451" s="184"/>
      <c r="N1451" s="184"/>
      <c r="O1451" s="184"/>
      <c r="P1451" s="184"/>
      <c r="Q1451" s="184"/>
      <c r="R1451" s="184"/>
      <c r="S1451" s="184"/>
      <c r="T1451" s="184" t="s">
        <v>3297</v>
      </c>
      <c r="U1451" s="409">
        <v>1.7397800000000001</v>
      </c>
      <c r="V1451" s="410">
        <f>U1451</f>
        <v>1.7397800000000001</v>
      </c>
      <c r="W1451" s="409">
        <v>1.88365</v>
      </c>
      <c r="X1451" s="409">
        <v>1.74003</v>
      </c>
      <c r="Y1451" s="409">
        <v>1.966477</v>
      </c>
      <c r="Z1451" s="410">
        <f>AA1451</f>
        <v>-4.3544999999999998</v>
      </c>
      <c r="AA1451" s="409">
        <v>-4.3544999999999998</v>
      </c>
      <c r="AB1451" s="410">
        <f>AA1451</f>
        <v>-4.3544999999999998</v>
      </c>
      <c r="AC1451" s="410">
        <f>AB1451</f>
        <v>-4.3544999999999998</v>
      </c>
      <c r="AD1451" s="410">
        <f>AC1451</f>
        <v>-4.3544999999999998</v>
      </c>
      <c r="AE1451" s="184"/>
      <c r="AF1451" s="184"/>
      <c r="AG1451" s="184"/>
      <c r="AH1451" s="409">
        <v>1</v>
      </c>
      <c r="AI1451" s="409">
        <v>1</v>
      </c>
      <c r="AJ1451" s="73"/>
      <c r="AK1451" s="57"/>
      <c r="AL1451" s="45"/>
      <c r="AM1451" s="45"/>
      <c r="AN1451" s="45"/>
    </row>
    <row r="1452" spans="1:40" hidden="1" outlineLevel="3" x14ac:dyDescent="0.35">
      <c r="A1452" s="45"/>
      <c r="B1452" s="54"/>
      <c r="C1452" s="47">
        <f>INT($C$29)+3</f>
        <v>4</v>
      </c>
      <c r="D1452" s="73"/>
      <c r="E1452" s="399"/>
      <c r="F1452" s="399" t="s">
        <v>1974</v>
      </c>
      <c r="G1452" s="73"/>
      <c r="H1452" s="105" t="s">
        <v>604</v>
      </c>
      <c r="I1452" s="105"/>
      <c r="J1452" s="105"/>
      <c r="K1452" s="105"/>
      <c r="L1452" s="105"/>
      <c r="M1452" s="105"/>
      <c r="N1452" s="105"/>
      <c r="O1452" s="105"/>
      <c r="P1452" s="105"/>
      <c r="Q1452" s="105"/>
      <c r="R1452" s="105"/>
      <c r="S1452" s="105"/>
      <c r="T1452" s="105"/>
      <c r="U1452" s="105"/>
      <c r="V1452" s="105"/>
      <c r="W1452" s="105"/>
      <c r="X1452" s="105"/>
      <c r="Y1452" s="105"/>
      <c r="Z1452" s="105"/>
      <c r="AA1452" s="105"/>
      <c r="AB1452" s="105"/>
      <c r="AC1452" s="105"/>
      <c r="AD1452" s="105"/>
      <c r="AE1452" s="105"/>
      <c r="AF1452" s="105"/>
      <c r="AG1452" s="105"/>
      <c r="AH1452" s="105">
        <v>1</v>
      </c>
      <c r="AI1452" s="105">
        <v>1</v>
      </c>
      <c r="AJ1452" s="73"/>
      <c r="AK1452" s="57"/>
      <c r="AL1452" s="45"/>
      <c r="AM1452" s="45"/>
      <c r="AN1452" s="45"/>
    </row>
    <row r="1453" spans="1:40" hidden="1" outlineLevel="3" x14ac:dyDescent="0.35">
      <c r="A1453" s="45"/>
      <c r="B1453" s="54"/>
      <c r="C1453" s="47">
        <f>INT($C$29)+3</f>
        <v>4</v>
      </c>
      <c r="D1453" s="73"/>
      <c r="E1453" s="70"/>
      <c r="F1453" s="70" t="s">
        <v>1975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35">
      <c r="A1454" s="45"/>
      <c r="B1454" s="54"/>
      <c r="C1454" s="47">
        <f>INT($C$29)+3</f>
        <v>4</v>
      </c>
      <c r="D1454" s="73"/>
      <c r="E1454" s="70"/>
      <c r="F1454" s="70" t="s">
        <v>1976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INT($C$29)+3</f>
        <v>4</v>
      </c>
      <c r="D1455" s="73"/>
      <c r="E1455" s="70"/>
      <c r="F1455" s="70" t="s">
        <v>1977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INT($C$29)+3</f>
        <v>4</v>
      </c>
      <c r="D1456" s="73"/>
      <c r="E1456" s="70"/>
      <c r="F1456" s="70" t="s">
        <v>1978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c r="D1457" s="73"/>
      <c r="E1457" s="70"/>
      <c r="F1457" s="70" t="s">
        <v>2416</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c r="D1458" s="73"/>
      <c r="E1458" s="70"/>
      <c r="F1458" s="70" t="s">
        <v>2417</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c r="D1459" s="73"/>
      <c r="E1459" s="70"/>
      <c r="F1459" s="70" t="s">
        <v>2418</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f t="shared" ref="C1460:C1471" si="345">INT($C$29)+3</f>
        <v>4</v>
      </c>
      <c r="D1460" s="73"/>
      <c r="E1460" s="70"/>
      <c r="F1460" s="70" t="str">
        <f>SUBSTITUTE(F1456,",4)",",8)")</f>
        <v>C(U2,9,8)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si="345"/>
        <v>4</v>
      </c>
      <c r="D1461" s="73"/>
      <c r="E1461" s="70"/>
      <c r="F1461" s="70" t="str">
        <f>SUBSTITUTE(F1457,",5)",",9)")</f>
        <v>C(U2,9,9)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45"/>
        <v>4</v>
      </c>
      <c r="D1462" s="73"/>
      <c r="E1462" s="70"/>
      <c r="F1462" s="70" t="str">
        <f>SUBSTITUTE(F1458,",6)",",10)")</f>
        <v>C(U2,9,10)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f t="shared" si="345"/>
        <v>4</v>
      </c>
      <c r="D1463" s="73"/>
      <c r="E1463" s="70"/>
      <c r="F1463" s="70" t="str">
        <f>SUBSTITUTE(F1459,",7)",",11)")</f>
        <v>C(U2,9,11)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f t="shared" si="345"/>
        <v>4</v>
      </c>
      <c r="D1464" s="73"/>
      <c r="E1464" s="70"/>
      <c r="F1464" s="70" t="str">
        <f>SUBSTITUTE(F1458,",6)",",12)")</f>
        <v>C(U2,9,12)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f t="shared" si="345"/>
        <v>4</v>
      </c>
      <c r="D1465" s="73"/>
      <c r="E1465" s="70"/>
      <c r="F1465" s="70" t="str">
        <f>SUBSTITUTE(F1459,",7)",",13)")</f>
        <v>C(U2,9,13)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si="345"/>
        <v>4</v>
      </c>
      <c r="D1466" s="73"/>
      <c r="E1466" s="70"/>
      <c r="F1466" s="70" t="s">
        <v>1979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45"/>
        <v>4</v>
      </c>
      <c r="D1467" s="73"/>
      <c r="E1467" s="70"/>
      <c r="F1467" s="70" t="s">
        <v>1980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45"/>
        <v>4</v>
      </c>
      <c r="D1468" s="73"/>
      <c r="E1468" s="70"/>
      <c r="F1468" s="70" t="s">
        <v>1981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45"/>
        <v>4</v>
      </c>
      <c r="D1469" s="73"/>
      <c r="E1469" s="70"/>
      <c r="F1469" s="70" t="s">
        <v>1982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45"/>
        <v>4</v>
      </c>
      <c r="D1470" s="73"/>
      <c r="E1470" s="70"/>
      <c r="F1470" s="70" t="s">
        <v>1983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45"/>
        <v>4</v>
      </c>
      <c r="D1471" s="73"/>
      <c r="E1471" s="70"/>
      <c r="F1471" s="70" t="s">
        <v>1984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c r="D1472" s="73"/>
      <c r="E1472" s="70"/>
      <c r="F1472" s="70" t="s">
        <v>2419</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c r="D1473" s="73"/>
      <c r="E1473" s="70"/>
      <c r="F1473" s="70" t="s">
        <v>2420</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c r="D1474" s="73"/>
      <c r="E1474" s="70"/>
      <c r="F1474" s="70" t="s">
        <v>2421</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f t="shared" ref="C1475:C1486" si="346">INT($C$29)+3</f>
        <v>4</v>
      </c>
      <c r="D1475" s="73"/>
      <c r="E1475" s="70"/>
      <c r="F1475" s="70" t="str">
        <f>SUBSTITUTE(F1471,",4)",",8)")</f>
        <v>C(U2,10,8)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si="346"/>
        <v>4</v>
      </c>
      <c r="D1476" s="73"/>
      <c r="E1476" s="70"/>
      <c r="F1476" s="70" t="str">
        <f>SUBSTITUTE(F1472,",5)",",9)")</f>
        <v>C(U2,10,9)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46"/>
        <v>4</v>
      </c>
      <c r="D1477" s="73"/>
      <c r="E1477" s="70"/>
      <c r="F1477" s="70" t="str">
        <f>SUBSTITUTE(F1473,",6)",",10)")</f>
        <v>C(U2,10,10)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f t="shared" si="346"/>
        <v>4</v>
      </c>
      <c r="D1478" s="73"/>
      <c r="E1478" s="70"/>
      <c r="F1478" s="70" t="str">
        <f>SUBSTITUTE(F1474,",7)",",11)")</f>
        <v>C(U2,10,11)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f t="shared" si="346"/>
        <v>4</v>
      </c>
      <c r="D1479" s="73"/>
      <c r="E1479" s="70"/>
      <c r="F1479" s="70" t="str">
        <f>SUBSTITUTE(F1473,",6)",",12)")</f>
        <v>C(U2,10,12)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f t="shared" si="346"/>
        <v>4</v>
      </c>
      <c r="D1480" s="73"/>
      <c r="E1480" s="70"/>
      <c r="F1480" s="70" t="str">
        <f>SUBSTITUTE(F1474,",7)",",13)")</f>
        <v>C(U2,10,13)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si="346"/>
        <v>4</v>
      </c>
      <c r="D1481" s="73"/>
      <c r="E1481" s="70"/>
      <c r="F1481" s="70" t="s">
        <v>1985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46"/>
        <v>4</v>
      </c>
      <c r="D1482" s="73"/>
      <c r="E1482" s="70"/>
      <c r="F1482" s="70" t="s">
        <v>1986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46"/>
        <v>4</v>
      </c>
      <c r="D1483" s="73"/>
      <c r="E1483" s="70"/>
      <c r="F1483" s="70" t="s">
        <v>1987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46"/>
        <v>4</v>
      </c>
      <c r="D1484" s="73"/>
      <c r="E1484" s="70"/>
      <c r="F1484" s="70" t="s">
        <v>1988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46"/>
        <v>4</v>
      </c>
      <c r="D1485" s="73"/>
      <c r="E1485" s="70"/>
      <c r="F1485" s="70" t="s">
        <v>1989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46"/>
        <v>4</v>
      </c>
      <c r="D1486" s="73"/>
      <c r="E1486" s="70"/>
      <c r="F1486" s="70" t="s">
        <v>1990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c r="D1487" s="73"/>
      <c r="E1487" s="70"/>
      <c r="F1487" s="70" t="s">
        <v>2422</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c r="D1488" s="73"/>
      <c r="E1488" s="70"/>
      <c r="F1488" s="70" t="s">
        <v>2423</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c r="D1489" s="73"/>
      <c r="E1489" s="70"/>
      <c r="F1489" s="70" t="s">
        <v>2424</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f t="shared" ref="C1490:C1501" si="347">INT($C$29)+3</f>
        <v>4</v>
      </c>
      <c r="D1490" s="73"/>
      <c r="E1490" s="70"/>
      <c r="F1490" s="70" t="str">
        <f>SUBSTITUTE(F1486,",4)",",8)")</f>
        <v>C(U2,11,8)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si="347"/>
        <v>4</v>
      </c>
      <c r="D1491" s="73"/>
      <c r="E1491" s="70"/>
      <c r="F1491" s="70" t="str">
        <f>SUBSTITUTE(F1487,",5)",",9)")</f>
        <v>C(U2,11,9)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47"/>
        <v>4</v>
      </c>
      <c r="D1492" s="73"/>
      <c r="E1492" s="70"/>
      <c r="F1492" s="70" t="str">
        <f>SUBSTITUTE(F1488,",6)",",10)")</f>
        <v>C(U2,11,10)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f t="shared" si="347"/>
        <v>4</v>
      </c>
      <c r="D1493" s="73"/>
      <c r="E1493" s="70"/>
      <c r="F1493" s="70" t="str">
        <f>SUBSTITUTE(F1489,",7)",",11)")</f>
        <v>C(U2,11,11)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f t="shared" si="347"/>
        <v>4</v>
      </c>
      <c r="D1494" s="73"/>
      <c r="E1494" s="70"/>
      <c r="F1494" s="70" t="str">
        <f>SUBSTITUTE(F1488,",6)",",12)")</f>
        <v>C(U2,11,12)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f t="shared" si="347"/>
        <v>4</v>
      </c>
      <c r="D1495" s="73"/>
      <c r="E1495" s="70"/>
      <c r="F1495" s="70" t="str">
        <f>SUBSTITUTE(F1489,",7)",",13)")</f>
        <v>C(U2,11,13)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si="347"/>
        <v>4</v>
      </c>
      <c r="D1496" s="73"/>
      <c r="E1496" s="70"/>
      <c r="F1496" s="70" t="s">
        <v>1991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47"/>
        <v>4</v>
      </c>
      <c r="D1497" s="73"/>
      <c r="E1497" s="70"/>
      <c r="F1497" s="70" t="s">
        <v>1992</v>
      </c>
      <c r="G1497" s="73"/>
      <c r="H1497" s="76" t="s">
        <v>604</v>
      </c>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47"/>
        <v>4</v>
      </c>
      <c r="D1498" s="73"/>
      <c r="E1498" s="70"/>
      <c r="F1498" s="70" t="s">
        <v>1993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47"/>
        <v>4</v>
      </c>
      <c r="D1499" s="73"/>
      <c r="E1499" s="70"/>
      <c r="F1499" s="70" t="s">
        <v>1994</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47"/>
        <v>4</v>
      </c>
      <c r="D1500" s="73"/>
      <c r="E1500" s="70"/>
      <c r="F1500" s="70" t="s">
        <v>1995</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47"/>
        <v>4</v>
      </c>
      <c r="D1501" s="73"/>
      <c r="E1501" s="70"/>
      <c r="F1501" s="70" t="s">
        <v>1996</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c r="D1502" s="73"/>
      <c r="E1502" s="70"/>
      <c r="F1502" s="70" t="s">
        <v>2425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c r="D1503" s="73"/>
      <c r="E1503" s="70"/>
      <c r="F1503" s="70" t="s">
        <v>2426</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c r="D1504" s="73"/>
      <c r="E1504" s="70"/>
      <c r="F1504" s="70" t="s">
        <v>2427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f t="shared" ref="C1505:C1516" si="348">INT($C$29)+3</f>
        <v>4</v>
      </c>
      <c r="D1505" s="73"/>
      <c r="E1505" s="70"/>
      <c r="F1505" s="70" t="str">
        <f>SUBSTITUTE(F1501,",4)",",8)")</f>
        <v>C(U2,12,8)</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si="348"/>
        <v>4</v>
      </c>
      <c r="D1506" s="73"/>
      <c r="E1506" s="70"/>
      <c r="F1506" s="70" t="str">
        <f>SUBSTITUTE(F1502,",5)",",9)")</f>
        <v>C(U2,12,9)</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48"/>
        <v>4</v>
      </c>
      <c r="D1507" s="73"/>
      <c r="E1507" s="70"/>
      <c r="F1507" s="70" t="str">
        <f>SUBSTITUTE(F1503,",6)",",10)")</f>
        <v>C(U2,12,10)</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f t="shared" si="348"/>
        <v>4</v>
      </c>
      <c r="D1508" s="73"/>
      <c r="E1508" s="70"/>
      <c r="F1508" s="70" t="str">
        <f>SUBSTITUTE(F1504,",7)",",11)")</f>
        <v>C(U2,12,11)</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f t="shared" si="348"/>
        <v>4</v>
      </c>
      <c r="D1509" s="73"/>
      <c r="E1509" s="70"/>
      <c r="F1509" s="70" t="str">
        <f>SUBSTITUTE(F1503,",6)",",12)")</f>
        <v>C(U2,12,12)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f t="shared" si="348"/>
        <v>4</v>
      </c>
      <c r="D1510" s="73"/>
      <c r="E1510" s="70"/>
      <c r="F1510" s="70" t="str">
        <f>SUBSTITUTE(F1504,",7)",",13)")</f>
        <v>C(U2,12,13)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si="348"/>
        <v>4</v>
      </c>
      <c r="D1511" s="73"/>
      <c r="E1511" s="70"/>
      <c r="F1511" s="70" t="s">
        <v>1997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48"/>
        <v>4</v>
      </c>
      <c r="D1512" s="73"/>
      <c r="E1512" s="70"/>
      <c r="F1512" s="70" t="s">
        <v>1998</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48"/>
        <v>4</v>
      </c>
      <c r="D1513" s="73"/>
      <c r="E1513" s="70"/>
      <c r="F1513" s="70" t="s">
        <v>1999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48"/>
        <v>4</v>
      </c>
      <c r="D1514" s="73"/>
      <c r="E1514" s="70"/>
      <c r="F1514" s="70" t="s">
        <v>2000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48"/>
        <v>4</v>
      </c>
      <c r="D1515" s="73"/>
      <c r="E1515" s="70"/>
      <c r="F1515" s="70" t="s">
        <v>2001</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48"/>
        <v>4</v>
      </c>
      <c r="D1516" s="73"/>
      <c r="E1516" s="70"/>
      <c r="F1516" s="70" t="s">
        <v>2002</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c r="D1517" s="73"/>
      <c r="E1517" s="70"/>
      <c r="F1517" s="70" t="s">
        <v>2428</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c r="D1518" s="73"/>
      <c r="E1518" s="70"/>
      <c r="F1518" s="70" t="s">
        <v>2429</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c r="D1519" s="73"/>
      <c r="E1519" s="70"/>
      <c r="F1519" s="70" t="s">
        <v>2430</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f t="shared" ref="C1520:C1531" si="349">INT($C$29)+3</f>
        <v>4</v>
      </c>
      <c r="D1520" s="73"/>
      <c r="E1520" s="70"/>
      <c r="F1520" s="70" t="str">
        <f>SUBSTITUTE(F1516,",4)",",8)")</f>
        <v>C(U2,13,8)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si="349"/>
        <v>4</v>
      </c>
      <c r="D1521" s="73"/>
      <c r="E1521" s="70"/>
      <c r="F1521" s="70" t="str">
        <f>SUBSTITUTE(F1517,",5)",",9)")</f>
        <v>C(U2,13,9)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49"/>
        <v>4</v>
      </c>
      <c r="D1522" s="73"/>
      <c r="E1522" s="70"/>
      <c r="F1522" s="70" t="str">
        <f>SUBSTITUTE(F1518,",6)",",10)")</f>
        <v>C(U2,13,10)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f t="shared" si="349"/>
        <v>4</v>
      </c>
      <c r="D1523" s="73"/>
      <c r="E1523" s="70"/>
      <c r="F1523" s="70" t="str">
        <f>SUBSTITUTE(F1519,",7)",",11)")</f>
        <v>C(U2,13,11)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f t="shared" si="349"/>
        <v>4</v>
      </c>
      <c r="D1524" s="73"/>
      <c r="E1524" s="70"/>
      <c r="F1524" s="70" t="str">
        <f>SUBSTITUTE(F1518,",6)",",12)")</f>
        <v>C(U2,13,12)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f t="shared" si="349"/>
        <v>4</v>
      </c>
      <c r="D1525" s="73"/>
      <c r="E1525" s="70"/>
      <c r="F1525" s="70" t="str">
        <f>SUBSTITUTE(F1519,",7)",",13)")</f>
        <v>C(U2,13,13)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si="349"/>
        <v>4</v>
      </c>
      <c r="D1526" s="73"/>
      <c r="E1526" s="70"/>
      <c r="F1526" s="70" t="s">
        <v>2003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9"/>
        <v>4</v>
      </c>
      <c r="D1527" s="73"/>
      <c r="E1527" s="70"/>
      <c r="F1527" s="70" t="s">
        <v>2004</v>
      </c>
      <c r="G1527" s="73"/>
      <c r="H1527" s="76" t="s">
        <v>604</v>
      </c>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9"/>
        <v>4</v>
      </c>
      <c r="D1528" s="73"/>
      <c r="E1528" s="70"/>
      <c r="F1528" s="70" t="s">
        <v>2005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9"/>
        <v>4</v>
      </c>
      <c r="D1529" s="73"/>
      <c r="E1529" s="70"/>
      <c r="F1529" s="70" t="s">
        <v>2006</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9"/>
        <v>4</v>
      </c>
      <c r="D1530" s="73"/>
      <c r="E1530" s="70"/>
      <c r="F1530" s="70" t="s">
        <v>2007</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9"/>
        <v>4</v>
      </c>
      <c r="D1531" s="73"/>
      <c r="E1531" s="70"/>
      <c r="F1531" s="70" t="s">
        <v>2008</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c r="D1532" s="73"/>
      <c r="E1532" s="70"/>
      <c r="F1532" s="70" t="s">
        <v>2431</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c r="D1533" s="73"/>
      <c r="E1533" s="70"/>
      <c r="F1533" s="70" t="s">
        <v>2432</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c r="D1534" s="73"/>
      <c r="E1534" s="70"/>
      <c r="F1534" s="70" t="s">
        <v>2433</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f t="shared" ref="C1535:C1546" si="350">INT($C$29)+3</f>
        <v>4</v>
      </c>
      <c r="D1535" s="73"/>
      <c r="E1535" s="70"/>
      <c r="F1535" s="70" t="str">
        <f>SUBSTITUTE(F1531,",4)",",8)")</f>
        <v>C(U2,14,8)</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si="350"/>
        <v>4</v>
      </c>
      <c r="D1536" s="73"/>
      <c r="E1536" s="70"/>
      <c r="F1536" s="70" t="str">
        <f>SUBSTITUTE(F1532,",5)",",9)")</f>
        <v>C(U2,14,9)</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50"/>
        <v>4</v>
      </c>
      <c r="D1537" s="73"/>
      <c r="E1537" s="70"/>
      <c r="F1537" s="70" t="str">
        <f>SUBSTITUTE(F1533,",6)",",10)")</f>
        <v>C(U2,14,10)</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f t="shared" si="350"/>
        <v>4</v>
      </c>
      <c r="D1538" s="73"/>
      <c r="E1538" s="70"/>
      <c r="F1538" s="70" t="str">
        <f>SUBSTITUTE(F1534,",7)",",11)")</f>
        <v>C(U2,14,11)</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f t="shared" si="350"/>
        <v>4</v>
      </c>
      <c r="D1539" s="73"/>
      <c r="E1539" s="70"/>
      <c r="F1539" s="70" t="str">
        <f>SUBSTITUTE(F1533,",6)",",12)")</f>
        <v>C(U2,14,12)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f t="shared" si="350"/>
        <v>4</v>
      </c>
      <c r="D1540" s="73"/>
      <c r="E1540" s="70"/>
      <c r="F1540" s="70" t="str">
        <f>SUBSTITUTE(F1534,",7)",",13)")</f>
        <v>C(U2,14,13)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si="350"/>
        <v>4</v>
      </c>
      <c r="D1541" s="73"/>
      <c r="E1541" s="70"/>
      <c r="F1541" s="70" t="s">
        <v>2009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50"/>
        <v>4</v>
      </c>
      <c r="D1542" s="73"/>
      <c r="E1542" s="70"/>
      <c r="F1542" s="70" t="s">
        <v>2010</v>
      </c>
      <c r="G1542" s="73"/>
      <c r="H1542" s="76" t="s">
        <v>604</v>
      </c>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50"/>
        <v>4</v>
      </c>
      <c r="D1543" s="73"/>
      <c r="E1543" s="70"/>
      <c r="F1543" s="70" t="s">
        <v>2011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50"/>
        <v>4</v>
      </c>
      <c r="D1544" s="73"/>
      <c r="E1544" s="70"/>
      <c r="F1544" s="70" t="s">
        <v>2012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50"/>
        <v>4</v>
      </c>
      <c r="D1545" s="73"/>
      <c r="E1545" s="70"/>
      <c r="F1545" s="70" t="s">
        <v>2013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50"/>
        <v>4</v>
      </c>
      <c r="D1546" s="73"/>
      <c r="E1546" s="70"/>
      <c r="F1546" s="70" t="s">
        <v>2014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c r="D1547" s="73"/>
      <c r="E1547" s="70"/>
      <c r="F1547" s="70" t="s">
        <v>2434</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c r="D1548" s="73"/>
      <c r="E1548" s="70"/>
      <c r="F1548" s="70" t="s">
        <v>2435</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c r="D1549" s="73"/>
      <c r="E1549" s="70"/>
      <c r="F1549" s="70" t="s">
        <v>2436</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f t="shared" ref="C1550:C1561" si="351">INT($C$29)+3</f>
        <v>4</v>
      </c>
      <c r="D1550" s="73"/>
      <c r="E1550" s="70"/>
      <c r="F1550" s="70" t="str">
        <f>SUBSTITUTE(F1546,",4)",",8)")</f>
        <v>C(U2,15,8)</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si="351"/>
        <v>4</v>
      </c>
      <c r="D1551" s="73"/>
      <c r="E1551" s="70"/>
      <c r="F1551" s="70" t="str">
        <f>SUBSTITUTE(F1547,",5)",",9)")</f>
        <v>C(U2,15,9)</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51"/>
        <v>4</v>
      </c>
      <c r="D1552" s="73"/>
      <c r="E1552" s="70"/>
      <c r="F1552" s="70" t="str">
        <f>SUBSTITUTE(F1548,",6)",",10)")</f>
        <v>C(U2,15,10)</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f t="shared" si="351"/>
        <v>4</v>
      </c>
      <c r="D1553" s="73"/>
      <c r="E1553" s="70"/>
      <c r="F1553" s="70" t="str">
        <f>SUBSTITUTE(F1549,",7)",",11)")</f>
        <v>C(U2,15,11)</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f t="shared" si="351"/>
        <v>4</v>
      </c>
      <c r="D1554" s="73"/>
      <c r="E1554" s="70"/>
      <c r="F1554" s="70" t="str">
        <f>SUBSTITUTE(F1548,",6)",",12)")</f>
        <v>C(U2,15,12)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f t="shared" si="351"/>
        <v>4</v>
      </c>
      <c r="D1555" s="73"/>
      <c r="E1555" s="70"/>
      <c r="F1555" s="70" t="str">
        <f>SUBSTITUTE(F1549,",7)",",13)")</f>
        <v>C(U2,15,13)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si="351"/>
        <v>4</v>
      </c>
      <c r="D1556" s="73"/>
      <c r="E1556" s="70"/>
      <c r="F1556" s="70" t="s">
        <v>2015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51"/>
        <v>4</v>
      </c>
      <c r="D1557" s="73"/>
      <c r="E1557" s="70"/>
      <c r="F1557" s="70" t="s">
        <v>2016</v>
      </c>
      <c r="G1557" s="73"/>
      <c r="H1557" s="76" t="s">
        <v>604</v>
      </c>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51"/>
        <v>4</v>
      </c>
      <c r="D1558" s="73"/>
      <c r="E1558" s="70"/>
      <c r="F1558" s="70" t="s">
        <v>2017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51"/>
        <v>4</v>
      </c>
      <c r="D1559" s="73"/>
      <c r="E1559" s="70"/>
      <c r="F1559" s="70" t="s">
        <v>2018</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51"/>
        <v>4</v>
      </c>
      <c r="D1560" s="73"/>
      <c r="E1560" s="70"/>
      <c r="F1560" s="70" t="s">
        <v>2019</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51"/>
        <v>4</v>
      </c>
      <c r="D1561" s="73"/>
      <c r="E1561" s="70"/>
      <c r="F1561" s="70" t="s">
        <v>2020</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c r="D1562" s="73"/>
      <c r="E1562" s="70"/>
      <c r="F1562" s="70" t="s">
        <v>2437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c r="D1563" s="73"/>
      <c r="E1563" s="70"/>
      <c r="F1563" s="70" t="s">
        <v>2438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c r="D1564" s="73"/>
      <c r="E1564" s="70"/>
      <c r="F1564" s="70" t="s">
        <v>2439</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f t="shared" ref="C1565:C1576" si="352">INT($C$29)+3</f>
        <v>4</v>
      </c>
      <c r="D1565" s="73"/>
      <c r="E1565" s="70"/>
      <c r="F1565" s="70" t="str">
        <f>SUBSTITUTE(F1561,",4)",",8)")</f>
        <v>C(U2,16,8)</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si="352"/>
        <v>4</v>
      </c>
      <c r="D1566" s="73"/>
      <c r="E1566" s="70"/>
      <c r="F1566" s="70" t="str">
        <f>SUBSTITUTE(F1562,",5)",",9)")</f>
        <v>C(U2,16,9)</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52"/>
        <v>4</v>
      </c>
      <c r="D1567" s="73"/>
      <c r="E1567" s="70"/>
      <c r="F1567" s="70" t="str">
        <f>SUBSTITUTE(F1563,",6)",",10)")</f>
        <v>C(U2,16,10)</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f t="shared" si="352"/>
        <v>4</v>
      </c>
      <c r="D1568" s="73"/>
      <c r="E1568" s="70"/>
      <c r="F1568" s="70" t="str">
        <f>SUBSTITUTE(F1564,",7)",",11)")</f>
        <v>C(U2,16,11)</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f t="shared" si="352"/>
        <v>4</v>
      </c>
      <c r="D1569" s="73"/>
      <c r="E1569" s="70"/>
      <c r="F1569" s="70" t="str">
        <f>SUBSTITUTE(F1563,",6)",",12)")</f>
        <v>C(U2,16,12)</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f t="shared" si="352"/>
        <v>4</v>
      </c>
      <c r="D1570" s="73"/>
      <c r="E1570" s="70"/>
      <c r="F1570" s="70" t="str">
        <f>SUBSTITUTE(F1564,",7)",",13)")</f>
        <v>C(U2,16,13)</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si="352"/>
        <v>4</v>
      </c>
      <c r="D1571" s="73"/>
      <c r="E1571" s="70"/>
      <c r="F1571" s="70" t="s">
        <v>2021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52"/>
        <v>4</v>
      </c>
      <c r="D1572" s="73"/>
      <c r="E1572" s="70"/>
      <c r="F1572" s="70" t="s">
        <v>2022</v>
      </c>
      <c r="G1572" s="73"/>
      <c r="H1572" s="76" t="s">
        <v>604</v>
      </c>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52"/>
        <v>4</v>
      </c>
      <c r="D1573" s="73"/>
      <c r="E1573" s="70"/>
      <c r="F1573" s="70" t="s">
        <v>2023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52"/>
        <v>4</v>
      </c>
      <c r="D1574" s="73"/>
      <c r="E1574" s="70"/>
      <c r="F1574" s="70" t="s">
        <v>2024</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52"/>
        <v>4</v>
      </c>
      <c r="D1575" s="73"/>
      <c r="E1575" s="70"/>
      <c r="F1575" s="70" t="s">
        <v>2025</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52"/>
        <v>4</v>
      </c>
      <c r="D1576" s="73"/>
      <c r="E1576" s="70"/>
      <c r="F1576" s="70" t="s">
        <v>2026</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c r="D1577" s="73"/>
      <c r="E1577" s="70"/>
      <c r="F1577" s="70" t="s">
        <v>2440</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c r="D1578" s="73"/>
      <c r="E1578" s="70"/>
      <c r="F1578" s="70" t="s">
        <v>2441</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c r="D1579" s="73"/>
      <c r="E1579" s="70"/>
      <c r="F1579" s="70" t="s">
        <v>2442</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f t="shared" ref="C1580:C1591" si="353">INT($C$29)+3</f>
        <v>4</v>
      </c>
      <c r="D1580" s="73"/>
      <c r="E1580" s="70"/>
      <c r="F1580" s="70" t="str">
        <f>SUBSTITUTE(F1576,",4)",",8)")</f>
        <v>C(U2,17,8)</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si="353"/>
        <v>4</v>
      </c>
      <c r="D1581" s="73"/>
      <c r="E1581" s="70"/>
      <c r="F1581" s="70" t="str">
        <f>SUBSTITUTE(F1577,",5)",",9)")</f>
        <v>C(U2,17,9)</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53"/>
        <v>4</v>
      </c>
      <c r="D1582" s="73"/>
      <c r="E1582" s="70"/>
      <c r="F1582" s="70" t="str">
        <f>SUBSTITUTE(F1578,",6)",",10)")</f>
        <v>C(U2,17,10)</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f t="shared" si="353"/>
        <v>4</v>
      </c>
      <c r="D1583" s="73"/>
      <c r="E1583" s="70"/>
      <c r="F1583" s="70" t="str">
        <f>SUBSTITUTE(F1579,",7)",",11)")</f>
        <v>C(U2,17,11)</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f t="shared" si="353"/>
        <v>4</v>
      </c>
      <c r="D1584" s="73"/>
      <c r="E1584" s="70"/>
      <c r="F1584" s="70" t="str">
        <f>SUBSTITUTE(F1578,",6)",",12)")</f>
        <v>C(U2,17,12)</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f t="shared" si="353"/>
        <v>4</v>
      </c>
      <c r="D1585" s="73"/>
      <c r="E1585" s="70"/>
      <c r="F1585" s="70" t="str">
        <f>SUBSTITUTE(F1579,",7)",",13)")</f>
        <v>C(U2,17,13)</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 t="shared" si="353"/>
        <v>4</v>
      </c>
      <c r="D1586" s="73"/>
      <c r="E1586" s="70"/>
      <c r="F1586" s="70" t="s">
        <v>2027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 t="shared" si="353"/>
        <v>4</v>
      </c>
      <c r="D1587" s="73"/>
      <c r="E1587" s="70"/>
      <c r="F1587" s="70" t="s">
        <v>2028</v>
      </c>
      <c r="G1587" s="73"/>
      <c r="H1587" s="76" t="s">
        <v>604</v>
      </c>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 t="shared" si="353"/>
        <v>4</v>
      </c>
      <c r="D1588" s="73"/>
      <c r="E1588" s="70"/>
      <c r="F1588" s="70" t="s">
        <v>2029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 t="shared" si="353"/>
        <v>4</v>
      </c>
      <c r="D1589" s="73"/>
      <c r="E1589" s="70"/>
      <c r="F1589" s="70" t="s">
        <v>2030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si="353"/>
        <v>4</v>
      </c>
      <c r="D1590" s="73"/>
      <c r="E1590" s="70"/>
      <c r="F1590" s="70" t="s">
        <v>2031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53"/>
        <v>4</v>
      </c>
      <c r="D1591" s="73"/>
      <c r="E1591" s="70"/>
      <c r="F1591" s="70" t="s">
        <v>2032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c r="D1592" s="73"/>
      <c r="E1592" s="70"/>
      <c r="F1592" s="70" t="s">
        <v>2443</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35">
      <c r="A1593" s="45"/>
      <c r="B1593" s="54"/>
      <c r="C1593" s="47"/>
      <c r="D1593" s="73"/>
      <c r="E1593" s="70"/>
      <c r="F1593" s="70" t="s">
        <v>2444</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35">
      <c r="A1594" s="45"/>
      <c r="B1594" s="54"/>
      <c r="C1594" s="47"/>
      <c r="D1594" s="73"/>
      <c r="E1594" s="70"/>
      <c r="F1594" s="70" t="s">
        <v>2445</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35">
      <c r="A1595" s="45"/>
      <c r="B1595" s="54"/>
      <c r="C1595" s="47">
        <f t="shared" ref="C1595:C1606" si="354">INT($C$29)+3</f>
        <v>4</v>
      </c>
      <c r="D1595" s="73"/>
      <c r="E1595" s="70"/>
      <c r="F1595" s="70" t="str">
        <f>SUBSTITUTE(F1591,",4)",",8)")</f>
        <v>C(U2,18,8)</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35">
      <c r="A1596" s="45"/>
      <c r="B1596" s="54"/>
      <c r="C1596" s="47">
        <f t="shared" si="354"/>
        <v>4</v>
      </c>
      <c r="D1596" s="73"/>
      <c r="E1596" s="70"/>
      <c r="F1596" s="70" t="str">
        <f>SUBSTITUTE(F1592,",5)",",9)")</f>
        <v>C(U2,18,9)</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35">
      <c r="A1597" s="45"/>
      <c r="B1597" s="54"/>
      <c r="C1597" s="47">
        <f t="shared" si="354"/>
        <v>4</v>
      </c>
      <c r="D1597" s="73"/>
      <c r="E1597" s="70"/>
      <c r="F1597" s="70" t="str">
        <f>SUBSTITUTE(F1593,",6)",",10)")</f>
        <v>C(U2,18,10)</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35">
      <c r="A1598" s="45"/>
      <c r="B1598" s="54"/>
      <c r="C1598" s="47">
        <f t="shared" si="354"/>
        <v>4</v>
      </c>
      <c r="D1598" s="73"/>
      <c r="E1598" s="70"/>
      <c r="F1598" s="70" t="str">
        <f>SUBSTITUTE(F1594,",7)",",11)")</f>
        <v>C(U2,18,11)</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35">
      <c r="A1599" s="45"/>
      <c r="B1599" s="54"/>
      <c r="C1599" s="47">
        <f t="shared" si="354"/>
        <v>4</v>
      </c>
      <c r="D1599" s="73"/>
      <c r="E1599" s="70"/>
      <c r="F1599" s="70" t="str">
        <f>SUBSTITUTE(F1593,",6)",",12)")</f>
        <v>C(U2,18,12)</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35">
      <c r="A1600" s="45"/>
      <c r="B1600" s="54"/>
      <c r="C1600" s="47">
        <f t="shared" si="354"/>
        <v>4</v>
      </c>
      <c r="D1600" s="73"/>
      <c r="E1600" s="70"/>
      <c r="F1600" s="70" t="str">
        <f>SUBSTITUTE(F1594,",7)",",13)")</f>
        <v>C(U2,18,13)</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35">
      <c r="A1601" s="45"/>
      <c r="B1601" s="54"/>
      <c r="C1601" s="47">
        <f t="shared" si="354"/>
        <v>4</v>
      </c>
      <c r="D1601" s="73"/>
      <c r="E1601" s="70"/>
      <c r="F1601" s="70" t="s">
        <v>2033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54"/>
        <v>4</v>
      </c>
      <c r="D1602" s="73"/>
      <c r="E1602" s="70"/>
      <c r="F1602" s="70" t="s">
        <v>2034</v>
      </c>
      <c r="G1602" s="73"/>
      <c r="H1602" s="76" t="s">
        <v>604</v>
      </c>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54"/>
        <v>4</v>
      </c>
      <c r="D1603" s="73"/>
      <c r="E1603" s="70"/>
      <c r="F1603" s="70" t="s">
        <v>2035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54"/>
        <v>4</v>
      </c>
      <c r="D1604" s="73"/>
      <c r="E1604" s="70"/>
      <c r="F1604" s="70" t="s">
        <v>2036</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54"/>
        <v>4</v>
      </c>
      <c r="D1605" s="73"/>
      <c r="E1605" s="70"/>
      <c r="F1605" s="70" t="s">
        <v>2037</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54"/>
        <v>4</v>
      </c>
      <c r="D1606" s="73"/>
      <c r="E1606" s="70"/>
      <c r="F1606" s="70" t="s">
        <v>2038</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35">
      <c r="A1607" s="45"/>
      <c r="B1607" s="54"/>
      <c r="C1607" s="47"/>
      <c r="D1607" s="73"/>
      <c r="E1607" s="70"/>
      <c r="F1607" s="70" t="s">
        <v>2446</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35">
      <c r="A1608" s="45"/>
      <c r="B1608" s="54"/>
      <c r="C1608" s="47"/>
      <c r="D1608" s="73"/>
      <c r="E1608" s="70"/>
      <c r="F1608" s="70" t="s">
        <v>2447</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c r="D1609" s="73"/>
      <c r="E1609" s="70"/>
      <c r="F1609" s="70" t="s">
        <v>2448</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f>INT($C$29)+3</f>
        <v>4</v>
      </c>
      <c r="D1610" s="73"/>
      <c r="E1610" s="70"/>
      <c r="F1610" s="70" t="str">
        <f>SUBSTITUTE(F1606,",4)",",8)")</f>
        <v>C(U2,19,8)</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tr">
        <f>SUBSTITUTE(F1607,",5)",",9)")</f>
        <v>C(U2,19,9)</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tr">
        <f>SUBSTITUTE(F1608,",6)",",10)")</f>
        <v>C(U2,19,10)</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f>INT($C$29)+3</f>
        <v>4</v>
      </c>
      <c r="D1613" s="73"/>
      <c r="E1613" s="70"/>
      <c r="F1613" s="70" t="str">
        <f>SUBSTITUTE(F1609,",7)",",11)")</f>
        <v>C(U2,19,11)</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f t="shared" ref="C1614:C1615" si="355">INT($C$29)+3</f>
        <v>4</v>
      </c>
      <c r="D1614" s="73"/>
      <c r="E1614" s="70"/>
      <c r="F1614" s="70" t="str">
        <f>SUBSTITUTE(F1608,",6)",",12)")</f>
        <v>C(U2,19,12)</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f t="shared" si="355"/>
        <v>4</v>
      </c>
      <c r="D1615" s="73"/>
      <c r="E1615" s="70"/>
      <c r="F1615" s="70" t="str">
        <f>SUBSTITUTE(F1609,",7)",",13)")</f>
        <v>C(U2,19,13)</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INT($C$29)+3</f>
        <v>4</v>
      </c>
      <c r="D1616" s="73"/>
      <c r="E1616" s="70"/>
      <c r="F1616" s="70" t="s">
        <v>2039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2" x14ac:dyDescent="0.35">
      <c r="A1617" s="45"/>
      <c r="B1617" s="54"/>
      <c r="C1617" s="47">
        <f>INT($C$29)+2</f>
        <v>3</v>
      </c>
      <c r="D1617" s="73"/>
      <c r="E1617" s="70"/>
      <c r="F1617" s="70" t="s">
        <v>2040</v>
      </c>
      <c r="G1617" s="73"/>
      <c r="H1617" s="76" t="s">
        <v>2041</v>
      </c>
      <c r="I1617" s="76"/>
      <c r="J1617" s="76"/>
      <c r="K1617" s="76"/>
      <c r="L1617" s="76"/>
      <c r="M1617" s="76"/>
      <c r="N1617" s="76"/>
      <c r="O1617" s="76"/>
      <c r="P1617" s="76"/>
      <c r="Q1617" s="76"/>
      <c r="R1617" s="76"/>
      <c r="S1617" s="76"/>
      <c r="T1617" s="76"/>
      <c r="U1617" s="97">
        <v>0.57699999999999996</v>
      </c>
      <c r="V1617" s="97">
        <v>0.57699999999999996</v>
      </c>
      <c r="W1617" s="97">
        <v>0.57699999999999996</v>
      </c>
      <c r="X1617" s="97">
        <v>0.57699999999999996</v>
      </c>
      <c r="Y1617" s="97">
        <v>0.57699999999999996</v>
      </c>
      <c r="Z1617" s="255">
        <f t="shared" ref="Z1617:AD1618" si="356">Y1617</f>
        <v>0.57699999999999996</v>
      </c>
      <c r="AA1617" s="255">
        <f t="shared" si="356"/>
        <v>0.57699999999999996</v>
      </c>
      <c r="AB1617" s="255">
        <f t="shared" si="356"/>
        <v>0.57699999999999996</v>
      </c>
      <c r="AC1617" s="255">
        <f t="shared" si="356"/>
        <v>0.57699999999999996</v>
      </c>
      <c r="AD1617" s="255">
        <f t="shared" si="356"/>
        <v>0.57699999999999996</v>
      </c>
      <c r="AE1617" s="76"/>
      <c r="AF1617" s="97" t="s">
        <v>2042</v>
      </c>
      <c r="AG1617" s="76"/>
      <c r="AH1617" s="97">
        <v>1</v>
      </c>
      <c r="AI1617" s="97">
        <v>1</v>
      </c>
      <c r="AJ1617" s="73"/>
      <c r="AK1617" s="57"/>
      <c r="AL1617" s="45"/>
      <c r="AM1617" s="45"/>
      <c r="AN1617" s="45"/>
    </row>
    <row r="1618" spans="1:40" outlineLevel="2" collapsed="1" x14ac:dyDescent="0.35">
      <c r="A1618" s="45"/>
      <c r="B1618" s="54"/>
      <c r="C1618" s="47">
        <f>INT($C$29)+2</f>
        <v>3</v>
      </c>
      <c r="D1618" s="73"/>
      <c r="E1618" s="70"/>
      <c r="F1618" s="70" t="s">
        <v>2043</v>
      </c>
      <c r="G1618" s="73"/>
      <c r="H1618" s="76" t="s">
        <v>2044</v>
      </c>
      <c r="I1618" s="76"/>
      <c r="J1618" s="76"/>
      <c r="K1618" s="76"/>
      <c r="L1618" s="76"/>
      <c r="M1618" s="76"/>
      <c r="N1618" s="76"/>
      <c r="O1618" s="76"/>
      <c r="P1618" s="76"/>
      <c r="Q1618" s="76"/>
      <c r="R1618" s="76"/>
      <c r="S1618" s="76"/>
      <c r="T1618" s="76"/>
      <c r="U1618" s="97">
        <v>-1.2E-2</v>
      </c>
      <c r="V1618" s="97">
        <v>-1.2E-2</v>
      </c>
      <c r="W1618" s="97">
        <v>-1.2E-2</v>
      </c>
      <c r="X1618" s="97">
        <v>-1.2E-2</v>
      </c>
      <c r="Y1618" s="97">
        <v>-1.2E-2</v>
      </c>
      <c r="Z1618" s="255">
        <f t="shared" si="356"/>
        <v>-1.2E-2</v>
      </c>
      <c r="AA1618" s="255">
        <f t="shared" si="356"/>
        <v>-1.2E-2</v>
      </c>
      <c r="AB1618" s="255">
        <f t="shared" si="356"/>
        <v>-1.2E-2</v>
      </c>
      <c r="AC1618" s="255">
        <f t="shared" si="356"/>
        <v>-1.2E-2</v>
      </c>
      <c r="AD1618" s="255">
        <f t="shared" si="356"/>
        <v>-1.2E-2</v>
      </c>
      <c r="AE1618" s="76"/>
      <c r="AF1618" s="76"/>
      <c r="AG1618" s="76"/>
      <c r="AH1618" s="97">
        <v>1</v>
      </c>
      <c r="AI1618" s="97">
        <v>1</v>
      </c>
      <c r="AJ1618" s="73"/>
      <c r="AK1618" s="57"/>
      <c r="AL1618" s="45"/>
      <c r="AM1618" s="45"/>
      <c r="AN1618" s="45"/>
    </row>
    <row r="1619" spans="1:40" hidden="1" outlineLevel="3" x14ac:dyDescent="0.35">
      <c r="A1619" s="45"/>
      <c r="B1619" s="54"/>
      <c r="C1619" s="47">
        <f>INT($C$29)+2</f>
        <v>3</v>
      </c>
      <c r="D1619" s="73"/>
      <c r="E1619" s="70"/>
      <c r="F1619" s="70" t="s">
        <v>2045</v>
      </c>
      <c r="G1619" s="73"/>
      <c r="H1619" s="76" t="s">
        <v>2046</v>
      </c>
      <c r="I1619" s="76"/>
      <c r="J1619" s="76"/>
      <c r="K1619" s="76"/>
      <c r="L1619" s="76"/>
      <c r="M1619" s="76"/>
      <c r="N1619" s="76"/>
      <c r="O1619" s="76"/>
      <c r="P1619" s="76"/>
      <c r="Q1619" s="76"/>
      <c r="R1619" s="76"/>
      <c r="S1619" s="76"/>
      <c r="T1619" s="76"/>
      <c r="U1619" s="76">
        <v>0</v>
      </c>
      <c r="V1619" s="76">
        <v>0</v>
      </c>
      <c r="W1619" s="76">
        <v>0</v>
      </c>
      <c r="X1619" s="76">
        <v>0</v>
      </c>
      <c r="Y1619" s="76">
        <v>0</v>
      </c>
      <c r="Z1619" s="76">
        <v>0</v>
      </c>
      <c r="AA1619" s="76">
        <v>0</v>
      </c>
      <c r="AB1619" s="76">
        <v>0</v>
      </c>
      <c r="AC1619" s="76">
        <v>0</v>
      </c>
      <c r="AD1619" s="76">
        <v>0</v>
      </c>
      <c r="AE1619" s="76"/>
      <c r="AF1619" s="76"/>
      <c r="AG1619" s="76"/>
      <c r="AH1619" s="76">
        <v>1</v>
      </c>
      <c r="AI1619" s="76">
        <v>1</v>
      </c>
      <c r="AJ1619" s="73"/>
      <c r="AK1619" s="57"/>
      <c r="AL1619" s="45"/>
      <c r="AM1619" s="45"/>
      <c r="AN1619" s="45"/>
    </row>
    <row r="1620" spans="1:40" hidden="1" outlineLevel="3" x14ac:dyDescent="0.35">
      <c r="A1620" s="45"/>
      <c r="B1620" s="54"/>
      <c r="C1620" s="47">
        <f>INT($C$29)+3</f>
        <v>4</v>
      </c>
      <c r="D1620" s="73"/>
      <c r="E1620" s="70"/>
      <c r="F1620" s="70" t="s">
        <v>2047</v>
      </c>
      <c r="G1620" s="73"/>
      <c r="H1620" s="373" t="s">
        <v>2462</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35">
      <c r="A1621" s="45"/>
      <c r="B1621" s="54"/>
      <c r="C1621" s="47">
        <f>INT($C$29)+2</f>
        <v>3</v>
      </c>
      <c r="D1621" s="73"/>
      <c r="E1621" s="70"/>
      <c r="F1621" s="70" t="s">
        <v>2049</v>
      </c>
      <c r="G1621" s="73"/>
      <c r="H1621" s="76" t="s">
        <v>2048</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35">
      <c r="A1622" s="45"/>
      <c r="B1622" s="54"/>
      <c r="C1622" s="47">
        <f>INT($C$29)+2</f>
        <v>3</v>
      </c>
      <c r="D1622" s="73"/>
      <c r="E1622" s="70"/>
      <c r="F1622" s="70" t="s">
        <v>2467</v>
      </c>
      <c r="G1622" s="73"/>
      <c r="H1622" s="76" t="s">
        <v>2050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35">
      <c r="A1623" s="45"/>
      <c r="B1623" s="54"/>
      <c r="C1623" s="47">
        <f t="shared" ref="C1623:C1630" si="357">INT($C$29)+3</f>
        <v>4</v>
      </c>
      <c r="D1623" s="73"/>
      <c r="E1623" s="70"/>
      <c r="F1623" s="70" t="s">
        <v>2465</v>
      </c>
      <c r="G1623" s="73"/>
      <c r="H1623" s="373" t="s">
        <v>2463</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35">
      <c r="A1624" s="45"/>
      <c r="B1624" s="54"/>
      <c r="C1624" s="47">
        <f t="shared" si="357"/>
        <v>4</v>
      </c>
      <c r="D1624" s="73"/>
      <c r="E1624" s="70"/>
      <c r="F1624" s="70" t="s">
        <v>2466</v>
      </c>
      <c r="G1624" s="73"/>
      <c r="H1624" s="373" t="s">
        <v>2464</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35">
      <c r="A1625" s="45"/>
      <c r="B1625" s="54"/>
      <c r="C1625" s="47">
        <f t="shared" si="357"/>
        <v>4</v>
      </c>
      <c r="D1625" s="73"/>
      <c r="E1625" s="70"/>
      <c r="F1625" s="70" t="str">
        <f>SUBSTITUTE(F1621,",4)",",8)")</f>
        <v>C(U2,20,8)</v>
      </c>
      <c r="G1625" s="73"/>
      <c r="H1625" s="76" t="s">
        <v>2723</v>
      </c>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35">
      <c r="A1626" s="45"/>
      <c r="B1626" s="54"/>
      <c r="C1626" s="47">
        <f t="shared" si="357"/>
        <v>4</v>
      </c>
      <c r="D1626" s="73"/>
      <c r="E1626" s="70"/>
      <c r="F1626" s="70" t="str">
        <f>SUBSTITUTE(F1622,",5)",",9)")</f>
        <v>C(U2,20,9)</v>
      </c>
      <c r="G1626" s="73"/>
      <c r="H1626" s="76" t="s">
        <v>2724</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35">
      <c r="A1627" s="45"/>
      <c r="B1627" s="54"/>
      <c r="C1627" s="47">
        <f t="shared" si="357"/>
        <v>4</v>
      </c>
      <c r="D1627" s="73"/>
      <c r="E1627" s="70"/>
      <c r="F1627" s="70" t="str">
        <f>SUBSTITUTE(F1623,",6)",",10)")</f>
        <v>C(U2,20,10)</v>
      </c>
      <c r="G1627" s="73"/>
      <c r="H1627" s="76" t="s">
        <v>2725</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35">
      <c r="A1628" s="45"/>
      <c r="B1628" s="54"/>
      <c r="C1628" s="47">
        <f t="shared" si="357"/>
        <v>4</v>
      </c>
      <c r="D1628" s="73"/>
      <c r="E1628" s="70"/>
      <c r="F1628" s="70" t="str">
        <f>SUBSTITUTE(F1624,",7)",",11)")</f>
        <v>C(U2,20,11)</v>
      </c>
      <c r="G1628" s="73"/>
      <c r="H1628" s="76" t="s">
        <v>2726</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35">
      <c r="A1629" s="45"/>
      <c r="B1629" s="54"/>
      <c r="C1629" s="47">
        <f t="shared" si="357"/>
        <v>4</v>
      </c>
      <c r="D1629" s="73"/>
      <c r="E1629" s="70"/>
      <c r="F1629" s="70" t="str">
        <f>SUBSTITUTE(F1623,",6)",",12)")</f>
        <v>C(U2,20,12)</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35">
      <c r="A1630" s="45"/>
      <c r="B1630" s="54"/>
      <c r="C1630" s="47">
        <f t="shared" si="357"/>
        <v>4</v>
      </c>
      <c r="D1630" s="73"/>
      <c r="E1630" s="70"/>
      <c r="F1630" s="70" t="str">
        <f>SUBSTITUTE(F1624,",7)",",13)")</f>
        <v>C(U2,20,13)</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2" collapsed="1" x14ac:dyDescent="0.35">
      <c r="A1631" s="45"/>
      <c r="B1631" s="54"/>
      <c r="C1631" s="47">
        <f>INT($C$29)+2</f>
        <v>3</v>
      </c>
      <c r="D1631" s="73"/>
      <c r="E1631" s="70"/>
      <c r="F1631" s="70" t="s">
        <v>2051</v>
      </c>
      <c r="G1631" s="73"/>
      <c r="H1631" s="76" t="s">
        <v>2052</v>
      </c>
      <c r="I1631" s="76"/>
      <c r="J1631" s="76"/>
      <c r="K1631" s="76"/>
      <c r="L1631" s="76"/>
      <c r="M1631" s="76"/>
      <c r="N1631" s="76"/>
      <c r="O1631" s="76"/>
      <c r="P1631" s="76"/>
      <c r="Q1631" s="76"/>
      <c r="R1631" s="76"/>
      <c r="S1631" s="76"/>
      <c r="T1631" s="76"/>
      <c r="U1631" s="97">
        <v>-4.07</v>
      </c>
      <c r="V1631" s="97">
        <v>-4.07</v>
      </c>
      <c r="W1631" s="97">
        <v>-4.07</v>
      </c>
      <c r="X1631" s="97">
        <v>-4.07</v>
      </c>
      <c r="Y1631" s="97">
        <v>-4.07</v>
      </c>
      <c r="Z1631" s="255">
        <f>Y1631</f>
        <v>-4.07</v>
      </c>
      <c r="AA1631" s="255">
        <f>Z1631</f>
        <v>-4.07</v>
      </c>
      <c r="AB1631" s="255">
        <f>AA1631</f>
        <v>-4.07</v>
      </c>
      <c r="AC1631" s="255">
        <f>AB1631</f>
        <v>-4.07</v>
      </c>
      <c r="AD1631" s="255">
        <f>AC1631</f>
        <v>-4.07</v>
      </c>
      <c r="AE1631" s="76"/>
      <c r="AF1631" s="76"/>
      <c r="AG1631" s="76"/>
      <c r="AH1631" s="97">
        <v>1</v>
      </c>
      <c r="AI1631" s="97">
        <v>1</v>
      </c>
      <c r="AJ1631" s="73"/>
      <c r="AK1631" s="57"/>
      <c r="AL1631" s="45"/>
      <c r="AM1631" s="45"/>
      <c r="AN1631" s="45"/>
    </row>
    <row r="1632" spans="1:40" hidden="1" outlineLevel="3" x14ac:dyDescent="0.35">
      <c r="A1632" s="45"/>
      <c r="B1632" s="54"/>
      <c r="C1632" s="47">
        <f>INT($C$29)+3</f>
        <v>4</v>
      </c>
      <c r="D1632" s="73"/>
      <c r="E1632" s="70"/>
      <c r="F1632" s="70" t="s">
        <v>2053</v>
      </c>
      <c r="G1632" s="73"/>
      <c r="H1632" s="76" t="s">
        <v>604</v>
      </c>
      <c r="I1632" s="7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35">
      <c r="A1633" s="45"/>
      <c r="B1633" s="54"/>
      <c r="C1633" s="47">
        <f>INT($C$29)+3</f>
        <v>4</v>
      </c>
      <c r="D1633" s="73"/>
      <c r="E1633" s="70"/>
      <c r="F1633" s="70" t="s">
        <v>2054</v>
      </c>
      <c r="G1633" s="73"/>
      <c r="H1633" s="76"/>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35">
      <c r="A1634" s="45"/>
      <c r="B1634" s="54"/>
      <c r="C1634" s="47">
        <f>INT($C$29)+3</f>
        <v>4</v>
      </c>
      <c r="D1634" s="73"/>
      <c r="E1634" s="70"/>
      <c r="F1634" s="70" t="s">
        <v>2055</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35">
      <c r="A1635" s="45"/>
      <c r="B1635" s="54"/>
      <c r="C1635" s="47">
        <f>INT($C$29)+3</f>
        <v>4</v>
      </c>
      <c r="D1635" s="73"/>
      <c r="E1635" s="70"/>
      <c r="F1635" s="70" t="s">
        <v>2056</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35">
      <c r="A1636" s="45"/>
      <c r="B1636" s="54"/>
      <c r="C1636" s="47">
        <f>INT($C$29)+3</f>
        <v>4</v>
      </c>
      <c r="D1636" s="73"/>
      <c r="E1636" s="70"/>
      <c r="F1636" s="70" t="s">
        <v>2057</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35">
      <c r="A1637" s="45"/>
      <c r="B1637" s="54"/>
      <c r="C1637" s="47"/>
      <c r="D1637" s="73"/>
      <c r="E1637" s="70"/>
      <c r="F1637" s="70" t="s">
        <v>2449</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35">
      <c r="A1638" s="45"/>
      <c r="B1638" s="54"/>
      <c r="C1638" s="47"/>
      <c r="D1638" s="73"/>
      <c r="E1638" s="70"/>
      <c r="F1638" s="70" t="s">
        <v>2450</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35">
      <c r="A1639" s="45"/>
      <c r="B1639" s="54"/>
      <c r="C1639" s="47"/>
      <c r="D1639" s="73"/>
      <c r="E1639" s="70"/>
      <c r="F1639" s="70" t="s">
        <v>2451</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35">
      <c r="A1640" s="45"/>
      <c r="B1640" s="54"/>
      <c r="C1640" s="47">
        <f>INT($C$29)+3</f>
        <v>4</v>
      </c>
      <c r="D1640" s="73"/>
      <c r="E1640" s="70"/>
      <c r="F1640" s="70" t="str">
        <f>SUBSTITUTE(F1636,",4)",",8)")</f>
        <v>C(U2,21,8)</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35">
      <c r="A1641" s="45"/>
      <c r="B1641" s="54"/>
      <c r="C1641" s="47">
        <f>INT($C$29)+3</f>
        <v>4</v>
      </c>
      <c r="D1641" s="73"/>
      <c r="E1641" s="70"/>
      <c r="F1641" s="70" t="str">
        <f>SUBSTITUTE(F1637,",5)",",9)")</f>
        <v>C(U2,21,9)</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35">
      <c r="A1642" s="45"/>
      <c r="B1642" s="54"/>
      <c r="C1642" s="47">
        <f>INT($C$29)+3</f>
        <v>4</v>
      </c>
      <c r="D1642" s="73"/>
      <c r="E1642" s="70"/>
      <c r="F1642" s="70" t="str">
        <f>SUBSTITUTE(F1638,",6)",",10)")</f>
        <v>C(U2,21,10)</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35">
      <c r="A1643" s="45"/>
      <c r="B1643" s="54"/>
      <c r="C1643" s="47">
        <f>INT($C$29)+3</f>
        <v>4</v>
      </c>
      <c r="D1643" s="73"/>
      <c r="E1643" s="70"/>
      <c r="F1643" s="70" t="str">
        <f>SUBSTITUTE(F1639,",7)",",11)")</f>
        <v>C(U2,21,11)</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35">
      <c r="A1644" s="45"/>
      <c r="B1644" s="54"/>
      <c r="C1644" s="47">
        <f t="shared" ref="C1644:C1645" si="358">INT($C$29)+3</f>
        <v>4</v>
      </c>
      <c r="D1644" s="73"/>
      <c r="E1644" s="70"/>
      <c r="F1644" s="70" t="str">
        <f>SUBSTITUTE(F1638,",6)",",12)")</f>
        <v>C(U2,21,12)</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35">
      <c r="A1645" s="45"/>
      <c r="B1645" s="54"/>
      <c r="C1645" s="47">
        <f t="shared" si="358"/>
        <v>4</v>
      </c>
      <c r="D1645" s="73"/>
      <c r="E1645" s="70"/>
      <c r="F1645" s="70" t="str">
        <f>SUBSTITUTE(F1639,",7)",",13)")</f>
        <v>C(U2,21,13)</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35">
      <c r="A1646" s="45"/>
      <c r="B1646" s="54"/>
      <c r="C1646" s="47">
        <f>INT($C$29)+3</f>
        <v>4</v>
      </c>
      <c r="D1646" s="73"/>
      <c r="E1646" s="70"/>
      <c r="F1646" s="70" t="s">
        <v>2058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2" x14ac:dyDescent="0.35">
      <c r="A1647" s="45"/>
      <c r="B1647" s="54"/>
      <c r="C1647" s="47">
        <f>INT($C$29)+2</f>
        <v>3</v>
      </c>
      <c r="D1647" s="73"/>
      <c r="E1647" s="70"/>
      <c r="F1647" s="70" t="s">
        <v>2059</v>
      </c>
      <c r="G1647" s="73"/>
      <c r="H1647" s="76" t="s">
        <v>2741</v>
      </c>
      <c r="I1647" s="76"/>
      <c r="J1647" s="76"/>
      <c r="K1647" s="76"/>
      <c r="L1647" s="76"/>
      <c r="M1647" s="76"/>
      <c r="N1647" s="76"/>
      <c r="O1647" s="76"/>
      <c r="P1647" s="76"/>
      <c r="Q1647" s="76"/>
      <c r="R1647" s="76"/>
      <c r="S1647" s="76"/>
      <c r="T1647" s="76"/>
      <c r="U1647" s="97">
        <v>-8.4959000000000007</v>
      </c>
      <c r="V1647" s="261">
        <f>U1647</f>
        <v>-8.4959000000000007</v>
      </c>
      <c r="W1647" s="261">
        <f>U1647</f>
        <v>-8.4959000000000007</v>
      </c>
      <c r="X1647" s="261">
        <f>V1647</f>
        <v>-8.4959000000000007</v>
      </c>
      <c r="Y1647" s="261">
        <f>V1647</f>
        <v>-8.4959000000000007</v>
      </c>
      <c r="Z1647" s="261">
        <f t="shared" ref="Z1647:AD1648" si="359">Y1647</f>
        <v>-8.4959000000000007</v>
      </c>
      <c r="AA1647" s="261">
        <f t="shared" si="359"/>
        <v>-8.4959000000000007</v>
      </c>
      <c r="AB1647" s="261">
        <f t="shared" si="359"/>
        <v>-8.4959000000000007</v>
      </c>
      <c r="AC1647" s="261">
        <f t="shared" si="359"/>
        <v>-8.4959000000000007</v>
      </c>
      <c r="AD1647" s="261">
        <f t="shared" si="359"/>
        <v>-8.4959000000000007</v>
      </c>
      <c r="AE1647" s="76"/>
      <c r="AF1647" s="97" t="s">
        <v>2742</v>
      </c>
      <c r="AG1647" s="76"/>
      <c r="AH1647" s="97">
        <v>1</v>
      </c>
      <c r="AI1647" s="97">
        <v>1</v>
      </c>
      <c r="AJ1647" s="73"/>
      <c r="AK1647" s="57"/>
      <c r="AL1647" s="45"/>
      <c r="AM1647" s="45"/>
      <c r="AN1647" s="45"/>
    </row>
    <row r="1648" spans="1:40" outlineLevel="2" collapsed="1" x14ac:dyDescent="0.35">
      <c r="A1648" s="45"/>
      <c r="B1648" s="54"/>
      <c r="C1648" s="47">
        <f>INT($C$29)+2</f>
        <v>3</v>
      </c>
      <c r="D1648" s="73"/>
      <c r="E1648" s="70"/>
      <c r="F1648" s="70" t="s">
        <v>2060</v>
      </c>
      <c r="G1648" s="73"/>
      <c r="H1648" s="76" t="s">
        <v>2474</v>
      </c>
      <c r="I1648" s="76"/>
      <c r="J1648" s="76"/>
      <c r="K1648" s="76"/>
      <c r="L1648" s="76"/>
      <c r="M1648" s="76"/>
      <c r="N1648" s="76"/>
      <c r="O1648" s="76"/>
      <c r="P1648" s="76"/>
      <c r="Q1648" s="76"/>
      <c r="R1648" s="76"/>
      <c r="S1648" s="76"/>
      <c r="T1648" s="76"/>
      <c r="U1648" s="97">
        <v>1.38185</v>
      </c>
      <c r="V1648" s="261">
        <f>U1648</f>
        <v>1.38185</v>
      </c>
      <c r="W1648" s="261">
        <f>U1648</f>
        <v>1.38185</v>
      </c>
      <c r="X1648" s="261">
        <f>V1648</f>
        <v>1.38185</v>
      </c>
      <c r="Y1648" s="261">
        <f>V1648</f>
        <v>1.38185</v>
      </c>
      <c r="Z1648" s="261">
        <f t="shared" si="359"/>
        <v>1.38185</v>
      </c>
      <c r="AA1648" s="261">
        <f t="shared" si="359"/>
        <v>1.38185</v>
      </c>
      <c r="AB1648" s="261">
        <f t="shared" si="359"/>
        <v>1.38185</v>
      </c>
      <c r="AC1648" s="261">
        <f t="shared" si="359"/>
        <v>1.38185</v>
      </c>
      <c r="AD1648" s="261">
        <f t="shared" si="359"/>
        <v>1.38185</v>
      </c>
      <c r="AE1648" s="76"/>
      <c r="AF1648" s="76"/>
      <c r="AG1648" s="76"/>
      <c r="AH1648" s="97">
        <v>1</v>
      </c>
      <c r="AI1648" s="97">
        <v>1</v>
      </c>
      <c r="AJ1648" s="73"/>
      <c r="AK1648" s="57"/>
      <c r="AL1648" s="45"/>
      <c r="AM1648" s="45"/>
      <c r="AN1648" s="45"/>
    </row>
    <row r="1649" spans="1:40" hidden="1" outlineLevel="3" x14ac:dyDescent="0.35">
      <c r="A1649" s="45"/>
      <c r="B1649" s="54"/>
      <c r="C1649" s="47">
        <f t="shared" ref="C1649:C1660" si="360">INT($C$29)+3</f>
        <v>4</v>
      </c>
      <c r="D1649" s="73"/>
      <c r="E1649" s="70"/>
      <c r="F1649" s="70" t="s">
        <v>2061</v>
      </c>
      <c r="G1649" s="73"/>
      <c r="H1649" s="373" t="s">
        <v>2481</v>
      </c>
      <c r="I1649" s="76"/>
      <c r="J1649" s="76"/>
      <c r="K1649" s="76"/>
      <c r="L1649" s="76"/>
      <c r="M1649" s="76"/>
      <c r="N1649" s="76"/>
      <c r="O1649" s="76"/>
      <c r="P1649" s="76"/>
      <c r="Q1649" s="76"/>
      <c r="R1649" s="76"/>
      <c r="S1649" s="76"/>
      <c r="T1649" s="76"/>
      <c r="U1649" s="76">
        <v>0</v>
      </c>
      <c r="V1649" s="76">
        <v>0</v>
      </c>
      <c r="W1649" s="76">
        <v>0</v>
      </c>
      <c r="X1649" s="76">
        <v>0</v>
      </c>
      <c r="Y1649" s="76">
        <v>0</v>
      </c>
      <c r="Z1649" s="76">
        <v>0</v>
      </c>
      <c r="AA1649" s="76">
        <v>0</v>
      </c>
      <c r="AB1649" s="76">
        <v>0</v>
      </c>
      <c r="AC1649" s="76">
        <v>0</v>
      </c>
      <c r="AD1649" s="76">
        <v>0</v>
      </c>
      <c r="AE1649" s="76"/>
      <c r="AF1649" s="76"/>
      <c r="AG1649" s="76"/>
      <c r="AH1649" s="76">
        <v>1</v>
      </c>
      <c r="AI1649" s="76">
        <v>1</v>
      </c>
      <c r="AJ1649" s="73"/>
      <c r="AK1649" s="57"/>
      <c r="AL1649" s="45"/>
      <c r="AM1649" s="45"/>
      <c r="AN1649" s="45"/>
    </row>
    <row r="1650" spans="1:40" hidden="1" outlineLevel="3" x14ac:dyDescent="0.35">
      <c r="A1650" s="45"/>
      <c r="B1650" s="54"/>
      <c r="C1650" s="47">
        <f t="shared" si="360"/>
        <v>4</v>
      </c>
      <c r="D1650" s="73"/>
      <c r="E1650" s="70"/>
      <c r="F1650" s="70" t="s">
        <v>2062</v>
      </c>
      <c r="G1650" s="73"/>
      <c r="H1650" s="373" t="s">
        <v>2482</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35">
      <c r="A1651" s="45"/>
      <c r="B1651" s="54"/>
      <c r="C1651" s="47">
        <f t="shared" si="360"/>
        <v>4</v>
      </c>
      <c r="D1651" s="73"/>
      <c r="E1651" s="70"/>
      <c r="F1651" s="70" t="s">
        <v>2063</v>
      </c>
      <c r="G1651" s="73"/>
      <c r="H1651" s="373" t="s">
        <v>2483</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35">
      <c r="A1652" s="45"/>
      <c r="B1652" s="54"/>
      <c r="C1652" s="47">
        <f t="shared" si="360"/>
        <v>4</v>
      </c>
      <c r="D1652" s="73"/>
      <c r="E1652" s="70"/>
      <c r="F1652" s="70" t="s">
        <v>2383</v>
      </c>
      <c r="G1652" s="73"/>
      <c r="H1652" s="373" t="s">
        <v>2484</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35">
      <c r="A1653" s="45"/>
      <c r="B1653" s="54"/>
      <c r="C1653" s="47">
        <f t="shared" si="360"/>
        <v>4</v>
      </c>
      <c r="D1653" s="73"/>
      <c r="E1653" s="70"/>
      <c r="F1653" s="70" t="s">
        <v>2384</v>
      </c>
      <c r="G1653" s="73"/>
      <c r="H1653" s="373" t="s">
        <v>2485</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35">
      <c r="A1654" s="45"/>
      <c r="B1654" s="54"/>
      <c r="C1654" s="47">
        <f t="shared" si="360"/>
        <v>4</v>
      </c>
      <c r="D1654" s="73"/>
      <c r="E1654" s="70"/>
      <c r="F1654" s="70" t="s">
        <v>2385</v>
      </c>
      <c r="G1654" s="73"/>
      <c r="H1654" s="373" t="s">
        <v>2486</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35">
      <c r="A1655" s="45"/>
      <c r="B1655" s="54"/>
      <c r="C1655" s="47">
        <f t="shared" si="360"/>
        <v>4</v>
      </c>
      <c r="D1655" s="73"/>
      <c r="E1655" s="70"/>
      <c r="F1655" s="70" t="str">
        <f>SUBSTITUTE(F1651,",4)",",8)")</f>
        <v>C(U2,22,8)</v>
      </c>
      <c r="G1655" s="73"/>
      <c r="H1655" s="373" t="s">
        <v>2747</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35">
      <c r="A1656" s="45"/>
      <c r="B1656" s="54"/>
      <c r="C1656" s="47">
        <f t="shared" si="360"/>
        <v>4</v>
      </c>
      <c r="D1656" s="73"/>
      <c r="E1656" s="70"/>
      <c r="F1656" s="70" t="str">
        <f>SUBSTITUTE(F1652,",5)",",9)")</f>
        <v>C(U2,22,9)</v>
      </c>
      <c r="G1656" s="73"/>
      <c r="H1656" s="373" t="s">
        <v>2748</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35">
      <c r="A1657" s="45"/>
      <c r="B1657" s="54"/>
      <c r="C1657" s="47">
        <f t="shared" si="360"/>
        <v>4</v>
      </c>
      <c r="D1657" s="73"/>
      <c r="E1657" s="70"/>
      <c r="F1657" s="70" t="str">
        <f>SUBSTITUTE(F1653,",6)",",10)")</f>
        <v>C(U2,22,10)</v>
      </c>
      <c r="G1657" s="73"/>
      <c r="H1657" s="373" t="s">
        <v>2749</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35">
      <c r="A1658" s="45"/>
      <c r="B1658" s="54"/>
      <c r="C1658" s="47">
        <f t="shared" si="360"/>
        <v>4</v>
      </c>
      <c r="D1658" s="73"/>
      <c r="E1658" s="70"/>
      <c r="F1658" s="70" t="str">
        <f>SUBSTITUTE(F1654,",7)",",11)")</f>
        <v>C(U2,22,11)</v>
      </c>
      <c r="G1658" s="73"/>
      <c r="H1658" s="373" t="s">
        <v>3344</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35">
      <c r="A1659" s="45"/>
      <c r="B1659" s="54"/>
      <c r="C1659" s="47">
        <f t="shared" si="360"/>
        <v>4</v>
      </c>
      <c r="D1659" s="73"/>
      <c r="E1659" s="70"/>
      <c r="F1659" s="70" t="str">
        <f>SUBSTITUTE(F1653,",6)",",12)")</f>
        <v>C(U2,22,12)</v>
      </c>
      <c r="G1659" s="73"/>
      <c r="H1659" s="373" t="s">
        <v>3345</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35">
      <c r="A1660" s="45"/>
      <c r="B1660" s="54"/>
      <c r="C1660" s="47">
        <f t="shared" si="360"/>
        <v>4</v>
      </c>
      <c r="D1660" s="73"/>
      <c r="E1660" s="70"/>
      <c r="F1660" s="70" t="str">
        <f>SUBSTITUTE(F1654,",7)",",13)")</f>
        <v>C(U2,22,13)</v>
      </c>
      <c r="G1660" s="73"/>
      <c r="H1660" s="373" t="s">
        <v>3346</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2" x14ac:dyDescent="0.35">
      <c r="A1661" s="45"/>
      <c r="B1661" s="54"/>
      <c r="C1661" s="47">
        <f>INT($C$29)+2</f>
        <v>3</v>
      </c>
      <c r="D1661" s="73"/>
      <c r="E1661" s="70"/>
      <c r="F1661" s="70" t="s">
        <v>2064</v>
      </c>
      <c r="G1661" s="73"/>
      <c r="H1661" s="76" t="s">
        <v>2633</v>
      </c>
      <c r="I1661" s="76"/>
      <c r="J1661" s="76"/>
      <c r="K1661" s="76"/>
      <c r="L1661" s="76"/>
      <c r="M1661" s="76"/>
      <c r="N1661" s="76"/>
      <c r="O1661" s="76"/>
      <c r="P1661" s="76"/>
      <c r="Q1661" s="76"/>
      <c r="R1661" s="76"/>
      <c r="S1661" s="76"/>
      <c r="T1661" s="76"/>
      <c r="U1661" s="97">
        <v>7.50061</v>
      </c>
      <c r="V1661" s="261">
        <f>U1661</f>
        <v>7.50061</v>
      </c>
      <c r="W1661" s="261">
        <f t="shared" ref="W1661:X1664" si="361">U1661</f>
        <v>7.50061</v>
      </c>
      <c r="X1661" s="261">
        <f t="shared" si="361"/>
        <v>7.50061</v>
      </c>
      <c r="Y1661" s="261">
        <f>V1661</f>
        <v>7.50061</v>
      </c>
      <c r="Z1661" s="261">
        <f>Y1661</f>
        <v>7.50061</v>
      </c>
      <c r="AA1661" s="261">
        <f>Z1661</f>
        <v>7.50061</v>
      </c>
      <c r="AB1661" s="261">
        <f>AA1661</f>
        <v>7.50061</v>
      </c>
      <c r="AC1661" s="261">
        <f>AB1661</f>
        <v>7.50061</v>
      </c>
      <c r="AD1661" s="261">
        <f>AC1661</f>
        <v>7.50061</v>
      </c>
      <c r="AE1661" s="76"/>
      <c r="AF1661" s="97"/>
      <c r="AG1661" s="76"/>
      <c r="AH1661" s="97">
        <v>1</v>
      </c>
      <c r="AI1661" s="97">
        <v>1</v>
      </c>
      <c r="AJ1661" s="73"/>
      <c r="AK1661" s="57"/>
      <c r="AL1661" s="45"/>
      <c r="AM1661" s="45"/>
      <c r="AN1661" s="45"/>
    </row>
    <row r="1662" spans="1:40" outlineLevel="2" x14ac:dyDescent="0.35">
      <c r="A1662" s="45"/>
      <c r="B1662" s="54"/>
      <c r="C1662" s="47">
        <f>INT($C$29)+2</f>
        <v>3</v>
      </c>
      <c r="D1662" s="73"/>
      <c r="E1662" s="70"/>
      <c r="F1662" s="70" t="s">
        <v>2386</v>
      </c>
      <c r="G1662" s="73"/>
      <c r="H1662" s="76" t="s">
        <v>2743</v>
      </c>
      <c r="I1662" s="76"/>
      <c r="J1662" s="76"/>
      <c r="K1662" s="76"/>
      <c r="L1662" s="76"/>
      <c r="M1662" s="76"/>
      <c r="N1662" s="76"/>
      <c r="O1662" s="76"/>
      <c r="P1662" s="76"/>
      <c r="Q1662" s="76"/>
      <c r="R1662" s="76"/>
      <c r="S1662" s="76"/>
      <c r="T1662" s="76"/>
      <c r="U1662" s="97">
        <f>AA1662</f>
        <v>-4.5568499999999998</v>
      </c>
      <c r="V1662" s="255">
        <f>U1662</f>
        <v>-4.5568499999999998</v>
      </c>
      <c r="W1662" s="255">
        <f t="shared" si="361"/>
        <v>-4.5568499999999998</v>
      </c>
      <c r="X1662" s="255">
        <f t="shared" si="361"/>
        <v>-4.5568499999999998</v>
      </c>
      <c r="Y1662" s="255">
        <f>V1662</f>
        <v>-4.5568499999999998</v>
      </c>
      <c r="Z1662" s="255">
        <f>AA1662</f>
        <v>-4.5568499999999998</v>
      </c>
      <c r="AA1662" s="97">
        <f>-(4.55685)</f>
        <v>-4.5568499999999998</v>
      </c>
      <c r="AB1662" s="255">
        <f t="shared" ref="AB1662:AD1664" si="362">AA1662</f>
        <v>-4.5568499999999998</v>
      </c>
      <c r="AC1662" s="255">
        <f t="shared" si="362"/>
        <v>-4.5568499999999998</v>
      </c>
      <c r="AD1662" s="255">
        <f t="shared" si="362"/>
        <v>-4.5568499999999998</v>
      </c>
      <c r="AE1662" s="76"/>
      <c r="AF1662" s="97" t="s">
        <v>3343</v>
      </c>
      <c r="AG1662" s="76"/>
      <c r="AH1662" s="76">
        <v>1</v>
      </c>
      <c r="AI1662" s="76">
        <v>1</v>
      </c>
      <c r="AJ1662" s="73"/>
      <c r="AK1662" s="57"/>
      <c r="AL1662" s="45"/>
      <c r="AM1662" s="45"/>
      <c r="AN1662" s="45"/>
    </row>
    <row r="1663" spans="1:40" outlineLevel="2" x14ac:dyDescent="0.35">
      <c r="A1663" s="45"/>
      <c r="B1663" s="54"/>
      <c r="C1663" s="47">
        <f>INT($C$29)+2</f>
        <v>3</v>
      </c>
      <c r="D1663" s="73"/>
      <c r="E1663" s="70"/>
      <c r="F1663" s="70" t="s">
        <v>2387</v>
      </c>
      <c r="G1663" s="73"/>
      <c r="H1663" s="76" t="s">
        <v>2474</v>
      </c>
      <c r="I1663" s="76"/>
      <c r="J1663" s="76"/>
      <c r="K1663" s="76"/>
      <c r="L1663" s="76"/>
      <c r="M1663" s="76"/>
      <c r="N1663" s="76"/>
      <c r="O1663" s="76"/>
      <c r="P1663" s="76"/>
      <c r="Q1663" s="76"/>
      <c r="R1663" s="76"/>
      <c r="S1663" s="76"/>
      <c r="T1663" s="76"/>
      <c r="U1663" s="97">
        <f>AA1663</f>
        <v>0.69092500000000001</v>
      </c>
      <c r="V1663" s="255">
        <f>U1663</f>
        <v>0.69092500000000001</v>
      </c>
      <c r="W1663" s="255">
        <f t="shared" si="361"/>
        <v>0.69092500000000001</v>
      </c>
      <c r="X1663" s="255">
        <f t="shared" si="361"/>
        <v>0.69092500000000001</v>
      </c>
      <c r="Y1663" s="255">
        <f>V1663</f>
        <v>0.69092500000000001</v>
      </c>
      <c r="Z1663" s="255">
        <f>AA1663</f>
        <v>0.69092500000000001</v>
      </c>
      <c r="AA1663" s="97">
        <f>-(-0.690925)</f>
        <v>0.69092500000000001</v>
      </c>
      <c r="AB1663" s="255">
        <f t="shared" si="362"/>
        <v>0.69092500000000001</v>
      </c>
      <c r="AC1663" s="255">
        <f t="shared" si="362"/>
        <v>0.69092500000000001</v>
      </c>
      <c r="AD1663" s="255">
        <f t="shared" si="362"/>
        <v>0.69092500000000001</v>
      </c>
      <c r="AE1663" s="76"/>
      <c r="AF1663" s="76"/>
      <c r="AG1663" s="76"/>
      <c r="AH1663" s="76">
        <v>1</v>
      </c>
      <c r="AI1663" s="76">
        <v>1</v>
      </c>
      <c r="AJ1663" s="73"/>
      <c r="AK1663" s="57"/>
      <c r="AL1663" s="45"/>
      <c r="AM1663" s="45"/>
      <c r="AN1663" s="45"/>
    </row>
    <row r="1664" spans="1:40" outlineLevel="2" collapsed="1" x14ac:dyDescent="0.35">
      <c r="A1664" s="45"/>
      <c r="B1664" s="54"/>
      <c r="C1664" s="47">
        <f t="shared" ref="C1664:C1675" si="363">INT($C$29)+3</f>
        <v>4</v>
      </c>
      <c r="D1664" s="73"/>
      <c r="E1664" s="70"/>
      <c r="F1664" s="70" t="s">
        <v>2388</v>
      </c>
      <c r="G1664" s="73"/>
      <c r="H1664" s="374" t="s">
        <v>2744</v>
      </c>
      <c r="I1664" s="76"/>
      <c r="J1664" s="76"/>
      <c r="K1664" s="76"/>
      <c r="L1664" s="76"/>
      <c r="M1664" s="76"/>
      <c r="N1664" s="76"/>
      <c r="O1664" s="76"/>
      <c r="P1664" s="76"/>
      <c r="Q1664" s="76"/>
      <c r="R1664" s="76"/>
      <c r="S1664" s="76"/>
      <c r="T1664" s="76"/>
      <c r="U1664" s="97">
        <f>AA1664</f>
        <v>-0.15570000000000001</v>
      </c>
      <c r="V1664" s="255">
        <f>U1664</f>
        <v>-0.15570000000000001</v>
      </c>
      <c r="W1664" s="255">
        <f t="shared" si="361"/>
        <v>-0.15570000000000001</v>
      </c>
      <c r="X1664" s="255">
        <f t="shared" si="361"/>
        <v>-0.15570000000000001</v>
      </c>
      <c r="Y1664" s="255">
        <f>V1664</f>
        <v>-0.15570000000000001</v>
      </c>
      <c r="Z1664" s="255">
        <f>AA1664</f>
        <v>-0.15570000000000001</v>
      </c>
      <c r="AA1664" s="97">
        <f>-(0.1557)</f>
        <v>-0.15570000000000001</v>
      </c>
      <c r="AB1664" s="255">
        <f t="shared" si="362"/>
        <v>-0.15570000000000001</v>
      </c>
      <c r="AC1664" s="255">
        <f t="shared" si="362"/>
        <v>-0.15570000000000001</v>
      </c>
      <c r="AD1664" s="255">
        <f t="shared" si="362"/>
        <v>-0.15570000000000001</v>
      </c>
      <c r="AE1664" s="76"/>
      <c r="AF1664" s="97"/>
      <c r="AG1664" s="76"/>
      <c r="AH1664" s="97">
        <v>1</v>
      </c>
      <c r="AI1664" s="97">
        <v>1</v>
      </c>
      <c r="AJ1664" s="73"/>
      <c r="AK1664" s="57"/>
      <c r="AL1664" s="45"/>
      <c r="AM1664" s="45"/>
      <c r="AN1664" s="45"/>
    </row>
    <row r="1665" spans="1:40" hidden="1" outlineLevel="3" collapsed="1" x14ac:dyDescent="0.35">
      <c r="A1665" s="45"/>
      <c r="B1665" s="54"/>
      <c r="C1665" s="47">
        <f t="shared" si="363"/>
        <v>4</v>
      </c>
      <c r="D1665" s="73"/>
      <c r="E1665" s="70"/>
      <c r="F1665" s="70" t="s">
        <v>2389</v>
      </c>
      <c r="G1665" s="73"/>
      <c r="H1665" s="374" t="s">
        <v>2745</v>
      </c>
      <c r="I1665" s="7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v>1</v>
      </c>
      <c r="AI1665" s="76">
        <v>1</v>
      </c>
      <c r="AJ1665" s="73"/>
      <c r="AK1665" s="57"/>
      <c r="AL1665" s="45"/>
      <c r="AM1665" s="45"/>
      <c r="AN1665" s="45"/>
    </row>
    <row r="1666" spans="1:40" hidden="1" outlineLevel="3" x14ac:dyDescent="0.35">
      <c r="A1666" s="45"/>
      <c r="B1666" s="54"/>
      <c r="C1666" s="47">
        <f t="shared" si="363"/>
        <v>4</v>
      </c>
      <c r="D1666" s="73"/>
      <c r="E1666" s="70"/>
      <c r="F1666" s="70" t="s">
        <v>2390</v>
      </c>
      <c r="G1666" s="73"/>
      <c r="H1666" s="373" t="s">
        <v>2483</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35">
      <c r="A1667" s="45"/>
      <c r="B1667" s="54"/>
      <c r="C1667" s="47">
        <f t="shared" si="363"/>
        <v>4</v>
      </c>
      <c r="D1667" s="73"/>
      <c r="E1667" s="70"/>
      <c r="F1667" s="70" t="s">
        <v>2391</v>
      </c>
      <c r="G1667" s="73"/>
      <c r="H1667" s="373" t="s">
        <v>2484</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35">
      <c r="A1668" s="45"/>
      <c r="B1668" s="54"/>
      <c r="C1668" s="47">
        <f t="shared" si="363"/>
        <v>4</v>
      </c>
      <c r="D1668" s="73"/>
      <c r="E1668" s="70"/>
      <c r="F1668" s="70" t="s">
        <v>2392</v>
      </c>
      <c r="G1668" s="73"/>
      <c r="H1668" s="373" t="s">
        <v>2485</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35">
      <c r="A1669" s="45"/>
      <c r="B1669" s="54"/>
      <c r="C1669" s="47">
        <f t="shared" si="363"/>
        <v>4</v>
      </c>
      <c r="D1669" s="73"/>
      <c r="E1669" s="70"/>
      <c r="F1669" s="70" t="s">
        <v>2393</v>
      </c>
      <c r="G1669" s="73"/>
      <c r="H1669" s="373" t="s">
        <v>2486</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35">
      <c r="A1670" s="45"/>
      <c r="B1670" s="54"/>
      <c r="C1670" s="47">
        <f t="shared" si="363"/>
        <v>4</v>
      </c>
      <c r="D1670" s="73"/>
      <c r="E1670" s="70"/>
      <c r="F1670" s="70" t="str">
        <f>SUBSTITUTE(F1666,",4)",",8)")</f>
        <v>C(U2,23,8)</v>
      </c>
      <c r="G1670" s="73"/>
      <c r="H1670" s="373" t="s">
        <v>2747</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35">
      <c r="A1671" s="45"/>
      <c r="B1671" s="54"/>
      <c r="C1671" s="47">
        <f t="shared" si="363"/>
        <v>4</v>
      </c>
      <c r="D1671" s="73"/>
      <c r="E1671" s="70"/>
      <c r="F1671" s="70" t="str">
        <f>SUBSTITUTE(F1667,",5)",",9)")</f>
        <v>C(U2,23,9)</v>
      </c>
      <c r="G1671" s="73"/>
      <c r="H1671" s="373" t="s">
        <v>2748</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35">
      <c r="A1672" s="45"/>
      <c r="B1672" s="54"/>
      <c r="C1672" s="47">
        <f t="shared" si="363"/>
        <v>4</v>
      </c>
      <c r="D1672" s="73"/>
      <c r="E1672" s="70"/>
      <c r="F1672" s="70" t="str">
        <f>SUBSTITUTE(F1668,",6)",",10)")</f>
        <v>C(U2,23,10)</v>
      </c>
      <c r="G1672" s="73"/>
      <c r="H1672" s="373" t="s">
        <v>2749</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35">
      <c r="A1673" s="45"/>
      <c r="B1673" s="54"/>
      <c r="C1673" s="47">
        <f t="shared" si="363"/>
        <v>4</v>
      </c>
      <c r="D1673" s="73"/>
      <c r="E1673" s="70"/>
      <c r="F1673" s="70" t="str">
        <f>SUBSTITUTE(F1669,",7)",",11)")</f>
        <v>C(U2,23,11)</v>
      </c>
      <c r="G1673" s="73"/>
      <c r="H1673" s="373" t="s">
        <v>3344</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35">
      <c r="A1674" s="45"/>
      <c r="B1674" s="54"/>
      <c r="C1674" s="47">
        <f t="shared" si="363"/>
        <v>4</v>
      </c>
      <c r="D1674" s="73"/>
      <c r="E1674" s="70"/>
      <c r="F1674" s="70" t="str">
        <f>SUBSTITUTE(F1668,",6)",",12)")</f>
        <v>C(U2,23,12)</v>
      </c>
      <c r="G1674" s="73"/>
      <c r="H1674" s="373" t="s">
        <v>3495</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2" x14ac:dyDescent="0.35">
      <c r="A1675" s="45"/>
      <c r="B1675" s="54"/>
      <c r="C1675" s="47">
        <f t="shared" si="363"/>
        <v>4</v>
      </c>
      <c r="D1675" s="73"/>
      <c r="E1675" s="70"/>
      <c r="F1675" s="70" t="s">
        <v>3496</v>
      </c>
      <c r="G1675" s="73"/>
      <c r="H1675" s="374" t="s">
        <v>2799</v>
      </c>
      <c r="I1675" s="96"/>
      <c r="J1675" s="76"/>
      <c r="K1675" s="76"/>
      <c r="L1675" s="76"/>
      <c r="M1675" s="76"/>
      <c r="N1675" s="76"/>
      <c r="O1675" s="76"/>
      <c r="P1675" s="76"/>
      <c r="Q1675" s="76"/>
      <c r="R1675" s="76"/>
      <c r="S1675" s="76"/>
      <c r="T1675" s="76"/>
      <c r="U1675" s="337">
        <f t="shared" ref="U1675:AD1675" si="364">-U$1662/(2*U$1663)</f>
        <v>3.2976444621340955</v>
      </c>
      <c r="V1675" s="337">
        <f t="shared" si="364"/>
        <v>3.2976444621340955</v>
      </c>
      <c r="W1675" s="337">
        <f t="shared" si="364"/>
        <v>3.2976444621340955</v>
      </c>
      <c r="X1675" s="337">
        <f t="shared" si="364"/>
        <v>3.2976444621340955</v>
      </c>
      <c r="Y1675" s="337">
        <f t="shared" si="364"/>
        <v>3.2976444621340955</v>
      </c>
      <c r="Z1675" s="337">
        <f t="shared" si="364"/>
        <v>3.2976444621340955</v>
      </c>
      <c r="AA1675" s="337">
        <f t="shared" si="364"/>
        <v>3.2976444621340955</v>
      </c>
      <c r="AB1675" s="337">
        <f t="shared" si="364"/>
        <v>3.2976444621340955</v>
      </c>
      <c r="AC1675" s="337">
        <f t="shared" si="364"/>
        <v>3.2976444621340955</v>
      </c>
      <c r="AD1675" s="337">
        <f t="shared" si="364"/>
        <v>3.2976444621340955</v>
      </c>
      <c r="AE1675" s="76"/>
      <c r="AF1675" s="76"/>
      <c r="AG1675" s="76"/>
      <c r="AH1675" s="76">
        <v>1</v>
      </c>
      <c r="AI1675" s="76">
        <v>1</v>
      </c>
      <c r="AJ1675" s="73"/>
      <c r="AK1675" s="57"/>
      <c r="AL1675" s="45"/>
      <c r="AM1675" s="45"/>
      <c r="AN1675" s="45"/>
    </row>
    <row r="1676" spans="1:40" outlineLevel="2" x14ac:dyDescent="0.35">
      <c r="A1676" s="45"/>
      <c r="B1676" s="54"/>
      <c r="C1676" s="47">
        <f>INT($C$29)+2</f>
        <v>3</v>
      </c>
      <c r="D1676" s="73"/>
      <c r="E1676" s="70"/>
      <c r="F1676" s="70" t="s">
        <v>2394</v>
      </c>
      <c r="G1676" s="73"/>
      <c r="H1676" s="76" t="s">
        <v>2746</v>
      </c>
      <c r="I1676" s="76"/>
      <c r="J1676" s="76"/>
      <c r="K1676" s="76"/>
      <c r="L1676" s="76"/>
      <c r="M1676" s="76"/>
      <c r="N1676" s="76"/>
      <c r="O1676" s="76"/>
      <c r="P1676" s="76"/>
      <c r="Q1676" s="76"/>
      <c r="R1676" s="76"/>
      <c r="S1676" s="76"/>
      <c r="T1676" s="76"/>
      <c r="U1676" s="97">
        <f>AA1676-(1.61859)</f>
        <v>2.0276899999999998</v>
      </c>
      <c r="V1676" s="255">
        <f t="shared" ref="V1676:V1682" si="365">U1676</f>
        <v>2.0276899999999998</v>
      </c>
      <c r="W1676" s="255">
        <f t="shared" ref="W1676:X1682" si="366">U1676</f>
        <v>2.0276899999999998</v>
      </c>
      <c r="X1676" s="255">
        <f t="shared" si="366"/>
        <v>2.0276899999999998</v>
      </c>
      <c r="Y1676" s="255">
        <f t="shared" ref="Y1676:Y1682" si="367">V1676</f>
        <v>2.0276899999999998</v>
      </c>
      <c r="Z1676" s="255">
        <f t="shared" ref="Z1676:Z1682" si="368">AA1676</f>
        <v>3.64628</v>
      </c>
      <c r="AA1676" s="97">
        <f>-(-3.64628)</f>
        <v>3.64628</v>
      </c>
      <c r="AB1676" s="255">
        <f t="shared" ref="AB1676:AD1682" si="369">AA1676</f>
        <v>3.64628</v>
      </c>
      <c r="AC1676" s="255">
        <f t="shared" si="369"/>
        <v>3.64628</v>
      </c>
      <c r="AD1676" s="255">
        <f t="shared" si="369"/>
        <v>3.64628</v>
      </c>
      <c r="AE1676" s="76"/>
      <c r="AF1676" s="97"/>
      <c r="AG1676" s="76"/>
      <c r="AH1676" s="97">
        <v>1</v>
      </c>
      <c r="AI1676" s="97">
        <v>1</v>
      </c>
      <c r="AJ1676" s="73"/>
      <c r="AK1676" s="57"/>
      <c r="AL1676" s="45"/>
      <c r="AM1676" s="45"/>
      <c r="AN1676" s="45"/>
    </row>
    <row r="1677" spans="1:40" outlineLevel="2" x14ac:dyDescent="0.35">
      <c r="A1677" s="45"/>
      <c r="B1677" s="54"/>
      <c r="C1677" s="47">
        <f>INT($C$29)+2</f>
        <v>3</v>
      </c>
      <c r="D1677" s="73"/>
      <c r="E1677" s="70"/>
      <c r="F1677" s="70" t="s">
        <v>2395</v>
      </c>
      <c r="G1677" s="73"/>
      <c r="H1677" s="76" t="s">
        <v>2461</v>
      </c>
      <c r="I1677" s="76"/>
      <c r="J1677" s="76"/>
      <c r="K1677" s="76"/>
      <c r="L1677" s="76"/>
      <c r="M1677" s="76"/>
      <c r="N1677" s="76"/>
      <c r="O1677" s="76"/>
      <c r="P1677" s="76"/>
      <c r="Q1677" s="76"/>
      <c r="R1677" s="76"/>
      <c r="S1677" s="76"/>
      <c r="T1677" s="76"/>
      <c r="U1677" s="97">
        <v>-0.26</v>
      </c>
      <c r="V1677" s="255">
        <f t="shared" si="365"/>
        <v>-0.26</v>
      </c>
      <c r="W1677" s="255">
        <f t="shared" si="366"/>
        <v>-0.26</v>
      </c>
      <c r="X1677" s="255">
        <f t="shared" si="366"/>
        <v>-0.26</v>
      </c>
      <c r="Y1677" s="255">
        <f t="shared" si="367"/>
        <v>-0.26</v>
      </c>
      <c r="Z1677" s="255">
        <f t="shared" si="368"/>
        <v>-0.27389999999999998</v>
      </c>
      <c r="AA1677" s="97">
        <v>-0.27389999999999998</v>
      </c>
      <c r="AB1677" s="255">
        <f t="shared" si="369"/>
        <v>-0.27389999999999998</v>
      </c>
      <c r="AC1677" s="255">
        <f t="shared" si="369"/>
        <v>-0.27389999999999998</v>
      </c>
      <c r="AD1677" s="255">
        <f t="shared" si="369"/>
        <v>-0.27389999999999998</v>
      </c>
      <c r="AE1677" s="76"/>
      <c r="AF1677" s="97" t="s">
        <v>2560</v>
      </c>
      <c r="AG1677" s="76"/>
      <c r="AH1677" s="97">
        <v>1</v>
      </c>
      <c r="AI1677" s="97">
        <v>1</v>
      </c>
      <c r="AJ1677" s="73"/>
      <c r="AK1677" s="57"/>
      <c r="AL1677" s="45"/>
      <c r="AM1677" s="45"/>
      <c r="AN1677" s="45"/>
    </row>
    <row r="1678" spans="1:40" outlineLevel="2" x14ac:dyDescent="0.35">
      <c r="A1678" s="45"/>
      <c r="B1678" s="54"/>
      <c r="C1678" s="47">
        <f>INT($C$29)+2</f>
        <v>3</v>
      </c>
      <c r="D1678" s="73"/>
      <c r="E1678" s="70"/>
      <c r="F1678" s="70" t="s">
        <v>2396</v>
      </c>
      <c r="G1678" s="73"/>
      <c r="H1678" s="76" t="s">
        <v>2475</v>
      </c>
      <c r="I1678" s="76"/>
      <c r="J1678" s="76"/>
      <c r="K1678" s="76"/>
      <c r="L1678" s="76"/>
      <c r="M1678" s="76"/>
      <c r="N1678" s="76"/>
      <c r="O1678" s="76"/>
      <c r="P1678" s="76"/>
      <c r="Q1678" s="76"/>
      <c r="R1678" s="76"/>
      <c r="S1678" s="76"/>
      <c r="T1678" s="76"/>
      <c r="U1678" s="97">
        <v>1.91E-3</v>
      </c>
      <c r="V1678" s="255">
        <f t="shared" si="365"/>
        <v>1.91E-3</v>
      </c>
      <c r="W1678" s="255">
        <f t="shared" si="366"/>
        <v>1.91E-3</v>
      </c>
      <c r="X1678" s="255">
        <f t="shared" si="366"/>
        <v>1.91E-3</v>
      </c>
      <c r="Y1678" s="255">
        <f t="shared" si="367"/>
        <v>1.91E-3</v>
      </c>
      <c r="Z1678" s="255">
        <f t="shared" si="368"/>
        <v>2.1199999999999999E-3</v>
      </c>
      <c r="AA1678" s="97">
        <v>2.1199999999999999E-3</v>
      </c>
      <c r="AB1678" s="255">
        <f t="shared" si="369"/>
        <v>2.1199999999999999E-3</v>
      </c>
      <c r="AC1678" s="255">
        <f t="shared" si="369"/>
        <v>2.1199999999999999E-3</v>
      </c>
      <c r="AD1678" s="255">
        <f t="shared" si="369"/>
        <v>2.1199999999999999E-3</v>
      </c>
      <c r="AE1678" s="76"/>
      <c r="AF1678" s="97" t="s">
        <v>3789</v>
      </c>
      <c r="AG1678" s="76"/>
      <c r="AH1678" s="97">
        <v>1</v>
      </c>
      <c r="AI1678" s="97">
        <v>1</v>
      </c>
      <c r="AJ1678" s="73"/>
      <c r="AK1678" s="57"/>
      <c r="AL1678" s="45"/>
      <c r="AM1678" s="45"/>
      <c r="AN1678" s="45"/>
    </row>
    <row r="1679" spans="1:40" outlineLevel="2" collapsed="1" x14ac:dyDescent="0.35">
      <c r="A1679" s="45"/>
      <c r="B1679" s="54"/>
      <c r="C1679" s="47">
        <f t="shared" ref="C1679:C1690" si="370">INT($C$29)+3</f>
        <v>4</v>
      </c>
      <c r="D1679" s="73"/>
      <c r="E1679" s="70"/>
      <c r="F1679" s="70" t="s">
        <v>2397</v>
      </c>
      <c r="G1679" s="73"/>
      <c r="H1679" s="374" t="s">
        <v>2794</v>
      </c>
      <c r="I1679" s="76"/>
      <c r="J1679" s="76"/>
      <c r="K1679" s="76"/>
      <c r="L1679" s="76"/>
      <c r="M1679" s="76"/>
      <c r="N1679" s="76"/>
      <c r="O1679" s="76"/>
      <c r="P1679" s="76"/>
      <c r="Q1679" s="76"/>
      <c r="R1679" s="76"/>
      <c r="S1679" s="76"/>
      <c r="T1679" s="76"/>
      <c r="U1679" s="97">
        <v>-4.0000000000000001E-3</v>
      </c>
      <c r="V1679" s="255">
        <f>U1679</f>
        <v>-4.0000000000000001E-3</v>
      </c>
      <c r="W1679" s="255">
        <f>U1679</f>
        <v>-4.0000000000000001E-3</v>
      </c>
      <c r="X1679" s="255">
        <f>V1679</f>
        <v>-4.0000000000000001E-3</v>
      </c>
      <c r="Y1679" s="255">
        <f>V1679</f>
        <v>-4.0000000000000001E-3</v>
      </c>
      <c r="Z1679" s="255">
        <f>AA1679</f>
        <v>-4.0000000000000001E-3</v>
      </c>
      <c r="AA1679" s="97">
        <v>-4.0000000000000001E-3</v>
      </c>
      <c r="AB1679" s="255">
        <f>AA1679</f>
        <v>-4.0000000000000001E-3</v>
      </c>
      <c r="AC1679" s="255">
        <f>AB1679</f>
        <v>-4.0000000000000001E-3</v>
      </c>
      <c r="AD1679" s="255">
        <f>AC1679</f>
        <v>-4.0000000000000001E-3</v>
      </c>
      <c r="AE1679" s="76"/>
      <c r="AF1679" s="76"/>
      <c r="AG1679" s="76"/>
      <c r="AH1679" s="97">
        <v>1</v>
      </c>
      <c r="AI1679" s="97">
        <v>1</v>
      </c>
      <c r="AJ1679" s="73"/>
      <c r="AK1679" s="57"/>
      <c r="AL1679" s="45"/>
      <c r="AM1679" s="45"/>
      <c r="AN1679" s="45"/>
    </row>
    <row r="1680" spans="1:40" hidden="1" outlineLevel="3" x14ac:dyDescent="0.35">
      <c r="A1680" s="45"/>
      <c r="B1680" s="54"/>
      <c r="C1680" s="47">
        <f t="shared" si="370"/>
        <v>4</v>
      </c>
      <c r="D1680" s="73"/>
      <c r="E1680" s="70"/>
      <c r="F1680" s="70" t="s">
        <v>2398</v>
      </c>
      <c r="G1680" s="73"/>
      <c r="H1680" s="373" t="s">
        <v>2795</v>
      </c>
      <c r="I1680" s="76"/>
      <c r="J1680" s="76"/>
      <c r="K1680" s="76"/>
      <c r="L1680" s="76"/>
      <c r="M1680" s="76"/>
      <c r="N1680" s="76"/>
      <c r="O1680" s="76"/>
      <c r="P1680" s="76"/>
      <c r="Q1680" s="76"/>
      <c r="R1680" s="76"/>
      <c r="S1680" s="76"/>
      <c r="T1680" s="76"/>
      <c r="U1680" s="76">
        <v>0</v>
      </c>
      <c r="V1680" s="76">
        <v>0</v>
      </c>
      <c r="W1680" s="76">
        <v>0</v>
      </c>
      <c r="X1680" s="76">
        <v>0</v>
      </c>
      <c r="Y1680" s="76">
        <v>0</v>
      </c>
      <c r="Z1680" s="76">
        <v>0</v>
      </c>
      <c r="AA1680" s="76">
        <v>0</v>
      </c>
      <c r="AB1680" s="76">
        <v>0</v>
      </c>
      <c r="AC1680" s="76">
        <v>0</v>
      </c>
      <c r="AD1680" s="76">
        <v>0</v>
      </c>
      <c r="AE1680" s="76"/>
      <c r="AF1680" s="76"/>
      <c r="AG1680" s="76"/>
      <c r="AH1680" s="76">
        <v>1</v>
      </c>
      <c r="AI1680" s="76">
        <v>1</v>
      </c>
      <c r="AJ1680" s="73"/>
      <c r="AK1680" s="57"/>
      <c r="AL1680" s="45"/>
      <c r="AM1680" s="45"/>
      <c r="AN1680" s="45"/>
    </row>
    <row r="1681" spans="1:40" outlineLevel="2" x14ac:dyDescent="0.35">
      <c r="A1681" s="45"/>
      <c r="B1681" s="54"/>
      <c r="C1681" s="47">
        <f t="shared" si="370"/>
        <v>4</v>
      </c>
      <c r="D1681" s="73"/>
      <c r="E1681" s="70"/>
      <c r="F1681" s="70" t="s">
        <v>2399</v>
      </c>
      <c r="G1681" s="73"/>
      <c r="H1681" s="374" t="s">
        <v>2792</v>
      </c>
      <c r="I1681" s="76"/>
      <c r="J1681" s="76"/>
      <c r="K1681" s="76"/>
      <c r="L1681" s="76"/>
      <c r="M1681" s="76"/>
      <c r="N1681" s="76"/>
      <c r="O1681" s="76"/>
      <c r="P1681" s="76"/>
      <c r="Q1681" s="76"/>
      <c r="R1681" s="76"/>
      <c r="S1681" s="76"/>
      <c r="T1681" s="76"/>
      <c r="U1681" s="97">
        <v>-5.1499999999999997E-2</v>
      </c>
      <c r="V1681" s="255">
        <f t="shared" si="365"/>
        <v>-5.1499999999999997E-2</v>
      </c>
      <c r="W1681" s="255">
        <f t="shared" si="366"/>
        <v>-5.1499999999999997E-2</v>
      </c>
      <c r="X1681" s="255">
        <f t="shared" si="366"/>
        <v>-5.1499999999999997E-2</v>
      </c>
      <c r="Y1681" s="255">
        <f t="shared" si="367"/>
        <v>-5.1499999999999997E-2</v>
      </c>
      <c r="Z1681" s="255">
        <f t="shared" si="368"/>
        <v>-2.75E-2</v>
      </c>
      <c r="AA1681" s="97">
        <v>-2.75E-2</v>
      </c>
      <c r="AB1681" s="255">
        <f t="shared" si="369"/>
        <v>-2.75E-2</v>
      </c>
      <c r="AC1681" s="255">
        <f t="shared" si="369"/>
        <v>-2.75E-2</v>
      </c>
      <c r="AD1681" s="255">
        <f t="shared" si="369"/>
        <v>-2.75E-2</v>
      </c>
      <c r="AE1681" s="76"/>
      <c r="AF1681" s="76"/>
      <c r="AG1681" s="76"/>
      <c r="AH1681" s="97">
        <v>1</v>
      </c>
      <c r="AI1681" s="97">
        <v>1</v>
      </c>
      <c r="AJ1681" s="73"/>
      <c r="AK1681" s="57"/>
      <c r="AL1681" s="45"/>
      <c r="AM1681" s="45"/>
      <c r="AN1681" s="45"/>
    </row>
    <row r="1682" spans="1:40" outlineLevel="2" x14ac:dyDescent="0.35">
      <c r="A1682" s="45"/>
      <c r="B1682" s="54"/>
      <c r="C1682" s="47">
        <f t="shared" si="370"/>
        <v>4</v>
      </c>
      <c r="D1682" s="73"/>
      <c r="E1682" s="70"/>
      <c r="F1682" s="70" t="s">
        <v>2400</v>
      </c>
      <c r="G1682" s="73"/>
      <c r="H1682" s="374" t="s">
        <v>2793</v>
      </c>
      <c r="I1682" s="76"/>
      <c r="J1682" s="76"/>
      <c r="K1682" s="76"/>
      <c r="L1682" s="76"/>
      <c r="M1682" s="76"/>
      <c r="N1682" s="76"/>
      <c r="O1682" s="76"/>
      <c r="P1682" s="76"/>
      <c r="Q1682" s="76"/>
      <c r="R1682" s="76"/>
      <c r="S1682" s="76"/>
      <c r="T1682" s="76"/>
      <c r="U1682" s="97">
        <f>-U1681/(2*9.5*30.4)</f>
        <v>8.916204986149583E-5</v>
      </c>
      <c r="V1682" s="255">
        <f t="shared" si="365"/>
        <v>8.916204986149583E-5</v>
      </c>
      <c r="W1682" s="255">
        <f t="shared" si="366"/>
        <v>8.916204986149583E-5</v>
      </c>
      <c r="X1682" s="255">
        <f t="shared" si="366"/>
        <v>8.916204986149583E-5</v>
      </c>
      <c r="Y1682" s="255">
        <f t="shared" si="367"/>
        <v>8.916204986149583E-5</v>
      </c>
      <c r="Z1682" s="255">
        <f t="shared" si="368"/>
        <v>4.7610803324099718E-5</v>
      </c>
      <c r="AA1682" s="97">
        <f>-AA1681/(2*9.5*30.4)</f>
        <v>4.7610803324099718E-5</v>
      </c>
      <c r="AB1682" s="255">
        <f t="shared" si="369"/>
        <v>4.7610803324099718E-5</v>
      </c>
      <c r="AC1682" s="255">
        <f t="shared" si="369"/>
        <v>4.7610803324099718E-5</v>
      </c>
      <c r="AD1682" s="255">
        <f t="shared" si="369"/>
        <v>4.7610803324099718E-5</v>
      </c>
      <c r="AE1682" s="76"/>
      <c r="AF1682" s="76"/>
      <c r="AG1682" s="76"/>
      <c r="AH1682" s="76">
        <v>1</v>
      </c>
      <c r="AI1682" s="76">
        <v>1</v>
      </c>
      <c r="AJ1682" s="73"/>
      <c r="AK1682" s="57"/>
      <c r="AL1682" s="45"/>
      <c r="AM1682" s="45"/>
      <c r="AN1682" s="45"/>
    </row>
    <row r="1683" spans="1:40" outlineLevel="2" collapsed="1" x14ac:dyDescent="0.35">
      <c r="A1683" s="45"/>
      <c r="B1683" s="54"/>
      <c r="C1683" s="47">
        <f t="shared" si="370"/>
        <v>4</v>
      </c>
      <c r="D1683" s="73"/>
      <c r="E1683" s="70"/>
      <c r="F1683" s="70" t="s">
        <v>2401</v>
      </c>
      <c r="G1683" s="73"/>
      <c r="H1683" s="374" t="s">
        <v>2796</v>
      </c>
      <c r="I1683" s="76"/>
      <c r="J1683" s="76"/>
      <c r="K1683" s="76"/>
      <c r="L1683" s="76"/>
      <c r="M1683" s="76"/>
      <c r="N1683" s="76"/>
      <c r="O1683" s="76"/>
      <c r="P1683" s="76"/>
      <c r="Q1683" s="76"/>
      <c r="R1683" s="76"/>
      <c r="S1683" s="76"/>
      <c r="T1683" s="76"/>
      <c r="U1683" s="97">
        <v>-2.75E-2</v>
      </c>
      <c r="V1683" s="255">
        <f>U1683</f>
        <v>-2.75E-2</v>
      </c>
      <c r="W1683" s="255">
        <f>U1683</f>
        <v>-2.75E-2</v>
      </c>
      <c r="X1683" s="255">
        <f>V1683</f>
        <v>-2.75E-2</v>
      </c>
      <c r="Y1683" s="255">
        <f>V1683</f>
        <v>-2.75E-2</v>
      </c>
      <c r="Z1683" s="255">
        <f>AA1683</f>
        <v>-2.5499999999999998E-2</v>
      </c>
      <c r="AA1683" s="97">
        <v>-2.5499999999999998E-2</v>
      </c>
      <c r="AB1683" s="255">
        <f>AA1683</f>
        <v>-2.5499999999999998E-2</v>
      </c>
      <c r="AC1683" s="255">
        <f>AB1683</f>
        <v>-2.5499999999999998E-2</v>
      </c>
      <c r="AD1683" s="255">
        <f>AC1683</f>
        <v>-2.5499999999999998E-2</v>
      </c>
      <c r="AE1683" s="76"/>
      <c r="AF1683" s="76"/>
      <c r="AG1683" s="76"/>
      <c r="AH1683" s="97">
        <v>1</v>
      </c>
      <c r="AI1683" s="97">
        <v>1</v>
      </c>
      <c r="AJ1683" s="73"/>
      <c r="AK1683" s="57"/>
      <c r="AL1683" s="45"/>
      <c r="AM1683" s="45"/>
      <c r="AN1683" s="45"/>
    </row>
    <row r="1684" spans="1:40" hidden="1" outlineLevel="3" x14ac:dyDescent="0.35">
      <c r="A1684" s="45"/>
      <c r="B1684" s="54"/>
      <c r="C1684" s="47">
        <f t="shared" si="370"/>
        <v>4</v>
      </c>
      <c r="D1684" s="73"/>
      <c r="E1684" s="70"/>
      <c r="F1684" s="70" t="s">
        <v>2402</v>
      </c>
      <c r="G1684" s="73"/>
      <c r="H1684" s="373" t="s">
        <v>2797</v>
      </c>
      <c r="I1684" s="76"/>
      <c r="J1684" s="76"/>
      <c r="K1684" s="76"/>
      <c r="L1684" s="76"/>
      <c r="M1684" s="76"/>
      <c r="N1684" s="76"/>
      <c r="O1684" s="76"/>
      <c r="P1684" s="76"/>
      <c r="Q1684" s="76"/>
      <c r="R1684" s="76"/>
      <c r="S1684" s="76"/>
      <c r="T1684" s="76"/>
      <c r="U1684" s="76">
        <v>0</v>
      </c>
      <c r="V1684" s="76">
        <v>0</v>
      </c>
      <c r="W1684" s="76">
        <v>0</v>
      </c>
      <c r="X1684" s="76">
        <v>0</v>
      </c>
      <c r="Y1684" s="76">
        <v>0</v>
      </c>
      <c r="Z1684" s="76">
        <v>0</v>
      </c>
      <c r="AA1684" s="76">
        <v>0</v>
      </c>
      <c r="AB1684" s="76">
        <v>0</v>
      </c>
      <c r="AC1684" s="76">
        <v>0</v>
      </c>
      <c r="AD1684" s="76">
        <v>0</v>
      </c>
      <c r="AE1684" s="76"/>
      <c r="AF1684" s="76"/>
      <c r="AG1684" s="76"/>
      <c r="AH1684" s="76">
        <v>1</v>
      </c>
      <c r="AI1684" s="76">
        <v>1</v>
      </c>
      <c r="AJ1684" s="73"/>
      <c r="AK1684" s="57"/>
      <c r="AL1684" s="45"/>
      <c r="AM1684" s="45"/>
      <c r="AN1684" s="45"/>
    </row>
    <row r="1685" spans="1:40" hidden="1" outlineLevel="3" x14ac:dyDescent="0.35">
      <c r="A1685" s="45"/>
      <c r="B1685" s="54"/>
      <c r="C1685" s="47">
        <f t="shared" si="370"/>
        <v>4</v>
      </c>
      <c r="D1685" s="73"/>
      <c r="E1685" s="70"/>
      <c r="F1685" s="70" t="str">
        <f>SUBSTITUTE(F1679,",4)",",8)")</f>
        <v>C(U2,24,2)</v>
      </c>
      <c r="G1685" s="73"/>
      <c r="H1685" s="374" t="s">
        <v>2791</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v>1</v>
      </c>
      <c r="AI1685" s="76">
        <v>1</v>
      </c>
      <c r="AJ1685" s="73"/>
      <c r="AK1685" s="57"/>
      <c r="AL1685" s="45"/>
      <c r="AM1685" s="45"/>
      <c r="AN1685" s="45"/>
    </row>
    <row r="1686" spans="1:40" hidden="1" outlineLevel="3" x14ac:dyDescent="0.35">
      <c r="A1686" s="45"/>
      <c r="B1686" s="54"/>
      <c r="C1686" s="47">
        <f t="shared" si="370"/>
        <v>4</v>
      </c>
      <c r="D1686" s="73"/>
      <c r="E1686" s="70"/>
      <c r="F1686" s="70" t="str">
        <f>SUBSTITUTE(F1680,",5)",",9)")</f>
        <v>C(U2,24,3)</v>
      </c>
      <c r="G1686" s="73"/>
      <c r="H1686" s="374" t="s">
        <v>2788</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35">
      <c r="A1687" s="45"/>
      <c r="B1687" s="54"/>
      <c r="C1687" s="47">
        <f t="shared" si="370"/>
        <v>4</v>
      </c>
      <c r="D1687" s="73"/>
      <c r="E1687" s="70"/>
      <c r="F1687" s="70" t="str">
        <f>SUBSTITUTE(F1683,",6)",",10)")</f>
        <v>C(U2,24,10)</v>
      </c>
      <c r="G1687" s="73"/>
      <c r="H1687" s="374" t="s">
        <v>2789</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35">
      <c r="A1688" s="45"/>
      <c r="B1688" s="54"/>
      <c r="C1688" s="47">
        <f t="shared" si="370"/>
        <v>4</v>
      </c>
      <c r="D1688" s="73"/>
      <c r="E1688" s="70"/>
      <c r="F1688" s="70" t="str">
        <f>SUBSTITUTE(F1684,",7)",",11)")</f>
        <v>C(U2,24,11)</v>
      </c>
      <c r="G1688" s="73"/>
      <c r="H1688" s="374" t="s">
        <v>2790</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2" x14ac:dyDescent="0.35">
      <c r="A1689" s="45"/>
      <c r="B1689" s="54"/>
      <c r="C1689" s="47">
        <f t="shared" si="370"/>
        <v>4</v>
      </c>
      <c r="D1689" s="73"/>
      <c r="E1689" s="70"/>
      <c r="F1689" s="70" t="s">
        <v>3337</v>
      </c>
      <c r="G1689" s="73"/>
      <c r="H1689" s="374" t="s">
        <v>3336</v>
      </c>
      <c r="I1689" s="96"/>
      <c r="J1689" s="76"/>
      <c r="K1689" s="76"/>
      <c r="L1689" s="76"/>
      <c r="M1689" s="76"/>
      <c r="N1689" s="76"/>
      <c r="O1689" s="76"/>
      <c r="P1689" s="76"/>
      <c r="Q1689" s="76"/>
      <c r="R1689" s="76"/>
      <c r="S1689" s="76"/>
      <c r="T1689" s="76"/>
      <c r="U1689" s="97">
        <v>0</v>
      </c>
      <c r="V1689" s="97">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outlineLevel="2" x14ac:dyDescent="0.35">
      <c r="A1690" s="45"/>
      <c r="B1690" s="54"/>
      <c r="C1690" s="47">
        <f t="shared" si="370"/>
        <v>4</v>
      </c>
      <c r="D1690" s="73"/>
      <c r="E1690" s="70"/>
      <c r="F1690" s="70" t="s">
        <v>3338</v>
      </c>
      <c r="G1690" s="73"/>
      <c r="H1690" s="374" t="s">
        <v>3335</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35">
      <c r="A1691" s="45"/>
      <c r="B1691" s="54"/>
      <c r="C1691" s="47">
        <f>INT($C$29)+2</f>
        <v>3</v>
      </c>
      <c r="D1691" s="73"/>
      <c r="E1691" s="70"/>
      <c r="F1691" s="70" t="s">
        <v>2403</v>
      </c>
      <c r="G1691" s="73"/>
      <c r="H1691" s="76" t="s">
        <v>2798</v>
      </c>
      <c r="I1691" s="76"/>
      <c r="J1691" s="76"/>
      <c r="K1691" s="76"/>
      <c r="L1691" s="76"/>
      <c r="M1691" s="76"/>
      <c r="N1691" s="76"/>
      <c r="O1691" s="76"/>
      <c r="P1691" s="76"/>
      <c r="Q1691" s="76"/>
      <c r="R1691" s="76"/>
      <c r="S1691" s="76"/>
      <c r="T1691" s="76"/>
      <c r="U1691" s="97">
        <v>15.275</v>
      </c>
      <c r="V1691" s="255">
        <f>U1691</f>
        <v>15.275</v>
      </c>
      <c r="W1691" s="255">
        <f t="shared" ref="W1691:X1708" si="371">U1691</f>
        <v>15.275</v>
      </c>
      <c r="X1691" s="255">
        <f t="shared" si="371"/>
        <v>15.275</v>
      </c>
      <c r="Y1691" s="255">
        <f>V1691</f>
        <v>15.275</v>
      </c>
      <c r="Z1691" s="255">
        <f>AA1691</f>
        <v>11.141</v>
      </c>
      <c r="AA1691" s="97">
        <v>11.141</v>
      </c>
      <c r="AB1691" s="255">
        <f t="shared" ref="AB1691:AD1708" si="372">AA1691</f>
        <v>11.141</v>
      </c>
      <c r="AC1691" s="255">
        <f t="shared" si="372"/>
        <v>11.141</v>
      </c>
      <c r="AD1691" s="255">
        <f t="shared" si="372"/>
        <v>11.141</v>
      </c>
      <c r="AE1691" s="76"/>
      <c r="AF1691" s="76"/>
      <c r="AG1691" s="76"/>
      <c r="AH1691" s="97">
        <v>1</v>
      </c>
      <c r="AI1691" s="97">
        <v>1</v>
      </c>
      <c r="AJ1691" s="73"/>
      <c r="AK1691" s="57"/>
      <c r="AL1691" s="45"/>
      <c r="AM1691" s="45"/>
      <c r="AN1691" s="45"/>
    </row>
    <row r="1692" spans="1:40" outlineLevel="2" collapsed="1" x14ac:dyDescent="0.35">
      <c r="A1692" s="45"/>
      <c r="B1692" s="54"/>
      <c r="C1692" s="47">
        <f>INT($C$29)+2</f>
        <v>3</v>
      </c>
      <c r="D1692" s="73"/>
      <c r="E1692" s="70"/>
      <c r="F1692" s="70" t="s">
        <v>2452</v>
      </c>
      <c r="G1692" s="73"/>
      <c r="H1692" s="76" t="s">
        <v>3791</v>
      </c>
      <c r="I1692" s="76"/>
      <c r="J1692" s="76"/>
      <c r="K1692" s="76"/>
      <c r="L1692" s="76"/>
      <c r="M1692" s="76"/>
      <c r="N1692" s="76"/>
      <c r="O1692" s="76"/>
      <c r="P1692" s="76"/>
      <c r="Q1692" s="76"/>
      <c r="R1692" s="76"/>
      <c r="S1692" s="76"/>
      <c r="T1692" s="76"/>
      <c r="U1692" s="97">
        <v>-7.4559200000000006E-2</v>
      </c>
      <c r="V1692" s="255">
        <f t="shared" ref="V1692:V1706" si="373">U1692</f>
        <v>-7.4559200000000006E-2</v>
      </c>
      <c r="W1692" s="630">
        <f>W1707</f>
        <v>-9.8000000000000004E-2</v>
      </c>
      <c r="X1692" s="630">
        <f t="shared" ref="X1692:Y1692" si="374">X1707</f>
        <v>-9.8000000000000004E-2</v>
      </c>
      <c r="Y1692" s="630">
        <f t="shared" si="374"/>
        <v>-9.8000000000000004E-2</v>
      </c>
      <c r="Z1692" s="255">
        <f>AA1692</f>
        <v>-7.4559200000000006E-2</v>
      </c>
      <c r="AA1692" s="97">
        <f>$U1692</f>
        <v>-7.4559200000000006E-2</v>
      </c>
      <c r="AB1692" s="255">
        <f t="shared" si="372"/>
        <v>-7.4559200000000006E-2</v>
      </c>
      <c r="AC1692" s="255">
        <f t="shared" si="372"/>
        <v>-7.4559200000000006E-2</v>
      </c>
      <c r="AD1692" s="255">
        <f t="shared" si="372"/>
        <v>-7.4559200000000006E-2</v>
      </c>
      <c r="AE1692" s="76"/>
      <c r="AF1692" s="97" t="s">
        <v>3788</v>
      </c>
      <c r="AG1692" s="76"/>
      <c r="AH1692" s="97">
        <v>1</v>
      </c>
      <c r="AI1692" s="97">
        <v>1</v>
      </c>
      <c r="AJ1692" s="73"/>
      <c r="AK1692" s="57"/>
      <c r="AL1692" s="45"/>
      <c r="AM1692" s="45"/>
      <c r="AN1692" s="45"/>
    </row>
    <row r="1693" spans="1:40" hidden="1" outlineLevel="3" x14ac:dyDescent="0.35">
      <c r="A1693" s="45"/>
      <c r="B1693" s="54"/>
      <c r="C1693" s="47">
        <f>INT($C$29)+2</f>
        <v>3</v>
      </c>
      <c r="D1693" s="73"/>
      <c r="E1693" s="70"/>
      <c r="F1693" s="70" t="s">
        <v>2453</v>
      </c>
      <c r="G1693" s="73"/>
      <c r="H1693" s="76" t="s">
        <v>2476</v>
      </c>
      <c r="I1693" s="76"/>
      <c r="J1693" s="76"/>
      <c r="K1693" s="76"/>
      <c r="L1693" s="76"/>
      <c r="M1693" s="76"/>
      <c r="N1693" s="76"/>
      <c r="O1693" s="76"/>
      <c r="P1693" s="76"/>
      <c r="Q1693" s="76"/>
      <c r="R1693" s="76"/>
      <c r="S1693" s="76"/>
      <c r="T1693" s="76"/>
      <c r="U1693" s="76">
        <v>0</v>
      </c>
      <c r="V1693" s="76">
        <v>0</v>
      </c>
      <c r="W1693" s="630">
        <f t="shared" ref="W1693:Y1693" si="375">W1708</f>
        <v>0</v>
      </c>
      <c r="X1693" s="630">
        <f t="shared" si="375"/>
        <v>0</v>
      </c>
      <c r="Y1693" s="630">
        <f t="shared" si="375"/>
        <v>0</v>
      </c>
      <c r="Z1693" s="76">
        <v>0</v>
      </c>
      <c r="AA1693" s="76">
        <f t="shared" ref="AA1693:AA1706" si="376">$U1693</f>
        <v>0</v>
      </c>
      <c r="AB1693" s="76">
        <v>0</v>
      </c>
      <c r="AC1693" s="76">
        <v>0</v>
      </c>
      <c r="AD1693" s="76">
        <v>0</v>
      </c>
      <c r="AE1693" s="76"/>
      <c r="AF1693" s="76"/>
      <c r="AG1693" s="76"/>
      <c r="AH1693" s="76">
        <v>1</v>
      </c>
      <c r="AI1693" s="76">
        <v>1</v>
      </c>
      <c r="AJ1693" s="73"/>
      <c r="AK1693" s="57"/>
      <c r="AL1693" s="45"/>
      <c r="AM1693" s="45"/>
      <c r="AN1693" s="45"/>
    </row>
    <row r="1694" spans="1:40" outlineLevel="2" collapsed="1" x14ac:dyDescent="0.35">
      <c r="A1694" s="45"/>
      <c r="B1694" s="54"/>
      <c r="C1694" s="47">
        <f t="shared" ref="C1694:C1705" si="377">INT($C$29)+3</f>
        <v>4</v>
      </c>
      <c r="D1694" s="73"/>
      <c r="E1694" s="70"/>
      <c r="F1694" s="70" t="s">
        <v>2454</v>
      </c>
      <c r="G1694" s="73"/>
      <c r="H1694" s="374" t="s">
        <v>2478</v>
      </c>
      <c r="I1694" s="76"/>
      <c r="J1694" s="76"/>
      <c r="K1694" s="76"/>
      <c r="L1694" s="76"/>
      <c r="M1694" s="76"/>
      <c r="N1694" s="76"/>
      <c r="O1694" s="76"/>
      <c r="P1694" s="76"/>
      <c r="Q1694" s="76"/>
      <c r="R1694" s="76"/>
      <c r="S1694" s="76"/>
      <c r="T1694" s="76"/>
      <c r="U1694" s="97">
        <v>-2.4811702000000001E-3</v>
      </c>
      <c r="V1694" s="255">
        <f>U1694</f>
        <v>-2.4811702000000001E-3</v>
      </c>
      <c r="W1694" s="630">
        <f t="shared" ref="W1694:Y1694" si="378">W1709</f>
        <v>0</v>
      </c>
      <c r="X1694" s="630">
        <f t="shared" si="378"/>
        <v>0</v>
      </c>
      <c r="Y1694" s="630">
        <f t="shared" si="378"/>
        <v>0</v>
      </c>
      <c r="Z1694" s="255">
        <f>AA1694</f>
        <v>-2.4811702000000001E-3</v>
      </c>
      <c r="AA1694" s="97">
        <f t="shared" si="376"/>
        <v>-2.4811702000000001E-3</v>
      </c>
      <c r="AB1694" s="255">
        <f>AA1694</f>
        <v>-2.4811702000000001E-3</v>
      </c>
      <c r="AC1694" s="255">
        <f>AB1694</f>
        <v>-2.4811702000000001E-3</v>
      </c>
      <c r="AD1694" s="255">
        <f>AC1694</f>
        <v>-2.4811702000000001E-3</v>
      </c>
      <c r="AE1694" s="76"/>
      <c r="AF1694" s="76"/>
      <c r="AG1694" s="76"/>
      <c r="AH1694" s="97">
        <v>1</v>
      </c>
      <c r="AI1694" s="97">
        <v>1</v>
      </c>
      <c r="AJ1694" s="73"/>
      <c r="AK1694" s="57"/>
      <c r="AL1694" s="45"/>
      <c r="AM1694" s="45"/>
      <c r="AN1694" s="45"/>
    </row>
    <row r="1695" spans="1:40" hidden="1" outlineLevel="3" x14ac:dyDescent="0.35">
      <c r="A1695" s="45"/>
      <c r="B1695" s="54"/>
      <c r="C1695" s="47">
        <f t="shared" si="377"/>
        <v>4</v>
      </c>
      <c r="D1695" s="73"/>
      <c r="E1695" s="70"/>
      <c r="F1695" s="70" t="s">
        <v>2455</v>
      </c>
      <c r="G1695" s="73"/>
      <c r="H1695" s="373" t="s">
        <v>2734</v>
      </c>
      <c r="I1695" s="76"/>
      <c r="J1695" s="76"/>
      <c r="K1695" s="76"/>
      <c r="L1695" s="76"/>
      <c r="M1695" s="76"/>
      <c r="N1695" s="76"/>
      <c r="O1695" s="76"/>
      <c r="P1695" s="76"/>
      <c r="Q1695" s="76"/>
      <c r="R1695" s="76"/>
      <c r="S1695" s="76"/>
      <c r="T1695" s="76"/>
      <c r="U1695" s="76">
        <v>0</v>
      </c>
      <c r="V1695" s="76">
        <v>0</v>
      </c>
      <c r="W1695" s="630">
        <f t="shared" ref="W1695:Y1695" si="379">W1710</f>
        <v>0</v>
      </c>
      <c r="X1695" s="630">
        <f t="shared" si="379"/>
        <v>0</v>
      </c>
      <c r="Y1695" s="630">
        <f t="shared" si="379"/>
        <v>0</v>
      </c>
      <c r="Z1695" s="76">
        <v>0</v>
      </c>
      <c r="AA1695" s="76">
        <f t="shared" si="376"/>
        <v>0</v>
      </c>
      <c r="AB1695" s="76">
        <v>0</v>
      </c>
      <c r="AC1695" s="76">
        <v>0</v>
      </c>
      <c r="AD1695" s="76">
        <v>0</v>
      </c>
      <c r="AE1695" s="76"/>
      <c r="AF1695" s="76"/>
      <c r="AG1695" s="76"/>
      <c r="AH1695" s="76">
        <v>1</v>
      </c>
      <c r="AI1695" s="76">
        <v>1</v>
      </c>
      <c r="AJ1695" s="73"/>
      <c r="AK1695" s="57"/>
      <c r="AL1695" s="45"/>
      <c r="AM1695" s="45"/>
      <c r="AN1695" s="45"/>
    </row>
    <row r="1696" spans="1:40" hidden="1" outlineLevel="3" collapsed="1" x14ac:dyDescent="0.35">
      <c r="A1696" s="45"/>
      <c r="B1696" s="54"/>
      <c r="C1696" s="47">
        <f t="shared" si="377"/>
        <v>4</v>
      </c>
      <c r="D1696" s="73"/>
      <c r="E1696" s="70"/>
      <c r="F1696" s="70" t="s">
        <v>2456</v>
      </c>
      <c r="G1696" s="73"/>
      <c r="H1696" s="374" t="s">
        <v>2477</v>
      </c>
      <c r="I1696" s="76"/>
      <c r="J1696" s="76"/>
      <c r="K1696" s="76"/>
      <c r="L1696" s="76"/>
      <c r="M1696" s="76"/>
      <c r="N1696" s="76"/>
      <c r="O1696" s="76"/>
      <c r="P1696" s="76"/>
      <c r="Q1696" s="76"/>
      <c r="R1696" s="76"/>
      <c r="S1696" s="76"/>
      <c r="T1696" s="76"/>
      <c r="U1696" s="76">
        <v>0</v>
      </c>
      <c r="V1696" s="76">
        <v>0</v>
      </c>
      <c r="W1696" s="630">
        <f t="shared" ref="W1696:Y1696" si="380">W1711</f>
        <v>0</v>
      </c>
      <c r="X1696" s="630">
        <f t="shared" si="380"/>
        <v>0</v>
      </c>
      <c r="Y1696" s="630">
        <f t="shared" si="380"/>
        <v>0</v>
      </c>
      <c r="Z1696" s="76">
        <v>0</v>
      </c>
      <c r="AA1696" s="76">
        <f t="shared" si="376"/>
        <v>0</v>
      </c>
      <c r="AB1696" s="76">
        <v>0</v>
      </c>
      <c r="AC1696" s="76">
        <v>0</v>
      </c>
      <c r="AD1696" s="76">
        <v>0</v>
      </c>
      <c r="AE1696" s="76"/>
      <c r="AF1696" s="76"/>
      <c r="AG1696" s="76"/>
      <c r="AH1696" s="97">
        <v>1</v>
      </c>
      <c r="AI1696" s="97">
        <v>1</v>
      </c>
      <c r="AJ1696" s="73"/>
      <c r="AK1696" s="57"/>
      <c r="AL1696" s="45"/>
      <c r="AM1696" s="45"/>
      <c r="AN1696" s="45"/>
    </row>
    <row r="1697" spans="1:40" hidden="1" outlineLevel="3" x14ac:dyDescent="0.35">
      <c r="A1697" s="45"/>
      <c r="B1697" s="54"/>
      <c r="C1697" s="47">
        <f t="shared" si="377"/>
        <v>4</v>
      </c>
      <c r="D1697" s="73"/>
      <c r="E1697" s="70"/>
      <c r="F1697" s="70" t="s">
        <v>2457</v>
      </c>
      <c r="G1697" s="73"/>
      <c r="H1697" s="374" t="s">
        <v>2735</v>
      </c>
      <c r="I1697" s="76"/>
      <c r="J1697" s="76"/>
      <c r="K1697" s="76"/>
      <c r="L1697" s="76"/>
      <c r="M1697" s="76"/>
      <c r="N1697" s="76"/>
      <c r="O1697" s="76"/>
      <c r="P1697" s="76"/>
      <c r="Q1697" s="76"/>
      <c r="R1697" s="76"/>
      <c r="S1697" s="76"/>
      <c r="T1697" s="76"/>
      <c r="U1697" s="76">
        <v>0</v>
      </c>
      <c r="V1697" s="76">
        <v>0</v>
      </c>
      <c r="W1697" s="630">
        <f t="shared" ref="W1697:Y1697" si="381">W1712</f>
        <v>0</v>
      </c>
      <c r="X1697" s="630">
        <f t="shared" si="381"/>
        <v>0</v>
      </c>
      <c r="Y1697" s="630">
        <f t="shared" si="381"/>
        <v>0</v>
      </c>
      <c r="Z1697" s="76">
        <v>0</v>
      </c>
      <c r="AA1697" s="76">
        <f t="shared" si="376"/>
        <v>0</v>
      </c>
      <c r="AB1697" s="76">
        <v>0</v>
      </c>
      <c r="AC1697" s="76">
        <v>0</v>
      </c>
      <c r="AD1697" s="76">
        <v>0</v>
      </c>
      <c r="AE1697" s="76"/>
      <c r="AF1697" s="76"/>
      <c r="AG1697" s="76"/>
      <c r="AH1697" s="76">
        <v>1</v>
      </c>
      <c r="AI1697" s="76">
        <v>1</v>
      </c>
      <c r="AJ1697" s="73"/>
      <c r="AK1697" s="57"/>
      <c r="AL1697" s="45"/>
      <c r="AM1697" s="45"/>
      <c r="AN1697" s="45"/>
    </row>
    <row r="1698" spans="1:40" outlineLevel="2" collapsed="1" x14ac:dyDescent="0.35">
      <c r="A1698" s="45"/>
      <c r="B1698" s="54"/>
      <c r="C1698" s="47">
        <f t="shared" si="377"/>
        <v>4</v>
      </c>
      <c r="D1698" s="73"/>
      <c r="E1698" s="70"/>
      <c r="F1698" s="70" t="s">
        <v>2458</v>
      </c>
      <c r="G1698" s="73"/>
      <c r="H1698" s="374" t="s">
        <v>2479</v>
      </c>
      <c r="I1698" s="76"/>
      <c r="J1698" s="76"/>
      <c r="K1698" s="76"/>
      <c r="L1698" s="76"/>
      <c r="M1698" s="76"/>
      <c r="N1698" s="76"/>
      <c r="O1698" s="76"/>
      <c r="P1698" s="76"/>
      <c r="Q1698" s="76"/>
      <c r="R1698" s="76"/>
      <c r="S1698" s="76"/>
      <c r="T1698" s="76"/>
      <c r="U1698" s="97">
        <v>-3.6999999999999998E-2</v>
      </c>
      <c r="V1698" s="255">
        <f t="shared" si="373"/>
        <v>-3.6999999999999998E-2</v>
      </c>
      <c r="W1698" s="630">
        <f t="shared" ref="W1698:Y1698" si="382">W1713</f>
        <v>-3.7749999999999999E-2</v>
      </c>
      <c r="X1698" s="630">
        <f t="shared" si="382"/>
        <v>-3.7749999999999999E-2</v>
      </c>
      <c r="Y1698" s="630">
        <f t="shared" si="382"/>
        <v>-3.7749999999999999E-2</v>
      </c>
      <c r="Z1698" s="255">
        <f>AA1698</f>
        <v>-3.6999999999999998E-2</v>
      </c>
      <c r="AA1698" s="97">
        <f t="shared" si="376"/>
        <v>-3.6999999999999998E-2</v>
      </c>
      <c r="AB1698" s="255">
        <f>AA1698</f>
        <v>-3.6999999999999998E-2</v>
      </c>
      <c r="AC1698" s="255">
        <f>AB1698</f>
        <v>-3.6999999999999998E-2</v>
      </c>
      <c r="AD1698" s="255">
        <f>AC1698</f>
        <v>-3.6999999999999998E-2</v>
      </c>
      <c r="AE1698" s="76"/>
      <c r="AF1698" s="76"/>
      <c r="AG1698" s="76"/>
      <c r="AH1698" s="97">
        <v>1</v>
      </c>
      <c r="AI1698" s="97">
        <v>1</v>
      </c>
      <c r="AJ1698" s="73"/>
      <c r="AK1698" s="57"/>
      <c r="AL1698" s="45"/>
      <c r="AM1698" s="45"/>
      <c r="AN1698" s="45"/>
    </row>
    <row r="1699" spans="1:40" hidden="1" outlineLevel="3" x14ac:dyDescent="0.35">
      <c r="A1699" s="45"/>
      <c r="B1699" s="54"/>
      <c r="C1699" s="47">
        <f t="shared" si="377"/>
        <v>4</v>
      </c>
      <c r="D1699" s="73"/>
      <c r="E1699" s="70"/>
      <c r="F1699" s="70" t="s">
        <v>2459</v>
      </c>
      <c r="G1699" s="73"/>
      <c r="H1699" s="373" t="s">
        <v>2736</v>
      </c>
      <c r="I1699" s="76"/>
      <c r="J1699" s="76"/>
      <c r="K1699" s="76"/>
      <c r="L1699" s="76"/>
      <c r="M1699" s="76"/>
      <c r="N1699" s="76"/>
      <c r="O1699" s="76"/>
      <c r="P1699" s="76"/>
      <c r="Q1699" s="76"/>
      <c r="R1699" s="76"/>
      <c r="S1699" s="76"/>
      <c r="T1699" s="76"/>
      <c r="U1699" s="76">
        <v>0</v>
      </c>
      <c r="V1699" s="255">
        <f t="shared" si="373"/>
        <v>0</v>
      </c>
      <c r="W1699" s="630">
        <f t="shared" ref="W1699:Y1699" si="383">W1714</f>
        <v>0</v>
      </c>
      <c r="X1699" s="630">
        <f t="shared" si="383"/>
        <v>0</v>
      </c>
      <c r="Y1699" s="630">
        <f t="shared" si="383"/>
        <v>0</v>
      </c>
      <c r="Z1699" s="76">
        <v>0</v>
      </c>
      <c r="AA1699" s="76">
        <f t="shared" si="376"/>
        <v>0</v>
      </c>
      <c r="AB1699" s="76">
        <v>0</v>
      </c>
      <c r="AC1699" s="76">
        <v>0</v>
      </c>
      <c r="AD1699" s="76">
        <v>0</v>
      </c>
      <c r="AE1699" s="76"/>
      <c r="AF1699" s="76"/>
      <c r="AG1699" s="76"/>
      <c r="AH1699" s="76">
        <v>1</v>
      </c>
      <c r="AI1699" s="76">
        <v>1</v>
      </c>
      <c r="AJ1699" s="73"/>
      <c r="AK1699" s="57"/>
      <c r="AL1699" s="45"/>
      <c r="AM1699" s="45"/>
      <c r="AN1699" s="45"/>
    </row>
    <row r="1700" spans="1:40" outlineLevel="2" x14ac:dyDescent="0.35">
      <c r="A1700" s="45"/>
      <c r="B1700" s="54"/>
      <c r="C1700" s="47">
        <f t="shared" si="377"/>
        <v>4</v>
      </c>
      <c r="D1700" s="73"/>
      <c r="E1700" s="70"/>
      <c r="F1700" s="70" t="str">
        <f>SUBSTITUTE(F1694,",4)",",8)")</f>
        <v>C(U2,25,2)</v>
      </c>
      <c r="G1700" s="73"/>
      <c r="H1700" s="374" t="s">
        <v>2731</v>
      </c>
      <c r="I1700" s="96"/>
      <c r="J1700" s="76"/>
      <c r="K1700" s="76"/>
      <c r="L1700" s="76"/>
      <c r="M1700" s="76"/>
      <c r="N1700" s="76"/>
      <c r="O1700" s="76"/>
      <c r="P1700" s="76"/>
      <c r="Q1700" s="76"/>
      <c r="R1700" s="76"/>
      <c r="S1700" s="76"/>
      <c r="T1700" s="76"/>
      <c r="U1700" s="76">
        <v>0</v>
      </c>
      <c r="V1700" s="76">
        <v>0</v>
      </c>
      <c r="W1700" s="630">
        <f t="shared" ref="W1700:Y1700" si="384">W1715</f>
        <v>0.05</v>
      </c>
      <c r="X1700" s="630">
        <f t="shared" si="384"/>
        <v>0.05</v>
      </c>
      <c r="Y1700" s="630">
        <f t="shared" si="384"/>
        <v>0.05</v>
      </c>
      <c r="Z1700" s="76">
        <v>0</v>
      </c>
      <c r="AA1700" s="76">
        <f t="shared" si="376"/>
        <v>0</v>
      </c>
      <c r="AB1700" s="76">
        <v>0</v>
      </c>
      <c r="AC1700" s="76">
        <v>0</v>
      </c>
      <c r="AD1700" s="76">
        <v>0</v>
      </c>
      <c r="AE1700" s="76"/>
      <c r="AF1700" s="76"/>
      <c r="AG1700" s="76"/>
      <c r="AH1700" s="76">
        <v>1</v>
      </c>
      <c r="AI1700" s="76">
        <v>1</v>
      </c>
      <c r="AJ1700" s="73"/>
      <c r="AK1700" s="57"/>
      <c r="AL1700" s="45"/>
      <c r="AM1700" s="45"/>
      <c r="AN1700" s="45"/>
    </row>
    <row r="1701" spans="1:40" outlineLevel="2" x14ac:dyDescent="0.35">
      <c r="A1701" s="45"/>
      <c r="B1701" s="54"/>
      <c r="C1701" s="47">
        <f t="shared" si="377"/>
        <v>4</v>
      </c>
      <c r="D1701" s="73"/>
      <c r="E1701" s="70"/>
      <c r="F1701" s="70" t="str">
        <f>SUBSTITUTE(F1695,",5)",",9)")</f>
        <v>C(U2,25,3)</v>
      </c>
      <c r="G1701" s="73"/>
      <c r="H1701" s="374" t="s">
        <v>2787</v>
      </c>
      <c r="I1701" s="96"/>
      <c r="J1701" s="76"/>
      <c r="K1701" s="76"/>
      <c r="L1701" s="76"/>
      <c r="M1701" s="76"/>
      <c r="N1701" s="76"/>
      <c r="O1701" s="76"/>
      <c r="P1701" s="76"/>
      <c r="Q1701" s="76"/>
      <c r="R1701" s="76"/>
      <c r="S1701" s="76"/>
      <c r="T1701" s="76"/>
      <c r="U1701" s="97">
        <v>-9.3500000000000007E-3</v>
      </c>
      <c r="V1701" s="255">
        <f t="shared" si="373"/>
        <v>-9.3500000000000007E-3</v>
      </c>
      <c r="W1701" s="630">
        <f t="shared" ref="W1701:Y1701" si="385">W1716</f>
        <v>-9.3500000000000007E-3</v>
      </c>
      <c r="X1701" s="630">
        <f t="shared" si="385"/>
        <v>-9.3500000000000007E-3</v>
      </c>
      <c r="Y1701" s="630">
        <f t="shared" si="385"/>
        <v>-9.3500000000000007E-3</v>
      </c>
      <c r="Z1701" s="255">
        <f>AA1701</f>
        <v>-9.3500000000000007E-3</v>
      </c>
      <c r="AA1701" s="97">
        <f t="shared" si="376"/>
        <v>-9.3500000000000007E-3</v>
      </c>
      <c r="AB1701" s="255">
        <f t="shared" ref="AB1701:AB1706" si="386">AA1701</f>
        <v>-9.3500000000000007E-3</v>
      </c>
      <c r="AC1701" s="255">
        <f t="shared" ref="AC1701:AC1706" si="387">AB1701</f>
        <v>-9.3500000000000007E-3</v>
      </c>
      <c r="AD1701" s="255">
        <f t="shared" ref="AD1701:AD1706" si="388">AC1701</f>
        <v>-9.3500000000000007E-3</v>
      </c>
      <c r="AE1701" s="76"/>
      <c r="AF1701" s="76"/>
      <c r="AG1701" s="76"/>
      <c r="AH1701" s="76">
        <v>1</v>
      </c>
      <c r="AI1701" s="76">
        <v>1</v>
      </c>
      <c r="AJ1701" s="73"/>
      <c r="AK1701" s="57"/>
      <c r="AL1701" s="45"/>
      <c r="AM1701" s="45"/>
      <c r="AN1701" s="45"/>
    </row>
    <row r="1702" spans="1:40" outlineLevel="2" x14ac:dyDescent="0.35">
      <c r="A1702" s="45"/>
      <c r="B1702" s="54"/>
      <c r="C1702" s="47">
        <f t="shared" si="377"/>
        <v>4</v>
      </c>
      <c r="D1702" s="73"/>
      <c r="E1702" s="70"/>
      <c r="F1702" s="70" t="str">
        <f>SUBSTITUTE(F1698,",6)",",10)")</f>
        <v>C(U2,25,10)</v>
      </c>
      <c r="G1702" s="73"/>
      <c r="H1702" s="374" t="s">
        <v>2786</v>
      </c>
      <c r="I1702" s="96"/>
      <c r="J1702" s="76"/>
      <c r="K1702" s="76"/>
      <c r="L1702" s="76"/>
      <c r="M1702" s="76"/>
      <c r="N1702" s="76"/>
      <c r="O1702" s="76"/>
      <c r="P1702" s="76"/>
      <c r="Q1702" s="76"/>
      <c r="R1702" s="76"/>
      <c r="S1702" s="76"/>
      <c r="T1702" s="76"/>
      <c r="U1702" s="97">
        <v>-7.0369200000000003E-3</v>
      </c>
      <c r="V1702" s="255">
        <f t="shared" si="373"/>
        <v>-7.0369200000000003E-3</v>
      </c>
      <c r="W1702" s="630">
        <f t="shared" ref="W1702:Y1702" si="389">W1717</f>
        <v>-7.0369200000000003E-3</v>
      </c>
      <c r="X1702" s="630">
        <f t="shared" si="389"/>
        <v>-7.0369200000000003E-3</v>
      </c>
      <c r="Y1702" s="630">
        <f t="shared" si="389"/>
        <v>-7.0369200000000003E-3</v>
      </c>
      <c r="Z1702" s="255">
        <f>AA1702</f>
        <v>-7.0369200000000003E-3</v>
      </c>
      <c r="AA1702" s="97">
        <f t="shared" si="376"/>
        <v>-7.0369200000000003E-3</v>
      </c>
      <c r="AB1702" s="255">
        <f t="shared" si="386"/>
        <v>-7.0369200000000003E-3</v>
      </c>
      <c r="AC1702" s="255">
        <f t="shared" si="387"/>
        <v>-7.0369200000000003E-3</v>
      </c>
      <c r="AD1702" s="255">
        <f t="shared" si="388"/>
        <v>-7.0369200000000003E-3</v>
      </c>
      <c r="AE1702" s="76"/>
      <c r="AF1702" s="76"/>
      <c r="AG1702" s="76"/>
      <c r="AH1702" s="76">
        <v>1</v>
      </c>
      <c r="AI1702" s="76">
        <v>1</v>
      </c>
      <c r="AJ1702" s="73"/>
      <c r="AK1702" s="57"/>
      <c r="AL1702" s="45"/>
      <c r="AM1702" s="45"/>
      <c r="AN1702" s="45"/>
    </row>
    <row r="1703" spans="1:40" outlineLevel="2" x14ac:dyDescent="0.35">
      <c r="A1703" s="45"/>
      <c r="B1703" s="54"/>
      <c r="C1703" s="47">
        <f t="shared" si="377"/>
        <v>4</v>
      </c>
      <c r="D1703" s="73"/>
      <c r="E1703" s="70"/>
      <c r="F1703" s="70" t="str">
        <f>SUBSTITUTE(F1699,",7)",",11)")</f>
        <v>C(U2,25,11)</v>
      </c>
      <c r="G1703" s="73"/>
      <c r="H1703" s="374" t="s">
        <v>2737</v>
      </c>
      <c r="I1703" s="96"/>
      <c r="J1703" s="76"/>
      <c r="K1703" s="76"/>
      <c r="L1703" s="76"/>
      <c r="M1703" s="76"/>
      <c r="N1703" s="76"/>
      <c r="O1703" s="76"/>
      <c r="P1703" s="76"/>
      <c r="Q1703" s="76"/>
      <c r="R1703" s="76"/>
      <c r="S1703" s="76"/>
      <c r="T1703" s="76"/>
      <c r="U1703" s="97">
        <v>7.4569999999999999E-5</v>
      </c>
      <c r="V1703" s="255">
        <f t="shared" si="373"/>
        <v>7.4569999999999999E-5</v>
      </c>
      <c r="W1703" s="630">
        <f t="shared" ref="W1703:Y1703" si="390">W1718</f>
        <v>7.4569999999999999E-5</v>
      </c>
      <c r="X1703" s="630">
        <f t="shared" si="390"/>
        <v>7.4569999999999999E-5</v>
      </c>
      <c r="Y1703" s="630">
        <f t="shared" si="390"/>
        <v>7.4569999999999999E-5</v>
      </c>
      <c r="Z1703" s="255">
        <f>AA1703</f>
        <v>7.4569999999999999E-5</v>
      </c>
      <c r="AA1703" s="97">
        <f t="shared" si="376"/>
        <v>7.4569999999999999E-5</v>
      </c>
      <c r="AB1703" s="255">
        <f t="shared" si="386"/>
        <v>7.4569999999999999E-5</v>
      </c>
      <c r="AC1703" s="255">
        <f t="shared" si="387"/>
        <v>7.4569999999999999E-5</v>
      </c>
      <c r="AD1703" s="255">
        <f t="shared" si="388"/>
        <v>7.4569999999999999E-5</v>
      </c>
      <c r="AE1703" s="76"/>
      <c r="AF1703" s="76"/>
      <c r="AG1703" s="76"/>
      <c r="AH1703" s="76">
        <v>1</v>
      </c>
      <c r="AI1703" s="76">
        <v>1</v>
      </c>
      <c r="AJ1703" s="73"/>
      <c r="AK1703" s="57"/>
      <c r="AL1703" s="45"/>
      <c r="AM1703" s="45"/>
      <c r="AN1703" s="45"/>
    </row>
    <row r="1704" spans="1:40" outlineLevel="2" collapsed="1" x14ac:dyDescent="0.35">
      <c r="A1704" s="45"/>
      <c r="B1704" s="54"/>
      <c r="C1704" s="47">
        <f t="shared" si="377"/>
        <v>4</v>
      </c>
      <c r="D1704" s="73"/>
      <c r="E1704" s="70"/>
      <c r="F1704" s="70" t="s">
        <v>3339</v>
      </c>
      <c r="G1704" s="73"/>
      <c r="H1704" s="374" t="s">
        <v>3336</v>
      </c>
      <c r="I1704" s="96"/>
      <c r="J1704" s="76"/>
      <c r="K1704" s="76"/>
      <c r="L1704" s="76"/>
      <c r="M1704" s="76"/>
      <c r="N1704" s="76"/>
      <c r="O1704" s="76"/>
      <c r="P1704" s="76"/>
      <c r="Q1704" s="76"/>
      <c r="R1704" s="76"/>
      <c r="S1704" s="76"/>
      <c r="T1704" s="76"/>
      <c r="U1704" s="97">
        <v>-0.90035560000000003</v>
      </c>
      <c r="V1704" s="255">
        <f t="shared" si="373"/>
        <v>-0.90035560000000003</v>
      </c>
      <c r="W1704" s="630">
        <f t="shared" ref="W1704:Y1705" si="391">W1719</f>
        <v>0</v>
      </c>
      <c r="X1704" s="630">
        <f t="shared" si="391"/>
        <v>0</v>
      </c>
      <c r="Y1704" s="630">
        <f t="shared" si="391"/>
        <v>0</v>
      </c>
      <c r="Z1704" s="97">
        <v>0</v>
      </c>
      <c r="AA1704" s="97">
        <f t="shared" si="376"/>
        <v>-0.90035560000000003</v>
      </c>
      <c r="AB1704" s="97">
        <v>0</v>
      </c>
      <c r="AC1704" s="97">
        <v>0</v>
      </c>
      <c r="AD1704" s="97">
        <v>0</v>
      </c>
      <c r="AE1704" s="76"/>
      <c r="AF1704" s="76"/>
      <c r="AG1704" s="76"/>
      <c r="AH1704" s="97">
        <v>1</v>
      </c>
      <c r="AI1704" s="97">
        <v>1</v>
      </c>
      <c r="AJ1704" s="73"/>
      <c r="AK1704" s="57"/>
      <c r="AL1704" s="45"/>
      <c r="AM1704" s="45"/>
      <c r="AN1704" s="45"/>
    </row>
    <row r="1705" spans="1:40" hidden="1" outlineLevel="3" x14ac:dyDescent="0.35">
      <c r="A1705" s="45"/>
      <c r="B1705" s="54"/>
      <c r="C1705" s="47">
        <f t="shared" si="377"/>
        <v>4</v>
      </c>
      <c r="D1705" s="73"/>
      <c r="E1705" s="70"/>
      <c r="F1705" s="70" t="s">
        <v>3340</v>
      </c>
      <c r="G1705" s="73"/>
      <c r="H1705" s="374" t="s">
        <v>3335</v>
      </c>
      <c r="I1705" s="96"/>
      <c r="J1705" s="76"/>
      <c r="K1705" s="76"/>
      <c r="L1705" s="76"/>
      <c r="M1705" s="76"/>
      <c r="N1705" s="76"/>
      <c r="O1705" s="76"/>
      <c r="P1705" s="76"/>
      <c r="Q1705" s="76"/>
      <c r="R1705" s="76"/>
      <c r="S1705" s="76"/>
      <c r="T1705" s="76"/>
      <c r="U1705" s="76">
        <v>0</v>
      </c>
      <c r="V1705" s="76">
        <v>0</v>
      </c>
      <c r="W1705" s="630">
        <f t="shared" si="391"/>
        <v>0</v>
      </c>
      <c r="X1705" s="630">
        <f t="shared" si="391"/>
        <v>0</v>
      </c>
      <c r="Y1705" s="630">
        <f t="shared" si="391"/>
        <v>0</v>
      </c>
      <c r="Z1705" s="76">
        <v>0</v>
      </c>
      <c r="AA1705" s="76">
        <f t="shared" si="376"/>
        <v>0</v>
      </c>
      <c r="AB1705" s="76">
        <v>0</v>
      </c>
      <c r="AC1705" s="76">
        <v>0</v>
      </c>
      <c r="AD1705" s="76">
        <v>0</v>
      </c>
      <c r="AE1705" s="76"/>
      <c r="AF1705" s="76"/>
      <c r="AG1705" s="76"/>
      <c r="AH1705" s="76">
        <v>1</v>
      </c>
      <c r="AI1705" s="76">
        <v>1</v>
      </c>
      <c r="AJ1705" s="73"/>
      <c r="AK1705" s="57"/>
      <c r="AL1705" s="45"/>
      <c r="AM1705" s="45"/>
      <c r="AN1705" s="45"/>
    </row>
    <row r="1706" spans="1:40" outlineLevel="2" x14ac:dyDescent="0.35">
      <c r="A1706" s="45"/>
      <c r="B1706" s="54"/>
      <c r="C1706" s="47">
        <f>INT($C$29)+2</f>
        <v>3</v>
      </c>
      <c r="D1706" s="73"/>
      <c r="E1706" s="70"/>
      <c r="F1706" s="70" t="s">
        <v>2460</v>
      </c>
      <c r="G1706" s="73"/>
      <c r="H1706" s="76" t="s">
        <v>2480</v>
      </c>
      <c r="I1706" s="76"/>
      <c r="J1706" s="76"/>
      <c r="K1706" s="76"/>
      <c r="L1706" s="76"/>
      <c r="M1706" s="76"/>
      <c r="N1706" s="76"/>
      <c r="O1706" s="76"/>
      <c r="P1706" s="76"/>
      <c r="Q1706" s="76"/>
      <c r="R1706" s="76"/>
      <c r="S1706" s="76"/>
      <c r="T1706" s="76"/>
      <c r="U1706" s="97">
        <v>4.0463148000000002</v>
      </c>
      <c r="V1706" s="255">
        <f t="shared" si="373"/>
        <v>4.0463148000000002</v>
      </c>
      <c r="W1706" s="630">
        <f t="shared" ref="W1706:Y1706" si="392">W1721</f>
        <v>-1.8110552</v>
      </c>
      <c r="X1706" s="630">
        <f t="shared" si="392"/>
        <v>-1.8110552</v>
      </c>
      <c r="Y1706" s="630">
        <f t="shared" si="392"/>
        <v>-1.8110552</v>
      </c>
      <c r="Z1706" s="255">
        <f>AA1706</f>
        <v>4.0463148000000002</v>
      </c>
      <c r="AA1706" s="97">
        <f t="shared" si="376"/>
        <v>4.0463148000000002</v>
      </c>
      <c r="AB1706" s="255">
        <f t="shared" si="386"/>
        <v>4.0463148000000002</v>
      </c>
      <c r="AC1706" s="255">
        <f t="shared" si="387"/>
        <v>4.0463148000000002</v>
      </c>
      <c r="AD1706" s="255">
        <f t="shared" si="388"/>
        <v>4.0463148000000002</v>
      </c>
      <c r="AE1706" s="76"/>
      <c r="AF1706" s="97" t="s">
        <v>2733</v>
      </c>
      <c r="AG1706" s="76"/>
      <c r="AH1706" s="97">
        <v>1</v>
      </c>
      <c r="AI1706" s="97">
        <v>1</v>
      </c>
      <c r="AJ1706" s="73"/>
      <c r="AK1706" s="57"/>
      <c r="AL1706" s="45"/>
      <c r="AM1706" s="45"/>
      <c r="AN1706" s="45"/>
    </row>
    <row r="1707" spans="1:40" outlineLevel="2" x14ac:dyDescent="0.35">
      <c r="A1707" s="45"/>
      <c r="B1707" s="54"/>
      <c r="C1707" s="47">
        <f>INT($C$29)+2</f>
        <v>3</v>
      </c>
      <c r="D1707" s="73"/>
      <c r="E1707" s="70"/>
      <c r="F1707" s="70" t="s">
        <v>3311</v>
      </c>
      <c r="G1707" s="73"/>
      <c r="H1707" s="76" t="s">
        <v>2516</v>
      </c>
      <c r="I1707" s="76"/>
      <c r="J1707" s="76"/>
      <c r="K1707" s="76"/>
      <c r="L1707" s="76"/>
      <c r="M1707" s="76"/>
      <c r="N1707" s="76"/>
      <c r="O1707" s="76"/>
      <c r="P1707" s="76"/>
      <c r="Q1707" s="76"/>
      <c r="R1707" s="76"/>
      <c r="S1707" s="76"/>
      <c r="T1707" s="76"/>
      <c r="U1707" s="97">
        <v>-9.8000000000000004E-2</v>
      </c>
      <c r="V1707" s="255">
        <f>U1707</f>
        <v>-9.8000000000000004E-2</v>
      </c>
      <c r="W1707" s="255">
        <f t="shared" si="371"/>
        <v>-9.8000000000000004E-2</v>
      </c>
      <c r="X1707" s="255">
        <f t="shared" si="371"/>
        <v>-9.8000000000000004E-2</v>
      </c>
      <c r="Y1707" s="255">
        <f>V1707</f>
        <v>-9.8000000000000004E-2</v>
      </c>
      <c r="Z1707" s="255">
        <f>AA1707</f>
        <v>-3.9480000000000001E-2</v>
      </c>
      <c r="AA1707" s="97">
        <v>-3.9480000000000001E-2</v>
      </c>
      <c r="AB1707" s="255">
        <f t="shared" si="372"/>
        <v>-3.9480000000000001E-2</v>
      </c>
      <c r="AC1707" s="255">
        <f t="shared" si="372"/>
        <v>-3.9480000000000001E-2</v>
      </c>
      <c r="AD1707" s="255">
        <f t="shared" si="372"/>
        <v>-3.9480000000000001E-2</v>
      </c>
      <c r="AE1707" s="76"/>
      <c r="AF1707" s="97" t="s">
        <v>3793</v>
      </c>
      <c r="AG1707" s="76"/>
      <c r="AH1707" s="97">
        <v>1</v>
      </c>
      <c r="AI1707" s="97">
        <v>1</v>
      </c>
      <c r="AJ1707" s="73"/>
      <c r="AK1707" s="57"/>
      <c r="AL1707" s="45"/>
      <c r="AM1707" s="45"/>
      <c r="AN1707" s="45"/>
    </row>
    <row r="1708" spans="1:40" outlineLevel="2" collapsed="1" x14ac:dyDescent="0.35">
      <c r="A1708" s="45"/>
      <c r="B1708" s="54"/>
      <c r="C1708" s="47">
        <f>INT($C$29)+2</f>
        <v>3</v>
      </c>
      <c r="D1708" s="73"/>
      <c r="E1708" s="70"/>
      <c r="F1708" s="70" t="s">
        <v>3313</v>
      </c>
      <c r="G1708" s="73"/>
      <c r="H1708" s="76" t="s">
        <v>2476</v>
      </c>
      <c r="I1708" s="76"/>
      <c r="J1708" s="76"/>
      <c r="K1708" s="76"/>
      <c r="L1708" s="76"/>
      <c r="M1708" s="76"/>
      <c r="N1708" s="76"/>
      <c r="O1708" s="76"/>
      <c r="P1708" s="76"/>
      <c r="Q1708" s="76"/>
      <c r="R1708" s="76"/>
      <c r="S1708" s="76"/>
      <c r="T1708" s="76"/>
      <c r="U1708" s="97">
        <v>0</v>
      </c>
      <c r="V1708" s="255">
        <f>U1708</f>
        <v>0</v>
      </c>
      <c r="W1708" s="255">
        <f t="shared" si="371"/>
        <v>0</v>
      </c>
      <c r="X1708" s="255">
        <f t="shared" si="371"/>
        <v>0</v>
      </c>
      <c r="Y1708" s="255">
        <f>V1708</f>
        <v>0</v>
      </c>
      <c r="Z1708" s="255">
        <f>AA1708</f>
        <v>0</v>
      </c>
      <c r="AA1708" s="97">
        <v>0</v>
      </c>
      <c r="AB1708" s="255">
        <f t="shared" si="372"/>
        <v>0</v>
      </c>
      <c r="AC1708" s="255">
        <f t="shared" si="372"/>
        <v>0</v>
      </c>
      <c r="AD1708" s="255">
        <f t="shared" si="372"/>
        <v>0</v>
      </c>
      <c r="AE1708" s="76"/>
      <c r="AF1708" s="97" t="s">
        <v>3792</v>
      </c>
      <c r="AG1708" s="76"/>
      <c r="AH1708" s="97">
        <v>1</v>
      </c>
      <c r="AI1708" s="97">
        <v>1</v>
      </c>
      <c r="AJ1708" s="73"/>
      <c r="AK1708" s="57"/>
      <c r="AL1708" s="45"/>
      <c r="AM1708" s="45"/>
      <c r="AN1708" s="45"/>
    </row>
    <row r="1709" spans="1:40" hidden="1" outlineLevel="3" collapsed="1" x14ac:dyDescent="0.35">
      <c r="A1709" s="45"/>
      <c r="B1709" s="54"/>
      <c r="C1709" s="47">
        <f t="shared" ref="C1709:C1720" si="393">INT($C$29)+3</f>
        <v>4</v>
      </c>
      <c r="D1709" s="73"/>
      <c r="E1709" s="70"/>
      <c r="F1709" s="70" t="s">
        <v>3312</v>
      </c>
      <c r="G1709" s="73"/>
      <c r="H1709" s="374" t="s">
        <v>2478</v>
      </c>
      <c r="I1709" s="76"/>
      <c r="J1709" s="76"/>
      <c r="K1709" s="76"/>
      <c r="L1709" s="76"/>
      <c r="M1709" s="76"/>
      <c r="N1709" s="76"/>
      <c r="O1709" s="76"/>
      <c r="P1709" s="76"/>
      <c r="Q1709" s="76"/>
      <c r="R1709" s="76"/>
      <c r="S1709" s="76"/>
      <c r="T1709" s="76"/>
      <c r="U1709" s="97">
        <v>0</v>
      </c>
      <c r="V1709" s="255">
        <f>U1709</f>
        <v>0</v>
      </c>
      <c r="W1709" s="255">
        <f>U1709</f>
        <v>0</v>
      </c>
      <c r="X1709" s="255">
        <f>V1709</f>
        <v>0</v>
      </c>
      <c r="Y1709" s="255">
        <f>V1709</f>
        <v>0</v>
      </c>
      <c r="Z1709" s="255">
        <f>AA1709</f>
        <v>0</v>
      </c>
      <c r="AA1709" s="97">
        <v>0</v>
      </c>
      <c r="AB1709" s="255">
        <f>AA1709</f>
        <v>0</v>
      </c>
      <c r="AC1709" s="255">
        <f>AB1709</f>
        <v>0</v>
      </c>
      <c r="AD1709" s="255">
        <f>AC1709</f>
        <v>0</v>
      </c>
      <c r="AE1709" s="76"/>
      <c r="AF1709" s="76"/>
      <c r="AG1709" s="76"/>
      <c r="AH1709" s="97">
        <v>1</v>
      </c>
      <c r="AI1709" s="97">
        <v>1</v>
      </c>
      <c r="AJ1709" s="73"/>
      <c r="AK1709" s="57"/>
      <c r="AL1709" s="45"/>
      <c r="AM1709" s="45"/>
      <c r="AN1709" s="45"/>
    </row>
    <row r="1710" spans="1:40" hidden="1" outlineLevel="3" x14ac:dyDescent="0.35">
      <c r="A1710" s="45"/>
      <c r="B1710" s="54"/>
      <c r="C1710" s="47">
        <f t="shared" si="393"/>
        <v>4</v>
      </c>
      <c r="D1710" s="73"/>
      <c r="E1710" s="70"/>
      <c r="F1710" s="70" t="s">
        <v>3314</v>
      </c>
      <c r="G1710" s="73"/>
      <c r="H1710" s="373" t="s">
        <v>2734</v>
      </c>
      <c r="I1710" s="7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v>0</v>
      </c>
      <c r="AC1710" s="76">
        <v>0</v>
      </c>
      <c r="AD1710" s="76">
        <v>0</v>
      </c>
      <c r="AE1710" s="76"/>
      <c r="AF1710" s="76"/>
      <c r="AG1710" s="76"/>
      <c r="AH1710" s="76">
        <v>1</v>
      </c>
      <c r="AI1710" s="76">
        <v>1</v>
      </c>
      <c r="AJ1710" s="73"/>
      <c r="AK1710" s="57"/>
      <c r="AL1710" s="45"/>
      <c r="AM1710" s="45"/>
      <c r="AN1710" s="45"/>
    </row>
    <row r="1711" spans="1:40" hidden="1" outlineLevel="3" collapsed="1" x14ac:dyDescent="0.35">
      <c r="A1711" s="45"/>
      <c r="B1711" s="54"/>
      <c r="C1711" s="47">
        <f t="shared" si="393"/>
        <v>4</v>
      </c>
      <c r="D1711" s="73"/>
      <c r="E1711" s="70"/>
      <c r="F1711" s="70" t="s">
        <v>3315</v>
      </c>
      <c r="G1711" s="73"/>
      <c r="H1711" s="374" t="s">
        <v>2477</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x14ac:dyDescent="0.35">
      <c r="A1712" s="45"/>
      <c r="B1712" s="54"/>
      <c r="C1712" s="47">
        <f t="shared" si="393"/>
        <v>4</v>
      </c>
      <c r="D1712" s="73"/>
      <c r="E1712" s="70"/>
      <c r="F1712" s="70" t="s">
        <v>3316</v>
      </c>
      <c r="G1712" s="73"/>
      <c r="H1712" s="374" t="s">
        <v>2735</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2" collapsed="1" x14ac:dyDescent="0.35">
      <c r="A1713" s="45"/>
      <c r="B1713" s="54"/>
      <c r="C1713" s="47">
        <f t="shared" si="393"/>
        <v>4</v>
      </c>
      <c r="D1713" s="73"/>
      <c r="E1713" s="70"/>
      <c r="F1713" s="70" t="s">
        <v>3317</v>
      </c>
      <c r="G1713" s="73"/>
      <c r="H1713" s="374" t="s">
        <v>2479</v>
      </c>
      <c r="I1713" s="76"/>
      <c r="J1713" s="76"/>
      <c r="K1713" s="76"/>
      <c r="L1713" s="76"/>
      <c r="M1713" s="76"/>
      <c r="N1713" s="76"/>
      <c r="O1713" s="76"/>
      <c r="P1713" s="76"/>
      <c r="Q1713" s="76"/>
      <c r="R1713" s="76"/>
      <c r="S1713" s="76"/>
      <c r="T1713" s="76"/>
      <c r="U1713" s="97">
        <v>-3.7749999999999999E-2</v>
      </c>
      <c r="V1713" s="255">
        <f>U1713</f>
        <v>-3.7749999999999999E-2</v>
      </c>
      <c r="W1713" s="255">
        <f>U1713</f>
        <v>-3.7749999999999999E-2</v>
      </c>
      <c r="X1713" s="255">
        <f>V1713</f>
        <v>-3.7749999999999999E-2</v>
      </c>
      <c r="Y1713" s="255">
        <f>V1713</f>
        <v>-3.7749999999999999E-2</v>
      </c>
      <c r="Z1713" s="255">
        <f>AA1713</f>
        <v>-2.775E-2</v>
      </c>
      <c r="AA1713" s="97">
        <v>-2.775E-2</v>
      </c>
      <c r="AB1713" s="255">
        <f>AA1713</f>
        <v>-2.775E-2</v>
      </c>
      <c r="AC1713" s="255">
        <f>AB1713</f>
        <v>-2.775E-2</v>
      </c>
      <c r="AD1713" s="255">
        <f>AC1713</f>
        <v>-2.775E-2</v>
      </c>
      <c r="AE1713" s="76"/>
      <c r="AF1713" s="76"/>
      <c r="AG1713" s="76"/>
      <c r="AH1713" s="97">
        <v>1</v>
      </c>
      <c r="AI1713" s="97">
        <v>1</v>
      </c>
      <c r="AJ1713" s="73"/>
      <c r="AK1713" s="57"/>
      <c r="AL1713" s="45"/>
      <c r="AM1713" s="45"/>
      <c r="AN1713" s="45"/>
    </row>
    <row r="1714" spans="1:40" hidden="1" outlineLevel="3" x14ac:dyDescent="0.35">
      <c r="A1714" s="45"/>
      <c r="B1714" s="54"/>
      <c r="C1714" s="47">
        <f t="shared" si="393"/>
        <v>4</v>
      </c>
      <c r="D1714" s="73"/>
      <c r="E1714" s="70"/>
      <c r="F1714" s="70" t="s">
        <v>3318</v>
      </c>
      <c r="G1714" s="73"/>
      <c r="H1714" s="373" t="s">
        <v>2736</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35">
      <c r="A1715" s="45"/>
      <c r="B1715" s="54"/>
      <c r="C1715" s="47">
        <f t="shared" si="393"/>
        <v>4</v>
      </c>
      <c r="D1715" s="73"/>
      <c r="E1715" s="70"/>
      <c r="F1715" s="70" t="s">
        <v>3319</v>
      </c>
      <c r="G1715" s="73"/>
      <c r="H1715" s="374" t="s">
        <v>2731</v>
      </c>
      <c r="I1715" s="96"/>
      <c r="J1715" s="76"/>
      <c r="K1715" s="76"/>
      <c r="L1715" s="76"/>
      <c r="M1715" s="76"/>
      <c r="N1715" s="76"/>
      <c r="O1715" s="76"/>
      <c r="P1715" s="76"/>
      <c r="Q1715" s="76"/>
      <c r="R1715" s="76"/>
      <c r="S1715" s="76"/>
      <c r="T1715" s="76"/>
      <c r="U1715" s="97">
        <v>0.05</v>
      </c>
      <c r="V1715" s="255">
        <f>U1715</f>
        <v>0.05</v>
      </c>
      <c r="W1715" s="255">
        <f t="shared" ref="W1715:X1724" si="394">U1715</f>
        <v>0.05</v>
      </c>
      <c r="X1715" s="255">
        <f t="shared" si="394"/>
        <v>0.05</v>
      </c>
      <c r="Y1715" s="255">
        <f>V1715</f>
        <v>0.05</v>
      </c>
      <c r="Z1715" s="255">
        <f>AA1715</f>
        <v>0</v>
      </c>
      <c r="AA1715" s="97">
        <v>0</v>
      </c>
      <c r="AB1715" s="255">
        <f t="shared" ref="AB1715:AD1724" si="395">AA1715</f>
        <v>0</v>
      </c>
      <c r="AC1715" s="255">
        <f t="shared" si="395"/>
        <v>0</v>
      </c>
      <c r="AD1715" s="255">
        <f t="shared" si="395"/>
        <v>0</v>
      </c>
      <c r="AE1715" s="76"/>
      <c r="AF1715" s="76"/>
      <c r="AG1715" s="76"/>
      <c r="AH1715" s="76">
        <v>1</v>
      </c>
      <c r="AI1715" s="76">
        <v>1</v>
      </c>
      <c r="AJ1715" s="73"/>
      <c r="AK1715" s="57"/>
      <c r="AL1715" s="45"/>
      <c r="AM1715" s="45"/>
      <c r="AN1715" s="45"/>
    </row>
    <row r="1716" spans="1:40" outlineLevel="2" x14ac:dyDescent="0.35">
      <c r="A1716" s="45"/>
      <c r="B1716" s="54"/>
      <c r="C1716" s="47">
        <f t="shared" si="393"/>
        <v>4</v>
      </c>
      <c r="D1716" s="73"/>
      <c r="E1716" s="70"/>
      <c r="F1716" s="70" t="s">
        <v>3320</v>
      </c>
      <c r="G1716" s="73"/>
      <c r="H1716" s="374" t="s">
        <v>2787</v>
      </c>
      <c r="I1716" s="96"/>
      <c r="J1716" s="76"/>
      <c r="K1716" s="76"/>
      <c r="L1716" s="76"/>
      <c r="M1716" s="76"/>
      <c r="N1716" s="76"/>
      <c r="O1716" s="76"/>
      <c r="P1716" s="76"/>
      <c r="Q1716" s="76"/>
      <c r="R1716" s="76"/>
      <c r="S1716" s="76"/>
      <c r="T1716" s="76"/>
      <c r="U1716" s="97">
        <v>-9.3500000000000007E-3</v>
      </c>
      <c r="V1716" s="255">
        <f>U1716</f>
        <v>-9.3500000000000007E-3</v>
      </c>
      <c r="W1716" s="255">
        <f t="shared" si="394"/>
        <v>-9.3500000000000007E-3</v>
      </c>
      <c r="X1716" s="255">
        <f t="shared" si="394"/>
        <v>-9.3500000000000007E-3</v>
      </c>
      <c r="Y1716" s="255">
        <f>V1716</f>
        <v>-9.3500000000000007E-3</v>
      </c>
      <c r="Z1716" s="255">
        <f>AA1716</f>
        <v>-9.3500000000000007E-3</v>
      </c>
      <c r="AA1716" s="97">
        <v>-9.3500000000000007E-3</v>
      </c>
      <c r="AB1716" s="255">
        <f t="shared" si="395"/>
        <v>-9.3500000000000007E-3</v>
      </c>
      <c r="AC1716" s="255">
        <f t="shared" si="395"/>
        <v>-9.3500000000000007E-3</v>
      </c>
      <c r="AD1716" s="255">
        <f t="shared" si="395"/>
        <v>-9.3500000000000007E-3</v>
      </c>
      <c r="AE1716" s="76"/>
      <c r="AF1716" s="76"/>
      <c r="AG1716" s="76"/>
      <c r="AH1716" s="76">
        <v>1</v>
      </c>
      <c r="AI1716" s="76">
        <v>1</v>
      </c>
      <c r="AJ1716" s="73"/>
      <c r="AK1716" s="57"/>
      <c r="AL1716" s="45"/>
      <c r="AM1716" s="45"/>
      <c r="AN1716" s="45"/>
    </row>
    <row r="1717" spans="1:40" outlineLevel="2" x14ac:dyDescent="0.35">
      <c r="A1717" s="45"/>
      <c r="B1717" s="54"/>
      <c r="C1717" s="47">
        <f t="shared" si="393"/>
        <v>4</v>
      </c>
      <c r="D1717" s="73"/>
      <c r="E1717" s="70"/>
      <c r="F1717" s="70" t="s">
        <v>3321</v>
      </c>
      <c r="G1717" s="73"/>
      <c r="H1717" s="374" t="s">
        <v>2786</v>
      </c>
      <c r="I1717" s="96"/>
      <c r="J1717" s="76"/>
      <c r="K1717" s="76"/>
      <c r="L1717" s="76"/>
      <c r="M1717" s="76"/>
      <c r="N1717" s="76"/>
      <c r="O1717" s="76"/>
      <c r="P1717" s="76"/>
      <c r="Q1717" s="76"/>
      <c r="R1717" s="76"/>
      <c r="S1717" s="76"/>
      <c r="T1717" s="76"/>
      <c r="U1717" s="97">
        <v>-7.0369200000000003E-3</v>
      </c>
      <c r="V1717" s="255">
        <f>U1717</f>
        <v>-7.0369200000000003E-3</v>
      </c>
      <c r="W1717" s="255">
        <f t="shared" si="394"/>
        <v>-7.0369200000000003E-3</v>
      </c>
      <c r="X1717" s="255">
        <f t="shared" si="394"/>
        <v>-7.0369200000000003E-3</v>
      </c>
      <c r="Y1717" s="255">
        <f>V1717</f>
        <v>-7.0369200000000003E-3</v>
      </c>
      <c r="Z1717" s="255">
        <f>AA1717</f>
        <v>-7.0369200000000003E-3</v>
      </c>
      <c r="AA1717" s="97">
        <v>-7.0369200000000003E-3</v>
      </c>
      <c r="AB1717" s="255">
        <f t="shared" si="395"/>
        <v>-7.0369200000000003E-3</v>
      </c>
      <c r="AC1717" s="255">
        <f t="shared" si="395"/>
        <v>-7.0369200000000003E-3</v>
      </c>
      <c r="AD1717" s="255">
        <f t="shared" si="395"/>
        <v>-7.0369200000000003E-3</v>
      </c>
      <c r="AE1717" s="76"/>
      <c r="AF1717" s="76"/>
      <c r="AG1717" s="76"/>
      <c r="AH1717" s="76">
        <v>1</v>
      </c>
      <c r="AI1717" s="76">
        <v>1</v>
      </c>
      <c r="AJ1717" s="73"/>
      <c r="AK1717" s="57"/>
      <c r="AL1717" s="45"/>
      <c r="AM1717" s="45"/>
      <c r="AN1717" s="45"/>
    </row>
    <row r="1718" spans="1:40" outlineLevel="2" collapsed="1" x14ac:dyDescent="0.35">
      <c r="A1718" s="45"/>
      <c r="B1718" s="54"/>
      <c r="C1718" s="47">
        <f t="shared" si="393"/>
        <v>4</v>
      </c>
      <c r="D1718" s="73"/>
      <c r="E1718" s="70"/>
      <c r="F1718" s="70" t="s">
        <v>3322</v>
      </c>
      <c r="G1718" s="73"/>
      <c r="H1718" s="374" t="s">
        <v>2737</v>
      </c>
      <c r="I1718" s="96"/>
      <c r="J1718" s="76"/>
      <c r="K1718" s="76"/>
      <c r="L1718" s="76"/>
      <c r="M1718" s="76"/>
      <c r="N1718" s="76"/>
      <c r="O1718" s="76"/>
      <c r="P1718" s="76"/>
      <c r="Q1718" s="76"/>
      <c r="R1718" s="76"/>
      <c r="S1718" s="76"/>
      <c r="T1718" s="76"/>
      <c r="U1718" s="97">
        <v>7.4569999999999999E-5</v>
      </c>
      <c r="V1718" s="255">
        <f>U1718</f>
        <v>7.4569999999999999E-5</v>
      </c>
      <c r="W1718" s="255">
        <f t="shared" si="394"/>
        <v>7.4569999999999999E-5</v>
      </c>
      <c r="X1718" s="255">
        <f t="shared" si="394"/>
        <v>7.4569999999999999E-5</v>
      </c>
      <c r="Y1718" s="255">
        <f>V1718</f>
        <v>7.4569999999999999E-5</v>
      </c>
      <c r="Z1718" s="255">
        <f>AA1718</f>
        <v>7.4569999999999999E-5</v>
      </c>
      <c r="AA1718" s="97">
        <v>7.4569999999999999E-5</v>
      </c>
      <c r="AB1718" s="255">
        <f t="shared" si="395"/>
        <v>7.4569999999999999E-5</v>
      </c>
      <c r="AC1718" s="255">
        <f t="shared" si="395"/>
        <v>7.4569999999999999E-5</v>
      </c>
      <c r="AD1718" s="255">
        <f t="shared" si="395"/>
        <v>7.4569999999999999E-5</v>
      </c>
      <c r="AE1718" s="76"/>
      <c r="AF1718" s="76"/>
      <c r="AG1718" s="76"/>
      <c r="AH1718" s="76">
        <v>1</v>
      </c>
      <c r="AI1718" s="76">
        <v>1</v>
      </c>
      <c r="AJ1718" s="73"/>
      <c r="AK1718" s="57"/>
      <c r="AL1718" s="45"/>
      <c r="AM1718" s="45"/>
      <c r="AN1718" s="45"/>
    </row>
    <row r="1719" spans="1:40" hidden="1" outlineLevel="3" x14ac:dyDescent="0.35">
      <c r="A1719" s="45"/>
      <c r="B1719" s="54"/>
      <c r="C1719" s="47">
        <f t="shared" si="393"/>
        <v>4</v>
      </c>
      <c r="D1719" s="73"/>
      <c r="E1719" s="70"/>
      <c r="F1719" s="70" t="s">
        <v>3333</v>
      </c>
      <c r="G1719" s="73"/>
      <c r="H1719" s="374" t="s">
        <v>3336</v>
      </c>
      <c r="I1719" s="96"/>
      <c r="J1719" s="76"/>
      <c r="K1719" s="76"/>
      <c r="L1719" s="76"/>
      <c r="M1719" s="76"/>
      <c r="N1719" s="76"/>
      <c r="O1719" s="76"/>
      <c r="P1719" s="76"/>
      <c r="Q1719" s="76"/>
      <c r="R1719" s="76"/>
      <c r="S1719" s="76"/>
      <c r="T1719" s="76"/>
      <c r="U1719" s="97">
        <v>0</v>
      </c>
      <c r="V1719" s="97">
        <v>0</v>
      </c>
      <c r="W1719" s="97">
        <v>0</v>
      </c>
      <c r="X1719" s="97">
        <v>0</v>
      </c>
      <c r="Y1719" s="97">
        <v>0</v>
      </c>
      <c r="Z1719" s="97">
        <v>0</v>
      </c>
      <c r="AA1719" s="97">
        <v>0</v>
      </c>
      <c r="AB1719" s="97">
        <v>0</v>
      </c>
      <c r="AC1719" s="97">
        <v>0</v>
      </c>
      <c r="AD1719" s="97">
        <v>0</v>
      </c>
      <c r="AE1719" s="76"/>
      <c r="AF1719" s="76"/>
      <c r="AG1719" s="76"/>
      <c r="AH1719" s="76">
        <v>1</v>
      </c>
      <c r="AI1719" s="76">
        <v>1</v>
      </c>
      <c r="AJ1719" s="73"/>
      <c r="AK1719" s="57"/>
      <c r="AL1719" s="45"/>
      <c r="AM1719" s="45"/>
      <c r="AN1719" s="45"/>
    </row>
    <row r="1720" spans="1:40" hidden="1" outlineLevel="3" x14ac:dyDescent="0.35">
      <c r="A1720" s="45"/>
      <c r="B1720" s="54"/>
      <c r="C1720" s="47">
        <f t="shared" si="393"/>
        <v>4</v>
      </c>
      <c r="D1720" s="73"/>
      <c r="E1720" s="70"/>
      <c r="F1720" s="70" t="s">
        <v>3334</v>
      </c>
      <c r="G1720" s="73"/>
      <c r="H1720" s="374" t="s">
        <v>3335</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outlineLevel="2" x14ac:dyDescent="0.35">
      <c r="A1721" s="45"/>
      <c r="B1721" s="54"/>
      <c r="C1721" s="47">
        <f>INT($C$29)+2</f>
        <v>3</v>
      </c>
      <c r="D1721" s="73"/>
      <c r="E1721" s="70"/>
      <c r="F1721" s="70" t="s">
        <v>3323</v>
      </c>
      <c r="G1721" s="73"/>
      <c r="H1721" s="76" t="s">
        <v>2480</v>
      </c>
      <c r="I1721" s="76"/>
      <c r="J1721" s="76"/>
      <c r="K1721" s="155"/>
      <c r="L1721" s="76"/>
      <c r="M1721" s="76"/>
      <c r="N1721" s="76"/>
      <c r="O1721" s="76"/>
      <c r="P1721" s="76"/>
      <c r="Q1721" s="76"/>
      <c r="R1721" s="76"/>
      <c r="S1721" s="76"/>
      <c r="T1721" s="76"/>
      <c r="U1721" s="97">
        <v>-1.8110552</v>
      </c>
      <c r="V1721" s="255">
        <f>U1721</f>
        <v>-1.8110552</v>
      </c>
      <c r="W1721" s="255">
        <f t="shared" si="394"/>
        <v>-1.8110552</v>
      </c>
      <c r="X1721" s="255">
        <f t="shared" si="394"/>
        <v>-1.8110552</v>
      </c>
      <c r="Y1721" s="255">
        <f>V1721</f>
        <v>-1.8110552</v>
      </c>
      <c r="Z1721" s="255">
        <f>AA1721</f>
        <v>-0.49941732500000002</v>
      </c>
      <c r="AA1721" s="97">
        <v>-0.49941732500000002</v>
      </c>
      <c r="AB1721" s="255">
        <f t="shared" si="395"/>
        <v>-0.49941732500000002</v>
      </c>
      <c r="AC1721" s="255">
        <f t="shared" si="395"/>
        <v>-0.49941732500000002</v>
      </c>
      <c r="AD1721" s="255">
        <f t="shared" si="395"/>
        <v>-0.49941732500000002</v>
      </c>
      <c r="AE1721" s="76"/>
      <c r="AF1721" s="76"/>
      <c r="AG1721" s="76"/>
      <c r="AH1721" s="97">
        <v>1</v>
      </c>
      <c r="AI1721" s="97">
        <v>1</v>
      </c>
      <c r="AJ1721" s="73"/>
      <c r="AK1721" s="57"/>
      <c r="AL1721" s="45"/>
      <c r="AM1721" s="45"/>
      <c r="AN1721" s="45"/>
    </row>
    <row r="1722" spans="1:40" outlineLevel="2" x14ac:dyDescent="0.35">
      <c r="A1722" s="45"/>
      <c r="B1722" s="54"/>
      <c r="C1722" s="47">
        <f>INT($C$29)+2</f>
        <v>3</v>
      </c>
      <c r="D1722" s="73"/>
      <c r="E1722" s="70"/>
      <c r="F1722" s="70" t="s">
        <v>3355</v>
      </c>
      <c r="G1722" s="73"/>
      <c r="H1722" s="76" t="s">
        <v>3364</v>
      </c>
      <c r="I1722" s="76"/>
      <c r="J1722" s="76"/>
      <c r="K1722" s="76"/>
      <c r="L1722" s="76"/>
      <c r="M1722" s="76"/>
      <c r="N1722" s="76"/>
      <c r="O1722" s="76"/>
      <c r="P1722" s="76"/>
      <c r="Q1722" s="76"/>
      <c r="R1722" s="76"/>
      <c r="S1722" s="76"/>
      <c r="T1722" s="76"/>
      <c r="U1722" s="97">
        <v>-1.0469999999999999</v>
      </c>
      <c r="V1722" s="255">
        <f>U1722</f>
        <v>-1.0469999999999999</v>
      </c>
      <c r="W1722" s="255">
        <f t="shared" si="394"/>
        <v>-1.0469999999999999</v>
      </c>
      <c r="X1722" s="255">
        <f t="shared" si="394"/>
        <v>-1.0469999999999999</v>
      </c>
      <c r="Y1722" s="255">
        <f>V1722</f>
        <v>-1.0469999999999999</v>
      </c>
      <c r="Z1722" s="255">
        <f>AA1722</f>
        <v>-1.0469999999999999</v>
      </c>
      <c r="AA1722" s="97">
        <f>U1722</f>
        <v>-1.0469999999999999</v>
      </c>
      <c r="AB1722" s="255">
        <f t="shared" si="395"/>
        <v>-1.0469999999999999</v>
      </c>
      <c r="AC1722" s="255">
        <f t="shared" si="395"/>
        <v>-1.0469999999999999</v>
      </c>
      <c r="AD1722" s="255">
        <f t="shared" si="395"/>
        <v>-1.0469999999999999</v>
      </c>
      <c r="AE1722" s="76"/>
      <c r="AF1722" s="97" t="s">
        <v>3608</v>
      </c>
      <c r="AG1722" s="76"/>
      <c r="AH1722" s="76">
        <v>1</v>
      </c>
      <c r="AI1722" s="76">
        <v>1</v>
      </c>
      <c r="AJ1722" s="73"/>
      <c r="AK1722" s="57"/>
      <c r="AL1722" s="45"/>
      <c r="AM1722" s="45"/>
      <c r="AN1722" s="45"/>
    </row>
    <row r="1723" spans="1:40" outlineLevel="2" x14ac:dyDescent="0.35">
      <c r="A1723" s="45"/>
      <c r="B1723" s="54"/>
      <c r="C1723" s="47">
        <f>INT($C$29)+2</f>
        <v>3</v>
      </c>
      <c r="D1723" s="73"/>
      <c r="E1723" s="70"/>
      <c r="F1723" s="70" t="s">
        <v>3356</v>
      </c>
      <c r="G1723" s="73"/>
      <c r="H1723" s="76" t="s">
        <v>3365</v>
      </c>
      <c r="I1723" s="76"/>
      <c r="J1723" s="76"/>
      <c r="K1723" s="76"/>
      <c r="L1723" s="76"/>
      <c r="M1723" s="76"/>
      <c r="N1723" s="76"/>
      <c r="O1723" s="76"/>
      <c r="P1723" s="76"/>
      <c r="Q1723" s="76"/>
      <c r="R1723" s="76"/>
      <c r="S1723" s="76"/>
      <c r="T1723" s="76"/>
      <c r="U1723" s="97">
        <v>7.5389999999999997E-3</v>
      </c>
      <c r="V1723" s="255">
        <f>U1723</f>
        <v>7.5389999999999997E-3</v>
      </c>
      <c r="W1723" s="255">
        <f t="shared" si="394"/>
        <v>7.5389999999999997E-3</v>
      </c>
      <c r="X1723" s="255">
        <f t="shared" si="394"/>
        <v>7.5389999999999997E-3</v>
      </c>
      <c r="Y1723" s="255">
        <f>V1723</f>
        <v>7.5389999999999997E-3</v>
      </c>
      <c r="Z1723" s="255">
        <f>AA1723</f>
        <v>7.5389999999999997E-3</v>
      </c>
      <c r="AA1723" s="97">
        <f t="shared" ref="AA1723:AA1725" si="396">U1723</f>
        <v>7.5389999999999997E-3</v>
      </c>
      <c r="AB1723" s="255">
        <f t="shared" si="395"/>
        <v>7.5389999999999997E-3</v>
      </c>
      <c r="AC1723" s="255">
        <f t="shared" si="395"/>
        <v>7.5389999999999997E-3</v>
      </c>
      <c r="AD1723" s="255">
        <f t="shared" si="395"/>
        <v>7.5389999999999997E-3</v>
      </c>
      <c r="AE1723" s="76"/>
      <c r="AF1723" s="97" t="s">
        <v>3366</v>
      </c>
      <c r="AG1723" s="76"/>
      <c r="AH1723" s="76">
        <v>1</v>
      </c>
      <c r="AI1723" s="76">
        <v>1</v>
      </c>
      <c r="AJ1723" s="73"/>
      <c r="AK1723" s="57"/>
      <c r="AL1723" s="45"/>
      <c r="AM1723" s="45"/>
      <c r="AN1723" s="45"/>
    </row>
    <row r="1724" spans="1:40" outlineLevel="2" x14ac:dyDescent="0.35">
      <c r="A1724" s="45"/>
      <c r="B1724" s="54"/>
      <c r="C1724" s="47">
        <f t="shared" ref="C1724:C1735" si="397">INT($C$29)+3</f>
        <v>4</v>
      </c>
      <c r="D1724" s="73"/>
      <c r="E1724" s="70"/>
      <c r="F1724" s="70" t="s">
        <v>3357</v>
      </c>
      <c r="G1724" s="73"/>
      <c r="H1724" s="76" t="s">
        <v>3604</v>
      </c>
      <c r="I1724" s="76"/>
      <c r="J1724" s="76"/>
      <c r="K1724" s="76"/>
      <c r="L1724" s="76"/>
      <c r="M1724" s="76"/>
      <c r="N1724" s="76"/>
      <c r="O1724" s="76"/>
      <c r="P1724" s="76"/>
      <c r="Q1724" s="76"/>
      <c r="R1724" s="76"/>
      <c r="S1724" s="76"/>
      <c r="T1724" s="76"/>
      <c r="U1724" s="97">
        <v>0.24360000000000001</v>
      </c>
      <c r="V1724" s="255">
        <f>U1724</f>
        <v>0.24360000000000001</v>
      </c>
      <c r="W1724" s="255">
        <f t="shared" si="394"/>
        <v>0.24360000000000001</v>
      </c>
      <c r="X1724" s="255">
        <f t="shared" si="394"/>
        <v>0.24360000000000001</v>
      </c>
      <c r="Y1724" s="255">
        <f>V1724</f>
        <v>0.24360000000000001</v>
      </c>
      <c r="Z1724" s="255">
        <f>AA1724</f>
        <v>0.24360000000000001</v>
      </c>
      <c r="AA1724" s="97">
        <f t="shared" si="396"/>
        <v>0.24360000000000001</v>
      </c>
      <c r="AB1724" s="255">
        <f t="shared" si="395"/>
        <v>0.24360000000000001</v>
      </c>
      <c r="AC1724" s="255">
        <f t="shared" si="395"/>
        <v>0.24360000000000001</v>
      </c>
      <c r="AD1724" s="255">
        <f t="shared" si="395"/>
        <v>0.24360000000000001</v>
      </c>
      <c r="AE1724" s="76"/>
      <c r="AF1724" s="97" t="s">
        <v>3367</v>
      </c>
      <c r="AG1724" s="76"/>
      <c r="AH1724" s="97">
        <v>1</v>
      </c>
      <c r="AI1724" s="97">
        <v>1</v>
      </c>
      <c r="AJ1724" s="73"/>
      <c r="AK1724" s="57"/>
      <c r="AL1724" s="45"/>
      <c r="AM1724" s="45"/>
      <c r="AN1724" s="45"/>
    </row>
    <row r="1725" spans="1:40" outlineLevel="2" collapsed="1" x14ac:dyDescent="0.35">
      <c r="A1725" s="45"/>
      <c r="B1725" s="54"/>
      <c r="C1725" s="47">
        <f t="shared" si="397"/>
        <v>4</v>
      </c>
      <c r="D1725" s="73"/>
      <c r="E1725" s="70"/>
      <c r="F1725" s="70" t="s">
        <v>3358</v>
      </c>
      <c r="G1725" s="73"/>
      <c r="H1725" s="76" t="s">
        <v>3605</v>
      </c>
      <c r="I1725" s="76"/>
      <c r="J1725" s="76"/>
      <c r="K1725" s="76"/>
      <c r="L1725" s="76"/>
      <c r="M1725" s="76"/>
      <c r="N1725" s="76"/>
      <c r="O1725" s="76"/>
      <c r="P1725" s="76"/>
      <c r="Q1725" s="76"/>
      <c r="R1725" s="76"/>
      <c r="S1725" s="76"/>
      <c r="T1725" s="76"/>
      <c r="U1725" s="97"/>
      <c r="V1725" s="255">
        <f t="shared" ref="V1725" si="398">U1725</f>
        <v>0</v>
      </c>
      <c r="W1725" s="255">
        <f t="shared" ref="W1725:W1726" si="399">U1725</f>
        <v>0</v>
      </c>
      <c r="X1725" s="255">
        <f t="shared" ref="X1725:X1726" si="400">V1725</f>
        <v>0</v>
      </c>
      <c r="Y1725" s="255">
        <f t="shared" ref="Y1725" si="401">V1725</f>
        <v>0</v>
      </c>
      <c r="Z1725" s="255">
        <f t="shared" ref="Z1725" si="402">AA1725</f>
        <v>0</v>
      </c>
      <c r="AA1725" s="97">
        <f t="shared" si="396"/>
        <v>0</v>
      </c>
      <c r="AB1725" s="255">
        <f t="shared" ref="AB1725:AB1726" si="403">AA1725</f>
        <v>0</v>
      </c>
      <c r="AC1725" s="255">
        <f t="shared" ref="AC1725:AC1726" si="404">AB1725</f>
        <v>0</v>
      </c>
      <c r="AD1725" s="255">
        <f t="shared" ref="AD1725:AD1726" si="405">AC1725</f>
        <v>0</v>
      </c>
      <c r="AE1725" s="76"/>
      <c r="AF1725" s="76"/>
      <c r="AG1725" s="76"/>
      <c r="AH1725" s="76">
        <v>1</v>
      </c>
      <c r="AI1725" s="76">
        <v>1</v>
      </c>
      <c r="AJ1725" s="73"/>
      <c r="AK1725" s="57"/>
      <c r="AL1725" s="45"/>
      <c r="AM1725" s="45"/>
      <c r="AN1725" s="45"/>
    </row>
    <row r="1726" spans="1:40" hidden="1" outlineLevel="3" x14ac:dyDescent="0.35">
      <c r="A1726" s="45"/>
      <c r="B1726" s="54"/>
      <c r="C1726" s="47">
        <f t="shared" si="397"/>
        <v>4</v>
      </c>
      <c r="D1726" s="73"/>
      <c r="E1726" s="70"/>
      <c r="F1726" s="70" t="s">
        <v>3359</v>
      </c>
      <c r="G1726" s="73"/>
      <c r="H1726" s="76" t="s">
        <v>3606</v>
      </c>
      <c r="I1726" s="76"/>
      <c r="J1726" s="76"/>
      <c r="K1726" s="76"/>
      <c r="L1726" s="76"/>
      <c r="M1726" s="76"/>
      <c r="N1726" s="76"/>
      <c r="O1726" s="76"/>
      <c r="P1726" s="76"/>
      <c r="Q1726" s="76"/>
      <c r="R1726" s="76"/>
      <c r="S1726" s="76"/>
      <c r="T1726" s="76"/>
      <c r="U1726" s="97">
        <v>0.24360000000000001</v>
      </c>
      <c r="V1726" s="255">
        <f>U1726</f>
        <v>0.24360000000000001</v>
      </c>
      <c r="W1726" s="255">
        <f t="shared" si="399"/>
        <v>0.24360000000000001</v>
      </c>
      <c r="X1726" s="255">
        <f t="shared" si="400"/>
        <v>0.24360000000000001</v>
      </c>
      <c r="Y1726" s="255">
        <f>V1726</f>
        <v>0.24360000000000001</v>
      </c>
      <c r="Z1726" s="255">
        <f>AA1726</f>
        <v>0.24360000000000001</v>
      </c>
      <c r="AA1726" s="97">
        <f t="shared" ref="AA1726:AA1727" si="406">U1726</f>
        <v>0.24360000000000001</v>
      </c>
      <c r="AB1726" s="255">
        <f t="shared" si="403"/>
        <v>0.24360000000000001</v>
      </c>
      <c r="AC1726" s="255">
        <f t="shared" si="404"/>
        <v>0.24360000000000001</v>
      </c>
      <c r="AD1726" s="255">
        <f t="shared" si="405"/>
        <v>0.24360000000000001</v>
      </c>
      <c r="AE1726" s="76"/>
      <c r="AF1726" s="76"/>
      <c r="AG1726" s="76"/>
      <c r="AH1726" s="97">
        <v>1</v>
      </c>
      <c r="AI1726" s="97">
        <v>1</v>
      </c>
      <c r="AJ1726" s="73"/>
      <c r="AK1726" s="57"/>
      <c r="AL1726" s="45"/>
      <c r="AM1726" s="45"/>
      <c r="AN1726" s="45"/>
    </row>
    <row r="1727" spans="1:40" hidden="1" outlineLevel="3" x14ac:dyDescent="0.35">
      <c r="A1727" s="45"/>
      <c r="B1727" s="54"/>
      <c r="C1727" s="47">
        <f t="shared" si="397"/>
        <v>4</v>
      </c>
      <c r="D1727" s="73"/>
      <c r="E1727" s="70"/>
      <c r="F1727" s="70" t="s">
        <v>3360</v>
      </c>
      <c r="G1727" s="73"/>
      <c r="H1727" s="76" t="s">
        <v>3607</v>
      </c>
      <c r="I1727" s="76"/>
      <c r="J1727" s="76"/>
      <c r="K1727" s="76"/>
      <c r="L1727" s="76"/>
      <c r="M1727" s="76"/>
      <c r="N1727" s="76"/>
      <c r="O1727" s="76"/>
      <c r="P1727" s="76"/>
      <c r="Q1727" s="76"/>
      <c r="R1727" s="76"/>
      <c r="S1727" s="76"/>
      <c r="T1727" s="76"/>
      <c r="U1727" s="97"/>
      <c r="V1727" s="255">
        <f t="shared" ref="V1727" si="407">U1727</f>
        <v>0</v>
      </c>
      <c r="W1727" s="255">
        <f t="shared" ref="W1727" si="408">U1727</f>
        <v>0</v>
      </c>
      <c r="X1727" s="255">
        <f t="shared" ref="X1727" si="409">V1727</f>
        <v>0</v>
      </c>
      <c r="Y1727" s="255">
        <f t="shared" ref="Y1727" si="410">V1727</f>
        <v>0</v>
      </c>
      <c r="Z1727" s="255">
        <f t="shared" ref="Z1727" si="411">AA1727</f>
        <v>0</v>
      </c>
      <c r="AA1727" s="97">
        <f t="shared" si="406"/>
        <v>0</v>
      </c>
      <c r="AB1727" s="255">
        <f t="shared" ref="AB1727" si="412">AA1727</f>
        <v>0</v>
      </c>
      <c r="AC1727" s="255">
        <f t="shared" ref="AC1727" si="413">AB1727</f>
        <v>0</v>
      </c>
      <c r="AD1727" s="255">
        <f t="shared" ref="AD1727" si="414">AC1727</f>
        <v>0</v>
      </c>
      <c r="AE1727" s="76"/>
      <c r="AF1727" s="76"/>
      <c r="AG1727" s="76"/>
      <c r="AH1727" s="76">
        <v>1</v>
      </c>
      <c r="AI1727" s="76">
        <v>1</v>
      </c>
      <c r="AJ1727" s="73"/>
      <c r="AK1727" s="57"/>
      <c r="AL1727" s="45"/>
      <c r="AM1727" s="45"/>
      <c r="AN1727" s="45"/>
    </row>
    <row r="1728" spans="1:40" hidden="1" outlineLevel="3" x14ac:dyDescent="0.35">
      <c r="A1728" s="45"/>
      <c r="B1728" s="54"/>
      <c r="C1728" s="47">
        <f t="shared" si="397"/>
        <v>4</v>
      </c>
      <c r="D1728" s="73"/>
      <c r="E1728" s="70"/>
      <c r="F1728" s="70" t="s">
        <v>3361</v>
      </c>
      <c r="G1728" s="73"/>
      <c r="H1728" s="373" t="s">
        <v>3368</v>
      </c>
      <c r="I1728" s="76"/>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35">
      <c r="A1729" s="45"/>
      <c r="B1729" s="54"/>
      <c r="C1729" s="47">
        <f t="shared" si="397"/>
        <v>4</v>
      </c>
      <c r="D1729" s="73"/>
      <c r="E1729" s="70"/>
      <c r="F1729" s="70" t="s">
        <v>3362</v>
      </c>
      <c r="G1729" s="73"/>
      <c r="H1729" s="373" t="s">
        <v>3369</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35">
      <c r="A1730" s="45"/>
      <c r="B1730" s="54"/>
      <c r="C1730" s="47">
        <f t="shared" si="397"/>
        <v>4</v>
      </c>
      <c r="D1730" s="73"/>
      <c r="E1730" s="70"/>
      <c r="F1730" s="70" t="str">
        <f>SUBSTITUTE(F1726,",4)",",8)")</f>
        <v>C(U2,27,8)</v>
      </c>
      <c r="G1730" s="73"/>
      <c r="H1730" s="373" t="s">
        <v>3370</v>
      </c>
      <c r="I1730" s="9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35">
      <c r="A1731" s="45"/>
      <c r="B1731" s="54"/>
      <c r="C1731" s="47">
        <f t="shared" si="397"/>
        <v>4</v>
      </c>
      <c r="D1731" s="73"/>
      <c r="E1731" s="70"/>
      <c r="F1731" s="70" t="str">
        <f>SUBSTITUTE(F1727,",5)",",9)")</f>
        <v>C(U2,27,9)</v>
      </c>
      <c r="G1731" s="73"/>
      <c r="H1731" s="373" t="s">
        <v>3371</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35">
      <c r="A1732" s="45"/>
      <c r="B1732" s="54"/>
      <c r="C1732" s="47">
        <f t="shared" si="397"/>
        <v>4</v>
      </c>
      <c r="D1732" s="73"/>
      <c r="E1732" s="70"/>
      <c r="F1732" s="70" t="str">
        <f>SUBSTITUTE(F1728,",6)",",10)")</f>
        <v>C(U2,27,10)</v>
      </c>
      <c r="G1732" s="73"/>
      <c r="H1732" s="373" t="s">
        <v>3372</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collapsed="1" x14ac:dyDescent="0.35">
      <c r="A1733" s="45"/>
      <c r="B1733" s="54"/>
      <c r="C1733" s="47">
        <f t="shared" si="397"/>
        <v>4</v>
      </c>
      <c r="D1733" s="73"/>
      <c r="E1733" s="70"/>
      <c r="F1733" s="70" t="str">
        <f>SUBSTITUTE(F1729,",7)",",11)")</f>
        <v>C(U2,27,11)</v>
      </c>
      <c r="G1733" s="73"/>
      <c r="H1733" s="373" t="s">
        <v>3373</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35">
      <c r="A1734" s="45"/>
      <c r="B1734" s="54"/>
      <c r="C1734" s="47">
        <f t="shared" si="397"/>
        <v>4</v>
      </c>
      <c r="D1734" s="73"/>
      <c r="E1734" s="70"/>
      <c r="F1734" s="70" t="str">
        <f>SUBSTITUTE(F1728,",6)",",12)")</f>
        <v>C(U2,27,12)</v>
      </c>
      <c r="G1734" s="73"/>
      <c r="H1734" s="373" t="s">
        <v>3374</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35">
      <c r="A1735" s="45"/>
      <c r="B1735" s="54"/>
      <c r="C1735" s="47">
        <f t="shared" si="397"/>
        <v>4</v>
      </c>
      <c r="D1735" s="73"/>
      <c r="E1735" s="70"/>
      <c r="F1735" s="70" t="str">
        <f>SUBSTITUTE(F1729,",7)",",13)")</f>
        <v>C(U2,27,13)</v>
      </c>
      <c r="G1735" s="73"/>
      <c r="H1735" s="373" t="s">
        <v>3375</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2" x14ac:dyDescent="0.35">
      <c r="A1736" s="45"/>
      <c r="B1736" s="54"/>
      <c r="C1736" s="47">
        <f>INT($C$29)+2</f>
        <v>3</v>
      </c>
      <c r="D1736" s="73"/>
      <c r="E1736" s="70"/>
      <c r="F1736" s="70" t="s">
        <v>3363</v>
      </c>
      <c r="G1736" s="73"/>
      <c r="H1736" s="76" t="s">
        <v>3376</v>
      </c>
      <c r="I1736" s="76"/>
      <c r="J1736" s="76"/>
      <c r="K1736" s="76"/>
      <c r="L1736" s="76"/>
      <c r="M1736" s="76"/>
      <c r="N1736" s="76"/>
      <c r="O1736" s="76"/>
      <c r="P1736" s="76"/>
      <c r="Q1736" s="76"/>
      <c r="R1736" s="76"/>
      <c r="S1736" s="76"/>
      <c r="T1736" s="76"/>
      <c r="U1736" s="97">
        <v>28.52</v>
      </c>
      <c r="V1736" s="255">
        <f t="shared" ref="V1736" si="415">U1736</f>
        <v>28.52</v>
      </c>
      <c r="W1736" s="255">
        <f t="shared" ref="W1736" si="416">U1736</f>
        <v>28.52</v>
      </c>
      <c r="X1736" s="255">
        <f t="shared" ref="X1736" si="417">V1736</f>
        <v>28.52</v>
      </c>
      <c r="Y1736" s="255">
        <f t="shared" ref="Y1736" si="418">V1736</f>
        <v>28.52</v>
      </c>
      <c r="Z1736" s="255">
        <f t="shared" ref="Z1736" si="419">AA1736</f>
        <v>28.52</v>
      </c>
      <c r="AA1736" s="97">
        <f>U1736</f>
        <v>28.52</v>
      </c>
      <c r="AB1736" s="255">
        <f t="shared" ref="AB1736" si="420">AA1736</f>
        <v>28.52</v>
      </c>
      <c r="AC1736" s="255">
        <f t="shared" ref="AC1736" si="421">AB1736</f>
        <v>28.52</v>
      </c>
      <c r="AD1736" s="255">
        <f t="shared" ref="AD1736" si="422">AC1736</f>
        <v>28.52</v>
      </c>
      <c r="AE1736" s="76"/>
      <c r="AF1736" s="97"/>
      <c r="AG1736" s="76"/>
      <c r="AH1736" s="97">
        <v>1</v>
      </c>
      <c r="AI1736" s="97">
        <v>1</v>
      </c>
      <c r="AJ1736" s="73"/>
      <c r="AK1736" s="57"/>
      <c r="AL1736" s="45"/>
      <c r="AM1736" s="45"/>
      <c r="AN1736" s="45"/>
    </row>
    <row r="1737" spans="1:40" outlineLevel="1" x14ac:dyDescent="0.35">
      <c r="A1737" s="45"/>
      <c r="B1737" s="54"/>
      <c r="C1737" s="47">
        <f>INT($C$29)+1</f>
        <v>2</v>
      </c>
      <c r="D1737" s="73"/>
      <c r="E1737" s="70"/>
      <c r="F1737" s="265" t="s">
        <v>1703</v>
      </c>
      <c r="G1737" s="73"/>
      <c r="H1737" s="267" t="s">
        <v>3752</v>
      </c>
      <c r="I1737" s="129"/>
      <c r="J1737" s="129" t="s">
        <v>1045</v>
      </c>
      <c r="K1737" s="76"/>
      <c r="L1737" s="76"/>
      <c r="M1737" s="76"/>
      <c r="N1737" s="76"/>
      <c r="O1737" s="76"/>
      <c r="P1737" s="76"/>
      <c r="Q1737" s="76"/>
      <c r="R1737" s="76"/>
      <c r="S1737" s="76"/>
      <c r="T1737" s="76"/>
      <c r="U1737" s="79">
        <v>24</v>
      </c>
      <c r="V1737" s="79">
        <v>15</v>
      </c>
      <c r="W1737" s="79">
        <v>-15</v>
      </c>
      <c r="X1737" s="76"/>
      <c r="Y1737" s="76"/>
      <c r="Z1737" s="76"/>
      <c r="AA1737" s="76"/>
      <c r="AB1737" s="76"/>
      <c r="AC1737" s="76"/>
      <c r="AD1737" s="76"/>
      <c r="AE1737" s="76"/>
      <c r="AF1737" s="76"/>
      <c r="AG1737" s="76"/>
      <c r="AH1737" s="76"/>
      <c r="AI1737" s="76"/>
      <c r="AJ1737" s="73"/>
      <c r="AK1737" s="57"/>
      <c r="AL1737" s="45"/>
      <c r="AM1737" s="45"/>
      <c r="AN1737" s="45"/>
    </row>
    <row r="1738" spans="1:40" outlineLevel="2" collapsed="1" x14ac:dyDescent="0.35">
      <c r="A1738" s="45"/>
      <c r="B1738" s="54"/>
      <c r="C1738" s="47">
        <f t="shared" ref="C1738:C1757" si="423">INT($C$29)+3</f>
        <v>4</v>
      </c>
      <c r="D1738" s="73"/>
      <c r="E1738" s="70"/>
      <c r="F1738" s="70" t="s">
        <v>3523</v>
      </c>
      <c r="G1738" s="73"/>
      <c r="H1738" s="76" t="s">
        <v>3519</v>
      </c>
      <c r="I1738" s="96" t="s">
        <v>2330</v>
      </c>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35">
      <c r="A1739" s="45"/>
      <c r="B1739" s="54"/>
      <c r="C1739" s="47">
        <f t="shared" si="423"/>
        <v>4</v>
      </c>
      <c r="D1739" s="73"/>
      <c r="E1739" s="70"/>
      <c r="F1739" s="70" t="s">
        <v>3524</v>
      </c>
      <c r="G1739" s="73"/>
      <c r="H1739" s="76" t="s">
        <v>3507</v>
      </c>
      <c r="I1739" s="96" t="s">
        <v>2331</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35">
      <c r="A1740" s="45"/>
      <c r="B1740" s="54"/>
      <c r="C1740" s="47">
        <f t="shared" si="423"/>
        <v>4</v>
      </c>
      <c r="D1740" s="73"/>
      <c r="E1740" s="70"/>
      <c r="F1740" s="70" t="s">
        <v>3525</v>
      </c>
      <c r="G1740" s="73"/>
      <c r="H1740" s="76" t="s">
        <v>3514</v>
      </c>
      <c r="I1740" s="96" t="s">
        <v>2332</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35">
      <c r="A1741" s="45"/>
      <c r="B1741" s="54"/>
      <c r="C1741" s="47">
        <f t="shared" si="423"/>
        <v>4</v>
      </c>
      <c r="D1741" s="73"/>
      <c r="E1741" s="70"/>
      <c r="F1741" s="70" t="s">
        <v>3526</v>
      </c>
      <c r="G1741" s="73"/>
      <c r="H1741" s="76" t="s">
        <v>3508</v>
      </c>
      <c r="I1741" s="96" t="s">
        <v>2366</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35">
      <c r="A1742" s="45"/>
      <c r="B1742" s="54"/>
      <c r="C1742" s="47">
        <f t="shared" si="423"/>
        <v>4</v>
      </c>
      <c r="D1742" s="73"/>
      <c r="E1742" s="70"/>
      <c r="F1742" s="70" t="s">
        <v>3527</v>
      </c>
      <c r="G1742" s="73"/>
      <c r="H1742" s="76" t="s">
        <v>3515</v>
      </c>
      <c r="I1742" s="96" t="s">
        <v>2333</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35">
      <c r="A1743" s="45"/>
      <c r="B1743" s="54"/>
      <c r="C1743" s="47">
        <f t="shared" si="423"/>
        <v>4</v>
      </c>
      <c r="D1743" s="73"/>
      <c r="E1743" s="70"/>
      <c r="F1743" s="70" t="s">
        <v>3528</v>
      </c>
      <c r="G1743" s="73"/>
      <c r="H1743" s="76" t="s">
        <v>3509</v>
      </c>
      <c r="I1743" s="96" t="s">
        <v>2334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35">
      <c r="A1744" s="45"/>
      <c r="B1744" s="54"/>
      <c r="C1744" s="47">
        <f t="shared" si="423"/>
        <v>4</v>
      </c>
      <c r="D1744" s="73"/>
      <c r="E1744" s="70"/>
      <c r="F1744" s="70" t="s">
        <v>3529</v>
      </c>
      <c r="G1744" s="73"/>
      <c r="H1744" s="76" t="s">
        <v>3516</v>
      </c>
      <c r="I1744" s="96" t="s">
        <v>2368</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35">
      <c r="A1745" s="45"/>
      <c r="B1745" s="54"/>
      <c r="C1745" s="47">
        <f t="shared" si="423"/>
        <v>4</v>
      </c>
      <c r="D1745" s="73"/>
      <c r="E1745" s="70"/>
      <c r="F1745" s="70" t="s">
        <v>3530</v>
      </c>
      <c r="G1745" s="73"/>
      <c r="H1745" s="76" t="s">
        <v>3510</v>
      </c>
      <c r="I1745" s="96" t="s">
        <v>2370</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35">
      <c r="A1746" s="45"/>
      <c r="B1746" s="54"/>
      <c r="C1746" s="47">
        <f t="shared" si="423"/>
        <v>4</v>
      </c>
      <c r="D1746" s="73"/>
      <c r="E1746" s="70"/>
      <c r="F1746" s="70" t="str">
        <f>SUBSTITUTE(F1742,",4)",",8)")</f>
        <v>C(U6,0,8)</v>
      </c>
      <c r="G1746" s="73"/>
      <c r="H1746" s="76" t="s">
        <v>3517</v>
      </c>
      <c r="I1746" s="96" t="s">
        <v>2727</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35">
      <c r="A1747" s="45"/>
      <c r="B1747" s="54"/>
      <c r="C1747" s="47">
        <f t="shared" si="423"/>
        <v>4</v>
      </c>
      <c r="D1747" s="73"/>
      <c r="E1747" s="70"/>
      <c r="F1747" s="70" t="str">
        <f>SUBSTITUTE(F1743,",5)",",9)")</f>
        <v>C(U6,0,9)</v>
      </c>
      <c r="G1747" s="73"/>
      <c r="H1747" s="76" t="s">
        <v>3511</v>
      </c>
      <c r="I1747" s="96" t="s">
        <v>2728</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35">
      <c r="A1748" s="45"/>
      <c r="B1748" s="54"/>
      <c r="C1748" s="47">
        <f t="shared" si="423"/>
        <v>4</v>
      </c>
      <c r="D1748" s="73"/>
      <c r="E1748" s="70"/>
      <c r="F1748" s="70" t="str">
        <f>SUBSTITUTE(F1744,",6)",",10)")</f>
        <v>C(U6,0,10)</v>
      </c>
      <c r="G1748" s="73"/>
      <c r="H1748" s="76" t="s">
        <v>3518</v>
      </c>
      <c r="I1748" s="96" t="s">
        <v>2729</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35">
      <c r="A1749" s="45"/>
      <c r="B1749" s="54"/>
      <c r="C1749" s="47">
        <f t="shared" si="423"/>
        <v>4</v>
      </c>
      <c r="D1749" s="73"/>
      <c r="E1749" s="70"/>
      <c r="F1749" s="70" t="str">
        <f>SUBSTITUTE(F1745,",7)",",11)")</f>
        <v>C(U6,0,11)</v>
      </c>
      <c r="G1749" s="73"/>
      <c r="H1749" s="76" t="s">
        <v>3512</v>
      </c>
      <c r="I1749" s="96" t="s">
        <v>2730</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35">
      <c r="A1750" s="45"/>
      <c r="B1750" s="54"/>
      <c r="C1750" s="47">
        <f t="shared" si="423"/>
        <v>4</v>
      </c>
      <c r="D1750" s="73"/>
      <c r="E1750" s="70"/>
      <c r="F1750" s="70" t="str">
        <f>SUBSTITUTE(F1745,",7)",",12)")</f>
        <v>C(U6,0,12)</v>
      </c>
      <c r="G1750" s="73"/>
      <c r="H1750" s="76" t="s">
        <v>3341</v>
      </c>
      <c r="I1750" s="96" t="s">
        <v>2729</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35">
      <c r="A1751" s="45"/>
      <c r="B1751" s="54"/>
      <c r="C1751" s="47">
        <f t="shared" si="423"/>
        <v>4</v>
      </c>
      <c r="D1751" s="73"/>
      <c r="E1751" s="70"/>
      <c r="F1751" s="70" t="str">
        <f>SUBSTITUTE(F1745,",7)",",13)")</f>
        <v>C(U6,0,13)</v>
      </c>
      <c r="G1751" s="73"/>
      <c r="H1751" s="76" t="s">
        <v>3513</v>
      </c>
      <c r="I1751" s="96" t="s">
        <v>2730</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35">
      <c r="A1752" s="45"/>
      <c r="B1752" s="54"/>
      <c r="C1752" s="47">
        <f t="shared" si="423"/>
        <v>4</v>
      </c>
      <c r="D1752" s="73"/>
      <c r="E1752" s="70"/>
      <c r="F1752" s="70" t="s">
        <v>3531</v>
      </c>
      <c r="G1752" s="73"/>
      <c r="H1752" s="76" t="s">
        <v>1920</v>
      </c>
      <c r="I1752" s="96" t="s">
        <v>2335</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35">
      <c r="A1753" s="45"/>
      <c r="B1753" s="54"/>
      <c r="C1753" s="47">
        <f t="shared" si="423"/>
        <v>4</v>
      </c>
      <c r="D1753" s="73"/>
      <c r="E1753" s="70"/>
      <c r="F1753" s="70" t="s">
        <v>3532</v>
      </c>
      <c r="G1753" s="73"/>
      <c r="H1753" s="76" t="s">
        <v>604</v>
      </c>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35">
      <c r="A1754" s="45"/>
      <c r="B1754" s="54"/>
      <c r="C1754" s="47">
        <f t="shared" si="423"/>
        <v>4</v>
      </c>
      <c r="D1754" s="73"/>
      <c r="E1754" s="70"/>
      <c r="F1754" s="70" t="s">
        <v>3533</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35">
      <c r="A1755" s="45"/>
      <c r="B1755" s="54"/>
      <c r="C1755" s="47">
        <f t="shared" si="423"/>
        <v>4</v>
      </c>
      <c r="D1755" s="73"/>
      <c r="E1755" s="70"/>
      <c r="F1755" s="70" t="s">
        <v>3534</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35">
      <c r="A1756" s="45"/>
      <c r="B1756" s="54"/>
      <c r="C1756" s="47">
        <f t="shared" si="423"/>
        <v>4</v>
      </c>
      <c r="D1756" s="73"/>
      <c r="E1756" s="70"/>
      <c r="F1756" s="70" t="s">
        <v>3535</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35">
      <c r="A1757" s="45"/>
      <c r="B1757" s="54"/>
      <c r="C1757" s="47">
        <f t="shared" si="423"/>
        <v>4</v>
      </c>
      <c r="D1757" s="73"/>
      <c r="E1757" s="70"/>
      <c r="F1757" s="70" t="s">
        <v>3536</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35">
      <c r="A1758" s="45"/>
      <c r="B1758" s="54"/>
      <c r="C1758" s="47"/>
      <c r="D1758" s="73"/>
      <c r="E1758" s="70"/>
      <c r="F1758" s="70" t="s">
        <v>3537</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35">
      <c r="A1759" s="45"/>
      <c r="B1759" s="54"/>
      <c r="C1759" s="47"/>
      <c r="D1759" s="73"/>
      <c r="E1759" s="70"/>
      <c r="F1759" s="70" t="s">
        <v>3538</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35">
      <c r="A1760" s="45"/>
      <c r="B1760" s="54"/>
      <c r="C1760" s="47"/>
      <c r="D1760" s="73"/>
      <c r="E1760" s="70"/>
      <c r="F1760" s="70" t="s">
        <v>3539</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35">
      <c r="A1761" s="45"/>
      <c r="B1761" s="54"/>
      <c r="C1761" s="47">
        <f t="shared" ref="C1761:C1772" si="424">INT($C$29)+3</f>
        <v>4</v>
      </c>
      <c r="D1761" s="73"/>
      <c r="E1761" s="70"/>
      <c r="F1761" s="70" t="str">
        <f>SUBSTITUTE(F1757,",4)",",8)")</f>
        <v>C(U6,1,8)</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35">
      <c r="A1762" s="45"/>
      <c r="B1762" s="54"/>
      <c r="C1762" s="47">
        <f t="shared" si="424"/>
        <v>4</v>
      </c>
      <c r="D1762" s="73"/>
      <c r="E1762" s="70"/>
      <c r="F1762" s="70" t="str">
        <f>SUBSTITUTE(F1758,",5)",",9)")</f>
        <v>C(U6,1,9)</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35">
      <c r="A1763" s="45"/>
      <c r="B1763" s="54"/>
      <c r="C1763" s="47">
        <f t="shared" si="424"/>
        <v>4</v>
      </c>
      <c r="D1763" s="73"/>
      <c r="E1763" s="70"/>
      <c r="F1763" s="70" t="str">
        <f>SUBSTITUTE(F1759,",6)",",10)")</f>
        <v>C(U6,1,10)</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35">
      <c r="A1764" s="45"/>
      <c r="B1764" s="54"/>
      <c r="C1764" s="47">
        <f t="shared" si="424"/>
        <v>4</v>
      </c>
      <c r="D1764" s="73"/>
      <c r="E1764" s="70"/>
      <c r="F1764" s="70" t="str">
        <f>SUBSTITUTE(F1760,",7)",",11)")</f>
        <v>C(U6,1,11)</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35">
      <c r="A1765" s="45"/>
      <c r="B1765" s="54"/>
      <c r="C1765" s="47">
        <f t="shared" si="424"/>
        <v>4</v>
      </c>
      <c r="D1765" s="73"/>
      <c r="E1765" s="70"/>
      <c r="F1765" s="70" t="str">
        <f>SUBSTITUTE(F1759,",6)",",12)")</f>
        <v>C(U6,1,12)</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35">
      <c r="A1766" s="45"/>
      <c r="B1766" s="54"/>
      <c r="C1766" s="47">
        <f t="shared" si="424"/>
        <v>4</v>
      </c>
      <c r="D1766" s="73"/>
      <c r="E1766" s="70"/>
      <c r="F1766" s="70" t="str">
        <f>SUBSTITUTE(F1760,",7)",",13)")</f>
        <v>C(U6,1,13)</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35">
      <c r="A1767" s="45"/>
      <c r="B1767" s="54"/>
      <c r="C1767" s="47">
        <f t="shared" si="424"/>
        <v>4</v>
      </c>
      <c r="D1767" s="73"/>
      <c r="E1767" s="70"/>
      <c r="F1767" s="70" t="s">
        <v>3540</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35">
      <c r="A1768" s="45"/>
      <c r="B1768" s="54"/>
      <c r="C1768" s="47">
        <f t="shared" si="424"/>
        <v>4</v>
      </c>
      <c r="D1768" s="73"/>
      <c r="E1768" s="70"/>
      <c r="F1768" s="70" t="s">
        <v>3541</v>
      </c>
      <c r="G1768" s="73"/>
      <c r="H1768" s="76" t="s">
        <v>604</v>
      </c>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35">
      <c r="A1769" s="45"/>
      <c r="B1769" s="54"/>
      <c r="C1769" s="47">
        <f t="shared" si="424"/>
        <v>4</v>
      </c>
      <c r="D1769" s="73"/>
      <c r="E1769" s="70"/>
      <c r="F1769" s="70" t="s">
        <v>3542</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35">
      <c r="A1770" s="45"/>
      <c r="B1770" s="54"/>
      <c r="C1770" s="47">
        <f t="shared" si="424"/>
        <v>4</v>
      </c>
      <c r="D1770" s="73"/>
      <c r="E1770" s="70"/>
      <c r="F1770" s="70" t="s">
        <v>3543</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35">
      <c r="A1771" s="45"/>
      <c r="B1771" s="54"/>
      <c r="C1771" s="47">
        <f t="shared" si="424"/>
        <v>4</v>
      </c>
      <c r="D1771" s="73"/>
      <c r="E1771" s="70"/>
      <c r="F1771" s="70" t="s">
        <v>3544</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35">
      <c r="A1772" s="45"/>
      <c r="B1772" s="54"/>
      <c r="C1772" s="47">
        <f t="shared" si="424"/>
        <v>4</v>
      </c>
      <c r="D1772" s="73"/>
      <c r="E1772" s="70"/>
      <c r="F1772" s="70" t="s">
        <v>3545</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35">
      <c r="A1773" s="45"/>
      <c r="B1773" s="54"/>
      <c r="C1773" s="47"/>
      <c r="D1773" s="73"/>
      <c r="E1773" s="70"/>
      <c r="F1773" s="70" t="s">
        <v>3546</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35">
      <c r="A1774" s="45"/>
      <c r="B1774" s="54"/>
      <c r="C1774" s="47"/>
      <c r="D1774" s="73"/>
      <c r="E1774" s="70"/>
      <c r="F1774" s="70" t="s">
        <v>3547</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35">
      <c r="A1775" s="45"/>
      <c r="B1775" s="54"/>
      <c r="C1775" s="47"/>
      <c r="D1775" s="73"/>
      <c r="E1775" s="70"/>
      <c r="F1775" s="70" t="s">
        <v>3548</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35">
      <c r="A1776" s="45"/>
      <c r="B1776" s="54"/>
      <c r="C1776" s="47">
        <f t="shared" ref="C1776:C1787" si="425">INT($C$29)+3</f>
        <v>4</v>
      </c>
      <c r="D1776" s="73"/>
      <c r="E1776" s="70"/>
      <c r="F1776" s="70" t="str">
        <f>SUBSTITUTE(F1772,",4)",",8)")</f>
        <v>C(U6,2,8)</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35">
      <c r="A1777" s="45"/>
      <c r="B1777" s="54"/>
      <c r="C1777" s="47">
        <f t="shared" si="425"/>
        <v>4</v>
      </c>
      <c r="D1777" s="73"/>
      <c r="E1777" s="70"/>
      <c r="F1777" s="70" t="str">
        <f>SUBSTITUTE(F1773,",5)",",9)")</f>
        <v>C(U6,2,9)</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35">
      <c r="A1778" s="45"/>
      <c r="B1778" s="54"/>
      <c r="C1778" s="47">
        <f t="shared" si="425"/>
        <v>4</v>
      </c>
      <c r="D1778" s="73"/>
      <c r="E1778" s="70"/>
      <c r="F1778" s="70" t="str">
        <f>SUBSTITUTE(F1774,",6)",",10)")</f>
        <v>C(U6,2,10)</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35">
      <c r="A1779" s="45"/>
      <c r="B1779" s="54"/>
      <c r="C1779" s="47">
        <f t="shared" si="425"/>
        <v>4</v>
      </c>
      <c r="D1779" s="73"/>
      <c r="E1779" s="70"/>
      <c r="F1779" s="70" t="str">
        <f>SUBSTITUTE(F1775,",7)",",11)")</f>
        <v>C(U6,2,11)</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35">
      <c r="A1780" s="45"/>
      <c r="B1780" s="54"/>
      <c r="C1780" s="47">
        <f t="shared" si="425"/>
        <v>4</v>
      </c>
      <c r="D1780" s="73"/>
      <c r="E1780" s="70"/>
      <c r="F1780" s="70" t="str">
        <f>SUBSTITUTE(F1774,",6)",",12)")</f>
        <v>C(U6,2,12)</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35">
      <c r="A1781" s="45"/>
      <c r="B1781" s="54"/>
      <c r="C1781" s="47">
        <f t="shared" si="425"/>
        <v>4</v>
      </c>
      <c r="D1781" s="73"/>
      <c r="E1781" s="70"/>
      <c r="F1781" s="70" t="str">
        <f>SUBSTITUTE(F1775,",7)",",13)")</f>
        <v>C(U6,2,13)</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35">
      <c r="A1782" s="45"/>
      <c r="B1782" s="54"/>
      <c r="C1782" s="47">
        <f t="shared" si="425"/>
        <v>4</v>
      </c>
      <c r="D1782" s="73"/>
      <c r="E1782" s="70"/>
      <c r="F1782" s="70" t="s">
        <v>3549</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35">
      <c r="A1783" s="45"/>
      <c r="B1783" s="54"/>
      <c r="C1783" s="47">
        <f t="shared" si="425"/>
        <v>4</v>
      </c>
      <c r="D1783" s="73"/>
      <c r="E1783" s="70"/>
      <c r="F1783" s="70" t="s">
        <v>3550</v>
      </c>
      <c r="G1783" s="73"/>
      <c r="H1783" s="76" t="s">
        <v>604</v>
      </c>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35">
      <c r="A1784" s="45"/>
      <c r="B1784" s="54"/>
      <c r="C1784" s="47">
        <f t="shared" si="425"/>
        <v>4</v>
      </c>
      <c r="D1784" s="73"/>
      <c r="E1784" s="70"/>
      <c r="F1784" s="70" t="s">
        <v>3551</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35">
      <c r="A1785" s="45"/>
      <c r="B1785" s="54"/>
      <c r="C1785" s="47">
        <f t="shared" si="425"/>
        <v>4</v>
      </c>
      <c r="D1785" s="73"/>
      <c r="E1785" s="70"/>
      <c r="F1785" s="70" t="s">
        <v>3552</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35">
      <c r="A1786" s="45"/>
      <c r="B1786" s="54"/>
      <c r="C1786" s="47">
        <f t="shared" si="425"/>
        <v>4</v>
      </c>
      <c r="D1786" s="73"/>
      <c r="E1786" s="70"/>
      <c r="F1786" s="70" t="s">
        <v>3553</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35">
      <c r="A1787" s="45"/>
      <c r="B1787" s="54"/>
      <c r="C1787" s="47">
        <f t="shared" si="425"/>
        <v>4</v>
      </c>
      <c r="D1787" s="73"/>
      <c r="E1787" s="70"/>
      <c r="F1787" s="70" t="s">
        <v>3554</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35">
      <c r="A1788" s="45"/>
      <c r="B1788" s="54"/>
      <c r="C1788" s="47"/>
      <c r="D1788" s="73"/>
      <c r="E1788" s="70"/>
      <c r="F1788" s="70" t="s">
        <v>3555</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35">
      <c r="A1789" s="45"/>
      <c r="B1789" s="54"/>
      <c r="C1789" s="47"/>
      <c r="D1789" s="73"/>
      <c r="E1789" s="70"/>
      <c r="F1789" s="70" t="s">
        <v>3556</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35">
      <c r="A1790" s="45"/>
      <c r="B1790" s="54"/>
      <c r="C1790" s="47"/>
      <c r="D1790" s="73"/>
      <c r="E1790" s="70"/>
      <c r="F1790" s="70" t="s">
        <v>3557</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35">
      <c r="A1791" s="45"/>
      <c r="B1791" s="54"/>
      <c r="C1791" s="47">
        <f t="shared" ref="C1791:C1802" si="426">INT($C$29)+3</f>
        <v>4</v>
      </c>
      <c r="D1791" s="73"/>
      <c r="E1791" s="70"/>
      <c r="F1791" s="70" t="str">
        <f>SUBSTITUTE(F1787,",4)",",8)")</f>
        <v>C(U6,3,8)</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35">
      <c r="A1792" s="45"/>
      <c r="B1792" s="54"/>
      <c r="C1792" s="47">
        <f t="shared" si="426"/>
        <v>4</v>
      </c>
      <c r="D1792" s="73"/>
      <c r="E1792" s="70"/>
      <c r="F1792" s="70" t="str">
        <f>SUBSTITUTE(F1788,",5)",",9)")</f>
        <v>C(U6,3,9)</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35">
      <c r="A1793" s="45"/>
      <c r="B1793" s="54"/>
      <c r="C1793" s="47">
        <f t="shared" si="426"/>
        <v>4</v>
      </c>
      <c r="D1793" s="73"/>
      <c r="E1793" s="70"/>
      <c r="F1793" s="70" t="str">
        <f>SUBSTITUTE(F1789,",6)",",10)")</f>
        <v>C(U6,3,10)</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35">
      <c r="A1794" s="45"/>
      <c r="B1794" s="54"/>
      <c r="C1794" s="47">
        <f t="shared" si="426"/>
        <v>4</v>
      </c>
      <c r="D1794" s="73"/>
      <c r="E1794" s="70"/>
      <c r="F1794" s="70" t="str">
        <f>SUBSTITUTE(F1790,",7)",",11)")</f>
        <v>C(U6,3,11)</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35">
      <c r="A1795" s="45"/>
      <c r="B1795" s="54"/>
      <c r="C1795" s="47">
        <f t="shared" si="426"/>
        <v>4</v>
      </c>
      <c r="D1795" s="73"/>
      <c r="E1795" s="70"/>
      <c r="F1795" s="70" t="str">
        <f>SUBSTITUTE(F1789,",6)",",12)")</f>
        <v>C(U6,3,12)</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35">
      <c r="A1796" s="45"/>
      <c r="B1796" s="54"/>
      <c r="C1796" s="47">
        <f t="shared" si="426"/>
        <v>4</v>
      </c>
      <c r="D1796" s="73"/>
      <c r="E1796" s="70"/>
      <c r="F1796" s="70" t="str">
        <f>SUBSTITUTE(F1790,",7)",",13)")</f>
        <v>C(U6,3,13)</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35">
      <c r="A1797" s="45"/>
      <c r="B1797" s="54"/>
      <c r="C1797" s="47">
        <f t="shared" si="426"/>
        <v>4</v>
      </c>
      <c r="D1797" s="73"/>
      <c r="E1797" s="70"/>
      <c r="F1797" s="70" t="s">
        <v>3558</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35">
      <c r="A1798" s="45"/>
      <c r="B1798" s="54"/>
      <c r="C1798" s="47">
        <f t="shared" si="426"/>
        <v>4</v>
      </c>
      <c r="D1798" s="73"/>
      <c r="E1798" s="70"/>
      <c r="F1798" s="70" t="s">
        <v>3559</v>
      </c>
      <c r="G1798" s="73"/>
      <c r="H1798" s="76" t="s">
        <v>604</v>
      </c>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35">
      <c r="A1799" s="45"/>
      <c r="B1799" s="54"/>
      <c r="C1799" s="47">
        <f t="shared" si="426"/>
        <v>4</v>
      </c>
      <c r="D1799" s="73"/>
      <c r="E1799" s="70"/>
      <c r="F1799" s="70" t="s">
        <v>3560</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35">
      <c r="A1800" s="45"/>
      <c r="B1800" s="54"/>
      <c r="C1800" s="47">
        <f t="shared" si="426"/>
        <v>4</v>
      </c>
      <c r="D1800" s="73"/>
      <c r="E1800" s="70"/>
      <c r="F1800" s="70" t="s">
        <v>3561</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35">
      <c r="A1801" s="45"/>
      <c r="B1801" s="54"/>
      <c r="C1801" s="47">
        <f t="shared" si="426"/>
        <v>4</v>
      </c>
      <c r="D1801" s="73"/>
      <c r="E1801" s="70"/>
      <c r="F1801" s="70" t="s">
        <v>3562</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35">
      <c r="A1802" s="45"/>
      <c r="B1802" s="54"/>
      <c r="C1802" s="47">
        <f t="shared" si="426"/>
        <v>4</v>
      </c>
      <c r="D1802" s="73"/>
      <c r="E1802" s="70"/>
      <c r="F1802" s="70" t="s">
        <v>3563</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35">
      <c r="A1803" s="45"/>
      <c r="B1803" s="54"/>
      <c r="C1803" s="47"/>
      <c r="D1803" s="73"/>
      <c r="E1803" s="70"/>
      <c r="F1803" s="70" t="s">
        <v>3564</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35">
      <c r="A1804" s="45"/>
      <c r="B1804" s="54"/>
      <c r="C1804" s="47"/>
      <c r="D1804" s="73"/>
      <c r="E1804" s="70"/>
      <c r="F1804" s="70" t="s">
        <v>3565</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35">
      <c r="A1805" s="45"/>
      <c r="B1805" s="54"/>
      <c r="C1805" s="47"/>
      <c r="D1805" s="73"/>
      <c r="E1805" s="70"/>
      <c r="F1805" s="70" t="s">
        <v>3566</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35">
      <c r="A1806" s="45"/>
      <c r="B1806" s="54"/>
      <c r="C1806" s="47">
        <f t="shared" ref="C1806:C1817" si="427">INT($C$29)+3</f>
        <v>4</v>
      </c>
      <c r="D1806" s="73"/>
      <c r="E1806" s="70"/>
      <c r="F1806" s="70" t="str">
        <f>SUBSTITUTE(F1802,",4)",",8)")</f>
        <v>C(U6,4,8)</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35">
      <c r="A1807" s="45"/>
      <c r="B1807" s="54"/>
      <c r="C1807" s="47">
        <f t="shared" si="427"/>
        <v>4</v>
      </c>
      <c r="D1807" s="73"/>
      <c r="E1807" s="70"/>
      <c r="F1807" s="70" t="str">
        <f>SUBSTITUTE(F1803,",5)",",9)")</f>
        <v>C(U6,4,9)</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35">
      <c r="A1808" s="45"/>
      <c r="B1808" s="54"/>
      <c r="C1808" s="47">
        <f t="shared" si="427"/>
        <v>4</v>
      </c>
      <c r="D1808" s="73"/>
      <c r="E1808" s="70"/>
      <c r="F1808" s="70" t="str">
        <f>SUBSTITUTE(F1804,",6)",",10)")</f>
        <v>C(U6,4,10)</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35">
      <c r="A1809" s="45"/>
      <c r="B1809" s="54"/>
      <c r="C1809" s="47">
        <f t="shared" si="427"/>
        <v>4</v>
      </c>
      <c r="D1809" s="73"/>
      <c r="E1809" s="70"/>
      <c r="F1809" s="70" t="str">
        <f>SUBSTITUTE(F1805,",7)",",11)")</f>
        <v>C(U6,4,11)</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35">
      <c r="A1810" s="45"/>
      <c r="B1810" s="54"/>
      <c r="C1810" s="47">
        <f t="shared" si="427"/>
        <v>4</v>
      </c>
      <c r="D1810" s="73"/>
      <c r="E1810" s="70"/>
      <c r="F1810" s="70" t="str">
        <f>SUBSTITUTE(F1804,",6)",",12)")</f>
        <v>C(U6,4,12)</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35">
      <c r="A1811" s="45"/>
      <c r="B1811" s="54"/>
      <c r="C1811" s="47">
        <f t="shared" si="427"/>
        <v>4</v>
      </c>
      <c r="D1811" s="73"/>
      <c r="E1811" s="70"/>
      <c r="F1811" s="70" t="str">
        <f>SUBSTITUTE(F1805,",7)",",13)")</f>
        <v>C(U6,4,13)</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35">
      <c r="A1812" s="45"/>
      <c r="B1812" s="54"/>
      <c r="C1812" s="47">
        <f t="shared" si="427"/>
        <v>4</v>
      </c>
      <c r="D1812" s="73"/>
      <c r="E1812" s="70"/>
      <c r="F1812" s="70" t="s">
        <v>3567</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35">
      <c r="A1813" s="45"/>
      <c r="B1813" s="54"/>
      <c r="C1813" s="47">
        <f t="shared" si="427"/>
        <v>4</v>
      </c>
      <c r="D1813" s="73"/>
      <c r="E1813" s="70"/>
      <c r="F1813" s="70" t="s">
        <v>3568</v>
      </c>
      <c r="G1813" s="73"/>
      <c r="H1813" s="76" t="s">
        <v>604</v>
      </c>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35">
      <c r="A1814" s="45"/>
      <c r="B1814" s="54"/>
      <c r="C1814" s="47">
        <f t="shared" si="427"/>
        <v>4</v>
      </c>
      <c r="D1814" s="73"/>
      <c r="E1814" s="70"/>
      <c r="F1814" s="70" t="s">
        <v>3569</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35">
      <c r="A1815" s="45"/>
      <c r="B1815" s="54"/>
      <c r="C1815" s="47">
        <f t="shared" si="427"/>
        <v>4</v>
      </c>
      <c r="D1815" s="73"/>
      <c r="E1815" s="70"/>
      <c r="F1815" s="70" t="s">
        <v>3570</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35">
      <c r="A1816" s="45"/>
      <c r="B1816" s="54"/>
      <c r="C1816" s="47">
        <f t="shared" si="427"/>
        <v>4</v>
      </c>
      <c r="D1816" s="73"/>
      <c r="E1816" s="70"/>
      <c r="F1816" s="70" t="s">
        <v>3571</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35">
      <c r="A1817" s="45"/>
      <c r="B1817" s="54"/>
      <c r="C1817" s="47">
        <f t="shared" si="427"/>
        <v>4</v>
      </c>
      <c r="D1817" s="73"/>
      <c r="E1817" s="70"/>
      <c r="F1817" s="70" t="s">
        <v>3572</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35">
      <c r="A1818" s="45"/>
      <c r="B1818" s="54"/>
      <c r="C1818" s="47"/>
      <c r="D1818" s="73"/>
      <c r="E1818" s="70"/>
      <c r="F1818" s="70" t="s">
        <v>3573</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35">
      <c r="A1819" s="45"/>
      <c r="B1819" s="54"/>
      <c r="C1819" s="47"/>
      <c r="D1819" s="73"/>
      <c r="E1819" s="70"/>
      <c r="F1819" s="70" t="s">
        <v>3574</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35">
      <c r="A1820" s="45"/>
      <c r="B1820" s="54"/>
      <c r="C1820" s="47"/>
      <c r="D1820" s="73"/>
      <c r="E1820" s="70"/>
      <c r="F1820" s="70" t="s">
        <v>3575</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35">
      <c r="A1821" s="45"/>
      <c r="B1821" s="54"/>
      <c r="C1821" s="47">
        <f t="shared" ref="C1821:C1832" si="428">INT($C$29)+3</f>
        <v>4</v>
      </c>
      <c r="D1821" s="73"/>
      <c r="E1821" s="70"/>
      <c r="F1821" s="70" t="str">
        <f>SUBSTITUTE(F1817,",4)",",8)")</f>
        <v>C(U6,5,8)</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35">
      <c r="A1822" s="45"/>
      <c r="B1822" s="54"/>
      <c r="C1822" s="47">
        <f t="shared" si="428"/>
        <v>4</v>
      </c>
      <c r="D1822" s="73"/>
      <c r="E1822" s="70"/>
      <c r="F1822" s="70" t="str">
        <f>SUBSTITUTE(F1818,",5)",",9)")</f>
        <v>C(U6,5,9)</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35">
      <c r="A1823" s="45"/>
      <c r="B1823" s="54"/>
      <c r="C1823" s="47">
        <f t="shared" si="428"/>
        <v>4</v>
      </c>
      <c r="D1823" s="73"/>
      <c r="E1823" s="70"/>
      <c r="F1823" s="70" t="str">
        <f>SUBSTITUTE(F1819,",6)",",10)")</f>
        <v>C(U6,5,10)</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35">
      <c r="A1824" s="45"/>
      <c r="B1824" s="54"/>
      <c r="C1824" s="47">
        <f t="shared" si="428"/>
        <v>4</v>
      </c>
      <c r="D1824" s="73"/>
      <c r="E1824" s="70"/>
      <c r="F1824" s="70" t="str">
        <f>SUBSTITUTE(F1820,",7)",",11)")</f>
        <v>C(U6,5,11)</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35">
      <c r="A1825" s="45"/>
      <c r="B1825" s="54"/>
      <c r="C1825" s="47">
        <f t="shared" si="428"/>
        <v>4</v>
      </c>
      <c r="D1825" s="73"/>
      <c r="E1825" s="70"/>
      <c r="F1825" s="70" t="str">
        <f>SUBSTITUTE(F1819,",6)",",12)")</f>
        <v>C(U6,5,12)</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35">
      <c r="A1826" s="45"/>
      <c r="B1826" s="54"/>
      <c r="C1826" s="47">
        <f t="shared" si="428"/>
        <v>4</v>
      </c>
      <c r="D1826" s="73"/>
      <c r="E1826" s="70"/>
      <c r="F1826" s="70" t="str">
        <f>SUBSTITUTE(F1820,",7)",",13)")</f>
        <v>C(U6,5,13)</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35">
      <c r="A1827" s="45"/>
      <c r="B1827" s="54"/>
      <c r="C1827" s="47">
        <f t="shared" si="428"/>
        <v>4</v>
      </c>
      <c r="D1827" s="73"/>
      <c r="E1827" s="70"/>
      <c r="F1827" s="70" t="s">
        <v>3576</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35">
      <c r="A1828" s="45"/>
      <c r="B1828" s="54"/>
      <c r="C1828" s="47">
        <f t="shared" si="428"/>
        <v>4</v>
      </c>
      <c r="D1828" s="73"/>
      <c r="E1828" s="70"/>
      <c r="F1828" s="70" t="s">
        <v>3577</v>
      </c>
      <c r="G1828" s="73"/>
      <c r="H1828" s="76" t="s">
        <v>604</v>
      </c>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35">
      <c r="A1829" s="45"/>
      <c r="B1829" s="54"/>
      <c r="C1829" s="47">
        <f t="shared" si="428"/>
        <v>4</v>
      </c>
      <c r="D1829" s="73"/>
      <c r="E1829" s="70"/>
      <c r="F1829" s="70" t="s">
        <v>3578</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35">
      <c r="A1830" s="45"/>
      <c r="B1830" s="54"/>
      <c r="C1830" s="47">
        <f t="shared" si="428"/>
        <v>4</v>
      </c>
      <c r="D1830" s="73"/>
      <c r="E1830" s="70"/>
      <c r="F1830" s="70" t="s">
        <v>3579</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35">
      <c r="A1831" s="45"/>
      <c r="B1831" s="54"/>
      <c r="C1831" s="47">
        <f t="shared" si="428"/>
        <v>4</v>
      </c>
      <c r="D1831" s="73"/>
      <c r="E1831" s="70"/>
      <c r="F1831" s="70" t="s">
        <v>3580</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35">
      <c r="A1832" s="45"/>
      <c r="B1832" s="54"/>
      <c r="C1832" s="47">
        <f t="shared" si="428"/>
        <v>4</v>
      </c>
      <c r="D1832" s="73"/>
      <c r="E1832" s="70"/>
      <c r="F1832" s="70" t="s">
        <v>3581</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35">
      <c r="A1833" s="45"/>
      <c r="B1833" s="54"/>
      <c r="C1833" s="47"/>
      <c r="D1833" s="73"/>
      <c r="E1833" s="70"/>
      <c r="F1833" s="70" t="s">
        <v>3582</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35">
      <c r="A1834" s="45"/>
      <c r="B1834" s="54"/>
      <c r="C1834" s="47"/>
      <c r="D1834" s="73"/>
      <c r="E1834" s="70"/>
      <c r="F1834" s="70" t="s">
        <v>3583</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35">
      <c r="A1835" s="45"/>
      <c r="B1835" s="54"/>
      <c r="C1835" s="47"/>
      <c r="D1835" s="73"/>
      <c r="E1835" s="70"/>
      <c r="F1835" s="70" t="s">
        <v>3584</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35">
      <c r="A1836" s="45"/>
      <c r="B1836" s="54"/>
      <c r="C1836" s="47">
        <f t="shared" ref="C1836:C1847" si="429">INT($C$29)+3</f>
        <v>4</v>
      </c>
      <c r="D1836" s="73"/>
      <c r="E1836" s="70"/>
      <c r="F1836" s="70" t="str">
        <f>SUBSTITUTE(F1832,",4)",",8)")</f>
        <v>C(U6,6,8)</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35">
      <c r="A1837" s="45"/>
      <c r="B1837" s="54"/>
      <c r="C1837" s="47">
        <f t="shared" si="429"/>
        <v>4</v>
      </c>
      <c r="D1837" s="73"/>
      <c r="E1837" s="70"/>
      <c r="F1837" s="70" t="str">
        <f>SUBSTITUTE(F1833,",5)",",9)")</f>
        <v>C(U6,6,9)</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35">
      <c r="A1838" s="45"/>
      <c r="B1838" s="54"/>
      <c r="C1838" s="47">
        <f t="shared" si="429"/>
        <v>4</v>
      </c>
      <c r="D1838" s="73"/>
      <c r="E1838" s="70"/>
      <c r="F1838" s="70" t="str">
        <f>SUBSTITUTE(F1834,",6)",",10)")</f>
        <v>C(U6,6,10)</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35">
      <c r="A1839" s="45"/>
      <c r="B1839" s="54"/>
      <c r="C1839" s="47">
        <f t="shared" si="429"/>
        <v>4</v>
      </c>
      <c r="D1839" s="73"/>
      <c r="E1839" s="70"/>
      <c r="F1839" s="70" t="str">
        <f>SUBSTITUTE(F1835,",7)",",11)")</f>
        <v>C(U6,6,11)</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35">
      <c r="A1840" s="45"/>
      <c r="B1840" s="54"/>
      <c r="C1840" s="47">
        <f t="shared" si="429"/>
        <v>4</v>
      </c>
      <c r="D1840" s="73"/>
      <c r="E1840" s="70"/>
      <c r="F1840" s="70" t="str">
        <f>SUBSTITUTE(F1834,",6)",",12)")</f>
        <v>C(U6,6,12)</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35">
      <c r="A1841" s="45"/>
      <c r="B1841" s="54"/>
      <c r="C1841" s="47">
        <f t="shared" si="429"/>
        <v>4</v>
      </c>
      <c r="D1841" s="73"/>
      <c r="E1841" s="70"/>
      <c r="F1841" s="70" t="str">
        <f>SUBSTITUTE(F1835,",7)",",13)")</f>
        <v>C(U6,6,13)</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35">
      <c r="A1842" s="45"/>
      <c r="B1842" s="54"/>
      <c r="C1842" s="47">
        <f t="shared" si="429"/>
        <v>4</v>
      </c>
      <c r="D1842" s="73"/>
      <c r="E1842" s="70"/>
      <c r="F1842" s="70" t="s">
        <v>3585</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35">
      <c r="A1843" s="45"/>
      <c r="B1843" s="54"/>
      <c r="C1843" s="47">
        <f t="shared" si="429"/>
        <v>4</v>
      </c>
      <c r="D1843" s="73"/>
      <c r="E1843" s="70"/>
      <c r="F1843" s="70" t="s">
        <v>3586</v>
      </c>
      <c r="G1843" s="73"/>
      <c r="H1843" s="76" t="s">
        <v>604</v>
      </c>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35">
      <c r="A1844" s="45"/>
      <c r="B1844" s="54"/>
      <c r="C1844" s="47">
        <f t="shared" si="429"/>
        <v>4</v>
      </c>
      <c r="D1844" s="73"/>
      <c r="E1844" s="70"/>
      <c r="F1844" s="70" t="s">
        <v>3587</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35">
      <c r="A1845" s="45"/>
      <c r="B1845" s="54"/>
      <c r="C1845" s="47">
        <f t="shared" si="429"/>
        <v>4</v>
      </c>
      <c r="D1845" s="73"/>
      <c r="E1845" s="70"/>
      <c r="F1845" s="70" t="s">
        <v>3588</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35">
      <c r="A1846" s="45"/>
      <c r="B1846" s="54"/>
      <c r="C1846" s="47">
        <f t="shared" si="429"/>
        <v>4</v>
      </c>
      <c r="D1846" s="73"/>
      <c r="E1846" s="70"/>
      <c r="F1846" s="70" t="s">
        <v>3589</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35">
      <c r="A1847" s="45"/>
      <c r="B1847" s="54"/>
      <c r="C1847" s="47">
        <f t="shared" si="429"/>
        <v>4</v>
      </c>
      <c r="D1847" s="73"/>
      <c r="E1847" s="70"/>
      <c r="F1847" s="70" t="s">
        <v>3590</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35">
      <c r="A1848" s="45"/>
      <c r="B1848" s="54"/>
      <c r="C1848" s="47"/>
      <c r="D1848" s="73"/>
      <c r="E1848" s="70"/>
      <c r="F1848" s="70" t="s">
        <v>3591</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35">
      <c r="A1849" s="45"/>
      <c r="B1849" s="54"/>
      <c r="C1849" s="47"/>
      <c r="D1849" s="73"/>
      <c r="E1849" s="70"/>
      <c r="F1849" s="70" t="s">
        <v>3592</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35">
      <c r="A1850" s="45"/>
      <c r="B1850" s="54"/>
      <c r="C1850" s="47"/>
      <c r="D1850" s="73"/>
      <c r="E1850" s="70"/>
      <c r="F1850" s="70" t="s">
        <v>3593</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35">
      <c r="A1851" s="45"/>
      <c r="B1851" s="54"/>
      <c r="C1851" s="47">
        <f>INT($C$29)+3</f>
        <v>4</v>
      </c>
      <c r="D1851" s="73"/>
      <c r="E1851" s="70"/>
      <c r="F1851" s="70" t="str">
        <f>SUBSTITUTE(F1847,",4)",",8)")</f>
        <v>C(U6,7,8)</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35">
      <c r="A1852" s="45"/>
      <c r="B1852" s="54"/>
      <c r="C1852" s="47">
        <f>INT($C$29)+3</f>
        <v>4</v>
      </c>
      <c r="D1852" s="73"/>
      <c r="E1852" s="70"/>
      <c r="F1852" s="70" t="str">
        <f>SUBSTITUTE(F1848,",5)",",9)")</f>
        <v>C(U6,7,9)</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35">
      <c r="A1853" s="45"/>
      <c r="B1853" s="54"/>
      <c r="C1853" s="47">
        <f>INT($C$29)+3</f>
        <v>4</v>
      </c>
      <c r="D1853" s="73"/>
      <c r="E1853" s="70"/>
      <c r="F1853" s="70" t="str">
        <f>SUBSTITUTE(F1849,",6)",",10)")</f>
        <v>C(U6,7,10)</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35">
      <c r="A1854" s="45"/>
      <c r="B1854" s="54"/>
      <c r="C1854" s="47">
        <f>INT($C$29)+3</f>
        <v>4</v>
      </c>
      <c r="D1854" s="73"/>
      <c r="E1854" s="70"/>
      <c r="F1854" s="70" t="str">
        <f>SUBSTITUTE(F1850,",7)",",11)")</f>
        <v>C(U6,7,11)</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35">
      <c r="A1855" s="45"/>
      <c r="B1855" s="54"/>
      <c r="C1855" s="47">
        <f t="shared" ref="C1855:C1856" si="430">INT($C$29)+3</f>
        <v>4</v>
      </c>
      <c r="D1855" s="73"/>
      <c r="E1855" s="70"/>
      <c r="F1855" s="70" t="str">
        <f>SUBSTITUTE(F1849,",6)",",12)")</f>
        <v>C(U6,7,12)</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35">
      <c r="A1856" s="45"/>
      <c r="B1856" s="54"/>
      <c r="C1856" s="47">
        <f t="shared" si="430"/>
        <v>4</v>
      </c>
      <c r="D1856" s="73"/>
      <c r="E1856" s="70"/>
      <c r="F1856" s="70" t="str">
        <f>SUBSTITUTE(F1850,",7)",",13)")</f>
        <v>C(U6,7,13)</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35">
      <c r="A1857" s="45"/>
      <c r="B1857" s="54"/>
      <c r="C1857" s="47">
        <f>INT($C$29)+3</f>
        <v>4</v>
      </c>
      <c r="D1857" s="73"/>
      <c r="E1857" s="398"/>
      <c r="F1857" s="398" t="s">
        <v>3594</v>
      </c>
      <c r="G1857" s="73"/>
      <c r="H1857" s="109"/>
      <c r="I1857" s="109"/>
      <c r="J1857" s="109"/>
      <c r="K1857" s="109"/>
      <c r="L1857" s="109"/>
      <c r="M1857" s="109"/>
      <c r="N1857" s="109"/>
      <c r="O1857" s="109"/>
      <c r="P1857" s="109"/>
      <c r="Q1857" s="109"/>
      <c r="R1857" s="109"/>
      <c r="S1857" s="109"/>
      <c r="T1857" s="109"/>
      <c r="U1857" s="109"/>
      <c r="V1857" s="109"/>
      <c r="W1857" s="109"/>
      <c r="X1857" s="109"/>
      <c r="Y1857" s="109"/>
      <c r="Z1857" s="109"/>
      <c r="AA1857" s="109"/>
      <c r="AB1857" s="109"/>
      <c r="AC1857" s="109"/>
      <c r="AD1857" s="109"/>
      <c r="AE1857" s="109"/>
      <c r="AF1857" s="109"/>
      <c r="AG1857" s="109"/>
      <c r="AH1857" s="109">
        <v>1</v>
      </c>
      <c r="AI1857" s="109">
        <v>1</v>
      </c>
      <c r="AJ1857" s="73"/>
      <c r="AK1857" s="57"/>
      <c r="AL1857" s="45"/>
      <c r="AM1857" s="45"/>
      <c r="AN1857" s="45"/>
    </row>
    <row r="1858" spans="1:40" outlineLevel="2" x14ac:dyDescent="0.35">
      <c r="A1858" s="45"/>
      <c r="B1858" s="54"/>
      <c r="C1858" s="47">
        <f>INT($C$29)+2</f>
        <v>3</v>
      </c>
      <c r="D1858" s="73"/>
      <c r="E1858" s="402"/>
      <c r="F1858" s="402" t="s">
        <v>3595</v>
      </c>
      <c r="G1858" s="403"/>
      <c r="H1858" s="181" t="s">
        <v>3759</v>
      </c>
      <c r="I1858" s="181"/>
      <c r="J1858" s="181"/>
      <c r="K1858" s="181"/>
      <c r="L1858" s="181"/>
      <c r="M1858" s="181"/>
      <c r="N1858" s="181"/>
      <c r="O1858" s="181"/>
      <c r="P1858" s="181"/>
      <c r="Q1858" s="181"/>
      <c r="R1858" s="181"/>
      <c r="S1858" s="181"/>
      <c r="T1858" s="181"/>
      <c r="U1858" s="404">
        <v>0.52490000000000003</v>
      </c>
      <c r="V1858" s="405">
        <f>U1858</f>
        <v>0.52490000000000003</v>
      </c>
      <c r="W1858" s="405">
        <f t="shared" ref="W1858:W1859" si="431">U1858</f>
        <v>0.52490000000000003</v>
      </c>
      <c r="X1858" s="405">
        <f t="shared" ref="X1858:X1859" si="432">V1858</f>
        <v>0.52490000000000003</v>
      </c>
      <c r="Y1858" s="405">
        <f>V1858</f>
        <v>0.52490000000000003</v>
      </c>
      <c r="Z1858" s="405">
        <f>AA1858</f>
        <v>0.52490000000000003</v>
      </c>
      <c r="AA1858" s="404">
        <f>U1858</f>
        <v>0.52490000000000003</v>
      </c>
      <c r="AB1858" s="405">
        <f t="shared" ref="AB1858:AB1859" si="433">AA1858</f>
        <v>0.52490000000000003</v>
      </c>
      <c r="AC1858" s="405">
        <f t="shared" ref="AC1858:AC1859" si="434">AB1858</f>
        <v>0.52490000000000003</v>
      </c>
      <c r="AD1858" s="405">
        <f t="shared" ref="AD1858:AD1859" si="435">AC1858</f>
        <v>0.52490000000000003</v>
      </c>
      <c r="AE1858" s="181"/>
      <c r="AF1858" s="404" t="s">
        <v>3522</v>
      </c>
      <c r="AG1858" s="181"/>
      <c r="AH1858" s="404">
        <v>1</v>
      </c>
      <c r="AI1858" s="404">
        <v>1</v>
      </c>
      <c r="AJ1858" s="73"/>
      <c r="AK1858" s="57"/>
      <c r="AL1858" s="45"/>
      <c r="AM1858" s="45"/>
      <c r="AN1858" s="45"/>
    </row>
    <row r="1859" spans="1:40" outlineLevel="2" collapsed="1" x14ac:dyDescent="0.35">
      <c r="A1859" s="45"/>
      <c r="B1859" s="54"/>
      <c r="C1859" s="47">
        <f>INT($C$29)+2</f>
        <v>3</v>
      </c>
      <c r="D1859" s="73"/>
      <c r="E1859" s="70"/>
      <c r="F1859" s="70" t="s">
        <v>3596</v>
      </c>
      <c r="G1859" s="234"/>
      <c r="H1859" s="76" t="s">
        <v>3520</v>
      </c>
      <c r="I1859" s="76"/>
      <c r="J1859" s="76"/>
      <c r="K1859" s="76"/>
      <c r="L1859" s="76"/>
      <c r="M1859" s="76"/>
      <c r="N1859" s="76"/>
      <c r="O1859" s="76"/>
      <c r="P1859" s="76"/>
      <c r="Q1859" s="76"/>
      <c r="R1859" s="76"/>
      <c r="S1859" s="76"/>
      <c r="T1859" s="76"/>
      <c r="U1859" s="97">
        <v>-4.2820000000000002E-3</v>
      </c>
      <c r="V1859" s="255">
        <f>U1859</f>
        <v>-4.2820000000000002E-3</v>
      </c>
      <c r="W1859" s="255">
        <f t="shared" si="431"/>
        <v>-4.2820000000000002E-3</v>
      </c>
      <c r="X1859" s="255">
        <f t="shared" si="432"/>
        <v>-4.2820000000000002E-3</v>
      </c>
      <c r="Y1859" s="255">
        <f>V1859</f>
        <v>-4.2820000000000002E-3</v>
      </c>
      <c r="Z1859" s="400">
        <f>AA1859</f>
        <v>-4.2820000000000002E-3</v>
      </c>
      <c r="AA1859" s="97">
        <f t="shared" ref="AA1859:AA1872" si="436">U1859</f>
        <v>-4.2820000000000002E-3</v>
      </c>
      <c r="AB1859" s="400">
        <f t="shared" si="433"/>
        <v>-4.2820000000000002E-3</v>
      </c>
      <c r="AC1859" s="400">
        <f t="shared" si="434"/>
        <v>-4.2820000000000002E-3</v>
      </c>
      <c r="AD1859" s="400">
        <f t="shared" si="435"/>
        <v>-4.2820000000000002E-3</v>
      </c>
      <c r="AE1859" s="76"/>
      <c r="AF1859" s="97" t="s">
        <v>3801</v>
      </c>
      <c r="AG1859" s="76"/>
      <c r="AH1859" s="97">
        <v>1</v>
      </c>
      <c r="AI1859" s="97">
        <v>1</v>
      </c>
      <c r="AJ1859" s="73"/>
      <c r="AK1859" s="57"/>
      <c r="AL1859" s="45"/>
      <c r="AM1859" s="45"/>
      <c r="AN1859" s="45"/>
    </row>
    <row r="1860" spans="1:40" hidden="1" outlineLevel="3" x14ac:dyDescent="0.35">
      <c r="A1860" s="45"/>
      <c r="B1860" s="54"/>
      <c r="C1860" s="47">
        <f>INT($C$29)+2</f>
        <v>3</v>
      </c>
      <c r="D1860" s="73"/>
      <c r="E1860" s="70"/>
      <c r="F1860" s="70" t="s">
        <v>3597</v>
      </c>
      <c r="G1860" s="234"/>
      <c r="H1860" s="76" t="s">
        <v>3514</v>
      </c>
      <c r="I1860" s="76"/>
      <c r="J1860" s="76"/>
      <c r="K1860" s="76"/>
      <c r="L1860" s="76"/>
      <c r="M1860" s="76"/>
      <c r="N1860" s="76"/>
      <c r="O1860" s="76"/>
      <c r="P1860" s="76"/>
      <c r="Q1860" s="76"/>
      <c r="R1860" s="76"/>
      <c r="S1860" s="76"/>
      <c r="T1860" s="76"/>
      <c r="U1860" s="76"/>
      <c r="V1860" s="76"/>
      <c r="W1860" s="76"/>
      <c r="X1860" s="76"/>
      <c r="Y1860" s="76"/>
      <c r="Z1860" s="76"/>
      <c r="AA1860" s="76">
        <f t="shared" si="436"/>
        <v>0</v>
      </c>
      <c r="AB1860" s="76"/>
      <c r="AC1860" s="76"/>
      <c r="AD1860" s="76"/>
      <c r="AE1860" s="76"/>
      <c r="AF1860" s="76"/>
      <c r="AG1860" s="76"/>
      <c r="AH1860" s="76">
        <v>1</v>
      </c>
      <c r="AI1860" s="76">
        <v>1</v>
      </c>
      <c r="AJ1860" s="73"/>
      <c r="AK1860" s="57"/>
      <c r="AL1860" s="45"/>
      <c r="AM1860" s="45"/>
      <c r="AN1860" s="45"/>
    </row>
    <row r="1861" spans="1:40" hidden="1" outlineLevel="3" x14ac:dyDescent="0.35">
      <c r="A1861" s="45"/>
      <c r="B1861" s="54"/>
      <c r="C1861" s="47">
        <f>INT($C$29)+3</f>
        <v>4</v>
      </c>
      <c r="D1861" s="73"/>
      <c r="E1861" s="70"/>
      <c r="F1861" s="70" t="s">
        <v>3598</v>
      </c>
      <c r="G1861" s="234"/>
      <c r="H1861" s="76" t="s">
        <v>3508</v>
      </c>
      <c r="I1861" s="96"/>
      <c r="J1861" s="76"/>
      <c r="K1861" s="76"/>
      <c r="L1861" s="76"/>
      <c r="M1861" s="76"/>
      <c r="N1861" s="76"/>
      <c r="O1861" s="76"/>
      <c r="P1861" s="76"/>
      <c r="Q1861" s="76"/>
      <c r="R1861" s="76"/>
      <c r="S1861" s="76"/>
      <c r="T1861" s="76"/>
      <c r="U1861" s="76"/>
      <c r="V1861" s="76"/>
      <c r="W1861" s="76"/>
      <c r="X1861" s="76"/>
      <c r="Y1861" s="76"/>
      <c r="Z1861" s="76"/>
      <c r="AA1861" s="76">
        <f t="shared" si="436"/>
        <v>0</v>
      </c>
      <c r="AB1861" s="76"/>
      <c r="AC1861" s="76"/>
      <c r="AD1861" s="76"/>
      <c r="AE1861" s="76"/>
      <c r="AF1861" s="76"/>
      <c r="AG1861" s="76"/>
      <c r="AH1861" s="76">
        <v>1</v>
      </c>
      <c r="AI1861" s="76">
        <v>1</v>
      </c>
      <c r="AJ1861" s="73"/>
      <c r="AK1861" s="57"/>
      <c r="AL1861" s="45"/>
      <c r="AM1861" s="45"/>
      <c r="AN1861" s="45"/>
    </row>
    <row r="1862" spans="1:40" outlineLevel="2" collapsed="1" x14ac:dyDescent="0.35">
      <c r="A1862" s="45"/>
      <c r="B1862" s="54"/>
      <c r="C1862" s="47">
        <f>INT($C$29)+2</f>
        <v>3</v>
      </c>
      <c r="D1862" s="73"/>
      <c r="E1862" s="70"/>
      <c r="F1862" s="70" t="s">
        <v>3599</v>
      </c>
      <c r="G1862" s="234"/>
      <c r="H1862" s="76" t="s">
        <v>3515</v>
      </c>
      <c r="I1862" s="76"/>
      <c r="J1862" s="76"/>
      <c r="K1862" s="76"/>
      <c r="L1862" s="76"/>
      <c r="M1862" s="76"/>
      <c r="N1862" s="76"/>
      <c r="O1862" s="76"/>
      <c r="P1862" s="76"/>
      <c r="Q1862" s="76"/>
      <c r="R1862" s="76"/>
      <c r="S1862" s="76"/>
      <c r="T1862" s="76"/>
      <c r="U1862" s="97">
        <v>5.5010000000000003E-2</v>
      </c>
      <c r="V1862" s="255">
        <f>U1862</f>
        <v>5.5010000000000003E-2</v>
      </c>
      <c r="W1862" s="255">
        <f t="shared" ref="W1862" si="437">U1862</f>
        <v>5.5010000000000003E-2</v>
      </c>
      <c r="X1862" s="255">
        <f t="shared" ref="X1862" si="438">V1862</f>
        <v>5.5010000000000003E-2</v>
      </c>
      <c r="Y1862" s="255">
        <f>V1862</f>
        <v>5.5010000000000003E-2</v>
      </c>
      <c r="Z1862" s="400">
        <f>AA1862</f>
        <v>5.5010000000000003E-2</v>
      </c>
      <c r="AA1862" s="97">
        <f t="shared" si="436"/>
        <v>5.5010000000000003E-2</v>
      </c>
      <c r="AB1862" s="400">
        <f t="shared" ref="AB1862" si="439">AA1862</f>
        <v>5.5010000000000003E-2</v>
      </c>
      <c r="AC1862" s="400">
        <f t="shared" ref="AC1862" si="440">AB1862</f>
        <v>5.5010000000000003E-2</v>
      </c>
      <c r="AD1862" s="400">
        <f t="shared" ref="AD1862" si="441">AC1862</f>
        <v>5.5010000000000003E-2</v>
      </c>
      <c r="AE1862" s="76"/>
      <c r="AF1862" s="76"/>
      <c r="AG1862" s="76"/>
      <c r="AH1862" s="97">
        <v>1</v>
      </c>
      <c r="AI1862" s="97">
        <v>1</v>
      </c>
      <c r="AJ1862" s="73"/>
      <c r="AK1862" s="57"/>
      <c r="AL1862" s="45"/>
      <c r="AM1862" s="45"/>
      <c r="AN1862" s="45"/>
    </row>
    <row r="1863" spans="1:40" hidden="1" outlineLevel="3" x14ac:dyDescent="0.35">
      <c r="A1863" s="45"/>
      <c r="B1863" s="54"/>
      <c r="C1863" s="47">
        <f>INT($C$29)+2</f>
        <v>3</v>
      </c>
      <c r="D1863" s="73"/>
      <c r="E1863" s="70"/>
      <c r="F1863" s="70" t="s">
        <v>3600</v>
      </c>
      <c r="G1863" s="234"/>
      <c r="H1863" s="76" t="s">
        <v>3509</v>
      </c>
      <c r="I1863" s="76"/>
      <c r="J1863" s="76"/>
      <c r="K1863" s="76"/>
      <c r="L1863" s="76"/>
      <c r="M1863" s="76"/>
      <c r="N1863" s="76"/>
      <c r="O1863" s="76"/>
      <c r="P1863" s="76"/>
      <c r="Q1863" s="76"/>
      <c r="R1863" s="76"/>
      <c r="S1863" s="76"/>
      <c r="T1863" s="76"/>
      <c r="U1863" s="76"/>
      <c r="V1863" s="76"/>
      <c r="W1863" s="76"/>
      <c r="X1863" s="76"/>
      <c r="Y1863" s="76"/>
      <c r="Z1863" s="76"/>
      <c r="AA1863" s="76">
        <f t="shared" si="436"/>
        <v>0</v>
      </c>
      <c r="AB1863" s="76"/>
      <c r="AC1863" s="76"/>
      <c r="AD1863" s="76"/>
      <c r="AE1863" s="76"/>
      <c r="AF1863" s="76"/>
      <c r="AG1863" s="76"/>
      <c r="AH1863" s="76">
        <v>1</v>
      </c>
      <c r="AI1863" s="76">
        <v>1</v>
      </c>
      <c r="AJ1863" s="73"/>
      <c r="AK1863" s="57"/>
      <c r="AL1863" s="45"/>
      <c r="AM1863" s="45"/>
      <c r="AN1863" s="45"/>
    </row>
    <row r="1864" spans="1:40" outlineLevel="2" x14ac:dyDescent="0.35">
      <c r="A1864" s="45"/>
      <c r="B1864" s="54"/>
      <c r="C1864" s="47">
        <f t="shared" ref="C1864:C1871" si="442">INT($C$29)+3</f>
        <v>4</v>
      </c>
      <c r="D1864" s="73"/>
      <c r="E1864" s="70"/>
      <c r="F1864" s="70" t="s">
        <v>3601</v>
      </c>
      <c r="G1864" s="234"/>
      <c r="H1864" s="76" t="s">
        <v>3516</v>
      </c>
      <c r="I1864" s="96"/>
      <c r="J1864" s="76"/>
      <c r="K1864" s="76"/>
      <c r="L1864" s="76"/>
      <c r="M1864" s="76"/>
      <c r="N1864" s="76"/>
      <c r="O1864" s="76"/>
      <c r="P1864" s="76"/>
      <c r="Q1864" s="76"/>
      <c r="R1864" s="76"/>
      <c r="S1864" s="76"/>
      <c r="T1864" s="76"/>
      <c r="U1864" s="97">
        <v>0.14710000000000001</v>
      </c>
      <c r="V1864" s="255">
        <f>U1864</f>
        <v>0.14710000000000001</v>
      </c>
      <c r="W1864" s="255">
        <f>U1864</f>
        <v>0.14710000000000001</v>
      </c>
      <c r="X1864" s="255">
        <f>V1864</f>
        <v>0.14710000000000001</v>
      </c>
      <c r="Y1864" s="255">
        <f>V1864</f>
        <v>0.14710000000000001</v>
      </c>
      <c r="Z1864" s="400">
        <f>AA1864</f>
        <v>0.14710000000000001</v>
      </c>
      <c r="AA1864" s="97">
        <f t="shared" si="436"/>
        <v>0.14710000000000001</v>
      </c>
      <c r="AB1864" s="400">
        <f t="shared" ref="AB1864:AB1865" si="443">AA1864</f>
        <v>0.14710000000000001</v>
      </c>
      <c r="AC1864" s="400">
        <f t="shared" ref="AC1864:AC1865" si="444">AB1864</f>
        <v>0.14710000000000001</v>
      </c>
      <c r="AD1864" s="400">
        <f t="shared" ref="AD1864:AD1865" si="445">AC1864</f>
        <v>0.14710000000000001</v>
      </c>
      <c r="AE1864" s="76"/>
      <c r="AF1864" s="76"/>
      <c r="AG1864" s="76"/>
      <c r="AH1864" s="97">
        <v>1</v>
      </c>
      <c r="AI1864" s="97">
        <v>1</v>
      </c>
      <c r="AJ1864" s="73"/>
      <c r="AK1864" s="57"/>
      <c r="AL1864" s="45"/>
      <c r="AM1864" s="45"/>
      <c r="AN1864" s="45"/>
    </row>
    <row r="1865" spans="1:40" outlineLevel="2" collapsed="1" x14ac:dyDescent="0.35">
      <c r="A1865" s="45"/>
      <c r="B1865" s="54"/>
      <c r="C1865" s="47">
        <f t="shared" si="442"/>
        <v>4</v>
      </c>
      <c r="D1865" s="73"/>
      <c r="E1865" s="70"/>
      <c r="F1865" s="70" t="s">
        <v>3602</v>
      </c>
      <c r="G1865" s="234"/>
      <c r="H1865" s="76" t="s">
        <v>3510</v>
      </c>
      <c r="I1865" s="96"/>
      <c r="J1865" s="76"/>
      <c r="K1865" s="76"/>
      <c r="L1865" s="76"/>
      <c r="M1865" s="76"/>
      <c r="N1865" s="76"/>
      <c r="O1865" s="76"/>
      <c r="P1865" s="76"/>
      <c r="Q1865" s="76"/>
      <c r="R1865" s="76"/>
      <c r="S1865" s="76"/>
      <c r="T1865" s="76"/>
      <c r="U1865" s="97">
        <v>-3.7910000000000001E-3</v>
      </c>
      <c r="V1865" s="255">
        <f>U1865</f>
        <v>-3.7910000000000001E-3</v>
      </c>
      <c r="W1865" s="255">
        <f>U1865</f>
        <v>-3.7910000000000001E-3</v>
      </c>
      <c r="X1865" s="255">
        <f>V1865</f>
        <v>-3.7910000000000001E-3</v>
      </c>
      <c r="Y1865" s="255">
        <f>V1865</f>
        <v>-3.7910000000000001E-3</v>
      </c>
      <c r="Z1865" s="400">
        <f>AA1865</f>
        <v>-3.7910000000000001E-3</v>
      </c>
      <c r="AA1865" s="97">
        <f t="shared" si="436"/>
        <v>-3.7910000000000001E-3</v>
      </c>
      <c r="AB1865" s="400">
        <f t="shared" si="443"/>
        <v>-3.7910000000000001E-3</v>
      </c>
      <c r="AC1865" s="400">
        <f t="shared" si="444"/>
        <v>-3.7910000000000001E-3</v>
      </c>
      <c r="AD1865" s="400">
        <f t="shared" si="445"/>
        <v>-3.7910000000000001E-3</v>
      </c>
      <c r="AE1865" s="76"/>
      <c r="AF1865" s="76"/>
      <c r="AG1865" s="76"/>
      <c r="AH1865" s="97">
        <v>1</v>
      </c>
      <c r="AI1865" s="97">
        <v>1</v>
      </c>
      <c r="AJ1865" s="73"/>
      <c r="AK1865" s="57"/>
      <c r="AL1865" s="45"/>
      <c r="AM1865" s="45"/>
      <c r="AN1865" s="45"/>
    </row>
    <row r="1866" spans="1:40" hidden="1" outlineLevel="3" x14ac:dyDescent="0.35">
      <c r="A1866" s="45"/>
      <c r="B1866" s="54"/>
      <c r="C1866" s="47">
        <f t="shared" si="442"/>
        <v>4</v>
      </c>
      <c r="D1866" s="73"/>
      <c r="E1866" s="70"/>
      <c r="F1866" s="70" t="str">
        <f>SUBSTITUTE(F1862,",4)",",8)")</f>
        <v>C(U6,8,8)</v>
      </c>
      <c r="G1866" s="73"/>
      <c r="H1866" s="76" t="s">
        <v>3517</v>
      </c>
      <c r="I1866" s="96"/>
      <c r="J1866" s="76"/>
      <c r="K1866" s="76"/>
      <c r="L1866" s="76"/>
      <c r="M1866" s="76"/>
      <c r="N1866" s="76"/>
      <c r="O1866" s="76"/>
      <c r="P1866" s="76"/>
      <c r="Q1866" s="76"/>
      <c r="R1866" s="76"/>
      <c r="S1866" s="76"/>
      <c r="T1866" s="76"/>
      <c r="U1866" s="76"/>
      <c r="V1866" s="76"/>
      <c r="W1866" s="76"/>
      <c r="X1866" s="76"/>
      <c r="Y1866" s="76"/>
      <c r="Z1866" s="76"/>
      <c r="AA1866" s="76">
        <f t="shared" si="436"/>
        <v>0</v>
      </c>
      <c r="AB1866" s="76"/>
      <c r="AC1866" s="76"/>
      <c r="AD1866" s="76"/>
      <c r="AE1866" s="76"/>
      <c r="AF1866" s="76"/>
      <c r="AG1866" s="76"/>
      <c r="AH1866" s="76">
        <v>1</v>
      </c>
      <c r="AI1866" s="76">
        <v>1</v>
      </c>
      <c r="AJ1866" s="73"/>
      <c r="AK1866" s="57"/>
      <c r="AL1866" s="45"/>
      <c r="AM1866" s="45"/>
      <c r="AN1866" s="45"/>
    </row>
    <row r="1867" spans="1:40" hidden="1" outlineLevel="3" x14ac:dyDescent="0.35">
      <c r="A1867" s="45"/>
      <c r="B1867" s="54"/>
      <c r="C1867" s="47">
        <f t="shared" si="442"/>
        <v>4</v>
      </c>
      <c r="D1867" s="73"/>
      <c r="E1867" s="70"/>
      <c r="F1867" s="70" t="str">
        <f>SUBSTITUTE(F1863,",5)",",9)")</f>
        <v>C(U6,8,9)</v>
      </c>
      <c r="G1867" s="73"/>
      <c r="H1867" s="76" t="s">
        <v>3511</v>
      </c>
      <c r="I1867" s="96"/>
      <c r="J1867" s="76"/>
      <c r="K1867" s="76"/>
      <c r="L1867" s="76"/>
      <c r="M1867" s="76"/>
      <c r="N1867" s="76"/>
      <c r="O1867" s="76"/>
      <c r="P1867" s="76"/>
      <c r="Q1867" s="76"/>
      <c r="R1867" s="76"/>
      <c r="S1867" s="76"/>
      <c r="T1867" s="76"/>
      <c r="U1867" s="76"/>
      <c r="V1867" s="76"/>
      <c r="W1867" s="76"/>
      <c r="X1867" s="76"/>
      <c r="Y1867" s="76"/>
      <c r="Z1867" s="76"/>
      <c r="AA1867" s="76">
        <f t="shared" si="436"/>
        <v>0</v>
      </c>
      <c r="AB1867" s="76"/>
      <c r="AC1867" s="76"/>
      <c r="AD1867" s="76"/>
      <c r="AE1867" s="76"/>
      <c r="AF1867" s="76"/>
      <c r="AG1867" s="76"/>
      <c r="AH1867" s="76">
        <v>1</v>
      </c>
      <c r="AI1867" s="76">
        <v>1</v>
      </c>
      <c r="AJ1867" s="73"/>
      <c r="AK1867" s="57"/>
      <c r="AL1867" s="45"/>
      <c r="AM1867" s="45"/>
      <c r="AN1867" s="45"/>
    </row>
    <row r="1868" spans="1:40" hidden="1" outlineLevel="3" x14ac:dyDescent="0.35">
      <c r="A1868" s="45"/>
      <c r="B1868" s="54"/>
      <c r="C1868" s="47">
        <f t="shared" si="442"/>
        <v>4</v>
      </c>
      <c r="D1868" s="73"/>
      <c r="E1868" s="70"/>
      <c r="F1868" s="70" t="str">
        <f>SUBSTITUTE(F1864,",6)",",10)")</f>
        <v>C(U6,8,10)</v>
      </c>
      <c r="G1868" s="73"/>
      <c r="H1868" s="76" t="s">
        <v>3518</v>
      </c>
      <c r="I1868" s="96"/>
      <c r="J1868" s="76"/>
      <c r="K1868" s="76"/>
      <c r="L1868" s="76"/>
      <c r="M1868" s="76"/>
      <c r="N1868" s="76"/>
      <c r="O1868" s="76"/>
      <c r="P1868" s="76"/>
      <c r="Q1868" s="76"/>
      <c r="R1868" s="76"/>
      <c r="S1868" s="76"/>
      <c r="T1868" s="76"/>
      <c r="U1868" s="76"/>
      <c r="V1868" s="76"/>
      <c r="W1868" s="76"/>
      <c r="X1868" s="76"/>
      <c r="Y1868" s="76"/>
      <c r="Z1868" s="76"/>
      <c r="AA1868" s="76">
        <f t="shared" si="436"/>
        <v>0</v>
      </c>
      <c r="AB1868" s="76"/>
      <c r="AC1868" s="76"/>
      <c r="AD1868" s="76"/>
      <c r="AE1868" s="76"/>
      <c r="AF1868" s="76"/>
      <c r="AG1868" s="76"/>
      <c r="AH1868" s="76">
        <v>1</v>
      </c>
      <c r="AI1868" s="76">
        <v>1</v>
      </c>
      <c r="AJ1868" s="73"/>
      <c r="AK1868" s="57"/>
      <c r="AL1868" s="45"/>
      <c r="AM1868" s="45"/>
      <c r="AN1868" s="45"/>
    </row>
    <row r="1869" spans="1:40" hidden="1" outlineLevel="3" x14ac:dyDescent="0.35">
      <c r="A1869" s="45"/>
      <c r="B1869" s="54"/>
      <c r="C1869" s="47">
        <f t="shared" si="442"/>
        <v>4</v>
      </c>
      <c r="D1869" s="73"/>
      <c r="E1869" s="70"/>
      <c r="F1869" s="70" t="str">
        <f>SUBSTITUTE(F1865,",7)",",11)")</f>
        <v>C(U6,8,11)</v>
      </c>
      <c r="G1869" s="73"/>
      <c r="H1869" s="76" t="s">
        <v>3512</v>
      </c>
      <c r="I1869" s="96"/>
      <c r="J1869" s="76"/>
      <c r="K1869" s="76"/>
      <c r="L1869" s="76"/>
      <c r="M1869" s="76"/>
      <c r="N1869" s="76"/>
      <c r="O1869" s="76"/>
      <c r="P1869" s="76"/>
      <c r="Q1869" s="76"/>
      <c r="R1869" s="76"/>
      <c r="S1869" s="76"/>
      <c r="T1869" s="76"/>
      <c r="U1869" s="76"/>
      <c r="V1869" s="76"/>
      <c r="W1869" s="76"/>
      <c r="X1869" s="76"/>
      <c r="Y1869" s="76"/>
      <c r="Z1869" s="76"/>
      <c r="AA1869" s="76">
        <f t="shared" si="436"/>
        <v>0</v>
      </c>
      <c r="AB1869" s="76"/>
      <c r="AC1869" s="76"/>
      <c r="AD1869" s="76"/>
      <c r="AE1869" s="76"/>
      <c r="AF1869" s="76"/>
      <c r="AG1869" s="76"/>
      <c r="AH1869" s="76">
        <v>1</v>
      </c>
      <c r="AI1869" s="76">
        <v>1</v>
      </c>
      <c r="AJ1869" s="73"/>
      <c r="AK1869" s="57"/>
      <c r="AL1869" s="45"/>
      <c r="AM1869" s="45"/>
      <c r="AN1869" s="45"/>
    </row>
    <row r="1870" spans="1:40" outlineLevel="2" collapsed="1" x14ac:dyDescent="0.35">
      <c r="A1870" s="45"/>
      <c r="B1870" s="54"/>
      <c r="C1870" s="47">
        <f t="shared" si="442"/>
        <v>4</v>
      </c>
      <c r="D1870" s="73"/>
      <c r="E1870" s="70"/>
      <c r="F1870" s="70" t="str">
        <f>SUBSTITUTE(F1864,",6)",",12)")</f>
        <v>C(U6,8,12)</v>
      </c>
      <c r="G1870" s="73"/>
      <c r="H1870" s="76" t="s">
        <v>1968</v>
      </c>
      <c r="I1870" s="76"/>
      <c r="J1870" s="76"/>
      <c r="K1870" s="76"/>
      <c r="L1870" s="76"/>
      <c r="M1870" s="76"/>
      <c r="N1870" s="76"/>
      <c r="O1870" s="76"/>
      <c r="P1870" s="76"/>
      <c r="Q1870" s="76"/>
      <c r="R1870" s="76"/>
      <c r="S1870" s="76"/>
      <c r="T1870" s="76"/>
      <c r="U1870" s="97">
        <v>-7.9950000000000004E-3</v>
      </c>
      <c r="V1870" s="255">
        <f>U1870</f>
        <v>-7.9950000000000004E-3</v>
      </c>
      <c r="W1870" s="255">
        <f t="shared" ref="W1870" si="446">U1870</f>
        <v>-7.9950000000000004E-3</v>
      </c>
      <c r="X1870" s="255">
        <f t="shared" ref="X1870" si="447">V1870</f>
        <v>-7.9950000000000004E-3</v>
      </c>
      <c r="Y1870" s="255">
        <f>V1870</f>
        <v>-7.9950000000000004E-3</v>
      </c>
      <c r="Z1870" s="400">
        <f>AA1870</f>
        <v>-7.9950000000000004E-3</v>
      </c>
      <c r="AA1870" s="97">
        <f t="shared" si="436"/>
        <v>-7.9950000000000004E-3</v>
      </c>
      <c r="AB1870" s="400">
        <f t="shared" ref="AB1870" si="448">AA1870</f>
        <v>-7.9950000000000004E-3</v>
      </c>
      <c r="AC1870" s="400">
        <f t="shared" ref="AC1870" si="449">AB1870</f>
        <v>-7.9950000000000004E-3</v>
      </c>
      <c r="AD1870" s="400">
        <f t="shared" ref="AD1870" si="450">AC1870</f>
        <v>-7.9950000000000004E-3</v>
      </c>
      <c r="AE1870" s="76"/>
      <c r="AF1870" s="76"/>
      <c r="AG1870" s="76"/>
      <c r="AH1870" s="97">
        <v>1</v>
      </c>
      <c r="AI1870" s="97">
        <v>1</v>
      </c>
      <c r="AJ1870" s="73"/>
      <c r="AK1870" s="57"/>
      <c r="AL1870" s="45"/>
      <c r="AM1870" s="45"/>
      <c r="AN1870" s="45"/>
    </row>
    <row r="1871" spans="1:40" hidden="1" outlineLevel="3" x14ac:dyDescent="0.35">
      <c r="A1871" s="45"/>
      <c r="B1871" s="54"/>
      <c r="C1871" s="47">
        <f t="shared" si="442"/>
        <v>4</v>
      </c>
      <c r="D1871" s="73"/>
      <c r="E1871" s="70"/>
      <c r="F1871" s="70" t="str">
        <f>SUBSTITUTE(F1865,",7)",",13)")</f>
        <v>C(U6,8,13)</v>
      </c>
      <c r="G1871" s="73"/>
      <c r="H1871" s="76" t="s">
        <v>2468</v>
      </c>
      <c r="I1871" s="96"/>
      <c r="J1871" s="76"/>
      <c r="K1871" s="76"/>
      <c r="L1871" s="76"/>
      <c r="M1871" s="76"/>
      <c r="N1871" s="76"/>
      <c r="O1871" s="76"/>
      <c r="P1871" s="76"/>
      <c r="Q1871" s="76"/>
      <c r="R1871" s="76"/>
      <c r="S1871" s="76"/>
      <c r="T1871" s="76"/>
      <c r="U1871" s="76"/>
      <c r="V1871" s="76"/>
      <c r="W1871" s="76"/>
      <c r="X1871" s="76"/>
      <c r="Y1871" s="76"/>
      <c r="Z1871" s="76"/>
      <c r="AA1871" s="76">
        <f t="shared" si="436"/>
        <v>0</v>
      </c>
      <c r="AB1871" s="76"/>
      <c r="AC1871" s="76"/>
      <c r="AD1871" s="76"/>
      <c r="AE1871" s="76"/>
      <c r="AF1871" s="76"/>
      <c r="AG1871" s="76"/>
      <c r="AH1871" s="76">
        <v>1</v>
      </c>
      <c r="AI1871" s="76">
        <v>1</v>
      </c>
      <c r="AJ1871" s="73"/>
      <c r="AK1871" s="57"/>
      <c r="AL1871" s="45"/>
      <c r="AM1871" s="45"/>
      <c r="AN1871" s="45"/>
    </row>
    <row r="1872" spans="1:40" outlineLevel="2" collapsed="1" x14ac:dyDescent="0.35">
      <c r="A1872" s="45"/>
      <c r="B1872" s="54"/>
      <c r="C1872" s="47">
        <f>INT($C$29)+2</f>
        <v>3</v>
      </c>
      <c r="D1872" s="73"/>
      <c r="E1872" s="406"/>
      <c r="F1872" s="406" t="s">
        <v>3603</v>
      </c>
      <c r="G1872" s="407"/>
      <c r="H1872" s="184" t="s">
        <v>3521</v>
      </c>
      <c r="I1872" s="184"/>
      <c r="J1872" s="184"/>
      <c r="K1872" s="184"/>
      <c r="L1872" s="184"/>
      <c r="M1872" s="184"/>
      <c r="N1872" s="184"/>
      <c r="O1872" s="184"/>
      <c r="P1872" s="184"/>
      <c r="Q1872" s="184"/>
      <c r="R1872" s="184"/>
      <c r="S1872" s="184"/>
      <c r="T1872" s="184"/>
      <c r="U1872" s="409">
        <f>-14-1086.5*(U$1870+SUM(U$660:U$661)*0.5)</f>
        <v>-6.7655397499999994</v>
      </c>
      <c r="V1872" s="410">
        <f>U1872</f>
        <v>-6.7655397499999994</v>
      </c>
      <c r="W1872" s="410">
        <f t="shared" ref="W1872:Y1872" si="451">V1872</f>
        <v>-6.7655397499999994</v>
      </c>
      <c r="X1872" s="410">
        <f t="shared" si="451"/>
        <v>-6.7655397499999994</v>
      </c>
      <c r="Y1872" s="410">
        <f t="shared" si="451"/>
        <v>-6.7655397499999994</v>
      </c>
      <c r="Z1872" s="410">
        <f>AA1872</f>
        <v>-6.7655397499999994</v>
      </c>
      <c r="AA1872" s="409">
        <f t="shared" si="436"/>
        <v>-6.7655397499999994</v>
      </c>
      <c r="AB1872" s="410">
        <f>AA1872</f>
        <v>-6.7655397499999994</v>
      </c>
      <c r="AC1872" s="410">
        <f>AB1872</f>
        <v>-6.7655397499999994</v>
      </c>
      <c r="AD1872" s="410">
        <f>AC1872</f>
        <v>-6.7655397499999994</v>
      </c>
      <c r="AE1872" s="184"/>
      <c r="AF1872" s="184"/>
      <c r="AG1872" s="184"/>
      <c r="AH1872" s="409">
        <v>1</v>
      </c>
      <c r="AI1872" s="409">
        <v>1</v>
      </c>
      <c r="AJ1872" s="73"/>
      <c r="AK1872" s="57"/>
      <c r="AL1872" s="45"/>
      <c r="AM1872" s="45"/>
      <c r="AN1872" s="45"/>
    </row>
    <row r="1873" spans="1:40" hidden="1" outlineLevel="3" x14ac:dyDescent="0.35">
      <c r="A1873" s="45"/>
      <c r="B1873" s="54"/>
      <c r="C1873" s="47">
        <f t="shared" ref="C1873:C1877" si="452">INT($C$29)+3</f>
        <v>4</v>
      </c>
      <c r="D1873" s="73"/>
      <c r="E1873" s="70"/>
      <c r="F1873" s="70" t="s">
        <v>3609</v>
      </c>
      <c r="G1873" s="73"/>
      <c r="H1873" s="76" t="s">
        <v>604</v>
      </c>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35">
      <c r="A1874" s="45"/>
      <c r="B1874" s="54"/>
      <c r="C1874" s="47">
        <f t="shared" si="452"/>
        <v>4</v>
      </c>
      <c r="D1874" s="73"/>
      <c r="E1874" s="70"/>
      <c r="F1874" s="70" t="s">
        <v>3610</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35">
      <c r="A1875" s="45"/>
      <c r="B1875" s="54"/>
      <c r="C1875" s="47">
        <f t="shared" si="452"/>
        <v>4</v>
      </c>
      <c r="D1875" s="73"/>
      <c r="E1875" s="70"/>
      <c r="F1875" s="70" t="s">
        <v>3611</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35">
      <c r="A1876" s="45"/>
      <c r="B1876" s="54"/>
      <c r="C1876" s="47">
        <f t="shared" si="452"/>
        <v>4</v>
      </c>
      <c r="D1876" s="73"/>
      <c r="E1876" s="70"/>
      <c r="F1876" s="70" t="s">
        <v>3612</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35">
      <c r="A1877" s="45"/>
      <c r="B1877" s="54"/>
      <c r="C1877" s="47">
        <f t="shared" si="452"/>
        <v>4</v>
      </c>
      <c r="D1877" s="73"/>
      <c r="E1877" s="70"/>
      <c r="F1877" s="70" t="s">
        <v>3613</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35">
      <c r="A1878" s="45"/>
      <c r="B1878" s="54"/>
      <c r="C1878" s="47"/>
      <c r="D1878" s="73"/>
      <c r="E1878" s="70"/>
      <c r="F1878" s="70" t="s">
        <v>3614</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35">
      <c r="A1879" s="45"/>
      <c r="B1879" s="54"/>
      <c r="C1879" s="47"/>
      <c r="D1879" s="73"/>
      <c r="E1879" s="70"/>
      <c r="F1879" s="70" t="s">
        <v>3615</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35">
      <c r="A1880" s="45"/>
      <c r="B1880" s="54"/>
      <c r="C1880" s="47"/>
      <c r="D1880" s="73"/>
      <c r="E1880" s="70"/>
      <c r="F1880" s="70" t="s">
        <v>3616</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35">
      <c r="A1881" s="45"/>
      <c r="B1881" s="54"/>
      <c r="C1881" s="47">
        <f t="shared" ref="C1881:C1892" si="453">INT($C$29)+3</f>
        <v>4</v>
      </c>
      <c r="D1881" s="73"/>
      <c r="E1881" s="70"/>
      <c r="F1881" s="70" t="str">
        <f>SUBSTITUTE(F1877,",4)",",8)")</f>
        <v>C(U6,9,8)</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35">
      <c r="A1882" s="45"/>
      <c r="B1882" s="54"/>
      <c r="C1882" s="47">
        <f t="shared" si="453"/>
        <v>4</v>
      </c>
      <c r="D1882" s="73"/>
      <c r="E1882" s="70"/>
      <c r="F1882" s="70" t="str">
        <f>SUBSTITUTE(F1878,",5)",",9)")</f>
        <v>C(U6,9,9)</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35">
      <c r="A1883" s="45"/>
      <c r="B1883" s="54"/>
      <c r="C1883" s="47">
        <f t="shared" si="453"/>
        <v>4</v>
      </c>
      <c r="D1883" s="73"/>
      <c r="E1883" s="70"/>
      <c r="F1883" s="70" t="str">
        <f>SUBSTITUTE(F1879,",6)",",10)")</f>
        <v>C(U6,9,10)</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35">
      <c r="A1884" s="45"/>
      <c r="B1884" s="54"/>
      <c r="C1884" s="47">
        <f t="shared" si="453"/>
        <v>4</v>
      </c>
      <c r="D1884" s="73"/>
      <c r="E1884" s="70"/>
      <c r="F1884" s="70" t="str">
        <f>SUBSTITUTE(F1880,",7)",",11)")</f>
        <v>C(U6,9,11)</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35">
      <c r="A1885" s="45"/>
      <c r="B1885" s="54"/>
      <c r="C1885" s="47">
        <f t="shared" si="453"/>
        <v>4</v>
      </c>
      <c r="D1885" s="73"/>
      <c r="E1885" s="70"/>
      <c r="F1885" s="70" t="str">
        <f>SUBSTITUTE(F1879,",6)",",12)")</f>
        <v>C(U6,9,12)</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35">
      <c r="A1886" s="45"/>
      <c r="B1886" s="54"/>
      <c r="C1886" s="47">
        <f t="shared" si="453"/>
        <v>4</v>
      </c>
      <c r="D1886" s="73"/>
      <c r="E1886" s="70"/>
      <c r="F1886" s="70" t="str">
        <f>SUBSTITUTE(F1880,",7)",",13)")</f>
        <v>C(U6,9,13)</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35">
      <c r="A1887" s="45"/>
      <c r="B1887" s="54"/>
      <c r="C1887" s="47">
        <f t="shared" si="453"/>
        <v>4</v>
      </c>
      <c r="D1887" s="73"/>
      <c r="E1887" s="70"/>
      <c r="F1887" s="70" t="s">
        <v>3617</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35">
      <c r="A1888" s="45"/>
      <c r="B1888" s="54"/>
      <c r="C1888" s="47">
        <f t="shared" si="453"/>
        <v>4</v>
      </c>
      <c r="D1888" s="73"/>
      <c r="E1888" s="70"/>
      <c r="F1888" s="70" t="s">
        <v>3618</v>
      </c>
      <c r="G1888" s="73"/>
      <c r="H1888" s="76" t="s">
        <v>604</v>
      </c>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35">
      <c r="A1889" s="45"/>
      <c r="B1889" s="54"/>
      <c r="C1889" s="47">
        <f t="shared" si="453"/>
        <v>4</v>
      </c>
      <c r="D1889" s="73"/>
      <c r="E1889" s="70"/>
      <c r="F1889" s="70" t="s">
        <v>3619</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35">
      <c r="A1890" s="45"/>
      <c r="B1890" s="54"/>
      <c r="C1890" s="47">
        <f t="shared" si="453"/>
        <v>4</v>
      </c>
      <c r="D1890" s="73"/>
      <c r="E1890" s="70"/>
      <c r="F1890" s="70" t="s">
        <v>3620</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35">
      <c r="A1891" s="45"/>
      <c r="B1891" s="54"/>
      <c r="C1891" s="47">
        <f t="shared" si="453"/>
        <v>4</v>
      </c>
      <c r="D1891" s="73"/>
      <c r="E1891" s="70"/>
      <c r="F1891" s="70" t="s">
        <v>3621</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35">
      <c r="A1892" s="45"/>
      <c r="B1892" s="54"/>
      <c r="C1892" s="47">
        <f t="shared" si="453"/>
        <v>4</v>
      </c>
      <c r="D1892" s="73"/>
      <c r="E1892" s="70"/>
      <c r="F1892" s="70" t="s">
        <v>3622</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35">
      <c r="A1893" s="45"/>
      <c r="B1893" s="54"/>
      <c r="C1893" s="47"/>
      <c r="D1893" s="73"/>
      <c r="E1893" s="70"/>
      <c r="F1893" s="70" t="s">
        <v>3623</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35">
      <c r="A1894" s="45"/>
      <c r="B1894" s="54"/>
      <c r="C1894" s="47"/>
      <c r="D1894" s="73"/>
      <c r="E1894" s="70"/>
      <c r="F1894" s="70" t="s">
        <v>3624</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35">
      <c r="A1895" s="45"/>
      <c r="B1895" s="54"/>
      <c r="C1895" s="47"/>
      <c r="D1895" s="73"/>
      <c r="E1895" s="70"/>
      <c r="F1895" s="70" t="s">
        <v>3625</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35">
      <c r="A1896" s="45"/>
      <c r="B1896" s="54"/>
      <c r="C1896" s="47">
        <f t="shared" ref="C1896:C1907" si="454">INT($C$29)+3</f>
        <v>4</v>
      </c>
      <c r="D1896" s="73"/>
      <c r="E1896" s="70"/>
      <c r="F1896" s="70" t="str">
        <f>SUBSTITUTE(F1892,",4)",",8)")</f>
        <v>C(U6,10,8)</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35">
      <c r="A1897" s="45"/>
      <c r="B1897" s="54"/>
      <c r="C1897" s="47">
        <f t="shared" si="454"/>
        <v>4</v>
      </c>
      <c r="D1897" s="73"/>
      <c r="E1897" s="70"/>
      <c r="F1897" s="70" t="str">
        <f>SUBSTITUTE(F1893,",5)",",9)")</f>
        <v>C(U6,10,9)</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35">
      <c r="A1898" s="45"/>
      <c r="B1898" s="54"/>
      <c r="C1898" s="47">
        <f t="shared" si="454"/>
        <v>4</v>
      </c>
      <c r="D1898" s="73"/>
      <c r="E1898" s="70"/>
      <c r="F1898" s="70" t="str">
        <f>SUBSTITUTE(F1894,",6)",",10)")</f>
        <v>C(U6,10,10)</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35">
      <c r="A1899" s="45"/>
      <c r="B1899" s="54"/>
      <c r="C1899" s="47">
        <f t="shared" si="454"/>
        <v>4</v>
      </c>
      <c r="D1899" s="73"/>
      <c r="E1899" s="70"/>
      <c r="F1899" s="70" t="str">
        <f>SUBSTITUTE(F1895,",7)",",11)")</f>
        <v>C(U6,10,11)</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35">
      <c r="A1900" s="45"/>
      <c r="B1900" s="54"/>
      <c r="C1900" s="47">
        <f t="shared" si="454"/>
        <v>4</v>
      </c>
      <c r="D1900" s="73"/>
      <c r="E1900" s="70"/>
      <c r="F1900" s="70" t="str">
        <f>SUBSTITUTE(F1894,",6)",",12)")</f>
        <v>C(U6,10,12)</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35">
      <c r="A1901" s="45"/>
      <c r="B1901" s="54"/>
      <c r="C1901" s="47">
        <f t="shared" si="454"/>
        <v>4</v>
      </c>
      <c r="D1901" s="73"/>
      <c r="E1901" s="70"/>
      <c r="F1901" s="70" t="str">
        <f>SUBSTITUTE(F1895,",7)",",13)")</f>
        <v>C(U6,10,13)</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35">
      <c r="A1902" s="45"/>
      <c r="B1902" s="54"/>
      <c r="C1902" s="47">
        <f t="shared" si="454"/>
        <v>4</v>
      </c>
      <c r="D1902" s="73"/>
      <c r="E1902" s="70"/>
      <c r="F1902" s="70" t="s">
        <v>3626</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35">
      <c r="A1903" s="45"/>
      <c r="B1903" s="54"/>
      <c r="C1903" s="47">
        <f t="shared" si="454"/>
        <v>4</v>
      </c>
      <c r="D1903" s="73"/>
      <c r="E1903" s="70"/>
      <c r="F1903" s="70" t="s">
        <v>3627</v>
      </c>
      <c r="G1903" s="73"/>
      <c r="H1903" s="76" t="s">
        <v>604</v>
      </c>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35">
      <c r="A1904" s="45"/>
      <c r="B1904" s="54"/>
      <c r="C1904" s="47">
        <f t="shared" si="454"/>
        <v>4</v>
      </c>
      <c r="D1904" s="73"/>
      <c r="E1904" s="70"/>
      <c r="F1904" s="70" t="s">
        <v>3628</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35">
      <c r="A1905" s="45"/>
      <c r="B1905" s="54"/>
      <c r="C1905" s="47">
        <f t="shared" si="454"/>
        <v>4</v>
      </c>
      <c r="D1905" s="73"/>
      <c r="E1905" s="70"/>
      <c r="F1905" s="70" t="s">
        <v>3629</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35">
      <c r="A1906" s="45"/>
      <c r="B1906" s="54"/>
      <c r="C1906" s="47">
        <f t="shared" si="454"/>
        <v>4</v>
      </c>
      <c r="D1906" s="73"/>
      <c r="E1906" s="70"/>
      <c r="F1906" s="70" t="s">
        <v>3630</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35">
      <c r="A1907" s="45"/>
      <c r="B1907" s="54"/>
      <c r="C1907" s="47">
        <f t="shared" si="454"/>
        <v>4</v>
      </c>
      <c r="D1907" s="73"/>
      <c r="E1907" s="70"/>
      <c r="F1907" s="70" t="s">
        <v>3631</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35">
      <c r="A1908" s="45"/>
      <c r="B1908" s="54"/>
      <c r="C1908" s="47"/>
      <c r="D1908" s="73"/>
      <c r="E1908" s="70"/>
      <c r="F1908" s="70" t="s">
        <v>3632</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35">
      <c r="A1909" s="45"/>
      <c r="B1909" s="54"/>
      <c r="C1909" s="47"/>
      <c r="D1909" s="73"/>
      <c r="E1909" s="70"/>
      <c r="F1909" s="70" t="s">
        <v>3633</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35">
      <c r="A1910" s="45"/>
      <c r="B1910" s="54"/>
      <c r="C1910" s="47"/>
      <c r="D1910" s="73"/>
      <c r="E1910" s="70"/>
      <c r="F1910" s="70" t="s">
        <v>3634</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35">
      <c r="A1911" s="45"/>
      <c r="B1911" s="54"/>
      <c r="C1911" s="47">
        <f t="shared" ref="C1911:C1922" si="455">INT($C$29)+3</f>
        <v>4</v>
      </c>
      <c r="D1911" s="73"/>
      <c r="E1911" s="70"/>
      <c r="F1911" s="70" t="str">
        <f>SUBSTITUTE(F1907,",4)",",8)")</f>
        <v>C(U6,11,8)</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35">
      <c r="A1912" s="45"/>
      <c r="B1912" s="54"/>
      <c r="C1912" s="47">
        <f t="shared" si="455"/>
        <v>4</v>
      </c>
      <c r="D1912" s="73"/>
      <c r="E1912" s="70"/>
      <c r="F1912" s="70" t="str">
        <f>SUBSTITUTE(F1908,",5)",",9)")</f>
        <v>C(U6,11,9)</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35">
      <c r="A1913" s="45"/>
      <c r="B1913" s="54"/>
      <c r="C1913" s="47">
        <f t="shared" si="455"/>
        <v>4</v>
      </c>
      <c r="D1913" s="73"/>
      <c r="E1913" s="70"/>
      <c r="F1913" s="70" t="str">
        <f>SUBSTITUTE(F1909,",6)",",10)")</f>
        <v>C(U6,11,10)</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35">
      <c r="A1914" s="45"/>
      <c r="B1914" s="54"/>
      <c r="C1914" s="47">
        <f t="shared" si="455"/>
        <v>4</v>
      </c>
      <c r="D1914" s="73"/>
      <c r="E1914" s="70"/>
      <c r="F1914" s="70" t="str">
        <f>SUBSTITUTE(F1910,",7)",",11)")</f>
        <v>C(U6,11,11)</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35">
      <c r="A1915" s="45"/>
      <c r="B1915" s="54"/>
      <c r="C1915" s="47">
        <f t="shared" si="455"/>
        <v>4</v>
      </c>
      <c r="D1915" s="73"/>
      <c r="E1915" s="70"/>
      <c r="F1915" s="70" t="str">
        <f>SUBSTITUTE(F1909,",6)",",12)")</f>
        <v>C(U6,11,12)</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35">
      <c r="A1916" s="45"/>
      <c r="B1916" s="54"/>
      <c r="C1916" s="47">
        <f t="shared" si="455"/>
        <v>4</v>
      </c>
      <c r="D1916" s="73"/>
      <c r="E1916" s="70"/>
      <c r="F1916" s="70" t="str">
        <f>SUBSTITUTE(F1910,",7)",",13)")</f>
        <v>C(U6,11,13)</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35">
      <c r="A1917" s="45"/>
      <c r="B1917" s="54"/>
      <c r="C1917" s="47">
        <f t="shared" si="455"/>
        <v>4</v>
      </c>
      <c r="D1917" s="73"/>
      <c r="E1917" s="70"/>
      <c r="F1917" s="70" t="s">
        <v>3635</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35">
      <c r="A1918" s="45"/>
      <c r="B1918" s="54"/>
      <c r="C1918" s="47">
        <f t="shared" si="455"/>
        <v>4</v>
      </c>
      <c r="D1918" s="73"/>
      <c r="E1918" s="70"/>
      <c r="F1918" s="70" t="s">
        <v>3636</v>
      </c>
      <c r="G1918" s="73"/>
      <c r="H1918" s="76" t="s">
        <v>604</v>
      </c>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35">
      <c r="A1919" s="45"/>
      <c r="B1919" s="54"/>
      <c r="C1919" s="47">
        <f t="shared" si="455"/>
        <v>4</v>
      </c>
      <c r="D1919" s="73"/>
      <c r="E1919" s="70"/>
      <c r="F1919" s="70" t="s">
        <v>3637</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35">
      <c r="A1920" s="45"/>
      <c r="B1920" s="54"/>
      <c r="C1920" s="47">
        <f t="shared" si="455"/>
        <v>4</v>
      </c>
      <c r="D1920" s="73"/>
      <c r="E1920" s="70"/>
      <c r="F1920" s="70" t="s">
        <v>3638</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35">
      <c r="A1921" s="45"/>
      <c r="B1921" s="54"/>
      <c r="C1921" s="47">
        <f t="shared" si="455"/>
        <v>4</v>
      </c>
      <c r="D1921" s="73"/>
      <c r="E1921" s="70"/>
      <c r="F1921" s="70" t="s">
        <v>3639</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35">
      <c r="A1922" s="45"/>
      <c r="B1922" s="54"/>
      <c r="C1922" s="47">
        <f t="shared" si="455"/>
        <v>4</v>
      </c>
      <c r="D1922" s="73"/>
      <c r="E1922" s="70"/>
      <c r="F1922" s="70" t="s">
        <v>3640</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35">
      <c r="A1923" s="45"/>
      <c r="B1923" s="54"/>
      <c r="C1923" s="47"/>
      <c r="D1923" s="73"/>
      <c r="E1923" s="70"/>
      <c r="F1923" s="70" t="s">
        <v>3641</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35">
      <c r="A1924" s="45"/>
      <c r="B1924" s="54"/>
      <c r="C1924" s="47"/>
      <c r="D1924" s="73"/>
      <c r="E1924" s="70"/>
      <c r="F1924" s="70" t="s">
        <v>3642</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35">
      <c r="A1925" s="45"/>
      <c r="B1925" s="54"/>
      <c r="C1925" s="47"/>
      <c r="D1925" s="73"/>
      <c r="E1925" s="70"/>
      <c r="F1925" s="70" t="s">
        <v>3643</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35">
      <c r="A1926" s="45"/>
      <c r="B1926" s="54"/>
      <c r="C1926" s="47">
        <f t="shared" ref="C1926:C1937" si="456">INT($C$29)+3</f>
        <v>4</v>
      </c>
      <c r="D1926" s="73"/>
      <c r="E1926" s="70"/>
      <c r="F1926" s="70" t="str">
        <f>SUBSTITUTE(F1922,",4)",",8)")</f>
        <v>C(U6,12,8)</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35">
      <c r="A1927" s="45"/>
      <c r="B1927" s="54"/>
      <c r="C1927" s="47">
        <f t="shared" si="456"/>
        <v>4</v>
      </c>
      <c r="D1927" s="73"/>
      <c r="E1927" s="70"/>
      <c r="F1927" s="70" t="str">
        <f>SUBSTITUTE(F1923,",5)",",9)")</f>
        <v>C(U6,12,9)</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35">
      <c r="A1928" s="45"/>
      <c r="B1928" s="54"/>
      <c r="C1928" s="47">
        <f t="shared" si="456"/>
        <v>4</v>
      </c>
      <c r="D1928" s="73"/>
      <c r="E1928" s="70"/>
      <c r="F1928" s="70" t="str">
        <f>SUBSTITUTE(F1924,",6)",",10)")</f>
        <v>C(U6,12,10)</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35">
      <c r="A1929" s="45"/>
      <c r="B1929" s="54"/>
      <c r="C1929" s="47">
        <f t="shared" si="456"/>
        <v>4</v>
      </c>
      <c r="D1929" s="73"/>
      <c r="E1929" s="70"/>
      <c r="F1929" s="70" t="str">
        <f>SUBSTITUTE(F1925,",7)",",11)")</f>
        <v>C(U6,12,11)</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35">
      <c r="A1930" s="45"/>
      <c r="B1930" s="54"/>
      <c r="C1930" s="47">
        <f t="shared" si="456"/>
        <v>4</v>
      </c>
      <c r="D1930" s="73"/>
      <c r="E1930" s="70"/>
      <c r="F1930" s="70" t="str">
        <f>SUBSTITUTE(F1924,",6)",",12)")</f>
        <v>C(U6,12,12)</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35">
      <c r="A1931" s="45"/>
      <c r="B1931" s="54"/>
      <c r="C1931" s="47">
        <f t="shared" si="456"/>
        <v>4</v>
      </c>
      <c r="D1931" s="73"/>
      <c r="E1931" s="70"/>
      <c r="F1931" s="70" t="str">
        <f>SUBSTITUTE(F1925,",7)",",13)")</f>
        <v>C(U6,12,13)</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35">
      <c r="A1932" s="45"/>
      <c r="B1932" s="54"/>
      <c r="C1932" s="47">
        <f t="shared" si="456"/>
        <v>4</v>
      </c>
      <c r="D1932" s="73"/>
      <c r="E1932" s="70"/>
      <c r="F1932" s="70" t="s">
        <v>3644</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35">
      <c r="A1933" s="45"/>
      <c r="B1933" s="54"/>
      <c r="C1933" s="47">
        <f t="shared" si="456"/>
        <v>4</v>
      </c>
      <c r="D1933" s="73"/>
      <c r="E1933" s="70"/>
      <c r="F1933" s="70" t="s">
        <v>3645</v>
      </c>
      <c r="G1933" s="73"/>
      <c r="H1933" s="76" t="s">
        <v>604</v>
      </c>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35">
      <c r="A1934" s="45"/>
      <c r="B1934" s="54"/>
      <c r="C1934" s="47">
        <f t="shared" si="456"/>
        <v>4</v>
      </c>
      <c r="D1934" s="73"/>
      <c r="E1934" s="70"/>
      <c r="F1934" s="70" t="s">
        <v>3646</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35">
      <c r="A1935" s="45"/>
      <c r="B1935" s="54"/>
      <c r="C1935" s="47">
        <f t="shared" si="456"/>
        <v>4</v>
      </c>
      <c r="D1935" s="73"/>
      <c r="E1935" s="70"/>
      <c r="F1935" s="70" t="s">
        <v>3647</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35">
      <c r="A1936" s="45"/>
      <c r="B1936" s="54"/>
      <c r="C1936" s="47">
        <f t="shared" si="456"/>
        <v>4</v>
      </c>
      <c r="D1936" s="73"/>
      <c r="E1936" s="70"/>
      <c r="F1936" s="70" t="s">
        <v>3648</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35">
      <c r="A1937" s="45"/>
      <c r="B1937" s="54"/>
      <c r="C1937" s="47">
        <f t="shared" si="456"/>
        <v>4</v>
      </c>
      <c r="D1937" s="73"/>
      <c r="E1937" s="70"/>
      <c r="F1937" s="70" t="s">
        <v>3649</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35">
      <c r="A1938" s="45"/>
      <c r="B1938" s="54"/>
      <c r="C1938" s="47"/>
      <c r="D1938" s="73"/>
      <c r="E1938" s="70"/>
      <c r="F1938" s="70" t="s">
        <v>3650</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35">
      <c r="A1939" s="45"/>
      <c r="B1939" s="54"/>
      <c r="C1939" s="47"/>
      <c r="D1939" s="73"/>
      <c r="E1939" s="70"/>
      <c r="F1939" s="70" t="s">
        <v>3651</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35">
      <c r="A1940" s="45"/>
      <c r="B1940" s="54"/>
      <c r="C1940" s="47"/>
      <c r="D1940" s="73"/>
      <c r="E1940" s="70"/>
      <c r="F1940" s="70" t="s">
        <v>3652</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35">
      <c r="A1941" s="45"/>
      <c r="B1941" s="54"/>
      <c r="C1941" s="47">
        <f t="shared" ref="C1941:C1952" si="457">INT($C$29)+3</f>
        <v>4</v>
      </c>
      <c r="D1941" s="73"/>
      <c r="E1941" s="70"/>
      <c r="F1941" s="70" t="str">
        <f>SUBSTITUTE(F1937,",4)",",8)")</f>
        <v>C(U6,13,8)</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35">
      <c r="A1942" s="45"/>
      <c r="B1942" s="54"/>
      <c r="C1942" s="47">
        <f t="shared" si="457"/>
        <v>4</v>
      </c>
      <c r="D1942" s="73"/>
      <c r="E1942" s="70"/>
      <c r="F1942" s="70" t="str">
        <f>SUBSTITUTE(F1938,",5)",",9)")</f>
        <v>C(U6,13,9)</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35">
      <c r="A1943" s="45"/>
      <c r="B1943" s="54"/>
      <c r="C1943" s="47">
        <f t="shared" si="457"/>
        <v>4</v>
      </c>
      <c r="D1943" s="73"/>
      <c r="E1943" s="70"/>
      <c r="F1943" s="70" t="str">
        <f>SUBSTITUTE(F1939,",6)",",10)")</f>
        <v>C(U6,13,10)</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35">
      <c r="A1944" s="45"/>
      <c r="B1944" s="54"/>
      <c r="C1944" s="47">
        <f t="shared" si="457"/>
        <v>4</v>
      </c>
      <c r="D1944" s="73"/>
      <c r="E1944" s="70"/>
      <c r="F1944" s="70" t="str">
        <f>SUBSTITUTE(F1940,",7)",",11)")</f>
        <v>C(U6,13,11)</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35">
      <c r="A1945" s="45"/>
      <c r="B1945" s="54"/>
      <c r="C1945" s="47">
        <f t="shared" si="457"/>
        <v>4</v>
      </c>
      <c r="D1945" s="73"/>
      <c r="E1945" s="70"/>
      <c r="F1945" s="70" t="str">
        <f>SUBSTITUTE(F1939,",6)",",12)")</f>
        <v>C(U6,13,12)</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35">
      <c r="A1946" s="45"/>
      <c r="B1946" s="54"/>
      <c r="C1946" s="47">
        <f t="shared" si="457"/>
        <v>4</v>
      </c>
      <c r="D1946" s="73"/>
      <c r="E1946" s="70"/>
      <c r="F1946" s="70" t="str">
        <f>SUBSTITUTE(F1940,",7)",",13)")</f>
        <v>C(U6,13,13)</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35">
      <c r="A1947" s="45"/>
      <c r="B1947" s="54"/>
      <c r="C1947" s="47">
        <f t="shared" si="457"/>
        <v>4</v>
      </c>
      <c r="D1947" s="73"/>
      <c r="E1947" s="70"/>
      <c r="F1947" s="70" t="s">
        <v>3653</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35">
      <c r="A1948" s="45"/>
      <c r="B1948" s="54"/>
      <c r="C1948" s="47">
        <f t="shared" si="457"/>
        <v>4</v>
      </c>
      <c r="D1948" s="73"/>
      <c r="E1948" s="70"/>
      <c r="F1948" s="70" t="s">
        <v>3654</v>
      </c>
      <c r="G1948" s="73"/>
      <c r="H1948" s="76" t="s">
        <v>604</v>
      </c>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35">
      <c r="A1949" s="45"/>
      <c r="B1949" s="54"/>
      <c r="C1949" s="47">
        <f t="shared" si="457"/>
        <v>4</v>
      </c>
      <c r="D1949" s="73"/>
      <c r="E1949" s="70"/>
      <c r="F1949" s="70" t="s">
        <v>3655</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35">
      <c r="A1950" s="45"/>
      <c r="B1950" s="54"/>
      <c r="C1950" s="47">
        <f t="shared" si="457"/>
        <v>4</v>
      </c>
      <c r="D1950" s="73"/>
      <c r="E1950" s="70"/>
      <c r="F1950" s="70" t="s">
        <v>3656</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35">
      <c r="A1951" s="45"/>
      <c r="B1951" s="54"/>
      <c r="C1951" s="47">
        <f t="shared" si="457"/>
        <v>4</v>
      </c>
      <c r="D1951" s="73"/>
      <c r="E1951" s="70"/>
      <c r="F1951" s="70" t="s">
        <v>3657</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35">
      <c r="A1952" s="45"/>
      <c r="B1952" s="54"/>
      <c r="C1952" s="47">
        <f t="shared" si="457"/>
        <v>4</v>
      </c>
      <c r="D1952" s="73"/>
      <c r="E1952" s="70"/>
      <c r="F1952" s="70" t="s">
        <v>3658</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35">
      <c r="A1953" s="45"/>
      <c r="B1953" s="54"/>
      <c r="C1953" s="47"/>
      <c r="D1953" s="73"/>
      <c r="E1953" s="70"/>
      <c r="F1953" s="70" t="s">
        <v>3659</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35">
      <c r="A1954" s="45"/>
      <c r="B1954" s="54"/>
      <c r="C1954" s="47"/>
      <c r="D1954" s="73"/>
      <c r="E1954" s="70"/>
      <c r="F1954" s="70" t="s">
        <v>3660</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35">
      <c r="A1955" s="45"/>
      <c r="B1955" s="54"/>
      <c r="C1955" s="47"/>
      <c r="D1955" s="73"/>
      <c r="E1955" s="70"/>
      <c r="F1955" s="70" t="s">
        <v>3661</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35">
      <c r="A1956" s="45"/>
      <c r="B1956" s="54"/>
      <c r="C1956" s="47">
        <f t="shared" ref="C1956:C1967" si="458">INT($C$29)+3</f>
        <v>4</v>
      </c>
      <c r="D1956" s="73"/>
      <c r="E1956" s="70"/>
      <c r="F1956" s="70" t="str">
        <f>SUBSTITUTE(F1952,",4)",",8)")</f>
        <v>C(U6,14,8)</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35">
      <c r="A1957" s="45"/>
      <c r="B1957" s="54"/>
      <c r="C1957" s="47">
        <f t="shared" si="458"/>
        <v>4</v>
      </c>
      <c r="D1957" s="73"/>
      <c r="E1957" s="70"/>
      <c r="F1957" s="70" t="str">
        <f>SUBSTITUTE(F1953,",5)",",9)")</f>
        <v>C(U6,14,9)</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35">
      <c r="A1958" s="45"/>
      <c r="B1958" s="54"/>
      <c r="C1958" s="47">
        <f t="shared" si="458"/>
        <v>4</v>
      </c>
      <c r="D1958" s="73"/>
      <c r="E1958" s="70"/>
      <c r="F1958" s="70" t="str">
        <f>SUBSTITUTE(F1954,",6)",",10)")</f>
        <v>C(U6,14,10)</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35">
      <c r="A1959" s="45"/>
      <c r="B1959" s="54"/>
      <c r="C1959" s="47">
        <f t="shared" si="458"/>
        <v>4</v>
      </c>
      <c r="D1959" s="73"/>
      <c r="E1959" s="70"/>
      <c r="F1959" s="70" t="str">
        <f>SUBSTITUTE(F1955,",7)",",11)")</f>
        <v>C(U6,14,11)</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35">
      <c r="A1960" s="45"/>
      <c r="B1960" s="54"/>
      <c r="C1960" s="47">
        <f t="shared" si="458"/>
        <v>4</v>
      </c>
      <c r="D1960" s="73"/>
      <c r="E1960" s="70"/>
      <c r="F1960" s="70" t="str">
        <f>SUBSTITUTE(F1954,",6)",",12)")</f>
        <v>C(U6,14,12)</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35">
      <c r="A1961" s="45"/>
      <c r="B1961" s="54"/>
      <c r="C1961" s="47">
        <f t="shared" si="458"/>
        <v>4</v>
      </c>
      <c r="D1961" s="73"/>
      <c r="E1961" s="70"/>
      <c r="F1961" s="70" t="str">
        <f>SUBSTITUTE(F1955,",7)",",13)")</f>
        <v>C(U6,14,13)</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35">
      <c r="A1962" s="45"/>
      <c r="B1962" s="54"/>
      <c r="C1962" s="47">
        <f t="shared" si="458"/>
        <v>4</v>
      </c>
      <c r="D1962" s="73"/>
      <c r="E1962" s="70"/>
      <c r="F1962" s="70" t="s">
        <v>3662</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35">
      <c r="A1963" s="45"/>
      <c r="B1963" s="54"/>
      <c r="C1963" s="47">
        <f t="shared" si="458"/>
        <v>4</v>
      </c>
      <c r="D1963" s="73"/>
      <c r="E1963" s="70"/>
      <c r="F1963" s="70" t="s">
        <v>3663</v>
      </c>
      <c r="G1963" s="73"/>
      <c r="H1963" s="76" t="s">
        <v>604</v>
      </c>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35">
      <c r="A1964" s="45"/>
      <c r="B1964" s="54"/>
      <c r="C1964" s="47">
        <f t="shared" si="458"/>
        <v>4</v>
      </c>
      <c r="D1964" s="73"/>
      <c r="E1964" s="70"/>
      <c r="F1964" s="70" t="s">
        <v>3664</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35">
      <c r="A1965" s="45"/>
      <c r="B1965" s="54"/>
      <c r="C1965" s="47">
        <f t="shared" si="458"/>
        <v>4</v>
      </c>
      <c r="D1965" s="73"/>
      <c r="E1965" s="70"/>
      <c r="F1965" s="70" t="s">
        <v>3665</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35">
      <c r="A1966" s="45"/>
      <c r="B1966" s="54"/>
      <c r="C1966" s="47">
        <f t="shared" si="458"/>
        <v>4</v>
      </c>
      <c r="D1966" s="73"/>
      <c r="E1966" s="70"/>
      <c r="F1966" s="70" t="s">
        <v>3666</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35">
      <c r="A1967" s="45"/>
      <c r="B1967" s="54"/>
      <c r="C1967" s="47">
        <f t="shared" si="458"/>
        <v>4</v>
      </c>
      <c r="D1967" s="73"/>
      <c r="E1967" s="70"/>
      <c r="F1967" s="70" t="s">
        <v>3667</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35">
      <c r="A1968" s="45"/>
      <c r="B1968" s="54"/>
      <c r="C1968" s="47"/>
      <c r="D1968" s="73"/>
      <c r="E1968" s="70"/>
      <c r="F1968" s="70" t="s">
        <v>3668</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35">
      <c r="A1969" s="45"/>
      <c r="B1969" s="54"/>
      <c r="C1969" s="47"/>
      <c r="D1969" s="73"/>
      <c r="E1969" s="70"/>
      <c r="F1969" s="70" t="s">
        <v>3669</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35">
      <c r="A1970" s="45"/>
      <c r="B1970" s="54"/>
      <c r="C1970" s="47"/>
      <c r="D1970" s="73"/>
      <c r="E1970" s="70"/>
      <c r="F1970" s="70" t="s">
        <v>3670</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35">
      <c r="A1971" s="45"/>
      <c r="B1971" s="54"/>
      <c r="C1971" s="47">
        <f>INT($C$29)+3</f>
        <v>4</v>
      </c>
      <c r="D1971" s="73"/>
      <c r="E1971" s="70"/>
      <c r="F1971" s="70" t="str">
        <f>SUBSTITUTE(F1967,",4)",",8)")</f>
        <v>C(U6,15,8)</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35">
      <c r="A1972" s="45"/>
      <c r="B1972" s="54"/>
      <c r="C1972" s="47">
        <f>INT($C$29)+3</f>
        <v>4</v>
      </c>
      <c r="D1972" s="73"/>
      <c r="E1972" s="70"/>
      <c r="F1972" s="70" t="str">
        <f>SUBSTITUTE(F1968,",5)",",9)")</f>
        <v>C(U6,15,9)</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35">
      <c r="A1973" s="45"/>
      <c r="B1973" s="54"/>
      <c r="C1973" s="47">
        <f>INT($C$29)+3</f>
        <v>4</v>
      </c>
      <c r="D1973" s="73"/>
      <c r="E1973" s="70"/>
      <c r="F1973" s="70" t="str">
        <f>SUBSTITUTE(F1969,",6)",",10)")</f>
        <v>C(U6,15,10)</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35">
      <c r="A1974" s="45"/>
      <c r="B1974" s="54"/>
      <c r="C1974" s="47">
        <f>INT($C$29)+3</f>
        <v>4</v>
      </c>
      <c r="D1974" s="73"/>
      <c r="E1974" s="70"/>
      <c r="F1974" s="70" t="str">
        <f>SUBSTITUTE(F1970,",7)",",11)")</f>
        <v>C(U6,15,11)</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35">
      <c r="A1975" s="45"/>
      <c r="B1975" s="54"/>
      <c r="C1975" s="47">
        <f t="shared" ref="C1975:C1976" si="459">INT($C$29)+3</f>
        <v>4</v>
      </c>
      <c r="D1975" s="73"/>
      <c r="E1975" s="70"/>
      <c r="F1975" s="70" t="str">
        <f>SUBSTITUTE(F1969,",6)",",12)")</f>
        <v>C(U6,15,12)</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35">
      <c r="A1976" s="45"/>
      <c r="B1976" s="54"/>
      <c r="C1976" s="47">
        <f t="shared" si="459"/>
        <v>4</v>
      </c>
      <c r="D1976" s="73"/>
      <c r="E1976" s="70"/>
      <c r="F1976" s="70" t="str">
        <f>SUBSTITUTE(F1970,",7)",",13)")</f>
        <v>C(U6,15,13)</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35">
      <c r="A1977" s="45"/>
      <c r="B1977" s="54"/>
      <c r="C1977" s="47">
        <f>INT($C$29)+3</f>
        <v>4</v>
      </c>
      <c r="D1977" s="73"/>
      <c r="E1977" s="398"/>
      <c r="F1977" s="398" t="s">
        <v>3671</v>
      </c>
      <c r="G1977" s="73"/>
      <c r="H1977" s="109"/>
      <c r="I1977" s="109"/>
      <c r="J1977" s="109"/>
      <c r="K1977" s="109"/>
      <c r="L1977" s="109"/>
      <c r="M1977" s="109"/>
      <c r="N1977" s="109"/>
      <c r="O1977" s="109"/>
      <c r="P1977" s="109"/>
      <c r="Q1977" s="109"/>
      <c r="R1977" s="109"/>
      <c r="S1977" s="109"/>
      <c r="T1977" s="109"/>
      <c r="U1977" s="109"/>
      <c r="V1977" s="109"/>
      <c r="W1977" s="109"/>
      <c r="X1977" s="109"/>
      <c r="Y1977" s="109"/>
      <c r="Z1977" s="109"/>
      <c r="AA1977" s="109"/>
      <c r="AB1977" s="109"/>
      <c r="AC1977" s="109"/>
      <c r="AD1977" s="109"/>
      <c r="AE1977" s="109"/>
      <c r="AF1977" s="109"/>
      <c r="AG1977" s="109"/>
      <c r="AH1977" s="109">
        <v>1</v>
      </c>
      <c r="AI1977" s="109">
        <v>1</v>
      </c>
      <c r="AJ1977" s="73"/>
      <c r="AK1977" s="57"/>
      <c r="AL1977" s="45"/>
      <c r="AM1977" s="45"/>
      <c r="AN1977" s="45"/>
    </row>
    <row r="1978" spans="1:40" hidden="1" outlineLevel="3" x14ac:dyDescent="0.35">
      <c r="A1978" s="45"/>
      <c r="B1978" s="54"/>
      <c r="C1978" s="47">
        <f t="shared" ref="C1978:C1982" si="460">INT($C$29)+3</f>
        <v>4</v>
      </c>
      <c r="D1978" s="73"/>
      <c r="E1978" s="70"/>
      <c r="F1978" s="70" t="s">
        <v>3672</v>
      </c>
      <c r="G1978" s="73"/>
      <c r="H1978" s="76" t="s">
        <v>604</v>
      </c>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35">
      <c r="A1979" s="45"/>
      <c r="B1979" s="54"/>
      <c r="C1979" s="47">
        <f t="shared" si="460"/>
        <v>4</v>
      </c>
      <c r="D1979" s="73"/>
      <c r="E1979" s="70"/>
      <c r="F1979" s="70" t="s">
        <v>3673</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35">
      <c r="A1980" s="45"/>
      <c r="B1980" s="54"/>
      <c r="C1980" s="47">
        <f t="shared" si="460"/>
        <v>4</v>
      </c>
      <c r="D1980" s="73"/>
      <c r="E1980" s="70"/>
      <c r="F1980" s="70" t="s">
        <v>3674</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35">
      <c r="A1981" s="45"/>
      <c r="B1981" s="54"/>
      <c r="C1981" s="47">
        <f t="shared" si="460"/>
        <v>4</v>
      </c>
      <c r="D1981" s="73"/>
      <c r="E1981" s="70"/>
      <c r="F1981" s="70" t="s">
        <v>3675</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35">
      <c r="A1982" s="45"/>
      <c r="B1982" s="54"/>
      <c r="C1982" s="47">
        <f t="shared" si="460"/>
        <v>4</v>
      </c>
      <c r="D1982" s="73"/>
      <c r="E1982" s="70"/>
      <c r="F1982" s="70" t="s">
        <v>3676</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35">
      <c r="A1983" s="45"/>
      <c r="B1983" s="54"/>
      <c r="C1983" s="47"/>
      <c r="D1983" s="73"/>
      <c r="E1983" s="70"/>
      <c r="F1983" s="70" t="s">
        <v>3677</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35">
      <c r="A1984" s="45"/>
      <c r="B1984" s="54"/>
      <c r="C1984" s="47"/>
      <c r="D1984" s="73"/>
      <c r="E1984" s="70"/>
      <c r="F1984" s="70" t="s">
        <v>3678</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35">
      <c r="A1985" s="45"/>
      <c r="B1985" s="54"/>
      <c r="C1985" s="47"/>
      <c r="D1985" s="73"/>
      <c r="E1985" s="70"/>
      <c r="F1985" s="70" t="s">
        <v>3679</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35">
      <c r="A1986" s="45"/>
      <c r="B1986" s="54"/>
      <c r="C1986" s="47">
        <f t="shared" ref="C1986:C1997" si="461">INT($C$29)+3</f>
        <v>4</v>
      </c>
      <c r="D1986" s="73"/>
      <c r="E1986" s="70"/>
      <c r="F1986" s="70" t="str">
        <f>SUBSTITUTE(F1982,",4)",",8)")</f>
        <v>C(U6,16,8)</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35">
      <c r="A1987" s="45"/>
      <c r="B1987" s="54"/>
      <c r="C1987" s="47">
        <f t="shared" si="461"/>
        <v>4</v>
      </c>
      <c r="D1987" s="73"/>
      <c r="E1987" s="70"/>
      <c r="F1987" s="70" t="str">
        <f>SUBSTITUTE(F1983,",5)",",9)")</f>
        <v>C(U6,16,9)</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35">
      <c r="A1988" s="45"/>
      <c r="B1988" s="54"/>
      <c r="C1988" s="47">
        <f t="shared" si="461"/>
        <v>4</v>
      </c>
      <c r="D1988" s="73"/>
      <c r="E1988" s="70"/>
      <c r="F1988" s="70" t="str">
        <f>SUBSTITUTE(F1984,",6)",",10)")</f>
        <v>C(U6,16,10)</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35">
      <c r="A1989" s="45"/>
      <c r="B1989" s="54"/>
      <c r="C1989" s="47">
        <f t="shared" si="461"/>
        <v>4</v>
      </c>
      <c r="D1989" s="73"/>
      <c r="E1989" s="70"/>
      <c r="F1989" s="70" t="str">
        <f>SUBSTITUTE(F1985,",7)",",11)")</f>
        <v>C(U6,16,11)</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35">
      <c r="A1990" s="45"/>
      <c r="B1990" s="54"/>
      <c r="C1990" s="47">
        <f t="shared" si="461"/>
        <v>4</v>
      </c>
      <c r="D1990" s="73"/>
      <c r="E1990" s="70"/>
      <c r="F1990" s="70" t="str">
        <f>SUBSTITUTE(F1984,",6)",",12)")</f>
        <v>C(U6,16,12)</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35">
      <c r="A1991" s="45"/>
      <c r="B1991" s="54"/>
      <c r="C1991" s="47">
        <f t="shared" si="461"/>
        <v>4</v>
      </c>
      <c r="D1991" s="73"/>
      <c r="E1991" s="70"/>
      <c r="F1991" s="70" t="str">
        <f>SUBSTITUTE(F1985,",7)",",13)")</f>
        <v>C(U6,16,13)</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35">
      <c r="A1992" s="45"/>
      <c r="B1992" s="54"/>
      <c r="C1992" s="47">
        <f t="shared" si="461"/>
        <v>4</v>
      </c>
      <c r="D1992" s="73"/>
      <c r="E1992" s="70"/>
      <c r="F1992" s="70" t="s">
        <v>3680</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35">
      <c r="A1993" s="45"/>
      <c r="B1993" s="54"/>
      <c r="C1993" s="47">
        <f t="shared" si="461"/>
        <v>4</v>
      </c>
      <c r="D1993" s="73"/>
      <c r="E1993" s="70"/>
      <c r="F1993" s="70" t="s">
        <v>3681</v>
      </c>
      <c r="G1993" s="73"/>
      <c r="H1993" s="76" t="s">
        <v>604</v>
      </c>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35">
      <c r="A1994" s="45"/>
      <c r="B1994" s="54"/>
      <c r="C1994" s="47">
        <f t="shared" si="461"/>
        <v>4</v>
      </c>
      <c r="D1994" s="73"/>
      <c r="E1994" s="70"/>
      <c r="F1994" s="70" t="s">
        <v>3682</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35">
      <c r="A1995" s="45"/>
      <c r="B1995" s="54"/>
      <c r="C1995" s="47">
        <f t="shared" si="461"/>
        <v>4</v>
      </c>
      <c r="D1995" s="73"/>
      <c r="E1995" s="70"/>
      <c r="F1995" s="70" t="s">
        <v>3683</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35">
      <c r="A1996" s="45"/>
      <c r="B1996" s="54"/>
      <c r="C1996" s="47">
        <f t="shared" si="461"/>
        <v>4</v>
      </c>
      <c r="D1996" s="73"/>
      <c r="E1996" s="70"/>
      <c r="F1996" s="70" t="s">
        <v>3684</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35">
      <c r="A1997" s="45"/>
      <c r="B1997" s="54"/>
      <c r="C1997" s="47">
        <f t="shared" si="461"/>
        <v>4</v>
      </c>
      <c r="D1997" s="73"/>
      <c r="E1997" s="70"/>
      <c r="F1997" s="70" t="s">
        <v>3685</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35">
      <c r="A1998" s="45"/>
      <c r="B1998" s="54"/>
      <c r="C1998" s="47"/>
      <c r="D1998" s="73"/>
      <c r="E1998" s="70"/>
      <c r="F1998" s="70" t="s">
        <v>3686</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35">
      <c r="A1999" s="45"/>
      <c r="B1999" s="54"/>
      <c r="C1999" s="47"/>
      <c r="D1999" s="73"/>
      <c r="E1999" s="70"/>
      <c r="F1999" s="70" t="s">
        <v>3687</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35">
      <c r="A2000" s="45"/>
      <c r="B2000" s="54"/>
      <c r="C2000" s="47"/>
      <c r="D2000" s="73"/>
      <c r="E2000" s="70"/>
      <c r="F2000" s="70" t="s">
        <v>3688</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35">
      <c r="A2001" s="45"/>
      <c r="B2001" s="54"/>
      <c r="C2001" s="47">
        <f t="shared" ref="C2001:C2012" si="462">INT($C$29)+3</f>
        <v>4</v>
      </c>
      <c r="D2001" s="73"/>
      <c r="E2001" s="70"/>
      <c r="F2001" s="70" t="str">
        <f>SUBSTITUTE(F1997,",4)",",8)")</f>
        <v>C(U6,17,8)</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35">
      <c r="A2002" s="45"/>
      <c r="B2002" s="54"/>
      <c r="C2002" s="47">
        <f t="shared" si="462"/>
        <v>4</v>
      </c>
      <c r="D2002" s="73"/>
      <c r="E2002" s="70"/>
      <c r="F2002" s="70" t="str">
        <f>SUBSTITUTE(F1998,",5)",",9)")</f>
        <v>C(U6,17,9)</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35">
      <c r="A2003" s="45"/>
      <c r="B2003" s="54"/>
      <c r="C2003" s="47">
        <f t="shared" si="462"/>
        <v>4</v>
      </c>
      <c r="D2003" s="73"/>
      <c r="E2003" s="70"/>
      <c r="F2003" s="70" t="str">
        <f>SUBSTITUTE(F1999,",6)",",10)")</f>
        <v>C(U6,17,10)</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35">
      <c r="A2004" s="45"/>
      <c r="B2004" s="54"/>
      <c r="C2004" s="47">
        <f t="shared" si="462"/>
        <v>4</v>
      </c>
      <c r="D2004" s="73"/>
      <c r="E2004" s="70"/>
      <c r="F2004" s="70" t="str">
        <f>SUBSTITUTE(F2000,",7)",",11)")</f>
        <v>C(U6,17,11)</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35">
      <c r="A2005" s="45"/>
      <c r="B2005" s="54"/>
      <c r="C2005" s="47">
        <f t="shared" si="462"/>
        <v>4</v>
      </c>
      <c r="D2005" s="73"/>
      <c r="E2005" s="70"/>
      <c r="F2005" s="70" t="str">
        <f>SUBSTITUTE(F1999,",6)",",12)")</f>
        <v>C(U6,17,12)</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35">
      <c r="A2006" s="45"/>
      <c r="B2006" s="54"/>
      <c r="C2006" s="47">
        <f t="shared" si="462"/>
        <v>4</v>
      </c>
      <c r="D2006" s="73"/>
      <c r="E2006" s="70"/>
      <c r="F2006" s="70" t="str">
        <f>SUBSTITUTE(F2000,",7)",",13)")</f>
        <v>C(U6,17,13)</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35">
      <c r="A2007" s="45"/>
      <c r="B2007" s="54"/>
      <c r="C2007" s="47">
        <f t="shared" si="462"/>
        <v>4</v>
      </c>
      <c r="D2007" s="73"/>
      <c r="E2007" s="70"/>
      <c r="F2007" s="70" t="s">
        <v>3689</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35">
      <c r="A2008" s="45"/>
      <c r="B2008" s="54"/>
      <c r="C2008" s="47">
        <f t="shared" si="462"/>
        <v>4</v>
      </c>
      <c r="D2008" s="73"/>
      <c r="E2008" s="70"/>
      <c r="F2008" s="70" t="s">
        <v>3690</v>
      </c>
      <c r="G2008" s="73"/>
      <c r="H2008" s="76" t="s">
        <v>604</v>
      </c>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35">
      <c r="A2009" s="45"/>
      <c r="B2009" s="54"/>
      <c r="C2009" s="47">
        <f t="shared" si="462"/>
        <v>4</v>
      </c>
      <c r="D2009" s="73"/>
      <c r="E2009" s="70"/>
      <c r="F2009" s="70" t="s">
        <v>3691</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35">
      <c r="A2010" s="45"/>
      <c r="B2010" s="54"/>
      <c r="C2010" s="47">
        <f t="shared" si="462"/>
        <v>4</v>
      </c>
      <c r="D2010" s="73"/>
      <c r="E2010" s="70"/>
      <c r="F2010" s="70" t="s">
        <v>3692</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35">
      <c r="A2011" s="45"/>
      <c r="B2011" s="54"/>
      <c r="C2011" s="47">
        <f t="shared" si="462"/>
        <v>4</v>
      </c>
      <c r="D2011" s="73"/>
      <c r="E2011" s="70"/>
      <c r="F2011" s="70" t="s">
        <v>3693</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35">
      <c r="A2012" s="45"/>
      <c r="B2012" s="54"/>
      <c r="C2012" s="47">
        <f t="shared" si="462"/>
        <v>4</v>
      </c>
      <c r="D2012" s="73"/>
      <c r="E2012" s="70"/>
      <c r="F2012" s="70" t="s">
        <v>3694</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35">
      <c r="A2013" s="45"/>
      <c r="B2013" s="54"/>
      <c r="C2013" s="47"/>
      <c r="D2013" s="73"/>
      <c r="E2013" s="70"/>
      <c r="F2013" s="70" t="s">
        <v>3695</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35">
      <c r="A2014" s="45"/>
      <c r="B2014" s="54"/>
      <c r="C2014" s="47"/>
      <c r="D2014" s="73"/>
      <c r="E2014" s="70"/>
      <c r="F2014" s="70" t="s">
        <v>3696</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35">
      <c r="A2015" s="45"/>
      <c r="B2015" s="54"/>
      <c r="C2015" s="47"/>
      <c r="D2015" s="73"/>
      <c r="E2015" s="70"/>
      <c r="F2015" s="70" t="s">
        <v>3697</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35">
      <c r="A2016" s="45"/>
      <c r="B2016" s="54"/>
      <c r="C2016" s="47">
        <f t="shared" ref="C2016:C2027" si="463">INT($C$29)+3</f>
        <v>4</v>
      </c>
      <c r="D2016" s="73"/>
      <c r="E2016" s="70"/>
      <c r="F2016" s="70" t="str">
        <f>SUBSTITUTE(F2012,",4)",",8)")</f>
        <v>C(U6,18,8)</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35">
      <c r="A2017" s="45"/>
      <c r="B2017" s="54"/>
      <c r="C2017" s="47">
        <f t="shared" si="463"/>
        <v>4</v>
      </c>
      <c r="D2017" s="73"/>
      <c r="E2017" s="70"/>
      <c r="F2017" s="70" t="str">
        <f>SUBSTITUTE(F2013,",5)",",9)")</f>
        <v>C(U6,18,9)</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35">
      <c r="A2018" s="45"/>
      <c r="B2018" s="54"/>
      <c r="C2018" s="47">
        <f t="shared" si="463"/>
        <v>4</v>
      </c>
      <c r="D2018" s="73"/>
      <c r="E2018" s="70"/>
      <c r="F2018" s="70" t="str">
        <f>SUBSTITUTE(F2014,",6)",",10)")</f>
        <v>C(U6,18,10)</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35">
      <c r="A2019" s="45"/>
      <c r="B2019" s="54"/>
      <c r="C2019" s="47">
        <f t="shared" si="463"/>
        <v>4</v>
      </c>
      <c r="D2019" s="73"/>
      <c r="E2019" s="70"/>
      <c r="F2019" s="70" t="str">
        <f>SUBSTITUTE(F2015,",7)",",11)")</f>
        <v>C(U6,18,11)</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35">
      <c r="A2020" s="45"/>
      <c r="B2020" s="54"/>
      <c r="C2020" s="47">
        <f t="shared" si="463"/>
        <v>4</v>
      </c>
      <c r="D2020" s="73"/>
      <c r="E2020" s="70"/>
      <c r="F2020" s="70" t="str">
        <f>SUBSTITUTE(F2014,",6)",",12)")</f>
        <v>C(U6,18,12)</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35">
      <c r="A2021" s="45"/>
      <c r="B2021" s="54"/>
      <c r="C2021" s="47">
        <f t="shared" si="463"/>
        <v>4</v>
      </c>
      <c r="D2021" s="73"/>
      <c r="E2021" s="70"/>
      <c r="F2021" s="70" t="str">
        <f>SUBSTITUTE(F2015,",7)",",13)")</f>
        <v>C(U6,18,13)</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35">
      <c r="A2022" s="45"/>
      <c r="B2022" s="54"/>
      <c r="C2022" s="47">
        <f t="shared" si="463"/>
        <v>4</v>
      </c>
      <c r="D2022" s="73"/>
      <c r="E2022" s="70"/>
      <c r="F2022" s="70" t="s">
        <v>3698</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35">
      <c r="A2023" s="45"/>
      <c r="B2023" s="54"/>
      <c r="C2023" s="47">
        <f t="shared" si="463"/>
        <v>4</v>
      </c>
      <c r="D2023" s="73"/>
      <c r="E2023" s="70"/>
      <c r="F2023" s="70" t="s">
        <v>3699</v>
      </c>
      <c r="G2023" s="73"/>
      <c r="H2023" s="76" t="s">
        <v>604</v>
      </c>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35">
      <c r="A2024" s="45"/>
      <c r="B2024" s="54"/>
      <c r="C2024" s="47">
        <f t="shared" si="463"/>
        <v>4</v>
      </c>
      <c r="D2024" s="73"/>
      <c r="E2024" s="70"/>
      <c r="F2024" s="70" t="s">
        <v>3700</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35">
      <c r="A2025" s="45"/>
      <c r="B2025" s="54"/>
      <c r="C2025" s="47">
        <f t="shared" si="463"/>
        <v>4</v>
      </c>
      <c r="D2025" s="73"/>
      <c r="E2025" s="70"/>
      <c r="F2025" s="70" t="s">
        <v>3701</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35">
      <c r="A2026" s="45"/>
      <c r="B2026" s="54"/>
      <c r="C2026" s="47">
        <f t="shared" si="463"/>
        <v>4</v>
      </c>
      <c r="D2026" s="73"/>
      <c r="E2026" s="70"/>
      <c r="F2026" s="70" t="s">
        <v>3702</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35">
      <c r="A2027" s="45"/>
      <c r="B2027" s="54"/>
      <c r="C2027" s="47">
        <f t="shared" si="463"/>
        <v>4</v>
      </c>
      <c r="D2027" s="73"/>
      <c r="E2027" s="70"/>
      <c r="F2027" s="70" t="s">
        <v>3703</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35">
      <c r="A2028" s="45"/>
      <c r="B2028" s="54"/>
      <c r="C2028" s="47"/>
      <c r="D2028" s="73"/>
      <c r="E2028" s="70"/>
      <c r="F2028" s="70" t="s">
        <v>3704</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35">
      <c r="A2029" s="45"/>
      <c r="B2029" s="54"/>
      <c r="C2029" s="47"/>
      <c r="D2029" s="73"/>
      <c r="E2029" s="70"/>
      <c r="F2029" s="70" t="s">
        <v>3705</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35">
      <c r="A2030" s="45"/>
      <c r="B2030" s="54"/>
      <c r="C2030" s="47"/>
      <c r="D2030" s="73"/>
      <c r="E2030" s="70"/>
      <c r="F2030" s="70" t="s">
        <v>3706</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35">
      <c r="A2031" s="45"/>
      <c r="B2031" s="54"/>
      <c r="C2031" s="47">
        <f t="shared" ref="C2031:C2042" si="464">INT($C$29)+3</f>
        <v>4</v>
      </c>
      <c r="D2031" s="73"/>
      <c r="E2031" s="70"/>
      <c r="F2031" s="70" t="str">
        <f>SUBSTITUTE(F2027,",4)",",8)")</f>
        <v>C(U6,19,8)</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35">
      <c r="A2032" s="45"/>
      <c r="B2032" s="54"/>
      <c r="C2032" s="47">
        <f t="shared" si="464"/>
        <v>4</v>
      </c>
      <c r="D2032" s="73"/>
      <c r="E2032" s="70"/>
      <c r="F2032" s="70" t="str">
        <f>SUBSTITUTE(F2028,",5)",",9)")</f>
        <v>C(U6,19,9)</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35">
      <c r="A2033" s="45"/>
      <c r="B2033" s="54"/>
      <c r="C2033" s="47">
        <f t="shared" si="464"/>
        <v>4</v>
      </c>
      <c r="D2033" s="73"/>
      <c r="E2033" s="70"/>
      <c r="F2033" s="70" t="str">
        <f>SUBSTITUTE(F2029,",6)",",10)")</f>
        <v>C(U6,19,10)</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35">
      <c r="A2034" s="45"/>
      <c r="B2034" s="54"/>
      <c r="C2034" s="47">
        <f t="shared" si="464"/>
        <v>4</v>
      </c>
      <c r="D2034" s="73"/>
      <c r="E2034" s="70"/>
      <c r="F2034" s="70" t="str">
        <f>SUBSTITUTE(F2030,",7)",",11)")</f>
        <v>C(U6,19,11)</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35">
      <c r="A2035" s="45"/>
      <c r="B2035" s="54"/>
      <c r="C2035" s="47">
        <f t="shared" si="464"/>
        <v>4</v>
      </c>
      <c r="D2035" s="73"/>
      <c r="E2035" s="70"/>
      <c r="F2035" s="70" t="str">
        <f>SUBSTITUTE(F2029,",6)",",12)")</f>
        <v>C(U6,19,12)</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35">
      <c r="A2036" s="45"/>
      <c r="B2036" s="54"/>
      <c r="C2036" s="47">
        <f t="shared" si="464"/>
        <v>4</v>
      </c>
      <c r="D2036" s="73"/>
      <c r="E2036" s="70"/>
      <c r="F2036" s="70" t="str">
        <f>SUBSTITUTE(F2030,",7)",",13)")</f>
        <v>C(U6,19,13)</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35">
      <c r="A2037" s="45"/>
      <c r="B2037" s="54"/>
      <c r="C2037" s="47">
        <f t="shared" si="464"/>
        <v>4</v>
      </c>
      <c r="D2037" s="73"/>
      <c r="E2037" s="70"/>
      <c r="F2037" s="70" t="s">
        <v>3707</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35">
      <c r="A2038" s="45"/>
      <c r="B2038" s="54"/>
      <c r="C2038" s="47">
        <f t="shared" si="464"/>
        <v>4</v>
      </c>
      <c r="D2038" s="73"/>
      <c r="E2038" s="70"/>
      <c r="F2038" s="70" t="s">
        <v>3708</v>
      </c>
      <c r="G2038" s="73"/>
      <c r="H2038" s="76" t="s">
        <v>604</v>
      </c>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35">
      <c r="A2039" s="45"/>
      <c r="B2039" s="54"/>
      <c r="C2039" s="47">
        <f t="shared" si="464"/>
        <v>4</v>
      </c>
      <c r="D2039" s="73"/>
      <c r="E2039" s="70"/>
      <c r="F2039" s="70" t="s">
        <v>3709</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35">
      <c r="A2040" s="45"/>
      <c r="B2040" s="54"/>
      <c r="C2040" s="47">
        <f t="shared" si="464"/>
        <v>4</v>
      </c>
      <c r="D2040" s="73"/>
      <c r="E2040" s="70"/>
      <c r="F2040" s="70" t="s">
        <v>3710</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35">
      <c r="A2041" s="45"/>
      <c r="B2041" s="54"/>
      <c r="C2041" s="47">
        <f t="shared" si="464"/>
        <v>4</v>
      </c>
      <c r="D2041" s="73"/>
      <c r="E2041" s="70"/>
      <c r="F2041" s="70" t="s">
        <v>3711</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35">
      <c r="A2042" s="45"/>
      <c r="B2042" s="54"/>
      <c r="C2042" s="47">
        <f t="shared" si="464"/>
        <v>4</v>
      </c>
      <c r="D2042" s="73"/>
      <c r="E2042" s="70"/>
      <c r="F2042" s="70" t="s">
        <v>3712</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35">
      <c r="A2043" s="45"/>
      <c r="B2043" s="54"/>
      <c r="C2043" s="47"/>
      <c r="D2043" s="73"/>
      <c r="E2043" s="70"/>
      <c r="F2043" s="70" t="s">
        <v>3713</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35">
      <c r="A2044" s="45"/>
      <c r="B2044" s="54"/>
      <c r="C2044" s="47"/>
      <c r="D2044" s="73"/>
      <c r="E2044" s="70"/>
      <c r="F2044" s="70" t="s">
        <v>3714</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35">
      <c r="A2045" s="45"/>
      <c r="B2045" s="54"/>
      <c r="C2045" s="47"/>
      <c r="D2045" s="73"/>
      <c r="E2045" s="70"/>
      <c r="F2045" s="70" t="s">
        <v>3715</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35">
      <c r="A2046" s="45"/>
      <c r="B2046" s="54"/>
      <c r="C2046" s="47">
        <f t="shared" ref="C2046:C2057" si="465">INT($C$29)+3</f>
        <v>4</v>
      </c>
      <c r="D2046" s="73"/>
      <c r="E2046" s="70"/>
      <c r="F2046" s="70" t="str">
        <f>SUBSTITUTE(F2042,",4)",",8)")</f>
        <v>C(U6,20,8)</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35">
      <c r="A2047" s="45"/>
      <c r="B2047" s="54"/>
      <c r="C2047" s="47">
        <f t="shared" si="465"/>
        <v>4</v>
      </c>
      <c r="D2047" s="73"/>
      <c r="E2047" s="70"/>
      <c r="F2047" s="70" t="str">
        <f>SUBSTITUTE(F2043,",5)",",9)")</f>
        <v>C(U6,20,9)</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35">
      <c r="A2048" s="45"/>
      <c r="B2048" s="54"/>
      <c r="C2048" s="47">
        <f t="shared" si="465"/>
        <v>4</v>
      </c>
      <c r="D2048" s="73"/>
      <c r="E2048" s="70"/>
      <c r="F2048" s="70" t="str">
        <f>SUBSTITUTE(F2044,",6)",",10)")</f>
        <v>C(U6,20,10)</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35">
      <c r="A2049" s="45"/>
      <c r="B2049" s="54"/>
      <c r="C2049" s="47">
        <f t="shared" si="465"/>
        <v>4</v>
      </c>
      <c r="D2049" s="73"/>
      <c r="E2049" s="70"/>
      <c r="F2049" s="70" t="str">
        <f>SUBSTITUTE(F2045,",7)",",11)")</f>
        <v>C(U6,20,11)</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35">
      <c r="A2050" s="45"/>
      <c r="B2050" s="54"/>
      <c r="C2050" s="47">
        <f t="shared" si="465"/>
        <v>4</v>
      </c>
      <c r="D2050" s="73"/>
      <c r="E2050" s="70"/>
      <c r="F2050" s="70" t="str">
        <f>SUBSTITUTE(F2044,",6)",",12)")</f>
        <v>C(U6,20,12)</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35">
      <c r="A2051" s="45"/>
      <c r="B2051" s="54"/>
      <c r="C2051" s="47">
        <f t="shared" si="465"/>
        <v>4</v>
      </c>
      <c r="D2051" s="73"/>
      <c r="E2051" s="70"/>
      <c r="F2051" s="70" t="str">
        <f>SUBSTITUTE(F2045,",7)",",13)")</f>
        <v>C(U6,20,13)</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35">
      <c r="A2052" s="45"/>
      <c r="B2052" s="54"/>
      <c r="C2052" s="47">
        <f t="shared" si="465"/>
        <v>4</v>
      </c>
      <c r="D2052" s="73"/>
      <c r="E2052" s="70"/>
      <c r="F2052" s="70" t="s">
        <v>3716</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35">
      <c r="A2053" s="45"/>
      <c r="B2053" s="54"/>
      <c r="C2053" s="47">
        <f t="shared" si="465"/>
        <v>4</v>
      </c>
      <c r="D2053" s="73"/>
      <c r="E2053" s="70"/>
      <c r="F2053" s="70" t="s">
        <v>3717</v>
      </c>
      <c r="G2053" s="73"/>
      <c r="H2053" s="76" t="s">
        <v>604</v>
      </c>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35">
      <c r="A2054" s="45"/>
      <c r="B2054" s="54"/>
      <c r="C2054" s="47">
        <f t="shared" si="465"/>
        <v>4</v>
      </c>
      <c r="D2054" s="73"/>
      <c r="E2054" s="70"/>
      <c r="F2054" s="70" t="s">
        <v>3718</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35">
      <c r="A2055" s="45"/>
      <c r="B2055" s="54"/>
      <c r="C2055" s="47">
        <f t="shared" si="465"/>
        <v>4</v>
      </c>
      <c r="D2055" s="73"/>
      <c r="E2055" s="70"/>
      <c r="F2055" s="70" t="s">
        <v>3719</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35">
      <c r="A2056" s="45"/>
      <c r="B2056" s="54"/>
      <c r="C2056" s="47">
        <f t="shared" si="465"/>
        <v>4</v>
      </c>
      <c r="D2056" s="73"/>
      <c r="E2056" s="70"/>
      <c r="F2056" s="70" t="s">
        <v>3720</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35">
      <c r="A2057" s="45"/>
      <c r="B2057" s="54"/>
      <c r="C2057" s="47">
        <f t="shared" si="465"/>
        <v>4</v>
      </c>
      <c r="D2057" s="73"/>
      <c r="E2057" s="70"/>
      <c r="F2057" s="70" t="s">
        <v>3721</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35">
      <c r="A2058" s="45"/>
      <c r="B2058" s="54"/>
      <c r="C2058" s="47"/>
      <c r="D2058" s="73"/>
      <c r="E2058" s="70"/>
      <c r="F2058" s="70" t="s">
        <v>3722</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35">
      <c r="A2059" s="45"/>
      <c r="B2059" s="54"/>
      <c r="C2059" s="47"/>
      <c r="D2059" s="73"/>
      <c r="E2059" s="70"/>
      <c r="F2059" s="70" t="s">
        <v>3723</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35">
      <c r="A2060" s="45"/>
      <c r="B2060" s="54"/>
      <c r="C2060" s="47"/>
      <c r="D2060" s="73"/>
      <c r="E2060" s="70"/>
      <c r="F2060" s="70" t="s">
        <v>3724</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35">
      <c r="A2061" s="45"/>
      <c r="B2061" s="54"/>
      <c r="C2061" s="47">
        <f t="shared" ref="C2061:C2072" si="466">INT($C$29)+3</f>
        <v>4</v>
      </c>
      <c r="D2061" s="73"/>
      <c r="E2061" s="70"/>
      <c r="F2061" s="70" t="str">
        <f>SUBSTITUTE(F2057,",4)",",8)")</f>
        <v>C(U6,21,8)</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35">
      <c r="A2062" s="45"/>
      <c r="B2062" s="54"/>
      <c r="C2062" s="47">
        <f t="shared" si="466"/>
        <v>4</v>
      </c>
      <c r="D2062" s="73"/>
      <c r="E2062" s="70"/>
      <c r="F2062" s="70" t="str">
        <f>SUBSTITUTE(F2058,",5)",",9)")</f>
        <v>C(U6,21,9)</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35">
      <c r="A2063" s="45"/>
      <c r="B2063" s="54"/>
      <c r="C2063" s="47">
        <f t="shared" si="466"/>
        <v>4</v>
      </c>
      <c r="D2063" s="73"/>
      <c r="E2063" s="70"/>
      <c r="F2063" s="70" t="str">
        <f>SUBSTITUTE(F2059,",6)",",10)")</f>
        <v>C(U6,21,10)</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35">
      <c r="A2064" s="45"/>
      <c r="B2064" s="54"/>
      <c r="C2064" s="47">
        <f t="shared" si="466"/>
        <v>4</v>
      </c>
      <c r="D2064" s="73"/>
      <c r="E2064" s="70"/>
      <c r="F2064" s="70" t="str">
        <f>SUBSTITUTE(F2060,",7)",",11)")</f>
        <v>C(U6,21,11)</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35">
      <c r="A2065" s="45"/>
      <c r="B2065" s="54"/>
      <c r="C2065" s="47">
        <f t="shared" si="466"/>
        <v>4</v>
      </c>
      <c r="D2065" s="73"/>
      <c r="E2065" s="70"/>
      <c r="F2065" s="70" t="str">
        <f>SUBSTITUTE(F2059,",6)",",12)")</f>
        <v>C(U6,21,12)</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35">
      <c r="A2066" s="45"/>
      <c r="B2066" s="54"/>
      <c r="C2066" s="47">
        <f t="shared" si="466"/>
        <v>4</v>
      </c>
      <c r="D2066" s="73"/>
      <c r="E2066" s="70"/>
      <c r="F2066" s="70" t="str">
        <f>SUBSTITUTE(F2060,",7)",",13)")</f>
        <v>C(U6,21,13)</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35">
      <c r="A2067" s="45"/>
      <c r="B2067" s="54"/>
      <c r="C2067" s="47">
        <f t="shared" si="466"/>
        <v>4</v>
      </c>
      <c r="D2067" s="73"/>
      <c r="E2067" s="70"/>
      <c r="F2067" s="70" t="s">
        <v>3725</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35">
      <c r="A2068" s="45"/>
      <c r="B2068" s="54"/>
      <c r="C2068" s="47">
        <f t="shared" si="466"/>
        <v>4</v>
      </c>
      <c r="D2068" s="73"/>
      <c r="E2068" s="70"/>
      <c r="F2068" s="70" t="s">
        <v>3726</v>
      </c>
      <c r="G2068" s="73"/>
      <c r="H2068" s="76" t="s">
        <v>604</v>
      </c>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35">
      <c r="A2069" s="45"/>
      <c r="B2069" s="54"/>
      <c r="C2069" s="47">
        <f t="shared" si="466"/>
        <v>4</v>
      </c>
      <c r="D2069" s="73"/>
      <c r="E2069" s="70"/>
      <c r="F2069" s="70" t="s">
        <v>3727</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35">
      <c r="A2070" s="45"/>
      <c r="B2070" s="54"/>
      <c r="C2070" s="47">
        <f t="shared" si="466"/>
        <v>4</v>
      </c>
      <c r="D2070" s="73"/>
      <c r="E2070" s="70"/>
      <c r="F2070" s="70" t="s">
        <v>3728</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35">
      <c r="A2071" s="45"/>
      <c r="B2071" s="54"/>
      <c r="C2071" s="47">
        <f t="shared" si="466"/>
        <v>4</v>
      </c>
      <c r="D2071" s="73"/>
      <c r="E2071" s="70"/>
      <c r="F2071" s="70" t="s">
        <v>3729</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35">
      <c r="A2072" s="45"/>
      <c r="B2072" s="54"/>
      <c r="C2072" s="47">
        <f t="shared" si="466"/>
        <v>4</v>
      </c>
      <c r="D2072" s="73"/>
      <c r="E2072" s="70"/>
      <c r="F2072" s="70" t="s">
        <v>3730</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35">
      <c r="A2073" s="45"/>
      <c r="B2073" s="54"/>
      <c r="C2073" s="47"/>
      <c r="D2073" s="73"/>
      <c r="E2073" s="70"/>
      <c r="F2073" s="70" t="s">
        <v>3731</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35">
      <c r="A2074" s="45"/>
      <c r="B2074" s="54"/>
      <c r="C2074" s="47"/>
      <c r="D2074" s="73"/>
      <c r="E2074" s="70"/>
      <c r="F2074" s="70" t="s">
        <v>3732</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35">
      <c r="A2075" s="45"/>
      <c r="B2075" s="54"/>
      <c r="C2075" s="47"/>
      <c r="D2075" s="73"/>
      <c r="E2075" s="70"/>
      <c r="F2075" s="70" t="s">
        <v>3733</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35">
      <c r="A2076" s="45"/>
      <c r="B2076" s="54"/>
      <c r="C2076" s="47">
        <f>INT($C$29)+3</f>
        <v>4</v>
      </c>
      <c r="D2076" s="73"/>
      <c r="E2076" s="70"/>
      <c r="F2076" s="70" t="str">
        <f>SUBSTITUTE(F2072,",4)",",8)")</f>
        <v>C(U6,22,8)</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35">
      <c r="A2077" s="45"/>
      <c r="B2077" s="54"/>
      <c r="C2077" s="47">
        <f>INT($C$29)+3</f>
        <v>4</v>
      </c>
      <c r="D2077" s="73"/>
      <c r="E2077" s="70"/>
      <c r="F2077" s="70" t="str">
        <f>SUBSTITUTE(F2073,",5)",",9)")</f>
        <v>C(U6,22,9)</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35">
      <c r="A2078" s="45"/>
      <c r="B2078" s="54"/>
      <c r="C2078" s="47">
        <f>INT($C$29)+3</f>
        <v>4</v>
      </c>
      <c r="D2078" s="73"/>
      <c r="E2078" s="70"/>
      <c r="F2078" s="70" t="str">
        <f>SUBSTITUTE(F2074,",6)",",10)")</f>
        <v>C(U6,22,10)</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35">
      <c r="A2079" s="45"/>
      <c r="B2079" s="54"/>
      <c r="C2079" s="47">
        <f>INT($C$29)+3</f>
        <v>4</v>
      </c>
      <c r="D2079" s="73"/>
      <c r="E2079" s="70"/>
      <c r="F2079" s="70" t="str">
        <f>SUBSTITUTE(F2075,",7)",",11)")</f>
        <v>C(U6,22,11)</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35">
      <c r="A2080" s="45"/>
      <c r="B2080" s="54"/>
      <c r="C2080" s="47">
        <f t="shared" ref="C2080:C2081" si="467">INT($C$29)+3</f>
        <v>4</v>
      </c>
      <c r="D2080" s="73"/>
      <c r="E2080" s="70"/>
      <c r="F2080" s="70" t="str">
        <f>SUBSTITUTE(F2074,",6)",",12)")</f>
        <v>C(U6,22,12)</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35">
      <c r="A2081" s="45"/>
      <c r="B2081" s="54"/>
      <c r="C2081" s="47">
        <f t="shared" si="467"/>
        <v>4</v>
      </c>
      <c r="D2081" s="73"/>
      <c r="E2081" s="70"/>
      <c r="F2081" s="70" t="str">
        <f>SUBSTITUTE(F2075,",7)",",13)")</f>
        <v>C(U6,22,13)</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35">
      <c r="A2082" s="45"/>
      <c r="B2082" s="54"/>
      <c r="C2082" s="47">
        <f>INT($C$29)+3</f>
        <v>4</v>
      </c>
      <c r="D2082" s="73"/>
      <c r="E2082" s="398"/>
      <c r="F2082" s="398" t="s">
        <v>3734</v>
      </c>
      <c r="G2082" s="73"/>
      <c r="H2082" s="109"/>
      <c r="I2082" s="109"/>
      <c r="J2082" s="109"/>
      <c r="K2082" s="109"/>
      <c r="L2082" s="109"/>
      <c r="M2082" s="109"/>
      <c r="N2082" s="109"/>
      <c r="O2082" s="109"/>
      <c r="P2082" s="109"/>
      <c r="Q2082" s="109"/>
      <c r="R2082" s="109"/>
      <c r="S2082" s="109"/>
      <c r="T2082" s="109"/>
      <c r="U2082" s="109"/>
      <c r="V2082" s="109"/>
      <c r="W2082" s="109"/>
      <c r="X2082" s="109"/>
      <c r="Y2082" s="109"/>
      <c r="Z2082" s="109"/>
      <c r="AA2082" s="109"/>
      <c r="AB2082" s="109"/>
      <c r="AC2082" s="109"/>
      <c r="AD2082" s="109"/>
      <c r="AE2082" s="109"/>
      <c r="AF2082" s="109"/>
      <c r="AG2082" s="109"/>
      <c r="AH2082" s="109">
        <v>1</v>
      </c>
      <c r="AI2082" s="109">
        <v>1</v>
      </c>
      <c r="AJ2082" s="73"/>
      <c r="AK2082" s="57"/>
      <c r="AL2082" s="45"/>
      <c r="AM2082" s="45"/>
      <c r="AN2082" s="45"/>
    </row>
    <row r="2083" spans="1:40" outlineLevel="2" x14ac:dyDescent="0.35">
      <c r="A2083" s="45"/>
      <c r="B2083" s="54"/>
      <c r="C2083" s="47">
        <f>INT($C$29)+2</f>
        <v>3</v>
      </c>
      <c r="D2083" s="73"/>
      <c r="E2083" s="70"/>
      <c r="F2083" s="70" t="s">
        <v>3735</v>
      </c>
      <c r="G2083" s="73"/>
      <c r="H2083" s="76" t="s">
        <v>3364</v>
      </c>
      <c r="I2083" s="76"/>
      <c r="J2083" s="76"/>
      <c r="K2083" s="76"/>
      <c r="L2083" s="76"/>
      <c r="M2083" s="76"/>
      <c r="N2083" s="76"/>
      <c r="O2083" s="76"/>
      <c r="P2083" s="76"/>
      <c r="Q2083" s="76"/>
      <c r="R2083" s="76"/>
      <c r="S2083" s="76"/>
      <c r="T2083" s="76"/>
      <c r="U2083" s="97">
        <v>-1.0469999999999999</v>
      </c>
      <c r="V2083" s="255">
        <f>U2083</f>
        <v>-1.0469999999999999</v>
      </c>
      <c r="W2083" s="255">
        <f t="shared" ref="W2083:W2084" si="468">U2083</f>
        <v>-1.0469999999999999</v>
      </c>
      <c r="X2083" s="255">
        <f t="shared" ref="X2083:X2084" si="469">V2083</f>
        <v>-1.0469999999999999</v>
      </c>
      <c r="Y2083" s="255">
        <f>V2083</f>
        <v>-1.0469999999999999</v>
      </c>
      <c r="Z2083" s="255">
        <f>AA2083</f>
        <v>-1.0469999999999999</v>
      </c>
      <c r="AA2083" s="97">
        <f>U2083</f>
        <v>-1.0469999999999999</v>
      </c>
      <c r="AB2083" s="255">
        <f t="shared" ref="AB2083:AB2084" si="470">AA2083</f>
        <v>-1.0469999999999999</v>
      </c>
      <c r="AC2083" s="255">
        <f t="shared" ref="AC2083:AC2084" si="471">AB2083</f>
        <v>-1.0469999999999999</v>
      </c>
      <c r="AD2083" s="255">
        <f t="shared" ref="AD2083:AD2084" si="472">AC2083</f>
        <v>-1.0469999999999999</v>
      </c>
      <c r="AE2083" s="76"/>
      <c r="AF2083" s="97" t="s">
        <v>3608</v>
      </c>
      <c r="AG2083" s="76"/>
      <c r="AH2083" s="76">
        <v>1</v>
      </c>
      <c r="AI2083" s="76">
        <v>1</v>
      </c>
      <c r="AJ2083" s="73"/>
      <c r="AK2083" s="57"/>
      <c r="AL2083" s="45"/>
      <c r="AM2083" s="45"/>
      <c r="AN2083" s="45"/>
    </row>
    <row r="2084" spans="1:40" outlineLevel="2" collapsed="1" x14ac:dyDescent="0.35">
      <c r="A2084" s="45"/>
      <c r="B2084" s="54"/>
      <c r="C2084" s="47">
        <f>INT($C$29)+2</f>
        <v>3</v>
      </c>
      <c r="D2084" s="73"/>
      <c r="E2084" s="70"/>
      <c r="F2084" s="70" t="s">
        <v>3736</v>
      </c>
      <c r="G2084" s="73"/>
      <c r="H2084" s="76" t="s">
        <v>3365</v>
      </c>
      <c r="I2084" s="76"/>
      <c r="J2084" s="76"/>
      <c r="K2084" s="76"/>
      <c r="L2084" s="76"/>
      <c r="M2084" s="76"/>
      <c r="N2084" s="76"/>
      <c r="O2084" s="76"/>
      <c r="P2084" s="76"/>
      <c r="Q2084" s="76"/>
      <c r="R2084" s="76"/>
      <c r="S2084" s="76"/>
      <c r="T2084" s="76"/>
      <c r="U2084" s="97">
        <v>7.5389999999999997E-3</v>
      </c>
      <c r="V2084" s="255">
        <f>U2084</f>
        <v>7.5389999999999997E-3</v>
      </c>
      <c r="W2084" s="255">
        <f t="shared" si="468"/>
        <v>7.5389999999999997E-3</v>
      </c>
      <c r="X2084" s="255">
        <f t="shared" si="469"/>
        <v>7.5389999999999997E-3</v>
      </c>
      <c r="Y2084" s="255">
        <f>V2084</f>
        <v>7.5389999999999997E-3</v>
      </c>
      <c r="Z2084" s="255">
        <f>AA2084</f>
        <v>7.5389999999999997E-3</v>
      </c>
      <c r="AA2084" s="97">
        <f t="shared" ref="AA2084" si="473">U2084</f>
        <v>7.5389999999999997E-3</v>
      </c>
      <c r="AB2084" s="255">
        <f t="shared" si="470"/>
        <v>7.5389999999999997E-3</v>
      </c>
      <c r="AC2084" s="255">
        <f t="shared" si="471"/>
        <v>7.5389999999999997E-3</v>
      </c>
      <c r="AD2084" s="255">
        <f t="shared" si="472"/>
        <v>7.5389999999999997E-3</v>
      </c>
      <c r="AE2084" s="76"/>
      <c r="AF2084" s="97" t="s">
        <v>3366</v>
      </c>
      <c r="AG2084" s="76"/>
      <c r="AH2084" s="76">
        <v>1</v>
      </c>
      <c r="AI2084" s="76">
        <v>1</v>
      </c>
      <c r="AJ2084" s="73"/>
      <c r="AK2084" s="57"/>
      <c r="AL2084" s="45"/>
      <c r="AM2084" s="45"/>
      <c r="AN2084" s="45"/>
    </row>
    <row r="2085" spans="1:40" hidden="1" outlineLevel="3" x14ac:dyDescent="0.35">
      <c r="A2085" s="45"/>
      <c r="B2085" s="54"/>
      <c r="C2085" s="47">
        <f t="shared" ref="C2085:C2096" si="474">INT($C$29)+3</f>
        <v>4</v>
      </c>
      <c r="D2085" s="73"/>
      <c r="E2085" s="70"/>
      <c r="F2085" s="70" t="s">
        <v>3737</v>
      </c>
      <c r="G2085" s="73"/>
      <c r="H2085" s="373" t="s">
        <v>3514</v>
      </c>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v>1</v>
      </c>
      <c r="AI2085" s="76">
        <v>1</v>
      </c>
      <c r="AJ2085" s="73"/>
      <c r="AK2085" s="57"/>
      <c r="AL2085" s="45"/>
      <c r="AM2085" s="45"/>
      <c r="AN2085" s="45"/>
    </row>
    <row r="2086" spans="1:40" hidden="1" outlineLevel="3" x14ac:dyDescent="0.35">
      <c r="A2086" s="45"/>
      <c r="B2086" s="54"/>
      <c r="C2086" s="47">
        <f t="shared" si="474"/>
        <v>4</v>
      </c>
      <c r="D2086" s="73"/>
      <c r="E2086" s="70"/>
      <c r="F2086" s="70" t="s">
        <v>3738</v>
      </c>
      <c r="G2086" s="73"/>
      <c r="H2086" s="373" t="s">
        <v>3508</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outlineLevel="2" collapsed="1" x14ac:dyDescent="0.35">
      <c r="A2087" s="45"/>
      <c r="B2087" s="54"/>
      <c r="C2087" s="47">
        <f t="shared" si="474"/>
        <v>4</v>
      </c>
      <c r="D2087" s="73"/>
      <c r="E2087" s="70"/>
      <c r="F2087" s="70" t="s">
        <v>3739</v>
      </c>
      <c r="G2087" s="73"/>
      <c r="H2087" s="76" t="s">
        <v>3604</v>
      </c>
      <c r="I2087" s="76"/>
      <c r="J2087" s="76"/>
      <c r="K2087" s="76"/>
      <c r="L2087" s="76"/>
      <c r="M2087" s="76"/>
      <c r="N2087" s="76"/>
      <c r="O2087" s="76"/>
      <c r="P2087" s="76"/>
      <c r="Q2087" s="76"/>
      <c r="R2087" s="76"/>
      <c r="S2087" s="76"/>
      <c r="T2087" s="76"/>
      <c r="U2087" s="97">
        <v>-0.23419999999999999</v>
      </c>
      <c r="V2087" s="255">
        <f>U2087</f>
        <v>-0.23419999999999999</v>
      </c>
      <c r="W2087" s="255">
        <f t="shared" ref="W2087:W2090" si="475">U2087</f>
        <v>-0.23419999999999999</v>
      </c>
      <c r="X2087" s="255">
        <f t="shared" ref="X2087:X2090" si="476">V2087</f>
        <v>-0.23419999999999999</v>
      </c>
      <c r="Y2087" s="255">
        <f>V2087</f>
        <v>-0.23419999999999999</v>
      </c>
      <c r="Z2087" s="255">
        <f>AA2087</f>
        <v>-0.23419999999999999</v>
      </c>
      <c r="AA2087" s="97">
        <f t="shared" ref="AA2087:AA2090" si="477">U2087</f>
        <v>-0.23419999999999999</v>
      </c>
      <c r="AB2087" s="255">
        <f t="shared" ref="AB2087:AB2090" si="478">AA2087</f>
        <v>-0.23419999999999999</v>
      </c>
      <c r="AC2087" s="255">
        <f t="shared" ref="AC2087:AC2090" si="479">AB2087</f>
        <v>-0.23419999999999999</v>
      </c>
      <c r="AD2087" s="255">
        <f t="shared" ref="AD2087:AD2090" si="480">AC2087</f>
        <v>-0.23419999999999999</v>
      </c>
      <c r="AE2087" s="76"/>
      <c r="AF2087" s="76"/>
      <c r="AG2087" s="76"/>
      <c r="AH2087" s="97">
        <v>1</v>
      </c>
      <c r="AI2087" s="97">
        <v>1</v>
      </c>
      <c r="AJ2087" s="73"/>
      <c r="AK2087" s="57"/>
      <c r="AL2087" s="45"/>
      <c r="AM2087" s="45"/>
      <c r="AN2087" s="45"/>
    </row>
    <row r="2088" spans="1:40" hidden="1" outlineLevel="3" x14ac:dyDescent="0.35">
      <c r="A2088" s="45"/>
      <c r="B2088" s="54"/>
      <c r="C2088" s="47">
        <f t="shared" si="474"/>
        <v>4</v>
      </c>
      <c r="D2088" s="73"/>
      <c r="E2088" s="70"/>
      <c r="F2088" s="70" t="s">
        <v>3740</v>
      </c>
      <c r="G2088" s="73"/>
      <c r="H2088" s="76" t="s">
        <v>3605</v>
      </c>
      <c r="I2088" s="76"/>
      <c r="J2088" s="76"/>
      <c r="K2088" s="76"/>
      <c r="L2088" s="76"/>
      <c r="M2088" s="76"/>
      <c r="N2088" s="76"/>
      <c r="O2088" s="76"/>
      <c r="P2088" s="76"/>
      <c r="Q2088" s="76"/>
      <c r="R2088" s="76"/>
      <c r="S2088" s="76"/>
      <c r="T2088" s="76"/>
      <c r="U2088" s="97"/>
      <c r="V2088" s="255">
        <f t="shared" ref="V2088" si="481">U2088</f>
        <v>0</v>
      </c>
      <c r="W2088" s="255">
        <f t="shared" si="475"/>
        <v>0</v>
      </c>
      <c r="X2088" s="255">
        <f t="shared" si="476"/>
        <v>0</v>
      </c>
      <c r="Y2088" s="255">
        <f t="shared" ref="Y2088" si="482">V2088</f>
        <v>0</v>
      </c>
      <c r="Z2088" s="255">
        <f t="shared" ref="Z2088" si="483">AA2088</f>
        <v>0</v>
      </c>
      <c r="AA2088" s="97">
        <f t="shared" si="477"/>
        <v>0</v>
      </c>
      <c r="AB2088" s="255">
        <f t="shared" si="478"/>
        <v>0</v>
      </c>
      <c r="AC2088" s="255">
        <f t="shared" si="479"/>
        <v>0</v>
      </c>
      <c r="AD2088" s="255">
        <f t="shared" si="480"/>
        <v>0</v>
      </c>
      <c r="AE2088" s="76"/>
      <c r="AF2088" s="76"/>
      <c r="AG2088" s="76"/>
      <c r="AH2088" s="76">
        <v>1</v>
      </c>
      <c r="AI2088" s="76">
        <v>1</v>
      </c>
      <c r="AJ2088" s="73"/>
      <c r="AK2088" s="57"/>
      <c r="AL2088" s="45"/>
      <c r="AM2088" s="45"/>
      <c r="AN2088" s="45"/>
    </row>
    <row r="2089" spans="1:40" outlineLevel="2" collapsed="1" x14ac:dyDescent="0.35">
      <c r="A2089" s="45"/>
      <c r="B2089" s="54"/>
      <c r="C2089" s="47">
        <f t="shared" si="474"/>
        <v>4</v>
      </c>
      <c r="D2089" s="73"/>
      <c r="E2089" s="70"/>
      <c r="F2089" s="70" t="s">
        <v>3741</v>
      </c>
      <c r="G2089" s="73"/>
      <c r="H2089" s="76" t="s">
        <v>3606</v>
      </c>
      <c r="I2089" s="76"/>
      <c r="J2089" s="76"/>
      <c r="K2089" s="76"/>
      <c r="L2089" s="76"/>
      <c r="M2089" s="76"/>
      <c r="N2089" s="76"/>
      <c r="O2089" s="76"/>
      <c r="P2089" s="76"/>
      <c r="Q2089" s="76"/>
      <c r="R2089" s="76"/>
      <c r="S2089" s="76"/>
      <c r="T2089" s="76"/>
      <c r="U2089" s="97">
        <v>-0.24959999999999999</v>
      </c>
      <c r="V2089" s="255">
        <f>U2089</f>
        <v>-0.24959999999999999</v>
      </c>
      <c r="W2089" s="255">
        <f t="shared" si="475"/>
        <v>-0.24959999999999999</v>
      </c>
      <c r="X2089" s="255">
        <f t="shared" si="476"/>
        <v>-0.24959999999999999</v>
      </c>
      <c r="Y2089" s="255">
        <f>V2089</f>
        <v>-0.24959999999999999</v>
      </c>
      <c r="Z2089" s="255">
        <f>AA2089</f>
        <v>-0.24959999999999999</v>
      </c>
      <c r="AA2089" s="97">
        <f t="shared" si="477"/>
        <v>-0.24959999999999999</v>
      </c>
      <c r="AB2089" s="255">
        <f t="shared" si="478"/>
        <v>-0.24959999999999999</v>
      </c>
      <c r="AC2089" s="255">
        <f t="shared" si="479"/>
        <v>-0.24959999999999999</v>
      </c>
      <c r="AD2089" s="255">
        <f t="shared" si="480"/>
        <v>-0.24959999999999999</v>
      </c>
      <c r="AE2089" s="76"/>
      <c r="AF2089" s="76"/>
      <c r="AG2089" s="76"/>
      <c r="AH2089" s="97">
        <v>1</v>
      </c>
      <c r="AI2089" s="97">
        <v>1</v>
      </c>
      <c r="AJ2089" s="73"/>
      <c r="AK2089" s="57"/>
      <c r="AL2089" s="45"/>
      <c r="AM2089" s="45"/>
      <c r="AN2089" s="45"/>
    </row>
    <row r="2090" spans="1:40" hidden="1" outlineLevel="3" x14ac:dyDescent="0.35">
      <c r="A2090" s="45"/>
      <c r="B2090" s="54"/>
      <c r="C2090" s="47">
        <f t="shared" si="474"/>
        <v>4</v>
      </c>
      <c r="D2090" s="73"/>
      <c r="E2090" s="70"/>
      <c r="F2090" s="70" t="s">
        <v>3742</v>
      </c>
      <c r="G2090" s="73"/>
      <c r="H2090" s="76" t="s">
        <v>3607</v>
      </c>
      <c r="I2090" s="76"/>
      <c r="J2090" s="76"/>
      <c r="K2090" s="76"/>
      <c r="L2090" s="76"/>
      <c r="M2090" s="76"/>
      <c r="N2090" s="76"/>
      <c r="O2090" s="76"/>
      <c r="P2090" s="76"/>
      <c r="Q2090" s="76"/>
      <c r="R2090" s="76"/>
      <c r="S2090" s="76"/>
      <c r="T2090" s="76"/>
      <c r="U2090" s="97"/>
      <c r="V2090" s="255">
        <f t="shared" ref="V2090" si="484">U2090</f>
        <v>0</v>
      </c>
      <c r="W2090" s="255">
        <f t="shared" si="475"/>
        <v>0</v>
      </c>
      <c r="X2090" s="255">
        <f t="shared" si="476"/>
        <v>0</v>
      </c>
      <c r="Y2090" s="255">
        <f t="shared" ref="Y2090" si="485">V2090</f>
        <v>0</v>
      </c>
      <c r="Z2090" s="255">
        <f t="shared" ref="Z2090" si="486">AA2090</f>
        <v>0</v>
      </c>
      <c r="AA2090" s="97">
        <f t="shared" si="477"/>
        <v>0</v>
      </c>
      <c r="AB2090" s="255">
        <f t="shared" si="478"/>
        <v>0</v>
      </c>
      <c r="AC2090" s="255">
        <f t="shared" si="479"/>
        <v>0</v>
      </c>
      <c r="AD2090" s="255">
        <f t="shared" si="480"/>
        <v>0</v>
      </c>
      <c r="AE2090" s="76"/>
      <c r="AF2090" s="76"/>
      <c r="AG2090" s="76"/>
      <c r="AH2090" s="76">
        <v>1</v>
      </c>
      <c r="AI2090" s="76">
        <v>1</v>
      </c>
      <c r="AJ2090" s="73"/>
      <c r="AK2090" s="57"/>
      <c r="AL2090" s="45"/>
      <c r="AM2090" s="45"/>
      <c r="AN2090" s="45"/>
    </row>
    <row r="2091" spans="1:40" hidden="1" outlineLevel="3" x14ac:dyDescent="0.35">
      <c r="A2091" s="45"/>
      <c r="B2091" s="54"/>
      <c r="C2091" s="47">
        <f t="shared" si="474"/>
        <v>4</v>
      </c>
      <c r="D2091" s="73"/>
      <c r="E2091" s="70"/>
      <c r="F2091" s="70" t="str">
        <f>SUBSTITUTE(F2087,",4)",",8)")</f>
        <v>C(U6,23,8)</v>
      </c>
      <c r="G2091" s="73"/>
      <c r="H2091" s="373" t="s">
        <v>3370</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v>1</v>
      </c>
      <c r="AI2091" s="76">
        <v>1</v>
      </c>
      <c r="AJ2091" s="73"/>
      <c r="AK2091" s="57"/>
      <c r="AL2091" s="45"/>
      <c r="AM2091" s="45"/>
      <c r="AN2091" s="45"/>
    </row>
    <row r="2092" spans="1:40" hidden="1" outlineLevel="3" x14ac:dyDescent="0.35">
      <c r="A2092" s="45"/>
      <c r="B2092" s="54"/>
      <c r="C2092" s="47">
        <f t="shared" si="474"/>
        <v>4</v>
      </c>
      <c r="D2092" s="73"/>
      <c r="E2092" s="70"/>
      <c r="F2092" s="70" t="str">
        <f>SUBSTITUTE(F2088,",5)",",9)")</f>
        <v>C(U6,23,9)</v>
      </c>
      <c r="G2092" s="73"/>
      <c r="H2092" s="373" t="s">
        <v>3371</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35">
      <c r="A2093" s="45"/>
      <c r="B2093" s="54"/>
      <c r="C2093" s="47">
        <f t="shared" si="474"/>
        <v>4</v>
      </c>
      <c r="D2093" s="73"/>
      <c r="E2093" s="70"/>
      <c r="F2093" s="70" t="str">
        <f>SUBSTITUTE(F2089,",6)",",10)")</f>
        <v>C(U6,23,10)</v>
      </c>
      <c r="G2093" s="73"/>
      <c r="H2093" s="373" t="s">
        <v>3372</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collapsed="1" x14ac:dyDescent="0.35">
      <c r="A2094" s="45"/>
      <c r="B2094" s="54"/>
      <c r="C2094" s="47">
        <f t="shared" si="474"/>
        <v>4</v>
      </c>
      <c r="D2094" s="73"/>
      <c r="E2094" s="70"/>
      <c r="F2094" s="70" t="str">
        <f>SUBSTITUTE(F2090,",7)",",11)")</f>
        <v>C(U6,23,11)</v>
      </c>
      <c r="G2094" s="73"/>
      <c r="H2094" s="373" t="s">
        <v>3373</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35">
      <c r="A2095" s="45"/>
      <c r="B2095" s="54"/>
      <c r="C2095" s="47">
        <f t="shared" si="474"/>
        <v>4</v>
      </c>
      <c r="D2095" s="73"/>
      <c r="E2095" s="70"/>
      <c r="F2095" s="70" t="str">
        <f>SUBSTITUTE(F2089,",6)",",12)")</f>
        <v>C(U6,23,12)</v>
      </c>
      <c r="G2095" s="73"/>
      <c r="H2095" s="373" t="s">
        <v>3374</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35">
      <c r="A2096" s="45"/>
      <c r="B2096" s="54"/>
      <c r="C2096" s="47">
        <f t="shared" si="474"/>
        <v>4</v>
      </c>
      <c r="D2096" s="73"/>
      <c r="E2096" s="70"/>
      <c r="F2096" s="70" t="str">
        <f>SUBSTITUTE(F2090,",7)",",13)")</f>
        <v>C(U6,23,13)</v>
      </c>
      <c r="G2096" s="73"/>
      <c r="H2096" s="373" t="s">
        <v>3375</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outlineLevel="2" x14ac:dyDescent="0.35">
      <c r="A2097" s="45"/>
      <c r="B2097" s="54"/>
      <c r="C2097" s="47">
        <f>INT($C$29)+2</f>
        <v>3</v>
      </c>
      <c r="D2097" s="73"/>
      <c r="E2097" s="70"/>
      <c r="F2097" s="70" t="s">
        <v>3743</v>
      </c>
      <c r="G2097" s="73"/>
      <c r="H2097" s="76" t="s">
        <v>3376</v>
      </c>
      <c r="I2097" s="76"/>
      <c r="J2097" s="76"/>
      <c r="K2097" s="76"/>
      <c r="L2097" s="76"/>
      <c r="M2097" s="76"/>
      <c r="N2097" s="76"/>
      <c r="O2097" s="76"/>
      <c r="P2097" s="76"/>
      <c r="Q2097" s="76"/>
      <c r="R2097" s="76"/>
      <c r="S2097" s="76"/>
      <c r="T2097" s="76"/>
      <c r="U2097" s="97">
        <v>28.52</v>
      </c>
      <c r="V2097" s="255">
        <f t="shared" ref="V2097" si="487">U2097</f>
        <v>28.52</v>
      </c>
      <c r="W2097" s="255">
        <f t="shared" ref="W2097" si="488">U2097</f>
        <v>28.52</v>
      </c>
      <c r="X2097" s="255">
        <f t="shared" ref="X2097" si="489">V2097</f>
        <v>28.52</v>
      </c>
      <c r="Y2097" s="255">
        <f t="shared" ref="Y2097" si="490">V2097</f>
        <v>28.52</v>
      </c>
      <c r="Z2097" s="255">
        <f t="shared" ref="Z2097" si="491">AA2097</f>
        <v>28.52</v>
      </c>
      <c r="AA2097" s="97">
        <f>U2097</f>
        <v>28.52</v>
      </c>
      <c r="AB2097" s="255">
        <f t="shared" ref="AB2097" si="492">AA2097</f>
        <v>28.52</v>
      </c>
      <c r="AC2097" s="255">
        <f t="shared" ref="AC2097" si="493">AB2097</f>
        <v>28.52</v>
      </c>
      <c r="AD2097" s="255">
        <f t="shared" ref="AD2097" si="494">AC2097</f>
        <v>28.52</v>
      </c>
      <c r="AE2097" s="76"/>
      <c r="AF2097" s="97"/>
      <c r="AG2097" s="76"/>
      <c r="AH2097" s="97">
        <v>1</v>
      </c>
      <c r="AI2097" s="97">
        <v>1</v>
      </c>
      <c r="AJ2097" s="73"/>
      <c r="AK2097" s="57"/>
      <c r="AL2097" s="45"/>
      <c r="AM2097" s="45"/>
      <c r="AN2097" s="45"/>
    </row>
    <row r="2098" spans="1:40" outlineLevel="2" x14ac:dyDescent="0.35">
      <c r="A2098" s="45"/>
      <c r="B2098" s="54"/>
      <c r="C2098" s="47">
        <f>INT($C$29)+2</f>
        <v>3</v>
      </c>
      <c r="D2098" s="73"/>
      <c r="E2098" s="70"/>
      <c r="F2098" s="70"/>
      <c r="G2098" s="73"/>
      <c r="H2098" s="76"/>
      <c r="I2098" s="7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c r="AJ2098" s="73"/>
      <c r="AK2098" s="57"/>
      <c r="AL2098" s="45"/>
      <c r="AM2098" s="45"/>
      <c r="AN2098" s="45"/>
    </row>
    <row r="2099" spans="1:40" outlineLevel="2" collapsed="1" x14ac:dyDescent="0.3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t="5.15" hidden="1" customHeight="1" outlineLevel="3" x14ac:dyDescent="0.35">
      <c r="A2100" s="45"/>
      <c r="B2100" s="54"/>
      <c r="C2100" s="47">
        <f>INT($C$29)+3.005</f>
        <v>4.0049999999999999</v>
      </c>
      <c r="D2100" s="73"/>
      <c r="E2100" s="73"/>
      <c r="F2100" s="73"/>
      <c r="G2100" s="73"/>
      <c r="H2100" s="73"/>
      <c r="I2100" s="73"/>
      <c r="J2100" s="73"/>
      <c r="K2100" s="73"/>
      <c r="L2100" s="73"/>
      <c r="M2100" s="73"/>
      <c r="N2100" s="73"/>
      <c r="O2100" s="73"/>
      <c r="P2100" s="73"/>
      <c r="Q2100" s="73"/>
      <c r="R2100" s="73"/>
      <c r="S2100" s="73"/>
      <c r="T2100" s="73"/>
      <c r="U2100" s="73"/>
      <c r="V2100" s="73"/>
      <c r="W2100" s="73"/>
      <c r="X2100" s="73"/>
      <c r="Y2100" s="73"/>
      <c r="Z2100" s="73"/>
      <c r="AA2100" s="73"/>
      <c r="AB2100" s="73"/>
      <c r="AC2100" s="73"/>
      <c r="AD2100" s="73"/>
      <c r="AE2100" s="73"/>
      <c r="AF2100" s="73"/>
      <c r="AG2100" s="73"/>
      <c r="AH2100" s="73"/>
      <c r="AI2100" s="73"/>
      <c r="AJ2100" s="73" t="s">
        <v>136</v>
      </c>
      <c r="AK2100" s="57"/>
      <c r="AL2100" s="45"/>
      <c r="AM2100" s="45"/>
      <c r="AN2100" s="45"/>
    </row>
    <row r="2101" spans="1:40" ht="5.15" customHeight="1" outlineLevel="2" x14ac:dyDescent="0.35">
      <c r="A2101" s="45"/>
      <c r="B2101" s="54"/>
      <c r="C2101" s="47">
        <f>INT($C$29)+2.005</f>
        <v>3.0049999999999999</v>
      </c>
      <c r="D2101" s="73" t="s">
        <v>132</v>
      </c>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c r="AK2101" s="57"/>
      <c r="AL2101" s="45"/>
      <c r="AM2101" s="45"/>
      <c r="AN2101" s="45"/>
    </row>
    <row r="2102" spans="1:40" outlineLevel="2" x14ac:dyDescent="0.3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outlineLevel="2" collapsed="1" x14ac:dyDescent="0.3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3" x14ac:dyDescent="0.35">
      <c r="A2104" s="45"/>
      <c r="B2104" s="54"/>
      <c r="C2104" s="47">
        <f>INT($C$29)+3</f>
        <v>4</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3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3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t="5.15" hidden="1" customHeight="1" outlineLevel="3" x14ac:dyDescent="0.35">
      <c r="A2107" s="45"/>
      <c r="B2107" s="54"/>
      <c r="C2107" s="47">
        <f>INT($C$29)+3.005</f>
        <v>4.0049999999999999</v>
      </c>
      <c r="D2107" s="73"/>
      <c r="E2107" s="73"/>
      <c r="F2107" s="73"/>
      <c r="G2107" s="73"/>
      <c r="H2107" s="73"/>
      <c r="I2107" s="73"/>
      <c r="J2107" s="73"/>
      <c r="K2107" s="73"/>
      <c r="L2107" s="73"/>
      <c r="M2107" s="73"/>
      <c r="N2107" s="73"/>
      <c r="O2107" s="73"/>
      <c r="P2107" s="73"/>
      <c r="Q2107" s="73"/>
      <c r="R2107" s="73"/>
      <c r="S2107" s="73"/>
      <c r="T2107" s="73"/>
      <c r="U2107" s="73"/>
      <c r="V2107" s="73"/>
      <c r="W2107" s="73"/>
      <c r="X2107" s="73"/>
      <c r="Y2107" s="73"/>
      <c r="Z2107" s="73"/>
      <c r="AA2107" s="73"/>
      <c r="AB2107" s="73"/>
      <c r="AC2107" s="73"/>
      <c r="AD2107" s="73"/>
      <c r="AE2107" s="76"/>
      <c r="AF2107" s="73"/>
      <c r="AG2107" s="73"/>
      <c r="AH2107" s="73"/>
      <c r="AI2107" s="73"/>
      <c r="AJ2107" s="73" t="s">
        <v>136</v>
      </c>
      <c r="AK2107" s="57"/>
      <c r="AL2107" s="45"/>
      <c r="AM2107" s="45"/>
      <c r="AN2107" s="45"/>
    </row>
    <row r="2108" spans="1:40" ht="5.15" customHeight="1" outlineLevel="2" x14ac:dyDescent="0.35">
      <c r="A2108" s="45"/>
      <c r="B2108" s="54"/>
      <c r="C2108" s="47">
        <f>INT($C$29)+2.005</f>
        <v>3.0049999999999999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c r="AK2108" s="57"/>
      <c r="AL2108" s="45"/>
      <c r="AM2108" s="45"/>
      <c r="AN2108" s="45"/>
    </row>
    <row r="2109" spans="1:40" ht="5.15" customHeight="1" outlineLevel="1" x14ac:dyDescent="0.35">
      <c r="A2109" s="45"/>
      <c r="B2109" s="81"/>
      <c r="C2109" s="82">
        <f>INT($C$29)+1.005</f>
        <v>2.0049999999999999</v>
      </c>
      <c r="D2109" s="83"/>
      <c r="E2109" s="83"/>
      <c r="F2109" s="83"/>
      <c r="G2109" s="83"/>
      <c r="H2109" s="83"/>
      <c r="I2109" s="83"/>
      <c r="J2109" s="83"/>
      <c r="K2109" s="83"/>
      <c r="L2109" s="83"/>
      <c r="M2109" s="83"/>
      <c r="N2109" s="83"/>
      <c r="O2109" s="83"/>
      <c r="P2109" s="83"/>
      <c r="Q2109" s="83"/>
      <c r="R2109" s="83"/>
      <c r="S2109" s="83"/>
      <c r="T2109" s="83"/>
      <c r="U2109" s="83"/>
      <c r="V2109" s="83"/>
      <c r="W2109" s="83"/>
      <c r="X2109" s="83"/>
      <c r="Y2109" s="83"/>
      <c r="Z2109" s="83"/>
      <c r="AA2109" s="83"/>
      <c r="AB2109" s="83"/>
      <c r="AC2109" s="83"/>
      <c r="AD2109" s="83"/>
      <c r="AE2109" s="83"/>
      <c r="AF2109" s="83"/>
      <c r="AG2109" s="83"/>
      <c r="AH2109" s="83"/>
      <c r="AI2109" s="83"/>
      <c r="AJ2109" s="83"/>
      <c r="AK2109" s="84" t="s">
        <v>145</v>
      </c>
      <c r="AL2109" s="45"/>
      <c r="AM2109" s="45"/>
      <c r="AN2109" s="45"/>
    </row>
    <row r="2110" spans="1:40" ht="5.15" customHeight="1" collapsed="1" x14ac:dyDescent="0.35">
      <c r="A2110" s="45"/>
      <c r="B2110" s="85"/>
      <c r="C2110" s="86">
        <f>INT($C$29)+0.005</f>
        <v>1.0049999999999999</v>
      </c>
      <c r="D2110" s="85"/>
      <c r="E2110" s="85"/>
      <c r="F2110" s="85"/>
      <c r="G2110" s="85"/>
      <c r="H2110" s="85"/>
      <c r="I2110" s="85"/>
      <c r="J2110" s="85"/>
      <c r="K2110" s="85"/>
      <c r="L2110" s="85"/>
      <c r="M2110" s="85"/>
      <c r="N2110" s="85"/>
      <c r="O2110" s="85"/>
      <c r="P2110" s="85"/>
      <c r="Q2110" s="85"/>
      <c r="R2110" s="85"/>
      <c r="S2110" s="85"/>
      <c r="T2110" s="85"/>
      <c r="U2110" s="85"/>
      <c r="V2110" s="85"/>
      <c r="W2110" s="85"/>
      <c r="X2110" s="85"/>
      <c r="Y2110" s="85"/>
      <c r="Z2110" s="85"/>
      <c r="AA2110" s="85"/>
      <c r="AB2110" s="85"/>
      <c r="AC2110" s="85"/>
      <c r="AD2110" s="85"/>
      <c r="AE2110" s="85"/>
      <c r="AF2110" s="85"/>
      <c r="AG2110" s="85"/>
      <c r="AH2110" s="85"/>
      <c r="AI2110" s="85"/>
      <c r="AJ2110" s="85"/>
      <c r="AK2110" s="85"/>
      <c r="AL2110" s="45"/>
      <c r="AM2110" s="45"/>
      <c r="AN2110" s="45"/>
    </row>
    <row r="2111" spans="1:40" hidden="1" outlineLevel="2" x14ac:dyDescent="0.35">
      <c r="A2111" s="45"/>
      <c r="B2111" s="45"/>
      <c r="C2111" s="47">
        <f>INT($C$29)+2</f>
        <v>3</v>
      </c>
      <c r="D2111" s="45"/>
      <c r="E2111" s="45"/>
      <c r="F2111" s="45"/>
      <c r="G2111" s="45"/>
      <c r="H2111" s="45"/>
      <c r="I2111" s="45"/>
      <c r="J2111" s="45"/>
      <c r="K2111" s="45"/>
      <c r="L2111" s="45"/>
      <c r="M2111" s="45"/>
      <c r="N2111" s="45"/>
      <c r="O2111" s="45"/>
      <c r="P2111" s="45"/>
      <c r="Q2111" s="45"/>
      <c r="R2111" s="45"/>
      <c r="S2111" s="45"/>
      <c r="T2111" s="45"/>
      <c r="U2111" s="45"/>
      <c r="V2111" s="45"/>
      <c r="W2111" s="45"/>
      <c r="X2111" s="45"/>
      <c r="Y2111" s="45"/>
      <c r="Z2111" s="45"/>
      <c r="AA2111" s="45"/>
      <c r="AB2111" s="45"/>
      <c r="AC2111" s="45"/>
      <c r="AD2111" s="45"/>
      <c r="AE2111" s="45"/>
      <c r="AF2111" s="45"/>
      <c r="AG2111" s="45"/>
      <c r="AH2111" s="45"/>
      <c r="AI2111" s="45"/>
      <c r="AJ2111" s="45"/>
      <c r="AK2111" s="45"/>
      <c r="AL2111" s="45"/>
      <c r="AM2111" s="45"/>
      <c r="AN2111" s="45"/>
    </row>
    <row r="2112" spans="1:40" x14ac:dyDescent="0.35">
      <c r="A2112" s="45"/>
      <c r="B2112" s="45"/>
      <c r="C2112" s="46"/>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3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3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3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3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3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35">
      <c r="C2118" s="233" t="s">
        <v>419</v>
      </c>
    </row>
  </sheetData>
  <autoFilter ref="E36:AJ2111"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92" activePane="bottomRight" state="frozen"/>
      <selection activeCell="A3" sqref="A3"/>
      <selection pane="topRight" activeCell="K3" sqref="K3"/>
      <selection pane="bottomLeft" activeCell="A51" sqref="A51"/>
      <selection pane="bottomRight" activeCell="K78" sqref="K78"/>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43" t="s">
        <v>2351</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40" t="s">
        <v>2362</v>
      </c>
      <c r="K12" s="641"/>
      <c r="L12" s="641"/>
      <c r="M12" s="641"/>
      <c r="N12" s="641"/>
      <c r="O12" s="641"/>
      <c r="P12" s="641"/>
      <c r="Q12" s="641"/>
      <c r="R12" s="641"/>
      <c r="S12" s="641"/>
      <c r="T12" s="641"/>
      <c r="U12" s="641"/>
      <c r="V12" s="641"/>
      <c r="W12" s="641"/>
      <c r="X12" s="642"/>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2229</v>
      </c>
      <c r="L35" s="72"/>
      <c r="M35" s="72"/>
      <c r="N35" s="72"/>
      <c r="O35" s="72"/>
      <c r="P35" s="72"/>
      <c r="Q35" s="72"/>
      <c r="R35" s="72" t="s">
        <v>2066</v>
      </c>
      <c r="S35" s="239" t="s">
        <v>2353</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2068</v>
      </c>
      <c r="I41" s="76" t="s">
        <v>2069</v>
      </c>
      <c r="J41" s="76"/>
      <c r="K41" s="97">
        <f>30/1000</f>
        <v>0.03</v>
      </c>
      <c r="L41" s="76"/>
      <c r="M41" s="76"/>
      <c r="N41" s="76"/>
      <c r="O41" s="76"/>
      <c r="P41" s="76"/>
      <c r="Q41" s="76"/>
      <c r="R41" s="97" t="s">
        <v>2336</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2337</v>
      </c>
      <c r="I42" s="76" t="s">
        <v>2338</v>
      </c>
      <c r="J42" s="76"/>
      <c r="K42" s="97">
        <v>200</v>
      </c>
      <c r="L42" s="76"/>
      <c r="M42" s="76"/>
      <c r="N42" s="76"/>
      <c r="O42" s="76"/>
      <c r="P42" s="76"/>
      <c r="Q42" s="76"/>
      <c r="R42" s="97" t="s">
        <v>2361</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35">
      <c r="A48" s="45"/>
      <c r="B48" s="54"/>
      <c r="C48" s="87">
        <f>INT($C$29)+2</f>
        <v>3</v>
      </c>
      <c r="D48" s="73"/>
      <c r="E48" s="70" t="s">
        <v>2073</v>
      </c>
      <c r="F48" s="70" t="s">
        <v>2074</v>
      </c>
      <c r="G48" s="73"/>
      <c r="H48" s="306" t="s">
        <v>2339</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2079</v>
      </c>
      <c r="G56" s="73"/>
      <c r="H56" s="76" t="s">
        <v>2266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2082</v>
      </c>
      <c r="G58" s="73"/>
      <c r="H58" s="306" t="s">
        <v>2340</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2079</v>
      </c>
      <c r="G66" s="73"/>
      <c r="H66" s="76" t="s">
        <v>2266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2088</v>
      </c>
      <c r="G68" s="73"/>
      <c r="H68" s="306" t="s">
        <v>2341</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2348</v>
      </c>
      <c r="T78" s="76"/>
      <c r="U78" s="76" t="s">
        <v>2349</v>
      </c>
      <c r="V78" s="76" t="s">
        <v>2350</v>
      </c>
      <c r="W78" s="76"/>
      <c r="X78" s="76"/>
      <c r="Y78" s="76"/>
      <c r="Z78" s="73"/>
      <c r="AA78" s="57"/>
      <c r="AB78" s="45"/>
      <c r="AC78" s="45"/>
      <c r="AD78" s="45"/>
    </row>
    <row r="79" spans="1:30" outlineLevel="3" x14ac:dyDescent="0.35">
      <c r="A79" s="45"/>
      <c r="B79" s="54"/>
      <c r="C79" s="87">
        <f t="shared" si="0"/>
        <v>4</v>
      </c>
      <c r="D79" s="73"/>
      <c r="E79" s="70" t="s">
        <v>2095</v>
      </c>
      <c r="F79" s="70" t="s">
        <v>2096</v>
      </c>
      <c r="G79" s="73"/>
      <c r="H79" s="306" t="s">
        <v>2342</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2352</v>
      </c>
      <c r="Y82" s="76" t="s">
        <v>2354</v>
      </c>
      <c r="Z82" s="73"/>
      <c r="AA82" s="57"/>
      <c r="AB82" s="45"/>
      <c r="AC82" s="45"/>
      <c r="AD82" s="45"/>
    </row>
    <row r="83" spans="1:30" outlineLevel="3" x14ac:dyDescent="0.3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2102</v>
      </c>
      <c r="G89" s="73"/>
      <c r="H89" s="306" t="s">
        <v>2343</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2108</v>
      </c>
      <c r="G99" s="73"/>
      <c r="H99" s="306" t="s">
        <v>2344</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2114</v>
      </c>
      <c r="G109" s="73"/>
      <c r="H109" s="306" t="s">
        <v>2345</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2120</v>
      </c>
      <c r="G119" s="73"/>
      <c r="H119" s="306" t="s">
        <v>2346</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2127</v>
      </c>
      <c r="G129" s="73"/>
      <c r="H129" s="306" t="s">
        <v>2347</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2891</v>
      </c>
      <c r="B3" s="487">
        <v>6.9999999999999994E-5</v>
      </c>
      <c r="C3" s="1" t="s">
        <v>2895</v>
      </c>
    </row>
    <row r="4" spans="1:3" x14ac:dyDescent="0.35">
      <c r="A4" t="s">
        <v>2892</v>
      </c>
      <c r="B4" s="487">
        <v>1.2999999999999999E-4</v>
      </c>
      <c r="C4" s="1" t="s">
        <v>2896</v>
      </c>
    </row>
    <row r="5" spans="1:3" x14ac:dyDescent="0.35">
      <c r="A5" t="s">
        <v>2893</v>
      </c>
      <c r="B5" s="487">
        <v>1.9000000000000001E-4</v>
      </c>
      <c r="C5" s="1" t="s">
        <v>2897</v>
      </c>
    </row>
    <row r="6" spans="1:3" x14ac:dyDescent="0.35">
      <c r="A6" t="s">
        <v>2894</v>
      </c>
      <c r="B6" s="487">
        <v>1.9000000000000001E-4</v>
      </c>
      <c r="C6" s="1" t="s">
        <v>2896</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2903</v>
      </c>
      <c r="B14"/>
    </row>
    <row r="15" spans="1:3" x14ac:dyDescent="0.35">
      <c r="A15" s="341" t="str">
        <f>General!G66</f>
        <v>b</v>
      </c>
      <c r="B15">
        <v>20</v>
      </c>
      <c r="C15" s="1" t="s">
        <v>2901</v>
      </c>
    </row>
    <row r="16" spans="1:3" x14ac:dyDescent="0.35">
      <c r="A16" s="341" t="str">
        <f>General!G67</f>
        <v>bd</v>
      </c>
      <c r="B16">
        <v>20</v>
      </c>
      <c r="C16" s="1" t="s">
        <v>2901</v>
      </c>
    </row>
    <row r="17" spans="1:3" x14ac:dyDescent="0.35">
      <c r="A17" s="341" t="str">
        <f>General!G68</f>
        <v>f</v>
      </c>
      <c r="B17">
        <v>7</v>
      </c>
      <c r="C17" s="1" t="s">
        <v>2901</v>
      </c>
    </row>
    <row r="18" spans="1:3" x14ac:dyDescent="0.35">
      <c r="A18" s="341" t="str">
        <f>General!G69</f>
        <v>h</v>
      </c>
      <c r="B18">
        <v>20</v>
      </c>
      <c r="C18" s="1" t="s">
        <v>2901</v>
      </c>
    </row>
    <row r="19" spans="1:3" x14ac:dyDescent="0.35">
      <c r="A19" s="341" t="str">
        <f>General!G70</f>
        <v>i</v>
      </c>
      <c r="B19">
        <v>7</v>
      </c>
      <c r="C19" s="1" t="s">
        <v>2901</v>
      </c>
    </row>
    <row r="20" spans="1:3" x14ac:dyDescent="0.35">
      <c r="A20" s="341" t="str">
        <f>General!G71</f>
        <v>k</v>
      </c>
      <c r="B20">
        <v>7</v>
      </c>
      <c r="C20" s="1" t="s">
        <v>2901</v>
      </c>
    </row>
    <row r="21" spans="1:3" x14ac:dyDescent="0.35">
      <c r="A21" s="341" t="str">
        <f>General!G72</f>
        <v>l</v>
      </c>
      <c r="B21">
        <v>7</v>
      </c>
      <c r="C21" s="1" t="s">
        <v>2901</v>
      </c>
    </row>
    <row r="22" spans="1:3" x14ac:dyDescent="0.35">
      <c r="A22" s="341" t="str">
        <f>General!G73</f>
        <v>lf</v>
      </c>
      <c r="B22">
        <v>7</v>
      </c>
      <c r="C22" s="1" t="s">
        <v>2901</v>
      </c>
    </row>
    <row r="23" spans="1:3" x14ac:dyDescent="0.35">
      <c r="A23" s="341" t="str">
        <f>General!G74</f>
        <v>ms</v>
      </c>
      <c r="B23" s="524">
        <f>0.65*B15+0.35*B21</f>
        <v>15.45</v>
      </c>
      <c r="C23" s="1" t="s">
        <v>2901</v>
      </c>
    </row>
    <row r="24" spans="1:3" x14ac:dyDescent="0.35">
      <c r="A24" s="341" t="str">
        <f>General!G75</f>
        <v>o</v>
      </c>
      <c r="B24">
        <v>20</v>
      </c>
      <c r="C24" s="1" t="s">
        <v>2901</v>
      </c>
    </row>
    <row r="25" spans="1:3" x14ac:dyDescent="0.35">
      <c r="A25" s="341" t="str">
        <f>General!G76</f>
        <v>od</v>
      </c>
      <c r="B25">
        <v>20</v>
      </c>
      <c r="C25" s="1" t="s">
        <v>2901</v>
      </c>
    </row>
    <row r="26" spans="1:3" x14ac:dyDescent="0.35">
      <c r="A26" s="341" t="str">
        <f>General!G77</f>
        <v>of</v>
      </c>
      <c r="B26">
        <v>20</v>
      </c>
      <c r="C26" s="1" t="s">
        <v>2901</v>
      </c>
    </row>
    <row r="27" spans="1:3" x14ac:dyDescent="0.35">
      <c r="A27" s="341" t="str">
        <f>General!G78</f>
        <v>r</v>
      </c>
      <c r="B27">
        <v>7</v>
      </c>
      <c r="C27" s="1" t="s">
        <v>2901</v>
      </c>
    </row>
    <row r="28" spans="1:3" x14ac:dyDescent="0.35">
      <c r="A28" s="341" t="str">
        <f>General!G79</f>
        <v>rd</v>
      </c>
      <c r="B28">
        <v>7</v>
      </c>
      <c r="C28" s="1" t="s">
        <v>2901</v>
      </c>
    </row>
    <row r="29" spans="1:3" x14ac:dyDescent="0.35">
      <c r="A29" s="341" t="str">
        <f>General!G80</f>
        <v>v</v>
      </c>
      <c r="B29">
        <v>7</v>
      </c>
      <c r="C29" s="1" t="s">
        <v>2901</v>
      </c>
    </row>
    <row r="30" spans="1:3" x14ac:dyDescent="0.35">
      <c r="A30" s="341" t="str">
        <f>General!G81</f>
        <v>w</v>
      </c>
      <c r="B30">
        <v>20</v>
      </c>
      <c r="C30" s="1" t="s">
        <v>2901</v>
      </c>
    </row>
    <row r="31" spans="1:3" x14ac:dyDescent="0.35">
      <c r="A31" s="341" t="str">
        <f>General!G82</f>
        <v>wd</v>
      </c>
      <c r="B31">
        <v>20</v>
      </c>
      <c r="C31" s="1" t="s">
        <v>2901</v>
      </c>
    </row>
    <row r="32" spans="1:3" x14ac:dyDescent="0.35">
      <c r="A32" s="341" t="str">
        <f>General!G83</f>
        <v>z</v>
      </c>
      <c r="B32">
        <v>7</v>
      </c>
      <c r="C32" s="1" t="s">
        <v>2901</v>
      </c>
    </row>
    <row r="33" spans="1:3" x14ac:dyDescent="0.35">
      <c r="A33" s="341" t="str">
        <f>General!G84</f>
        <v>zd</v>
      </c>
      <c r="B33">
        <v>7</v>
      </c>
      <c r="C33" s="1" t="s">
        <v>2901</v>
      </c>
    </row>
    <row r="35" spans="1:3" x14ac:dyDescent="0.3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2143</v>
      </c>
    </row>
    <row r="11" spans="1:17" x14ac:dyDescent="0.35">
      <c r="A11" t="s">
        <v>70</v>
      </c>
      <c r="B11" t="s">
        <v>71</v>
      </c>
      <c r="C11" t="s">
        <v>120</v>
      </c>
      <c r="D11" t="s">
        <v>121</v>
      </c>
      <c r="E11" t="s">
        <v>2898</v>
      </c>
      <c r="F11" t="s">
        <v>2899</v>
      </c>
    </row>
    <row r="12" spans="1:17" x14ac:dyDescent="0.35">
      <c r="A12" t="s">
        <v>2769</v>
      </c>
      <c r="B12">
        <v>188000</v>
      </c>
      <c r="C12" s="44">
        <v>1</v>
      </c>
      <c r="D12" s="44">
        <v>0</v>
      </c>
      <c r="E12" s="44">
        <v>0</v>
      </c>
      <c r="F12" s="44">
        <v>0</v>
      </c>
    </row>
    <row r="13" spans="1:17" x14ac:dyDescent="0.35">
      <c r="A13" t="s">
        <v>2767</v>
      </c>
      <c r="B13">
        <v>87000</v>
      </c>
      <c r="C13" s="44">
        <v>1</v>
      </c>
      <c r="D13" s="44">
        <v>0</v>
      </c>
      <c r="E13" s="44">
        <v>0</v>
      </c>
      <c r="F13" s="44">
        <v>0</v>
      </c>
    </row>
    <row r="14" spans="1:17" x14ac:dyDescent="0.35">
      <c r="A14" t="s">
        <v>2768</v>
      </c>
      <c r="B14">
        <v>297000</v>
      </c>
      <c r="C14" s="44">
        <v>0</v>
      </c>
      <c r="D14" s="44">
        <v>1</v>
      </c>
      <c r="E14" s="44">
        <v>0</v>
      </c>
      <c r="F14" s="44">
        <v>0</v>
      </c>
    </row>
    <row r="15" spans="1:17" x14ac:dyDescent="0.35">
      <c r="A15" t="s">
        <v>119</v>
      </c>
      <c r="B15">
        <v>30000</v>
      </c>
      <c r="C15" s="44">
        <v>0</v>
      </c>
      <c r="D15" s="44">
        <v>1</v>
      </c>
      <c r="E15" s="44">
        <v>0</v>
      </c>
      <c r="F15" s="44">
        <v>0</v>
      </c>
      <c r="Q15" s="477"/>
    </row>
    <row r="16" spans="1:17" x14ac:dyDescent="0.35">
      <c r="A16" t="s">
        <v>2770</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2772</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2771</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2765</v>
      </c>
      <c r="B30" s="432">
        <v>1</v>
      </c>
    </row>
    <row r="31" spans="1:6" ht="7.4" customHeight="1" x14ac:dyDescent="0.35"/>
    <row r="32" spans="1:6" x14ac:dyDescent="0.35">
      <c r="A32" t="s">
        <v>2905</v>
      </c>
      <c r="B32">
        <v>8.6999999999999993</v>
      </c>
      <c r="C32" s="1" t="s">
        <v>2904</v>
      </c>
    </row>
    <row r="33" spans="1:3" ht="7.15" customHeight="1" x14ac:dyDescent="0.35"/>
    <row r="34" spans="1:3" x14ac:dyDescent="0.35">
      <c r="A34" t="s">
        <v>3291</v>
      </c>
      <c r="B34">
        <v>50</v>
      </c>
      <c r="C34" s="1" t="s">
        <v>2907</v>
      </c>
    </row>
    <row r="35" spans="1:3" ht="7.15" customHeight="1" x14ac:dyDescent="0.35"/>
    <row r="36" spans="1:3" x14ac:dyDescent="0.35">
      <c r="A36" t="s">
        <v>3292</v>
      </c>
      <c r="B36">
        <v>60</v>
      </c>
      <c r="C36" s="1" t="s">
        <v>3294</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5" x14ac:dyDescent="0.35">
      <c r="A65" s="341" t="str">
        <f>General!I92</f>
        <v>w</v>
      </c>
      <c r="B65">
        <v>1</v>
      </c>
    </row>
    <row r="66" spans="1:5" x14ac:dyDescent="0.35">
      <c r="A66" s="341" t="str">
        <f>General!I93</f>
        <v>wd</v>
      </c>
      <c r="B66">
        <v>1</v>
      </c>
    </row>
    <row r="67" spans="1:5" x14ac:dyDescent="0.35">
      <c r="A67" s="341" t="str">
        <f>General!I94</f>
        <v>x</v>
      </c>
      <c r="B67">
        <v>1</v>
      </c>
    </row>
    <row r="68" spans="1:5" x14ac:dyDescent="0.35">
      <c r="A68" s="341" t="str">
        <f>General!I95</f>
        <v>xc</v>
      </c>
      <c r="B68">
        <v>1</v>
      </c>
    </row>
    <row r="69" spans="1:5" x14ac:dyDescent="0.35">
      <c r="A69" s="341" t="str">
        <f>General!I96</f>
        <v>z</v>
      </c>
      <c r="B69">
        <v>1</v>
      </c>
    </row>
    <row r="70" spans="1:5" x14ac:dyDescent="0.35">
      <c r="A70" s="341" t="str">
        <f>General!I97</f>
        <v>zd</v>
      </c>
      <c r="B70">
        <v>1</v>
      </c>
    </row>
    <row r="72" spans="1:5" x14ac:dyDescent="0.35">
      <c r="A72" s="3" t="s">
        <v>35</v>
      </c>
    </row>
    <row r="73" spans="1:5" x14ac:dyDescent="0.35">
      <c r="A73" t="s">
        <v>2766</v>
      </c>
      <c r="B73" s="432">
        <v>1</v>
      </c>
    </row>
    <row r="74" spans="1:5" ht="7.4" customHeight="1" x14ac:dyDescent="0.35"/>
    <row r="75" spans="1:5" x14ac:dyDescent="0.35">
      <c r="A75" t="s">
        <v>2890</v>
      </c>
      <c r="B75">
        <v>63</v>
      </c>
    </row>
    <row r="76" spans="1:5" ht="7.15" customHeight="1" x14ac:dyDescent="0.35"/>
    <row r="77" spans="1:5" x14ac:dyDescent="0.35">
      <c r="A77" t="s">
        <v>3295</v>
      </c>
      <c r="B77">
        <f>0.3*harvest_maint</f>
        <v>16.5</v>
      </c>
      <c r="C77" s="1" t="s">
        <v>3296</v>
      </c>
    </row>
    <row r="78" spans="1:5" ht="7.15" customHeight="1" x14ac:dyDescent="0.35"/>
    <row r="79" spans="1:5" x14ac:dyDescent="0.35">
      <c r="A79" t="s">
        <v>2900</v>
      </c>
      <c r="B79"/>
    </row>
    <row r="80" spans="1:5" x14ac:dyDescent="0.35">
      <c r="A80" s="341" t="str">
        <f>General!G66</f>
        <v>b</v>
      </c>
      <c r="B80">
        <v>20</v>
      </c>
      <c r="C80" s="1" t="s">
        <v>2901</v>
      </c>
      <c r="E80" s="1" t="s">
        <v>2902</v>
      </c>
    </row>
    <row r="81" spans="1:3" x14ac:dyDescent="0.35">
      <c r="A81" s="341" t="str">
        <f>General!G67</f>
        <v>bd</v>
      </c>
      <c r="B81">
        <v>20</v>
      </c>
      <c r="C81" s="1" t="s">
        <v>2901</v>
      </c>
    </row>
    <row r="82" spans="1:3" x14ac:dyDescent="0.35">
      <c r="A82" s="341" t="str">
        <f>General!G68</f>
        <v>f</v>
      </c>
      <c r="B82">
        <v>12</v>
      </c>
      <c r="C82" s="1" t="s">
        <v>2901</v>
      </c>
    </row>
    <row r="83" spans="1:3" x14ac:dyDescent="0.35">
      <c r="A83" s="341" t="str">
        <f>General!G69</f>
        <v>h</v>
      </c>
      <c r="B83">
        <v>20</v>
      </c>
      <c r="C83" s="1" t="s">
        <v>2901</v>
      </c>
    </row>
    <row r="84" spans="1:3" x14ac:dyDescent="0.35">
      <c r="A84" s="341" t="str">
        <f>General!G70</f>
        <v>i</v>
      </c>
      <c r="B84">
        <v>12</v>
      </c>
      <c r="C84" s="1" t="s">
        <v>2901</v>
      </c>
    </row>
    <row r="85" spans="1:3" x14ac:dyDescent="0.35">
      <c r="A85" s="341" t="str">
        <f>General!G71</f>
        <v>k</v>
      </c>
      <c r="B85">
        <v>12</v>
      </c>
      <c r="C85" s="1" t="s">
        <v>2901</v>
      </c>
    </row>
    <row r="86" spans="1:3" x14ac:dyDescent="0.35">
      <c r="A86" s="341" t="str">
        <f>General!G72</f>
        <v>l</v>
      </c>
      <c r="B86">
        <v>12</v>
      </c>
      <c r="C86" s="1" t="s">
        <v>2901</v>
      </c>
    </row>
    <row r="87" spans="1:3" x14ac:dyDescent="0.35">
      <c r="A87" s="341" t="str">
        <f>General!G73</f>
        <v>lf</v>
      </c>
      <c r="B87">
        <v>12</v>
      </c>
      <c r="C87" s="1" t="s">
        <v>2901</v>
      </c>
    </row>
    <row r="88" spans="1:3" x14ac:dyDescent="0.35">
      <c r="A88" s="341" t="str">
        <f>General!G74</f>
        <v>ms</v>
      </c>
      <c r="B88" s="524">
        <f>0.65*B80+0.35*B86</f>
        <v>17.2</v>
      </c>
      <c r="C88" s="1" t="s">
        <v>2901</v>
      </c>
    </row>
    <row r="89" spans="1:3" x14ac:dyDescent="0.35">
      <c r="A89" s="341" t="str">
        <f>General!G75</f>
        <v>o</v>
      </c>
      <c r="B89">
        <v>20</v>
      </c>
      <c r="C89" s="1" t="s">
        <v>2901</v>
      </c>
    </row>
    <row r="90" spans="1:3" x14ac:dyDescent="0.35">
      <c r="A90" s="341" t="str">
        <f>General!G76</f>
        <v>od</v>
      </c>
      <c r="B90">
        <v>20</v>
      </c>
      <c r="C90" s="1" t="s">
        <v>2901</v>
      </c>
    </row>
    <row r="91" spans="1:3" x14ac:dyDescent="0.35">
      <c r="A91" s="341" t="str">
        <f>General!G77</f>
        <v>of</v>
      </c>
      <c r="B91">
        <v>20</v>
      </c>
      <c r="C91" s="1" t="s">
        <v>2901</v>
      </c>
    </row>
    <row r="92" spans="1:3" x14ac:dyDescent="0.35">
      <c r="A92" s="341" t="str">
        <f>General!G78</f>
        <v>r</v>
      </c>
      <c r="B92">
        <v>7</v>
      </c>
      <c r="C92" s="1" t="s">
        <v>2901</v>
      </c>
    </row>
    <row r="93" spans="1:3" x14ac:dyDescent="0.35">
      <c r="A93" s="341" t="str">
        <f>General!G79</f>
        <v>rd</v>
      </c>
      <c r="B93">
        <v>7</v>
      </c>
      <c r="C93" s="1" t="s">
        <v>2901</v>
      </c>
    </row>
    <row r="94" spans="1:3" x14ac:dyDescent="0.35">
      <c r="A94" s="341" t="str">
        <f>General!G80</f>
        <v>v</v>
      </c>
      <c r="B94">
        <v>12</v>
      </c>
      <c r="C94" s="1" t="s">
        <v>2901</v>
      </c>
    </row>
    <row r="95" spans="1:3" x14ac:dyDescent="0.35">
      <c r="A95" s="341" t="str">
        <f>General!G81</f>
        <v>w</v>
      </c>
      <c r="B95">
        <v>20</v>
      </c>
      <c r="C95" s="1" t="s">
        <v>2901</v>
      </c>
    </row>
    <row r="96" spans="1:3" x14ac:dyDescent="0.35">
      <c r="A96" s="341" t="str">
        <f>General!G82</f>
        <v>wd</v>
      </c>
      <c r="B96">
        <v>20</v>
      </c>
      <c r="C96" s="1" t="s">
        <v>2901</v>
      </c>
    </row>
    <row r="97" spans="1:3" x14ac:dyDescent="0.35">
      <c r="A97" s="341" t="str">
        <f>General!G83</f>
        <v>z</v>
      </c>
      <c r="B97">
        <v>7</v>
      </c>
      <c r="C97" s="1" t="s">
        <v>2901</v>
      </c>
    </row>
    <row r="98" spans="1:3" x14ac:dyDescent="0.35">
      <c r="A98" s="341" t="str">
        <f>General!G84</f>
        <v>zd</v>
      </c>
      <c r="B98">
        <v>7</v>
      </c>
      <c r="C98" s="1" t="s">
        <v>2901</v>
      </c>
    </row>
    <row r="100" spans="1:3" x14ac:dyDescent="0.35">
      <c r="A100" t="s">
        <v>37</v>
      </c>
      <c r="B100">
        <v>55</v>
      </c>
      <c r="C100" s="1" t="s">
        <v>2889</v>
      </c>
    </row>
    <row r="101" spans="1:3" ht="9" customHeight="1" x14ac:dyDescent="0.35"/>
    <row r="102" spans="1:3" x14ac:dyDescent="0.35">
      <c r="A102" t="s">
        <v>37</v>
      </c>
      <c r="B102" t="s">
        <v>3293</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4">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2906</v>
      </c>
      <c r="B124">
        <v>33</v>
      </c>
      <c r="C124" s="1" t="s">
        <v>2908</v>
      </c>
    </row>
    <row r="125" spans="1:3" ht="4.1500000000000004" customHeight="1" x14ac:dyDescent="0.35"/>
    <row r="126" spans="1:3" x14ac:dyDescent="0.35">
      <c r="A126" t="s">
        <v>39</v>
      </c>
      <c r="B126">
        <v>30</v>
      </c>
      <c r="C126" s="1" t="s">
        <v>2907</v>
      </c>
    </row>
    <row r="127" spans="1:3" ht="3" customHeight="1" x14ac:dyDescent="0.35"/>
    <row r="128" spans="1:3" x14ac:dyDescent="0.35">
      <c r="A128" t="s">
        <v>40</v>
      </c>
      <c r="B128">
        <v>35</v>
      </c>
      <c r="C128" s="1" t="s">
        <v>3294</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25</v>
      </c>
    </row>
    <row r="136" spans="1:3" x14ac:dyDescent="0.35">
      <c r="A136" s="427" t="s">
        <v>69</v>
      </c>
      <c r="B136" t="str">
        <f>General!K68</f>
        <v>at_seeding</v>
      </c>
      <c r="C136"/>
    </row>
    <row r="137" spans="1:3" x14ac:dyDescent="0.35">
      <c r="A137" s="427" t="s">
        <v>2909</v>
      </c>
      <c r="B137" t="str">
        <f>General!K69</f>
        <v>mid</v>
      </c>
      <c r="C137">
        <v>25</v>
      </c>
    </row>
    <row r="138" spans="1:3" x14ac:dyDescent="0.35">
      <c r="A138" s="427" t="s">
        <v>2545</v>
      </c>
      <c r="B138" t="str">
        <f>General!K70</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3277</v>
      </c>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2143</v>
      </c>
    </row>
    <row r="11" spans="1:6" x14ac:dyDescent="0.35">
      <c r="A11" t="s">
        <v>70</v>
      </c>
      <c r="B11" t="s">
        <v>71</v>
      </c>
      <c r="C11" t="s">
        <v>120</v>
      </c>
      <c r="D11" t="s">
        <v>121</v>
      </c>
      <c r="E11" t="s">
        <v>2898</v>
      </c>
      <c r="F11" t="s">
        <v>2899</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2765</v>
      </c>
      <c r="B29" s="432">
        <v>1</v>
      </c>
    </row>
    <row r="30" spans="1:6" ht="7.4" customHeight="1" x14ac:dyDescent="0.35"/>
    <row r="31" spans="1:6" ht="4.9000000000000004" customHeight="1" x14ac:dyDescent="0.35"/>
    <row r="32" spans="1:6" x14ac:dyDescent="0.35">
      <c r="A32" t="s">
        <v>2905</v>
      </c>
      <c r="B32">
        <v>4</v>
      </c>
      <c r="C32" s="1" t="s">
        <v>2904</v>
      </c>
    </row>
    <row r="33" spans="1:3" ht="7.15" customHeight="1" x14ac:dyDescent="0.35"/>
    <row r="34" spans="1:3" x14ac:dyDescent="0.35">
      <c r="A34" t="s">
        <v>3291</v>
      </c>
      <c r="B34">
        <v>40</v>
      </c>
      <c r="C34" s="1" t="s">
        <v>2907</v>
      </c>
    </row>
    <row r="35" spans="1:3" ht="7.15" customHeight="1" x14ac:dyDescent="0.35"/>
    <row r="36" spans="1:3" x14ac:dyDescent="0.35">
      <c r="A36" t="s">
        <v>3292</v>
      </c>
      <c r="B36">
        <v>35</v>
      </c>
      <c r="C36" s="1" t="s">
        <v>3294</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3" x14ac:dyDescent="0.35">
      <c r="A65" s="341" t="str">
        <f>General!I92</f>
        <v>w</v>
      </c>
      <c r="B65">
        <v>1</v>
      </c>
    </row>
    <row r="66" spans="1:3" x14ac:dyDescent="0.35">
      <c r="A66" s="341" t="str">
        <f>General!I93</f>
        <v>wd</v>
      </c>
      <c r="B66">
        <v>1</v>
      </c>
    </row>
    <row r="67" spans="1:3" x14ac:dyDescent="0.35">
      <c r="A67" s="341" t="str">
        <f>General!I94</f>
        <v>x</v>
      </c>
      <c r="B67">
        <v>1</v>
      </c>
    </row>
    <row r="68" spans="1:3" x14ac:dyDescent="0.35">
      <c r="A68" s="341" t="str">
        <f>General!I95</f>
        <v>xc</v>
      </c>
      <c r="B68">
        <v>1</v>
      </c>
    </row>
    <row r="69" spans="1:3" x14ac:dyDescent="0.35">
      <c r="A69" s="341" t="str">
        <f>General!I96</f>
        <v>z</v>
      </c>
      <c r="B69">
        <v>1</v>
      </c>
    </row>
    <row r="70" spans="1:3" x14ac:dyDescent="0.35">
      <c r="A70" s="341" t="str">
        <f>General!I97</f>
        <v>zd</v>
      </c>
      <c r="B70">
        <v>1</v>
      </c>
    </row>
    <row r="72" spans="1:3" x14ac:dyDescent="0.35">
      <c r="A72" s="3" t="s">
        <v>35</v>
      </c>
    </row>
    <row r="73" spans="1:3" x14ac:dyDescent="0.35">
      <c r="A73" t="s">
        <v>2766</v>
      </c>
      <c r="B73" s="432">
        <v>1</v>
      </c>
    </row>
    <row r="74" spans="1:3" ht="7.4" customHeight="1" x14ac:dyDescent="0.35"/>
    <row r="75" spans="1:3" x14ac:dyDescent="0.35">
      <c r="A75" t="s">
        <v>36</v>
      </c>
      <c r="B75">
        <v>50</v>
      </c>
    </row>
    <row r="76" spans="1:3" ht="7.15" customHeight="1" x14ac:dyDescent="0.35"/>
    <row r="77" spans="1:3" x14ac:dyDescent="0.35">
      <c r="A77" t="s">
        <v>3295</v>
      </c>
      <c r="B77">
        <f>0.3*harvest_maint</f>
        <v>12</v>
      </c>
      <c r="C77" s="1" t="s">
        <v>3296</v>
      </c>
    </row>
    <row r="78" spans="1:3" ht="7.15" customHeight="1" x14ac:dyDescent="0.35"/>
    <row r="79" spans="1:3" x14ac:dyDescent="0.35">
      <c r="A79" t="s">
        <v>2900</v>
      </c>
      <c r="B79"/>
    </row>
    <row r="80" spans="1:3" x14ac:dyDescent="0.35">
      <c r="A80" s="341" t="str">
        <f>General!G66</f>
        <v>b</v>
      </c>
      <c r="B80">
        <f>'Mach 1'!B80*0.66</f>
        <v>13.200000000000001</v>
      </c>
      <c r="C80" s="1" t="s">
        <v>2901</v>
      </c>
    </row>
    <row r="81" spans="1:3" x14ac:dyDescent="0.35">
      <c r="A81" s="341" t="str">
        <f>General!G67</f>
        <v>bd</v>
      </c>
      <c r="B81">
        <f>'Mach 1'!B81*0.66</f>
        <v>13.200000000000001</v>
      </c>
      <c r="C81" s="1" t="s">
        <v>2901</v>
      </c>
    </row>
    <row r="82" spans="1:3" x14ac:dyDescent="0.35">
      <c r="A82" s="341" t="str">
        <f>General!G68</f>
        <v>f</v>
      </c>
      <c r="B82">
        <f>'Mach 1'!B82*0.66</f>
        <v>7.92</v>
      </c>
      <c r="C82" s="1" t="s">
        <v>2901</v>
      </c>
    </row>
    <row r="83" spans="1:3" x14ac:dyDescent="0.35">
      <c r="A83" s="341" t="str">
        <f>General!G69</f>
        <v>h</v>
      </c>
      <c r="B83">
        <f>'Mach 1'!B83*0.66</f>
        <v>13.200000000000001</v>
      </c>
      <c r="C83" s="1" t="s">
        <v>2901</v>
      </c>
    </row>
    <row r="84" spans="1:3" x14ac:dyDescent="0.35">
      <c r="A84" s="341" t="str">
        <f>General!G70</f>
        <v>i</v>
      </c>
      <c r="B84">
        <f>'Mach 1'!B84*0.66</f>
        <v>7.92</v>
      </c>
      <c r="C84" s="1" t="s">
        <v>2901</v>
      </c>
    </row>
    <row r="85" spans="1:3" x14ac:dyDescent="0.35">
      <c r="A85" s="341" t="str">
        <f>General!G71</f>
        <v>k</v>
      </c>
      <c r="B85">
        <f>'Mach 1'!B85*0.66</f>
        <v>7.92</v>
      </c>
      <c r="C85" s="1" t="s">
        <v>2901</v>
      </c>
    </row>
    <row r="86" spans="1:3" x14ac:dyDescent="0.35">
      <c r="A86" s="341" t="str">
        <f>General!G72</f>
        <v>l</v>
      </c>
      <c r="B86">
        <f>'Mach 1'!B86*0.66</f>
        <v>7.92</v>
      </c>
      <c r="C86" s="1" t="s">
        <v>2901</v>
      </c>
    </row>
    <row r="87" spans="1:3" x14ac:dyDescent="0.35">
      <c r="A87" s="341" t="str">
        <f>General!G73</f>
        <v>lf</v>
      </c>
      <c r="B87">
        <f>'Mach 1'!B87*0.66</f>
        <v>7.92</v>
      </c>
      <c r="C87" s="1" t="s">
        <v>2901</v>
      </c>
    </row>
    <row r="88" spans="1:3" x14ac:dyDescent="0.35">
      <c r="A88" s="341" t="str">
        <f>General!G74</f>
        <v>ms</v>
      </c>
      <c r="B88" s="524">
        <f>0.65*B80+0.35*B86</f>
        <v>11.352000000000002</v>
      </c>
      <c r="C88" s="1" t="s">
        <v>2901</v>
      </c>
    </row>
    <row r="89" spans="1:3" x14ac:dyDescent="0.35">
      <c r="A89" s="341" t="str">
        <f>General!G75</f>
        <v>o</v>
      </c>
      <c r="B89">
        <f>'Mach 1'!B89*0.66</f>
        <v>13.200000000000001</v>
      </c>
      <c r="C89" s="1" t="s">
        <v>2901</v>
      </c>
    </row>
    <row r="90" spans="1:3" x14ac:dyDescent="0.35">
      <c r="A90" s="341" t="str">
        <f>General!G76</f>
        <v>od</v>
      </c>
      <c r="B90">
        <f>'Mach 1'!B90*0.66</f>
        <v>13.200000000000001</v>
      </c>
      <c r="C90" s="1" t="s">
        <v>2901</v>
      </c>
    </row>
    <row r="91" spans="1:3" x14ac:dyDescent="0.35">
      <c r="A91" s="341" t="str">
        <f>General!G77</f>
        <v>of</v>
      </c>
      <c r="B91">
        <f>'Mach 1'!B91*0.66</f>
        <v>13.200000000000001</v>
      </c>
      <c r="C91" s="1" t="s">
        <v>2901</v>
      </c>
    </row>
    <row r="92" spans="1:3" x14ac:dyDescent="0.35">
      <c r="A92" s="341" t="str">
        <f>General!G78</f>
        <v>r</v>
      </c>
      <c r="B92">
        <f>'Mach 1'!B92*0.66</f>
        <v>4.62</v>
      </c>
      <c r="C92" s="1" t="s">
        <v>2901</v>
      </c>
    </row>
    <row r="93" spans="1:3" x14ac:dyDescent="0.35">
      <c r="A93" s="341" t="str">
        <f>General!G79</f>
        <v>rd</v>
      </c>
      <c r="B93">
        <f>'Mach 1'!B93*0.66</f>
        <v>4.62</v>
      </c>
      <c r="C93" s="1" t="s">
        <v>2901</v>
      </c>
    </row>
    <row r="94" spans="1:3" x14ac:dyDescent="0.35">
      <c r="A94" s="341" t="str">
        <f>General!G80</f>
        <v>v</v>
      </c>
      <c r="B94">
        <f>'Mach 1'!B94*0.66</f>
        <v>7.92</v>
      </c>
      <c r="C94" s="1" t="s">
        <v>2901</v>
      </c>
    </row>
    <row r="95" spans="1:3" x14ac:dyDescent="0.35">
      <c r="A95" s="341" t="str">
        <f>General!G81</f>
        <v>w</v>
      </c>
      <c r="B95">
        <f>'Mach 1'!B95*0.66</f>
        <v>13.200000000000001</v>
      </c>
      <c r="C95" s="1" t="s">
        <v>2901</v>
      </c>
    </row>
    <row r="96" spans="1:3" x14ac:dyDescent="0.35">
      <c r="A96" s="341" t="str">
        <f>General!G82</f>
        <v>wd</v>
      </c>
      <c r="B96">
        <f>'Mach 1'!B96*0.66</f>
        <v>13.200000000000001</v>
      </c>
      <c r="C96" s="1" t="s">
        <v>2901</v>
      </c>
    </row>
    <row r="97" spans="1:3" x14ac:dyDescent="0.35">
      <c r="A97" s="341" t="str">
        <f>General!G83</f>
        <v>z</v>
      </c>
      <c r="B97">
        <f>'Mach 1'!B97*0.66</f>
        <v>4.62</v>
      </c>
      <c r="C97" s="1" t="s">
        <v>2901</v>
      </c>
    </row>
    <row r="98" spans="1:3" x14ac:dyDescent="0.35">
      <c r="A98" s="341" t="str">
        <f>General!G84</f>
        <v>zd</v>
      </c>
      <c r="B98">
        <f>'Mach 1'!B98*0.66</f>
        <v>4.62</v>
      </c>
      <c r="C98" s="1" t="s">
        <v>2901</v>
      </c>
    </row>
    <row r="100" spans="1:3" x14ac:dyDescent="0.35">
      <c r="A100" t="s">
        <v>37</v>
      </c>
      <c r="B100">
        <v>40</v>
      </c>
      <c r="C100" s="1" t="s">
        <v>2889</v>
      </c>
    </row>
    <row r="102" spans="1:3" x14ac:dyDescent="0.35">
      <c r="A102" t="s">
        <v>37</v>
      </c>
      <c r="B102" t="s">
        <v>3293</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4">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2906</v>
      </c>
      <c r="B124">
        <v>23</v>
      </c>
      <c r="C124" s="1" t="s">
        <v>2908</v>
      </c>
    </row>
    <row r="125" spans="1:3" ht="4.1500000000000004" customHeight="1" x14ac:dyDescent="0.35"/>
    <row r="126" spans="1:3" x14ac:dyDescent="0.35">
      <c r="A126" t="s">
        <v>39</v>
      </c>
      <c r="B126">
        <v>20</v>
      </c>
      <c r="C126" s="1" t="s">
        <v>2907</v>
      </c>
    </row>
    <row r="127" spans="1:3" ht="3" customHeight="1" x14ac:dyDescent="0.35"/>
    <row r="128" spans="1:3" x14ac:dyDescent="0.35">
      <c r="A128" t="s">
        <v>40</v>
      </c>
      <c r="B128">
        <v>22</v>
      </c>
      <c r="C128" s="1" t="s">
        <v>3294</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20</v>
      </c>
    </row>
    <row r="136" spans="1:3" x14ac:dyDescent="0.35">
      <c r="A136" s="427" t="s">
        <v>69</v>
      </c>
      <c r="B136" t="str">
        <f>General!K68</f>
        <v>at_seeding</v>
      </c>
      <c r="C136"/>
    </row>
    <row r="137" spans="1:3" x14ac:dyDescent="0.35">
      <c r="A137" s="427" t="s">
        <v>2909</v>
      </c>
      <c r="B137" t="str">
        <f>General!K69</f>
        <v>mid</v>
      </c>
      <c r="C137">
        <v>20</v>
      </c>
    </row>
    <row r="138" spans="1:3" x14ac:dyDescent="0.35">
      <c r="A138" s="427" t="s">
        <v>2545</v>
      </c>
      <c r="B138" t="str">
        <f>General!K70</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2143</v>
      </c>
    </row>
    <row r="11" spans="1:17" x14ac:dyDescent="0.35">
      <c r="A11" t="s">
        <v>70</v>
      </c>
      <c r="B11" t="s">
        <v>71</v>
      </c>
      <c r="C11" t="s">
        <v>120</v>
      </c>
      <c r="D11" t="s">
        <v>121</v>
      </c>
      <c r="E11" t="s">
        <v>2898</v>
      </c>
      <c r="F11" t="s">
        <v>2899</v>
      </c>
    </row>
    <row r="12" spans="1:17" x14ac:dyDescent="0.35">
      <c r="A12" t="s">
        <v>2769</v>
      </c>
      <c r="B12">
        <v>250000</v>
      </c>
      <c r="C12" s="44">
        <v>1</v>
      </c>
      <c r="D12" s="44">
        <v>0</v>
      </c>
      <c r="E12" s="44">
        <v>0</v>
      </c>
      <c r="F12" s="44">
        <v>0</v>
      </c>
    </row>
    <row r="13" spans="1:17" x14ac:dyDescent="0.35">
      <c r="A13" t="s">
        <v>2767</v>
      </c>
      <c r="B13">
        <v>115000</v>
      </c>
      <c r="C13" s="44">
        <v>1</v>
      </c>
      <c r="D13" s="44">
        <v>0</v>
      </c>
      <c r="E13" s="44">
        <v>0</v>
      </c>
      <c r="F13" s="44">
        <v>0</v>
      </c>
    </row>
    <row r="14" spans="1:17" x14ac:dyDescent="0.35">
      <c r="A14" t="s">
        <v>2768</v>
      </c>
      <c r="B14">
        <v>500000</v>
      </c>
      <c r="C14" s="44">
        <v>0</v>
      </c>
      <c r="D14" s="44">
        <v>1</v>
      </c>
      <c r="E14" s="44">
        <v>0</v>
      </c>
      <c r="F14" s="44">
        <v>0</v>
      </c>
    </row>
    <row r="15" spans="1:17" x14ac:dyDescent="0.35">
      <c r="A15" t="s">
        <v>119</v>
      </c>
      <c r="B15">
        <v>50000</v>
      </c>
      <c r="C15" s="44">
        <v>0</v>
      </c>
      <c r="D15" s="44">
        <v>1</v>
      </c>
      <c r="E15" s="44">
        <v>0</v>
      </c>
      <c r="F15" s="44">
        <v>0</v>
      </c>
      <c r="Q15" s="477"/>
    </row>
    <row r="16" spans="1:17" x14ac:dyDescent="0.35">
      <c r="A16" t="s">
        <v>2770</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2772</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2771</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2765</v>
      </c>
      <c r="B29" s="432">
        <v>1</v>
      </c>
    </row>
    <row r="30" spans="1:6" ht="7.4" customHeight="1" x14ac:dyDescent="0.35"/>
    <row r="31" spans="1:6" x14ac:dyDescent="0.35">
      <c r="A31" t="s">
        <v>2905</v>
      </c>
      <c r="B31">
        <v>12.5</v>
      </c>
      <c r="C31" s="1" t="s">
        <v>2904</v>
      </c>
      <c r="D31" s="1" t="s">
        <v>3024</v>
      </c>
    </row>
    <row r="32" spans="1:6" ht="7.15" customHeight="1" x14ac:dyDescent="0.35"/>
    <row r="33" spans="1:3" x14ac:dyDescent="0.35">
      <c r="A33" t="s">
        <v>3291</v>
      </c>
      <c r="B33">
        <v>60</v>
      </c>
      <c r="C33" s="1" t="s">
        <v>2907</v>
      </c>
    </row>
    <row r="34" spans="1:3" ht="7.15" customHeight="1" x14ac:dyDescent="0.35"/>
    <row r="35" spans="1:3" x14ac:dyDescent="0.35">
      <c r="A35" t="s">
        <v>3292</v>
      </c>
      <c r="B35">
        <v>78</v>
      </c>
      <c r="C35" s="1" t="s">
        <v>3294</v>
      </c>
    </row>
    <row r="36" spans="1:3" ht="7.15" customHeight="1" x14ac:dyDescent="0.35"/>
    <row r="37" spans="1:3" x14ac:dyDescent="0.35">
      <c r="A37" t="s">
        <v>54</v>
      </c>
      <c r="B37"/>
    </row>
    <row r="38" spans="1:3" x14ac:dyDescent="0.35">
      <c r="A38" s="341" t="str">
        <f>General!I66</f>
        <v>a</v>
      </c>
      <c r="B38">
        <v>1</v>
      </c>
    </row>
    <row r="39" spans="1:3" x14ac:dyDescent="0.35">
      <c r="A39" s="341" t="str">
        <f>General!I67</f>
        <v>a2</v>
      </c>
      <c r="B39">
        <v>1</v>
      </c>
    </row>
    <row r="40" spans="1:3" x14ac:dyDescent="0.35">
      <c r="A40" s="341" t="str">
        <f>General!I68</f>
        <v>b</v>
      </c>
      <c r="B40">
        <v>1</v>
      </c>
    </row>
    <row r="41" spans="1:3" x14ac:dyDescent="0.35">
      <c r="A41" s="341" t="str">
        <f>General!I69</f>
        <v>bd</v>
      </c>
      <c r="B41">
        <v>1</v>
      </c>
    </row>
    <row r="42" spans="1:3" x14ac:dyDescent="0.35">
      <c r="A42" s="341" t="str">
        <f>General!I70</f>
        <v>f</v>
      </c>
      <c r="B42">
        <v>1</v>
      </c>
    </row>
    <row r="43" spans="1:3" x14ac:dyDescent="0.35">
      <c r="A43" s="341" t="str">
        <f>General!I71</f>
        <v>h</v>
      </c>
      <c r="B43">
        <v>1</v>
      </c>
    </row>
    <row r="44" spans="1:3" x14ac:dyDescent="0.35">
      <c r="A44" s="341" t="str">
        <f>General!I72</f>
        <v>i</v>
      </c>
      <c r="B44">
        <v>1</v>
      </c>
    </row>
    <row r="45" spans="1:3" x14ac:dyDescent="0.35">
      <c r="A45" s="341" t="str">
        <f>General!I73</f>
        <v>j</v>
      </c>
      <c r="B45">
        <v>1</v>
      </c>
    </row>
    <row r="46" spans="1:3" x14ac:dyDescent="0.35">
      <c r="A46" s="341" t="str">
        <f>General!I74</f>
        <v>jc</v>
      </c>
      <c r="B46">
        <v>1</v>
      </c>
    </row>
    <row r="47" spans="1:3" x14ac:dyDescent="0.35">
      <c r="A47" s="341" t="str">
        <f>General!I75</f>
        <v>k</v>
      </c>
      <c r="B47">
        <v>1</v>
      </c>
    </row>
    <row r="48" spans="1:3" x14ac:dyDescent="0.35">
      <c r="A48" s="341" t="str">
        <f>General!I76</f>
        <v>l</v>
      </c>
      <c r="B48">
        <v>1</v>
      </c>
    </row>
    <row r="49" spans="1:2" x14ac:dyDescent="0.35">
      <c r="A49" s="341" t="str">
        <f>General!I77</f>
        <v>lf</v>
      </c>
      <c r="B49">
        <v>1</v>
      </c>
    </row>
    <row r="50" spans="1:2" x14ac:dyDescent="0.35">
      <c r="A50" s="341" t="str">
        <f>General!I78</f>
        <v>m</v>
      </c>
      <c r="B50">
        <v>1</v>
      </c>
    </row>
    <row r="51" spans="1:2" x14ac:dyDescent="0.35">
      <c r="A51" s="341" t="str">
        <f>General!I79</f>
        <v>ms</v>
      </c>
      <c r="B51">
        <v>1</v>
      </c>
    </row>
    <row r="52" spans="1:2" x14ac:dyDescent="0.35">
      <c r="A52" s="341" t="str">
        <f>General!I80</f>
        <v>o</v>
      </c>
      <c r="B52">
        <v>1</v>
      </c>
    </row>
    <row r="53" spans="1:2" x14ac:dyDescent="0.35">
      <c r="A53" s="341" t="str">
        <f>General!I81</f>
        <v>od</v>
      </c>
      <c r="B53">
        <v>1</v>
      </c>
    </row>
    <row r="54" spans="1:2" x14ac:dyDescent="0.35">
      <c r="A54" s="341" t="str">
        <f>General!I82</f>
        <v>of</v>
      </c>
      <c r="B54">
        <v>1</v>
      </c>
    </row>
    <row r="55" spans="1:2" x14ac:dyDescent="0.35">
      <c r="A55" s="341" t="str">
        <f>General!I83</f>
        <v>r</v>
      </c>
      <c r="B55">
        <v>1</v>
      </c>
    </row>
    <row r="56" spans="1:2" x14ac:dyDescent="0.35">
      <c r="A56" s="341" t="str">
        <f>General!I84</f>
        <v>rd</v>
      </c>
      <c r="B56">
        <v>1</v>
      </c>
    </row>
    <row r="57" spans="1:2" x14ac:dyDescent="0.35">
      <c r="A57" s="341" t="str">
        <f>General!I85</f>
        <v>s</v>
      </c>
      <c r="B57">
        <v>1</v>
      </c>
    </row>
    <row r="58" spans="1:2" x14ac:dyDescent="0.35">
      <c r="A58" s="341" t="str">
        <f>General!I86</f>
        <v>sp</v>
      </c>
      <c r="B58">
        <v>1</v>
      </c>
    </row>
    <row r="59" spans="1:2" x14ac:dyDescent="0.35">
      <c r="A59" s="341" t="str">
        <f>General!I87</f>
        <v>t</v>
      </c>
      <c r="B59">
        <v>1</v>
      </c>
    </row>
    <row r="60" spans="1:2" x14ac:dyDescent="0.35">
      <c r="A60" s="341" t="str">
        <f>General!I88</f>
        <v>tc</v>
      </c>
      <c r="B60">
        <v>1</v>
      </c>
    </row>
    <row r="61" spans="1:2" x14ac:dyDescent="0.35">
      <c r="A61" s="341" t="str">
        <f>General!I89</f>
        <v>u</v>
      </c>
      <c r="B61">
        <v>1</v>
      </c>
    </row>
    <row r="62" spans="1:2" x14ac:dyDescent="0.35">
      <c r="A62" s="341" t="str">
        <f>General!I90</f>
        <v>uc</v>
      </c>
      <c r="B62">
        <v>1</v>
      </c>
    </row>
    <row r="63" spans="1:2" x14ac:dyDescent="0.35">
      <c r="A63" s="341" t="str">
        <f>General!I91</f>
        <v>v</v>
      </c>
      <c r="B63">
        <v>1</v>
      </c>
    </row>
    <row r="64" spans="1:2" x14ac:dyDescent="0.35">
      <c r="A64" s="341" t="str">
        <f>General!I92</f>
        <v>w</v>
      </c>
      <c r="B64">
        <v>1</v>
      </c>
    </row>
    <row r="65" spans="1:3" x14ac:dyDescent="0.35">
      <c r="A65" s="341" t="str">
        <f>General!I93</f>
        <v>wd</v>
      </c>
      <c r="B65">
        <v>1</v>
      </c>
    </row>
    <row r="66" spans="1:3" x14ac:dyDescent="0.35">
      <c r="A66" s="341" t="str">
        <f>General!I94</f>
        <v>x</v>
      </c>
      <c r="B66">
        <v>1</v>
      </c>
    </row>
    <row r="67" spans="1:3" x14ac:dyDescent="0.35">
      <c r="A67" s="341" t="str">
        <f>General!I95</f>
        <v>xc</v>
      </c>
      <c r="B67">
        <v>1</v>
      </c>
    </row>
    <row r="68" spans="1:3" x14ac:dyDescent="0.35">
      <c r="A68" s="341" t="str">
        <f>General!I96</f>
        <v>z</v>
      </c>
      <c r="B68">
        <v>1</v>
      </c>
    </row>
    <row r="69" spans="1:3" x14ac:dyDescent="0.35">
      <c r="A69" s="341" t="str">
        <f>General!I97</f>
        <v>zd</v>
      </c>
      <c r="B69">
        <v>1</v>
      </c>
    </row>
    <row r="71" spans="1:3" x14ac:dyDescent="0.35">
      <c r="A71" s="3" t="s">
        <v>35</v>
      </c>
    </row>
    <row r="72" spans="1:3" x14ac:dyDescent="0.35">
      <c r="A72" t="s">
        <v>2766</v>
      </c>
      <c r="B72" s="432">
        <v>1</v>
      </c>
    </row>
    <row r="73" spans="1:3" ht="7.4" customHeight="1" x14ac:dyDescent="0.35"/>
    <row r="74" spans="1:3" x14ac:dyDescent="0.35">
      <c r="A74" t="s">
        <v>2890</v>
      </c>
      <c r="B74">
        <v>63</v>
      </c>
    </row>
    <row r="75" spans="1:3" ht="7.15" customHeight="1" x14ac:dyDescent="0.35"/>
    <row r="76" spans="1:3" x14ac:dyDescent="0.35">
      <c r="A76" t="s">
        <v>3295</v>
      </c>
      <c r="B76">
        <f>0.3*harvest_maint</f>
        <v>24</v>
      </c>
      <c r="C76" s="1" t="s">
        <v>3296</v>
      </c>
    </row>
    <row r="77" spans="1:3" ht="7.15" customHeight="1" x14ac:dyDescent="0.35"/>
    <row r="78" spans="1:3" x14ac:dyDescent="0.35">
      <c r="A78" t="s">
        <v>2900</v>
      </c>
      <c r="B78"/>
    </row>
    <row r="79" spans="1:3" x14ac:dyDescent="0.35">
      <c r="A79" s="341" t="str">
        <f>General!G66</f>
        <v>b</v>
      </c>
      <c r="B79">
        <v>30</v>
      </c>
      <c r="C79" s="1" t="s">
        <v>2901</v>
      </c>
    </row>
    <row r="80" spans="1:3" x14ac:dyDescent="0.35">
      <c r="A80" s="341" t="str">
        <f>General!G67</f>
        <v>bd</v>
      </c>
      <c r="B80">
        <v>30</v>
      </c>
      <c r="C80" s="1" t="s">
        <v>2901</v>
      </c>
    </row>
    <row r="81" spans="1:3" x14ac:dyDescent="0.35">
      <c r="A81" s="341" t="str">
        <f>General!G68</f>
        <v>f</v>
      </c>
      <c r="B81">
        <v>18</v>
      </c>
      <c r="C81" s="1" t="s">
        <v>2901</v>
      </c>
    </row>
    <row r="82" spans="1:3" x14ac:dyDescent="0.35">
      <c r="A82" s="341" t="str">
        <f>General!G69</f>
        <v>h</v>
      </c>
      <c r="B82">
        <v>30</v>
      </c>
      <c r="C82" s="1" t="s">
        <v>2901</v>
      </c>
    </row>
    <row r="83" spans="1:3" x14ac:dyDescent="0.35">
      <c r="A83" s="341" t="str">
        <f>General!G70</f>
        <v>i</v>
      </c>
      <c r="B83">
        <v>18</v>
      </c>
      <c r="C83" s="1" t="s">
        <v>2901</v>
      </c>
    </row>
    <row r="84" spans="1:3" x14ac:dyDescent="0.35">
      <c r="A84" s="341" t="str">
        <f>General!G71</f>
        <v>k</v>
      </c>
      <c r="B84">
        <v>18</v>
      </c>
      <c r="C84" s="1" t="s">
        <v>2901</v>
      </c>
    </row>
    <row r="85" spans="1:3" x14ac:dyDescent="0.35">
      <c r="A85" s="341" t="str">
        <f>General!G72</f>
        <v>l</v>
      </c>
      <c r="B85">
        <v>18</v>
      </c>
      <c r="C85" s="1" t="s">
        <v>2901</v>
      </c>
    </row>
    <row r="86" spans="1:3" x14ac:dyDescent="0.35">
      <c r="A86" s="341" t="str">
        <f>General!G73</f>
        <v>lf</v>
      </c>
      <c r="B86">
        <v>18</v>
      </c>
      <c r="C86" s="1" t="s">
        <v>2901</v>
      </c>
    </row>
    <row r="87" spans="1:3" x14ac:dyDescent="0.35">
      <c r="A87" s="341" t="str">
        <f>General!G74</f>
        <v>ms</v>
      </c>
      <c r="B87" s="524">
        <f>0.65*B79+0.35*B85</f>
        <v>25.8</v>
      </c>
      <c r="C87" s="1" t="s">
        <v>2901</v>
      </c>
    </row>
    <row r="88" spans="1:3" x14ac:dyDescent="0.35">
      <c r="A88" s="341" t="str">
        <f>General!G75</f>
        <v>o</v>
      </c>
      <c r="B88">
        <v>30</v>
      </c>
      <c r="C88" s="1" t="s">
        <v>2901</v>
      </c>
    </row>
    <row r="89" spans="1:3" x14ac:dyDescent="0.35">
      <c r="A89" s="341" t="str">
        <f>General!G76</f>
        <v>od</v>
      </c>
      <c r="B89">
        <v>30</v>
      </c>
      <c r="C89" s="1" t="s">
        <v>2901</v>
      </c>
    </row>
    <row r="90" spans="1:3" x14ac:dyDescent="0.35">
      <c r="A90" s="341" t="str">
        <f>General!G77</f>
        <v>of</v>
      </c>
      <c r="B90">
        <v>30</v>
      </c>
      <c r="C90" s="1" t="s">
        <v>2901</v>
      </c>
    </row>
    <row r="91" spans="1:3" x14ac:dyDescent="0.35">
      <c r="A91" s="341" t="str">
        <f>General!G78</f>
        <v>r</v>
      </c>
      <c r="B91">
        <v>12</v>
      </c>
      <c r="C91" s="1" t="s">
        <v>2901</v>
      </c>
    </row>
    <row r="92" spans="1:3" x14ac:dyDescent="0.35">
      <c r="A92" s="341" t="str">
        <f>General!G79</f>
        <v>rd</v>
      </c>
      <c r="B92">
        <v>12</v>
      </c>
      <c r="C92" s="1" t="s">
        <v>2901</v>
      </c>
    </row>
    <row r="93" spans="1:3" x14ac:dyDescent="0.35">
      <c r="A93" s="341" t="str">
        <f>General!G80</f>
        <v>v</v>
      </c>
      <c r="B93">
        <v>18</v>
      </c>
      <c r="C93" s="1" t="s">
        <v>2901</v>
      </c>
    </row>
    <row r="94" spans="1:3" x14ac:dyDescent="0.35">
      <c r="A94" s="341" t="str">
        <f>General!G81</f>
        <v>w</v>
      </c>
      <c r="B94">
        <v>30</v>
      </c>
      <c r="C94" s="1" t="s">
        <v>2901</v>
      </c>
    </row>
    <row r="95" spans="1:3" x14ac:dyDescent="0.35">
      <c r="A95" s="341" t="str">
        <f>General!G82</f>
        <v>wd</v>
      </c>
      <c r="B95">
        <v>30</v>
      </c>
      <c r="C95" s="1" t="s">
        <v>2901</v>
      </c>
    </row>
    <row r="96" spans="1:3" x14ac:dyDescent="0.35">
      <c r="A96" s="341" t="str">
        <f>General!G83</f>
        <v>z</v>
      </c>
      <c r="B96">
        <v>12</v>
      </c>
      <c r="C96" s="1" t="s">
        <v>2901</v>
      </c>
    </row>
    <row r="97" spans="1:3" x14ac:dyDescent="0.35">
      <c r="A97" s="341" t="str">
        <f>General!G84</f>
        <v>zd</v>
      </c>
      <c r="B97">
        <v>12</v>
      </c>
      <c r="C97" s="1" t="s">
        <v>2901</v>
      </c>
    </row>
    <row r="99" spans="1:3" x14ac:dyDescent="0.35">
      <c r="A99" t="s">
        <v>37</v>
      </c>
      <c r="B99">
        <v>80</v>
      </c>
      <c r="C99" s="1" t="s">
        <v>2889</v>
      </c>
    </row>
    <row r="101" spans="1:3" x14ac:dyDescent="0.35">
      <c r="A101" t="s">
        <v>37</v>
      </c>
      <c r="B101" t="s">
        <v>3293</v>
      </c>
    </row>
    <row r="102" spans="1:3" x14ac:dyDescent="0.35">
      <c r="A102" s="341" t="str">
        <f>General!G66</f>
        <v>b</v>
      </c>
      <c r="B102" s="326">
        <v>1</v>
      </c>
    </row>
    <row r="103" spans="1:3" x14ac:dyDescent="0.35">
      <c r="A103" s="341" t="str">
        <f>General!G67</f>
        <v>bd</v>
      </c>
      <c r="B103" s="326">
        <v>1</v>
      </c>
    </row>
    <row r="104" spans="1:3" x14ac:dyDescent="0.35">
      <c r="A104" s="341" t="str">
        <f>General!G68</f>
        <v>f</v>
      </c>
      <c r="B104" s="326">
        <f>38/33</f>
        <v>1.1515151515151516</v>
      </c>
    </row>
    <row r="105" spans="1:3" x14ac:dyDescent="0.35">
      <c r="A105" s="341" t="str">
        <f>General!G69</f>
        <v>h</v>
      </c>
      <c r="B105" s="326">
        <v>1</v>
      </c>
    </row>
    <row r="106" spans="1:3" x14ac:dyDescent="0.35">
      <c r="A106" s="341" t="str">
        <f>General!G70</f>
        <v>i</v>
      </c>
      <c r="B106" s="326">
        <f t="shared" ref="B106:B107" si="0">38/33</f>
        <v>1.1515151515151516</v>
      </c>
    </row>
    <row r="107" spans="1:3" x14ac:dyDescent="0.35">
      <c r="A107" s="341" t="str">
        <f>General!G71</f>
        <v>k</v>
      </c>
      <c r="B107" s="326">
        <f t="shared" si="0"/>
        <v>1.1515151515151516</v>
      </c>
    </row>
    <row r="108" spans="1:3" x14ac:dyDescent="0.35">
      <c r="A108" s="341" t="str">
        <f>General!G72</f>
        <v>l</v>
      </c>
      <c r="B108" s="326">
        <v>1</v>
      </c>
    </row>
    <row r="109" spans="1:3" x14ac:dyDescent="0.35">
      <c r="A109" s="341" t="str">
        <f>General!G73</f>
        <v>lf</v>
      </c>
      <c r="B109" s="326">
        <v>1</v>
      </c>
    </row>
    <row r="110" spans="1:3" x14ac:dyDescent="0.35">
      <c r="A110" s="341" t="str">
        <f>General!G74</f>
        <v>ms</v>
      </c>
      <c r="B110" s="614">
        <f>0.65*B102+0.35*B108</f>
        <v>1</v>
      </c>
    </row>
    <row r="111" spans="1:3" x14ac:dyDescent="0.35">
      <c r="A111" s="341" t="str">
        <f>General!G75</f>
        <v>o</v>
      </c>
      <c r="B111" s="326">
        <v>1</v>
      </c>
    </row>
    <row r="112" spans="1:3" x14ac:dyDescent="0.35">
      <c r="A112" s="341" t="str">
        <f>General!G76</f>
        <v>od</v>
      </c>
      <c r="B112" s="326">
        <v>1</v>
      </c>
    </row>
    <row r="113" spans="1:3" x14ac:dyDescent="0.35">
      <c r="A113" s="341" t="str">
        <f>General!G77</f>
        <v>of</v>
      </c>
      <c r="B113" s="326">
        <v>1</v>
      </c>
    </row>
    <row r="114" spans="1:3" x14ac:dyDescent="0.35">
      <c r="A114" s="341" t="str">
        <f>General!G78</f>
        <v>r</v>
      </c>
      <c r="B114" s="326">
        <f t="shared" ref="B114:B116" si="1">38/33</f>
        <v>1.1515151515151516</v>
      </c>
    </row>
    <row r="115" spans="1:3" x14ac:dyDescent="0.35">
      <c r="A115" s="341" t="str">
        <f>General!G79</f>
        <v>rd</v>
      </c>
      <c r="B115" s="326">
        <f t="shared" si="1"/>
        <v>1.1515151515151516</v>
      </c>
    </row>
    <row r="116" spans="1:3" x14ac:dyDescent="0.35">
      <c r="A116" s="341" t="str">
        <f>General!G80</f>
        <v>v</v>
      </c>
      <c r="B116" s="326">
        <f t="shared" si="1"/>
        <v>1.1515151515151516</v>
      </c>
    </row>
    <row r="117" spans="1:3" x14ac:dyDescent="0.35">
      <c r="A117" s="341" t="str">
        <f>General!G81</f>
        <v>w</v>
      </c>
      <c r="B117" s="326">
        <v>1</v>
      </c>
    </row>
    <row r="118" spans="1:3" x14ac:dyDescent="0.35">
      <c r="A118" s="341" t="str">
        <f>General!G82</f>
        <v>wd</v>
      </c>
      <c r="B118" s="326">
        <v>1</v>
      </c>
    </row>
    <row r="119" spans="1:3" x14ac:dyDescent="0.35">
      <c r="A119" s="341" t="str">
        <f>General!G83</f>
        <v>z</v>
      </c>
      <c r="B119" s="326">
        <f t="shared" ref="B119:B120" si="2">38/33</f>
        <v>1.1515151515151516</v>
      </c>
    </row>
    <row r="120" spans="1:3" x14ac:dyDescent="0.35">
      <c r="A120" s="341" t="str">
        <f>General!G84</f>
        <v>zd</v>
      </c>
      <c r="B120" s="326">
        <f t="shared" si="2"/>
        <v>1.1515151515151516</v>
      </c>
    </row>
    <row r="122" spans="1:3" x14ac:dyDescent="0.35">
      <c r="A122" s="3" t="s">
        <v>38</v>
      </c>
    </row>
    <row r="123" spans="1:3" x14ac:dyDescent="0.35">
      <c r="A123" t="s">
        <v>2906</v>
      </c>
      <c r="B123">
        <v>50</v>
      </c>
      <c r="C123" s="1" t="s">
        <v>2908</v>
      </c>
    </row>
    <row r="124" spans="1:3" ht="4.1500000000000004" customHeight="1" x14ac:dyDescent="0.35"/>
    <row r="125" spans="1:3" x14ac:dyDescent="0.35">
      <c r="A125" t="s">
        <v>39</v>
      </c>
      <c r="B125">
        <v>40</v>
      </c>
      <c r="C125" s="1" t="s">
        <v>2907</v>
      </c>
    </row>
    <row r="126" spans="1:3" ht="3" customHeight="1" x14ac:dyDescent="0.35"/>
    <row r="127" spans="1:3" x14ac:dyDescent="0.35">
      <c r="A127" t="s">
        <v>40</v>
      </c>
      <c r="B127">
        <v>50</v>
      </c>
      <c r="C127" s="1" t="s">
        <v>3294</v>
      </c>
    </row>
    <row r="129" spans="1:3" x14ac:dyDescent="0.35">
      <c r="A129" s="3" t="s">
        <v>41</v>
      </c>
    </row>
    <row r="130" spans="1:3" x14ac:dyDescent="0.35">
      <c r="A130" t="s">
        <v>42</v>
      </c>
      <c r="B130">
        <v>20</v>
      </c>
      <c r="C130" s="1" t="s">
        <v>116</v>
      </c>
    </row>
    <row r="132" spans="1:3" x14ac:dyDescent="0.35">
      <c r="B132" t="s">
        <v>43</v>
      </c>
      <c r="C132"/>
    </row>
    <row r="133" spans="1:3" x14ac:dyDescent="0.35">
      <c r="A133" s="427" t="s">
        <v>45</v>
      </c>
      <c r="B133" t="str">
        <f>General!K66</f>
        <v>lime</v>
      </c>
      <c r="C133">
        <v>15</v>
      </c>
    </row>
    <row r="134" spans="1:3" x14ac:dyDescent="0.35">
      <c r="A134" s="427" t="s">
        <v>44</v>
      </c>
      <c r="B134" t="str">
        <f>General!K67</f>
        <v>early</v>
      </c>
      <c r="C134">
        <v>25</v>
      </c>
    </row>
    <row r="135" spans="1:3" x14ac:dyDescent="0.35">
      <c r="A135" s="427" t="s">
        <v>69</v>
      </c>
      <c r="B135" t="str">
        <f>General!K68</f>
        <v>at_seeding</v>
      </c>
      <c r="C135"/>
    </row>
    <row r="136" spans="1:3" x14ac:dyDescent="0.35">
      <c r="A136" s="427" t="s">
        <v>2909</v>
      </c>
      <c r="B136" t="str">
        <f>General!K69</f>
        <v>mid</v>
      </c>
      <c r="C136">
        <v>25</v>
      </c>
    </row>
    <row r="137" spans="1:3" x14ac:dyDescent="0.35">
      <c r="A137" s="427" t="s">
        <v>2545</v>
      </c>
      <c r="B137" t="str">
        <f>General!K70</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General!G66</f>
        <v>b</v>
      </c>
      <c r="B156" s="6">
        <v>1</v>
      </c>
      <c r="C156" s="6">
        <v>1</v>
      </c>
    </row>
    <row r="157" spans="1:3" x14ac:dyDescent="0.35">
      <c r="A157" s="342" t="str">
        <f>General!G67</f>
        <v>bd</v>
      </c>
      <c r="B157" s="6">
        <v>1</v>
      </c>
      <c r="C157" s="6">
        <v>1</v>
      </c>
    </row>
    <row r="158" spans="1:3" x14ac:dyDescent="0.35">
      <c r="A158" s="342" t="str">
        <f>General!G68</f>
        <v>f</v>
      </c>
      <c r="B158" s="6">
        <v>1</v>
      </c>
      <c r="C158" s="6">
        <v>1</v>
      </c>
    </row>
    <row r="159" spans="1:3" x14ac:dyDescent="0.35">
      <c r="A159" s="342" t="str">
        <f>General!G69</f>
        <v>h</v>
      </c>
      <c r="B159" s="6">
        <v>1</v>
      </c>
      <c r="C159" s="6">
        <v>3</v>
      </c>
    </row>
    <row r="160" spans="1:3" x14ac:dyDescent="0.35">
      <c r="A160" s="342" t="str">
        <f>General!G70</f>
        <v>i</v>
      </c>
      <c r="B160" s="6">
        <v>1</v>
      </c>
      <c r="C160" s="6">
        <v>1</v>
      </c>
    </row>
    <row r="161" spans="1:3" x14ac:dyDescent="0.35">
      <c r="A161" s="342" t="str">
        <f>General!G71</f>
        <v>k</v>
      </c>
      <c r="B161" s="6">
        <v>1</v>
      </c>
      <c r="C161" s="6">
        <v>1</v>
      </c>
    </row>
    <row r="162" spans="1:3" x14ac:dyDescent="0.35">
      <c r="A162" s="342" t="str">
        <f>General!G72</f>
        <v>l</v>
      </c>
      <c r="B162" s="6">
        <v>1</v>
      </c>
      <c r="C162" s="6">
        <v>1</v>
      </c>
    </row>
    <row r="163" spans="1:3" x14ac:dyDescent="0.35">
      <c r="A163" s="342" t="str">
        <f>General!G73</f>
        <v>lf</v>
      </c>
      <c r="B163" s="6">
        <v>1</v>
      </c>
      <c r="C163" s="6">
        <v>1</v>
      </c>
    </row>
    <row r="164" spans="1:3" x14ac:dyDescent="0.35">
      <c r="A164" s="342" t="str">
        <f>General!G74</f>
        <v>ms</v>
      </c>
      <c r="B164" s="6">
        <v>1</v>
      </c>
      <c r="C164" s="6">
        <v>1</v>
      </c>
    </row>
    <row r="165" spans="1:3" x14ac:dyDescent="0.35">
      <c r="A165" s="342" t="str">
        <f>General!G75</f>
        <v>o</v>
      </c>
      <c r="B165" s="6">
        <v>1</v>
      </c>
      <c r="C165" s="6">
        <v>1</v>
      </c>
    </row>
    <row r="166" spans="1:3" x14ac:dyDescent="0.35">
      <c r="A166" s="342" t="str">
        <f>General!G76</f>
        <v>od</v>
      </c>
      <c r="B166" s="6">
        <v>1</v>
      </c>
      <c r="C166" s="6">
        <v>1</v>
      </c>
    </row>
    <row r="167" spans="1:3" x14ac:dyDescent="0.35">
      <c r="A167" s="342" t="str">
        <f>General!G77</f>
        <v>of</v>
      </c>
      <c r="B167" s="6">
        <v>1</v>
      </c>
      <c r="C167" s="6">
        <v>1</v>
      </c>
    </row>
    <row r="168" spans="1:3" x14ac:dyDescent="0.35">
      <c r="A168" s="342" t="str">
        <f>General!G78</f>
        <v>r</v>
      </c>
      <c r="B168" s="6">
        <v>1</v>
      </c>
      <c r="C168" s="6">
        <v>1</v>
      </c>
    </row>
    <row r="169" spans="1:3" x14ac:dyDescent="0.35">
      <c r="A169" s="342" t="str">
        <f>General!G79</f>
        <v>rd</v>
      </c>
      <c r="B169" s="6">
        <v>1</v>
      </c>
      <c r="C169" s="6">
        <v>1</v>
      </c>
    </row>
    <row r="170" spans="1:3" x14ac:dyDescent="0.35">
      <c r="A170" s="342" t="str">
        <f>General!G80</f>
        <v>v</v>
      </c>
      <c r="B170" s="6">
        <v>1</v>
      </c>
      <c r="C170" s="6">
        <v>1</v>
      </c>
    </row>
    <row r="171" spans="1:3" x14ac:dyDescent="0.35">
      <c r="A171" s="342" t="str">
        <f>General!G81</f>
        <v>w</v>
      </c>
      <c r="B171" s="6">
        <v>1</v>
      </c>
      <c r="C171" s="6">
        <v>1</v>
      </c>
    </row>
    <row r="172" spans="1:3" x14ac:dyDescent="0.35">
      <c r="A172" s="342" t="str">
        <f>General!G82</f>
        <v>wd</v>
      </c>
      <c r="B172" s="6">
        <v>1</v>
      </c>
      <c r="C172" s="6">
        <v>1</v>
      </c>
    </row>
    <row r="173" spans="1:3" x14ac:dyDescent="0.35">
      <c r="A173" s="342" t="str">
        <f>General!G83</f>
        <v>z</v>
      </c>
      <c r="B173" s="6">
        <v>1</v>
      </c>
      <c r="C173" s="6">
        <v>1</v>
      </c>
    </row>
    <row r="174" spans="1:3" x14ac:dyDescent="0.3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531</vt:i4>
      </vt:variant>
    </vt:vector>
  </HeadingPairs>
  <TitlesOfParts>
    <vt:vector size="545"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2026-01-28T10:26:15Z</dcterms:modified>
</cp:coreProperties>
</file>