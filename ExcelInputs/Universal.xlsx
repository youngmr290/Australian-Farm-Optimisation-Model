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FEA185B6-B26D-4A02-97B8-AF236EAFBEEB}" xr6:coauthVersionLast="47" xr6:coauthVersionMax="47" xr10:uidLastSave="{00000000-0000-0000-0000-000000000000}"/>
  <bookViews>
    <workbookView xWindow="28680" yWindow="-120" windowWidth="28110" windowHeight="16440" tabRatio="625" activeTab="6"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Parameters!$E$36:$AJ$1726</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Parameters!$W$972</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General!$L$24</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Emissions!$L$67</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General!$M$37:$M$40</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Parameters!$U$820:$AE$971</definedName>
    <definedName name="i_cl0_len">Parameters!$U$819</definedName>
    <definedName name="i_cl0_len2">Parameters!$V$819</definedName>
    <definedName name="i_cl0_pos">Parameters!$W$819</definedName>
    <definedName name="i_cl0_y">Parameters!$AH$820:$AI$971</definedName>
    <definedName name="i_cl1_c2">Parameters!$U$973:$AE$1124</definedName>
    <definedName name="i_cl1_len">Parameters!$U$972</definedName>
    <definedName name="i_cl1_len2">Parameters!$V$972</definedName>
    <definedName name="i_cl1_pos">Parameters!$W$972</definedName>
    <definedName name="i_cl1_y">Parameters!$AH$973:$AI$1124</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initial_wealth" localSheetId="0">General!$Q$25</definedName>
    <definedName name="i_crra_risk_coef" localSheetId="0">General!$Q$24</definedName>
    <definedName name="i_cu0_c2">Parameters!$U$1126:$AE$1130</definedName>
    <definedName name="i_cu0_len">Parameters!$U$1125</definedName>
    <definedName name="i_cu0_pos">Parameters!$W$1125</definedName>
    <definedName name="i_cu0_y">Parameters!$AH$1126:$AI$1130</definedName>
    <definedName name="i_cu1_c2">Parameters!$U$1132:$AE$1291</definedName>
    <definedName name="i_cu1_len">Parameters!$U$1131</definedName>
    <definedName name="i_cu1_len2">Parameters!$V$1131</definedName>
    <definedName name="i_cu1_pos">Parameters!$W$1131</definedName>
    <definedName name="i_cu1_y">Parameters!$AH$1132:$AI$1291</definedName>
    <definedName name="i_cu2_c2">Parameters!$U$1293:$AE$1712</definedName>
    <definedName name="i_cu2_len">Parameters!$U$1292</definedName>
    <definedName name="i_cu2_len2">Parameters!$V$1292</definedName>
    <definedName name="i_cu2_pos">Parameters!$W$1292</definedName>
    <definedName name="i_cu2_y">Parameters!$AH$1293:$AI$1712</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Emissions!$L$53</definedName>
    <definedName name="i_ef_fert" localSheetId="7">Emissions!$L$50</definedName>
    <definedName name="i_ef_leach_runoff" localSheetId="7">Emissions!$L$36</definedName>
    <definedName name="i_ef_limestone" localSheetId="7">Emissions!$L$52</definedName>
    <definedName name="i_ef_n2o_burning" localSheetId="7">Emissions!$L$41</definedName>
    <definedName name="i_ef_residue" localSheetId="7">Emissions!$L$40</definedName>
    <definedName name="i_ef_urea" localSheetId="7">Emissions!$L$51</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General!$K$37:$K$41</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Emissions!$N$100</definedName>
    <definedName name="i_FracGASM_manure" localSheetId="7">Emissions!$L$100</definedName>
    <definedName name="i_FracLEACH_fert" localSheetId="7">Emissions!$N$104</definedName>
    <definedName name="i_FracLEACH_manure" localSheetId="7">Emissions!$L$104</definedName>
    <definedName name="i_FracLEACH_residue" localSheetId="7">Emissions!$P$104</definedName>
    <definedName name="i_FracLime" localSheetId="7">Emissions!$N$108</definedName>
    <definedName name="i_FracRENEWAL" localSheetId="7">Emissions!$AA$67</definedName>
    <definedName name="i_FracWET_fert" localSheetId="7">Emissions!$N$103</definedName>
    <definedName name="i_FracWET_manure" localSheetId="7">Emissions!$L$103</definedName>
    <definedName name="i_FracWET_residue" localSheetId="7">Emissions!$P$103</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c_risk" localSheetId="0">General!$G$20</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Parameters!$U$1127:$AE$1127</definedName>
    <definedName name="i_kgcs_y">Parameters!$AH$1127:$AI$1127</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Sheep!$P$49:$P$52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Emissions!$I$67</definedName>
    <definedName name="i_NCAG_t" localSheetId="7">Emissions!$W$67:$W$70</definedName>
    <definedName name="i_NCb" localSheetId="7">Emissions!$G$67</definedName>
    <definedName name="i_NCBG_t" localSheetId="7">Emissions!$Y$67:$Y$70</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Emissions!$N$110</definedName>
    <definedName name="i_purity_limestone" localSheetId="7">Emissions!$N$109</definedName>
    <definedName name="i_rain_t" localSheetId="4">CropResidue!$J$289:$AK$289</definedName>
    <definedName name="i_Rbg" localSheetId="7">Emissions!$Q$67:$Q$85</definedName>
    <definedName name="i_RBG_t" localSheetId="7">Emissions!$U$67:$U$70</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General!$H$21</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Emissions!$N$67</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186" i="23" l="1"/>
  <c r="AC186" i="23"/>
  <c r="AA186" i="23"/>
  <c r="Z186" i="23"/>
  <c r="X186" i="23"/>
  <c r="C1124" i="24" l="1"/>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C1092" i="24"/>
  <c r="C1091" i="24"/>
  <c r="C1090" i="24"/>
  <c r="C1089" i="24"/>
  <c r="C1088" i="24"/>
  <c r="C1087" i="24"/>
  <c r="C1086" i="24"/>
  <c r="C1085" i="24"/>
  <c r="C1084" i="24"/>
  <c r="C1083" i="24"/>
  <c r="C1082" i="24"/>
  <c r="C1081" i="24"/>
  <c r="U971" i="24"/>
  <c r="W971" i="24" s="1"/>
  <c r="C971" i="24"/>
  <c r="AA970" i="24"/>
  <c r="AA971"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B954" i="24" s="1"/>
  <c r="AC954" i="24" s="1"/>
  <c r="AD954" i="24" s="1"/>
  <c r="Z954" i="24"/>
  <c r="W954" i="24"/>
  <c r="V954" i="24"/>
  <c r="X954" i="24" s="1"/>
  <c r="C954" i="24"/>
  <c r="AA953" i="24"/>
  <c r="AB953" i="24" s="1"/>
  <c r="AC953" i="24" s="1"/>
  <c r="AD953" i="24" s="1"/>
  <c r="W953" i="24"/>
  <c r="V953" i="24"/>
  <c r="Y953" i="24" s="1"/>
  <c r="C953" i="24"/>
  <c r="AA952" i="24"/>
  <c r="AB952" i="24" s="1"/>
  <c r="AC952" i="24" s="1"/>
  <c r="AD952" i="24" s="1"/>
  <c r="Z952" i="24"/>
  <c r="W952" i="24"/>
  <c r="V952" i="24"/>
  <c r="X952" i="24" s="1"/>
  <c r="C952" i="24"/>
  <c r="U959" i="24"/>
  <c r="V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W963" i="24" s="1"/>
  <c r="C963" i="24"/>
  <c r="AA962" i="24"/>
  <c r="AB962" i="24" s="1"/>
  <c r="AC962" i="24" s="1"/>
  <c r="AD962" i="24" s="1"/>
  <c r="W962" i="24"/>
  <c r="V962" i="24"/>
  <c r="Y962" i="24" s="1"/>
  <c r="C962" i="24"/>
  <c r="AA961" i="24"/>
  <c r="AB961" i="24" s="1"/>
  <c r="AC961" i="24" s="1"/>
  <c r="AD961" i="24" s="1"/>
  <c r="W961" i="24"/>
  <c r="V961" i="24"/>
  <c r="X961" i="24" s="1"/>
  <c r="C961" i="24"/>
  <c r="AA960" i="24"/>
  <c r="AB960" i="24" s="1"/>
  <c r="AC960" i="24" s="1"/>
  <c r="AD960" i="24" s="1"/>
  <c r="W960" i="24"/>
  <c r="V960" i="24"/>
  <c r="X960" i="24" s="1"/>
  <c r="C960" i="24"/>
  <c r="U967" i="24"/>
  <c r="W967" i="24" s="1"/>
  <c r="C967" i="24"/>
  <c r="AA966" i="24"/>
  <c r="AB966" i="24" s="1"/>
  <c r="AC966" i="24" s="1"/>
  <c r="AD966" i="24" s="1"/>
  <c r="W966" i="24"/>
  <c r="V966" i="24"/>
  <c r="X966" i="24" s="1"/>
  <c r="C966" i="24"/>
  <c r="AA965" i="24"/>
  <c r="AB965" i="24" s="1"/>
  <c r="AC965" i="24" s="1"/>
  <c r="AD965" i="24" s="1"/>
  <c r="W965" i="24"/>
  <c r="V965" i="24"/>
  <c r="X965" i="24" s="1"/>
  <c r="C965" i="24"/>
  <c r="AA964" i="24"/>
  <c r="AB964" i="24" s="1"/>
  <c r="AC964" i="24" s="1"/>
  <c r="AD964" i="24" s="1"/>
  <c r="W964" i="24"/>
  <c r="V964" i="24"/>
  <c r="X964" i="24" s="1"/>
  <c r="C964"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U947" i="24"/>
  <c r="W947" i="24" s="1"/>
  <c r="C947" i="24"/>
  <c r="AA946" i="24"/>
  <c r="AA947" i="24" s="1"/>
  <c r="W946" i="24"/>
  <c r="V946" i="24"/>
  <c r="Y946" i="24" s="1"/>
  <c r="C946" i="24"/>
  <c r="AA945" i="24"/>
  <c r="AB945" i="24" s="1"/>
  <c r="AC945" i="24" s="1"/>
  <c r="AD945" i="24" s="1"/>
  <c r="W945" i="24"/>
  <c r="V945" i="24"/>
  <c r="X945" i="24" s="1"/>
  <c r="C945" i="24"/>
  <c r="AA944" i="24"/>
  <c r="AB944" i="24" s="1"/>
  <c r="AC944" i="24" s="1"/>
  <c r="AD944" i="24" s="1"/>
  <c r="W944" i="24"/>
  <c r="V944" i="24"/>
  <c r="Y944" i="24" s="1"/>
  <c r="C944" i="24"/>
  <c r="AA1289" i="24"/>
  <c r="AB1289" i="24" s="1"/>
  <c r="AC1289" i="24" s="1"/>
  <c r="AD1289" i="24" s="1"/>
  <c r="W1289" i="24"/>
  <c r="V1289" i="24"/>
  <c r="Y1289" i="24" s="1"/>
  <c r="AA1288" i="24"/>
  <c r="AB1288" i="24" s="1"/>
  <c r="AC1288" i="24" s="1"/>
  <c r="AD1288" i="24" s="1"/>
  <c r="W1288" i="24"/>
  <c r="V1288" i="24"/>
  <c r="X1288" i="24" s="1"/>
  <c r="AA1291" i="24"/>
  <c r="AB1291" i="24" s="1"/>
  <c r="AC1291" i="24" s="1"/>
  <c r="AD1291" i="24" s="1"/>
  <c r="AA1290" i="24"/>
  <c r="AA1287" i="24"/>
  <c r="AA1286" i="24"/>
  <c r="AA1285" i="24"/>
  <c r="AA1284" i="24"/>
  <c r="W1291" i="24"/>
  <c r="V1291" i="24"/>
  <c r="X1291" i="24" s="1"/>
  <c r="U943" i="24"/>
  <c r="W943" i="24" s="1"/>
  <c r="C943" i="24"/>
  <c r="AA942" i="24"/>
  <c r="AA943" i="24" s="1"/>
  <c r="W942" i="24"/>
  <c r="V942" i="24"/>
  <c r="Y942" i="24" s="1"/>
  <c r="C942" i="24"/>
  <c r="AA941" i="24"/>
  <c r="AB941" i="24" s="1"/>
  <c r="AC941" i="24" s="1"/>
  <c r="AD941" i="24" s="1"/>
  <c r="W941" i="24"/>
  <c r="V941" i="24"/>
  <c r="X941" i="24" s="1"/>
  <c r="C941" i="24"/>
  <c r="AA940" i="24"/>
  <c r="AB940" i="24" s="1"/>
  <c r="AC940" i="24" s="1"/>
  <c r="AD940" i="24" s="1"/>
  <c r="W940" i="24"/>
  <c r="V940" i="24"/>
  <c r="X940" i="24" s="1"/>
  <c r="C940"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12" i="24"/>
  <c r="Z1712" i="24" s="1"/>
  <c r="AA1703" i="24"/>
  <c r="AB1703" i="24" s="1"/>
  <c r="AC1703" i="24" s="1"/>
  <c r="AD1703" i="24" s="1"/>
  <c r="AA1702" i="24"/>
  <c r="Z1702" i="24" s="1"/>
  <c r="AA1701" i="24"/>
  <c r="AB1701" i="24" s="1"/>
  <c r="AC1701" i="24" s="1"/>
  <c r="AD1701" i="24" s="1"/>
  <c r="AA1700" i="24"/>
  <c r="AB1700" i="24" s="1"/>
  <c r="AC1700" i="24" s="1"/>
  <c r="AD1700" i="24" s="1"/>
  <c r="AA1699" i="24"/>
  <c r="Z1699" i="24" s="1"/>
  <c r="AA1698" i="24"/>
  <c r="AB1698" i="24" s="1"/>
  <c r="AC1698" i="24" s="1"/>
  <c r="AD1698" i="24" s="1"/>
  <c r="W1703" i="24"/>
  <c r="V1703" i="24"/>
  <c r="X1703" i="24" s="1"/>
  <c r="W1702" i="24"/>
  <c r="V1702" i="24"/>
  <c r="Y1702" i="24" s="1"/>
  <c r="W1701" i="24"/>
  <c r="V1701" i="24"/>
  <c r="Y1701" i="24" s="1"/>
  <c r="W1712" i="24"/>
  <c r="C1712" i="24"/>
  <c r="F1711" i="24"/>
  <c r="C1711" i="24"/>
  <c r="F1710" i="24"/>
  <c r="C1710" i="24"/>
  <c r="F1709" i="24"/>
  <c r="C1709" i="24"/>
  <c r="F1708" i="24"/>
  <c r="C1708" i="24"/>
  <c r="F1707" i="24"/>
  <c r="C1707" i="24"/>
  <c r="F1706" i="24"/>
  <c r="C1706" i="24"/>
  <c r="C1705" i="24"/>
  <c r="C1704" i="24"/>
  <c r="C1703" i="24"/>
  <c r="C1702" i="24"/>
  <c r="C1701" i="24"/>
  <c r="W1700" i="24"/>
  <c r="C1700" i="24"/>
  <c r="C1699" i="24"/>
  <c r="V1698" i="24"/>
  <c r="C1698" i="24"/>
  <c r="Z968" i="24" l="1"/>
  <c r="Z957" i="24"/>
  <c r="Y968" i="24"/>
  <c r="Z970" i="24"/>
  <c r="AA955" i="24"/>
  <c r="AB955" i="24" s="1"/>
  <c r="AC955" i="24" s="1"/>
  <c r="AD955" i="24" s="1"/>
  <c r="AB971" i="24"/>
  <c r="AC971" i="24" s="1"/>
  <c r="AD971" i="24" s="1"/>
  <c r="Z971" i="24"/>
  <c r="Y969" i="24"/>
  <c r="Z969" i="24"/>
  <c r="Y970" i="24"/>
  <c r="X953" i="24"/>
  <c r="AB970" i="24"/>
  <c r="AC970" i="24" s="1"/>
  <c r="AD970" i="24" s="1"/>
  <c r="Z956" i="24"/>
  <c r="Y956" i="24"/>
  <c r="Z1289" i="24"/>
  <c r="V971" i="24"/>
  <c r="Y952" i="24"/>
  <c r="Z945" i="24"/>
  <c r="Z958" i="24"/>
  <c r="Z953" i="24"/>
  <c r="Y954" i="24"/>
  <c r="V955" i="24"/>
  <c r="X957" i="24"/>
  <c r="AA959" i="24"/>
  <c r="AA963" i="24"/>
  <c r="AB963" i="24" s="1"/>
  <c r="AC963" i="24" s="1"/>
  <c r="AD963" i="24" s="1"/>
  <c r="Y959" i="24"/>
  <c r="X959" i="24"/>
  <c r="AA967" i="24"/>
  <c r="Z967" i="24" s="1"/>
  <c r="Z961" i="24"/>
  <c r="Y960" i="24"/>
  <c r="Y958" i="24"/>
  <c r="W959" i="24"/>
  <c r="Z966" i="24"/>
  <c r="Y961" i="24"/>
  <c r="Y965" i="24"/>
  <c r="Z965" i="24"/>
  <c r="X962" i="24"/>
  <c r="Z962" i="24"/>
  <c r="Y964" i="24"/>
  <c r="Z948" i="24"/>
  <c r="V963" i="24"/>
  <c r="Z949" i="24"/>
  <c r="Z937" i="24"/>
  <c r="Z1288" i="24"/>
  <c r="Z960" i="24"/>
  <c r="Y966" i="24"/>
  <c r="Z950" i="24"/>
  <c r="V967" i="24"/>
  <c r="Z944" i="24"/>
  <c r="Z940" i="24"/>
  <c r="V951" i="24"/>
  <c r="Y951" i="24" s="1"/>
  <c r="Z964" i="24"/>
  <c r="AB951" i="24"/>
  <c r="AC951" i="24" s="1"/>
  <c r="AD951" i="24" s="1"/>
  <c r="Z951" i="24"/>
  <c r="X950" i="24"/>
  <c r="Z1291" i="24"/>
  <c r="Y949" i="24"/>
  <c r="AB950" i="24"/>
  <c r="AC950" i="24" s="1"/>
  <c r="AD950" i="24" s="1"/>
  <c r="X944" i="24"/>
  <c r="X948" i="24"/>
  <c r="X946" i="24"/>
  <c r="Z946" i="24"/>
  <c r="AB947" i="24"/>
  <c r="AC947" i="24" s="1"/>
  <c r="AD947" i="24" s="1"/>
  <c r="Z947" i="24"/>
  <c r="AB946" i="24"/>
  <c r="AC946" i="24" s="1"/>
  <c r="AD946" i="24" s="1"/>
  <c r="Z936" i="24"/>
  <c r="Y1291" i="24"/>
  <c r="V947" i="24"/>
  <c r="Y945" i="24"/>
  <c r="Y940" i="24"/>
  <c r="Z941" i="24"/>
  <c r="Z942" i="24"/>
  <c r="Y1288" i="24"/>
  <c r="X1289" i="24"/>
  <c r="AB943" i="24"/>
  <c r="AC943" i="24" s="1"/>
  <c r="AD943" i="24" s="1"/>
  <c r="Z943" i="24"/>
  <c r="Y936" i="24"/>
  <c r="Z938" i="24"/>
  <c r="AB942" i="24"/>
  <c r="AC942" i="24" s="1"/>
  <c r="AD942" i="24" s="1"/>
  <c r="V943" i="24"/>
  <c r="X942" i="24"/>
  <c r="AA939" i="24"/>
  <c r="AB939" i="24" s="1"/>
  <c r="AC939" i="24" s="1"/>
  <c r="AD939" i="24" s="1"/>
  <c r="Y941"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12" i="24"/>
  <c r="AC1712" i="24" s="1"/>
  <c r="AD1712" i="24" s="1"/>
  <c r="Y1703" i="24"/>
  <c r="Z1703" i="24"/>
  <c r="Z1701" i="24"/>
  <c r="AB1702" i="24"/>
  <c r="AC1702" i="24" s="1"/>
  <c r="AD1702" i="24" s="1"/>
  <c r="X1702" i="24"/>
  <c r="X1701" i="24"/>
  <c r="W1699" i="24"/>
  <c r="V1699" i="24"/>
  <c r="Y1698" i="24"/>
  <c r="X1698" i="24"/>
  <c r="V1700" i="24"/>
  <c r="Z1700" i="24"/>
  <c r="W1698" i="24"/>
  <c r="AB1699" i="24"/>
  <c r="AC1699" i="24" s="1"/>
  <c r="AD1699" i="24" s="1"/>
  <c r="Z1698" i="24"/>
  <c r="V1712" i="24"/>
  <c r="AB967" i="24" l="1"/>
  <c r="AC967" i="24" s="1"/>
  <c r="AD967" i="24" s="1"/>
  <c r="Z955" i="24"/>
  <c r="Y971" i="24"/>
  <c r="X971" i="24"/>
  <c r="Y955" i="24"/>
  <c r="X955" i="24"/>
  <c r="Z963" i="24"/>
  <c r="AB959" i="24"/>
  <c r="AC959" i="24" s="1"/>
  <c r="AD959" i="24" s="1"/>
  <c r="Z959" i="24"/>
  <c r="X951" i="24"/>
  <c r="Y963" i="24"/>
  <c r="X963" i="24"/>
  <c r="Y967" i="24"/>
  <c r="X967" i="24"/>
  <c r="Z939" i="24"/>
  <c r="Y947" i="24"/>
  <c r="X947" i="24"/>
  <c r="Y943" i="24"/>
  <c r="X943" i="24"/>
  <c r="Y931" i="24"/>
  <c r="Y939" i="24"/>
  <c r="X939" i="24"/>
  <c r="Y935" i="24"/>
  <c r="X935" i="24"/>
  <c r="AB931" i="24"/>
  <c r="AC931" i="24" s="1"/>
  <c r="AD931" i="24" s="1"/>
  <c r="Z931" i="24"/>
  <c r="Y1699" i="24"/>
  <c r="X1699" i="24"/>
  <c r="Y1712" i="24"/>
  <c r="X1712" i="24"/>
  <c r="Y1700" i="24"/>
  <c r="X1700" i="24"/>
  <c r="AB1285" i="24" l="1"/>
  <c r="AC1285" i="24" s="1"/>
  <c r="AD1285" i="24" s="1"/>
  <c r="Z1285" i="24"/>
  <c r="W1285" i="24"/>
  <c r="V1285" i="24"/>
  <c r="Y1285" i="24" s="1"/>
  <c r="C1291" i="24"/>
  <c r="C1290" i="24"/>
  <c r="C1289" i="24"/>
  <c r="C1288" i="24"/>
  <c r="AB1287" i="24"/>
  <c r="AC1287" i="24" s="1"/>
  <c r="AD1287" i="24" s="1"/>
  <c r="Z1287" i="24"/>
  <c r="W1287" i="24"/>
  <c r="V1287" i="24"/>
  <c r="Y1287" i="24" s="1"/>
  <c r="C1287" i="24"/>
  <c r="AB1286" i="24"/>
  <c r="AC1286" i="24" s="1"/>
  <c r="Z1286" i="24"/>
  <c r="W1286" i="24"/>
  <c r="V1286" i="24"/>
  <c r="C1286" i="24"/>
  <c r="AI1285" i="24"/>
  <c r="AH1285" i="24"/>
  <c r="C1285" i="24"/>
  <c r="AB1284" i="24"/>
  <c r="AC1284" i="24" s="1"/>
  <c r="AD1284" i="24" s="1"/>
  <c r="Z1284" i="24"/>
  <c r="W1284" i="24"/>
  <c r="V1284" i="24"/>
  <c r="Y1284" i="24" s="1"/>
  <c r="C1284" i="24"/>
  <c r="V922" i="24"/>
  <c r="X1285" i="24" l="1"/>
  <c r="X1287" i="24"/>
  <c r="AD1286" i="24"/>
  <c r="X1286" i="24"/>
  <c r="X1284" i="24"/>
  <c r="Y1286" i="24"/>
  <c r="V921" i="24"/>
  <c r="V920" i="24"/>
  <c r="V1668" i="24"/>
  <c r="X1668" i="24" s="1"/>
  <c r="V1669" i="24"/>
  <c r="Y1669" i="24" s="1"/>
  <c r="V1670" i="24"/>
  <c r="X1670" i="24" s="1"/>
  <c r="V1671" i="24"/>
  <c r="V1672" i="24"/>
  <c r="Y1672" i="24" s="1"/>
  <c r="V1673" i="24"/>
  <c r="V1674" i="24"/>
  <c r="Y1674" i="24" s="1"/>
  <c r="V1675" i="24"/>
  <c r="V1676" i="24"/>
  <c r="X1676" i="24" s="1"/>
  <c r="V1677" i="24"/>
  <c r="X1677" i="24" s="1"/>
  <c r="V1678" i="24"/>
  <c r="V1679" i="24"/>
  <c r="V1680" i="24"/>
  <c r="V1681" i="24"/>
  <c r="V1682" i="24"/>
  <c r="Y1682" i="24" s="1"/>
  <c r="X1678" i="24"/>
  <c r="Y1679" i="24"/>
  <c r="F1651" i="24"/>
  <c r="C1651" i="24"/>
  <c r="F1650" i="24"/>
  <c r="C1650" i="24"/>
  <c r="F1636" i="24"/>
  <c r="C1636" i="24"/>
  <c r="F1635" i="24"/>
  <c r="C1635" i="24"/>
  <c r="F1621" i="24"/>
  <c r="C1621" i="24"/>
  <c r="F1620" i="24"/>
  <c r="C1620" i="24"/>
  <c r="F1606" i="24"/>
  <c r="C1606" i="24"/>
  <c r="F1605" i="24"/>
  <c r="C1605" i="24"/>
  <c r="F1591" i="24"/>
  <c r="C1591" i="24"/>
  <c r="F1590" i="24"/>
  <c r="C1590" i="24"/>
  <c r="F1576" i="24"/>
  <c r="C1576" i="24"/>
  <c r="F1575" i="24"/>
  <c r="C1575" i="24"/>
  <c r="F1561" i="24"/>
  <c r="C1561" i="24"/>
  <c r="F1560" i="24"/>
  <c r="C1560" i="24"/>
  <c r="F1546" i="24"/>
  <c r="C1546" i="24"/>
  <c r="F1545" i="24"/>
  <c r="C1545" i="24"/>
  <c r="F1531" i="24"/>
  <c r="C1531" i="24"/>
  <c r="F1530" i="24"/>
  <c r="C1530" i="24"/>
  <c r="F1516" i="24"/>
  <c r="C1516" i="24"/>
  <c r="F1515" i="24"/>
  <c r="C1515" i="24"/>
  <c r="F1501" i="24"/>
  <c r="C1501" i="24"/>
  <c r="F1500" i="24"/>
  <c r="C1500" i="24"/>
  <c r="F1486" i="24"/>
  <c r="C1486" i="24"/>
  <c r="F1485" i="24"/>
  <c r="C1485" i="24"/>
  <c r="F1471" i="24"/>
  <c r="C1471" i="24"/>
  <c r="F1470" i="24"/>
  <c r="C1470" i="24"/>
  <c r="F1456" i="24"/>
  <c r="C1456" i="24"/>
  <c r="F1455" i="24"/>
  <c r="C1455" i="24"/>
  <c r="F1441" i="24"/>
  <c r="C1441" i="24"/>
  <c r="F1440" i="24"/>
  <c r="C1440" i="24"/>
  <c r="F1426" i="24"/>
  <c r="C1426" i="24"/>
  <c r="F1425" i="24"/>
  <c r="C1425" i="24"/>
  <c r="F1411" i="24"/>
  <c r="C1411" i="24"/>
  <c r="F1410" i="24"/>
  <c r="C1410" i="24"/>
  <c r="F1396" i="24"/>
  <c r="C1396" i="24"/>
  <c r="F1395" i="24"/>
  <c r="C1395" i="24"/>
  <c r="F1381" i="24"/>
  <c r="C1381" i="24"/>
  <c r="F1380" i="24"/>
  <c r="C1380" i="24"/>
  <c r="F1366" i="24"/>
  <c r="C1366" i="24"/>
  <c r="F1365" i="24"/>
  <c r="C1365" i="24"/>
  <c r="F1351" i="24"/>
  <c r="C1351" i="24"/>
  <c r="F1350" i="24"/>
  <c r="C1350" i="24"/>
  <c r="F1336" i="24"/>
  <c r="C1336" i="24"/>
  <c r="F1335" i="24"/>
  <c r="C1335" i="24"/>
  <c r="F1320" i="24"/>
  <c r="F1321" i="24"/>
  <c r="C1321" i="24"/>
  <c r="C1320" i="24"/>
  <c r="F1306" i="24"/>
  <c r="F1305" i="24"/>
  <c r="F1304" i="24"/>
  <c r="F1319" i="24"/>
  <c r="F1302" i="24"/>
  <c r="F1303" i="24"/>
  <c r="C1306" i="24"/>
  <c r="C1305" i="24"/>
  <c r="C1666" i="24"/>
  <c r="C1665" i="24"/>
  <c r="C1681" i="24"/>
  <c r="C1680" i="24"/>
  <c r="C1696" i="24"/>
  <c r="C1695" i="24"/>
  <c r="V923" i="24"/>
  <c r="Y923" i="24" s="1"/>
  <c r="X922" i="24"/>
  <c r="C1076" i="24"/>
  <c r="C1075" i="24"/>
  <c r="C1074" i="24"/>
  <c r="C1073" i="24"/>
  <c r="AB923" i="24"/>
  <c r="AC923" i="24" s="1"/>
  <c r="AD923" i="24" s="1"/>
  <c r="Z923" i="24"/>
  <c r="W923" i="24"/>
  <c r="C923" i="24"/>
  <c r="AB922" i="24"/>
  <c r="AC922" i="24" s="1"/>
  <c r="AD922" i="24" s="1"/>
  <c r="Z922" i="24"/>
  <c r="W922" i="24"/>
  <c r="C922" i="24"/>
  <c r="AB921" i="24"/>
  <c r="AC921" i="24" s="1"/>
  <c r="AD921" i="24" s="1"/>
  <c r="Z921" i="24"/>
  <c r="C921" i="24"/>
  <c r="AB920" i="24"/>
  <c r="AC920" i="24" s="1"/>
  <c r="AD920" i="24" s="1"/>
  <c r="Z920" i="24"/>
  <c r="C920" i="24"/>
  <c r="V1697" i="24"/>
  <c r="V1694" i="24"/>
  <c r="V1693" i="24"/>
  <c r="V1692" i="24"/>
  <c r="V1691" i="24"/>
  <c r="V1689" i="24"/>
  <c r="V1687" i="24"/>
  <c r="V1685" i="24"/>
  <c r="V1684" i="24"/>
  <c r="V1683" i="24"/>
  <c r="AB1682" i="24"/>
  <c r="AC1682" i="24" s="1"/>
  <c r="AD1682" i="24" s="1"/>
  <c r="Z1682" i="24"/>
  <c r="W1682" i="24"/>
  <c r="C1682" i="24"/>
  <c r="AB1679" i="24"/>
  <c r="AC1679" i="24" s="1"/>
  <c r="AD1679" i="24" s="1"/>
  <c r="Z1679" i="24"/>
  <c r="W1679" i="24"/>
  <c r="F1679" i="24"/>
  <c r="C1679" i="24"/>
  <c r="AB1678" i="24"/>
  <c r="AC1678" i="24" s="1"/>
  <c r="AD1678" i="24" s="1"/>
  <c r="Z1678" i="24"/>
  <c r="W1678" i="24"/>
  <c r="F1678" i="24"/>
  <c r="C1678" i="24"/>
  <c r="AB1677" i="24"/>
  <c r="AC1677" i="24" s="1"/>
  <c r="AD1677" i="24" s="1"/>
  <c r="Z1677" i="24"/>
  <c r="W1677" i="24"/>
  <c r="F1677" i="24"/>
  <c r="C1677" i="24"/>
  <c r="AB1676" i="24"/>
  <c r="AC1676" i="24" s="1"/>
  <c r="AD1676" i="24" s="1"/>
  <c r="Z1676" i="24"/>
  <c r="W1676" i="24"/>
  <c r="F1676" i="24"/>
  <c r="C1676" i="24"/>
  <c r="C1675" i="24"/>
  <c r="AB1674" i="24"/>
  <c r="AC1674" i="24" s="1"/>
  <c r="AD1674" i="24" s="1"/>
  <c r="Z1674" i="24"/>
  <c r="W1674" i="24"/>
  <c r="C1674" i="24"/>
  <c r="C1673" i="24"/>
  <c r="AB1672" i="24"/>
  <c r="AC1672" i="24" s="1"/>
  <c r="AD1672" i="24" s="1"/>
  <c r="Z1672" i="24"/>
  <c r="W1672" i="24"/>
  <c r="C1672" i="24"/>
  <c r="C1671" i="24"/>
  <c r="AB1670" i="24"/>
  <c r="AC1670" i="24" s="1"/>
  <c r="AD1670" i="24" s="1"/>
  <c r="Z1670" i="24"/>
  <c r="W1670" i="24"/>
  <c r="C1670" i="24"/>
  <c r="AB1669" i="24"/>
  <c r="AC1669" i="24" s="1"/>
  <c r="AD1669" i="24" s="1"/>
  <c r="Z1669" i="24"/>
  <c r="W1669" i="24"/>
  <c r="C1669" i="24"/>
  <c r="AB1668" i="24"/>
  <c r="AC1668" i="24" s="1"/>
  <c r="AD1668" i="24" s="1"/>
  <c r="Z1668" i="24"/>
  <c r="W1668" i="24"/>
  <c r="C1668" i="24"/>
  <c r="Y922" i="24" l="1"/>
  <c r="X923" i="24"/>
  <c r="Y1668" i="24"/>
  <c r="X1674" i="24"/>
  <c r="X1679" i="24"/>
  <c r="Y1670" i="24"/>
  <c r="X1682" i="24"/>
  <c r="X1669" i="24"/>
  <c r="Y1677" i="24"/>
  <c r="Y1676" i="24"/>
  <c r="Y1678" i="24"/>
  <c r="X1672" i="24"/>
  <c r="C1713" i="24" l="1"/>
  <c r="C1714" i="24"/>
  <c r="C1715" i="24"/>
  <c r="C1716" i="24"/>
  <c r="C1717" i="24"/>
  <c r="C1718" i="24"/>
  <c r="C1719" i="24"/>
  <c r="C1720" i="24"/>
  <c r="C1721" i="24"/>
  <c r="C1722" i="24"/>
  <c r="C1723" i="24"/>
  <c r="C1724" i="24"/>
  <c r="C1725"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U460" i="24"/>
  <c r="U461" i="24" s="1"/>
  <c r="U462" i="24" s="1"/>
  <c r="V460" i="24"/>
  <c r="V461" i="24" s="1"/>
  <c r="V462" i="24" s="1"/>
  <c r="W460" i="24"/>
  <c r="W461" i="24" s="1"/>
  <c r="W462" i="24" s="1"/>
  <c r="X460" i="24"/>
  <c r="X461" i="24" s="1"/>
  <c r="X462" i="24" s="1"/>
  <c r="Y460" i="24"/>
  <c r="Y461" i="24" s="1"/>
  <c r="Y462" i="24" s="1"/>
  <c r="Z460" i="24"/>
  <c r="Z461" i="24" s="1"/>
  <c r="Z462" i="24" s="1"/>
  <c r="AA460" i="24"/>
  <c r="AA461" i="24" s="1"/>
  <c r="AA462" i="24" s="1"/>
  <c r="AB460" i="24"/>
  <c r="AB461" i="24" s="1"/>
  <c r="AB462" i="24" s="1"/>
  <c r="AC460" i="24"/>
  <c r="AC461" i="24" s="1"/>
  <c r="AC462" i="24" s="1"/>
  <c r="AD460" i="24"/>
  <c r="AD461" i="24" s="1"/>
  <c r="AD462" i="24" s="1"/>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W926" i="24"/>
  <c r="Z926" i="24"/>
  <c r="AB926" i="24"/>
  <c r="AC926" i="24" s="1"/>
  <c r="AD926" i="24" s="1"/>
  <c r="C927" i="24"/>
  <c r="V927" i="24"/>
  <c r="X927" i="24" s="1"/>
  <c r="W927" i="24"/>
  <c r="Z927" i="24"/>
  <c r="AB927" i="24"/>
  <c r="AC927" i="24" s="1"/>
  <c r="AD927" i="24" s="1"/>
  <c r="C972" i="24"/>
  <c r="C973" i="24"/>
  <c r="C974" i="24"/>
  <c r="U974" i="24"/>
  <c r="V974" i="24"/>
  <c r="W974" i="24"/>
  <c r="X974" i="24"/>
  <c r="Y974" i="24"/>
  <c r="Z974" i="24"/>
  <c r="AA974" i="24"/>
  <c r="AB974" i="24"/>
  <c r="AC974" i="24"/>
  <c r="AD974" i="24"/>
  <c r="C975" i="24"/>
  <c r="U975" i="24"/>
  <c r="V975" i="24"/>
  <c r="W975" i="24"/>
  <c r="X975" i="24"/>
  <c r="Y975" i="24"/>
  <c r="Z975" i="24"/>
  <c r="AA975" i="24"/>
  <c r="AB975" i="24"/>
  <c r="AC975" i="24"/>
  <c r="AD975" i="24"/>
  <c r="C976" i="24"/>
  <c r="U976" i="24"/>
  <c r="V976" i="24"/>
  <c r="W976" i="24"/>
  <c r="X976" i="24"/>
  <c r="Y976" i="24"/>
  <c r="Z976" i="24"/>
  <c r="AA976" i="24"/>
  <c r="AB976" i="24"/>
  <c r="AC976" i="24"/>
  <c r="AD976" i="24"/>
  <c r="C977" i="24"/>
  <c r="C978" i="24"/>
  <c r="C979" i="24"/>
  <c r="C980" i="24"/>
  <c r="C981" i="24"/>
  <c r="C982" i="24"/>
  <c r="C983" i="24"/>
  <c r="C984" i="24"/>
  <c r="C985" i="24"/>
  <c r="C986" i="24"/>
  <c r="C987" i="24"/>
  <c r="C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U1050" i="24"/>
  <c r="V1050" i="24"/>
  <c r="W1050" i="24"/>
  <c r="X1050" i="24"/>
  <c r="Y1050" i="24"/>
  <c r="Z1050" i="24"/>
  <c r="AA1050" i="24"/>
  <c r="AB1050" i="24"/>
  <c r="AC1050" i="24"/>
  <c r="AD1050" i="24"/>
  <c r="C1051" i="24"/>
  <c r="U1051" i="24"/>
  <c r="V1051" i="24"/>
  <c r="W1051" i="24"/>
  <c r="X1051" i="24"/>
  <c r="Y1051" i="24"/>
  <c r="Z1051" i="24"/>
  <c r="AA1051" i="24"/>
  <c r="AB1051" i="24"/>
  <c r="AC1051" i="24"/>
  <c r="AD1051" i="24"/>
  <c r="C1052" i="24"/>
  <c r="U1052" i="24"/>
  <c r="V1052" i="24"/>
  <c r="W1052" i="24"/>
  <c r="X1052" i="24"/>
  <c r="Y1052" i="24"/>
  <c r="Z1052" i="24"/>
  <c r="AA1052" i="24"/>
  <c r="AB1052" i="24"/>
  <c r="AC1052" i="24"/>
  <c r="AD1052" i="24"/>
  <c r="C1053" i="24"/>
  <c r="C1054" i="24"/>
  <c r="C1055" i="24"/>
  <c r="C1056" i="24"/>
  <c r="C1057" i="24"/>
  <c r="C1058" i="24"/>
  <c r="C1059" i="24"/>
  <c r="C1060" i="24"/>
  <c r="C1061" i="24"/>
  <c r="C1062" i="24"/>
  <c r="C1063" i="24"/>
  <c r="C1064" i="24"/>
  <c r="C1065" i="24"/>
  <c r="C1066" i="24"/>
  <c r="C1067" i="24"/>
  <c r="C1068" i="24"/>
  <c r="C1069" i="24"/>
  <c r="C1070" i="24"/>
  <c r="C1071" i="24"/>
  <c r="C1072" i="24"/>
  <c r="C1077" i="24"/>
  <c r="C1078" i="24"/>
  <c r="C1079" i="24"/>
  <c r="C1080" i="24"/>
  <c r="C1125" i="24"/>
  <c r="C1126" i="24"/>
  <c r="U1126" i="24"/>
  <c r="V1126" i="24"/>
  <c r="W1126" i="24"/>
  <c r="X1126" i="24"/>
  <c r="Y1126" i="24"/>
  <c r="Z1126" i="24"/>
  <c r="AA1126" i="24"/>
  <c r="AB1126" i="24"/>
  <c r="AC1126" i="24"/>
  <c r="AD1126" i="24"/>
  <c r="C1127" i="24"/>
  <c r="C1128" i="24"/>
  <c r="Z1128" i="24"/>
  <c r="AA1128" i="24" s="1"/>
  <c r="AB1128" i="24" s="1"/>
  <c r="AC1128" i="24" s="1"/>
  <c r="AD1128" i="24" s="1"/>
  <c r="C1129" i="24"/>
  <c r="Z1129" i="24"/>
  <c r="AA1129" i="24" s="1"/>
  <c r="AB1129" i="24" s="1"/>
  <c r="AC1129" i="24" s="1"/>
  <c r="AD1129" i="24" s="1"/>
  <c r="C1130" i="24"/>
  <c r="Z1130" i="24"/>
  <c r="AA1130" i="24" s="1"/>
  <c r="AB1130" i="24" s="1"/>
  <c r="AC1130" i="24" s="1"/>
  <c r="AD1130" i="24" s="1"/>
  <c r="C1131" i="24"/>
  <c r="C1132" i="24"/>
  <c r="C1133" i="24"/>
  <c r="C1134" i="24"/>
  <c r="C1135" i="24"/>
  <c r="C1136" i="24"/>
  <c r="C1137" i="24"/>
  <c r="C1138" i="24"/>
  <c r="C1139" i="24"/>
  <c r="C1140" i="24"/>
  <c r="C1141" i="24"/>
  <c r="C1142" i="24"/>
  <c r="C1143" i="24"/>
  <c r="C1144" i="24"/>
  <c r="C1145" i="24"/>
  <c r="C1146" i="24"/>
  <c r="C1147" i="24"/>
  <c r="C1148" i="24"/>
  <c r="C1149" i="24"/>
  <c r="C1150" i="24"/>
  <c r="C1151" i="24"/>
  <c r="C1152" i="24"/>
  <c r="C1153" i="24"/>
  <c r="C1154" i="24"/>
  <c r="C1155" i="24"/>
  <c r="C1156" i="24"/>
  <c r="C1157" i="24"/>
  <c r="C1158" i="24"/>
  <c r="C1159" i="24"/>
  <c r="C1160"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Z1228" i="24"/>
  <c r="AA1228" i="24" s="1"/>
  <c r="AB1228" i="24" s="1"/>
  <c r="AC1228" i="24" s="1"/>
  <c r="AD1228" i="24" s="1"/>
  <c r="C1229" i="24"/>
  <c r="AH1229" i="24"/>
  <c r="AI1229" i="24"/>
  <c r="C1230" i="24"/>
  <c r="U1230" i="24"/>
  <c r="U1229" i="24" s="1"/>
  <c r="V1230" i="24"/>
  <c r="V1229" i="24" s="1"/>
  <c r="W1230" i="24"/>
  <c r="W1229" i="24" s="1"/>
  <c r="X1230" i="24"/>
  <c r="X1229" i="24" s="1"/>
  <c r="Y1230" i="24"/>
  <c r="Z1230" i="24" s="1"/>
  <c r="C1231" i="24"/>
  <c r="U1231" i="24"/>
  <c r="V1231" i="24"/>
  <c r="W1231" i="24"/>
  <c r="X1231" i="24"/>
  <c r="Y1231" i="24"/>
  <c r="Z1231" i="24" s="1"/>
  <c r="AA1231" i="24" s="1"/>
  <c r="AB1231" i="24" s="1"/>
  <c r="AC1231" i="24" s="1"/>
  <c r="AD1231" i="24" s="1"/>
  <c r="C1232" i="24"/>
  <c r="C1233" i="24"/>
  <c r="C1234" i="24"/>
  <c r="C1235" i="24"/>
  <c r="Z1235" i="24"/>
  <c r="AA1235" i="24" s="1"/>
  <c r="AB1235" i="24" s="1"/>
  <c r="AC1235" i="24" s="1"/>
  <c r="AD1235" i="24" s="1"/>
  <c r="C1236" i="24"/>
  <c r="Z1236" i="24"/>
  <c r="AA1236" i="24" s="1"/>
  <c r="AB1236" i="24" s="1"/>
  <c r="AC1236" i="24" s="1"/>
  <c r="AD1236" i="24" s="1"/>
  <c r="C1237" i="24"/>
  <c r="AH1237" i="24"/>
  <c r="AI1237" i="24"/>
  <c r="C1238" i="24"/>
  <c r="U1238" i="24"/>
  <c r="U1237" i="24" s="1"/>
  <c r="V1238" i="24"/>
  <c r="V1237" i="24" s="1"/>
  <c r="W1238" i="24"/>
  <c r="W1237" i="24" s="1"/>
  <c r="X1238" i="24"/>
  <c r="X1237" i="24" s="1"/>
  <c r="Y1238" i="24"/>
  <c r="Y1237" i="24" s="1"/>
  <c r="C1239" i="24"/>
  <c r="U1239" i="24"/>
  <c r="V1239" i="24"/>
  <c r="W1239" i="24"/>
  <c r="X1239" i="24"/>
  <c r="Y1239" i="24"/>
  <c r="Z1239" i="24" s="1"/>
  <c r="AA1239" i="24" s="1"/>
  <c r="AB1239" i="24" s="1"/>
  <c r="AC1239" i="24" s="1"/>
  <c r="AD1239" i="24" s="1"/>
  <c r="C1240" i="24"/>
  <c r="C1241" i="24"/>
  <c r="C1242" i="24"/>
  <c r="C1243" i="24"/>
  <c r="Z1243" i="24"/>
  <c r="AA1243" i="24" s="1"/>
  <c r="AB1243" i="24" s="1"/>
  <c r="AC1243" i="24" s="1"/>
  <c r="AD1243" i="24" s="1"/>
  <c r="C1244" i="24"/>
  <c r="C1245" i="24"/>
  <c r="C1246" i="24"/>
  <c r="C1247" i="24"/>
  <c r="C1248" i="24"/>
  <c r="C1249" i="24"/>
  <c r="C1250" i="24"/>
  <c r="C1251" i="24"/>
  <c r="C1252" i="24"/>
  <c r="C1253" i="24"/>
  <c r="C1254" i="24"/>
  <c r="C1255" i="24"/>
  <c r="C1256" i="24"/>
  <c r="C1257" i="24"/>
  <c r="C1258" i="24"/>
  <c r="C1259" i="24"/>
  <c r="C1260" i="24"/>
  <c r="V1260" i="24"/>
  <c r="Y1260" i="24" s="1"/>
  <c r="W1260" i="24"/>
  <c r="Z1260" i="24"/>
  <c r="AB1260" i="24"/>
  <c r="AC1260" i="24" s="1"/>
  <c r="AD1260" i="24" s="1"/>
  <c r="C1261" i="24"/>
  <c r="U1261" i="24"/>
  <c r="AA1261" i="24"/>
  <c r="AH1261" i="24"/>
  <c r="AI1261" i="24"/>
  <c r="C1262" i="24"/>
  <c r="V1262" i="24"/>
  <c r="V1261" i="24" s="1"/>
  <c r="W1262" i="24"/>
  <c r="W1261" i="24" s="1"/>
  <c r="Z1262" i="24"/>
  <c r="Z1261" i="24" s="1"/>
  <c r="AB1262" i="24"/>
  <c r="AB1261" i="24" s="1"/>
  <c r="C1263" i="24"/>
  <c r="V1263" i="24"/>
  <c r="Y1263" i="24" s="1"/>
  <c r="W1263" i="24"/>
  <c r="Z1263" i="24"/>
  <c r="AB1263" i="24"/>
  <c r="AC1263" i="24" s="1"/>
  <c r="AD1263" i="24" s="1"/>
  <c r="C1264" i="24"/>
  <c r="C1265" i="24"/>
  <c r="C1266" i="24"/>
  <c r="C1267" i="24"/>
  <c r="Z1267" i="24"/>
  <c r="AB1267" i="24"/>
  <c r="AC1267" i="24" s="1"/>
  <c r="AD1267" i="24" s="1"/>
  <c r="C1268" i="24"/>
  <c r="Z1268" i="24"/>
  <c r="AB1268" i="24"/>
  <c r="AC1268" i="24" s="1"/>
  <c r="AD1268" i="24" s="1"/>
  <c r="C1269" i="24"/>
  <c r="AH1269" i="24"/>
  <c r="AI1269" i="24"/>
  <c r="C1270" i="24"/>
  <c r="U1270" i="24"/>
  <c r="U1269" i="24" s="1"/>
  <c r="V1270" i="24"/>
  <c r="V1269" i="24" s="1"/>
  <c r="W1270" i="24"/>
  <c r="W1269" i="24" s="1"/>
  <c r="X1270" i="24"/>
  <c r="X1269" i="24" s="1"/>
  <c r="Y1270" i="24"/>
  <c r="Y1269" i="24" s="1"/>
  <c r="AA1270" i="24"/>
  <c r="Z1270" i="24" s="1"/>
  <c r="Z1269" i="24" s="1"/>
  <c r="C1271" i="24"/>
  <c r="U1271" i="24"/>
  <c r="V1271" i="24"/>
  <c r="W1271" i="24"/>
  <c r="X1271" i="24"/>
  <c r="Y1271" i="24"/>
  <c r="AA1271" i="24"/>
  <c r="Z1271" i="24" s="1"/>
  <c r="C1272" i="24"/>
  <c r="U1272" i="24"/>
  <c r="V1272" i="24"/>
  <c r="W1272" i="24"/>
  <c r="X1272" i="24"/>
  <c r="Y1272" i="24"/>
  <c r="AA1272" i="24"/>
  <c r="AB1272" i="24" s="1"/>
  <c r="AC1272" i="24" s="1"/>
  <c r="AD1272" i="24" s="1"/>
  <c r="C1273" i="24"/>
  <c r="Z1273" i="24"/>
  <c r="AB1273" i="24"/>
  <c r="AC1273" i="24" s="1"/>
  <c r="AD1273" i="24" s="1"/>
  <c r="C1274" i="24"/>
  <c r="Z1274" i="24"/>
  <c r="AB1274" i="24"/>
  <c r="AC1274" i="24" s="1"/>
  <c r="AD1274" i="24" s="1"/>
  <c r="C1275" i="24"/>
  <c r="AA1275" i="24"/>
  <c r="Z1275" i="24" s="1"/>
  <c r="C1276" i="24"/>
  <c r="U1276" i="24"/>
  <c r="U1278" i="24" s="1"/>
  <c r="U1277" i="24" s="1"/>
  <c r="V1276" i="24"/>
  <c r="V1280" i="24" s="1"/>
  <c r="W1276" i="24"/>
  <c r="W1280" i="24" s="1"/>
  <c r="X1276" i="24"/>
  <c r="X1280" i="24" s="1"/>
  <c r="Y1276" i="24"/>
  <c r="Y1280" i="24" s="1"/>
  <c r="AA1276" i="24"/>
  <c r="AA1280" i="24" s="1"/>
  <c r="C1277" i="24"/>
  <c r="AH1277" i="24"/>
  <c r="AI1277" i="24"/>
  <c r="C1278" i="24"/>
  <c r="C1279" i="24"/>
  <c r="C1280" i="24"/>
  <c r="C1281" i="24"/>
  <c r="U1281" i="24"/>
  <c r="V1281" i="24"/>
  <c r="W1281" i="24"/>
  <c r="X1281" i="24"/>
  <c r="Y1281" i="24"/>
  <c r="AA1281" i="24"/>
  <c r="Z1281" i="24" s="1"/>
  <c r="C1282" i="24"/>
  <c r="U1282" i="24"/>
  <c r="V1282" i="24"/>
  <c r="W1282" i="24"/>
  <c r="X1282" i="24"/>
  <c r="Y1282" i="24"/>
  <c r="AA1282" i="24"/>
  <c r="Z1282" i="24" s="1"/>
  <c r="C1283" i="24"/>
  <c r="U1283" i="24"/>
  <c r="V1283" i="24"/>
  <c r="W1283" i="24"/>
  <c r="X1283" i="24"/>
  <c r="Y1283" i="24"/>
  <c r="AA1283" i="24"/>
  <c r="Z1283" i="24" s="1"/>
  <c r="C1292" i="24"/>
  <c r="C1293" i="24"/>
  <c r="C1294" i="24"/>
  <c r="C1295" i="24"/>
  <c r="C1296" i="24"/>
  <c r="C1297" i="24"/>
  <c r="C1298" i="24"/>
  <c r="C1299" i="24"/>
  <c r="C1300" i="24"/>
  <c r="C1301" i="24"/>
  <c r="F1301" i="24"/>
  <c r="C1302" i="24"/>
  <c r="C1303" i="24"/>
  <c r="C1304" i="24"/>
  <c r="C1307" i="24"/>
  <c r="C1308" i="24"/>
  <c r="C1309" i="24"/>
  <c r="C1310" i="24"/>
  <c r="C1311" i="24"/>
  <c r="C1312" i="24"/>
  <c r="C1316" i="24"/>
  <c r="F1316" i="24"/>
  <c r="C1317" i="24"/>
  <c r="F1317" i="24"/>
  <c r="C1318" i="24"/>
  <c r="F1318" i="24"/>
  <c r="C1319" i="24"/>
  <c r="C1322" i="24"/>
  <c r="C1323" i="24"/>
  <c r="C1324" i="24"/>
  <c r="C1325" i="24"/>
  <c r="C1326" i="24"/>
  <c r="C1327" i="24"/>
  <c r="C1331" i="24"/>
  <c r="F1331" i="24"/>
  <c r="C1332" i="24"/>
  <c r="F1332" i="24"/>
  <c r="C1333" i="24"/>
  <c r="F1333" i="24"/>
  <c r="C1334" i="24"/>
  <c r="F1334" i="24"/>
  <c r="C1337" i="24"/>
  <c r="C1338" i="24"/>
  <c r="C1339" i="24"/>
  <c r="C1340" i="24"/>
  <c r="C1341" i="24"/>
  <c r="C1342" i="24"/>
  <c r="C1346" i="24"/>
  <c r="F1346" i="24"/>
  <c r="C1347" i="24"/>
  <c r="F1347" i="24"/>
  <c r="C1348" i="24"/>
  <c r="F1348" i="24"/>
  <c r="C1349" i="24"/>
  <c r="F1349" i="24"/>
  <c r="C1352" i="24"/>
  <c r="C1353" i="24"/>
  <c r="C1354" i="24"/>
  <c r="C1355" i="24"/>
  <c r="C1356" i="24"/>
  <c r="C1357" i="24"/>
  <c r="C1361" i="24"/>
  <c r="F1361" i="24"/>
  <c r="C1362" i="24"/>
  <c r="F1362" i="24"/>
  <c r="C1363" i="24"/>
  <c r="F1363" i="24"/>
  <c r="C1364" i="24"/>
  <c r="F1364" i="24"/>
  <c r="C1367" i="24"/>
  <c r="C1368" i="24"/>
  <c r="C1369" i="24"/>
  <c r="C1370" i="24"/>
  <c r="C1371" i="24"/>
  <c r="C1372" i="24"/>
  <c r="C1376" i="24"/>
  <c r="F1376" i="24"/>
  <c r="C1377" i="24"/>
  <c r="F1377" i="24"/>
  <c r="C1378" i="24"/>
  <c r="F1378" i="24"/>
  <c r="C1379" i="24"/>
  <c r="F1379" i="24"/>
  <c r="C1382" i="24"/>
  <c r="C1383" i="24"/>
  <c r="C1384" i="24"/>
  <c r="C1385" i="24"/>
  <c r="C1386" i="24"/>
  <c r="C1387" i="24"/>
  <c r="C1391" i="24"/>
  <c r="F1391" i="24"/>
  <c r="C1392" i="24"/>
  <c r="F1392" i="24"/>
  <c r="C1393" i="24"/>
  <c r="F1393" i="24"/>
  <c r="C1394" i="24"/>
  <c r="F1394" i="24"/>
  <c r="C1397" i="24"/>
  <c r="C1398" i="24"/>
  <c r="C1399" i="24"/>
  <c r="C1400" i="24"/>
  <c r="C1401" i="24"/>
  <c r="C1402" i="24"/>
  <c r="C1406" i="24"/>
  <c r="F1406" i="24"/>
  <c r="C1407" i="24"/>
  <c r="F1407" i="24"/>
  <c r="C1408" i="24"/>
  <c r="F1408" i="24"/>
  <c r="C1409" i="24"/>
  <c r="F1409" i="24"/>
  <c r="C1412" i="24"/>
  <c r="C1413" i="24"/>
  <c r="V1413" i="24"/>
  <c r="X1413" i="24" s="1"/>
  <c r="W1413" i="24"/>
  <c r="Z1413" i="24"/>
  <c r="AB1413" i="24"/>
  <c r="AC1413" i="24" s="1"/>
  <c r="AD1413" i="24" s="1"/>
  <c r="C1414" i="24"/>
  <c r="V1414" i="24"/>
  <c r="X1414" i="24" s="1"/>
  <c r="W1414" i="24"/>
  <c r="Z1414" i="24"/>
  <c r="AB1414" i="24"/>
  <c r="AC1414" i="24" s="1"/>
  <c r="AD1414" i="24" s="1"/>
  <c r="C1415" i="24"/>
  <c r="V1415" i="24"/>
  <c r="X1415" i="24" s="1"/>
  <c r="W1415" i="24"/>
  <c r="Z1415" i="24"/>
  <c r="AB1415" i="24"/>
  <c r="AC1415" i="24" s="1"/>
  <c r="AD1415" i="24" s="1"/>
  <c r="C1416" i="24"/>
  <c r="C1417" i="24"/>
  <c r="U1417" i="24"/>
  <c r="W1417" i="24" s="1"/>
  <c r="Z1417" i="24"/>
  <c r="AB1417" i="24"/>
  <c r="AC1417" i="24" s="1"/>
  <c r="AD1417" i="24" s="1"/>
  <c r="C1418" i="24"/>
  <c r="U1418" i="24"/>
  <c r="W1418" i="24" s="1"/>
  <c r="Z1418" i="24"/>
  <c r="AB1418" i="24"/>
  <c r="AC1418" i="24" s="1"/>
  <c r="AD1418" i="24" s="1"/>
  <c r="C1419" i="24"/>
  <c r="C1420" i="24"/>
  <c r="C1421" i="24"/>
  <c r="F1421" i="24"/>
  <c r="C1422" i="24"/>
  <c r="F1422" i="24"/>
  <c r="C1423" i="24"/>
  <c r="F1423" i="24"/>
  <c r="C1424" i="24"/>
  <c r="F1424" i="24"/>
  <c r="C1427" i="24"/>
  <c r="V1427" i="24"/>
  <c r="Z1427" i="24"/>
  <c r="AB1427" i="24"/>
  <c r="AC1427" i="24" s="1"/>
  <c r="AD1427" i="24" s="1"/>
  <c r="C1428" i="24"/>
  <c r="C1429" i="24"/>
  <c r="C1430" i="24"/>
  <c r="C1431" i="24"/>
  <c r="C1432" i="24"/>
  <c r="C1436" i="24"/>
  <c r="F1436" i="24"/>
  <c r="C1437" i="24"/>
  <c r="F1437" i="24"/>
  <c r="C1438" i="24"/>
  <c r="F1438" i="24"/>
  <c r="C1439" i="24"/>
  <c r="F1439" i="24"/>
  <c r="C1442" i="24"/>
  <c r="C1443" i="24"/>
  <c r="C1444" i="24"/>
  <c r="C1445" i="24"/>
  <c r="C1446" i="24"/>
  <c r="C1447" i="24"/>
  <c r="C1451" i="24"/>
  <c r="F1451" i="24"/>
  <c r="C1452" i="24"/>
  <c r="F1452" i="24"/>
  <c r="C1453" i="24"/>
  <c r="F1453" i="24"/>
  <c r="C1454" i="24"/>
  <c r="F1454" i="24"/>
  <c r="C1457" i="24"/>
  <c r="C1458" i="24"/>
  <c r="C1459" i="24"/>
  <c r="C1460" i="24"/>
  <c r="C1461" i="24"/>
  <c r="C1462" i="24"/>
  <c r="C1466" i="24"/>
  <c r="F1466" i="24"/>
  <c r="C1467" i="24"/>
  <c r="F1467" i="24"/>
  <c r="C1468" i="24"/>
  <c r="F1468" i="24"/>
  <c r="C1469" i="24"/>
  <c r="F1469" i="24"/>
  <c r="C1472" i="24"/>
  <c r="C1473" i="24"/>
  <c r="C1474" i="24"/>
  <c r="C1475" i="24"/>
  <c r="C1476" i="24"/>
  <c r="C1477" i="24"/>
  <c r="C1481" i="24"/>
  <c r="F1481" i="24"/>
  <c r="C1482" i="24"/>
  <c r="F1482" i="24"/>
  <c r="C1483" i="24"/>
  <c r="F1483" i="24"/>
  <c r="C1484" i="24"/>
  <c r="F1484" i="24"/>
  <c r="C1487" i="24"/>
  <c r="C1488" i="24"/>
  <c r="C1489" i="24"/>
  <c r="C1490" i="24"/>
  <c r="C1491" i="24"/>
  <c r="C1492" i="24"/>
  <c r="C1496" i="24"/>
  <c r="F1496" i="24"/>
  <c r="C1497" i="24"/>
  <c r="F1497" i="24"/>
  <c r="C1498" i="24"/>
  <c r="F1498" i="24"/>
  <c r="C1499" i="24"/>
  <c r="F1499" i="24"/>
  <c r="C1502" i="24"/>
  <c r="C1503" i="24"/>
  <c r="C1504" i="24"/>
  <c r="C1505" i="24"/>
  <c r="C1506" i="24"/>
  <c r="C1507" i="24"/>
  <c r="C1511" i="24"/>
  <c r="F1511" i="24"/>
  <c r="C1512" i="24"/>
  <c r="F1512" i="24"/>
  <c r="C1513" i="24"/>
  <c r="F1513" i="24"/>
  <c r="C1514" i="24"/>
  <c r="F1514" i="24"/>
  <c r="C1517" i="24"/>
  <c r="C1518" i="24"/>
  <c r="C1519" i="24"/>
  <c r="C1520" i="24"/>
  <c r="C1521" i="24"/>
  <c r="C1522" i="24"/>
  <c r="C1526" i="24"/>
  <c r="F1526" i="24"/>
  <c r="C1527" i="24"/>
  <c r="F1527" i="24"/>
  <c r="C1528" i="24"/>
  <c r="F1528" i="24"/>
  <c r="C1529" i="24"/>
  <c r="F1529" i="24"/>
  <c r="C1532" i="24"/>
  <c r="C1533" i="24"/>
  <c r="C1534" i="24"/>
  <c r="C1535" i="24"/>
  <c r="C1536" i="24"/>
  <c r="C1537" i="24"/>
  <c r="C1541" i="24"/>
  <c r="F1541" i="24"/>
  <c r="C1542" i="24"/>
  <c r="F1542" i="24"/>
  <c r="C1543" i="24"/>
  <c r="F1543" i="24"/>
  <c r="C1544" i="24"/>
  <c r="F1544" i="24"/>
  <c r="C1547" i="24"/>
  <c r="C1548" i="24"/>
  <c r="C1549" i="24"/>
  <c r="C1550" i="24"/>
  <c r="C1551" i="24"/>
  <c r="C1552" i="24"/>
  <c r="C1556" i="24"/>
  <c r="F1556" i="24"/>
  <c r="C1557" i="24"/>
  <c r="F1557" i="24"/>
  <c r="C1558" i="24"/>
  <c r="F1558" i="24"/>
  <c r="C1559" i="24"/>
  <c r="F1559" i="24"/>
  <c r="C1562" i="24"/>
  <c r="C1563" i="24"/>
  <c r="C1564" i="24"/>
  <c r="C1565" i="24"/>
  <c r="C1566" i="24"/>
  <c r="C1567" i="24"/>
  <c r="C1571" i="24"/>
  <c r="F1571" i="24"/>
  <c r="C1572" i="24"/>
  <c r="F1572" i="24"/>
  <c r="C1573" i="24"/>
  <c r="F1573" i="24"/>
  <c r="C1574" i="24"/>
  <c r="F1574" i="24"/>
  <c r="C1577" i="24"/>
  <c r="C1578" i="24"/>
  <c r="C1579" i="24"/>
  <c r="C1580" i="24"/>
  <c r="C1581" i="24"/>
  <c r="C1582" i="24"/>
  <c r="C1586" i="24"/>
  <c r="F1586" i="24"/>
  <c r="C1587" i="24"/>
  <c r="F1587" i="24"/>
  <c r="C1588" i="24"/>
  <c r="F1588" i="24"/>
  <c r="C1589" i="24"/>
  <c r="F1589" i="24"/>
  <c r="C1592" i="24"/>
  <c r="C1593" i="24"/>
  <c r="Z1593" i="24"/>
  <c r="AA1593" i="24" s="1"/>
  <c r="AB1593" i="24" s="1"/>
  <c r="AC1593" i="24" s="1"/>
  <c r="AD1593" i="24" s="1"/>
  <c r="C1594" i="24"/>
  <c r="Z1594" i="24"/>
  <c r="AA1594" i="24" s="1"/>
  <c r="AB1594" i="24" s="1"/>
  <c r="AC1594" i="24" s="1"/>
  <c r="AD1594" i="24" s="1"/>
  <c r="C1595" i="24"/>
  <c r="C1596" i="24"/>
  <c r="C1597" i="24"/>
  <c r="C1598" i="24"/>
  <c r="C1599" i="24"/>
  <c r="C1600" i="24"/>
  <c r="C1601" i="24"/>
  <c r="F1601" i="24"/>
  <c r="C1602" i="24"/>
  <c r="F1602" i="24"/>
  <c r="C1603" i="24"/>
  <c r="F1603" i="24"/>
  <c r="C1604" i="24"/>
  <c r="F1604" i="24"/>
  <c r="C1607" i="24"/>
  <c r="Z1607" i="24"/>
  <c r="AA1607" i="24" s="1"/>
  <c r="AB1607" i="24" s="1"/>
  <c r="AC1607" i="24" s="1"/>
  <c r="AD1607" i="24" s="1"/>
  <c r="C1608" i="24"/>
  <c r="C1609" i="24"/>
  <c r="C1610" i="24"/>
  <c r="C1611" i="24"/>
  <c r="C1612" i="24"/>
  <c r="C1616" i="24"/>
  <c r="F1616" i="24"/>
  <c r="C1617" i="24"/>
  <c r="F1617" i="24"/>
  <c r="C1618" i="24"/>
  <c r="F1618" i="24"/>
  <c r="C1619" i="24"/>
  <c r="F1619" i="24"/>
  <c r="C1622" i="24"/>
  <c r="C1623" i="24"/>
  <c r="V1623" i="24"/>
  <c r="X1623" i="24" s="1"/>
  <c r="W1623" i="24"/>
  <c r="C1624" i="24"/>
  <c r="V1624" i="24"/>
  <c r="X1624" i="24" s="1"/>
  <c r="W1624" i="24"/>
  <c r="C1625" i="24"/>
  <c r="C1626" i="24"/>
  <c r="C1627" i="24"/>
  <c r="C1628" i="24"/>
  <c r="C1629" i="24"/>
  <c r="C1630" i="24"/>
  <c r="C1631" i="24"/>
  <c r="F1631" i="24"/>
  <c r="C1632" i="24"/>
  <c r="F1632" i="24"/>
  <c r="C1633" i="24"/>
  <c r="F1633" i="24"/>
  <c r="C1634" i="24"/>
  <c r="F1634" i="24"/>
  <c r="C1637" i="24"/>
  <c r="V1637" i="24"/>
  <c r="Y1637" i="24" s="1"/>
  <c r="Z1637" i="24" s="1"/>
  <c r="AA1637" i="24" s="1"/>
  <c r="AB1637" i="24" s="1"/>
  <c r="AC1637" i="24" s="1"/>
  <c r="AD1637" i="24" s="1"/>
  <c r="W1637" i="24"/>
  <c r="C1638" i="24"/>
  <c r="AA1638" i="24"/>
  <c r="C1639" i="24"/>
  <c r="AA1639" i="24"/>
  <c r="Z1639" i="24" s="1"/>
  <c r="C1640" i="24"/>
  <c r="AA1640" i="24"/>
  <c r="U1640" i="24" s="1"/>
  <c r="C1641" i="24"/>
  <c r="C1642" i="24"/>
  <c r="C1643" i="24"/>
  <c r="C1644" i="24"/>
  <c r="C1645" i="24"/>
  <c r="C1646" i="24"/>
  <c r="F1646" i="24"/>
  <c r="C1647" i="24"/>
  <c r="F1647" i="24"/>
  <c r="C1648" i="24"/>
  <c r="F1648" i="24"/>
  <c r="C1649" i="24"/>
  <c r="F1649" i="24"/>
  <c r="C1652" i="24"/>
  <c r="AA1652" i="24"/>
  <c r="Z1652" i="24" s="1"/>
  <c r="C1653" i="24"/>
  <c r="V1653" i="24"/>
  <c r="X1653" i="24" s="1"/>
  <c r="W1653" i="24"/>
  <c r="Z1653" i="24"/>
  <c r="AB1653" i="24"/>
  <c r="AC1653" i="24" s="1"/>
  <c r="AD1653" i="24" s="1"/>
  <c r="C1654" i="24"/>
  <c r="V1654" i="24"/>
  <c r="X1654" i="24" s="1"/>
  <c r="W1654" i="24"/>
  <c r="Z1654" i="24"/>
  <c r="AB1654" i="24"/>
  <c r="AC1654" i="24" s="1"/>
  <c r="AD1654" i="24" s="1"/>
  <c r="C1655" i="24"/>
  <c r="V1655" i="24"/>
  <c r="X1655" i="24" s="1"/>
  <c r="W1655" i="24"/>
  <c r="Z1655" i="24"/>
  <c r="AB1655" i="24"/>
  <c r="AC1655" i="24" s="1"/>
  <c r="AD1655" i="24" s="1"/>
  <c r="C1656" i="24"/>
  <c r="U1656" i="24"/>
  <c r="V1656" i="24" s="1"/>
  <c r="X1656" i="24" s="1"/>
  <c r="AA1656" i="24"/>
  <c r="Z1656" i="24" s="1"/>
  <c r="C1657" i="24"/>
  <c r="V1657" i="24"/>
  <c r="X1657" i="24" s="1"/>
  <c r="W1657" i="24"/>
  <c r="Z1657" i="24"/>
  <c r="AB1657" i="24"/>
  <c r="AC1657" i="24" s="1"/>
  <c r="AD1657" i="24" s="1"/>
  <c r="C1658" i="24"/>
  <c r="C1659" i="24"/>
  <c r="V1659" i="24"/>
  <c r="X1659" i="24" s="1"/>
  <c r="W1659" i="24"/>
  <c r="Z1659" i="24"/>
  <c r="AB1659" i="24"/>
  <c r="AC1659" i="24" s="1"/>
  <c r="AD1659" i="24" s="1"/>
  <c r="C1660" i="24"/>
  <c r="C1661" i="24"/>
  <c r="F1661" i="24"/>
  <c r="C1662" i="24"/>
  <c r="F1662" i="24"/>
  <c r="C1663" i="24"/>
  <c r="F1663" i="24"/>
  <c r="C1664" i="24"/>
  <c r="F1664" i="24"/>
  <c r="C1667" i="24"/>
  <c r="U1667" i="24"/>
  <c r="V1667" i="24" s="1"/>
  <c r="Z1667" i="24"/>
  <c r="AB1667" i="24"/>
  <c r="AC1667" i="24" s="1"/>
  <c r="AD1667" i="24" s="1"/>
  <c r="C1683" i="24"/>
  <c r="X1683" i="24"/>
  <c r="W1683" i="24"/>
  <c r="Z1683" i="24"/>
  <c r="AB1683" i="24"/>
  <c r="AC1683" i="24" s="1"/>
  <c r="AD1683" i="24" s="1"/>
  <c r="C1684" i="24"/>
  <c r="X1684" i="24"/>
  <c r="W1684" i="24"/>
  <c r="Z1684" i="24"/>
  <c r="AB1684" i="24"/>
  <c r="AC1684" i="24" s="1"/>
  <c r="AD1684" i="24" s="1"/>
  <c r="C1685" i="24"/>
  <c r="X1685" i="24"/>
  <c r="W1685" i="24"/>
  <c r="Z1685" i="24"/>
  <c r="AB1685" i="24"/>
  <c r="AC1685" i="24" s="1"/>
  <c r="AD1685" i="24" s="1"/>
  <c r="C1686" i="24"/>
  <c r="C1687" i="24"/>
  <c r="Y1687" i="24"/>
  <c r="W1687" i="24"/>
  <c r="Z1687" i="24"/>
  <c r="AB1687" i="24"/>
  <c r="AC1687" i="24" s="1"/>
  <c r="AD1687" i="24" s="1"/>
  <c r="C1688" i="24"/>
  <c r="C1689" i="24"/>
  <c r="X1689" i="24"/>
  <c r="W1689" i="24"/>
  <c r="Z1689" i="24"/>
  <c r="AB1689" i="24"/>
  <c r="AC1689" i="24" s="1"/>
  <c r="AD1689" i="24" s="1"/>
  <c r="C1690" i="24"/>
  <c r="C1691" i="24"/>
  <c r="X1691" i="24"/>
  <c r="W1691" i="24"/>
  <c r="Z1691" i="24"/>
  <c r="AB1691" i="24"/>
  <c r="AC1691" i="24" s="1"/>
  <c r="AD1691" i="24" s="1"/>
  <c r="C1692" i="24"/>
  <c r="Y1692" i="24"/>
  <c r="W1692" i="24"/>
  <c r="Z1692" i="24"/>
  <c r="AB1692" i="24"/>
  <c r="AC1692" i="24" s="1"/>
  <c r="AD1692" i="24" s="1"/>
  <c r="C1693" i="24"/>
  <c r="X1693" i="24"/>
  <c r="W1693" i="24"/>
  <c r="Z1693" i="24"/>
  <c r="AB1693" i="24"/>
  <c r="AC1693" i="24" s="1"/>
  <c r="AD1693" i="24" s="1"/>
  <c r="C1694" i="24"/>
  <c r="Y1694" i="24"/>
  <c r="W1694" i="24"/>
  <c r="Z1694" i="24"/>
  <c r="AB1694" i="24"/>
  <c r="AC1694" i="24" s="1"/>
  <c r="AD1694" i="24" s="1"/>
  <c r="C1697" i="24"/>
  <c r="Y1697" i="24"/>
  <c r="W1697" i="24"/>
  <c r="Z1697" i="24"/>
  <c r="AB1697" i="24"/>
  <c r="AC1697" i="24" s="1"/>
  <c r="AD1697" i="24" s="1"/>
  <c r="C1726" i="24"/>
  <c r="AA1651" i="24" l="1"/>
  <c r="Y195" i="24"/>
  <c r="X197" i="24"/>
  <c r="U815" i="24"/>
  <c r="W197" i="24"/>
  <c r="AB677" i="24"/>
  <c r="Y197" i="24"/>
  <c r="AC677" i="24"/>
  <c r="Y1624" i="24"/>
  <c r="Z1624" i="24" s="1"/>
  <c r="AA1624" i="24" s="1"/>
  <c r="AB1624" i="24" s="1"/>
  <c r="AC1624" i="24" s="1"/>
  <c r="AD1624" i="24" s="1"/>
  <c r="V195" i="24"/>
  <c r="W203" i="24"/>
  <c r="V203" i="24"/>
  <c r="U203" i="24"/>
  <c r="U212" i="24"/>
  <c r="W1667" i="24"/>
  <c r="X677" i="24"/>
  <c r="V677" i="24"/>
  <c r="Y677" i="24"/>
  <c r="AB1281" i="24"/>
  <c r="AC1281" i="24" s="1"/>
  <c r="AD1281" i="24" s="1"/>
  <c r="U677" i="24"/>
  <c r="AB1275" i="24"/>
  <c r="AC1275" i="24" s="1"/>
  <c r="AD1275" i="24" s="1"/>
  <c r="Y196" i="24"/>
  <c r="V1417" i="24"/>
  <c r="X1417" i="24" s="1"/>
  <c r="X196" i="24"/>
  <c r="X203" i="24"/>
  <c r="AA239" i="24"/>
  <c r="Z239" i="24"/>
  <c r="W239" i="24"/>
  <c r="U915" i="24"/>
  <c r="V915" i="24" s="1"/>
  <c r="X915" i="24" s="1"/>
  <c r="AA1279" i="24"/>
  <c r="Z1279" i="24" s="1"/>
  <c r="U239" i="24"/>
  <c r="AA1649" i="24"/>
  <c r="Y239" i="24"/>
  <c r="U1639" i="24"/>
  <c r="V1639" i="24" s="1"/>
  <c r="X1639" i="24" s="1"/>
  <c r="X239" i="24"/>
  <c r="V1418" i="24"/>
  <c r="X1418" i="24" s="1"/>
  <c r="U412" i="24"/>
  <c r="W816" i="24"/>
  <c r="W817" i="24" s="1"/>
  <c r="W818" i="24" s="1"/>
  <c r="Z1276" i="24"/>
  <c r="AD199" i="24"/>
  <c r="AB199" i="24"/>
  <c r="AA199" i="24"/>
  <c r="W677" i="24"/>
  <c r="Z199" i="24"/>
  <c r="Y199" i="24"/>
  <c r="X199" i="24"/>
  <c r="W199" i="24"/>
  <c r="AB1652" i="24"/>
  <c r="AC1652" i="24" s="1"/>
  <c r="AD1652" i="24" s="1"/>
  <c r="V199" i="24"/>
  <c r="AD325" i="24"/>
  <c r="W503" i="24"/>
  <c r="AB325" i="24"/>
  <c r="AA325" i="24"/>
  <c r="V206" i="24"/>
  <c r="U206" i="24"/>
  <c r="AB626" i="24"/>
  <c r="AC626" i="24" s="1"/>
  <c r="AD626" i="24" s="1"/>
  <c r="X1687" i="24"/>
  <c r="W1656" i="24"/>
  <c r="X212" i="24"/>
  <c r="Y776" i="24"/>
  <c r="Z776" i="24" s="1"/>
  <c r="AA776" i="24" s="1"/>
  <c r="AB776" i="24" s="1"/>
  <c r="AC776" i="24" s="1"/>
  <c r="AD776" i="24" s="1"/>
  <c r="X1263" i="24"/>
  <c r="M196" i="24"/>
  <c r="N196" i="24" s="1"/>
  <c r="O196" i="24" s="1"/>
  <c r="P196" i="24" s="1"/>
  <c r="AD196" i="24"/>
  <c r="W814" i="24"/>
  <c r="W815" i="24" s="1"/>
  <c r="AB1638" i="24"/>
  <c r="AB913" i="24"/>
  <c r="AC913" i="24" s="1"/>
  <c r="AD913" i="24" s="1"/>
  <c r="V197" i="24"/>
  <c r="AB623" i="24"/>
  <c r="AC623" i="24" s="1"/>
  <c r="AD623" i="24" s="1"/>
  <c r="L197" i="24"/>
  <c r="AA197" i="24" s="1"/>
  <c r="X1697" i="24"/>
  <c r="Z325" i="24"/>
  <c r="Y325" i="24"/>
  <c r="Z1638" i="24"/>
  <c r="X325" i="24"/>
  <c r="AC209" i="24"/>
  <c r="W325" i="24"/>
  <c r="AB209" i="24"/>
  <c r="U325" i="24"/>
  <c r="Z209" i="24"/>
  <c r="W196" i="24"/>
  <c r="V196" i="24"/>
  <c r="U196" i="24"/>
  <c r="W1279" i="24"/>
  <c r="U195" i="24"/>
  <c r="V1279" i="24"/>
  <c r="U1279" i="24"/>
  <c r="U1280" i="24"/>
  <c r="U817" i="24"/>
  <c r="U818" i="24" s="1"/>
  <c r="AB1640" i="24"/>
  <c r="AC1640" i="24" s="1"/>
  <c r="AD1640" i="24" s="1"/>
  <c r="AD239" i="24"/>
  <c r="AC239" i="24"/>
  <c r="Y1691" i="24"/>
  <c r="X926" i="24"/>
  <c r="Y772" i="24"/>
  <c r="Z772" i="24" s="1"/>
  <c r="AA772" i="24" s="1"/>
  <c r="AB772" i="24" s="1"/>
  <c r="AC772" i="24" s="1"/>
  <c r="AD772" i="24" s="1"/>
  <c r="AC172" i="24"/>
  <c r="Z172" i="24"/>
  <c r="AC885" i="24"/>
  <c r="AD885" i="24" s="1"/>
  <c r="AD801" i="24" s="1"/>
  <c r="X211" i="24"/>
  <c r="W206" i="24"/>
  <c r="AA797" i="24"/>
  <c r="Z797" i="24"/>
  <c r="X1692" i="24"/>
  <c r="Y810" i="24"/>
  <c r="X204" i="24"/>
  <c r="Y1684" i="24"/>
  <c r="Z540" i="24"/>
  <c r="Z541" i="24" s="1"/>
  <c r="Z542" i="24" s="1"/>
  <c r="W45" i="24"/>
  <c r="Y773" i="24"/>
  <c r="Z773" i="24" s="1"/>
  <c r="AA773" i="24" s="1"/>
  <c r="AB773" i="24" s="1"/>
  <c r="AC773" i="24" s="1"/>
  <c r="AD773" i="24" s="1"/>
  <c r="AA209" i="24"/>
  <c r="Y212" i="24"/>
  <c r="Y69" i="24"/>
  <c r="Z69" i="24" s="1"/>
  <c r="AA69" i="24" s="1"/>
  <c r="AB69" i="24" s="1"/>
  <c r="AC69" i="24" s="1"/>
  <c r="AD69" i="24" s="1"/>
  <c r="X1694" i="24"/>
  <c r="Z623" i="24"/>
  <c r="Y172" i="24"/>
  <c r="W172" i="24"/>
  <c r="V172" i="24"/>
  <c r="Y887" i="24"/>
  <c r="Y805" i="24" s="1"/>
  <c r="X887" i="24"/>
  <c r="X805" i="24" s="1"/>
  <c r="Y814" i="24"/>
  <c r="Z814" i="24" s="1"/>
  <c r="Z815" i="24" s="1"/>
  <c r="X814" i="24"/>
  <c r="X815" i="24" s="1"/>
  <c r="AB800" i="24"/>
  <c r="AB45" i="24"/>
  <c r="Z800" i="24"/>
  <c r="AC196" i="24"/>
  <c r="Y1683" i="24"/>
  <c r="Y1656" i="24"/>
  <c r="Z1272" i="24"/>
  <c r="V809" i="24"/>
  <c r="X809" i="24" s="1"/>
  <c r="Y797" i="24"/>
  <c r="Y681" i="24"/>
  <c r="V212" i="24"/>
  <c r="AB196" i="24"/>
  <c r="AA196" i="24"/>
  <c r="Z196" i="24"/>
  <c r="V75" i="24"/>
  <c r="X75" i="24" s="1"/>
  <c r="W395" i="24"/>
  <c r="Y211" i="24"/>
  <c r="Y206" i="24"/>
  <c r="Y1415" i="24"/>
  <c r="Y886" i="24"/>
  <c r="Z886" i="24" s="1"/>
  <c r="Z802" i="24" s="1"/>
  <c r="X206" i="24"/>
  <c r="X886" i="24"/>
  <c r="X804" i="24" s="1"/>
  <c r="Z628" i="24"/>
  <c r="W72" i="24"/>
  <c r="AB627" i="24"/>
  <c r="AC627" i="24" s="1"/>
  <c r="AD627" i="24" s="1"/>
  <c r="Z45" i="24"/>
  <c r="U626" i="24"/>
  <c r="V204" i="24"/>
  <c r="X172" i="24"/>
  <c r="C28" i="24"/>
  <c r="AD799" i="24"/>
  <c r="X1637" i="24"/>
  <c r="Y927" i="24"/>
  <c r="AC799" i="24"/>
  <c r="U811" i="24"/>
  <c r="V811" i="24" s="1"/>
  <c r="Y811" i="24" s="1"/>
  <c r="C38" i="24"/>
  <c r="C5" i="24"/>
  <c r="X774" i="24"/>
  <c r="Y659" i="24"/>
  <c r="Y1657" i="24"/>
  <c r="Y857" i="24"/>
  <c r="AD797" i="24"/>
  <c r="AC797" i="24"/>
  <c r="C37" i="24"/>
  <c r="X73" i="24"/>
  <c r="Y73" i="24"/>
  <c r="Z73" i="24" s="1"/>
  <c r="AA73" i="24" s="1"/>
  <c r="AB73" i="24" s="1"/>
  <c r="AC73" i="24" s="1"/>
  <c r="AD73" i="24" s="1"/>
  <c r="AA1230" i="24"/>
  <c r="Z1229" i="24"/>
  <c r="V627" i="24"/>
  <c r="W627" i="24"/>
  <c r="AB547" i="24"/>
  <c r="AC547" i="24" s="1"/>
  <c r="AA548" i="24"/>
  <c r="AA549" i="24" s="1"/>
  <c r="AA550" i="24" s="1"/>
  <c r="X1260" i="24"/>
  <c r="Z1238" i="24"/>
  <c r="Z1237" i="24" s="1"/>
  <c r="AB797" i="24"/>
  <c r="Y45" i="24"/>
  <c r="U204" i="24"/>
  <c r="AB172" i="24"/>
  <c r="W73" i="24"/>
  <c r="AC656" i="24"/>
  <c r="AC658" i="24" s="1"/>
  <c r="X45" i="24"/>
  <c r="L204" i="24"/>
  <c r="V45" i="24"/>
  <c r="L211" i="24"/>
  <c r="W797" i="24"/>
  <c r="U45" i="24"/>
  <c r="AB629" i="24"/>
  <c r="AC629" i="24" s="1"/>
  <c r="AD629" i="24" s="1"/>
  <c r="AB1656" i="24"/>
  <c r="AC1656" i="24" s="1"/>
  <c r="AD1656" i="24" s="1"/>
  <c r="Y330" i="24"/>
  <c r="Z330" i="24" s="1"/>
  <c r="AA330" i="24" s="1"/>
  <c r="AB330" i="24" s="1"/>
  <c r="AC330" i="24" s="1"/>
  <c r="AD330" i="24" s="1"/>
  <c r="AD206" i="24"/>
  <c r="AC206" i="24"/>
  <c r="AB1271" i="24"/>
  <c r="AC1271" i="24" s="1"/>
  <c r="AD1271" i="24" s="1"/>
  <c r="X919" i="24"/>
  <c r="U629" i="24"/>
  <c r="AB206" i="24"/>
  <c r="AA206" i="24"/>
  <c r="W70" i="24"/>
  <c r="Y1229"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69" i="24"/>
  <c r="AC45" i="24"/>
  <c r="Y204" i="24"/>
  <c r="W74" i="24"/>
  <c r="Y808" i="24"/>
  <c r="X657" i="24"/>
  <c r="Y1623" i="24"/>
  <c r="Z1623" i="24" s="1"/>
  <c r="AA1623" i="24" s="1"/>
  <c r="AB1623" i="24" s="1"/>
  <c r="AC1623" i="24" s="1"/>
  <c r="AD1623"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280" i="24"/>
  <c r="AC1280" i="24" s="1"/>
  <c r="AD1280" i="24" s="1"/>
  <c r="Z1280"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67" i="24"/>
  <c r="Y1667" i="24"/>
  <c r="X816" i="24"/>
  <c r="X817" i="24" s="1"/>
  <c r="X818" i="24" s="1"/>
  <c r="Y816" i="24"/>
  <c r="V817" i="24"/>
  <c r="V818" i="24" s="1"/>
  <c r="V1640" i="24"/>
  <c r="W1640"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282" i="24"/>
  <c r="AC1282" i="24" s="1"/>
  <c r="AD1282" i="24" s="1"/>
  <c r="Z207" i="24"/>
  <c r="AC1262" i="24"/>
  <c r="Y858" i="24"/>
  <c r="AC853" i="24"/>
  <c r="AB804" i="24"/>
  <c r="X797" i="24"/>
  <c r="Y775" i="24"/>
  <c r="Z775" i="24" s="1"/>
  <c r="AA775" i="24" s="1"/>
  <c r="AB775" i="24" s="1"/>
  <c r="AC775" i="24" s="1"/>
  <c r="AD775" i="24" s="1"/>
  <c r="V756" i="24"/>
  <c r="AA677" i="24"/>
  <c r="U628" i="24"/>
  <c r="Y1653" i="24"/>
  <c r="Z677" i="24"/>
  <c r="U625" i="24"/>
  <c r="X195" i="24"/>
  <c r="W71" i="24"/>
  <c r="Y1279" i="24"/>
  <c r="AB1276" i="24"/>
  <c r="AC1276" i="24" s="1"/>
  <c r="AD1276" i="24" s="1"/>
  <c r="Y918" i="24"/>
  <c r="W914" i="24"/>
  <c r="V797" i="24"/>
  <c r="Y656" i="24"/>
  <c r="Y658" i="24" s="1"/>
  <c r="W195" i="24"/>
  <c r="Y1685" i="24"/>
  <c r="X1279" i="24"/>
  <c r="Y1262" i="24"/>
  <c r="Y1261" i="24" s="1"/>
  <c r="AC886" i="24"/>
  <c r="Y853" i="24"/>
  <c r="Y753" i="24" s="1"/>
  <c r="U797" i="24"/>
  <c r="X656" i="24"/>
  <c r="X658" i="24" s="1"/>
  <c r="AB630" i="24"/>
  <c r="AC630" i="24" s="1"/>
  <c r="AD630" i="24" s="1"/>
  <c r="X1262" i="24"/>
  <c r="X1261" i="24" s="1"/>
  <c r="X853" i="24"/>
  <c r="X753" i="24" s="1"/>
  <c r="AB806" i="24"/>
  <c r="Z630" i="24"/>
  <c r="AB624" i="24"/>
  <c r="AC624" i="24" s="1"/>
  <c r="AD624" i="24" s="1"/>
  <c r="AD796" i="24"/>
  <c r="Z624" i="24"/>
  <c r="V799" i="24"/>
  <c r="AC796" i="24"/>
  <c r="AB796" i="24"/>
  <c r="L195" i="24"/>
  <c r="W806" i="24"/>
  <c r="AA796" i="24"/>
  <c r="W76" i="24"/>
  <c r="AD198" i="24"/>
  <c r="Z913" i="24"/>
  <c r="Y1278" i="24"/>
  <c r="Y1277" i="24" s="1"/>
  <c r="AB803" i="24"/>
  <c r="V801" i="24"/>
  <c r="X796" i="24"/>
  <c r="V755" i="24"/>
  <c r="AC198" i="24"/>
  <c r="X799" i="24"/>
  <c r="AA1278" i="24"/>
  <c r="X1278" i="24"/>
  <c r="X1277" i="24" s="1"/>
  <c r="W796" i="24"/>
  <c r="AB198" i="24"/>
  <c r="V806" i="24"/>
  <c r="Y1689" i="24"/>
  <c r="Y1655" i="24"/>
  <c r="U1652" i="24"/>
  <c r="Y1414" i="24"/>
  <c r="W1278" i="24"/>
  <c r="W1277" i="24" s="1"/>
  <c r="Y885" i="24"/>
  <c r="V796" i="24"/>
  <c r="AA198" i="24"/>
  <c r="Y796" i="24"/>
  <c r="Y1693" i="24"/>
  <c r="V1278" i="24"/>
  <c r="V1277" i="24" s="1"/>
  <c r="U796" i="24"/>
  <c r="AD678" i="24"/>
  <c r="W211" i="24"/>
  <c r="Z1640" i="24"/>
  <c r="Y1659" i="24"/>
  <c r="Z798" i="24"/>
  <c r="AC678" i="24"/>
  <c r="V211" i="24"/>
  <c r="Y198" i="24"/>
  <c r="W803" i="24"/>
  <c r="AB678" i="24"/>
  <c r="Y203" i="24"/>
  <c r="X198" i="24"/>
  <c r="AB1283" i="24"/>
  <c r="AC1283" i="24" s="1"/>
  <c r="AD1283" i="24" s="1"/>
  <c r="AB1270" i="24"/>
  <c r="AB915" i="24"/>
  <c r="AC915" i="24" s="1"/>
  <c r="AD915" i="24" s="1"/>
  <c r="Y855" i="24"/>
  <c r="W809" i="24"/>
  <c r="AB805" i="24"/>
  <c r="V803" i="24"/>
  <c r="AA678" i="24"/>
  <c r="AD412" i="24"/>
  <c r="W198" i="24"/>
  <c r="AB754" i="24"/>
  <c r="AC412" i="24"/>
  <c r="AD395" i="24"/>
  <c r="V198" i="24"/>
  <c r="AB1639" i="24"/>
  <c r="AC1639" i="24" s="1"/>
  <c r="AD1639" i="24" s="1"/>
  <c r="Y678" i="24"/>
  <c r="AB412" i="24"/>
  <c r="AC395" i="24"/>
  <c r="X678" i="24"/>
  <c r="AA412" i="24"/>
  <c r="AB395" i="24"/>
  <c r="Y859" i="24"/>
  <c r="W678" i="24"/>
  <c r="AA395" i="24"/>
  <c r="Y1413" i="24"/>
  <c r="V678" i="24"/>
  <c r="Y412" i="24"/>
  <c r="Y205" i="24"/>
  <c r="U1638" i="24"/>
  <c r="Y1654" i="24"/>
  <c r="AC854" i="24"/>
  <c r="Z1649" i="24" l="1"/>
  <c r="Z1651" i="24"/>
  <c r="U1651" i="24"/>
  <c r="AC1638" i="24"/>
  <c r="AB1651" i="24"/>
  <c r="Y1417" i="24"/>
  <c r="AB1279" i="24"/>
  <c r="AC1279" i="24" s="1"/>
  <c r="AD1279" i="24" s="1"/>
  <c r="Y915" i="24"/>
  <c r="W915" i="24"/>
  <c r="Y1418" i="24"/>
  <c r="W1639" i="24"/>
  <c r="Y1639"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38" i="24"/>
  <c r="AA1237"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30" i="24"/>
  <c r="AA1229" i="24"/>
  <c r="AC1270" i="24"/>
  <c r="AB1269" i="24"/>
  <c r="Z816" i="24"/>
  <c r="Y817" i="24"/>
  <c r="Y818" i="24" s="1"/>
  <c r="Y1640" i="24"/>
  <c r="X1640"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U1649" i="24"/>
  <c r="V1638" i="24"/>
  <c r="W1638" i="24"/>
  <c r="Z885" i="24"/>
  <c r="Z801" i="24" s="1"/>
  <c r="Y801" i="24"/>
  <c r="AD805" i="24"/>
  <c r="AD803" i="24"/>
  <c r="AD806" i="24"/>
  <c r="Z205" i="24"/>
  <c r="AA205" i="24"/>
  <c r="AB205" i="24"/>
  <c r="AC205" i="24"/>
  <c r="AD205" i="24"/>
  <c r="X812" i="24"/>
  <c r="Y812" i="24"/>
  <c r="AA1277" i="24"/>
  <c r="Z1278" i="24"/>
  <c r="Z1277" i="24" s="1"/>
  <c r="AB1278" i="24"/>
  <c r="AC753" i="24"/>
  <c r="AD853" i="24"/>
  <c r="AD753" i="24" s="1"/>
  <c r="AB1649" i="24"/>
  <c r="X623" i="24"/>
  <c r="Y623" i="24"/>
  <c r="V1652" i="24"/>
  <c r="W1652" i="24"/>
  <c r="AC1261" i="24"/>
  <c r="AD1262" i="24"/>
  <c r="AD1261" i="24" s="1"/>
  <c r="AC1649" i="24"/>
  <c r="AD1638" i="24"/>
  <c r="X630" i="24"/>
  <c r="Y630" i="24"/>
  <c r="AC539" i="24"/>
  <c r="AB540" i="24"/>
  <c r="AB541" i="24" s="1"/>
  <c r="AB542" i="24" s="1"/>
  <c r="AC802" i="24"/>
  <c r="AD886" i="24"/>
  <c r="AC804" i="24"/>
  <c r="Y755" i="24"/>
  <c r="Y757" i="24"/>
  <c r="Y758" i="24"/>
  <c r="AD1649" i="24" l="1"/>
  <c r="AD1651" i="24"/>
  <c r="AC1651" i="24"/>
  <c r="V1651" i="24"/>
  <c r="W1649" i="24"/>
  <c r="W1651" i="24"/>
  <c r="Z806" i="24"/>
  <c r="Z805" i="24"/>
  <c r="AA815" i="24"/>
  <c r="AB1238" i="24"/>
  <c r="AB1237" i="24" s="1"/>
  <c r="Y626" i="24"/>
  <c r="X626" i="24"/>
  <c r="X629" i="24"/>
  <c r="Y629" i="24"/>
  <c r="AB815" i="24"/>
  <c r="AC814" i="24"/>
  <c r="AD757" i="24"/>
  <c r="AD755" i="24"/>
  <c r="AD758" i="24"/>
  <c r="AC1230" i="24"/>
  <c r="AB1229" i="24"/>
  <c r="AD756" i="24"/>
  <c r="AD754" i="24"/>
  <c r="AD802" i="24"/>
  <c r="AD804" i="24"/>
  <c r="X1652" i="24"/>
  <c r="Y1652" i="24"/>
  <c r="X625" i="24"/>
  <c r="Y625" i="24"/>
  <c r="AD539" i="24"/>
  <c r="AD540" i="24" s="1"/>
  <c r="AD541" i="24" s="1"/>
  <c r="AD542" i="24" s="1"/>
  <c r="AC540" i="24"/>
  <c r="AC541" i="24" s="1"/>
  <c r="AC542" i="24" s="1"/>
  <c r="X628" i="24"/>
  <c r="Y628" i="24"/>
  <c r="AA816" i="24"/>
  <c r="Z817" i="24"/>
  <c r="Z818" i="24" s="1"/>
  <c r="V1649" i="24"/>
  <c r="X1638" i="24"/>
  <c r="Y1638" i="24"/>
  <c r="AC1278" i="24"/>
  <c r="AB1277" i="24"/>
  <c r="AD1270" i="24"/>
  <c r="AD1269" i="24" s="1"/>
  <c r="AC1269" i="24"/>
  <c r="X1649" i="24" l="1"/>
  <c r="X1651" i="24"/>
  <c r="Y1649" i="24"/>
  <c r="Y1651" i="24"/>
  <c r="AC1238" i="24"/>
  <c r="AC1237" i="24" s="1"/>
  <c r="AC1229" i="24"/>
  <c r="AD1230" i="24"/>
  <c r="AD1229" i="24" s="1"/>
  <c r="AC815" i="24"/>
  <c r="AD814" i="24"/>
  <c r="AD815" i="24" s="1"/>
  <c r="AC1277" i="24"/>
  <c r="AD1278" i="24"/>
  <c r="AD1277" i="24" s="1"/>
  <c r="AB816" i="24"/>
  <c r="AA817" i="24"/>
  <c r="AA818" i="24" s="1"/>
  <c r="AD1238" i="24" l="1"/>
  <c r="AD1237"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4"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J59" i="1"/>
  <c r="F59" i="1"/>
  <c r="A59" i="1"/>
  <c r="L59" i="1" s="1"/>
  <c r="G42" i="6"/>
  <c r="R54" i="6"/>
  <c r="B87" i="21"/>
  <c r="B88" i="16"/>
  <c r="B23" i="4"/>
  <c r="Q75"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P51" i="23"/>
  <c r="P52" i="23" s="1"/>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H95" i="23"/>
  <c r="AY95" i="23" s="1"/>
  <c r="AI95" i="23"/>
  <c r="AZ95" i="23" s="1"/>
  <c r="AJ95" i="23"/>
  <c r="AX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Z101" i="23"/>
  <c r="Z100" i="23" s="1"/>
  <c r="Z99" i="23" s="1"/>
  <c r="Z98" i="23" s="1"/>
  <c r="Z97" i="23" s="1"/>
  <c r="Z96" i="23" s="1"/>
  <c r="AA101" i="23"/>
  <c r="AA100" i="23" s="1"/>
  <c r="AA99" i="23" s="1"/>
  <c r="AA98" i="23" s="1"/>
  <c r="AA97" i="23" s="1"/>
  <c r="AA96" i="23" s="1"/>
  <c r="AC101" i="23"/>
  <c r="AC100" i="23" s="1"/>
  <c r="AC99" i="23" s="1"/>
  <c r="AC98" i="23" s="1"/>
  <c r="AC97" i="23" s="1"/>
  <c r="AC96" i="23" s="1"/>
  <c r="AX101" i="23"/>
  <c r="BC101" i="23"/>
  <c r="BD101" i="23" s="1"/>
  <c r="C102" i="23"/>
  <c r="F102" i="23"/>
  <c r="N102" i="23"/>
  <c r="N101" i="23" s="1"/>
  <c r="N100" i="23" s="1"/>
  <c r="N99" i="23" s="1"/>
  <c r="N98" i="23" s="1"/>
  <c r="N97" i="23" s="1"/>
  <c r="N96" i="23" s="1"/>
  <c r="O102" i="23"/>
  <c r="O101" i="23" s="1"/>
  <c r="O100" i="23" s="1"/>
  <c r="O99" i="23" s="1"/>
  <c r="O98" i="23" s="1"/>
  <c r="O97" i="23" s="1"/>
  <c r="O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AA102" i="23"/>
  <c r="AB102" i="23"/>
  <c r="AB101" i="23" s="1"/>
  <c r="AB100" i="23" s="1"/>
  <c r="AB99" i="23" s="1"/>
  <c r="AB98" i="23" s="1"/>
  <c r="AB97" i="23" s="1"/>
  <c r="AB96" i="23" s="1"/>
  <c r="AC102" i="23"/>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BE104" i="23"/>
  <c r="C105" i="23"/>
  <c r="F105" i="23"/>
  <c r="X105" i="23"/>
  <c r="X106" i="23" s="1"/>
  <c r="X107" i="23" s="1"/>
  <c r="X108" i="23" s="1"/>
  <c r="X109" i="23" s="1"/>
  <c r="BC105" i="23"/>
  <c r="BD105" i="23" s="1"/>
  <c r="C106" i="23"/>
  <c r="F106" i="23"/>
  <c r="BC106" i="23"/>
  <c r="BD106" i="23" s="1"/>
  <c r="C107" i="23"/>
  <c r="F107" i="23"/>
  <c r="AX107" i="23"/>
  <c r="BC107" i="23"/>
  <c r="BD107" i="23" s="1"/>
  <c r="C108" i="23"/>
  <c r="F108" i="23"/>
  <c r="AX108" i="23"/>
  <c r="BC108" i="23"/>
  <c r="BD108" i="23"/>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BE111" i="23"/>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L123" i="23"/>
  <c r="L129" i="23" s="1"/>
  <c r="M123" i="23"/>
  <c r="M129" i="23" s="1"/>
  <c r="N123" i="23"/>
  <c r="N129" i="23" s="1"/>
  <c r="O123" i="23"/>
  <c r="O129" i="23" s="1"/>
  <c r="C124" i="23"/>
  <c r="O124" i="23"/>
  <c r="J125" i="23" s="1"/>
  <c r="C125" i="23"/>
  <c r="K125" i="23"/>
  <c r="L125" i="23"/>
  <c r="M125" i="23"/>
  <c r="N125" i="23"/>
  <c r="P125" i="23"/>
  <c r="C126" i="23"/>
  <c r="C127" i="23"/>
  <c r="K127" i="23"/>
  <c r="L127" i="23"/>
  <c r="M127" i="23"/>
  <c r="N127" i="23"/>
  <c r="O127" i="23"/>
  <c r="C128" i="23"/>
  <c r="C129" i="23"/>
  <c r="K129" i="23"/>
  <c r="P129" i="23"/>
  <c r="C130" i="23"/>
  <c r="J130" i="23"/>
  <c r="K130" i="23"/>
  <c r="L130" i="23"/>
  <c r="M130" i="23"/>
  <c r="N130" i="23"/>
  <c r="O130" i="23"/>
  <c r="P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B203" i="23"/>
  <c r="C204" i="23"/>
  <c r="AA204" i="23"/>
  <c r="AB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AZ210" i="23" s="1" a="1"/>
  <c r="AZ210" i="23" s="1"/>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BD224" i="23" a="1"/>
  <c r="BD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BD227" i="23" a="1"/>
  <c r="BD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BD230" i="23" a="1"/>
  <c r="BD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I258" i="23"/>
  <c r="I259" i="23" s="1"/>
  <c r="I260" i="23" s="1"/>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BE101" i="23" l="1"/>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N15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AX221" i="23"/>
  <c r="BE103" i="23"/>
  <c r="AZ223" i="23" a="1"/>
  <c r="AZ223" i="23" s="1"/>
  <c r="AW221" i="23"/>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21" i="23"/>
  <c r="BD212" i="23" a="1"/>
  <c r="BD212" i="23" s="1"/>
  <c r="BC221" i="23"/>
  <c r="AW208" i="23" a="1"/>
  <c r="BB221" i="23"/>
  <c r="C90" i="23"/>
  <c r="BB218" i="23" a="1"/>
  <c r="BB218" i="23" s="1"/>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68" i="20"/>
  <c r="P69" i="20"/>
  <c r="P70" i="20"/>
  <c r="P71" i="20"/>
  <c r="P72" i="20"/>
  <c r="P73" i="20"/>
  <c r="P75" i="20"/>
  <c r="P76" i="20"/>
  <c r="P77" i="20"/>
  <c r="P78" i="20"/>
  <c r="P79" i="20"/>
  <c r="P80" i="20"/>
  <c r="P81" i="20"/>
  <c r="P82" i="20"/>
  <c r="P83" i="20"/>
  <c r="P84" i="20"/>
  <c r="P85" i="20"/>
  <c r="P67"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J60" i="1"/>
  <c r="A60" i="1"/>
  <c r="L60" i="1" s="1"/>
  <c r="BC200" i="23" l="1"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88" i="20"/>
  <c r="G114"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6" i="20"/>
  <c r="K17" i="20"/>
  <c r="K13" i="20"/>
  <c r="K15" i="20"/>
  <c r="G21" i="20"/>
  <c r="B88" i="18" l="1"/>
  <c r="G27" i="6" l="1"/>
  <c r="A40" i="18" l="1"/>
  <c r="A40" i="16"/>
  <c r="G13" i="6" l="1"/>
  <c r="A59" i="18" l="1"/>
  <c r="A59" i="16"/>
  <c r="H21" i="17" l="1"/>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J69" i="1" l="1"/>
  <c r="F69" i="1"/>
  <c r="J65" i="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5" i="1" l="1"/>
  <c r="J57" i="1"/>
  <c r="J66" i="1"/>
  <c r="J70" i="1"/>
  <c r="J56" i="1"/>
  <c r="J54" i="1"/>
  <c r="J58" i="1"/>
  <c r="J64" i="1"/>
  <c r="J61" i="1"/>
  <c r="J52" i="1"/>
  <c r="J53" i="1" s="1"/>
  <c r="J67" i="1"/>
  <c r="J68" i="1" s="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4" authorId="0" shapeId="0" xr:uid="{A04993C6-0C48-4E75-8F15-5AE3F94289EE}">
      <text>
        <r>
          <rPr>
            <b/>
            <sz val="9"/>
            <color indexed="81"/>
            <rFont val="Tahoma"/>
            <family val="2"/>
          </rPr>
          <t>Michael Young (21512438):</t>
        </r>
        <r>
          <rPr>
            <sz val="9"/>
            <color indexed="81"/>
            <rFont val="Tahoma"/>
            <family val="2"/>
          </rPr>
          <t xml:space="preserve">
Ross used numbers between 0.000003 and 0.000005. </t>
        </r>
      </text>
    </comment>
    <comment ref="Q24" authorId="0" shapeId="0" xr:uid="{9B3C1FDF-1F2A-4973-87EA-18BA808A7A8C}">
      <text>
        <r>
          <rPr>
            <b/>
            <sz val="9"/>
            <color indexed="81"/>
            <rFont val="Tahoma"/>
            <family val="2"/>
          </rPr>
          <t>Michael Young (21512438):</t>
        </r>
        <r>
          <rPr>
            <sz val="9"/>
            <color indexed="81"/>
            <rFont val="Tahoma"/>
            <family val="2"/>
          </rPr>
          <t xml:space="preserve">
Ross used numbers between 0.1 and 3. </t>
        </r>
      </text>
    </comment>
    <comment ref="P25" authorId="0" shapeId="0" xr:uid="{39CF0BC0-F055-4171-AA9E-47290D18B67A}">
      <text>
        <r>
          <rPr>
            <b/>
            <sz val="9"/>
            <color indexed="81"/>
            <rFont val="Tahoma"/>
            <family val="2"/>
          </rPr>
          <t>Michael Young (21512438):</t>
        </r>
        <r>
          <rPr>
            <sz val="9"/>
            <color indexed="81"/>
            <rFont val="Tahoma"/>
            <family val="2"/>
          </rPr>
          <t xml:space="preserve">
Starting wealth - ie value of assest eg land. The higher this value the less impact risk aversion has.
This needs to big big enough so that terminal wealth for the yr plus initial wealth is greater than 0 for all scenarios because CRRA doesnt handle negitive terminal wealth.</t>
        </r>
      </text>
    </comment>
    <comment ref="G34"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2019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includes 5% stamp duty</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P48" authorId="0" shapeId="0" xr:uid="{F9AD6DCC-26F8-4037-B6B4-1A55CFBAD405}">
      <text>
        <r>
          <rPr>
            <b/>
            <sz val="9"/>
            <color indexed="81"/>
            <rFont val="Tahoma"/>
            <family val="2"/>
          </rPr>
          <t>John:</t>
        </r>
        <r>
          <rPr>
            <sz val="9"/>
            <color indexed="81"/>
            <rFont val="Tahoma"/>
            <family val="2"/>
          </rPr>
          <t xml:space="preserve">
Scale dam mob size during the lactation period. 
Alters progeny survival at birth</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sheep inputs for the dates when the equation system is changed.</t>
        </r>
      </text>
    </comment>
    <comment ref="K401" authorId="0" shapeId="0" xr:uid="{12D8E118-C3D1-4CE5-9B1A-846DDA935D08}">
      <text>
        <r>
          <rPr>
            <b/>
            <sz val="9"/>
            <color indexed="81"/>
            <rFont val="Tahoma"/>
            <family val="2"/>
          </rPr>
          <t>John:</t>
        </r>
        <r>
          <rPr>
            <sz val="9"/>
            <color indexed="81"/>
            <rFont val="Tahoma"/>
            <family val="2"/>
          </rPr>
          <t xml:space="preserve">
LTW linear equation with LW</t>
        </r>
      </text>
    </comment>
    <comment ref="L401" authorId="0" shapeId="0" xr:uid="{B56F4E44-4C14-4FF1-A834-E71B903D37F9}">
      <text>
        <r>
          <rPr>
            <b/>
            <sz val="9"/>
            <color indexed="81"/>
            <rFont val="Tahoma"/>
            <family val="2"/>
          </rPr>
          <t>John:</t>
        </r>
        <r>
          <rPr>
            <sz val="9"/>
            <color indexed="81"/>
            <rFont val="Tahoma"/>
            <family val="2"/>
          </rPr>
          <t xml:space="preserve">
LMAT back transformed equation with LWj, Age, LWCj</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3" authorId="3" shapeId="0" xr:uid="{578AE65F-B633-4412-9B88-B7C90F70A56F}">
      <text>
        <r>
          <rPr>
            <b/>
            <sz val="9"/>
            <color indexed="81"/>
            <rFont val="Tahoma"/>
            <family val="2"/>
          </rPr>
          <t>MRY:</t>
        </r>
        <r>
          <rPr>
            <sz val="9"/>
            <color indexed="81"/>
            <rFont val="Tahoma"/>
            <family val="2"/>
          </rPr>
          <t xml:space="preserve">
National Invertory Report</t>
        </r>
      </text>
    </comment>
    <comment ref="K413" authorId="3" shapeId="0" xr:uid="{ADCC36ED-4B44-49C6-B00F-30EAA66E6387}">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97F92D76-482C-4F38-9FDF-718720E049D0}">
      <text>
        <r>
          <rPr>
            <b/>
            <sz val="9"/>
            <color indexed="81"/>
            <rFont val="Tahoma"/>
            <family val="2"/>
          </rPr>
          <t>Southern Dirt:</t>
        </r>
        <r>
          <rPr>
            <sz val="9"/>
            <color indexed="81"/>
            <rFont val="Tahoma"/>
            <family val="2"/>
          </rPr>
          <t xml:space="preserve">
non-irigated pastures</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G66"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6"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6"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6"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6"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6"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5" authorId="1" shapeId="0" xr:uid="{24ACAB97-59CF-4554-ABC3-57EE1368C527}">
      <text>
        <r>
          <rPr>
            <b/>
            <sz val="9"/>
            <color indexed="81"/>
            <rFont val="Tahoma"/>
            <family val="2"/>
          </rPr>
          <t>Michael:</t>
        </r>
        <r>
          <rPr>
            <sz val="9"/>
            <color indexed="81"/>
            <rFont val="Tahoma"/>
            <family val="2"/>
          </rPr>
          <t xml:space="preserve">
combo of ceral and pulse</t>
        </r>
      </text>
    </comment>
    <comment ref="I100"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3"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4"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56" authorId="0" shapeId="0" xr:uid="{F89E41B2-86F9-4C36-A863-0FEEACCDDB20}">
      <text>
        <r>
          <rPr>
            <b/>
            <sz val="9"/>
            <color indexed="81"/>
            <rFont val="Tahoma"/>
            <family val="2"/>
          </rPr>
          <t>John:</t>
        </r>
        <r>
          <rPr>
            <sz val="9"/>
            <color indexed="81"/>
            <rFont val="Tahoma"/>
            <family val="2"/>
          </rPr>
          <t xml:space="preserve">
If yearlings are mated</t>
        </r>
      </text>
    </comment>
    <comment ref="AF456" authorId="0" shapeId="0" xr:uid="{6BC1C53D-FA0B-481E-9D1B-3BA345B05C7E}">
      <text>
        <r>
          <rPr>
            <b/>
            <sz val="9"/>
            <color indexed="81"/>
            <rFont val="Tahoma"/>
            <family val="2"/>
          </rPr>
          <t>John:</t>
        </r>
        <r>
          <rPr>
            <sz val="9"/>
            <color indexed="81"/>
            <rFont val="Tahoma"/>
            <family val="2"/>
          </rPr>
          <t xml:space="preserve">
See spreadsheet "Culling effects.xlsx"</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9E760D2F-8342-42E3-AB06-BC006740BC99}">
      <text>
        <r>
          <rPr>
            <b/>
            <sz val="9"/>
            <color indexed="81"/>
            <rFont val="Tahoma"/>
            <family val="2"/>
          </rPr>
          <t>John:</t>
        </r>
        <r>
          <rPr>
            <sz val="9"/>
            <color indexed="81"/>
            <rFont val="Tahoma"/>
            <family val="2"/>
          </rPr>
          <t xml:space="preserve">
Calibrated for 8% dry</t>
        </r>
      </text>
    </comment>
    <comment ref="X920" authorId="0" shapeId="0" xr:uid="{52FBDF70-A0A5-492E-8215-51A97B59AEDE}">
      <text>
        <r>
          <rPr>
            <b/>
            <sz val="9"/>
            <color indexed="81"/>
            <rFont val="Tahoma"/>
            <family val="2"/>
          </rPr>
          <t>John:</t>
        </r>
        <r>
          <rPr>
            <sz val="9"/>
            <color indexed="81"/>
            <rFont val="Tahoma"/>
            <family val="2"/>
          </rPr>
          <t xml:space="preserve">
Calibrated for 8% dry</t>
        </r>
      </text>
    </comment>
    <comment ref="W921" authorId="0" shapeId="0" xr:uid="{70C9DA3D-EE36-45C5-9E41-6B971B5BF984}">
      <text>
        <r>
          <rPr>
            <b/>
            <sz val="9"/>
            <color indexed="81"/>
            <rFont val="Tahoma"/>
            <family val="2"/>
          </rPr>
          <t>John:</t>
        </r>
        <r>
          <rPr>
            <sz val="9"/>
            <color indexed="81"/>
            <rFont val="Tahoma"/>
            <family val="2"/>
          </rPr>
          <t xml:space="preserve">
Adjusted to keep scanning % similar when % drys increased</t>
        </r>
      </text>
    </comment>
    <comment ref="X921" authorId="0" shapeId="0" xr:uid="{DAD34EA9-DAE3-4679-BEDE-ACC11A1895DD}">
      <text>
        <r>
          <rPr>
            <b/>
            <sz val="9"/>
            <color indexed="81"/>
            <rFont val="Tahoma"/>
            <family val="2"/>
          </rPr>
          <t>John:</t>
        </r>
        <r>
          <rPr>
            <sz val="9"/>
            <color indexed="81"/>
            <rFont val="Tahoma"/>
            <family val="2"/>
          </rPr>
          <t xml:space="preserve">
Adjusted to keep scanning % similar when % drys increased</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72"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74"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28"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30"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35"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36"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43"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67"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68"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75"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276"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H1284" authorId="0" shapeId="0" xr:uid="{D8246194-EFC2-4EAC-B9A8-6350BC79556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292"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15" authorId="0" shapeId="0" xr:uid="{4489C792-1EE6-4CEF-9B8E-0328AD65B31E}">
      <text>
        <r>
          <rPr>
            <b/>
            <sz val="9"/>
            <color indexed="81"/>
            <rFont val="Tahoma"/>
            <family val="2"/>
          </rPr>
          <t>John:</t>
        </r>
        <r>
          <rPr>
            <sz val="9"/>
            <color indexed="81"/>
            <rFont val="Tahoma"/>
            <family val="2"/>
          </rPr>
          <t xml:space="preserve">
From LMAT</t>
        </r>
      </text>
    </comment>
    <comment ref="U1417"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17" authorId="0" shapeId="0" xr:uid="{C228E3A4-7E5C-416C-BFB2-AFFCFB91913E}">
      <text>
        <r>
          <rPr>
            <b/>
            <sz val="9"/>
            <color indexed="81"/>
            <rFont val="Tahoma"/>
            <family val="2"/>
          </rPr>
          <t>John:</t>
        </r>
        <r>
          <rPr>
            <sz val="9"/>
            <color indexed="81"/>
            <rFont val="Tahoma"/>
            <family val="2"/>
          </rPr>
          <t xml:space="preserve">
FOO is ns in LMAT</t>
        </r>
      </text>
    </comment>
    <comment ref="AA1427"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49" authorId="0" shapeId="0" xr:uid="{475314F2-6E2C-4B03-A5E9-AA248F8881BE}">
      <text>
        <r>
          <rPr>
            <b/>
            <sz val="9"/>
            <color indexed="81"/>
            <rFont val="Tahoma"/>
            <family val="2"/>
          </rPr>
          <t>John:</t>
        </r>
        <r>
          <rPr>
            <sz val="9"/>
            <color indexed="81"/>
            <rFont val="Tahoma"/>
            <family val="2"/>
          </rPr>
          <t xml:space="preserve">
Cap at the CS that generates the minimum mortality</t>
        </r>
      </text>
    </comment>
    <comment ref="U1651"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52"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55"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55"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59"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74"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89"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12"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<sst xmlns="http://schemas.openxmlformats.org/spreadsheetml/2006/main" count="6183" uniqueCount="3528">
  <si>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</si>
  <si>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</si>
  <si>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</si>
  <si>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</si>
  <si>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</si>
  <si>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</si>
  <si>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</si>
  <si>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</si>
  <si>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</si>
  <si>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</si>
  <si>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</si>
  <si>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</si>
  <si>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</si>
  <si>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</si>
  <si>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</si>
  <si>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</si>
  <si>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</si>
  <si>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</si>
  <si>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</si>
  <si>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</si>
  <si>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</si>
  <si>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</si>
  <si>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</si>
  <si>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</si>
  <si>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</si>
  <si>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</si>
  <si>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</si>
  <si>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</si>
  <si>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</si>
  <si>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</si>
  <si>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</si>
  <si>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</si>
  <si>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</si>
  <si>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</si>
  <si>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</si>
  <si>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</si>
  <si>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</si>
  <si>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</si>
  <si>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</si>
  <si>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</si>
  <si>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</si>
  <si>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</si>
  <si>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</si>
  <si>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</si>
  <si>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</si>
  <si>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</si>
  <si>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</si>
  <si>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</si>
  <si>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</si>
  <si>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</si>
  <si>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</si>
  <si>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</si>
  <si>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</si>
  <si>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</si>
  <si>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</si>
  <si>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</si>
  <si>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</si>
  <si>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</si>
  <si>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</si>
  <si>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</si>
  <si>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</si>
  <si>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</si>
  <si>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</si>
  <si>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</si>
  <si>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</si>
  <si>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</si>
  <si>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</si>
  <si>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</si>
  <si>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</si>
  <si>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</si>
  <si>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</si>
  <si>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</si>
  <si>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</si>
  <si>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</si>
  <si>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</si>
  <si>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</si>
  <si>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</si>
  <si>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</si>
  <si>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</si>
  <si>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</si>
  <si>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</si>
  <si>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</si>
  <si>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</si>
  <si>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</si>
  <si>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</si>
  <si>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</si>
  <si>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</si>
  <si>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</si>
  <si>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</si>
  <si>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</si>
  <si>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</si>
  <si>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</si>
  <si>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</si>
  <si>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</si>
  <si>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</si>
  <si>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</si>
  <si>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</si>
  <si>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</si>
  <si>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</si>
  <si>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</si>
  <si>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</si>
  <si>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</si>
  <si>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</si>
  <si>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</si>
  <si>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</si>
  <si>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</si>
  <si>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</si>
  <si>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</si>
  <si>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</si>
  <si>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</si>
  <si>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</si>
  <si>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</si>
  <si>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</si>
  <si>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</si>
  <si>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</si>
  <si>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</si>
  <si>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</si>
  <si>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</si>
  <si>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</si>
  <si>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</si>
  <si>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</si>
  <si>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</si>
  <si>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</si>
  <si>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</si>
  <si>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</si>
  <si>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</si>
  <si>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</si>
  <si>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</si>
  <si>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</si>
  <si>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</si>
  <si>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</si>
  <si>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</si>
  <si>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</si>
  <si>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</si>
  <si>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</si>
  <si>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</si>
  <si>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</si>
  <si>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</si>
  <si>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</si>
  <si>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</si>
  <si>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</si>
  <si>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</si>
  <si>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</si>
  <si>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</si>
  <si>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</si>
  <si>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</si>
  <si>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</si>
  <si>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</si>
  <si>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</si>
  <si>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</si>
  <si>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</si>
  <si>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</si>
  <si>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</si>
  <si>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</si>
  <si>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</si>
  <si>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</si>
  <si>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</si>
  <si>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</si>
  <si>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</si>
  <si>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</si>
  <si>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</si>
  <si>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</si>
  <si>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</si>
  <si>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</si>
  <si>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</si>
  <si>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</si>
  <si>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</si>
  <si>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</si>
  <si>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</si>
  <si>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</si>
  <si>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</si>
  <si>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</si>
  <si>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</si>
  <si>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</si>
  <si>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</si>
  <si>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</si>
  <si>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</si>
  <si>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</si>
  <si>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</si>
  <si>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</si>
  <si>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</si>
  <si>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</si>
  <si>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</si>
  <si>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</si>
  <si>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</si>
  <si>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</si>
  <si>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</si>
  <si>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</si>
  <si>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</si>
  <si>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</si>
  <si>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</si>
  <si>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</si>
  <si>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</si>
  <si>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</si>
  <si>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</si>
  <si>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</si>
  <si>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</si>
  <si>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</si>
  <si>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</si>
  <si>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</si>
  <si>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</si>
  <si>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</si>
  <si>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</si>
  <si>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</si>
  <si>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</si>
  <si>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</si>
  <si>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</si>
  <si>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</si>
  <si>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</si>
  <si>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</si>
  <si>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</si>
  <si>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</si>
  <si>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</si>
  <si>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</si>
  <si>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</si>
  <si>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</si>
  <si>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</si>
  <si>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</si>
  <si>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</si>
  <si>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</si>
  <si>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</si>
  <si>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</si>
  <si>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</si>
  <si>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</si>
  <si>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</si>
  <si>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</si>
  <si>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</si>
  <si>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</si>
  <si>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</si>
  <si>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</si>
  <si>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</si>
  <si>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</si>
  <si>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</si>
  <si>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</si>
  <si>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</si>
  <si>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</si>
  <si>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</si>
  <si>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</si>
  <si>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</si>
  <si>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</si>
  <si>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</si>
  <si>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</si>
  <si>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</si>
  <si>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</si>
  <si>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</si>
  <si>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</si>
  <si>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</si>
  <si>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</si>
  <si>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</si>
  <si>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</si>
  <si>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</si>
  <si>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</si>
  <si>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</si>
  <si>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</si>
  <si>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</si>
  <si>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</si>
  <si>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</si>
  <si>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</si>
  <si>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</si>
  <si>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</si>
  <si>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</si>
  <si>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</si>
  <si>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</si>
  <si>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</si>
  <si>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</si>
  <si>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</si>
  <si>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</si>
  <si>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</si>
  <si>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</si>
  <si>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</si>
  <si>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</si>
  <si>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</si>
  <si>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</si>
  <si>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</si>
  <si>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</si>
  <si>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</si>
  <si>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</si>
  <si>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</si>
  <si>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</si>
  <si>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</si>
  <si>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</si>
  <si>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</si>
  <si>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</si>
  <si>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</si>
  <si>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</si>
  <si>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</si>
  <si>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</si>
  <si>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</si>
  <si>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</si>
  <si>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</si>
  <si>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</si>
  <si>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</si>
  <si>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</si>
  <si>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</si>
  <si>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</si>
  <si>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</si>
  <si>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</si>
  <si>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</si>
  <si>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</si>
  <si>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</si>
  <si>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</si>
  <si>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</si>
  <si>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</si>
  <si>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</si>
  <si>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</si>
  <si>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</si>
  <si>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</si>
  <si>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</si>
  <si>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</si>
  <si>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</si>
  <si>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</si>
  <si>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</si>
  <si>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</si>
  <si>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</si>
  <si>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</si>
  <si>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</si>
  <si>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</si>
  <si>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</si>
  <si>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</si>
  <si>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</si>
  <si>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</si>
  <si>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</si>
  <si>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</si>
  <si>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</si>
  <si>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</si>
  <si>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</si>
  <si>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</si>
  <si>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</si>
  <si>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</si>
  <si>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</si>
  <si>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</si>
  <si>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</si>
  <si>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</si>
  <si>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</si>
  <si>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</si>
  <si>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</si>
  <si>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</si>
  <si>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</si>
  <si>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</si>
  <si>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</si>
  <si>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</si>
  <si>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</si>
  <si>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</si>
  <si>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</si>
  <si>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</si>
  <si>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</si>
  <si>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</si>
  <si>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</si>
  <si>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</si>
  <si>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</si>
  <si>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</si>
  <si>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</si>
  <si>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</si>
  <si>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</si>
  <si>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</si>
  <si>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</si>
  <si>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</si>
  <si>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</si>
  <si>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</si>
  <si>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</si>
  <si>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</si>
  <si>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</si>
  <si>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</si>
  <si>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</si>
  <si>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</si>
  <si>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</si>
  <si>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</si>
  <si>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</si>
  <si>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</si>
  <si>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</si>
  <si>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</si>
  <si>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</si>
  <si>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</si>
  <si>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</si>
  <si>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</si>
  <si>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</si>
  <si>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</si>
  <si>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</si>
  <si>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</si>
  <si>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</si>
  <si>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</si>
  <si>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</si>
  <si>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</si>
  <si>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</si>
  <si>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</si>
  <si>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</si>
  <si>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</si>
  <si>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</si>
  <si>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</si>
  <si>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</si>
  <si>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</si>
  <si>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</si>
  <si>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</si>
  <si>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</si>
  <si>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</si>
  <si>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</si>
  <si>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</si>
  <si>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</si>
  <si>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</si>
  <si>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</si>
  <si>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</si>
  <si>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</si>
  <si>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</si>
  <si>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</si>
  <si>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</si>
  <si>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</si>
  <si>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</si>
  <si>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</si>
  <si>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</si>
  <si>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</si>
  <si>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</si>
  <si>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</si>
  <si>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</si>
  <si>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</si>
  <si>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</si>
  <si>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</si>
  <si>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</si>
  <si>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</si>
  <si>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</si>
  <si>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</si>
  <si>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</si>
  <si>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</si>
  <si>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</si>
  <si>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</si>
  <si>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</si>
  <si>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</si>
  <si>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</si>
  <si>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</si>
  <si>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</si>
  <si>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</si>
  <si>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</si>
  <si>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</si>
  <si>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</si>
  <si>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</si>
  <si>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</si>
  <si>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</si>
  <si>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</si>
  <si>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</si>
  <si>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</si>
  <si>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</si>
  <si>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</si>
  <si>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</si>
  <si>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</si>
  <si>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</si>
  <si>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</si>
  <si>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</si>
  <si>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</si>
  <si>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</si>
  <si>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</si>
  <si>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</si>
  <si>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</si>
  <si>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</si>
  <si>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</si>
  <si>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</si>
  <si>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</si>
  <si>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</si>
  <si>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</si>
  <si>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</si>
  <si>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</si>
  <si>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</si>
  <si>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</si>
  <si>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</si>
  <si>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</si>
  <si>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</si>
  <si>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</si>
  <si>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</si>
  <si>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</si>
  <si>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</si>
  <si>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</si>
  <si>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</si>
  <si>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</si>
  <si>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</si>
  <si>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</si>
  <si>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</si>
  <si>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</si>
  <si>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</si>
  <si>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</si>
  <si>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</si>
  <si>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</si>
  <si>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</si>
  <si>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</si>
  <si>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</si>
  <si>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</si>
  <si>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</si>
  <si>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</si>
  <si>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</si>
  <si>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</si>
  <si>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</si>
  <si>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</si>
  <si>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</si>
  <si>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</si>
  <si>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</si>
  <si>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</si>
  <si>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</si>
  <si>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</si>
  <si>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</si>
  <si>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</si>
  <si>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</si>
  <si>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</si>
  <si>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</si>
  <si>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</si>
  <si>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</si>
  <si>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</si>
  <si>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</si>
  <si>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</si>
  <si>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</si>
  <si>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</si>
  <si>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</si>
  <si>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</si>
  <si>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</si>
  <si>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</si>
  <si>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</si>
  <si>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</si>
  <si>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</si>
  <si>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</si>
  <si>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</si>
  <si>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</si>
  <si>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</si>
  <si>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</si>
  <si>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</si>
  <si>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</si>
  <si>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</si>
  <si>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</si>
  <si>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</si>
  <si>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</si>
  <si>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</si>
  <si>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</si>
  <si>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</si>
  <si>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</si>
  <si>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</si>
  <si>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</si>
  <si>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</si>
  <si>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</si>
  <si>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</si>
  <si>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</si>
  <si>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</si>
  <si>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</si>
  <si>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</si>
  <si>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</si>
  <si>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</si>
  <si>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</si>
  <si>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</si>
  <si>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</si>
  <si>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</si>
  <si>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</si>
  <si>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</si>
  <si>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</si>
  <si>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</si>
  <si>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</si>
  <si>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</si>
  <si>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</si>
  <si>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</si>
  <si>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</si>
  <si>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</si>
  <si>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</si>
  <si>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</si>
  <si>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</si>
  <si>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</si>
  <si>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</si>
  <si>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</si>
  <si>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</si>
  <si>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</si>
  <si>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</si>
  <si>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</si>
  <si>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</si>
  <si>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</si>
  <si>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</si>
  <si>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</si>
  <si>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</si>
  <si>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</si>
  <si>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</si>
  <si>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</si>
  <si>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</si>
  <si>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</si>
  <si>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</si>
  <si>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</si>
  <si>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</si>
  <si>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</si>
  <si>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</si>
  <si>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</si>
  <si>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</si>
  <si>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</si>
  <si>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</si>
  <si>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</si>
  <si>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</si>
  <si>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</si>
  <si>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</si>
  <si>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</si>
  <si>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</si>
  <si>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</si>
  <si>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</si>
  <si>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</si>
  <si>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</si>
  <si>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</si>
  <si>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</si>
  <si>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</si>
  <si>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</si>
  <si>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</si>
  <si>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</si>
  <si>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</si>
  <si>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</si>
  <si>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</si>
  <si>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</si>
  <si>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</si>
  <si>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</si>
  <si>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</si>
  <si>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</si>
  <si>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</si>
  <si>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</si>
  <si>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</si>
  <si>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</si>
  <si>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</si>
  <si>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</si>
  <si>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</si>
  <si>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</si>
  <si>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</si>
  <si>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</si>
  <si>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</si>
  <si>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</si>
  <si>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</si>
  <si>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</si>
  <si>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</si>
  <si>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</si>
  <si>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</si>
  <si>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</si>
  <si>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</si>
  <si>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</si>
  <si>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</si>
  <si>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</si>
  <si>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</si>
  <si>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</si>
  <si>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</si>
  <si>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</si>
  <si>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</si>
  <si>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</si>
  <si>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</si>
  <si>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</si>
  <si>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</si>
  <si>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</si>
  <si>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</si>
  <si>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</si>
  <si>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</si>
  <si>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</si>
  <si>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</si>
  <si>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</si>
  <si>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</si>
  <si>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</si>
  <si>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</si>
  <si>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</si>
  <si>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</si>
  <si>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</si>
  <si>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</si>
  <si>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</si>
  <si>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</si>
  <si>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</si>
  <si>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</si>
  <si>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</si>
  <si>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</si>
  <si>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</si>
  <si>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</si>
  <si>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</si>
  <si>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</si>
  <si>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</si>
  <si>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</si>
  <si>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</si>
  <si>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</si>
  <si>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</si>
  <si>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</si>
  <si>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</si>
  <si>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</si>
  <si>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</si>
  <si>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</si>
  <si>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</si>
  <si>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</si>
  <si>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</si>
  <si>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</si>
  <si>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</si>
  <si>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</si>
  <si>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</si>
  <si>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</si>
  <si>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</si>
  <si>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</si>
  <si>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</si>
  <si>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</si>
  <si>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</si>
  <si>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</si>
  <si>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</si>
  <si>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</si>
  <si>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</si>
  <si>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</si>
  <si>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</si>
  <si>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</si>
  <si>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</si>
  <si>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</si>
  <si>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</si>
  <si>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</si>
  <si>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</si>
  <si>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</si>
  <si>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</si>
  <si>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</si>
  <si>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</si>
  <si>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</si>
  <si>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</si>
  <si>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</si>
  <si>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</si>
  <si>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</si>
  <si>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</si>
  <si>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</si>
  <si>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</si>
  <si>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</si>
  <si>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</si>
  <si>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</si>
  <si>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</si>
  <si>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</si>
  <si>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</si>
  <si>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</si>
  <si>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</si>
  <si>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</si>
  <si>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</si>
  <si>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</si>
  <si>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</si>
  <si>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</si>
  <si>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</si>
  <si>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</si>
  <si>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</si>
  <si>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</si>
  <si>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</si>
  <si>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</si>
  <si>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</si>
  <si>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</si>
  <si>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</si>
  <si>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</si>
  <si>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</si>
  <si>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</si>
  <si>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</si>
  <si>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</si>
  <si>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</si>
  <si>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</si>
  <si>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</si>
  <si>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</si>
  <si>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</si>
  <si>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</si>
  <si>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</si>
  <si>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</si>
  <si>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</si>
  <si>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</si>
  <si>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</si>
  <si>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</si>
  <si>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</si>
  <si>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</si>
  <si>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</si>
  <si>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</si>
  <si>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</si>
  <si>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</si>
  <si>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</si>
  <si>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</si>
  <si>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</si>
  <si>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</si>
  <si>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</si>
  <si>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</si>
  <si>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</si>
  <si>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</si>
  <si>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</si>
  <si>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</si>
  <si>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</si>
  <si>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</si>
  <si>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</si>
  <si>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</si>
  <si>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</si>
  <si>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</si>
  <si>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</si>
  <si>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</si>
  <si>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</si>
  <si>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</si>
  <si>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</si>
  <si>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</si>
  <si>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</si>
  <si>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</si>
  <si>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</si>
  <si>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</si>
  <si>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</si>
  <si>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</si>
  <si>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</si>
  <si>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</si>
  <si>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</si>
  <si>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</si>
  <si>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</si>
  <si>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</si>
  <si>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</si>
  <si>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</si>
  <si>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</si>
  <si>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</si>
  <si>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</si>
  <si>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</si>
  <si>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</si>
  <si>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</si>
  <si>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</si>
  <si>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</si>
  <si>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</si>
  <si>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</si>
  <si>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</si>
  <si>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</si>
  <si>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</si>
  <si>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</si>
  <si>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</si>
  <si>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</si>
  <si>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</si>
  <si>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</si>
  <si>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</si>
  <si>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</si>
  <si>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</si>
  <si>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</si>
  <si>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</si>
  <si>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</si>
  <si>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</si>
  <si>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</si>
  <si>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</si>
  <si>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</si>
  <si>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</si>
  <si>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</si>
  <si>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</si>
  <si>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</si>
  <si>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</si>
  <si>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</si>
  <si>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</si>
  <si>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</si>
  <si>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</si>
  <si>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</si>
  <si>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</si>
  <si>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</si>
  <si>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</si>
  <si>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</si>
  <si>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</si>
  <si>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</si>
  <si>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</si>
  <si>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</si>
  <si>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</si>
  <si>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</si>
  <si>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</si>
  <si>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</si>
  <si>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</si>
  <si>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</si>
  <si>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</si>
  <si>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</si>
  <si>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</si>
  <si>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</si>
  <si>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</si>
  <si>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</si>
  <si>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</si>
  <si>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</si>
  <si>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</si>
  <si>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</si>
  <si>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</si>
  <si>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</si>
  <si>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</si>
  <si>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</si>
  <si>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</si>
  <si>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</si>
  <si>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</si>
  <si>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</si>
  <si>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</si>
  <si>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</si>
  <si>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</si>
  <si>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</si>
  <si>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</si>
  <si>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</si>
  <si>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</si>
  <si>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</si>
  <si>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</si>
  <si>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</si>
  <si>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</si>
  <si>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</si>
  <si>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</si>
  <si>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</si>
  <si>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</si>
  <si>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</si>
  <si>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</si>
  <si>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</si>
  <si>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</si>
  <si>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</si>
  <si>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</si>
  <si>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</si>
  <si>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</si>
  <si>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</si>
  <si>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</si>
  <si>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</si>
  <si>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</si>
  <si>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</si>
  <si>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</si>
  <si>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</si>
  <si>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</si>
  <si>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</si>
  <si>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</si>
  <si>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</si>
  <si>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</si>
  <si>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</si>
  <si>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</si>
  <si>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</si>
  <si>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</si>
  <si>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</si>
  <si>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</si>
  <si>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</si>
  <si>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</si>
  <si>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</si>
  <si>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</si>
  <si>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</si>
  <si>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</si>
  <si>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</si>
  <si>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</si>
  <si>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</si>
  <si>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</si>
  <si>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</si>
  <si>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</si>
  <si>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</si>
  <si>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</si>
  <si>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</si>
  <si>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</si>
  <si>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</si>
  <si>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</si>
  <si>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</si>
  <si>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</si>
  <si>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</si>
  <si>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</si>
  <si>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</si>
  <si>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</si>
  <si>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</si>
  <si>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</si>
  <si>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</si>
  <si>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</si>
  <si>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</si>
  <si>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</si>
  <si>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</si>
  <si>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</si>
  <si>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</si>
  <si>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</si>
  <si>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</si>
  <si>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</si>
  <si>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</si>
  <si>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</si>
  <si>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</si>
  <si>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</si>
  <si>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</si>
  <si>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</si>
  <si>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</si>
  <si>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</si>
  <si>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</si>
  <si>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</si>
  <si>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</si>
  <si>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</si>
  <si>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</si>
  <si>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</si>
  <si>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</si>
  <si>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</si>
  <si>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</si>
  <si>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</si>
  <si>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</si>
  <si>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</si>
  <si>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</si>
  <si>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</si>
  <si>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</si>
  <si>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</si>
  <si>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</si>
  <si>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</si>
  <si>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</si>
  <si>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</si>
  <si>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</si>
  <si>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</si>
  <si>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</si>
  <si>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</si>
  <si>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</si>
  <si>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</si>
  <si>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</si>
  <si>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</si>
  <si>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</si>
  <si>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</si>
  <si>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</si>
  <si>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</si>
  <si>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</si>
  <si>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</si>
  <si>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</si>
  <si>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</si>
  <si>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</si>
  <si>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</si>
  <si>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</si>
  <si>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</si>
  <si>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</si>
  <si>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</si>
  <si>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</si>
  <si>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</si>
  <si>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</si>
  <si>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</si>
  <si>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</si>
  <si>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</si>
  <si>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</si>
  <si>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</si>
  <si>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</si>
  <si>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</si>
  <si>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</si>
  <si>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</si>
  <si>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</si>
  <si>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</si>
  <si>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</si>
  <si>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</si>
  <si>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</si>
  <si>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</si>
  <si>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</si>
  <si>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</si>
  <si>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</si>
  <si>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</si>
  <si>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</si>
  <si>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</si>
  <si>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</si>
  <si>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</si>
  <si>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</si>
  <si>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</si>
  <si>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</si>
  <si>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</si>
  <si>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</si>
  <si>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</si>
  <si>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</si>
  <si>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</si>
  <si>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</si>
  <si>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</si>
  <si>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</si>
  <si>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</si>
  <si>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</si>
  <si>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</si>
  <si>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</si>
  <si>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</si>
  <si>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</si>
  <si>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</si>
  <si>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</si>
  <si>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</si>
  <si>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</si>
  <si>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</si>
  <si>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</si>
  <si>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</si>
  <si>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</si>
  <si>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</si>
  <si>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</si>
  <si>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</si>
  <si>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</si>
  <si>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</si>
  <si>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</si>
  <si>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</si>
  <si>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</si>
  <si>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</si>
  <si>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</si>
  <si>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</si>
  <si>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</si>
  <si>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</si>
  <si>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</si>
  <si>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</si>
  <si>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</si>
  <si>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</si>
  <si>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</si>
  <si>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</si>
  <si>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</si>
  <si>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</si>
  <si>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</si>
  <si>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</si>
  <si>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</si>
  <si>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</si>
  <si>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</si>
  <si>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</si>
  <si>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</si>
  <si>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</si>
  <si>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</si>
  <si>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</si>
  <si>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</si>
  <si>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</si>
  <si>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</si>
  <si>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</si>
  <si>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</si>
  <si>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</si>
  <si>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</si>
  <si>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</si>
  <si>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</si>
  <si>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</si>
  <si>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</si>
  <si>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</si>
  <si>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</si>
  <si>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</si>
  <si>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</si>
  <si>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</si>
  <si>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</si>
  <si>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</si>
  <si>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</si>
  <si>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</si>
  <si>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</si>
  <si>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</si>
  <si>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</si>
  <si>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</si>
  <si>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</si>
  <si>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</si>
  <si>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</si>
  <si>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</si>
  <si>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</si>
  <si>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</si>
  <si>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</si>
  <si>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</si>
  <si>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</si>
  <si>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</si>
  <si>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</si>
  <si>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</si>
  <si>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</si>
  <si>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</si>
  <si>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</si>
  <si>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</si>
  <si>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</si>
  <si>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</si>
  <si>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</si>
  <si>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</si>
  <si>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</si>
  <si>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</si>
  <si>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</si>
  <si>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</si>
  <si>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</si>
  <si>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</si>
  <si>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</si>
  <si>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</si>
  <si>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</si>
  <si>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</si>
  <si>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</si>
  <si>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</si>
  <si>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</si>
  <si>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</si>
  <si>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</si>
  <si>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</si>
  <si>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</si>
  <si>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</si>
  <si>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</si>
  <si>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</si>
  <si>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</si>
  <si>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</si>
  <si>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</si>
  <si>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</si>
  <si>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</si>
  <si>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</si>
  <si>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</si>
  <si>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</si>
  <si>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</si>
  <si>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</si>
  <si>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</si>
  <si>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</si>
  <si>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</si>
  <si>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</si>
  <si>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</si>
  <si>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</si>
  <si>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</si>
  <si>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</si>
  <si>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</si>
  <si>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</si>
  <si>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</si>
  <si>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</si>
  <si>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</si>
  <si>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</si>
  <si>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</si>
  <si>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</si>
  <si>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</si>
  <si>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</si>
  <si>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</si>
  <si>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</si>
  <si>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</si>
  <si>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</si>
  <si>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</si>
  <si>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</si>
  <si>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</si>
  <si>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</si>
  <si>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</si>
  <si>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</si>
  <si>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</si>
  <si>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</si>
  <si>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</si>
  <si>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</si>
  <si>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</si>
  <si>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</si>
  <si>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</si>
  <si>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</si>
  <si>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</si>
  <si>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</si>
  <si>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</si>
  <si>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</si>
  <si>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</si>
  <si>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</si>
  <si>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</si>
  <si>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</si>
  <si>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</si>
  <si>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</si>
  <si>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</si>
  <si>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</si>
  <si>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</si>
  <si>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</si>
  <si>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</si>
  <si>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</si>
  <si>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</si>
  <si>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</si>
  <si>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</si>
  <si>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</si>
  <si>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</si>
  <si>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</si>
  <si>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</si>
  <si>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</si>
  <si>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</si>
  <si>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</si>
  <si>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</si>
  <si>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</si>
  <si>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</si>
  <si>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</si>
  <si>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</si>
  <si>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</si>
  <si>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</si>
  <si>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</si>
  <si>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</si>
  <si>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</si>
  <si>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</si>
  <si>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</si>
  <si>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</si>
  <si>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</si>
  <si>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</si>
  <si>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</si>
  <si>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</si>
  <si>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</si>
  <si>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</si>
  <si>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</si>
  <si>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</si>
  <si>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</si>
  <si>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</si>
  <si>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</si>
  <si>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</si>
  <si>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</si>
  <si>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</si>
  <si>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</si>
  <si>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</si>
  <si>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</si>
  <si>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</si>
  <si>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</si>
  <si>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</si>
  <si>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</si>
  <si>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</si>
  <si>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</si>
  <si>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</si>
  <si>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</si>
  <si>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</si>
  <si>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</si>
  <si>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</si>
  <si>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</si>
  <si>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</si>
  <si>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</si>
  <si>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</si>
  <si>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</si>
  <si>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</si>
  <si>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</si>
  <si>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CFW adjustment for females</t>
  </si>
  <si>
    <t>C(X,12,2)</t>
  </si>
  <si>
    <t>CFW adjustment for castrates</t>
  </si>
  <si>
    <t>C(X,13,0)</t>
  </si>
  <si>
    <t>Progeny FD adjustment for entire males</t>
  </si>
  <si>
    <t>C(X,13,1)</t>
  </si>
  <si>
    <t>Progeny FD adjustment for females</t>
  </si>
  <si>
    <t>LTW Vic combined years</t>
  </si>
  <si>
    <t>C(X,13,2)</t>
  </si>
  <si>
    <t>Progeny FD adjustment for castrates</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</si>
  <si>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</si>
  <si>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</si>
  <si>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</si>
  <si>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</si>
  <si>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</si>
  <si>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</si>
  <si>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</si>
  <si>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</si>
  <si>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</si>
  <si>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</si>
  <si>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</si>
  <si>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</si>
  <si>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</si>
  <si>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BW adjustment for females</t>
  </si>
  <si>
    <t>C(X,16,2)</t>
  </si>
  <si>
    <t>BW adjustment for castrates</t>
  </si>
  <si>
    <t>C(X,17,0)</t>
  </si>
  <si>
    <t>WWt adjustment for entire males</t>
  </si>
  <si>
    <t>C(X,17,1)</t>
  </si>
  <si>
    <t>WWt adjustment for females</t>
  </si>
  <si>
    <t>LTW 5.2 with 2003</t>
  </si>
  <si>
    <t>C(X,17,2)</t>
  </si>
  <si>
    <t>WWt adjustment for castrates</t>
  </si>
  <si>
    <t>C(X,18,0)</t>
  </si>
  <si>
    <t>Progeny growth rate adjustment for entire males</t>
  </si>
  <si>
    <t>C(X,18,1)</t>
  </si>
  <si>
    <t>Progeny growth rate adjustment for females</t>
  </si>
  <si>
    <t>LTW 5.1 with 2003</t>
  </si>
  <si>
    <t>C(X,18,2)</t>
  </si>
  <si>
    <t>Progeny growth rate adjustment for castrates</t>
  </si>
  <si>
    <t>C(X,19,0)</t>
  </si>
  <si>
    <t>C(X,19,1)</t>
  </si>
  <si>
    <t>C(X,19,2)</t>
  </si>
  <si>
    <t>C(X,20,0)</t>
  </si>
  <si>
    <t>Weaner survival adjustment for entire males</t>
  </si>
  <si>
    <t>LTEM review 5.3</t>
  </si>
  <si>
    <t>C(X,20,1)</t>
  </si>
  <si>
    <t>Weaner survival adjustment for females</t>
  </si>
  <si>
    <t>Vic data with 2003</t>
  </si>
  <si>
    <t>C(X,20,2)</t>
  </si>
  <si>
    <t>Weaner survival adjustment for castrates</t>
  </si>
  <si>
    <t>C(X,21,0)</t>
  </si>
  <si>
    <t>Weaner survival Chill adjustment for entire males</t>
  </si>
  <si>
    <t>C(X,21,1)</t>
  </si>
  <si>
    <t>Weaner survival Chill adjustment for females</t>
  </si>
  <si>
    <t>C(X,21,2)</t>
  </si>
  <si>
    <t>Weaner survival Chill adjustment for castrates</t>
  </si>
  <si>
    <t>C(X,22,0)</t>
  </si>
  <si>
    <t>C(X,22,1)</t>
  </si>
  <si>
    <t>C(X,22,2)</t>
  </si>
  <si>
    <t>C(X,23,0)</t>
  </si>
  <si>
    <t>Dressing percentage adjustment for entire males</t>
  </si>
  <si>
    <t>C(X,23,1)</t>
  </si>
  <si>
    <t>Dressing percentage adjustment for females</t>
  </si>
  <si>
    <t>MLA Sheep Assessment manual</t>
  </si>
  <si>
    <t>C(X,23,2)</t>
  </si>
  <si>
    <t>Dressing percentage adjustment for castrates</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</si>
  <si>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</si>
  <si>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</si>
  <si>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</si>
  <si>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</si>
  <si>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</si>
  <si>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</si>
  <si>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</si>
  <si>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</si>
  <si>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</si>
  <si>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</si>
  <si>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</si>
  <si>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</si>
  <si>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</si>
  <si>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</si>
  <si>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</si>
  <si>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</si>
  <si>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</si>
  <si>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</si>
  <si>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</si>
  <si>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</si>
  <si>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</si>
  <si>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</si>
  <si>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</si>
  <si>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</si>
  <si>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</si>
  <si>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</si>
  <si>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</si>
  <si>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</si>
  <si>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</si>
  <si>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</si>
  <si>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</si>
  <si>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</si>
  <si>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</si>
  <si>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</si>
  <si>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</si>
  <si>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</si>
  <si>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</si>
  <si>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</si>
  <si>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</si>
  <si>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</si>
  <si>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</si>
  <si>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</si>
  <si>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</si>
  <si>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</si>
  <si>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</si>
  <si>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</si>
  <si>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</si>
  <si>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</si>
  <si>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</si>
  <si>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</si>
  <si>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</si>
  <si>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</si>
  <si>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</si>
  <si>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</si>
  <si>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</si>
  <si>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</si>
  <si>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</si>
  <si>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</si>
  <si>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</si>
  <si>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</si>
  <si>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</si>
  <si>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</si>
  <si>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</si>
  <si>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</si>
  <si>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</si>
  <si>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</si>
  <si>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</si>
  <si>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</si>
  <si>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</si>
  <si>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</si>
  <si>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</si>
  <si>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</si>
  <si>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</si>
  <si>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</si>
  <si>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</si>
  <si>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</si>
  <si>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</si>
  <si>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</si>
  <si>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</si>
  <si>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</si>
  <si>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</si>
  <si>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</si>
  <si>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</si>
  <si>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</si>
  <si>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</si>
  <si>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</si>
  <si>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</si>
  <si>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</si>
  <si>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</si>
  <si>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</si>
  <si>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</si>
  <si>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</si>
  <si>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</si>
  <si>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</si>
  <si>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</si>
  <si>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</si>
  <si>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</si>
  <si>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</si>
  <si>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</si>
  <si>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</si>
  <si>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</si>
  <si>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</si>
  <si>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</si>
  <si>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</si>
  <si>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</si>
  <si>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</si>
  <si>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</si>
  <si>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</si>
  <si>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</si>
  <si>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</si>
  <si>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</si>
  <si>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</si>
  <si>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</si>
  <si>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</si>
  <si>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</si>
  <si>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</si>
  <si>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</si>
  <si>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</si>
  <si>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</si>
  <si>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</si>
  <si>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</si>
  <si>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</si>
  <si>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</si>
  <si>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</si>
  <si>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</si>
  <si>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</si>
  <si>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</si>
  <si>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</si>
  <si>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</si>
  <si>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</si>
  <si>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</si>
  <si>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</si>
  <si>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</si>
  <si>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</si>
  <si>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</si>
  <si>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</si>
  <si>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</si>
  <si>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</si>
  <si>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</si>
  <si>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</si>
  <si>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</si>
  <si>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</si>
  <si>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</si>
  <si>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</si>
  <si>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</si>
  <si>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</si>
  <si>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</si>
  <si>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</si>
  <si>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</si>
  <si>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</si>
  <si>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</si>
  <si>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</si>
  <si>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</si>
  <si>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</si>
  <si>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</si>
  <si>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</si>
  <si>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</si>
  <si>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</si>
  <si>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</si>
  <si>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</si>
  <si>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</si>
  <si>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</si>
  <si>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</si>
  <si>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</si>
  <si>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</si>
  <si>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</si>
  <si>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</si>
  <si>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</si>
  <si>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</si>
  <si>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</si>
  <si>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</si>
  <si>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</si>
  <si>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</si>
  <si>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</si>
  <si>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</si>
  <si>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</si>
  <si>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</si>
  <si>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</si>
  <si>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</si>
  <si>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</si>
  <si>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</si>
  <si>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</si>
  <si>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</si>
  <si>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</si>
  <si>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</si>
  <si>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</si>
  <si>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</si>
  <si>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</si>
  <si>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</si>
  <si>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</si>
  <si>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</si>
  <si>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</si>
  <si>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</si>
  <si>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</si>
  <si>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</si>
  <si>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</si>
  <si>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</si>
  <si>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</si>
  <si>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</si>
  <si>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</si>
  <si>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</si>
  <si>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</si>
  <si>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</si>
  <si>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</si>
  <si>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</si>
  <si>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</si>
  <si>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</si>
  <si>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</si>
  <si>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</si>
  <si>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</si>
  <si>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</si>
  <si>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</si>
  <si>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</si>
  <si>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</si>
  <si>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</si>
  <si>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</si>
  <si>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</si>
  <si>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</si>
  <si>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</si>
  <si>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</si>
  <si>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</si>
  <si>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</si>
  <si>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</si>
  <si>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</si>
  <si>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</si>
  <si>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</si>
  <si>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</si>
  <si>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</si>
  <si>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</si>
  <si>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</si>
  <si>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</si>
  <si>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</si>
  <si>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</si>
  <si>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</si>
  <si>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</si>
  <si>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</si>
  <si>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</si>
  <si>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</si>
  <si>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</si>
  <si>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</si>
  <si>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</si>
  <si>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</si>
  <si>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</si>
  <si>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</si>
  <si>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</si>
  <si>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</si>
  <si>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</si>
  <si>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</si>
  <si>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</si>
  <si>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</si>
  <si>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</si>
  <si>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</si>
  <si>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</si>
  <si>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</si>
  <si>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</si>
  <si>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</si>
  <si>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</si>
  <si>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</si>
  <si>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</si>
  <si>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</si>
  <si>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</si>
  <si>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</si>
  <si>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</si>
  <si>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</si>
  <si>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</si>
  <si>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</si>
  <si>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</si>
  <si>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</si>
  <si>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</si>
  <si>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</si>
  <si>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</si>
  <si>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</si>
  <si>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</si>
  <si>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</si>
  <si>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</si>
  <si>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</si>
  <si>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</si>
  <si>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</si>
  <si>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</si>
  <si>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</si>
  <si>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</si>
  <si>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</si>
  <si>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</si>
  <si>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</si>
  <si>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</si>
  <si>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</si>
  <si>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</si>
  <si>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</si>
  <si>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</si>
  <si>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</si>
  <si>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</si>
  <si>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</si>
  <si>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</si>
  <si>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</si>
  <si>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</si>
  <si>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</si>
  <si>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</si>
  <si>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</si>
  <si>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</si>
  <si>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</si>
  <si>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</si>
  <si>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</si>
  <si>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</si>
  <si>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</si>
  <si>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</si>
  <si>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</si>
  <si>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</si>
  <si>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</si>
  <si>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</si>
  <si>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</si>
  <si>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</si>
  <si>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</si>
  <si>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</si>
  <si>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</si>
  <si>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</si>
  <si>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</si>
  <si>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</si>
  <si>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</si>
  <si>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</si>
  <si>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</si>
  <si>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</si>
  <si>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</si>
  <si>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</si>
  <si>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</si>
  <si>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</si>
  <si>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</si>
  <si>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</si>
  <si>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</si>
  <si>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</si>
  <si>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</si>
  <si>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</si>
  <si>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</si>
  <si>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</si>
  <si>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</si>
  <si>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</si>
  <si>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</si>
  <si>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</si>
  <si>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</si>
  <si>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</si>
  <si>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</si>
  <si>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</si>
  <si>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</si>
  <si>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</si>
  <si>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</si>
  <si>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</si>
  <si>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</si>
  <si>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</si>
  <si>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</si>
  <si>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</si>
  <si>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</si>
  <si>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</si>
  <si>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</si>
  <si>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</si>
  <si>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</si>
  <si>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</si>
  <si>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</si>
  <si>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</si>
  <si>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</si>
  <si>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</si>
  <si>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</si>
  <si>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</si>
  <si>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</si>
  <si>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</si>
  <si>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</si>
  <si>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</si>
  <si>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</si>
  <si>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</si>
  <si>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</si>
  <si>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</si>
  <si>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</si>
  <si>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</si>
  <si>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</si>
  <si>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</si>
  <si>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</si>
  <si>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</si>
  <si>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</si>
  <si>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</si>
  <si>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</si>
  <si>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</si>
  <si>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</si>
  <si>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</si>
  <si>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</si>
  <si>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</si>
  <si>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</si>
  <si>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</si>
  <si>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</si>
  <si>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</si>
  <si>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</si>
  <si>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</si>
  <si>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</si>
  <si>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</si>
  <si>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</si>
  <si>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</si>
  <si>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</si>
  <si>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</si>
  <si>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</si>
  <si>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</si>
  <si>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</si>
  <si>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</si>
  <si>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</si>
  <si>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</si>
  <si>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</si>
  <si>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</si>
  <si>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</si>
  <si>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</si>
  <si>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</si>
  <si>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</si>
  <si>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</si>
  <si>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</si>
  <si>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</si>
  <si>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</si>
  <si>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</si>
  <si>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</si>
  <si>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</si>
  <si>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</si>
  <si>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Prediction of: Linear 1 measure at the end</t>
  </si>
  <si>
    <t>C(U1,0,1)</t>
  </si>
  <si>
    <t xml:space="preserve">                     Linear 1 change during joining</t>
  </si>
  <si>
    <t>C(U1,0,2)</t>
  </si>
  <si>
    <t xml:space="preserve">                                             during early preg</t>
  </si>
  <si>
    <t>C(U1,0,3)</t>
  </si>
  <si>
    <t xml:space="preserve">                                             during late preg</t>
  </si>
  <si>
    <t>C(U1,0,4)</t>
  </si>
  <si>
    <t xml:space="preserve">                                             during lactation</t>
  </si>
  <si>
    <t>C(U1,0,5)</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</si>
  <si>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</si>
  <si>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</si>
  <si>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</si>
  <si>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</si>
  <si>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</si>
  <si>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</si>
  <si>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</si>
  <si>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</si>
  <si>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</si>
  <si>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</si>
  <si>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</si>
  <si>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</si>
  <si>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</si>
  <si>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</si>
  <si>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</si>
  <si>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</si>
  <si>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</si>
  <si>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</si>
  <si>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</si>
  <si>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</si>
  <si>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</si>
  <si>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</si>
  <si>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</si>
  <si>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</si>
  <si>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</si>
  <si>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</si>
  <si>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</si>
  <si>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</si>
  <si>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</si>
  <si>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</si>
  <si>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</si>
  <si>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</si>
  <si>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</si>
  <si>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</si>
  <si>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</si>
  <si>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</si>
  <si>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</si>
  <si>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</si>
  <si>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</si>
  <si>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</si>
  <si>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</si>
  <si>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</si>
  <si>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</si>
  <si>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</si>
  <si>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</si>
  <si>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</si>
  <si>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</si>
  <si>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</si>
  <si>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</si>
  <si>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</si>
  <si>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</si>
  <si>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</si>
  <si>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</si>
  <si>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</si>
  <si>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</si>
  <si>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</si>
  <si>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</si>
  <si>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</si>
  <si>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</si>
  <si>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</si>
  <si>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</si>
  <si>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</si>
  <si>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</si>
  <si>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</si>
  <si>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</si>
  <si>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</si>
  <si>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</si>
  <si>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</si>
  <si>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</si>
  <si>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</si>
  <si>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</si>
  <si>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</si>
  <si>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</si>
  <si>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</si>
  <si>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</si>
  <si>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</si>
  <si>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</si>
  <si>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</si>
  <si>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</si>
  <si>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</si>
  <si>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</si>
  <si>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</si>
  <si>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</si>
  <si>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</si>
  <si>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</si>
  <si>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</si>
  <si>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</si>
  <si>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</si>
  <si>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</si>
  <si>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</si>
  <si>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</si>
  <si>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</si>
  <si>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</si>
  <si>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</si>
  <si>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</si>
  <si>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</si>
  <si>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</si>
  <si>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</si>
  <si>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</si>
  <si>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</si>
  <si>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</si>
  <si>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</si>
  <si>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</si>
  <si>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</si>
  <si>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</si>
  <si>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</si>
  <si>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</si>
  <si>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</si>
  <si>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</si>
  <si>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</si>
  <si>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</si>
  <si>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</si>
  <si>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</si>
  <si>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</si>
  <si>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</si>
  <si>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</si>
  <si>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</si>
  <si>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</si>
  <si>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</si>
  <si>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</si>
  <si>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</si>
  <si>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</si>
  <si>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</si>
  <si>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</si>
  <si>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</si>
  <si>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</si>
  <si>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</si>
  <si>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</si>
  <si>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</si>
  <si>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</si>
  <si>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</si>
  <si>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</si>
  <si>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</si>
  <si>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</si>
  <si>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</si>
  <si>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</si>
  <si>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</si>
  <si>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</si>
  <si>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</si>
  <si>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</si>
  <si>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</si>
  <si>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</si>
  <si>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</si>
  <si>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</si>
  <si>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</si>
  <si>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</si>
  <si>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</si>
  <si>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</si>
  <si>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</si>
  <si>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</si>
  <si>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</si>
  <si>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</si>
  <si>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</si>
  <si>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</si>
  <si>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</si>
  <si>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</si>
  <si>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</si>
  <si>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</si>
  <si>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</si>
  <si>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</si>
  <si>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</si>
  <si>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</si>
  <si>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</si>
  <si>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</si>
  <si>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</si>
  <si>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</si>
  <si>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</si>
  <si>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</si>
  <si>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</si>
  <si>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</si>
  <si>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</si>
  <si>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</si>
  <si>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</si>
  <si>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</si>
  <si>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</si>
  <si>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</si>
  <si>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</si>
  <si>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</si>
  <si>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</si>
  <si>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</si>
  <si>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</si>
  <si>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</si>
  <si>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</si>
  <si>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</si>
  <si>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</si>
  <si>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</si>
  <si>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</si>
  <si>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Prediction of: Linear 1</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</si>
  <si>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</si>
  <si>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</si>
  <si>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</si>
  <si>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</si>
  <si>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</si>
  <si>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</si>
  <si>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</si>
  <si>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</si>
  <si>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</si>
  <si>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</si>
  <si>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</si>
  <si>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</si>
  <si>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</si>
  <si>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</si>
  <si>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</si>
  <si>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</si>
  <si>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</si>
  <si>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</si>
  <si>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</si>
  <si>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</si>
  <si>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</si>
  <si>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</si>
  <si>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</si>
  <si>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</si>
  <si>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</si>
  <si>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</si>
  <si>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</si>
  <si>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</si>
  <si>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</si>
  <si>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</si>
  <si>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</si>
  <si>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</si>
  <si>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</si>
  <si>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</si>
  <si>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</si>
  <si>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</si>
  <si>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</si>
  <si>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</si>
  <si>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</si>
  <si>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</si>
  <si>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</si>
  <si>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</si>
  <si>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</si>
  <si>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</si>
  <si>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</si>
  <si>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</si>
  <si>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</si>
  <si>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</si>
  <si>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</si>
  <si>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</si>
  <si>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</si>
  <si>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</si>
  <si>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</si>
  <si>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</si>
  <si>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</si>
  <si>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</si>
  <si>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</si>
  <si>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</si>
  <si>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</si>
  <si>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</si>
  <si>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</si>
  <si>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</si>
  <si>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</si>
  <si>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</si>
  <si>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</si>
  <si>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</si>
  <si>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</si>
  <si>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</si>
  <si>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</si>
  <si>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</si>
  <si>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</si>
  <si>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</si>
  <si>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</si>
  <si>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</si>
  <si>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</si>
  <si>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</si>
  <si>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</si>
  <si>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</si>
  <si>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</si>
  <si>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</si>
  <si>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</si>
  <si>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</si>
  <si>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</si>
  <si>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</si>
  <si>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</si>
  <si>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</si>
  <si>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</si>
  <si>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</si>
  <si>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</si>
  <si>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</si>
  <si>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</si>
  <si>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</si>
  <si>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</si>
  <si>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</si>
  <si>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</si>
  <si>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</si>
  <si>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</si>
  <si>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</si>
  <si>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</si>
  <si>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</si>
  <si>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</si>
  <si>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</si>
  <si>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</si>
  <si>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</si>
  <si>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</si>
  <si>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</si>
  <si>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</si>
  <si>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</si>
  <si>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</si>
  <si>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</si>
  <si>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</si>
  <si>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</si>
  <si>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</si>
  <si>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</si>
  <si>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</si>
  <si>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</si>
  <si>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</si>
  <si>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</si>
  <si>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</si>
  <si>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</si>
  <si>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</si>
  <si>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</si>
  <si>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</si>
  <si>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</si>
  <si>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</si>
  <si>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</si>
  <si>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</si>
  <si>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</si>
  <si>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</si>
  <si>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</si>
  <si>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</si>
  <si>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</si>
  <si>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</si>
  <si>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</si>
  <si>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</si>
  <si>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</si>
  <si>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</si>
  <si>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</si>
  <si>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</si>
  <si>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</si>
  <si>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</si>
  <si>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</si>
  <si>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</si>
  <si>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</si>
  <si>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</si>
  <si>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</si>
  <si>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</si>
  <si>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</si>
  <si>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</si>
  <si>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</si>
  <si>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</si>
  <si>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</si>
  <si>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</si>
  <si>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</si>
  <si>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</si>
  <si>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</si>
  <si>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</si>
  <si>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</si>
  <si>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</si>
  <si>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</si>
  <si>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</si>
  <si>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</si>
  <si>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</si>
  <si>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</si>
  <si>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</si>
  <si>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</si>
  <si>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</si>
  <si>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</si>
  <si>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</si>
  <si>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</si>
  <si>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</si>
  <si>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</si>
  <si>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</si>
  <si>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</si>
  <si>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</si>
  <si>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</si>
  <si>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</si>
  <si>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</si>
  <si>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</si>
  <si>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</si>
  <si>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</si>
  <si>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</si>
  <si>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</si>
  <si>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</si>
  <si>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</si>
  <si>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</si>
  <si>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</si>
  <si>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</si>
  <si>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</si>
  <si>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</si>
  <si>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</si>
  <si>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</si>
  <si>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</si>
  <si>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</si>
  <si>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</si>
  <si>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</si>
  <si>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</si>
  <si>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</si>
  <si>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</si>
  <si>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</si>
  <si>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</si>
  <si>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</si>
  <si>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</si>
  <si>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</si>
  <si>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</si>
  <si>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</si>
  <si>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</si>
  <si>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</si>
  <si>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</si>
  <si>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</si>
  <si>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</si>
  <si>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</si>
  <si>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</si>
  <si>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</si>
  <si>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</si>
  <si>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</si>
  <si>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</si>
  <si>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</si>
  <si>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</si>
  <si>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</si>
  <si>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</si>
  <si>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</si>
  <si>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</si>
  <si>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</si>
  <si>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</si>
  <si>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</si>
  <si>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</si>
  <si>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</si>
  <si>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</si>
  <si>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</si>
  <si>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</si>
  <si>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</si>
  <si>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</si>
  <si>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</si>
  <si>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</si>
  <si>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</si>
  <si>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</si>
  <si>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</si>
  <si>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</si>
  <si>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</si>
  <si>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</si>
  <si>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</si>
  <si>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</si>
  <si>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</si>
  <si>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</si>
  <si>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</si>
  <si>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</si>
  <si>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</si>
  <si>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</si>
  <si>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</si>
  <si>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</si>
  <si>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</si>
  <si>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</si>
  <si>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</si>
  <si>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</si>
  <si>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</si>
  <si>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</si>
  <si>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</si>
  <si>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</si>
  <si>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</si>
  <si>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</si>
  <si>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</si>
  <si>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</si>
  <si>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</si>
  <si>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</si>
  <si>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</si>
  <si>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</si>
  <si>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</si>
  <si>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</si>
  <si>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</si>
  <si>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</si>
  <si>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</si>
  <si>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</si>
  <si>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</si>
  <si>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</si>
  <si>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</si>
  <si>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</si>
  <si>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</si>
  <si>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</si>
  <si>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</si>
  <si>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</si>
  <si>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</si>
  <si>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</si>
  <si>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</si>
  <si>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</si>
  <si>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</si>
  <si>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</si>
  <si>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</si>
  <si>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</si>
  <si>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</si>
  <si>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</si>
  <si>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</si>
  <si>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</si>
  <si>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</si>
  <si>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</si>
  <si>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</si>
  <si>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</si>
  <si>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</si>
  <si>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</si>
  <si>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</si>
  <si>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</si>
  <si>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</si>
  <si>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</si>
  <si>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</si>
  <si>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</si>
  <si>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</si>
  <si>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</si>
  <si>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</si>
  <si>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</si>
  <si>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</si>
  <si>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</si>
  <si>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</si>
  <si>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</si>
  <si>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</si>
  <si>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</si>
  <si>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</si>
  <si>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</si>
  <si>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</si>
  <si>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</si>
  <si>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</si>
  <si>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</si>
  <si>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</si>
  <si>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</si>
  <si>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</si>
  <si>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</si>
  <si>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</si>
  <si>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</si>
  <si>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</si>
  <si>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</si>
  <si>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</si>
  <si>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</si>
  <si>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</si>
  <si>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</si>
  <si>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</si>
  <si>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</si>
  <si>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</si>
  <si>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</si>
  <si>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</si>
  <si>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</si>
  <si>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</si>
  <si>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</si>
  <si>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</si>
  <si>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</si>
  <si>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</si>
  <si>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</si>
  <si>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</si>
  <si>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</si>
  <si>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</si>
  <si>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</si>
  <si>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</si>
  <si>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</si>
  <si>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</si>
  <si>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</si>
  <si>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</si>
  <si>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</si>
  <si>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</si>
  <si>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</si>
  <si>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</si>
  <si>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</si>
  <si>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</si>
  <si>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</si>
  <si>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</si>
  <si>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</si>
  <si>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</si>
  <si>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</si>
  <si>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</si>
  <si>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</si>
  <si>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</si>
  <si>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</si>
  <si>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</si>
  <si>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</si>
  <si>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</si>
  <si>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</si>
  <si>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</si>
  <si>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</si>
  <si>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</si>
  <si>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</si>
  <si>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</si>
  <si>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</si>
  <si>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</si>
  <si>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</si>
  <si>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</si>
  <si>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</si>
  <si>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</si>
  <si>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</si>
  <si>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</si>
  <si>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</si>
  <si>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</si>
  <si>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</si>
  <si>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</si>
  <si>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</si>
  <si>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</si>
  <si>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</si>
  <si>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</si>
  <si>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</si>
  <si>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</si>
  <si>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</si>
  <si>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</si>
  <si>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</si>
  <si>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</si>
  <si>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</si>
  <si>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</si>
  <si>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</si>
  <si>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</si>
  <si>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</si>
  <si>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</si>
  <si>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</si>
  <si>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</si>
  <si>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</si>
  <si>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Utility functions hooked up in AFO</t>
  </si>
  <si>
    <t>CARA</t>
  </si>
  <si>
    <t>CRRA</t>
  </si>
  <si>
    <t>Pratt-Arrow absolute risk aversion coefficient</t>
  </si>
  <si>
    <t>Relative risk aversion coefficient</t>
  </si>
  <si>
    <t>Initial wealth</t>
  </si>
  <si>
    <t>Risk aversion - select the desired method from the list below.</t>
  </si>
  <si>
    <t>Methods</t>
  </si>
  <si>
    <t>Inc risk aversion</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</si>
  <si>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</si>
  <si>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</si>
  <si>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</si>
  <si>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</si>
  <si>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</si>
  <si>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</si>
  <si>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</si>
  <si>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</si>
  <si>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</si>
  <si>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</si>
  <si>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</si>
  <si>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</si>
  <si>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</si>
  <si>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</si>
  <si>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</si>
  <si>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</si>
  <si>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</si>
  <si>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</si>
  <si>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</si>
  <si>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</si>
  <si>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</si>
  <si>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</si>
  <si>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</si>
  <si>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</si>
  <si>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</si>
  <si>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</si>
  <si>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</si>
  <si>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</si>
  <si>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</si>
  <si>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</si>
  <si>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</si>
  <si>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</si>
  <si>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</si>
  <si>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</si>
  <si>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</si>
  <si>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</si>
  <si>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</si>
  <si>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</si>
  <si>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</si>
  <si>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</si>
  <si>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</si>
  <si>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</si>
  <si>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</si>
  <si>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</si>
  <si>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</si>
  <si>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</si>
  <si>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</si>
  <si>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</si>
  <si>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</si>
  <si>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</si>
  <si>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</si>
  <si>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</si>
  <si>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</si>
  <si>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</si>
  <si>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</si>
  <si>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</si>
  <si>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</si>
  <si>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</si>
  <si>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</si>
  <si>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</si>
  <si>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</si>
  <si>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</si>
  <si>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</si>
  <si>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</si>
  <si>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</si>
  <si>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</si>
  <si>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</si>
  <si>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</si>
  <si>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</si>
  <si>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</si>
  <si>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</si>
  <si>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</si>
  <si>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</si>
  <si>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</si>
  <si>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</si>
  <si>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</si>
  <si>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</si>
  <si>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</si>
  <si>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</si>
  <si>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</si>
  <si>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</si>
  <si>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</si>
  <si>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</si>
  <si>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</si>
  <si>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</si>
  <si>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</si>
  <si>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</si>
  <si>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</si>
  <si>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</si>
  <si>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</si>
  <si>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</si>
  <si>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</si>
  <si>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</si>
  <si>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</si>
  <si>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</si>
  <si>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</si>
  <si>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</si>
  <si>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</si>
  <si>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</si>
  <si>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</si>
  <si>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</si>
  <si>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</si>
  <si>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</si>
  <si>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</si>
  <si>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</si>
  <si>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</si>
  <si>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</si>
  <si>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</si>
  <si>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</si>
  <si>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</si>
  <si>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</si>
  <si>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</si>
  <si>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</si>
  <si>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</si>
  <si>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</si>
  <si>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</si>
  <si>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</si>
  <si>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</si>
  <si>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</si>
  <si>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</si>
  <si>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</si>
  <si>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</si>
  <si>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</si>
  <si>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</si>
  <si>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</si>
  <si>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</si>
  <si>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</si>
  <si>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</si>
  <si>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</si>
  <si>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</si>
  <si>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</si>
  <si>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</si>
  <si>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</si>
  <si>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</si>
  <si>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</si>
  <si>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</si>
  <si>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</si>
  <si>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</si>
  <si>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</si>
  <si>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</si>
  <si>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</si>
  <si>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</si>
  <si>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</si>
  <si>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</si>
  <si>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</si>
  <si>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</si>
  <si>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</si>
  <si>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</si>
  <si>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</si>
  <si>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</si>
  <si>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</si>
  <si>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</si>
  <si>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</si>
  <si>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</si>
  <si>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</si>
  <si>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</si>
  <si>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</si>
  <si>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</si>
  <si>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</si>
  <si>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</si>
  <si>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</si>
  <si>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</si>
  <si>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</si>
  <si>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</si>
  <si>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</si>
  <si>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</si>
  <si>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</si>
  <si>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</si>
  <si>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</si>
  <si>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</si>
  <si>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</si>
  <si>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</si>
  <si>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</si>
  <si>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</si>
  <si>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</si>
  <si>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</si>
  <si>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</si>
  <si>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</si>
  <si>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</si>
  <si>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</si>
  <si>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</si>
  <si>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</si>
  <si>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</si>
  <si>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</si>
  <si>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</si>
  <si>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</si>
  <si>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</si>
  <si>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</si>
  <si>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</si>
  <si>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</si>
  <si>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</si>
  <si>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</si>
  <si>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</si>
  <si>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</si>
  <si>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</si>
  <si>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</si>
  <si>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</si>
  <si>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</si>
  <si>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</si>
  <si>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</si>
  <si>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</si>
  <si>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</si>
  <si>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</si>
  <si>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</si>
  <si>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</si>
  <si>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</si>
  <si>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</si>
  <si>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</si>
  <si>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</si>
  <si>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</si>
  <si>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</si>
  <si>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</si>
  <si>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</si>
  <si>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</si>
  <si>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</si>
  <si>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</si>
  <si>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</si>
  <si>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</si>
  <si>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</si>
  <si>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</si>
  <si>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</si>
  <si>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</si>
  <si>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</si>
  <si>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</si>
  <si>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</si>
  <si>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</si>
  <si>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</si>
  <si>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</si>
  <si>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</si>
  <si>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</si>
  <si>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</si>
  <si>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</si>
  <si>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</si>
  <si>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</si>
  <si>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</si>
  <si>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</si>
  <si>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</si>
  <si>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</si>
  <si>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</si>
  <si>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</si>
  <si>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</si>
  <si>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</si>
  <si>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</si>
  <si>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</si>
  <si>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</si>
  <si>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</si>
  <si>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</si>
  <si>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</si>
  <si>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</si>
  <si>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</si>
  <si>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</si>
  <si>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</si>
  <si>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</si>
  <si>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</si>
  <si>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</si>
  <si>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</si>
  <si>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</si>
  <si>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</si>
  <si>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</si>
  <si>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</si>
  <si>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</si>
  <si>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</si>
  <si>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</si>
  <si>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</si>
  <si>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</si>
  <si>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</si>
  <si>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</si>
  <si>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</si>
  <si>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</si>
  <si>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</si>
  <si>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</si>
  <si>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</si>
  <si>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</si>
  <si>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</si>
  <si>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</si>
  <si>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</si>
  <si>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</si>
  <si>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</si>
  <si>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</si>
  <si>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</si>
  <si>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</si>
  <si>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</si>
  <si>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</si>
  <si>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</si>
  <si>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</si>
  <si>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</si>
  <si>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</si>
  <si>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</si>
  <si>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</si>
  <si>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</si>
  <si>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</si>
  <si>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</si>
  <si>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</si>
  <si>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</si>
  <si>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</si>
  <si>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</si>
  <si>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</si>
  <si>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</si>
  <si>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</si>
  <si>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</si>
  <si>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</si>
  <si>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</si>
  <si>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</si>
  <si>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</si>
  <si>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</si>
  <si>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</si>
  <si>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</si>
  <si>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</si>
  <si>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</si>
  <si>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</si>
  <si>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</si>
  <si>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</si>
  <si>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</si>
  <si>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</si>
  <si>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</si>
  <si>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</si>
  <si>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</si>
  <si>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</si>
  <si>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</si>
  <si>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</si>
  <si>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</si>
  <si>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</si>
  <si>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</si>
  <si>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</si>
  <si>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</si>
  <si>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</si>
  <si>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</si>
  <si>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</si>
  <si>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</si>
  <si>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</si>
  <si>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</si>
  <si>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</si>
  <si>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</si>
  <si>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</si>
  <si>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</si>
  <si>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</si>
  <si>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</si>
  <si>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</si>
  <si>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</si>
  <si>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</si>
  <si>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</si>
  <si>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</si>
  <si>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</si>
  <si>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</si>
  <si>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</si>
  <si>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</si>
  <si>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</si>
  <si>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</si>
  <si>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</si>
  <si>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</si>
  <si>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</si>
  <si>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</si>
  <si>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</si>
  <si>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</si>
  <si>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</si>
  <si>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</si>
  <si>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</si>
  <si>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</si>
  <si>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</si>
  <si>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</si>
  <si>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</si>
  <si>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</si>
  <si>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</si>
  <si>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</si>
  <si>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</si>
  <si>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</si>
  <si>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</si>
  <si>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</si>
  <si>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</si>
  <si>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</si>
  <si>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</si>
  <si>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</si>
  <si>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</si>
  <si>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</si>
  <si>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</si>
  <si>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</si>
  <si>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</si>
  <si>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</si>
  <si>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</si>
  <si>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</si>
  <si>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</si>
  <si>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</si>
  <si>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</si>
  <si>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</si>
  <si>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</si>
  <si>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</si>
  <si>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</si>
  <si>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</si>
  <si>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</si>
  <si>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</si>
  <si>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</si>
  <si>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</si>
  <si>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</si>
  <si>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</si>
  <si>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</si>
  <si>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</si>
  <si>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</si>
  <si>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</si>
  <si>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</si>
  <si>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</si>
  <si>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</si>
  <si>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</si>
  <si>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</si>
  <si>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</si>
  <si>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</si>
  <si>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</si>
  <si>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</si>
  <si>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</si>
  <si>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</si>
  <si>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</si>
  <si>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</si>
  <si>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</si>
  <si>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</si>
  <si>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</si>
  <si>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</si>
  <si>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</si>
  <si>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Ewe Mortality v5-c.xlsx</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</si>
  <si>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</si>
  <si>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</si>
  <si>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</si>
  <si>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</si>
  <si>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</si>
  <si>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</si>
  <si>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</si>
  <si>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</si>
  <si>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</si>
  <si>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</si>
  <si>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</si>
  <si>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</si>
  <si>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</si>
  <si>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</si>
  <si>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</si>
  <si>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</si>
  <si>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</si>
  <si>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</si>
  <si>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</si>
  <si>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</si>
  <si>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</si>
  <si>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</si>
  <si>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</si>
  <si>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</si>
  <si>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</si>
  <si>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</si>
  <si>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</si>
  <si>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</si>
  <si>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</si>
  <si>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</si>
  <si>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</si>
  <si>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</si>
  <si>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</si>
  <si>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</si>
  <si>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</si>
  <si>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</si>
  <si>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</si>
  <si>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</si>
  <si>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</si>
  <si>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</si>
  <si>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</si>
  <si>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</si>
  <si>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</si>
  <si>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</si>
  <si>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</si>
  <si>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</si>
  <si>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</si>
  <si>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</si>
  <si>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</si>
  <si>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</si>
  <si>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</si>
  <si>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</si>
  <si>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</si>
  <si>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</si>
  <si>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</si>
  <si>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</si>
  <si>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Triplets project. See RR v5c.xlsx #5 &amp; #11 with adjustments (#16 &amp; #18 before adj)</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</si>
  <si>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</si>
  <si>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</si>
  <si>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</si>
  <si>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</si>
  <si>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</si>
  <si>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</si>
  <si>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</si>
  <si>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</si>
  <si>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</si>
  <si>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</si>
  <si>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</si>
  <si>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</si>
  <si>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</si>
  <si>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</si>
  <si>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</si>
  <si>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</si>
  <si>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</si>
  <si>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</si>
  <si>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</si>
  <si>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</si>
  <si>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</si>
  <si>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</si>
  <si>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</si>
  <si>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</si>
  <si>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</si>
  <si>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</si>
  <si>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</si>
  <si>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</si>
  <si>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</si>
  <si>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</si>
  <si>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</si>
  <si>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</si>
  <si>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</si>
  <si>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</si>
  <si>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</si>
  <si>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</si>
  <si>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</si>
  <si>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</si>
  <si>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</si>
  <si>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</si>
  <si>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</si>
  <si>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</si>
  <si>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</si>
  <si>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</si>
  <si>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</si>
  <si>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</si>
  <si>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</si>
  <si>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</si>
  <si>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</si>
  <si>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</si>
  <si>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</si>
  <si>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</si>
  <si>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</si>
  <si>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</si>
  <si>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</si>
  <si>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</si>
  <si>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</si>
  <si>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</si>
  <si>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</si>
  <si>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</si>
  <si>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</si>
  <si>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</si>
  <si>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</si>
  <si>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</si>
  <si>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</si>
  <si>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</si>
  <si>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</si>
  <si>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</si>
  <si>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</si>
  <si>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</si>
  <si>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</si>
  <si>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</si>
  <si>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</si>
  <si>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</si>
  <si>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</si>
  <si>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</si>
  <si>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</si>
  <si>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</si>
  <si>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</si>
  <si>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</si>
  <si>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</si>
  <si>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</si>
  <si>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</si>
  <si>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</si>
  <si>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</si>
  <si>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</si>
  <si>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</si>
  <si>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</si>
  <si>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</si>
  <si>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</si>
  <si>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</si>
  <si>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</si>
  <si>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</si>
  <si>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</si>
  <si>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</si>
  <si>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</si>
  <si>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</si>
  <si>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</si>
  <si>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</si>
  <si>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</si>
  <si>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</si>
  <si>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</si>
  <si>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</si>
  <si>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</si>
  <si>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</si>
  <si>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</si>
  <si>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</si>
  <si>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</si>
  <si>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</si>
  <si>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</si>
  <si>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</si>
  <si>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</si>
  <si>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</si>
  <si>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</si>
  <si>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</si>
  <si>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</si>
  <si>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</si>
  <si>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</si>
  <si>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</si>
  <si>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</si>
  <si>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</si>
  <si>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</si>
  <si>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</si>
  <si>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</si>
  <si>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</si>
  <si>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</si>
  <si>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</si>
  <si>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</si>
  <si>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</si>
  <si>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</si>
  <si>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</si>
  <si>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</si>
  <si>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</si>
  <si>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</si>
  <si>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</si>
  <si>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</si>
  <si>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</si>
  <si>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</si>
  <si>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</si>
  <si>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</si>
  <si>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</si>
  <si>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</si>
  <si>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</si>
  <si>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</si>
  <si>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</si>
  <si>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</si>
  <si>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</si>
  <si>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Viscera mass - coefficient for females</t>
  </si>
  <si>
    <t>Viscera mass - coefficient for castrates</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</si>
  <si>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</si>
  <si>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</si>
  <si>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</si>
  <si>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</si>
  <si>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</si>
  <si>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</si>
  <si>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</si>
  <si>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</si>
  <si>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</si>
  <si>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</si>
  <si>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</si>
  <si>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</si>
  <si>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</si>
  <si>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</si>
  <si>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</si>
  <si>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</si>
  <si>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</si>
  <si>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</si>
  <si>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</si>
  <si>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</si>
  <si>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</si>
  <si>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</si>
  <si>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</si>
  <si>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</si>
  <si>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</si>
  <si>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</si>
  <si>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</si>
  <si>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</si>
  <si>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</si>
  <si>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</si>
  <si>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</si>
  <si>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</si>
  <si>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</si>
  <si>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</si>
  <si>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</si>
  <si>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</si>
  <si>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</si>
  <si>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</si>
  <si>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</si>
  <si>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</si>
  <si>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</si>
  <si>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</si>
  <si>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</si>
  <si>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</si>
  <si>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</si>
  <si>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</si>
  <si>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</si>
  <si>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</si>
  <si>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</si>
  <si>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</si>
  <si>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</si>
  <si>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</si>
  <si>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</si>
  <si>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</si>
  <si>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</si>
  <si>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</si>
  <si>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</si>
  <si>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</si>
  <si>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</si>
  <si>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</si>
  <si>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</si>
  <si>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</si>
  <si>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</si>
  <si>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</si>
  <si>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</si>
  <si>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</si>
  <si>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</si>
  <si>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</si>
  <si>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</si>
  <si>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Fert Emission Factor (N2O-N/N)</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</si>
  <si>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</si>
  <si>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</si>
  <si>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</si>
  <si>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</si>
  <si>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</si>
  <si>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</si>
  <si>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</si>
  <si>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</si>
  <si>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</si>
  <si>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</si>
  <si>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</si>
  <si>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</si>
  <si>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</si>
  <si>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</si>
  <si>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</si>
  <si>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</si>
  <si>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</si>
  <si>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</si>
  <si>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</si>
  <si>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</si>
  <si>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</si>
  <si>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</si>
  <si>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</si>
  <si>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</si>
  <si>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</si>
  <si>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</si>
  <si>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</si>
  <si>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</si>
  <si>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</si>
  <si>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</si>
  <si>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</si>
  <si>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</si>
  <si>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</si>
  <si>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</si>
  <si>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</si>
  <si>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</si>
  <si>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</si>
  <si>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</si>
  <si>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</si>
  <si>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</si>
  <si>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</si>
  <si>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</si>
  <si>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</si>
  <si>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</si>
  <si>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</si>
  <si>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</si>
  <si>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</si>
  <si>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</si>
  <si>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</si>
  <si>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</si>
  <si>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</si>
  <si>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</si>
  <si>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</si>
  <si>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</si>
  <si>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</si>
  <si>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</si>
  <si>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</si>
  <si>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</si>
  <si>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</si>
  <si>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</si>
  <si>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</si>
  <si>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</si>
  <si>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</si>
  <si>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</si>
  <si>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</si>
  <si>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</si>
  <si>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</si>
  <si>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</si>
  <si>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</si>
  <si>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</si>
  <si>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</si>
  <si>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</si>
  <si>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</si>
  <si>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</si>
  <si>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</si>
  <si>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</si>
  <si>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</si>
  <si>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</si>
  <si>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</si>
  <si>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</si>
  <si>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</si>
  <si>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</si>
  <si>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</si>
  <si>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</si>
  <si>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</si>
  <si>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</si>
  <si>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</si>
  <si>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</si>
  <si>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</si>
  <si>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</si>
  <si>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</si>
  <si>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</si>
  <si>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</si>
  <si>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</si>
  <si>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</si>
  <si>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</si>
  <si>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</si>
  <si>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</si>
  <si>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</si>
  <si>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</si>
  <si>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</si>
  <si>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</si>
  <si>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</si>
  <si>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</si>
  <si>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</si>
  <si>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</si>
  <si>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</si>
  <si>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</si>
  <si>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</si>
  <si>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</si>
  <si>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</si>
  <si>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</si>
  <si>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</si>
  <si>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</si>
  <si>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</si>
  <si>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</si>
  <si>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</si>
  <si>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</si>
  <si>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</si>
  <si>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</si>
  <si>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</si>
  <si>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</si>
  <si>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</si>
  <si>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</si>
  <si>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</si>
  <si>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</si>
  <si>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</si>
  <si>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</si>
  <si>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</si>
  <si>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</si>
  <si>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</si>
  <si>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</si>
  <si>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</si>
  <si>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</si>
  <si>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</si>
  <si>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</si>
  <si>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</si>
  <si>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</si>
  <si>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</si>
  <si>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</si>
  <si>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</si>
  <si>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</si>
  <si>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</si>
  <si>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</si>
  <si>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</si>
  <si>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</si>
  <si>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</si>
  <si>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</si>
  <si>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</si>
  <si>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</si>
  <si>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</si>
  <si>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</si>
  <si>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</si>
  <si>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</si>
  <si>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</si>
  <si>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</si>
  <si>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</si>
  <si>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</si>
  <si>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</si>
  <si>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</si>
  <si>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</si>
  <si>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</si>
  <si>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</si>
  <si>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</si>
  <si>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</si>
  <si>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</si>
  <si>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</si>
  <si>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</si>
  <si>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</si>
  <si>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</si>
  <si>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</si>
  <si>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</si>
  <si>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</si>
  <si>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</si>
  <si>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</si>
  <si>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</si>
  <si>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</si>
  <si>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</si>
  <si>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</si>
  <si>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</si>
  <si>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</si>
  <si>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</si>
  <si>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</si>
  <si>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</si>
  <si>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</si>
  <si>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</si>
  <si>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</si>
  <si>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</si>
  <si>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</si>
  <si>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</si>
  <si>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</si>
  <si>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</si>
  <si>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</si>
  <si>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</si>
  <si>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</si>
  <si>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</si>
  <si>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</si>
  <si>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</si>
  <si>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</si>
  <si>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</si>
  <si>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</si>
  <si>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</si>
  <si>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</si>
  <si>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</si>
  <si>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</si>
  <si>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</si>
  <si>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</si>
  <si>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</si>
  <si>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</si>
  <si>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</si>
  <si>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</si>
  <si>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</si>
  <si>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</si>
  <si>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</si>
  <si>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</si>
  <si>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</si>
  <si>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</si>
  <si>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</si>
  <si>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</si>
  <si>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</si>
  <si>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</si>
  <si>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</si>
  <si>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</si>
  <si>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</si>
  <si>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</si>
  <si>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</si>
  <si>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</si>
  <si>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</si>
  <si>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</si>
  <si>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</si>
  <si>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</si>
  <si>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</si>
  <si>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</si>
  <si>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</si>
  <si>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</si>
  <si>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</si>
  <si>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</si>
  <si>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</si>
  <si>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</si>
  <si>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</si>
  <si>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</si>
  <si>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</si>
  <si>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</si>
  <si>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</si>
  <si>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</si>
  <si>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</si>
  <si>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</si>
  <si>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</si>
  <si>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</si>
  <si>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</si>
  <si>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</si>
  <si>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</si>
  <si>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</si>
  <si>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</si>
  <si>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</si>
  <si>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</si>
  <si>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</si>
  <si>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</si>
  <si>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</si>
  <si>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</si>
  <si>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</si>
  <si>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</si>
  <si>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</si>
  <si>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</si>
  <si>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</si>
  <si>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</si>
  <si>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</si>
  <si>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</si>
  <si>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</si>
  <si>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</si>
  <si>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</si>
  <si>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</si>
  <si>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</si>
  <si>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</si>
  <si>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</si>
  <si>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</si>
  <si>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</si>
  <si>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</si>
  <si>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</si>
  <si>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</si>
  <si>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</si>
  <si>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</si>
  <si>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</si>
  <si>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</si>
  <si>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</si>
  <si>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</si>
  <si>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</si>
  <si>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</si>
  <si>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</si>
  <si>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</si>
  <si>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</si>
  <si>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</si>
  <si>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</si>
  <si>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</si>
  <si>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</si>
  <si>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</si>
  <si>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</si>
  <si>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</si>
  <si>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</si>
  <si>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</si>
  <si>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</si>
  <si>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</si>
  <si>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</si>
  <si>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</si>
  <si>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</si>
  <si>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</si>
  <si>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</si>
  <si>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</si>
  <si>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</si>
  <si>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</si>
  <si>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Reproduction rate Ewe maidens:  0 young</t>
  </si>
  <si>
    <t>C(L1,26,0)</t>
  </si>
  <si>
    <t>C(L1,26,1)</t>
  </si>
  <si>
    <t>C(L1,26,2)</t>
  </si>
  <si>
    <t>C(L1,26,3)</t>
  </si>
  <si>
    <t>C(L0,26,0)</t>
  </si>
  <si>
    <t>C(L0,26,1)</t>
  </si>
  <si>
    <t>C(L0,26,2)</t>
  </si>
  <si>
    <t>C(L0,26,3)</t>
  </si>
  <si>
    <t>Reproduction rate Maidens: Dam LW at Joining (Quadratic, requires back transforming)</t>
  </si>
  <si>
    <t>C(U2,26,12)</t>
  </si>
  <si>
    <t>C(U2,26,13)</t>
  </si>
  <si>
    <t xml:space="preserve">                                                        CS ^ 2</t>
  </si>
  <si>
    <t xml:space="preserve">                                                        CS</t>
  </si>
  <si>
    <t>C(U2,24,12)</t>
  </si>
  <si>
    <t>C(U2,24,13)</t>
  </si>
  <si>
    <t>C(U2,25,12)</t>
  </si>
  <si>
    <t>C(U2,25,13)</t>
  </si>
  <si>
    <t xml:space="preserve">                    Linear 7</t>
  </si>
  <si>
    <t xml:space="preserve">                    Quad 7</t>
  </si>
  <si>
    <t>Ewe Mortality v5e.xlsx #22</t>
  </si>
  <si>
    <t>See RR v5j.xlsx #24 &amp; #25</t>
  </si>
  <si>
    <t xml:space="preserve">                          Quad 6</t>
  </si>
  <si>
    <t xml:space="preserve">                          Linear 7</t>
  </si>
  <si>
    <t xml:space="preserve">                          Quad 7</t>
  </si>
  <si>
    <t>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</si>
  <si>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C(U1,19,0)</t>
  </si>
  <si>
    <t>C(U1,19,1)</t>
  </si>
  <si>
    <t>C(U1,19,2)</t>
  </si>
  <si>
    <t>C(U1,19,3)</t>
  </si>
  <si>
    <t>C(U1,19,4)</t>
  </si>
  <si>
    <t>C(U1,19,5)</t>
  </si>
  <si>
    <t>C(U1,19,6)</t>
  </si>
  <si>
    <t>C(U1,19,-1)</t>
  </si>
  <si>
    <t xml:space="preserve">                                                    Dam LWC during early preg</t>
  </si>
  <si>
    <t xml:space="preserve">                                                    Dam LWC during early preg^2</t>
  </si>
  <si>
    <t xml:space="preserve">                                                    Dam LWC during late preg</t>
  </si>
  <si>
    <t xml:space="preserve">                                                    Dam LWC during late preg^2</t>
  </si>
  <si>
    <t>Surv</t>
  </si>
  <si>
    <t>ToDo: Move from 11 to 13 in the code.</t>
  </si>
  <si>
    <t>C(U2,27,0)</t>
  </si>
  <si>
    <t>C(U2,27,1)</t>
  </si>
  <si>
    <t>C(U2,27,2)</t>
  </si>
  <si>
    <t>C(U2,27,3)</t>
  </si>
  <si>
    <t>C(U2,27,4)</t>
  </si>
  <si>
    <t>C(U2,27,5)</t>
  </si>
  <si>
    <t>C(U2,27,6)</t>
  </si>
  <si>
    <t>C(U2,27,7)</t>
  </si>
  <si>
    <t>C(U2,27,-1)</t>
  </si>
  <si>
    <t>EweLamb Dam mortality MU2: Dam LW at joining</t>
  </si>
  <si>
    <t xml:space="preserve">                                                     Dam LWj^2</t>
  </si>
  <si>
    <t>Jason's EL project.</t>
  </si>
  <si>
    <t>Ewe Mortality v5e.xlsx #18</t>
  </si>
  <si>
    <t>Note: Doesn't differentiate Mer &amp; Composites</t>
  </si>
  <si>
    <t xml:space="preserve">                                                     Dam LWCp</t>
  </si>
  <si>
    <t xml:space="preserve">                                                     Dam LWCp^2</t>
  </si>
  <si>
    <t xml:space="preserve">                                                     Linear 3</t>
  </si>
  <si>
    <t xml:space="preserve">                                                     Quad 3</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</si>
  <si>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</si>
  <si>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</si>
  <si>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</si>
  <si>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</si>
  <si>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</si>
  <si>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</si>
  <si>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</si>
  <si>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</si>
  <si>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</si>
  <si>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Ewe Lamb Dam survival LWj adjustment:  0 young</t>
  </si>
  <si>
    <t>Copy of Twin values</t>
  </si>
  <si>
    <t>Jason EL project</t>
  </si>
  <si>
    <t>Ewe Lamb Dam survival LWj^2 adjustment:  0 young</t>
  </si>
  <si>
    <t>Ewe Lamb Dam survival intercept adjustment:  0 young</t>
  </si>
  <si>
    <t>Ewe Lamb Dam survival LWCp adjustment:  0 young</t>
  </si>
  <si>
    <t>See Ewe Mortality v5e.xlsx #18</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</si>
  <si>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</si>
  <si>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</si>
  <si>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</si>
  <si>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</si>
  <si>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</si>
  <si>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</si>
  <si>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</si>
  <si>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</si>
  <si>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</si>
  <si>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</si>
  <si>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</si>
  <si>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</si>
  <si>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</si>
  <si>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</si>
  <si>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</si>
  <si>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</si>
  <si>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</si>
  <si>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</si>
  <si>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</si>
  <si>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</si>
  <si>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</si>
  <si>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</si>
  <si>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</si>
  <si>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</si>
  <si>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</si>
  <si>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</si>
  <si>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</si>
  <si>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</si>
  <si>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</si>
  <si>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</si>
  <si>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</si>
  <si>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</si>
  <si>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</si>
  <si>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</si>
  <si>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</si>
  <si>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</si>
  <si>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</si>
  <si>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</si>
  <si>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</si>
  <si>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</si>
  <si>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</si>
  <si>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Lamb survival from EL intercept adjustment:  0 young</t>
  </si>
  <si>
    <t>Lamb survival from EL LWj adjustment:  0 young</t>
  </si>
  <si>
    <t>Lamb survival from EL LWj^2 adjustment:  0 young</t>
  </si>
  <si>
    <t>Lamb survival from EL LWCep adjustment:  0 young</t>
  </si>
  <si>
    <t>Lamb survival from EL LWCep^2 adjustment:  0 young</t>
  </si>
  <si>
    <t>C(L0,37,0)</t>
  </si>
  <si>
    <t>C(L0,37,1)</t>
  </si>
  <si>
    <t>C(L0,37,2)</t>
  </si>
  <si>
    <t>C(L0,37,3)</t>
  </si>
  <si>
    <t>Lamb survival from EL LWClp adjustment:  0 young</t>
  </si>
  <si>
    <t>Lamb survival from EL LWClp^2 adjustment:  0 young</t>
  </si>
  <si>
    <t>Survival of Ewe Lamb progeny: Dam LW at joining</t>
  </si>
  <si>
    <t xml:space="preserve">                                                    Dam LW at joining^2</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</si>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</sst>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4">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s>
  <borders count="87">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rgb="FF7F7F7F"/>
      </left>
      <right/>
      <top style="hair">
        <color rgb="FF7F7F7F"/>
      </top>
      <bottom style="hair">
        <color rgb="FF7F7F7F"/>
      </bottom>
      <diagonal/>
    </border>
    <border>
      <left/>
      <right/>
      <top style="hair">
        <color rgb="FF7F7F7F"/>
      </top>
      <bottom style="hair">
        <color rgb="FF7F7F7F"/>
      </bottom>
      <diagonal/>
    </border>
    <border>
      <left/>
      <right style="hair">
        <color rgb="FF7F7F7F"/>
      </right>
      <top style="hair">
        <color rgb="FF7F7F7F"/>
      </top>
      <bottom style="hair">
        <color rgb="FF7F7F7F"/>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34">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5"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5"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6" xfId="0" applyBorder="1"/>
    <xf numFmtId="0" fontId="0" fillId="0" borderId="67" xfId="0" applyBorder="1"/>
    <xf numFmtId="0" fontId="0" fillId="0" borderId="68" xfId="0" applyBorder="1"/>
    <xf numFmtId="0" fontId="0" fillId="20" borderId="30" xfId="19" applyFont="1" applyAlignment="1"/>
    <xf numFmtId="2" fontId="4" fillId="20" borderId="30" xfId="19" applyNumberFormat="1" applyFont="1" applyAlignment="1">
      <alignment horizontal="left"/>
    </xf>
    <xf numFmtId="0" fontId="0" fillId="0" borderId="69" xfId="0" applyBorder="1"/>
    <xf numFmtId="0" fontId="0" fillId="8" borderId="0" xfId="1" applyFont="1" applyBorder="1" applyAlignment="1"/>
    <xf numFmtId="0" fontId="1" fillId="0" borderId="0" xfId="0" applyFont="1"/>
    <xf numFmtId="1" fontId="4" fillId="20" borderId="70"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71" xfId="14" applyNumberFormat="1" applyBorder="1">
      <alignment vertical="top"/>
    </xf>
    <xf numFmtId="165" fontId="12" fillId="16" borderId="72"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63" xfId="16" applyNumberFormat="1" applyBorder="1" applyAlignment="1">
      <alignment horizontal="left" vertical="top" wrapText="1"/>
      <protection locked="0"/>
    </xf>
    <xf numFmtId="0" fontId="14" fillId="18" borderId="64" xfId="16" applyNumberFormat="1" applyBorder="1" applyAlignment="1">
      <alignment horizontal="left" vertical="top" wrapText="1"/>
      <protection locked="0"/>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3"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4"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5"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6" xfId="25" applyNumberFormat="1" applyBorder="1" applyAlignment="1">
      <alignment vertical="top"/>
    </xf>
    <xf numFmtId="168" fontId="12" fillId="20" borderId="75"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6" xfId="0" applyBorder="1" applyAlignment="1">
      <alignment wrapText="1"/>
    </xf>
    <xf numFmtId="0" fontId="0" fillId="0" borderId="67" xfId="0" applyBorder="1" applyAlignment="1">
      <alignment wrapText="1"/>
    </xf>
    <xf numFmtId="0" fontId="0" fillId="0" borderId="68"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5"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7" xfId="0" applyBorder="1"/>
    <xf numFmtId="0" fontId="4" fillId="0" borderId="65" xfId="0" applyFont="1" applyBorder="1" applyAlignment="1">
      <alignment horizontal="left"/>
    </xf>
    <xf numFmtId="0" fontId="0" fillId="0" borderId="78"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9" xfId="0" applyNumberFormat="1" applyFont="1" applyBorder="1" applyAlignment="1">
      <alignment horizontal="center"/>
    </xf>
    <xf numFmtId="178" fontId="4" fillId="0" borderId="80" xfId="0" applyNumberFormat="1" applyFont="1" applyBorder="1" applyAlignment="1" applyProtection="1">
      <alignment horizontal="center"/>
      <protection locked="0"/>
    </xf>
    <xf numFmtId="2" fontId="4" fillId="0" borderId="80" xfId="0" applyNumberFormat="1" applyFont="1" applyBorder="1" applyAlignment="1">
      <alignment horizontal="center"/>
    </xf>
    <xf numFmtId="178" fontId="4" fillId="0" borderId="80" xfId="0" applyNumberFormat="1" applyFont="1" applyBorder="1" applyProtection="1">
      <protection locked="0"/>
    </xf>
    <xf numFmtId="2" fontId="4" fillId="0" borderId="65" xfId="0" applyNumberFormat="1" applyFont="1" applyBorder="1" applyAlignment="1">
      <alignment horizontal="center"/>
    </xf>
    <xf numFmtId="2" fontId="4" fillId="0" borderId="78"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81" xfId="0" applyFont="1" applyFill="1" applyBorder="1" applyAlignment="1">
      <alignment horizontal="centerContinuous"/>
    </xf>
    <xf numFmtId="0" fontId="4" fillId="6" borderId="81" xfId="0" applyFont="1" applyFill="1" applyBorder="1" applyAlignment="1">
      <alignment horizontal="center"/>
    </xf>
    <xf numFmtId="0" fontId="4" fillId="7" borderId="81"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82"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3"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4" xfId="16" applyNumberFormat="1" applyBorder="1" applyAlignment="1">
      <alignment horizontal="left" vertical="top" wrapText="1"/>
      <protection locked="0"/>
    </xf>
    <xf numFmtId="0" fontId="14" fillId="18" borderId="85" xfId="16" applyNumberFormat="1" applyBorder="1" applyAlignment="1">
      <alignment horizontal="left" vertical="top" wrapText="1"/>
      <protection locked="0"/>
    </xf>
    <xf numFmtId="0" fontId="14" fillId="18" borderId="86"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62" xfId="16" applyNumberFormat="1" applyBorder="1" applyAlignment="1">
      <alignment horizontal="left" vertical="top" wrapText="1"/>
      <protection locked="0"/>
    </xf>
    <xf numFmtId="0" fontId="14" fillId="18" borderId="63"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44.936697642048117</c:v>
                </c:pt>
                <c:pt idx="1">
                  <c:v>62.911376698867358</c:v>
                </c:pt>
                <c:pt idx="2">
                  <c:v>91.384185003233256</c:v>
                </c:pt>
                <c:pt idx="3">
                  <c:v>114.23023125404156</c:v>
                </c:pt>
                <c:pt idx="4">
                  <c:v>126.92247917115729</c:v>
                </c:pt>
                <c:pt idx="5">
                  <c:v>139.61472708827301</c:v>
                </c:pt>
                <c:pt idx="6">
                  <c:v>152.30697500538875</c:v>
                </c:pt>
                <c:pt idx="7">
                  <c:v>144.52612556023351</c:v>
                </c:pt>
                <c:pt idx="8">
                  <c:v>155.64351983409762</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22.558022989939918</c:v>
                </c:pt>
                <c:pt idx="1">
                  <c:v>72.33843052408146</c:v>
                </c:pt>
                <c:pt idx="2">
                  <c:v>79.227804859708257</c:v>
                </c:pt>
                <c:pt idx="3">
                  <c:v>85.256007403381744</c:v>
                </c:pt>
                <c:pt idx="4">
                  <c:v>90.423038155101835</c:v>
                </c:pt>
                <c:pt idx="5">
                  <c:v>94.728897114868573</c:v>
                </c:pt>
                <c:pt idx="6">
                  <c:v>103.34061503440209</c:v>
                </c:pt>
                <c:pt idx="7">
                  <c:v>103.34061503440209</c:v>
                </c:pt>
                <c:pt idx="8">
                  <c:v>103.34061503440209</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121.61290322580645</c:v>
                </c:pt>
                <c:pt idx="1">
                  <c:v>121.61290322580645</c:v>
                </c:pt>
                <c:pt idx="2">
                  <c:v>121.61290322580645</c:v>
                </c:pt>
                <c:pt idx="3">
                  <c:v>121.61290322580645</c:v>
                </c:pt>
                <c:pt idx="4">
                  <c:v>121.61290322580645</c:v>
                </c:pt>
                <c:pt idx="5">
                  <c:v>121.61290322580645</c:v>
                </c:pt>
                <c:pt idx="6">
                  <c:v>121.61290322580645</c:v>
                </c:pt>
                <c:pt idx="7">
                  <c:v>121.61290322580645</c:v>
                </c:pt>
                <c:pt idx="8">
                  <c:v>121.61290322580645</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AA68"/>
  <sheetViews>
    <sheetView topLeftCell="A11" workbookViewId="0">
      <selection activeCell="I48" sqref="I48"/>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2199</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2340</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2348</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2350</v>
      </c>
      <c r="G20" s="351" t="b">
        <v>0</v>
      </c>
      <c r="H20" s="76"/>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t="s">
        <v>2341</v>
      </c>
      <c r="G21" s="387" t="s">
        <v>2343</v>
      </c>
      <c r="H21" s="386">
        <f>MATCH($G$21,$G$24:$G$25,0)</f>
        <v>1</v>
      </c>
      <c r="I21" s="76"/>
      <c r="J21" s="76"/>
      <c r="K21" s="76"/>
      <c r="L21" s="76"/>
      <c r="M21" s="76"/>
      <c r="N21" s="76"/>
      <c r="O21" s="76"/>
      <c r="P21" s="76"/>
      <c r="Q21" s="76"/>
      <c r="R21" s="76"/>
      <c r="S21" s="76"/>
      <c r="T21" s="76"/>
      <c r="U21" s="76"/>
      <c r="V21" s="76"/>
      <c r="W21" s="73"/>
      <c r="X21" s="57"/>
      <c r="Y21" s="45"/>
      <c r="Z21" s="45"/>
      <c r="AA21" s="45"/>
    </row>
    <row r="22" spans="1:27" outlineLevel="3" x14ac:dyDescent="0.25">
      <c r="A22" s="45"/>
      <c r="B22" s="54"/>
      <c r="C22" s="73"/>
      <c r="D22" s="73"/>
      <c r="E22" s="76"/>
      <c r="F22" s="76"/>
      <c r="G22" s="76"/>
      <c r="H22" s="76"/>
      <c r="I22" s="76"/>
      <c r="J22" s="76"/>
      <c r="K22" s="76"/>
      <c r="L22" s="76"/>
      <c r="M22" s="76"/>
      <c r="N22" s="76"/>
      <c r="O22" s="76"/>
      <c r="P22" s="76"/>
      <c r="Q22" s="76"/>
      <c r="R22" s="76"/>
      <c r="S22" s="76"/>
      <c r="T22" s="76"/>
      <c r="U22" s="76"/>
      <c r="V22" s="76"/>
      <c r="W22" s="73"/>
      <c r="X22" s="57"/>
      <c r="Y22" s="45"/>
      <c r="Z22" s="45"/>
      <c r="AA22" s="45"/>
    </row>
    <row r="23" spans="1:27" ht="13.5" customHeight="1" outlineLevel="2" x14ac:dyDescent="0.25">
      <c r="A23" s="45"/>
      <c r="B23" s="54"/>
      <c r="C23" s="73"/>
      <c r="D23" s="73"/>
      <c r="E23" s="94"/>
      <c r="F23" s="350" t="s">
        <v>2349</v>
      </c>
      <c r="G23" s="94"/>
      <c r="H23" s="94"/>
      <c r="I23" s="94"/>
      <c r="J23" s="94"/>
      <c r="K23" s="350" t="s">
        <v>2343</v>
      </c>
      <c r="L23" s="94"/>
      <c r="M23" s="94"/>
      <c r="N23" s="94"/>
      <c r="O23" s="94"/>
      <c r="P23" s="350" t="s">
        <v>2344</v>
      </c>
      <c r="Q23" s="94"/>
      <c r="R23" s="94"/>
      <c r="S23" s="94"/>
      <c r="T23" s="94"/>
      <c r="U23" s="94"/>
      <c r="V23" s="94"/>
      <c r="W23" s="73"/>
      <c r="X23" s="57"/>
      <c r="Y23" s="45"/>
      <c r="Z23" s="45"/>
      <c r="AA23" s="45"/>
    </row>
    <row r="24" spans="1:27" ht="60" outlineLevel="3" x14ac:dyDescent="0.25">
      <c r="A24" s="45"/>
      <c r="B24" s="54"/>
      <c r="C24" s="73"/>
      <c r="D24" s="73"/>
      <c r="E24" s="76"/>
      <c r="F24" s="354" t="s">
        <v>2342</v>
      </c>
      <c r="G24" s="353" t="s">
        <v>2343</v>
      </c>
      <c r="H24" s="76"/>
      <c r="I24" s="76"/>
      <c r="J24" s="76"/>
      <c r="K24" s="354" t="s">
        <v>2345</v>
      </c>
      <c r="L24" s="351">
        <v>5.0000000000000004E-6</v>
      </c>
      <c r="M24" s="76"/>
      <c r="N24" s="76"/>
      <c r="O24" s="76"/>
      <c r="P24" s="354" t="s">
        <v>2346</v>
      </c>
      <c r="Q24" s="351">
        <v>0.7</v>
      </c>
      <c r="R24" s="76"/>
      <c r="S24" s="76"/>
      <c r="T24" s="76"/>
      <c r="U24" s="76"/>
      <c r="V24" s="76"/>
      <c r="W24" s="73"/>
      <c r="X24" s="57"/>
      <c r="Y24" s="45"/>
      <c r="Z24" s="45"/>
      <c r="AA24" s="45"/>
    </row>
    <row r="25" spans="1:27" outlineLevel="3" x14ac:dyDescent="0.25">
      <c r="A25" s="45"/>
      <c r="B25" s="54"/>
      <c r="C25" s="73"/>
      <c r="D25" s="73"/>
      <c r="E25" s="76"/>
      <c r="F25" s="76"/>
      <c r="G25" s="353" t="s">
        <v>2344</v>
      </c>
      <c r="H25" s="76"/>
      <c r="I25" s="76"/>
      <c r="J25" s="76"/>
      <c r="K25" s="76"/>
      <c r="L25" s="76"/>
      <c r="M25" s="76"/>
      <c r="N25" s="76"/>
      <c r="O25" s="76"/>
      <c r="P25" s="76" t="s">
        <v>2347</v>
      </c>
      <c r="Q25" s="351">
        <v>1000000</v>
      </c>
      <c r="R25" s="76"/>
      <c r="S25" s="76"/>
      <c r="T25" s="76"/>
      <c r="U25" s="76"/>
      <c r="V25" s="76"/>
      <c r="W25" s="73"/>
      <c r="X25" s="57"/>
      <c r="Y25" s="45"/>
      <c r="Z25" s="45"/>
      <c r="AA25" s="45"/>
    </row>
    <row r="26" spans="1:27" outlineLevel="3" x14ac:dyDescent="0.25">
      <c r="A26" s="45"/>
      <c r="B26" s="54"/>
      <c r="C26" s="73"/>
      <c r="D26" s="73"/>
      <c r="E26" s="76"/>
      <c r="F26" s="76"/>
      <c r="G26" s="76"/>
      <c r="H26" s="76"/>
      <c r="I26" s="76"/>
      <c r="J26" s="76"/>
      <c r="K26" s="76"/>
      <c r="L26" s="76"/>
      <c r="M26" s="76"/>
      <c r="N26" s="76"/>
      <c r="O26" s="76"/>
      <c r="P26" s="76"/>
      <c r="Q26" s="76"/>
      <c r="R26" s="76"/>
      <c r="S26" s="76"/>
      <c r="T26" s="76"/>
      <c r="U26" s="76"/>
      <c r="V26" s="76"/>
      <c r="W26" s="73"/>
      <c r="X26" s="57"/>
      <c r="Y26" s="45"/>
      <c r="Z26" s="45"/>
      <c r="AA26" s="45"/>
    </row>
    <row r="27" spans="1:27" outlineLevel="3" x14ac:dyDescent="0.25">
      <c r="A27" s="45"/>
      <c r="B27" s="54"/>
      <c r="C27" s="73"/>
      <c r="D27" s="73"/>
      <c r="E27" s="76"/>
      <c r="F27" s="76"/>
      <c r="G27" s="76"/>
      <c r="H27" s="76"/>
      <c r="I27" s="76"/>
      <c r="J27" s="76"/>
      <c r="K27" s="76"/>
      <c r="L27" s="76"/>
      <c r="M27" s="76"/>
      <c r="N27" s="76"/>
      <c r="O27" s="76"/>
      <c r="P27" s="76"/>
      <c r="Q27" s="76"/>
      <c r="R27" s="76"/>
      <c r="S27" s="76"/>
      <c r="T27" s="76"/>
      <c r="U27" s="76"/>
      <c r="V27" s="76"/>
      <c r="W27" s="73"/>
      <c r="X27" s="57"/>
      <c r="Y27" s="45"/>
      <c r="Z27" s="45"/>
      <c r="AA27" s="45"/>
    </row>
    <row r="28" spans="1:27" ht="5.0999999999999996" customHeight="1" outlineLevel="3" x14ac:dyDescent="0.25">
      <c r="A28" s="45"/>
      <c r="B28" s="54"/>
      <c r="C28" s="73"/>
      <c r="D28" s="73"/>
      <c r="E28" s="73"/>
      <c r="F28" s="73"/>
      <c r="G28" s="73"/>
      <c r="H28" s="73"/>
      <c r="I28" s="73"/>
      <c r="J28" s="73"/>
      <c r="K28" s="73"/>
      <c r="L28" s="73"/>
      <c r="M28" s="73"/>
      <c r="N28" s="73"/>
      <c r="O28" s="73"/>
      <c r="P28" s="73"/>
      <c r="Q28" s="73"/>
      <c r="R28" s="73"/>
      <c r="S28" s="73"/>
      <c r="T28" s="73"/>
      <c r="U28" s="73"/>
      <c r="V28" s="73"/>
      <c r="W28" s="73" t="s">
        <v>136</v>
      </c>
      <c r="X28" s="57"/>
      <c r="Y28" s="45"/>
      <c r="Z28" s="45"/>
      <c r="AA28" s="45"/>
    </row>
    <row r="29" spans="1:27" ht="5.0999999999999996" customHeight="1" outlineLevel="2" x14ac:dyDescent="0.25">
      <c r="A29" s="45"/>
      <c r="B29" s="54"/>
      <c r="C29" s="73"/>
      <c r="D29" s="73"/>
      <c r="E29" s="73"/>
      <c r="F29" s="73"/>
      <c r="G29" s="73"/>
      <c r="H29" s="73"/>
      <c r="I29" s="73"/>
      <c r="J29" s="73"/>
      <c r="K29" s="73"/>
      <c r="L29" s="73"/>
      <c r="M29" s="73"/>
      <c r="N29" s="73"/>
      <c r="O29" s="73"/>
      <c r="P29" s="73"/>
      <c r="Q29" s="73"/>
      <c r="R29" s="73"/>
      <c r="S29" s="73"/>
      <c r="T29" s="73"/>
      <c r="U29" s="73"/>
      <c r="V29" s="73"/>
      <c r="W29" s="73"/>
      <c r="X29" s="57"/>
      <c r="Y29" s="45"/>
      <c r="Z29" s="45"/>
      <c r="AA29" s="45"/>
    </row>
    <row r="30" spans="1:27" ht="5.0999999999999996" customHeight="1" outlineLevel="1" x14ac:dyDescent="0.25">
      <c r="A30" s="45"/>
      <c r="B30" s="81"/>
      <c r="C30" s="83"/>
      <c r="D30" s="83"/>
      <c r="E30" s="83"/>
      <c r="F30" s="83"/>
      <c r="G30" s="83"/>
      <c r="H30" s="83"/>
      <c r="I30" s="83"/>
      <c r="J30" s="83"/>
      <c r="K30" s="83"/>
      <c r="L30" s="83"/>
      <c r="M30" s="83"/>
      <c r="N30" s="83"/>
      <c r="O30" s="83"/>
      <c r="P30" s="83"/>
      <c r="Q30" s="83"/>
      <c r="R30" s="83"/>
      <c r="S30" s="83"/>
      <c r="T30" s="83"/>
      <c r="U30" s="83"/>
      <c r="V30" s="83"/>
      <c r="W30" s="83"/>
      <c r="X30" s="84" t="s">
        <v>145</v>
      </c>
      <c r="Y30" s="45"/>
      <c r="Z30" s="45"/>
      <c r="AA30" s="45"/>
    </row>
    <row r="31" spans="1:27" ht="5.0999999999999996" customHeight="1" x14ac:dyDescent="0.25">
      <c r="A31" s="45"/>
      <c r="B31" s="85"/>
      <c r="C31" s="85"/>
      <c r="D31" s="85"/>
      <c r="E31" s="85"/>
      <c r="F31" s="85"/>
      <c r="G31" s="85"/>
      <c r="H31" s="85"/>
      <c r="I31" s="85"/>
      <c r="J31" s="85"/>
      <c r="K31" s="85"/>
      <c r="L31" s="85"/>
      <c r="M31" s="85"/>
      <c r="N31" s="85"/>
      <c r="O31" s="85"/>
      <c r="P31" s="85"/>
      <c r="Q31" s="85"/>
      <c r="R31" s="85"/>
      <c r="S31" s="85"/>
      <c r="T31" s="85"/>
      <c r="U31" s="85"/>
      <c r="V31" s="85"/>
      <c r="W31" s="85"/>
      <c r="X31" s="85"/>
      <c r="Y31" s="45"/>
      <c r="Z31" s="45"/>
      <c r="AA31" s="45"/>
    </row>
    <row r="32" spans="1:27" outlineLevel="2" x14ac:dyDescent="0.2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row>
    <row r="33" spans="1:27"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27" x14ac:dyDescent="0.25"/>
    <row r="36" spans="1:27" x14ac:dyDescent="0.25">
      <c r="G36" t="s">
        <v>2318</v>
      </c>
      <c r="I36" t="s">
        <v>2319</v>
      </c>
      <c r="K36" t="s">
        <v>2727</v>
      </c>
      <c r="M36" t="s">
        <v>2728</v>
      </c>
    </row>
    <row r="37" spans="1:27" x14ac:dyDescent="0.25">
      <c r="G37" s="338" t="s">
        <v>4</v>
      </c>
      <c r="I37" s="338" t="s">
        <v>2320</v>
      </c>
      <c r="K37" s="338" t="s">
        <v>45</v>
      </c>
      <c r="M37" s="432" t="s">
        <v>2729</v>
      </c>
    </row>
    <row r="38" spans="1:27" x14ac:dyDescent="0.25">
      <c r="G38" s="339" t="s">
        <v>2312</v>
      </c>
      <c r="I38" s="339" t="s">
        <v>2586</v>
      </c>
      <c r="K38" s="339" t="s">
        <v>2936</v>
      </c>
      <c r="M38" s="433" t="s">
        <v>2730</v>
      </c>
    </row>
    <row r="39" spans="1:27" ht="45" x14ac:dyDescent="0.25">
      <c r="G39" s="339" t="s">
        <v>10</v>
      </c>
      <c r="I39" s="339" t="s">
        <v>4</v>
      </c>
      <c r="K39" s="339" t="s">
        <v>2719</v>
      </c>
      <c r="M39" s="433" t="s">
        <v>2731</v>
      </c>
    </row>
    <row r="40" spans="1:27" ht="30" x14ac:dyDescent="0.25">
      <c r="G40" t="s">
        <v>60</v>
      </c>
      <c r="H40" s="343"/>
      <c r="I40" s="339" t="s">
        <v>2312</v>
      </c>
      <c r="K40" s="339" t="s">
        <v>2720</v>
      </c>
      <c r="M40" s="434" t="s">
        <v>2732</v>
      </c>
    </row>
    <row r="41" spans="1:27" x14ac:dyDescent="0.25">
      <c r="G41" s="339" t="s">
        <v>61</v>
      </c>
      <c r="I41" s="339" t="s">
        <v>10</v>
      </c>
      <c r="K41" s="340" t="s">
        <v>2937</v>
      </c>
    </row>
    <row r="42" spans="1:27" x14ac:dyDescent="0.25">
      <c r="G42" s="339" t="s">
        <v>62</v>
      </c>
      <c r="I42" s="339" t="s">
        <v>60</v>
      </c>
    </row>
    <row r="43" spans="1:27" x14ac:dyDescent="0.25">
      <c r="G43" s="339" t="s">
        <v>7</v>
      </c>
      <c r="I43" s="339" t="s">
        <v>61</v>
      </c>
    </row>
    <row r="44" spans="1:27" x14ac:dyDescent="0.25">
      <c r="G44" s="339" t="s">
        <v>3313</v>
      </c>
      <c r="I44" s="339" t="s">
        <v>2321</v>
      </c>
    </row>
    <row r="45" spans="1:27" x14ac:dyDescent="0.25">
      <c r="G45" s="339" t="s">
        <v>3237</v>
      </c>
      <c r="I45" s="339" t="s">
        <v>107</v>
      </c>
    </row>
    <row r="46" spans="1:27" x14ac:dyDescent="0.25">
      <c r="G46" s="339" t="s">
        <v>6</v>
      </c>
      <c r="I46" s="339" t="s">
        <v>62</v>
      </c>
    </row>
    <row r="47" spans="1:27" x14ac:dyDescent="0.25">
      <c r="G47" s="339" t="s">
        <v>2316</v>
      </c>
      <c r="I47" s="339" t="s">
        <v>7</v>
      </c>
    </row>
    <row r="48" spans="1:27" x14ac:dyDescent="0.25">
      <c r="G48" s="339" t="s">
        <v>72</v>
      </c>
      <c r="I48" s="339" t="s">
        <v>3313</v>
      </c>
    </row>
    <row r="49" spans="7:9" x14ac:dyDescent="0.25">
      <c r="G49" s="339" t="s">
        <v>9</v>
      </c>
      <c r="I49" s="339" t="s">
        <v>113</v>
      </c>
    </row>
    <row r="50" spans="7:9" x14ac:dyDescent="0.25">
      <c r="G50" s="339" t="s">
        <v>2315</v>
      </c>
      <c r="I50" s="339" t="s">
        <v>3237</v>
      </c>
    </row>
    <row r="51" spans="7:9" x14ac:dyDescent="0.25">
      <c r="G51" s="339" t="s">
        <v>63</v>
      </c>
      <c r="I51" s="339" t="s">
        <v>6</v>
      </c>
    </row>
    <row r="52" spans="7:9" x14ac:dyDescent="0.25">
      <c r="G52" s="339" t="s">
        <v>5</v>
      </c>
      <c r="I52" s="339" t="s">
        <v>2316</v>
      </c>
    </row>
    <row r="53" spans="7:9" x14ac:dyDescent="0.25">
      <c r="G53" s="339" t="s">
        <v>2314</v>
      </c>
      <c r="I53" s="339" t="s">
        <v>72</v>
      </c>
    </row>
    <row r="54" spans="7:9" x14ac:dyDescent="0.25">
      <c r="G54" s="339" t="s">
        <v>8</v>
      </c>
      <c r="I54" s="339" t="s">
        <v>9</v>
      </c>
    </row>
    <row r="55" spans="7:9" x14ac:dyDescent="0.25">
      <c r="G55" s="340" t="s">
        <v>2313</v>
      </c>
      <c r="I55" s="339" t="s">
        <v>2315</v>
      </c>
    </row>
    <row r="56" spans="7:9" x14ac:dyDescent="0.25">
      <c r="I56" s="339" t="s">
        <v>2322</v>
      </c>
    </row>
    <row r="57" spans="7:9" x14ac:dyDescent="0.25">
      <c r="I57" s="339" t="s">
        <v>2572</v>
      </c>
    </row>
    <row r="58" spans="7:9" x14ac:dyDescent="0.25">
      <c r="I58" s="339" t="s">
        <v>2323</v>
      </c>
    </row>
    <row r="59" spans="7:9" x14ac:dyDescent="0.25">
      <c r="I59" s="339" t="s">
        <v>106</v>
      </c>
    </row>
    <row r="60" spans="7:9" x14ac:dyDescent="0.25">
      <c r="I60" s="339" t="s">
        <v>2324</v>
      </c>
    </row>
    <row r="61" spans="7:9" x14ac:dyDescent="0.25">
      <c r="I61" s="339" t="s">
        <v>108</v>
      </c>
    </row>
    <row r="62" spans="7:9" x14ac:dyDescent="0.25">
      <c r="I62" s="339" t="s">
        <v>63</v>
      </c>
    </row>
    <row r="63" spans="7:9" x14ac:dyDescent="0.25">
      <c r="I63" s="339" t="s">
        <v>5</v>
      </c>
    </row>
    <row r="64" spans="7:9" x14ac:dyDescent="0.25">
      <c r="I64" s="339" t="s">
        <v>2314</v>
      </c>
    </row>
    <row r="65" spans="9:9" x14ac:dyDescent="0.25">
      <c r="I65" s="339" t="s">
        <v>2325</v>
      </c>
    </row>
    <row r="66" spans="9:9" x14ac:dyDescent="0.25">
      <c r="I66" s="339" t="s">
        <v>109</v>
      </c>
    </row>
    <row r="67" spans="9:9" x14ac:dyDescent="0.25">
      <c r="I67" s="339" t="s">
        <v>8</v>
      </c>
    </row>
    <row r="68" spans="9:9" x14ac:dyDescent="0.25">
      <c r="I68" s="340" t="s">
        <v>2313</v>
      </c>
    </row>
  </sheetData>
  <dataValidations count="1">
    <dataValidation type="list" allowBlank="1" showInputMessage="1" showErrorMessage="1" sqref="G21" xr:uid="{B8DD7D51-55DA-401A-89EC-AE04427D1159}">
      <formula1>$G$24:$G$25</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A16" sqref="A16:XFD1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3042</v>
      </c>
    </row>
    <row r="9" spans="1:3" x14ac:dyDescent="0.25">
      <c r="A9" s="341" t="str">
        <f>General!G37</f>
        <v>b</v>
      </c>
      <c r="B9">
        <v>680</v>
      </c>
      <c r="C9" s="1" t="s">
        <v>2914</v>
      </c>
    </row>
    <row r="10" spans="1:3" x14ac:dyDescent="0.25">
      <c r="A10" s="341" t="str">
        <f>General!G38</f>
        <v>bd</v>
      </c>
      <c r="B10">
        <v>680</v>
      </c>
      <c r="C10" s="1" t="s">
        <v>2914</v>
      </c>
    </row>
    <row r="11" spans="1:3" x14ac:dyDescent="0.25">
      <c r="A11" s="341" t="str">
        <f>General!G39</f>
        <v>f</v>
      </c>
      <c r="B11">
        <v>680</v>
      </c>
      <c r="C11" s="1" t="s">
        <v>2914</v>
      </c>
    </row>
    <row r="12" spans="1:3" x14ac:dyDescent="0.25">
      <c r="A12" s="341" t="str">
        <f>General!G40</f>
        <v>h</v>
      </c>
      <c r="B12">
        <v>680</v>
      </c>
      <c r="C12" s="1" t="s">
        <v>2914</v>
      </c>
    </row>
    <row r="13" spans="1:3" x14ac:dyDescent="0.25">
      <c r="A13" s="341" t="str">
        <f>General!G41</f>
        <v>i</v>
      </c>
      <c r="B13">
        <v>680</v>
      </c>
      <c r="C13" s="1" t="s">
        <v>2914</v>
      </c>
    </row>
    <row r="14" spans="1:3" x14ac:dyDescent="0.25">
      <c r="A14" s="341" t="str">
        <f>General!G42</f>
        <v>k</v>
      </c>
      <c r="B14">
        <v>680</v>
      </c>
      <c r="C14" s="1" t="s">
        <v>2914</v>
      </c>
    </row>
    <row r="15" spans="1:3" x14ac:dyDescent="0.25">
      <c r="A15" s="341" t="str">
        <f>General!G43</f>
        <v>l</v>
      </c>
      <c r="B15">
        <v>680</v>
      </c>
      <c r="C15" s="1" t="s">
        <v>2914</v>
      </c>
    </row>
    <row r="16" spans="1:3" x14ac:dyDescent="0.25">
      <c r="A16" s="341" t="str">
        <f>General!G44</f>
        <v>lf</v>
      </c>
      <c r="B16">
        <v>680</v>
      </c>
      <c r="C16" s="1" t="s">
        <v>2914</v>
      </c>
    </row>
    <row r="17" spans="1:3" x14ac:dyDescent="0.25">
      <c r="A17" s="341" t="str">
        <f>General!G45</f>
        <v>ms</v>
      </c>
      <c r="B17">
        <v>680</v>
      </c>
      <c r="C17" s="1" t="s">
        <v>2914</v>
      </c>
    </row>
    <row r="18" spans="1:3" x14ac:dyDescent="0.25">
      <c r="A18" s="341" t="str">
        <f>General!G46</f>
        <v>o</v>
      </c>
      <c r="B18">
        <v>680</v>
      </c>
      <c r="C18" s="1" t="s">
        <v>2914</v>
      </c>
    </row>
    <row r="19" spans="1:3" x14ac:dyDescent="0.25">
      <c r="A19" s="341" t="str">
        <f>General!G47</f>
        <v>od</v>
      </c>
      <c r="B19">
        <v>680</v>
      </c>
      <c r="C19" s="1" t="s">
        <v>2914</v>
      </c>
    </row>
    <row r="20" spans="1:3" x14ac:dyDescent="0.25">
      <c r="A20" s="341" t="str">
        <f>General!G48</f>
        <v>of</v>
      </c>
      <c r="B20">
        <v>680</v>
      </c>
      <c r="C20" s="1" t="s">
        <v>2914</v>
      </c>
    </row>
    <row r="21" spans="1:3" x14ac:dyDescent="0.25">
      <c r="A21" s="341" t="str">
        <f>General!G49</f>
        <v>r</v>
      </c>
      <c r="B21">
        <v>680</v>
      </c>
      <c r="C21" s="1" t="s">
        <v>2914</v>
      </c>
    </row>
    <row r="22" spans="1:3" x14ac:dyDescent="0.25">
      <c r="A22" s="341" t="str">
        <f>General!G50</f>
        <v>rd</v>
      </c>
      <c r="B22">
        <v>680</v>
      </c>
      <c r="C22" s="1" t="s">
        <v>2914</v>
      </c>
    </row>
    <row r="23" spans="1:3" x14ac:dyDescent="0.25">
      <c r="A23" s="341" t="str">
        <f>General!G51</f>
        <v>v</v>
      </c>
      <c r="B23">
        <v>680</v>
      </c>
      <c r="C23" s="1" t="s">
        <v>2914</v>
      </c>
    </row>
    <row r="24" spans="1:3" x14ac:dyDescent="0.25">
      <c r="A24" s="341" t="str">
        <f>General!G52</f>
        <v>w</v>
      </c>
      <c r="B24">
        <v>680</v>
      </c>
      <c r="C24" s="1" t="s">
        <v>2914</v>
      </c>
    </row>
    <row r="25" spans="1:3" x14ac:dyDescent="0.25">
      <c r="A25" s="341" t="str">
        <f>General!G53</f>
        <v>wd</v>
      </c>
      <c r="B25">
        <v>680</v>
      </c>
      <c r="C25" s="1" t="s">
        <v>2914</v>
      </c>
    </row>
    <row r="26" spans="1:3" x14ac:dyDescent="0.25">
      <c r="A26" s="341" t="str">
        <f>General!G54</f>
        <v>z</v>
      </c>
      <c r="B26">
        <v>680</v>
      </c>
      <c r="C26" s="1" t="s">
        <v>2914</v>
      </c>
    </row>
    <row r="27" spans="1:3" x14ac:dyDescent="0.25">
      <c r="A27" s="341" t="str">
        <f>General!G55</f>
        <v>zd</v>
      </c>
      <c r="B27">
        <v>680</v>
      </c>
      <c r="C27" s="1" t="s">
        <v>2914</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2</v>
      </c>
    </row>
    <row r="46" spans="1:11" x14ac:dyDescent="0.25">
      <c r="A46" t="s">
        <v>80</v>
      </c>
      <c r="B46" s="385">
        <f>MIN(364,INT((C46 - DATE(YEAR(C46),1,1))))</f>
        <v>226</v>
      </c>
      <c r="C46" s="4">
        <v>43692</v>
      </c>
    </row>
    <row r="48" spans="1:11" x14ac:dyDescent="0.25">
      <c r="A48" s="1" t="s">
        <v>2275</v>
      </c>
      <c r="B48">
        <v>50</v>
      </c>
      <c r="K48" s="1" t="s">
        <v>2276</v>
      </c>
    </row>
    <row r="49" spans="1:27" x14ac:dyDescent="0.25">
      <c r="A49" s="3"/>
      <c r="B49" s="3"/>
      <c r="C49" s="3"/>
      <c r="M49" s="613" t="s">
        <v>2326</v>
      </c>
      <c r="N49" s="613"/>
      <c r="O49" s="613"/>
      <c r="P49" s="613"/>
      <c r="Q49" s="613"/>
      <c r="R49" s="613" t="s">
        <v>2330</v>
      </c>
      <c r="S49" s="613"/>
      <c r="T49" s="613"/>
      <c r="U49" s="613"/>
      <c r="V49" s="613"/>
      <c r="W49" s="613" t="s">
        <v>2331</v>
      </c>
      <c r="X49" s="613"/>
      <c r="Y49" s="613"/>
      <c r="Z49" s="613"/>
      <c r="AA49" s="613"/>
    </row>
    <row r="50" spans="1:27" x14ac:dyDescent="0.25">
      <c r="A50" s="3"/>
      <c r="B50" s="3"/>
      <c r="C50" s="3"/>
      <c r="L50" s="1" t="s">
        <v>2332</v>
      </c>
      <c r="M50" t="s">
        <v>2327</v>
      </c>
      <c r="N50" t="s">
        <v>2327</v>
      </c>
      <c r="O50" t="s">
        <v>2327</v>
      </c>
      <c r="P50" t="s">
        <v>2327</v>
      </c>
      <c r="Q50" t="s">
        <v>2327</v>
      </c>
      <c r="R50" t="s">
        <v>2329</v>
      </c>
      <c r="S50" t="s">
        <v>2329</v>
      </c>
      <c r="T50" t="s">
        <v>2329</v>
      </c>
      <c r="U50" t="s">
        <v>2329</v>
      </c>
      <c r="V50" t="s">
        <v>2329</v>
      </c>
      <c r="W50" t="s">
        <v>2328</v>
      </c>
      <c r="X50" t="s">
        <v>2328</v>
      </c>
      <c r="Y50" t="s">
        <v>2328</v>
      </c>
      <c r="Z50" t="s">
        <v>2328</v>
      </c>
      <c r="AA50" t="s">
        <v>2328</v>
      </c>
    </row>
    <row r="51" spans="1:27" x14ac:dyDescent="0.25">
      <c r="A51" t="s">
        <v>59</v>
      </c>
      <c r="B51" t="s">
        <v>3303</v>
      </c>
      <c r="C51" t="s">
        <v>3305</v>
      </c>
      <c r="D51" t="s">
        <v>2277</v>
      </c>
      <c r="E51" t="s">
        <v>64</v>
      </c>
      <c r="F51" t="s">
        <v>65</v>
      </c>
      <c r="G51" t="s">
        <v>3276</v>
      </c>
      <c r="H51" t="s">
        <v>66</v>
      </c>
      <c r="I51" t="s">
        <v>67</v>
      </c>
      <c r="J51" t="s">
        <v>73</v>
      </c>
      <c r="L51" s="1" t="s">
        <v>2274</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General!G37</f>
        <v>b</v>
      </c>
      <c r="B52" s="383" t="b">
        <v>1</v>
      </c>
      <c r="C52" s="383" t="b">
        <v>1</v>
      </c>
      <c r="D52" s="383">
        <v>0.1</v>
      </c>
      <c r="E52" s="383">
        <v>0.7</v>
      </c>
      <c r="F52" s="382">
        <f t="shared" ref="F52:F66" si="0">1-E52</f>
        <v>0.30000000000000004</v>
      </c>
      <c r="G52" s="384" t="b">
        <v>1</v>
      </c>
      <c r="H52" s="384">
        <v>0.15</v>
      </c>
      <c r="I52" s="384">
        <v>13.45</v>
      </c>
      <c r="J52" s="384">
        <f>0.86*1.05</f>
        <v>0.90300000000000002</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General!G38</f>
        <v>bd</v>
      </c>
      <c r="B53" s="383" t="b">
        <v>1</v>
      </c>
      <c r="C53" s="383" t="b">
        <v>1</v>
      </c>
      <c r="D53" s="380">
        <f t="shared" ref="D53:J53" si="2">D52</f>
        <v>0.1</v>
      </c>
      <c r="E53" s="380">
        <f t="shared" si="2"/>
        <v>0.7</v>
      </c>
      <c r="F53" s="380">
        <f t="shared" si="2"/>
        <v>0.30000000000000004</v>
      </c>
      <c r="G53" s="384" t="b">
        <v>1</v>
      </c>
      <c r="H53" s="380">
        <f t="shared" si="2"/>
        <v>0.15</v>
      </c>
      <c r="I53" s="380">
        <f t="shared" si="2"/>
        <v>13.45</v>
      </c>
      <c r="J53" s="380">
        <f t="shared" si="2"/>
        <v>0.90300000000000002</v>
      </c>
      <c r="L53" t="str">
        <f t="shared" si="1"/>
        <v>bd</v>
      </c>
      <c r="M53" s="380">
        <f>M52</f>
        <v>246</v>
      </c>
      <c r="N53" s="380">
        <f t="shared" ref="N53:Q53" si="3">N52</f>
        <v>282</v>
      </c>
      <c r="O53" s="380">
        <f t="shared" si="3"/>
        <v>305</v>
      </c>
      <c r="P53" s="380">
        <f t="shared" si="3"/>
        <v>332</v>
      </c>
      <c r="Q53" s="380">
        <f t="shared" si="3"/>
        <v>368</v>
      </c>
      <c r="R53" s="380">
        <f t="shared" ref="R53:AA53" si="4">R52</f>
        <v>0</v>
      </c>
      <c r="S53" s="380">
        <f t="shared" ref="S53:V53" si="5">S52</f>
        <v>0</v>
      </c>
      <c r="T53" s="380">
        <f t="shared" si="5"/>
        <v>0</v>
      </c>
      <c r="U53" s="380">
        <f t="shared" si="5"/>
        <v>0</v>
      </c>
      <c r="V53" s="380">
        <f t="shared" si="5"/>
        <v>0</v>
      </c>
      <c r="W53" s="380">
        <f t="shared" si="4"/>
        <v>97.5</v>
      </c>
      <c r="X53" s="380">
        <f t="shared" ref="X53:Z53" si="6">X52</f>
        <v>120</v>
      </c>
      <c r="Y53" s="380">
        <f t="shared" si="4"/>
        <v>150</v>
      </c>
      <c r="Z53" s="380">
        <f t="shared" si="6"/>
        <v>180</v>
      </c>
      <c r="AA53" s="380">
        <f t="shared" si="4"/>
        <v>202.5</v>
      </c>
    </row>
    <row r="54" spans="1:27" x14ac:dyDescent="0.25">
      <c r="A54" s="341" t="str">
        <f>General!G39</f>
        <v>f</v>
      </c>
      <c r="B54" s="383" t="b">
        <v>1</v>
      </c>
      <c r="C54" s="383" t="b">
        <v>1</v>
      </c>
      <c r="D54" s="383">
        <v>0</v>
      </c>
      <c r="E54" s="383">
        <v>1</v>
      </c>
      <c r="F54" s="382">
        <f t="shared" si="0"/>
        <v>0</v>
      </c>
      <c r="G54" s="384" t="b">
        <v>1</v>
      </c>
      <c r="H54" s="384">
        <v>0.15</v>
      </c>
      <c r="I54" s="384">
        <v>15.85</v>
      </c>
      <c r="J54" s="384">
        <f>1.04*1.05</f>
        <v>1.0920000000000001</v>
      </c>
      <c r="L54" t="str">
        <f t="shared" si="1"/>
        <v>f</v>
      </c>
      <c r="M54" s="380">
        <f>M58</f>
        <v>289</v>
      </c>
      <c r="N54" s="380">
        <f t="shared" ref="N54:Q54" si="7">N58</f>
        <v>329</v>
      </c>
      <c r="O54" s="380">
        <f t="shared" si="7"/>
        <v>352</v>
      </c>
      <c r="P54" s="380">
        <f t="shared" si="7"/>
        <v>372</v>
      </c>
      <c r="Q54" s="380">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General!G40</f>
        <v>h</v>
      </c>
      <c r="B55" s="383" t="b">
        <v>1</v>
      </c>
      <c r="C55" s="383" t="b">
        <v>1</v>
      </c>
      <c r="D55" s="383">
        <v>0</v>
      </c>
      <c r="E55" s="383">
        <v>1</v>
      </c>
      <c r="F55" s="382">
        <f t="shared" si="0"/>
        <v>0</v>
      </c>
      <c r="G55" s="384" t="b">
        <v>1</v>
      </c>
      <c r="H55" s="384">
        <v>0.5</v>
      </c>
      <c r="I55" s="384">
        <v>1.5</v>
      </c>
      <c r="J55" s="384">
        <f>0.86*1.05</f>
        <v>0.90300000000000002</v>
      </c>
      <c r="L55" t="str">
        <f t="shared" si="1"/>
        <v>h</v>
      </c>
      <c r="M55" s="380">
        <f>M61</f>
        <v>245.65</v>
      </c>
      <c r="N55" s="380">
        <f>N61</f>
        <v>279.64999999999998</v>
      </c>
      <c r="O55" s="380">
        <f>O61</f>
        <v>299.2</v>
      </c>
      <c r="P55" s="380">
        <f>P61</f>
        <v>316.2</v>
      </c>
      <c r="Q55" s="380">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General!G41</f>
        <v>i</v>
      </c>
      <c r="B56" s="383" t="b">
        <v>1</v>
      </c>
      <c r="C56" s="383" t="b">
        <v>1</v>
      </c>
      <c r="D56" s="383">
        <v>0</v>
      </c>
      <c r="E56" s="383">
        <v>1</v>
      </c>
      <c r="F56" s="382">
        <f t="shared" si="0"/>
        <v>0</v>
      </c>
      <c r="G56" s="384" t="b">
        <v>1</v>
      </c>
      <c r="H56" s="384">
        <v>0.15</v>
      </c>
      <c r="I56" s="384">
        <v>15.85</v>
      </c>
      <c r="J56" s="384">
        <f>1.04*1.05</f>
        <v>1.0920000000000001</v>
      </c>
      <c r="L56" t="str">
        <f t="shared" si="1"/>
        <v>i</v>
      </c>
      <c r="M56" s="380">
        <f>M58</f>
        <v>289</v>
      </c>
      <c r="N56" s="380">
        <f t="shared" ref="N56:Q56" si="12">N58</f>
        <v>329</v>
      </c>
      <c r="O56" s="380">
        <f t="shared" si="12"/>
        <v>352</v>
      </c>
      <c r="P56" s="380">
        <f t="shared" si="12"/>
        <v>372</v>
      </c>
      <c r="Q56" s="380">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General!G42</f>
        <v>k</v>
      </c>
      <c r="B57" s="383" t="b">
        <v>1</v>
      </c>
      <c r="C57" s="383" t="b">
        <v>1</v>
      </c>
      <c r="D57" s="383">
        <v>0</v>
      </c>
      <c r="E57" s="383">
        <v>1</v>
      </c>
      <c r="F57" s="382">
        <f t="shared" si="0"/>
        <v>0</v>
      </c>
      <c r="G57" s="384" t="b">
        <v>1</v>
      </c>
      <c r="H57" s="384">
        <v>0.15</v>
      </c>
      <c r="I57" s="384">
        <v>15.85</v>
      </c>
      <c r="J57" s="384">
        <f>1.04*1.05</f>
        <v>1.0920000000000001</v>
      </c>
      <c r="L57" t="str">
        <f t="shared" si="1"/>
        <v>k</v>
      </c>
      <c r="M57" s="380">
        <f>M58</f>
        <v>289</v>
      </c>
      <c r="N57" s="380">
        <f t="shared" ref="N57:Q57" si="13">N58</f>
        <v>329</v>
      </c>
      <c r="O57" s="380">
        <f t="shared" si="13"/>
        <v>352</v>
      </c>
      <c r="P57" s="380">
        <f t="shared" si="13"/>
        <v>372</v>
      </c>
      <c r="Q57" s="380">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General!G43</f>
        <v>l</v>
      </c>
      <c r="B58" s="383" t="b">
        <v>1</v>
      </c>
      <c r="C58" s="383" t="b">
        <v>1</v>
      </c>
      <c r="D58" s="383">
        <v>0</v>
      </c>
      <c r="E58" s="383">
        <v>1</v>
      </c>
      <c r="F58" s="382">
        <f t="shared" si="0"/>
        <v>0</v>
      </c>
      <c r="G58" s="384" t="b">
        <v>1</v>
      </c>
      <c r="H58" s="384">
        <v>0.15</v>
      </c>
      <c r="I58" s="384">
        <v>12.05</v>
      </c>
      <c r="J58" s="384">
        <f>1.04*1.05</f>
        <v>1.0920000000000001</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General!G44</f>
        <v>lf</v>
      </c>
      <c r="B59" s="383" t="b">
        <v>1</v>
      </c>
      <c r="C59" s="383" t="b">
        <v>1</v>
      </c>
      <c r="D59" s="383">
        <v>0</v>
      </c>
      <c r="E59" s="383">
        <v>1</v>
      </c>
      <c r="F59" s="382">
        <f t="shared" ref="F59" si="14">1-E59</f>
        <v>0</v>
      </c>
      <c r="G59" s="384" t="b">
        <v>1</v>
      </c>
      <c r="H59" s="384">
        <v>0.15</v>
      </c>
      <c r="I59" s="384">
        <v>12.05</v>
      </c>
      <c r="J59" s="384">
        <f>1.04*1.05</f>
        <v>1.0920000000000001</v>
      </c>
      <c r="L59" t="str">
        <f t="shared" ref="L59" si="15">A59</f>
        <v>lf</v>
      </c>
      <c r="M59" s="380">
        <f>M58</f>
        <v>289</v>
      </c>
      <c r="N59" s="380">
        <f t="shared" ref="N59:AA59" si="16">N58</f>
        <v>329</v>
      </c>
      <c r="O59" s="380">
        <f t="shared" si="16"/>
        <v>352</v>
      </c>
      <c r="P59" s="380">
        <f t="shared" si="16"/>
        <v>372</v>
      </c>
      <c r="Q59" s="380">
        <f t="shared" si="16"/>
        <v>434</v>
      </c>
      <c r="R59" s="380">
        <f t="shared" si="16"/>
        <v>0</v>
      </c>
      <c r="S59" s="380">
        <f t="shared" si="16"/>
        <v>0</v>
      </c>
      <c r="T59" s="380">
        <f t="shared" si="16"/>
        <v>0</v>
      </c>
      <c r="U59" s="380">
        <f t="shared" si="16"/>
        <v>0</v>
      </c>
      <c r="V59" s="380">
        <f t="shared" si="16"/>
        <v>0</v>
      </c>
      <c r="W59" s="380">
        <f t="shared" si="16"/>
        <v>97.5</v>
      </c>
      <c r="X59" s="380">
        <f t="shared" si="16"/>
        <v>120</v>
      </c>
      <c r="Y59" s="380">
        <f t="shared" si="16"/>
        <v>150</v>
      </c>
      <c r="Z59" s="380">
        <f t="shared" si="16"/>
        <v>180</v>
      </c>
      <c r="AA59" s="380">
        <f t="shared" si="16"/>
        <v>202.5</v>
      </c>
    </row>
    <row r="60" spans="1:27" x14ac:dyDescent="0.25">
      <c r="A60" s="341" t="str">
        <f>General!G45</f>
        <v>ms</v>
      </c>
      <c r="B60" s="383" t="b">
        <v>1</v>
      </c>
      <c r="C60" s="383" t="b">
        <v>1</v>
      </c>
      <c r="D60" s="383">
        <v>0</v>
      </c>
      <c r="E60" s="383">
        <v>1</v>
      </c>
      <c r="F60" s="382">
        <f t="shared" ref="F60" si="17">1-E60</f>
        <v>0</v>
      </c>
      <c r="G60" s="384" t="b">
        <v>0</v>
      </c>
      <c r="H60" s="384">
        <v>0.15</v>
      </c>
      <c r="I60" s="384">
        <v>12.05</v>
      </c>
      <c r="J60" s="384">
        <f>1.04*1.05</f>
        <v>1.0920000000000001</v>
      </c>
      <c r="L60" t="str">
        <f t="shared" si="1"/>
        <v>ms</v>
      </c>
      <c r="M60" s="380">
        <f>M67*$E$67+M67*(1-$D$67)*$F$67</f>
        <v>268.52</v>
      </c>
      <c r="N60" s="380">
        <f t="shared" ref="N60:Q60" si="18">N67*$E$67+N67*(1-$D$67)*$F$67</f>
        <v>303.8</v>
      </c>
      <c r="O60" s="380">
        <f t="shared" si="18"/>
        <v>336.14</v>
      </c>
      <c r="P60" s="380">
        <f t="shared" si="18"/>
        <v>375.34000000000003</v>
      </c>
      <c r="Q60" s="380">
        <f t="shared" si="18"/>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General!G46</f>
        <v>o</v>
      </c>
      <c r="B61" s="383" t="b">
        <v>1</v>
      </c>
      <c r="C61" s="383" t="b">
        <v>1</v>
      </c>
      <c r="D61" s="383">
        <v>0</v>
      </c>
      <c r="E61" s="383">
        <v>1</v>
      </c>
      <c r="F61" s="382">
        <f t="shared" si="0"/>
        <v>0</v>
      </c>
      <c r="G61" s="384" t="b">
        <v>1</v>
      </c>
      <c r="H61" s="384">
        <v>0.15</v>
      </c>
      <c r="I61" s="384">
        <v>12.85</v>
      </c>
      <c r="J61" s="384">
        <f>0.86*1.05</f>
        <v>0.90300000000000002</v>
      </c>
      <c r="L61" t="str">
        <f t="shared" si="1"/>
        <v>o</v>
      </c>
      <c r="M61" s="380">
        <f>0.85*M58</f>
        <v>245.65</v>
      </c>
      <c r="N61" s="380">
        <f>0.85*N58</f>
        <v>279.64999999999998</v>
      </c>
      <c r="O61" s="380">
        <f>0.85*O58</f>
        <v>299.2</v>
      </c>
      <c r="P61" s="380">
        <f>0.85*P58</f>
        <v>316.2</v>
      </c>
      <c r="Q61" s="380">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General!G47</f>
        <v>od</v>
      </c>
      <c r="B62" s="383" t="b">
        <v>1</v>
      </c>
      <c r="C62" s="383" t="b">
        <v>1</v>
      </c>
      <c r="D62" s="381">
        <f t="shared" ref="D62:J62" si="19">D61</f>
        <v>0</v>
      </c>
      <c r="E62" s="381">
        <f t="shared" si="19"/>
        <v>1</v>
      </c>
      <c r="F62" s="381">
        <f t="shared" si="19"/>
        <v>0</v>
      </c>
      <c r="G62" s="384" t="b">
        <v>1</v>
      </c>
      <c r="H62" s="381">
        <f t="shared" si="19"/>
        <v>0.15</v>
      </c>
      <c r="I62" s="381">
        <f t="shared" si="19"/>
        <v>12.85</v>
      </c>
      <c r="J62" s="381">
        <f t="shared" si="19"/>
        <v>0.90300000000000002</v>
      </c>
      <c r="L62" t="str">
        <f t="shared" si="1"/>
        <v>od</v>
      </c>
      <c r="M62" s="380">
        <f>M61</f>
        <v>245.65</v>
      </c>
      <c r="N62" s="380">
        <f t="shared" ref="N62:Q62" si="20">N61</f>
        <v>279.64999999999998</v>
      </c>
      <c r="O62" s="380">
        <f t="shared" si="20"/>
        <v>299.2</v>
      </c>
      <c r="P62" s="380">
        <f t="shared" si="20"/>
        <v>316.2</v>
      </c>
      <c r="Q62" s="380">
        <f t="shared" si="20"/>
        <v>368.9</v>
      </c>
      <c r="R62" s="380">
        <f t="shared" ref="R62:AA62" si="21">R61</f>
        <v>0</v>
      </c>
      <c r="S62" s="380">
        <f t="shared" ref="S62:V62" si="22">S61</f>
        <v>0</v>
      </c>
      <c r="T62" s="380">
        <f t="shared" si="22"/>
        <v>0</v>
      </c>
      <c r="U62" s="380">
        <f t="shared" si="22"/>
        <v>0</v>
      </c>
      <c r="V62" s="380">
        <f t="shared" si="22"/>
        <v>0</v>
      </c>
      <c r="W62" s="380">
        <f t="shared" si="21"/>
        <v>97.5</v>
      </c>
      <c r="X62" s="380">
        <f t="shared" ref="X62:Z62" si="23">X61</f>
        <v>120</v>
      </c>
      <c r="Y62" s="380">
        <f t="shared" si="21"/>
        <v>150</v>
      </c>
      <c r="Z62" s="380">
        <f t="shared" si="23"/>
        <v>180</v>
      </c>
      <c r="AA62" s="380">
        <f t="shared" si="21"/>
        <v>202.5</v>
      </c>
    </row>
    <row r="63" spans="1:27" x14ac:dyDescent="0.25">
      <c r="A63" s="341" t="str">
        <f>General!G48</f>
        <v>of</v>
      </c>
      <c r="B63" s="383" t="b">
        <v>1</v>
      </c>
      <c r="C63" s="383" t="b">
        <v>1</v>
      </c>
      <c r="D63" s="381">
        <f t="shared" ref="D63:J63" si="24">D61</f>
        <v>0</v>
      </c>
      <c r="E63" s="381">
        <f t="shared" si="24"/>
        <v>1</v>
      </c>
      <c r="F63" s="381">
        <f t="shared" si="24"/>
        <v>0</v>
      </c>
      <c r="G63" s="384" t="b">
        <v>1</v>
      </c>
      <c r="H63" s="381">
        <f t="shared" si="24"/>
        <v>0.15</v>
      </c>
      <c r="I63" s="381">
        <f t="shared" si="24"/>
        <v>12.85</v>
      </c>
      <c r="J63" s="381">
        <f t="shared" si="24"/>
        <v>0.90300000000000002</v>
      </c>
      <c r="L63" t="str">
        <f t="shared" si="1"/>
        <v>of</v>
      </c>
      <c r="M63" s="380">
        <f>M61</f>
        <v>245.65</v>
      </c>
      <c r="N63" s="380">
        <f t="shared" ref="N63:Q63" si="25">N61</f>
        <v>279.64999999999998</v>
      </c>
      <c r="O63" s="380">
        <f t="shared" si="25"/>
        <v>299.2</v>
      </c>
      <c r="P63" s="380">
        <f t="shared" si="25"/>
        <v>316.2</v>
      </c>
      <c r="Q63" s="380">
        <f t="shared" si="25"/>
        <v>368.9</v>
      </c>
      <c r="R63" s="380">
        <f t="shared" ref="R63:AA63" si="26">R61</f>
        <v>0</v>
      </c>
      <c r="S63" s="380">
        <f t="shared" ref="S63:V63" si="27">S61</f>
        <v>0</v>
      </c>
      <c r="T63" s="380">
        <f t="shared" si="27"/>
        <v>0</v>
      </c>
      <c r="U63" s="380">
        <f t="shared" si="27"/>
        <v>0</v>
      </c>
      <c r="V63" s="380">
        <f t="shared" si="27"/>
        <v>0</v>
      </c>
      <c r="W63" s="380">
        <f t="shared" si="26"/>
        <v>97.5</v>
      </c>
      <c r="X63" s="380">
        <f t="shared" ref="X63:Z63" si="28">X61</f>
        <v>120</v>
      </c>
      <c r="Y63" s="380">
        <f t="shared" si="26"/>
        <v>150</v>
      </c>
      <c r="Z63" s="380">
        <f t="shared" si="28"/>
        <v>180</v>
      </c>
      <c r="AA63" s="380">
        <f t="shared" si="26"/>
        <v>202.5</v>
      </c>
    </row>
    <row r="64" spans="1:27" x14ac:dyDescent="0.25">
      <c r="A64" s="341" t="str">
        <f>General!G49</f>
        <v>r</v>
      </c>
      <c r="B64" s="383" t="b">
        <v>1</v>
      </c>
      <c r="C64" s="383" t="b">
        <v>1</v>
      </c>
      <c r="D64" s="383">
        <v>0</v>
      </c>
      <c r="E64" s="383">
        <v>1</v>
      </c>
      <c r="F64" s="382">
        <f t="shared" si="0"/>
        <v>0</v>
      </c>
      <c r="G64" s="384" t="b">
        <v>1</v>
      </c>
      <c r="H64" s="379">
        <v>0.12</v>
      </c>
      <c r="I64" s="379">
        <v>21.95</v>
      </c>
      <c r="J64" s="379">
        <f>1.04*1.05</f>
        <v>1.0920000000000001</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General!G50</f>
        <v>rd</v>
      </c>
      <c r="B65" s="383" t="b">
        <v>1</v>
      </c>
      <c r="C65" s="383" t="b">
        <v>1</v>
      </c>
      <c r="D65" s="383">
        <v>0</v>
      </c>
      <c r="E65" s="383">
        <v>1</v>
      </c>
      <c r="F65" s="382">
        <f>1-E65</f>
        <v>0</v>
      </c>
      <c r="G65" s="384" t="b">
        <v>1</v>
      </c>
      <c r="H65" s="379">
        <v>0.12</v>
      </c>
      <c r="I65" s="379">
        <v>21.95</v>
      </c>
      <c r="J65" s="379">
        <f>1.04*1.05</f>
        <v>1.0920000000000001</v>
      </c>
      <c r="L65" t="str">
        <f t="shared" si="1"/>
        <v>rd</v>
      </c>
      <c r="M65" s="380">
        <f>M64</f>
        <v>529</v>
      </c>
      <c r="N65" s="380">
        <f t="shared" ref="N65:Q65" si="29">N64</f>
        <v>560</v>
      </c>
      <c r="O65" s="380">
        <f t="shared" si="29"/>
        <v>595</v>
      </c>
      <c r="P65" s="380">
        <f t="shared" si="29"/>
        <v>679</v>
      </c>
      <c r="Q65" s="380">
        <f t="shared" si="29"/>
        <v>843</v>
      </c>
      <c r="R65" s="380">
        <f t="shared" ref="R65:AA65" si="30">R$64</f>
        <v>0</v>
      </c>
      <c r="S65" s="380">
        <f t="shared" si="30"/>
        <v>0</v>
      </c>
      <c r="T65" s="380">
        <f t="shared" si="30"/>
        <v>0</v>
      </c>
      <c r="U65" s="380">
        <f t="shared" si="30"/>
        <v>0</v>
      </c>
      <c r="V65" s="380">
        <f t="shared" si="30"/>
        <v>0</v>
      </c>
      <c r="W65" s="380">
        <f t="shared" si="30"/>
        <v>97.5</v>
      </c>
      <c r="X65" s="380">
        <f t="shared" si="30"/>
        <v>120</v>
      </c>
      <c r="Y65" s="380">
        <f t="shared" si="30"/>
        <v>150</v>
      </c>
      <c r="Z65" s="380">
        <f t="shared" si="30"/>
        <v>180</v>
      </c>
      <c r="AA65" s="380">
        <f t="shared" si="30"/>
        <v>202.5</v>
      </c>
    </row>
    <row r="66" spans="1:27" x14ac:dyDescent="0.25">
      <c r="A66" s="341" t="str">
        <f>General!G51</f>
        <v>v</v>
      </c>
      <c r="B66" s="383" t="b">
        <v>1</v>
      </c>
      <c r="C66" s="383" t="b">
        <v>1</v>
      </c>
      <c r="D66" s="383">
        <v>0</v>
      </c>
      <c r="E66" s="383">
        <v>1</v>
      </c>
      <c r="F66" s="382">
        <f t="shared" si="0"/>
        <v>0</v>
      </c>
      <c r="G66" s="384" t="b">
        <v>1</v>
      </c>
      <c r="H66" s="379">
        <v>0.15</v>
      </c>
      <c r="I66" s="379">
        <v>15.85</v>
      </c>
      <c r="J66" s="379">
        <f>1.04*1.05</f>
        <v>1.0920000000000001</v>
      </c>
      <c r="L66" t="str">
        <f t="shared" si="1"/>
        <v>v</v>
      </c>
      <c r="M66" s="380">
        <f>M58</f>
        <v>289</v>
      </c>
      <c r="N66" s="380">
        <f>N58</f>
        <v>329</v>
      </c>
      <c r="O66" s="380">
        <f>O58</f>
        <v>352</v>
      </c>
      <c r="P66" s="380">
        <f>P58</f>
        <v>372</v>
      </c>
      <c r="Q66" s="380">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General!G52</f>
        <v>w</v>
      </c>
      <c r="B67" s="383" t="b">
        <v>1</v>
      </c>
      <c r="C67" s="383" t="b">
        <v>1</v>
      </c>
      <c r="D67" s="383">
        <v>0.1</v>
      </c>
      <c r="E67" s="383">
        <v>0.8</v>
      </c>
      <c r="F67" s="382">
        <f>1-E67</f>
        <v>0.19999999999999996</v>
      </c>
      <c r="G67" s="384" t="b">
        <v>1</v>
      </c>
      <c r="H67" s="379">
        <v>0.15</v>
      </c>
      <c r="I67" s="379">
        <v>12.05</v>
      </c>
      <c r="J67" s="379">
        <f>0.86*1.05</f>
        <v>0.90300000000000002</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General!G53</f>
        <v>wd</v>
      </c>
      <c r="B68" s="383" t="b">
        <v>1</v>
      </c>
      <c r="C68" s="383" t="b">
        <v>1</v>
      </c>
      <c r="D68" s="381">
        <f t="shared" ref="D68:J68" si="31">D67</f>
        <v>0.1</v>
      </c>
      <c r="E68" s="381">
        <f t="shared" si="31"/>
        <v>0.8</v>
      </c>
      <c r="F68" s="381">
        <f t="shared" si="31"/>
        <v>0.19999999999999996</v>
      </c>
      <c r="G68" s="384" t="b">
        <v>1</v>
      </c>
      <c r="H68" s="381">
        <f t="shared" si="31"/>
        <v>0.15</v>
      </c>
      <c r="I68" s="381">
        <f t="shared" si="31"/>
        <v>12.05</v>
      </c>
      <c r="J68" s="381">
        <f t="shared" si="31"/>
        <v>0.90300000000000002</v>
      </c>
      <c r="L68" t="str">
        <f t="shared" si="1"/>
        <v>wd</v>
      </c>
      <c r="M68" s="380">
        <f>M67</f>
        <v>274</v>
      </c>
      <c r="N68" s="380">
        <f t="shared" ref="N68:Q68" si="32">N67</f>
        <v>310</v>
      </c>
      <c r="O68" s="380">
        <f t="shared" si="32"/>
        <v>343</v>
      </c>
      <c r="P68" s="380">
        <f t="shared" si="32"/>
        <v>383</v>
      </c>
      <c r="Q68" s="380">
        <f t="shared" si="32"/>
        <v>419</v>
      </c>
      <c r="R68" s="380">
        <f t="shared" ref="R68:AA68" si="33">R67</f>
        <v>0</v>
      </c>
      <c r="S68" s="380">
        <f t="shared" ref="S68:V68" si="34">S67</f>
        <v>0</v>
      </c>
      <c r="T68" s="380">
        <f t="shared" si="34"/>
        <v>0</v>
      </c>
      <c r="U68" s="380">
        <f t="shared" si="34"/>
        <v>0</v>
      </c>
      <c r="V68" s="380">
        <f t="shared" si="34"/>
        <v>0</v>
      </c>
      <c r="W68" s="380">
        <f t="shared" si="33"/>
        <v>97.5</v>
      </c>
      <c r="X68" s="380">
        <f t="shared" ref="X68:Z68" si="35">X67</f>
        <v>120</v>
      </c>
      <c r="Y68" s="380">
        <f t="shared" si="33"/>
        <v>150</v>
      </c>
      <c r="Z68" s="380">
        <f t="shared" si="35"/>
        <v>180</v>
      </c>
      <c r="AA68" s="380">
        <f t="shared" si="33"/>
        <v>202.5</v>
      </c>
    </row>
    <row r="69" spans="1:27" x14ac:dyDescent="0.25">
      <c r="A69" s="341" t="str">
        <f>General!G54</f>
        <v>z</v>
      </c>
      <c r="B69" s="383" t="b">
        <v>1</v>
      </c>
      <c r="C69" s="383" t="b">
        <v>1</v>
      </c>
      <c r="D69" s="383">
        <v>0</v>
      </c>
      <c r="E69" s="383">
        <v>1</v>
      </c>
      <c r="F69" s="382">
        <f>1-E69</f>
        <v>0</v>
      </c>
      <c r="G69" s="384" t="b">
        <v>1</v>
      </c>
      <c r="H69" s="384">
        <v>0.12</v>
      </c>
      <c r="I69" s="384">
        <v>21.95</v>
      </c>
      <c r="J69" s="384">
        <f>1.04*1.05</f>
        <v>1.0920000000000001</v>
      </c>
      <c r="L69" t="str">
        <f t="shared" si="1"/>
        <v>z</v>
      </c>
      <c r="M69" s="380">
        <f>M64</f>
        <v>529</v>
      </c>
      <c r="N69" s="380">
        <f t="shared" ref="N69:Q69" si="36">N64</f>
        <v>560</v>
      </c>
      <c r="O69" s="380">
        <f t="shared" si="36"/>
        <v>595</v>
      </c>
      <c r="P69" s="380">
        <f t="shared" si="36"/>
        <v>679</v>
      </c>
      <c r="Q69" s="380">
        <f t="shared" si="36"/>
        <v>843</v>
      </c>
      <c r="R69" s="380">
        <f t="shared" ref="R69:AA70" si="37">R$64</f>
        <v>0</v>
      </c>
      <c r="S69" s="380">
        <f t="shared" si="37"/>
        <v>0</v>
      </c>
      <c r="T69" s="380">
        <f t="shared" si="37"/>
        <v>0</v>
      </c>
      <c r="U69" s="380">
        <f t="shared" si="37"/>
        <v>0</v>
      </c>
      <c r="V69" s="380">
        <f t="shared" si="37"/>
        <v>0</v>
      </c>
      <c r="W69" s="380">
        <f t="shared" si="37"/>
        <v>97.5</v>
      </c>
      <c r="X69" s="380">
        <f t="shared" si="37"/>
        <v>120</v>
      </c>
      <c r="Y69" s="380">
        <f t="shared" si="37"/>
        <v>150</v>
      </c>
      <c r="Z69" s="380">
        <f t="shared" si="37"/>
        <v>180</v>
      </c>
      <c r="AA69" s="380">
        <f t="shared" si="37"/>
        <v>202.5</v>
      </c>
    </row>
    <row r="70" spans="1:27" x14ac:dyDescent="0.25">
      <c r="A70" s="341" t="str">
        <f>General!G55</f>
        <v>zd</v>
      </c>
      <c r="B70" s="383" t="b">
        <v>1</v>
      </c>
      <c r="C70" s="383" t="b">
        <v>1</v>
      </c>
      <c r="D70" s="383">
        <v>0</v>
      </c>
      <c r="E70" s="383">
        <v>1</v>
      </c>
      <c r="F70" s="382">
        <f>1-E70</f>
        <v>0</v>
      </c>
      <c r="G70" s="384" t="b">
        <v>1</v>
      </c>
      <c r="H70" s="384">
        <v>0.12</v>
      </c>
      <c r="I70" s="384">
        <v>21.95</v>
      </c>
      <c r="J70" s="384">
        <f>1.04*1.05</f>
        <v>1.0920000000000001</v>
      </c>
      <c r="L70" t="str">
        <f t="shared" si="1"/>
        <v>zd</v>
      </c>
      <c r="M70" s="380">
        <f>M64</f>
        <v>529</v>
      </c>
      <c r="N70" s="380">
        <f t="shared" ref="N70:Q70" si="38">N64</f>
        <v>560</v>
      </c>
      <c r="O70" s="380">
        <f t="shared" si="38"/>
        <v>595</v>
      </c>
      <c r="P70" s="380">
        <f t="shared" si="38"/>
        <v>679</v>
      </c>
      <c r="Q70" s="380">
        <f t="shared" si="38"/>
        <v>843</v>
      </c>
      <c r="R70" s="380">
        <f t="shared" si="37"/>
        <v>0</v>
      </c>
      <c r="S70" s="380">
        <f t="shared" si="37"/>
        <v>0</v>
      </c>
      <c r="T70" s="380">
        <f t="shared" si="37"/>
        <v>0</v>
      </c>
      <c r="U70" s="380">
        <f t="shared" si="37"/>
        <v>0</v>
      </c>
      <c r="V70" s="380">
        <f t="shared" si="37"/>
        <v>0</v>
      </c>
      <c r="W70" s="380">
        <f t="shared" si="37"/>
        <v>97.5</v>
      </c>
      <c r="X70" s="380">
        <f t="shared" si="37"/>
        <v>120</v>
      </c>
      <c r="Y70" s="380">
        <f t="shared" si="37"/>
        <v>150</v>
      </c>
      <c r="Z70" s="380">
        <f t="shared" si="37"/>
        <v>180</v>
      </c>
      <c r="AA70" s="380">
        <f t="shared" si="37"/>
        <v>202.5</v>
      </c>
    </row>
    <row r="71" spans="1:27" x14ac:dyDescent="0.25">
      <c r="L71"/>
      <c r="M71" t="s">
        <v>3273</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2317</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2223</v>
      </c>
      <c r="B9" s="42">
        <v>0</v>
      </c>
    </row>
    <row r="10" spans="1:2" x14ac:dyDescent="0.25">
      <c r="A10" t="s">
        <v>2224</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3052</v>
      </c>
    </row>
    <row r="19" spans="1:2" ht="30" x14ac:dyDescent="0.25">
      <c r="A19" s="5" t="s">
        <v>3051</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2579</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2580</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8">
        <v>0</v>
      </c>
      <c r="D7" s="13"/>
      <c r="E7" s="18"/>
      <c r="F7" s="14"/>
      <c r="G7" s="399"/>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2581</v>
      </c>
      <c r="K9" s="18"/>
      <c r="L9" s="21" t="s">
        <v>2581</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2582</v>
      </c>
      <c r="K10" s="22"/>
      <c r="L10" s="21" t="s">
        <v>2583</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400" t="b">
        <v>0</v>
      </c>
      <c r="K11" s="25"/>
      <c r="L11" s="424">
        <v>0.5</v>
      </c>
      <c r="M11" s="401"/>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2707</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2708</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8">
        <v>0</v>
      </c>
      <c r="D21" s="13"/>
      <c r="E21" s="18"/>
      <c r="F21" s="14"/>
      <c r="G21" s="399"/>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2710</v>
      </c>
      <c r="K22" s="21"/>
      <c r="L22" s="21" t="s">
        <v>2710</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2711</v>
      </c>
      <c r="K23" s="18"/>
      <c r="L23" s="18" t="s">
        <v>2712</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2709</v>
      </c>
      <c r="K24" s="22"/>
      <c r="L24" s="18" t="s">
        <v>2713</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4">
        <v>0.5</v>
      </c>
      <c r="K25" s="25"/>
      <c r="L25" s="424">
        <v>0.5</v>
      </c>
      <c r="M25" s="401"/>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3307</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3304</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TRANSPOSE(General!G37:G55)</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3239</v>
      </c>
      <c r="H54" s="28"/>
      <c r="I54" s="41" t="s">
        <v>3238</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3240</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3241</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3242</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3243</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TRANSPOSE(General!G37:G55)</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2333</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2334</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2335</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2327</v>
      </c>
      <c r="K88" t="s">
        <v>2329</v>
      </c>
      <c r="L88" t="s">
        <v>2328</v>
      </c>
      <c r="AC88" s="27"/>
      <c r="AD88" s="27"/>
      <c r="AE88" s="27"/>
      <c r="AF88" s="17"/>
      <c r="AG88" s="9"/>
      <c r="AH88" s="9"/>
      <c r="AI88" s="9"/>
    </row>
    <row r="89" spans="1:35" ht="12" customHeight="1" x14ac:dyDescent="0.25">
      <c r="A89" s="7"/>
      <c r="B89" s="8"/>
      <c r="C89" s="18"/>
      <c r="D89" s="18"/>
      <c r="E89" s="18"/>
      <c r="F89" s="24"/>
      <c r="I89" s="346" t="str">
        <f>General!G37</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General!G38</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General!G39</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General!G40</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General!G41</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General!G42</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General!G43</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General!G44</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General!G45</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General!G46</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General!G47</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General!G48</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General!G49</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General!G50</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General!G51</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General!G52</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General!G53</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General!G54</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General!G55</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1" width="12.5703125" style="1" customWidth="1"/>
    <col min="42"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21" t="s">
        <v>3275</v>
      </c>
      <c r="K11" s="622"/>
      <c r="L11" s="622"/>
      <c r="M11" s="622"/>
      <c r="N11" s="622"/>
      <c r="O11" s="622"/>
      <c r="P11" s="622"/>
      <c r="Q11" s="622"/>
      <c r="R11" s="622"/>
      <c r="S11" s="622"/>
      <c r="T11" s="622"/>
      <c r="U11" s="623"/>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24" t="s">
        <v>3274</v>
      </c>
      <c r="K12" s="625"/>
      <c r="L12" s="625"/>
      <c r="M12" s="625"/>
      <c r="N12" s="625"/>
      <c r="O12" s="625"/>
      <c r="P12" s="625"/>
      <c r="Q12" s="625"/>
      <c r="R12" s="625"/>
      <c r="S12" s="625"/>
      <c r="T12" s="625"/>
      <c r="U12" s="626"/>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25">
      <c r="A21" s="7"/>
      <c r="B21" s="8"/>
      <c r="C21" s="13"/>
      <c r="D21" s="13"/>
      <c r="E21" s="13" t="s">
        <v>87</v>
      </c>
      <c r="F21" s="14"/>
      <c r="G21" s="15" t="s">
        <v>3054</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25">
      <c r="A22" s="7"/>
      <c r="B22" s="8"/>
      <c r="C22" s="13"/>
      <c r="D22" s="13"/>
      <c r="E22" s="18"/>
      <c r="F22" s="14"/>
      <c r="G22" s="14" t="s">
        <v>3055</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25">
      <c r="A24" s="7"/>
      <c r="B24" s="8"/>
      <c r="C24" s="398"/>
      <c r="D24" s="13"/>
      <c r="E24" s="18"/>
      <c r="F24" s="14"/>
      <c r="G24" s="492"/>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0999999999999996" customHeight="1" outlineLevel="1" x14ac:dyDescent="0.25">
      <c r="A30" s="7"/>
      <c r="B30" s="8"/>
      <c r="C30" s="18"/>
      <c r="D30" s="18"/>
      <c r="E30" s="18"/>
      <c r="F30" s="24"/>
      <c r="G30" s="25"/>
      <c r="H30" s="25"/>
      <c r="I30" s="493"/>
      <c r="J30" s="494"/>
      <c r="K30" s="494"/>
      <c r="L30" s="494"/>
      <c r="M30" s="494"/>
      <c r="N30" s="494"/>
      <c r="O30" s="494"/>
      <c r="P30" s="26"/>
      <c r="Q30" s="26"/>
      <c r="R30" s="26"/>
      <c r="S30" s="26"/>
      <c r="T30" s="26"/>
      <c r="U30" s="26"/>
      <c r="V30" s="27"/>
      <c r="W30" s="17"/>
      <c r="X30" s="9"/>
      <c r="Y30" s="9"/>
      <c r="Z30" s="9"/>
    </row>
    <row r="31" spans="1:80" customFormat="1" ht="12" customHeight="1" outlineLevel="1" x14ac:dyDescent="0.25">
      <c r="A31" s="7"/>
      <c r="B31" s="8"/>
      <c r="C31" s="18"/>
      <c r="D31" s="18"/>
      <c r="E31" s="18"/>
      <c r="F31" s="24"/>
      <c r="G31" s="495"/>
      <c r="H31" s="495"/>
      <c r="I31" s="495"/>
      <c r="J31" s="495"/>
      <c r="K31" s="495"/>
      <c r="Q31" s="30"/>
      <c r="R31" s="30"/>
      <c r="S31" s="30"/>
      <c r="T31" s="30"/>
      <c r="U31" s="30"/>
      <c r="V31" s="27"/>
      <c r="W31" s="17"/>
      <c r="X31" s="9"/>
      <c r="Y31" s="9"/>
      <c r="Z31" s="9"/>
    </row>
    <row r="32" spans="1:80" customFormat="1" ht="12" customHeight="1" outlineLevel="1" x14ac:dyDescent="0.25">
      <c r="A32" s="7"/>
      <c r="B32" s="8"/>
      <c r="C32" s="18"/>
      <c r="D32" s="18"/>
      <c r="E32" s="18"/>
      <c r="F32" s="24"/>
      <c r="G32" s="496"/>
      <c r="H32" s="496"/>
      <c r="I32" s="496" t="s">
        <v>3056</v>
      </c>
      <c r="J32" s="497">
        <v>1</v>
      </c>
      <c r="K32" s="496"/>
      <c r="Q32" s="30"/>
      <c r="R32" s="30"/>
      <c r="S32" s="30"/>
      <c r="T32" s="30"/>
      <c r="U32" s="30"/>
      <c r="V32" s="27"/>
      <c r="W32" s="17"/>
      <c r="X32" s="9"/>
      <c r="Y32" s="9"/>
      <c r="Z32" s="9"/>
    </row>
    <row r="33" spans="1:80" customFormat="1" ht="12" customHeight="1" outlineLevel="1" x14ac:dyDescent="0.25">
      <c r="A33" s="7"/>
      <c r="B33" s="8"/>
      <c r="C33" s="18"/>
      <c r="D33" s="18"/>
      <c r="E33" s="18"/>
      <c r="F33" s="24"/>
      <c r="G33" s="496"/>
      <c r="H33" s="496"/>
      <c r="I33" s="498" t="s">
        <v>3057</v>
      </c>
      <c r="J33" s="499">
        <v>0.05</v>
      </c>
      <c r="K33" s="496"/>
      <c r="L33" s="496"/>
      <c r="O33" s="496"/>
      <c r="P33" s="30"/>
      <c r="Q33" s="30"/>
      <c r="R33" s="30"/>
      <c r="S33" s="30"/>
      <c r="T33" s="30"/>
      <c r="U33" s="30"/>
      <c r="V33" s="27"/>
      <c r="W33" s="17"/>
      <c r="X33" s="9"/>
      <c r="Y33" s="9"/>
      <c r="Z33" s="9"/>
    </row>
    <row r="34" spans="1:80" customFormat="1" ht="12" customHeight="1" outlineLevel="1" x14ac:dyDescent="0.25">
      <c r="A34" s="7"/>
      <c r="B34" s="8"/>
      <c r="C34" s="18"/>
      <c r="D34" s="18"/>
      <c r="E34" s="18"/>
      <c r="F34" s="24"/>
      <c r="G34" s="500"/>
      <c r="H34" s="500"/>
      <c r="I34" s="498"/>
      <c r="J34" s="496"/>
      <c r="K34" s="496"/>
      <c r="L34" s="496"/>
      <c r="O34" s="496"/>
      <c r="P34" s="30"/>
      <c r="Q34" s="30"/>
      <c r="R34" s="30"/>
      <c r="S34" s="30"/>
      <c r="T34" s="30"/>
      <c r="U34" s="30"/>
      <c r="V34" s="27"/>
      <c r="W34" s="17"/>
      <c r="X34" s="9"/>
      <c r="Y34" s="9"/>
      <c r="Z34" s="9"/>
    </row>
    <row r="35" spans="1:80" customFormat="1" ht="12" customHeight="1" outlineLevel="1" x14ac:dyDescent="0.25">
      <c r="A35" s="7"/>
      <c r="B35" s="8"/>
      <c r="C35" s="18"/>
      <c r="D35" s="18"/>
      <c r="E35" s="18"/>
      <c r="F35" s="24"/>
      <c r="G35" s="500"/>
      <c r="H35" s="500"/>
      <c r="I35" s="28" t="s">
        <v>3058</v>
      </c>
      <c r="J35" s="28"/>
      <c r="K35" s="14" t="s">
        <v>3059</v>
      </c>
      <c r="L35" s="501"/>
      <c r="M35" s="502">
        <v>0.5</v>
      </c>
      <c r="O35" s="496"/>
      <c r="P35" s="30"/>
      <c r="Q35" s="30"/>
      <c r="R35" s="30"/>
      <c r="S35" s="30"/>
      <c r="T35" s="30"/>
      <c r="U35" s="30"/>
      <c r="V35" s="27"/>
      <c r="W35" s="17"/>
      <c r="X35" s="9"/>
      <c r="Y35" s="9"/>
      <c r="Z35" s="9"/>
    </row>
    <row r="36" spans="1:80" customFormat="1" ht="12" customHeight="1" outlineLevel="1" x14ac:dyDescent="0.25">
      <c r="A36" s="7"/>
      <c r="B36" s="8"/>
      <c r="C36" s="18"/>
      <c r="D36" s="18"/>
      <c r="E36" s="18"/>
      <c r="F36" s="24"/>
      <c r="G36" s="500"/>
      <c r="H36" s="500"/>
      <c r="I36" s="503" t="s">
        <v>3060</v>
      </c>
      <c r="J36" s="504"/>
      <c r="K36" s="505"/>
      <c r="L36" s="505"/>
      <c r="M36" s="506"/>
      <c r="O36" s="496"/>
      <c r="P36" s="30"/>
      <c r="Q36" s="30"/>
      <c r="R36" s="30"/>
      <c r="S36" s="30"/>
      <c r="T36" s="30"/>
      <c r="U36" s="30"/>
      <c r="V36" s="27"/>
      <c r="W36" s="17"/>
      <c r="X36" s="9"/>
      <c r="Y36" s="9"/>
      <c r="Z36" s="9"/>
    </row>
    <row r="37" spans="1:80" customFormat="1" ht="12" customHeight="1" outlineLevel="1" x14ac:dyDescent="0.25">
      <c r="A37" s="7"/>
      <c r="B37" s="8"/>
      <c r="C37" s="18"/>
      <c r="D37" s="18"/>
      <c r="E37" s="18"/>
      <c r="F37" s="24"/>
      <c r="G37" s="28"/>
      <c r="H37" s="28"/>
      <c r="I37" s="507"/>
      <c r="J37" s="496"/>
      <c r="K37" s="496"/>
      <c r="L37" s="496"/>
      <c r="O37" s="496"/>
      <c r="P37" s="30"/>
      <c r="Q37" s="30"/>
      <c r="R37" s="30"/>
      <c r="S37" s="30"/>
      <c r="T37" s="30"/>
      <c r="U37" s="30"/>
      <c r="V37" s="27"/>
      <c r="W37" s="17"/>
      <c r="X37" s="9"/>
      <c r="Y37" s="9"/>
      <c r="Z37" s="9"/>
    </row>
    <row r="38" spans="1:80"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25">
      <c r="A44" s="7"/>
      <c r="B44" s="8"/>
      <c r="C44" s="13"/>
      <c r="D44" s="13"/>
      <c r="E44" s="13" t="s">
        <v>87</v>
      </c>
      <c r="F44" s="14"/>
      <c r="G44" s="15" t="s">
        <v>3061</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25">
      <c r="A45" s="7"/>
      <c r="B45" s="8"/>
      <c r="C45" s="13"/>
      <c r="D45" s="13"/>
      <c r="E45" s="18"/>
      <c r="F45" s="14"/>
      <c r="G45" s="509"/>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25">
      <c r="A47" s="7"/>
      <c r="B47" s="8"/>
      <c r="C47" s="398">
        <v>0</v>
      </c>
      <c r="D47" s="13"/>
      <c r="E47" s="18"/>
      <c r="F47" s="14"/>
      <c r="G47" s="492"/>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25">
      <c r="A52" s="7"/>
      <c r="B52" s="8"/>
      <c r="C52" s="18"/>
      <c r="D52" s="18"/>
      <c r="E52" s="18"/>
      <c r="F52" s="24"/>
      <c r="G52" s="28"/>
      <c r="H52" s="510"/>
      <c r="I52" s="510"/>
      <c r="J52" s="510"/>
      <c r="K52" s="24"/>
      <c r="L52" s="24"/>
      <c r="M52" s="24"/>
      <c r="N52" s="510"/>
      <c r="O52" s="510"/>
      <c r="P52" s="510"/>
      <c r="Q52" s="510"/>
      <c r="R52" s="510"/>
      <c r="S52" s="510"/>
      <c r="T52" s="510"/>
      <c r="U52" s="510"/>
      <c r="V52" s="51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25">
      <c r="A53" s="7"/>
      <c r="B53" s="8"/>
      <c r="C53" s="18"/>
      <c r="D53" s="18"/>
      <c r="E53" s="18"/>
      <c r="F53" s="24"/>
      <c r="G53" s="345" t="s">
        <v>3062</v>
      </c>
      <c r="H53" s="511"/>
      <c r="I53" s="511"/>
      <c r="J53" s="511"/>
      <c r="K53" s="24"/>
      <c r="L53" s="24"/>
      <c r="M53" s="24"/>
      <c r="N53" s="511"/>
      <c r="O53" s="511"/>
      <c r="P53" s="511"/>
      <c r="Q53" s="511"/>
      <c r="R53" s="511"/>
      <c r="S53" s="511"/>
      <c r="T53" s="511"/>
      <c r="U53" s="511"/>
      <c r="V53" s="512"/>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30" outlineLevel="1" x14ac:dyDescent="0.25">
      <c r="A54" s="7"/>
      <c r="B54" s="8"/>
      <c r="C54" s="18"/>
      <c r="D54" s="18"/>
      <c r="E54" s="18"/>
      <c r="F54" s="24"/>
      <c r="G54" s="34"/>
      <c r="H54" s="510" t="s">
        <v>97</v>
      </c>
      <c r="I54" s="513" t="s">
        <v>3063</v>
      </c>
      <c r="J54" s="513" t="s">
        <v>3064</v>
      </c>
      <c r="K54" s="513" t="s">
        <v>3065</v>
      </c>
      <c r="L54" s="513" t="s">
        <v>3066</v>
      </c>
      <c r="M54" s="24"/>
      <c r="N54" s="511"/>
      <c r="O54" s="511"/>
      <c r="P54" s="511"/>
      <c r="Q54" s="511"/>
      <c r="R54" s="511"/>
      <c r="S54" s="511"/>
      <c r="T54" s="511"/>
      <c r="U54" s="511"/>
      <c r="V54" s="512"/>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25">
      <c r="A55" s="7"/>
      <c r="B55" s="8"/>
      <c r="C55" s="18"/>
      <c r="D55" s="18"/>
      <c r="E55" s="18"/>
      <c r="F55" s="24"/>
      <c r="G55" s="34"/>
      <c r="H55" s="514" t="str">
        <f>General!G37</f>
        <v>b</v>
      </c>
      <c r="I55" s="515">
        <v>0.9</v>
      </c>
      <c r="J55" s="516">
        <v>1.1000000000000001</v>
      </c>
      <c r="K55" s="515">
        <v>0.7</v>
      </c>
      <c r="L55" s="515">
        <v>0.95</v>
      </c>
      <c r="M55" s="24"/>
      <c r="N55" s="511"/>
      <c r="O55" s="511"/>
      <c r="P55" s="511"/>
      <c r="Q55" s="511"/>
      <c r="R55" s="511"/>
      <c r="S55" s="511"/>
      <c r="T55" s="511"/>
      <c r="U55" s="511"/>
      <c r="V55" s="512"/>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25">
      <c r="A56" s="7"/>
      <c r="B56" s="8"/>
      <c r="C56" s="18"/>
      <c r="D56" s="18"/>
      <c r="E56" s="18"/>
      <c r="F56" s="24"/>
      <c r="G56" s="34"/>
      <c r="H56" s="514" t="str">
        <f>General!G38</f>
        <v>bd</v>
      </c>
      <c r="I56" s="515">
        <v>0.9</v>
      </c>
      <c r="J56" s="516">
        <v>1.1000000000000001</v>
      </c>
      <c r="K56" s="515">
        <v>0.7</v>
      </c>
      <c r="L56" s="515">
        <v>0.95</v>
      </c>
      <c r="M56" s="24"/>
      <c r="N56" s="511"/>
      <c r="O56" s="511"/>
      <c r="P56" s="511"/>
      <c r="Q56" s="511"/>
      <c r="R56" s="511"/>
      <c r="S56" s="511"/>
      <c r="T56" s="511"/>
      <c r="U56" s="511"/>
      <c r="V56" s="512"/>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25">
      <c r="A57" s="7"/>
      <c r="B57" s="8"/>
      <c r="C57" s="18"/>
      <c r="D57" s="18"/>
      <c r="E57" s="18"/>
      <c r="F57" s="24"/>
      <c r="G57" s="34"/>
      <c r="H57" s="514" t="str">
        <f>General!G39</f>
        <v>f</v>
      </c>
      <c r="I57" s="515">
        <v>0.9</v>
      </c>
      <c r="J57" s="516">
        <v>1.1000000000000001</v>
      </c>
      <c r="K57" s="515">
        <v>0.7</v>
      </c>
      <c r="L57" s="515">
        <v>0.95</v>
      </c>
      <c r="M57" s="24"/>
      <c r="N57" s="511"/>
      <c r="O57" s="511"/>
      <c r="P57" s="511"/>
      <c r="Q57" s="511"/>
      <c r="R57" s="511"/>
      <c r="S57" s="511"/>
      <c r="T57" s="511"/>
      <c r="U57" s="511"/>
      <c r="V57" s="512"/>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25">
      <c r="A58" s="7"/>
      <c r="B58" s="8"/>
      <c r="C58" s="18"/>
      <c r="D58" s="18"/>
      <c r="E58" s="18"/>
      <c r="F58" s="24"/>
      <c r="G58" s="34"/>
      <c r="H58" s="514" t="str">
        <f>General!G40</f>
        <v>h</v>
      </c>
      <c r="I58" s="515">
        <v>0.9</v>
      </c>
      <c r="J58" s="516">
        <v>1.1000000000000001</v>
      </c>
      <c r="K58" s="515">
        <v>0.7</v>
      </c>
      <c r="L58" s="515">
        <v>0.95</v>
      </c>
      <c r="M58" s="24"/>
      <c r="N58" s="511"/>
      <c r="O58" s="511"/>
      <c r="P58" s="511"/>
      <c r="Q58" s="511"/>
      <c r="R58" s="511"/>
      <c r="S58" s="511"/>
      <c r="T58" s="511"/>
      <c r="U58" s="511"/>
      <c r="V58" s="512"/>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25">
      <c r="A59" s="7"/>
      <c r="B59" s="8"/>
      <c r="C59" s="18"/>
      <c r="D59" s="18"/>
      <c r="E59" s="18"/>
      <c r="F59" s="24"/>
      <c r="G59" s="34"/>
      <c r="H59" s="514" t="str">
        <f>General!G41</f>
        <v>i</v>
      </c>
      <c r="I59" s="515">
        <v>0.9</v>
      </c>
      <c r="J59" s="516">
        <v>1.1000000000000001</v>
      </c>
      <c r="K59" s="515">
        <v>0.7</v>
      </c>
      <c r="L59" s="515">
        <v>0.95</v>
      </c>
      <c r="M59" s="24"/>
      <c r="N59" s="511"/>
      <c r="O59" s="511"/>
      <c r="P59" s="511"/>
      <c r="Q59" s="511"/>
      <c r="R59" s="511"/>
      <c r="S59" s="511"/>
      <c r="T59" s="511"/>
      <c r="U59" s="511"/>
      <c r="V59" s="512"/>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25">
      <c r="A60" s="7"/>
      <c r="B60" s="8"/>
      <c r="C60" s="18"/>
      <c r="D60" s="18"/>
      <c r="E60" s="18"/>
      <c r="F60" s="24"/>
      <c r="G60" s="34"/>
      <c r="H60" s="514" t="str">
        <f>General!G42</f>
        <v>k</v>
      </c>
      <c r="I60" s="515">
        <v>0.9</v>
      </c>
      <c r="J60" s="516">
        <v>1.1000000000000001</v>
      </c>
      <c r="K60" s="515">
        <v>0.7</v>
      </c>
      <c r="L60" s="515">
        <v>0.95</v>
      </c>
      <c r="M60" s="24"/>
      <c r="N60" s="511"/>
      <c r="O60" s="511"/>
      <c r="P60" s="511"/>
      <c r="Q60" s="511"/>
      <c r="R60" s="511"/>
      <c r="S60" s="511"/>
      <c r="T60" s="511"/>
      <c r="U60" s="511"/>
      <c r="V60" s="512"/>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25">
      <c r="A61" s="7"/>
      <c r="B61" s="8"/>
      <c r="C61" s="18"/>
      <c r="D61" s="18"/>
      <c r="E61" s="18"/>
      <c r="F61" s="24"/>
      <c r="G61" s="34"/>
      <c r="H61" s="514" t="str">
        <f>General!G43</f>
        <v>l</v>
      </c>
      <c r="I61" s="515">
        <v>0.9</v>
      </c>
      <c r="J61" s="516">
        <v>1.1000000000000001</v>
      </c>
      <c r="K61" s="515">
        <v>0.7</v>
      </c>
      <c r="L61" s="515">
        <v>0.95</v>
      </c>
      <c r="M61" s="24"/>
      <c r="N61" s="511"/>
      <c r="O61" s="511"/>
      <c r="P61" s="511"/>
      <c r="Q61" s="511"/>
      <c r="R61" s="511"/>
      <c r="S61" s="511"/>
      <c r="T61" s="511"/>
      <c r="U61" s="511"/>
      <c r="V61" s="512"/>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25">
      <c r="A62" s="7"/>
      <c r="B62" s="8"/>
      <c r="C62" s="18"/>
      <c r="D62" s="18"/>
      <c r="E62" s="18"/>
      <c r="F62" s="24"/>
      <c r="G62" s="34"/>
      <c r="H62" s="514" t="str">
        <f>General!G44</f>
        <v>lf</v>
      </c>
      <c r="I62" s="515">
        <v>0.9</v>
      </c>
      <c r="J62" s="516">
        <v>1.1000000000000001</v>
      </c>
      <c r="K62" s="515">
        <v>0.7</v>
      </c>
      <c r="L62" s="515">
        <v>0.95</v>
      </c>
      <c r="M62" s="24"/>
      <c r="N62" s="511"/>
      <c r="O62" s="511"/>
      <c r="P62" s="511"/>
      <c r="Q62" s="511"/>
      <c r="R62" s="511"/>
      <c r="S62" s="511"/>
      <c r="T62" s="511"/>
      <c r="U62" s="511"/>
      <c r="V62" s="512"/>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25">
      <c r="A63" s="7"/>
      <c r="B63" s="8"/>
      <c r="C63" s="18"/>
      <c r="D63" s="18"/>
      <c r="E63" s="18"/>
      <c r="F63" s="24"/>
      <c r="G63" s="34"/>
      <c r="H63" s="514" t="str">
        <f>General!G45</f>
        <v>ms</v>
      </c>
      <c r="I63" s="515">
        <v>0.9</v>
      </c>
      <c r="J63" s="516">
        <v>1.1000000000000001</v>
      </c>
      <c r="K63" s="515">
        <v>0.7</v>
      </c>
      <c r="L63" s="515">
        <v>0.95</v>
      </c>
      <c r="M63" s="24"/>
      <c r="N63" s="511"/>
      <c r="O63" s="511"/>
      <c r="P63" s="511"/>
      <c r="Q63" s="511"/>
      <c r="R63" s="511"/>
      <c r="S63" s="511"/>
      <c r="T63" s="511"/>
      <c r="U63" s="511"/>
      <c r="V63" s="512"/>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25">
      <c r="A64" s="7"/>
      <c r="B64" s="8"/>
      <c r="C64" s="18"/>
      <c r="D64" s="18"/>
      <c r="E64" s="18"/>
      <c r="F64" s="24"/>
      <c r="G64" s="34"/>
      <c r="H64" s="514" t="str">
        <f>General!G46</f>
        <v>o</v>
      </c>
      <c r="I64" s="515">
        <v>0.9</v>
      </c>
      <c r="J64" s="516">
        <v>1.1000000000000001</v>
      </c>
      <c r="K64" s="515">
        <v>0.7</v>
      </c>
      <c r="L64" s="515">
        <v>0.95</v>
      </c>
      <c r="M64" s="24"/>
      <c r="N64" s="511"/>
      <c r="O64" s="511"/>
      <c r="P64" s="511"/>
      <c r="Q64" s="511"/>
      <c r="R64" s="511"/>
      <c r="S64" s="511"/>
      <c r="T64" s="511"/>
      <c r="U64" s="511"/>
      <c r="V64" s="512"/>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25">
      <c r="A65" s="7"/>
      <c r="B65" s="8"/>
      <c r="C65" s="18"/>
      <c r="D65" s="18"/>
      <c r="E65" s="18"/>
      <c r="F65" s="24"/>
      <c r="G65" s="34"/>
      <c r="H65" s="514" t="str">
        <f>General!G47</f>
        <v>od</v>
      </c>
      <c r="I65" s="515">
        <v>0.9</v>
      </c>
      <c r="J65" s="516">
        <v>1.1000000000000001</v>
      </c>
      <c r="K65" s="515">
        <v>0.7</v>
      </c>
      <c r="L65" s="515">
        <v>0.95</v>
      </c>
      <c r="M65" s="24"/>
      <c r="N65" s="511"/>
      <c r="O65" s="511"/>
      <c r="P65" s="511"/>
      <c r="Q65" s="511"/>
      <c r="R65" s="511"/>
      <c r="S65" s="511"/>
      <c r="T65" s="511"/>
      <c r="U65" s="511"/>
      <c r="V65" s="512"/>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25">
      <c r="A66" s="7"/>
      <c r="B66" s="8"/>
      <c r="C66" s="18"/>
      <c r="D66" s="18"/>
      <c r="E66" s="18"/>
      <c r="F66" s="24"/>
      <c r="G66" s="34"/>
      <c r="H66" s="514" t="str">
        <f>General!G48</f>
        <v>of</v>
      </c>
      <c r="I66" s="515">
        <v>0.9</v>
      </c>
      <c r="J66" s="516">
        <v>1.1000000000000001</v>
      </c>
      <c r="K66" s="515">
        <v>0.7</v>
      </c>
      <c r="L66" s="515">
        <v>0.95</v>
      </c>
      <c r="M66" s="24"/>
      <c r="N66" s="511"/>
      <c r="O66" s="511"/>
      <c r="P66" s="511"/>
      <c r="Q66" s="511"/>
      <c r="R66" s="511"/>
      <c r="S66" s="511"/>
      <c r="T66" s="511"/>
      <c r="U66" s="511"/>
      <c r="V66" s="512"/>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25">
      <c r="A67" s="7"/>
      <c r="B67" s="8"/>
      <c r="C67" s="18"/>
      <c r="D67" s="18"/>
      <c r="E67" s="18"/>
      <c r="F67" s="24"/>
      <c r="G67" s="34"/>
      <c r="H67" s="514" t="str">
        <f>General!G49</f>
        <v>r</v>
      </c>
      <c r="I67" s="515">
        <v>0.9</v>
      </c>
      <c r="J67" s="516">
        <v>1.1000000000000001</v>
      </c>
      <c r="K67" s="515">
        <v>0.7</v>
      </c>
      <c r="L67" s="515">
        <v>0.95</v>
      </c>
      <c r="M67" s="24"/>
      <c r="N67" s="511"/>
      <c r="O67" s="511"/>
      <c r="P67" s="511"/>
      <c r="Q67" s="511"/>
      <c r="R67" s="511"/>
      <c r="S67" s="511"/>
      <c r="T67" s="511"/>
      <c r="U67" s="511"/>
      <c r="V67" s="512"/>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25">
      <c r="A68" s="7"/>
      <c r="B68" s="8"/>
      <c r="C68" s="18"/>
      <c r="D68" s="18"/>
      <c r="E68" s="18"/>
      <c r="F68" s="24"/>
      <c r="G68" s="34"/>
      <c r="H68" s="514" t="str">
        <f>General!G50</f>
        <v>rd</v>
      </c>
      <c r="I68" s="515">
        <v>0.9</v>
      </c>
      <c r="J68" s="516">
        <v>1.1000000000000001</v>
      </c>
      <c r="K68" s="515">
        <v>0.7</v>
      </c>
      <c r="L68" s="515">
        <v>0.95</v>
      </c>
      <c r="M68" s="24"/>
      <c r="N68" s="511"/>
      <c r="O68" s="511"/>
      <c r="P68" s="511"/>
      <c r="Q68" s="511"/>
      <c r="R68" s="511"/>
      <c r="S68" s="511"/>
      <c r="T68" s="511"/>
      <c r="U68" s="511"/>
      <c r="V68" s="512"/>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25">
      <c r="A69" s="7"/>
      <c r="B69" s="8"/>
      <c r="C69" s="18"/>
      <c r="D69" s="18"/>
      <c r="E69" s="18"/>
      <c r="F69" s="24"/>
      <c r="G69" s="34"/>
      <c r="H69" s="514" t="str">
        <f>General!G51</f>
        <v>v</v>
      </c>
      <c r="I69" s="515">
        <v>0.9</v>
      </c>
      <c r="J69" s="516">
        <v>1.1000000000000001</v>
      </c>
      <c r="K69" s="515">
        <v>0.7</v>
      </c>
      <c r="L69" s="515">
        <v>0.95</v>
      </c>
      <c r="M69" s="24"/>
      <c r="N69" s="511"/>
      <c r="O69" s="511"/>
      <c r="P69" s="511"/>
      <c r="Q69" s="511"/>
      <c r="R69" s="511"/>
      <c r="S69" s="511"/>
      <c r="T69" s="511"/>
      <c r="U69" s="511"/>
      <c r="V69" s="512"/>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25">
      <c r="A70" s="7"/>
      <c r="B70" s="8"/>
      <c r="C70" s="18"/>
      <c r="D70" s="18"/>
      <c r="E70" s="18"/>
      <c r="F70" s="24"/>
      <c r="G70" s="34"/>
      <c r="H70" s="514" t="str">
        <f>General!G52</f>
        <v>w</v>
      </c>
      <c r="I70" s="515">
        <v>0.9</v>
      </c>
      <c r="J70" s="516">
        <v>1.1000000000000001</v>
      </c>
      <c r="K70" s="515">
        <v>0.7</v>
      </c>
      <c r="L70" s="515">
        <v>0.95</v>
      </c>
      <c r="M70" s="24"/>
      <c r="N70" s="511"/>
      <c r="O70" s="511"/>
      <c r="P70" s="511"/>
      <c r="Q70" s="511"/>
      <c r="R70" s="511"/>
      <c r="S70" s="511"/>
      <c r="T70" s="511"/>
      <c r="U70" s="511"/>
      <c r="V70" s="512"/>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25">
      <c r="A71" s="7"/>
      <c r="B71" s="8"/>
      <c r="C71" s="18"/>
      <c r="D71" s="18"/>
      <c r="E71" s="18"/>
      <c r="F71" s="24"/>
      <c r="G71" s="34"/>
      <c r="H71" s="514" t="str">
        <f>General!G53</f>
        <v>wd</v>
      </c>
      <c r="I71" s="515">
        <v>0.9</v>
      </c>
      <c r="J71" s="516">
        <v>1.1000000000000001</v>
      </c>
      <c r="K71" s="515">
        <v>0.7</v>
      </c>
      <c r="L71" s="515">
        <v>0.95</v>
      </c>
      <c r="M71" s="24"/>
      <c r="N71" s="511"/>
      <c r="O71" s="511"/>
      <c r="P71" s="511"/>
      <c r="Q71" s="511"/>
      <c r="R71" s="511"/>
      <c r="S71" s="511"/>
      <c r="T71" s="511"/>
      <c r="U71" s="511"/>
      <c r="V71" s="512"/>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25">
      <c r="A72" s="7"/>
      <c r="B72" s="8"/>
      <c r="C72" s="18"/>
      <c r="D72" s="18"/>
      <c r="E72" s="18"/>
      <c r="F72" s="24"/>
      <c r="G72" s="34"/>
      <c r="H72" s="514" t="str">
        <f>General!G54</f>
        <v>z</v>
      </c>
      <c r="I72" s="515">
        <v>0.9</v>
      </c>
      <c r="J72" s="516">
        <v>1.1000000000000001</v>
      </c>
      <c r="K72" s="515">
        <v>0.7</v>
      </c>
      <c r="L72" s="515">
        <v>0.95</v>
      </c>
      <c r="M72" s="24"/>
      <c r="N72" s="511"/>
      <c r="O72" s="511"/>
      <c r="P72" s="511"/>
      <c r="Q72" s="511"/>
      <c r="R72" s="511"/>
      <c r="S72" s="511"/>
      <c r="T72" s="511"/>
      <c r="U72" s="511"/>
      <c r="V72" s="512"/>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25">
      <c r="A73" s="7"/>
      <c r="B73" s="8"/>
      <c r="C73" s="18"/>
      <c r="D73" s="18"/>
      <c r="E73" s="18"/>
      <c r="F73" s="24"/>
      <c r="G73" s="34"/>
      <c r="H73" s="514" t="str">
        <f>General!G55</f>
        <v>zd</v>
      </c>
      <c r="I73" s="515">
        <v>0.9</v>
      </c>
      <c r="J73" s="516">
        <v>1.1000000000000001</v>
      </c>
      <c r="K73" s="515">
        <v>0.7</v>
      </c>
      <c r="L73" s="515">
        <v>0.95</v>
      </c>
      <c r="M73" s="24"/>
      <c r="N73" s="511"/>
      <c r="O73" s="511"/>
      <c r="P73" s="511"/>
      <c r="Q73" s="511"/>
      <c r="R73" s="511"/>
      <c r="S73" s="511"/>
      <c r="T73" s="511"/>
      <c r="U73" s="511"/>
      <c r="V73" s="512"/>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25">
      <c r="A74" s="7"/>
      <c r="B74" s="8"/>
      <c r="C74" s="18"/>
      <c r="D74" s="18"/>
      <c r="E74" s="18"/>
      <c r="F74" s="24"/>
      <c r="G74" s="34"/>
      <c r="H74" s="511"/>
      <c r="I74" s="511"/>
      <c r="J74" s="511"/>
      <c r="K74" s="24"/>
      <c r="L74" s="24"/>
      <c r="M74" s="24"/>
      <c r="N74" s="511"/>
      <c r="O74" s="511"/>
      <c r="P74" s="511"/>
      <c r="Q74" s="511"/>
      <c r="R74" s="511"/>
      <c r="S74" s="511"/>
      <c r="T74" s="511"/>
      <c r="U74" s="511"/>
      <c r="V74" s="512"/>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25">
      <c r="A75" s="7"/>
      <c r="B75" s="8"/>
      <c r="C75" s="18"/>
      <c r="D75" s="18"/>
      <c r="E75" s="18"/>
      <c r="F75" s="24"/>
      <c r="G75" s="34"/>
      <c r="H75" s="511"/>
      <c r="I75" s="511"/>
      <c r="J75" s="511"/>
      <c r="K75" s="24"/>
      <c r="L75" s="24"/>
      <c r="M75" s="24"/>
      <c r="N75" s="511"/>
      <c r="O75" s="511"/>
      <c r="P75" s="511"/>
      <c r="Q75" s="511"/>
      <c r="R75" s="511"/>
      <c r="S75" s="511"/>
      <c r="T75" s="511"/>
      <c r="U75" s="511"/>
      <c r="V75" s="512"/>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3067</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3055</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8"/>
      <c r="D85" s="13"/>
      <c r="E85" s="18"/>
      <c r="F85" s="14"/>
      <c r="G85" s="492"/>
      <c r="H85" s="14"/>
      <c r="I85" s="14" t="s">
        <v>2803</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93"/>
      <c r="J91" s="494"/>
      <c r="K91" s="494"/>
      <c r="L91" s="494"/>
      <c r="M91" s="494"/>
      <c r="N91" s="494"/>
      <c r="O91" s="494"/>
      <c r="P91" s="26"/>
      <c r="Q91" s="26"/>
      <c r="R91" s="26"/>
      <c r="S91" s="26"/>
      <c r="T91" s="26"/>
      <c r="U91" s="26"/>
      <c r="V91" s="27"/>
      <c r="W91" s="17"/>
      <c r="X91" s="9"/>
      <c r="Y91" s="9"/>
      <c r="Z91" s="9"/>
    </row>
    <row r="92" spans="1:26" customFormat="1" x14ac:dyDescent="0.25">
      <c r="A92" s="7"/>
      <c r="B92" s="8"/>
      <c r="C92" s="18"/>
      <c r="D92" s="18"/>
      <c r="E92" s="18"/>
      <c r="F92" s="24"/>
      <c r="G92" s="345" t="s">
        <v>3068</v>
      </c>
      <c r="I92" s="517"/>
      <c r="K92" s="518"/>
      <c r="L92" s="518"/>
      <c r="M92" s="26"/>
      <c r="O92" s="494"/>
      <c r="P92" s="26"/>
      <c r="Q92" s="26"/>
      <c r="R92" s="26"/>
      <c r="S92" s="26"/>
      <c r="T92" s="26"/>
      <c r="U92" s="26"/>
      <c r="V92" s="27"/>
      <c r="W92" s="17"/>
      <c r="X92" s="9"/>
      <c r="Y92" s="9"/>
      <c r="Z92" s="9"/>
    </row>
    <row r="93" spans="1:26" customFormat="1" outlineLevel="1" x14ac:dyDescent="0.25">
      <c r="A93" s="7"/>
      <c r="B93" s="8"/>
      <c r="C93" s="18"/>
      <c r="D93" s="18"/>
      <c r="E93" s="18"/>
      <c r="F93" s="24"/>
      <c r="G93" s="345"/>
      <c r="H93" s="519" t="s">
        <v>2327</v>
      </c>
      <c r="I93" s="520" t="s">
        <v>2329</v>
      </c>
      <c r="J93" s="521" t="s">
        <v>2328</v>
      </c>
      <c r="K93" s="522"/>
      <c r="L93" s="518"/>
      <c r="M93" s="27"/>
      <c r="O93" s="494"/>
      <c r="P93" s="26"/>
      <c r="Q93" s="26"/>
      <c r="R93" s="26"/>
      <c r="S93" s="27"/>
      <c r="T93" s="26"/>
      <c r="U93" s="26"/>
      <c r="V93" s="27"/>
      <c r="W93" s="17"/>
      <c r="X93" s="9"/>
      <c r="Y93" s="9"/>
      <c r="Z93" s="9"/>
    </row>
    <row r="94" spans="1:26" customFormat="1" outlineLevel="1" x14ac:dyDescent="0.25">
      <c r="A94" s="7"/>
      <c r="B94" s="8"/>
      <c r="C94" s="18"/>
      <c r="D94" s="18"/>
      <c r="E94" s="18"/>
      <c r="F94" s="24"/>
      <c r="H94" s="523" t="s">
        <v>2326</v>
      </c>
      <c r="I94" t="s">
        <v>2330</v>
      </c>
      <c r="J94" t="s">
        <v>2331</v>
      </c>
      <c r="K94" s="518"/>
      <c r="L94" s="518"/>
      <c r="O94" s="507"/>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General!G37</f>
        <v>b</v>
      </c>
      <c r="H95" s="515">
        <v>1</v>
      </c>
      <c r="I95" s="515">
        <v>1</v>
      </c>
      <c r="J95" s="524">
        <f t="shared" ref="J95:J113" si="0">$J55-$I55*$K55*(1-$L55)</f>
        <v>1.0685</v>
      </c>
      <c r="K95" s="522"/>
      <c r="L95" s="518"/>
      <c r="M95" s="28"/>
      <c r="O95" s="507"/>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General!G38</f>
        <v>bd</v>
      </c>
      <c r="H96" s="515">
        <v>1</v>
      </c>
      <c r="I96" s="515">
        <v>1</v>
      </c>
      <c r="J96" s="524">
        <f t="shared" si="0"/>
        <v>1.0685</v>
      </c>
      <c r="K96" s="522"/>
      <c r="L96" s="518"/>
      <c r="M96" s="28"/>
      <c r="O96" s="507"/>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General!G39</f>
        <v>f</v>
      </c>
      <c r="H97" s="515">
        <v>1</v>
      </c>
      <c r="I97" s="515">
        <v>1</v>
      </c>
      <c r="J97" s="524">
        <f t="shared" si="0"/>
        <v>1.0685</v>
      </c>
      <c r="K97" s="522"/>
      <c r="L97" s="518"/>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General!G40</f>
        <v>h</v>
      </c>
      <c r="H98" s="515">
        <v>1</v>
      </c>
      <c r="I98" s="515">
        <v>1</v>
      </c>
      <c r="J98" s="524">
        <f t="shared" si="0"/>
        <v>1.0685</v>
      </c>
      <c r="K98" s="522"/>
      <c r="L98" s="518"/>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General!G41</f>
        <v>i</v>
      </c>
      <c r="H99" s="515">
        <v>1</v>
      </c>
      <c r="I99" s="515">
        <v>1</v>
      </c>
      <c r="J99" s="524">
        <f t="shared" si="0"/>
        <v>1.0685</v>
      </c>
      <c r="K99" s="522"/>
      <c r="L99" s="518"/>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General!G42</f>
        <v>k</v>
      </c>
      <c r="H100" s="515">
        <v>1</v>
      </c>
      <c r="I100" s="515">
        <v>1</v>
      </c>
      <c r="J100" s="524">
        <f t="shared" si="0"/>
        <v>1.0685</v>
      </c>
      <c r="K100" s="522"/>
      <c r="L100" s="518"/>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General!G43</f>
        <v>l</v>
      </c>
      <c r="H101" s="515">
        <v>1</v>
      </c>
      <c r="I101" s="515">
        <v>1</v>
      </c>
      <c r="J101" s="524">
        <f t="shared" si="0"/>
        <v>1.0685</v>
      </c>
      <c r="K101" s="522"/>
      <c r="L101" s="518"/>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General!G44</f>
        <v>lf</v>
      </c>
      <c r="H102" s="515">
        <v>1</v>
      </c>
      <c r="I102" s="515">
        <v>1</v>
      </c>
      <c r="J102" s="524">
        <f t="shared" si="0"/>
        <v>1.0685</v>
      </c>
      <c r="K102" s="522"/>
      <c r="L102" s="518"/>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General!G45</f>
        <v>ms</v>
      </c>
      <c r="H103" s="515">
        <v>1</v>
      </c>
      <c r="I103" s="515">
        <v>1</v>
      </c>
      <c r="J103" s="524">
        <f t="shared" si="0"/>
        <v>1.0685</v>
      </c>
      <c r="K103" s="522"/>
      <c r="L103" s="518"/>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General!G46</f>
        <v>o</v>
      </c>
      <c r="H104" s="515">
        <v>1</v>
      </c>
      <c r="I104" s="515">
        <v>1</v>
      </c>
      <c r="J104" s="524">
        <f t="shared" si="0"/>
        <v>1.0685</v>
      </c>
      <c r="K104" s="522"/>
      <c r="L104" s="518"/>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General!G47</f>
        <v>od</v>
      </c>
      <c r="H105" s="515">
        <v>1</v>
      </c>
      <c r="I105" s="515">
        <v>1</v>
      </c>
      <c r="J105" s="524">
        <f t="shared" si="0"/>
        <v>1.0685</v>
      </c>
      <c r="K105" s="522"/>
      <c r="L105" s="518"/>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General!G48</f>
        <v>of</v>
      </c>
      <c r="H106" s="515">
        <v>1</v>
      </c>
      <c r="I106" s="515">
        <v>1</v>
      </c>
      <c r="J106" s="524">
        <f t="shared" si="0"/>
        <v>1.0685</v>
      </c>
      <c r="K106" s="522"/>
      <c r="L106" s="518"/>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General!G49</f>
        <v>r</v>
      </c>
      <c r="H107" s="515">
        <v>1</v>
      </c>
      <c r="I107" s="515">
        <v>1</v>
      </c>
      <c r="J107" s="524">
        <f t="shared" si="0"/>
        <v>1.0685</v>
      </c>
      <c r="K107" s="522"/>
      <c r="L107" s="518"/>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General!G50</f>
        <v>rd</v>
      </c>
      <c r="H108" s="515">
        <v>1</v>
      </c>
      <c r="I108" s="515">
        <v>1</v>
      </c>
      <c r="J108" s="524">
        <f t="shared" si="0"/>
        <v>1.0685</v>
      </c>
      <c r="K108" s="522"/>
      <c r="L108" s="518"/>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General!G51</f>
        <v>v</v>
      </c>
      <c r="H109" s="515">
        <v>1</v>
      </c>
      <c r="I109" s="515">
        <v>1</v>
      </c>
      <c r="J109" s="524">
        <f t="shared" si="0"/>
        <v>1.0685</v>
      </c>
      <c r="K109" s="522"/>
      <c r="L109" s="518"/>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General!G52</f>
        <v>w</v>
      </c>
      <c r="H110" s="515">
        <v>1</v>
      </c>
      <c r="I110" s="515">
        <v>1</v>
      </c>
      <c r="J110" s="524">
        <f t="shared" si="0"/>
        <v>1.0685</v>
      </c>
      <c r="K110" s="522"/>
      <c r="L110" s="518"/>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General!G53</f>
        <v>wd</v>
      </c>
      <c r="H111" s="515">
        <v>1</v>
      </c>
      <c r="I111" s="515">
        <v>1</v>
      </c>
      <c r="J111" s="524">
        <f t="shared" si="0"/>
        <v>1.0685</v>
      </c>
      <c r="K111" s="522"/>
      <c r="L111" s="518"/>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General!G54</f>
        <v>z</v>
      </c>
      <c r="H112" s="515">
        <v>1</v>
      </c>
      <c r="I112" s="515">
        <v>1</v>
      </c>
      <c r="J112" s="524">
        <f t="shared" si="0"/>
        <v>1.0685</v>
      </c>
      <c r="K112" s="522"/>
      <c r="L112" s="518"/>
      <c r="M112" s="495"/>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General!G55</f>
        <v>zd</v>
      </c>
      <c r="H113" s="515">
        <v>1</v>
      </c>
      <c r="I113" s="515">
        <v>1</v>
      </c>
      <c r="J113" s="524">
        <f t="shared" si="0"/>
        <v>1.0685</v>
      </c>
      <c r="K113" s="522"/>
      <c r="L113" s="518"/>
      <c r="M113" s="30"/>
      <c r="P113" s="30"/>
      <c r="Q113" s="30"/>
      <c r="R113" s="30"/>
      <c r="S113" s="525"/>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12"/>
      <c r="T114" s="30"/>
      <c r="U114" s="30"/>
      <c r="V114" s="27"/>
      <c r="W114" s="17"/>
      <c r="X114" s="9"/>
      <c r="Y114" s="9"/>
      <c r="Z114" s="9"/>
    </row>
    <row r="115" spans="1:26" customFormat="1" outlineLevel="1" x14ac:dyDescent="0.25">
      <c r="A115" s="7"/>
      <c r="B115" s="8"/>
      <c r="C115" s="18"/>
      <c r="D115" s="18"/>
      <c r="E115" s="18"/>
      <c r="F115" s="24"/>
      <c r="G115" s="25"/>
      <c r="H115" s="24"/>
      <c r="I115" s="493"/>
      <c r="J115" s="27"/>
      <c r="K115" s="494"/>
      <c r="L115" s="494"/>
      <c r="M115" s="26"/>
      <c r="N115" s="27"/>
      <c r="O115" s="494"/>
      <c r="P115" s="26"/>
      <c r="Q115" s="26"/>
      <c r="R115" s="26"/>
      <c r="S115" s="26"/>
      <c r="T115" s="26"/>
      <c r="U115" s="26"/>
      <c r="V115" s="27"/>
      <c r="W115" s="17"/>
      <c r="X115" s="9"/>
      <c r="Y115" s="9"/>
      <c r="Z115" s="9"/>
    </row>
    <row r="116" spans="1:26" customFormat="1" x14ac:dyDescent="0.25">
      <c r="A116" s="7"/>
      <c r="B116" s="8"/>
      <c r="C116" s="18"/>
      <c r="D116" s="18"/>
      <c r="E116" s="18"/>
      <c r="F116" s="24"/>
      <c r="G116" s="526" t="s">
        <v>3069</v>
      </c>
      <c r="I116" s="527"/>
      <c r="K116" s="518"/>
      <c r="L116" s="518"/>
      <c r="M116" s="26"/>
      <c r="O116" s="494"/>
      <c r="P116" s="26"/>
      <c r="Q116" s="26"/>
      <c r="R116" s="26"/>
      <c r="S116" s="26"/>
      <c r="T116" s="26"/>
      <c r="U116" s="26"/>
      <c r="V116" s="27"/>
      <c r="W116" s="17"/>
      <c r="X116" s="9"/>
      <c r="Y116" s="9"/>
      <c r="Z116" s="9"/>
    </row>
    <row r="117" spans="1:26" customFormat="1" outlineLevel="1" x14ac:dyDescent="0.25">
      <c r="A117" s="7"/>
      <c r="B117" s="8"/>
      <c r="C117" s="18"/>
      <c r="D117" s="18"/>
      <c r="E117" s="18"/>
      <c r="F117" s="24"/>
      <c r="H117" s="523" t="s">
        <v>2326</v>
      </c>
      <c r="I117" t="s">
        <v>2330</v>
      </c>
      <c r="J117" t="s">
        <v>2331</v>
      </c>
      <c r="K117" s="518"/>
      <c r="L117" s="518"/>
      <c r="O117" s="507"/>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4" t="str">
        <f>General!G37</f>
        <v>b</v>
      </c>
      <c r="H118" s="528">
        <v>0.44</v>
      </c>
      <c r="I118" s="524">
        <f>H118</f>
        <v>0.44</v>
      </c>
      <c r="J118" s="524">
        <f t="shared" ref="J118:J125" si="1">$I55*$K55*$L55/J95</f>
        <v>0.56013102480112298</v>
      </c>
      <c r="K118" s="522"/>
      <c r="L118" s="518"/>
      <c r="M118" s="28"/>
      <c r="O118" s="507"/>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4" t="str">
        <f>General!G38</f>
        <v>bd</v>
      </c>
      <c r="H119" s="528">
        <v>0.44</v>
      </c>
      <c r="I119" s="524">
        <f t="shared" ref="I119:I136" si="2">H119</f>
        <v>0.44</v>
      </c>
      <c r="J119" s="524">
        <f t="shared" si="1"/>
        <v>0.56013102480112298</v>
      </c>
      <c r="K119" s="518"/>
      <c r="L119" s="518"/>
      <c r="M119" s="28"/>
      <c r="O119" s="507"/>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4" t="str">
        <f>General!G39</f>
        <v>f</v>
      </c>
      <c r="H120" s="528">
        <v>0.3</v>
      </c>
      <c r="I120" s="524">
        <f t="shared" si="2"/>
        <v>0.3</v>
      </c>
      <c r="J120" s="524">
        <f t="shared" si="1"/>
        <v>0.56013102480112298</v>
      </c>
      <c r="K120" s="518"/>
      <c r="L120" s="518"/>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4" t="str">
        <f>General!G40</f>
        <v>h</v>
      </c>
      <c r="H121" s="528">
        <v>0.3</v>
      </c>
      <c r="I121" s="524">
        <f t="shared" si="2"/>
        <v>0.3</v>
      </c>
      <c r="J121" s="524">
        <f t="shared" si="1"/>
        <v>0.56013102480112298</v>
      </c>
      <c r="K121" s="518"/>
      <c r="L121" s="518"/>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4" t="str">
        <f>General!G41</f>
        <v>i</v>
      </c>
      <c r="H122" s="528">
        <v>0.3</v>
      </c>
      <c r="I122" s="524">
        <f t="shared" si="2"/>
        <v>0.3</v>
      </c>
      <c r="J122" s="524">
        <f t="shared" si="1"/>
        <v>0.56013102480112298</v>
      </c>
      <c r="K122" s="518"/>
      <c r="L122" s="518"/>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4" t="str">
        <f>General!G42</f>
        <v>k</v>
      </c>
      <c r="H123" s="528">
        <v>0.3</v>
      </c>
      <c r="I123" s="524">
        <f t="shared" si="2"/>
        <v>0.3</v>
      </c>
      <c r="J123" s="524">
        <f t="shared" si="1"/>
        <v>0.56013102480112298</v>
      </c>
      <c r="K123" s="518"/>
      <c r="L123" s="518"/>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4" t="str">
        <f>General!G43</f>
        <v>l</v>
      </c>
      <c r="H124" s="528">
        <v>0.3</v>
      </c>
      <c r="I124" s="524">
        <f t="shared" si="2"/>
        <v>0.3</v>
      </c>
      <c r="J124" s="524">
        <f t="shared" si="1"/>
        <v>0.56013102480112298</v>
      </c>
      <c r="K124" s="518"/>
      <c r="L124" s="518"/>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4" t="str">
        <f>General!G44</f>
        <v>lf</v>
      </c>
      <c r="H125" s="528">
        <v>0.3</v>
      </c>
      <c r="I125" s="524">
        <f t="shared" ref="I125" si="3">H125</f>
        <v>0.3</v>
      </c>
      <c r="J125" s="524">
        <f t="shared" si="1"/>
        <v>0.56013102480112298</v>
      </c>
      <c r="K125" s="518"/>
      <c r="L125" s="518"/>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4" t="str">
        <f>General!G45</f>
        <v>ms</v>
      </c>
      <c r="H126" s="528">
        <f>0.65*H118+0.35*H124</f>
        <v>0.39100000000000001</v>
      </c>
      <c r="I126" s="524">
        <f t="shared" si="2"/>
        <v>0.39100000000000001</v>
      </c>
      <c r="J126" s="524">
        <f t="shared" ref="J126" si="4">$I63*$K63*$L63/J103</f>
        <v>0.56013102480112298</v>
      </c>
      <c r="K126" s="518"/>
      <c r="L126" s="518"/>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4" t="str">
        <f>General!G46</f>
        <v>o</v>
      </c>
      <c r="H127" s="528">
        <v>0.4</v>
      </c>
      <c r="I127" s="524">
        <f t="shared" si="2"/>
        <v>0.4</v>
      </c>
      <c r="J127" s="524">
        <f t="shared" ref="J127:J136" si="5">$I64*$K64*$L64/J104</f>
        <v>0.56013102480112298</v>
      </c>
      <c r="K127" s="518"/>
      <c r="L127" s="518"/>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4" t="str">
        <f>General!G47</f>
        <v>od</v>
      </c>
      <c r="H128" s="528">
        <v>0.4</v>
      </c>
      <c r="I128" s="524">
        <f t="shared" si="2"/>
        <v>0.4</v>
      </c>
      <c r="J128" s="524">
        <f t="shared" si="5"/>
        <v>0.56013102480112298</v>
      </c>
      <c r="K128" s="518"/>
      <c r="L128" s="518"/>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4" t="str">
        <f>General!G48</f>
        <v>of</v>
      </c>
      <c r="H129" s="528">
        <v>0.4</v>
      </c>
      <c r="I129" s="524">
        <f t="shared" si="2"/>
        <v>0.4</v>
      </c>
      <c r="J129" s="524">
        <f t="shared" si="5"/>
        <v>0.56013102480112298</v>
      </c>
      <c r="K129" s="518"/>
      <c r="L129" s="518"/>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4" t="str">
        <f>General!G49</f>
        <v>r</v>
      </c>
      <c r="H130" s="528">
        <v>0.2</v>
      </c>
      <c r="I130" s="524">
        <f t="shared" si="2"/>
        <v>0.2</v>
      </c>
      <c r="J130" s="524">
        <f t="shared" si="5"/>
        <v>0.56013102480112298</v>
      </c>
      <c r="K130" s="518"/>
      <c r="L130" s="518"/>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4" t="str">
        <f>General!G50</f>
        <v>rd</v>
      </c>
      <c r="H131" s="528">
        <v>0.2</v>
      </c>
      <c r="I131" s="524">
        <f t="shared" si="2"/>
        <v>0.2</v>
      </c>
      <c r="J131" s="524">
        <f t="shared" si="5"/>
        <v>0.56013102480112298</v>
      </c>
      <c r="K131" s="518"/>
      <c r="L131" s="518"/>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4" t="str">
        <f>General!G51</f>
        <v>v</v>
      </c>
      <c r="H132" s="528">
        <v>0.3</v>
      </c>
      <c r="I132" s="524">
        <f t="shared" si="2"/>
        <v>0.3</v>
      </c>
      <c r="J132" s="524">
        <f t="shared" si="5"/>
        <v>0.56013102480112298</v>
      </c>
      <c r="K132" s="518"/>
      <c r="L132" s="518"/>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4" t="str">
        <f>General!G52</f>
        <v>w</v>
      </c>
      <c r="H133" s="528">
        <v>0.42</v>
      </c>
      <c r="I133" s="524">
        <f t="shared" si="2"/>
        <v>0.42</v>
      </c>
      <c r="J133" s="524">
        <f t="shared" si="5"/>
        <v>0.56013102480112298</v>
      </c>
      <c r="K133" s="518"/>
      <c r="L133" s="518"/>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4" t="str">
        <f>General!G53</f>
        <v>wd</v>
      </c>
      <c r="H134" s="528">
        <v>0.42</v>
      </c>
      <c r="I134" s="524">
        <f t="shared" si="2"/>
        <v>0.42</v>
      </c>
      <c r="J134" s="524">
        <f t="shared" si="5"/>
        <v>0.56013102480112298</v>
      </c>
      <c r="K134" s="518"/>
      <c r="L134" s="518"/>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4" t="str">
        <f>General!G54</f>
        <v>z</v>
      </c>
      <c r="H135" s="528">
        <v>0.2</v>
      </c>
      <c r="I135" s="524">
        <f t="shared" si="2"/>
        <v>0.2</v>
      </c>
      <c r="J135" s="524">
        <f t="shared" si="5"/>
        <v>0.56013102480112298</v>
      </c>
      <c r="K135" s="518"/>
      <c r="L135" s="518"/>
      <c r="M135" s="495"/>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4" t="str">
        <f>General!G55</f>
        <v>zd</v>
      </c>
      <c r="H136" s="528">
        <v>0.2</v>
      </c>
      <c r="I136" s="524">
        <f t="shared" si="2"/>
        <v>0.2</v>
      </c>
      <c r="J136" s="524">
        <f t="shared" si="5"/>
        <v>0.56013102480112298</v>
      </c>
      <c r="K136" s="518"/>
      <c r="L136" s="518"/>
      <c r="M136" s="30"/>
      <c r="P136" s="30"/>
      <c r="Q136" s="30"/>
      <c r="R136" s="30"/>
      <c r="S136" s="525"/>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12"/>
      <c r="T137" s="30"/>
      <c r="U137" s="30"/>
      <c r="V137" s="27"/>
      <c r="W137" s="17"/>
      <c r="X137" s="9"/>
      <c r="Y137" s="9"/>
      <c r="Z137" s="9"/>
    </row>
    <row r="138" spans="1:26" customFormat="1" x14ac:dyDescent="0.25">
      <c r="A138" s="7"/>
      <c r="B138" s="8"/>
      <c r="C138" s="18"/>
      <c r="D138" s="18"/>
      <c r="E138" s="18"/>
      <c r="F138" s="24"/>
      <c r="G138" s="526" t="s">
        <v>3070</v>
      </c>
      <c r="I138" s="527"/>
      <c r="K138" s="518"/>
      <c r="L138" s="518"/>
      <c r="M138" s="26"/>
      <c r="O138" s="494"/>
      <c r="P138" s="26"/>
      <c r="Q138" s="26"/>
      <c r="R138" s="26"/>
      <c r="S138" s="26"/>
      <c r="T138" s="26"/>
      <c r="U138" s="26"/>
      <c r="V138" s="27"/>
      <c r="W138" s="17"/>
      <c r="X138" s="9"/>
      <c r="Y138" s="9"/>
      <c r="Z138" s="9"/>
    </row>
    <row r="139" spans="1:26" customFormat="1" outlineLevel="1" x14ac:dyDescent="0.25">
      <c r="A139" s="7"/>
      <c r="B139" s="8"/>
      <c r="C139" s="18"/>
      <c r="D139" s="18"/>
      <c r="E139" s="18"/>
      <c r="F139" s="24"/>
      <c r="H139" s="523" t="s">
        <v>2326</v>
      </c>
      <c r="I139" t="s">
        <v>2330</v>
      </c>
      <c r="J139" t="s">
        <v>2331</v>
      </c>
      <c r="K139" s="518"/>
      <c r="L139" s="518"/>
      <c r="O139" s="507"/>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General!G37</f>
        <v>b</v>
      </c>
      <c r="H140" s="529">
        <v>0.94</v>
      </c>
      <c r="I140" s="515">
        <v>0</v>
      </c>
      <c r="J140" s="530">
        <v>1</v>
      </c>
      <c r="K140" s="522"/>
      <c r="L140" s="518"/>
      <c r="M140" s="28"/>
      <c r="O140" s="507"/>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General!G38</f>
        <v>bd</v>
      </c>
      <c r="H141" s="529">
        <v>0.94</v>
      </c>
      <c r="I141" s="515">
        <v>0</v>
      </c>
      <c r="J141" s="530">
        <v>1</v>
      </c>
      <c r="K141" s="522"/>
      <c r="L141" s="518"/>
      <c r="M141" s="28"/>
      <c r="O141" s="507"/>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General!G39</f>
        <v>f</v>
      </c>
      <c r="H142" s="529">
        <v>0.9</v>
      </c>
      <c r="I142" s="515">
        <v>0</v>
      </c>
      <c r="J142" s="530">
        <v>1</v>
      </c>
      <c r="K142" s="522"/>
      <c r="L142" s="518"/>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General!G40</f>
        <v>h</v>
      </c>
      <c r="H143" s="529">
        <v>0.94</v>
      </c>
      <c r="I143" s="515">
        <v>0</v>
      </c>
      <c r="J143" s="530">
        <v>1</v>
      </c>
      <c r="K143" s="522"/>
      <c r="L143" s="518"/>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General!G41</f>
        <v>i</v>
      </c>
      <c r="H144" s="529">
        <v>0.9</v>
      </c>
      <c r="I144" s="515">
        <v>0</v>
      </c>
      <c r="J144" s="530">
        <v>1</v>
      </c>
      <c r="K144" s="522"/>
      <c r="L144" s="518"/>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General!G42</f>
        <v>k</v>
      </c>
      <c r="H145" s="529">
        <v>0.9</v>
      </c>
      <c r="I145" s="515">
        <v>0</v>
      </c>
      <c r="J145" s="530">
        <v>1</v>
      </c>
      <c r="K145" s="522"/>
      <c r="L145" s="518"/>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General!G43</f>
        <v>l</v>
      </c>
      <c r="H146" s="529">
        <v>0.9</v>
      </c>
      <c r="I146" s="515">
        <v>0</v>
      </c>
      <c r="J146" s="530">
        <v>1</v>
      </c>
      <c r="K146" s="522"/>
      <c r="L146" s="518"/>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General!G44</f>
        <v>lf</v>
      </c>
      <c r="H147" s="529">
        <v>0.9</v>
      </c>
      <c r="I147" s="515">
        <v>0</v>
      </c>
      <c r="J147" s="530">
        <v>1</v>
      </c>
      <c r="K147" s="522"/>
      <c r="L147" s="518"/>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General!G45</f>
        <v>ms</v>
      </c>
      <c r="H148" s="528">
        <f>0.65*H140+0.35*H146</f>
        <v>0.92599999999999993</v>
      </c>
      <c r="I148" s="515">
        <v>0</v>
      </c>
      <c r="J148" s="530">
        <v>1</v>
      </c>
      <c r="K148" s="522"/>
      <c r="L148" s="518"/>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General!G46</f>
        <v>o</v>
      </c>
      <c r="H149" s="529">
        <v>0.94</v>
      </c>
      <c r="I149" s="515">
        <v>0</v>
      </c>
      <c r="J149" s="530">
        <v>1</v>
      </c>
      <c r="K149" s="522"/>
      <c r="L149" s="518"/>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General!G47</f>
        <v>od</v>
      </c>
      <c r="H150" s="529">
        <v>0.94</v>
      </c>
      <c r="I150" s="515">
        <v>0</v>
      </c>
      <c r="J150" s="530">
        <v>1</v>
      </c>
      <c r="K150" s="522"/>
      <c r="L150" s="518"/>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General!G48</f>
        <v>of</v>
      </c>
      <c r="H151" s="529">
        <v>0.94</v>
      </c>
      <c r="I151" s="515">
        <v>0</v>
      </c>
      <c r="J151" s="530">
        <v>1</v>
      </c>
      <c r="K151" s="522"/>
      <c r="L151" s="518"/>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General!G49</f>
        <v>r</v>
      </c>
      <c r="H152" s="529">
        <v>0.97</v>
      </c>
      <c r="I152" s="515">
        <v>0</v>
      </c>
      <c r="J152" s="530">
        <v>1</v>
      </c>
      <c r="K152" s="522"/>
      <c r="L152" s="518"/>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General!G50</f>
        <v>rd</v>
      </c>
      <c r="H153" s="529">
        <v>0.97</v>
      </c>
      <c r="I153" s="515">
        <v>0</v>
      </c>
      <c r="J153" s="530">
        <v>1</v>
      </c>
      <c r="K153" s="522"/>
      <c r="L153" s="518"/>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General!G51</f>
        <v>v</v>
      </c>
      <c r="H154" s="529">
        <v>0.9</v>
      </c>
      <c r="I154" s="515">
        <v>0</v>
      </c>
      <c r="J154" s="530">
        <v>1</v>
      </c>
      <c r="K154" s="522"/>
      <c r="L154" s="518"/>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General!G52</f>
        <v>w</v>
      </c>
      <c r="H155" s="529">
        <v>0.94</v>
      </c>
      <c r="I155" s="515">
        <v>0</v>
      </c>
      <c r="J155" s="530">
        <v>1</v>
      </c>
      <c r="K155" s="522"/>
      <c r="L155" s="518"/>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General!G53</f>
        <v>wd</v>
      </c>
      <c r="H156" s="529">
        <v>0.94</v>
      </c>
      <c r="I156" s="515">
        <v>0</v>
      </c>
      <c r="J156" s="530">
        <v>1</v>
      </c>
      <c r="K156" s="522"/>
      <c r="L156" s="518"/>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General!G54</f>
        <v>z</v>
      </c>
      <c r="H157" s="529">
        <v>0.97</v>
      </c>
      <c r="I157" s="515">
        <v>0</v>
      </c>
      <c r="J157" s="530">
        <v>1</v>
      </c>
      <c r="K157" s="522"/>
      <c r="L157" s="518"/>
      <c r="M157" s="495"/>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General!G55</f>
        <v>zd</v>
      </c>
      <c r="H158" s="529">
        <v>0.97</v>
      </c>
      <c r="I158" s="515">
        <v>0</v>
      </c>
      <c r="J158" s="530">
        <v>1</v>
      </c>
      <c r="K158" s="522"/>
      <c r="L158" s="518"/>
      <c r="M158" s="30"/>
      <c r="P158" s="30"/>
      <c r="Q158" s="30"/>
      <c r="R158" s="30"/>
      <c r="S158" s="525"/>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8"/>
      <c r="M159" s="27"/>
      <c r="P159" s="30"/>
      <c r="Q159" s="30"/>
      <c r="R159" s="30"/>
      <c r="S159" s="512"/>
      <c r="T159" s="30"/>
      <c r="U159" s="30"/>
      <c r="V159" s="27"/>
      <c r="W159" s="17"/>
      <c r="X159" s="9"/>
      <c r="Y159" s="9"/>
      <c r="Z159" s="9"/>
    </row>
    <row r="160" spans="1:26" customFormat="1" ht="12" customHeight="1" x14ac:dyDescent="0.25">
      <c r="A160" s="7"/>
      <c r="B160" s="8"/>
      <c r="C160" s="18"/>
      <c r="D160" s="18"/>
      <c r="E160" s="18"/>
      <c r="F160" s="27"/>
      <c r="G160" s="483" t="s">
        <v>3071</v>
      </c>
      <c r="H160" s="27"/>
      <c r="I160" s="27"/>
      <c r="J160" s="27"/>
      <c r="K160" s="27"/>
      <c r="L160" s="518"/>
      <c r="M160" s="27"/>
      <c r="P160" s="30"/>
      <c r="Q160" s="30"/>
      <c r="R160" s="30"/>
      <c r="S160" s="512"/>
      <c r="T160" s="30"/>
      <c r="U160" s="30"/>
      <c r="V160" s="27"/>
      <c r="W160" s="17"/>
      <c r="X160" s="9"/>
      <c r="Y160" s="9"/>
      <c r="Z160" s="9"/>
    </row>
    <row r="161" spans="1:26" customFormat="1" ht="12" customHeight="1" outlineLevel="1" x14ac:dyDescent="0.25">
      <c r="A161" s="7"/>
      <c r="B161" s="8"/>
      <c r="C161" s="18"/>
      <c r="D161" s="18"/>
      <c r="E161" s="18"/>
      <c r="F161" s="24"/>
      <c r="H161" s="28" t="s">
        <v>3072</v>
      </c>
      <c r="I161" s="28" t="s">
        <v>3073</v>
      </c>
      <c r="J161" s="28" t="s">
        <v>3074</v>
      </c>
      <c r="L161" s="518"/>
      <c r="O161" s="507"/>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4" t="str">
        <f>General!G37</f>
        <v>b</v>
      </c>
      <c r="H162" s="531">
        <v>2E-3</v>
      </c>
      <c r="I162" s="532">
        <v>1E-3</v>
      </c>
      <c r="J162" s="533">
        <v>0.1</v>
      </c>
      <c r="L162" s="518"/>
      <c r="M162" s="28"/>
      <c r="O162" s="507"/>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4" t="str">
        <f>General!G38</f>
        <v>bd</v>
      </c>
      <c r="H163" s="531">
        <v>2E-3</v>
      </c>
      <c r="I163" s="532">
        <v>1E-3</v>
      </c>
      <c r="J163" s="533">
        <v>0.1</v>
      </c>
      <c r="L163" s="518"/>
      <c r="M163" s="28"/>
      <c r="O163" s="507"/>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4" t="str">
        <f>General!G39</f>
        <v>f</v>
      </c>
      <c r="H164" s="531">
        <v>2E-3</v>
      </c>
      <c r="I164" s="532">
        <v>1E-3</v>
      </c>
      <c r="J164" s="533">
        <v>0.1</v>
      </c>
      <c r="L164" s="518"/>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4" t="str">
        <f>General!G40</f>
        <v>h</v>
      </c>
      <c r="H165" s="531">
        <v>2E-3</v>
      </c>
      <c r="I165" s="532">
        <v>1E-3</v>
      </c>
      <c r="J165" s="533">
        <v>0.1</v>
      </c>
      <c r="L165" s="518"/>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4" t="str">
        <f>General!G41</f>
        <v>i</v>
      </c>
      <c r="H166" s="531">
        <v>2E-3</v>
      </c>
      <c r="I166" s="532">
        <v>1E-3</v>
      </c>
      <c r="J166" s="533">
        <v>0.1</v>
      </c>
      <c r="L166" s="518"/>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4" t="str">
        <f>General!G42</f>
        <v>k</v>
      </c>
      <c r="H167" s="531">
        <v>2E-3</v>
      </c>
      <c r="I167" s="532">
        <v>1E-3</v>
      </c>
      <c r="J167" s="533">
        <v>0.1</v>
      </c>
      <c r="L167" s="518"/>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4" t="str">
        <f>General!G43</f>
        <v>l</v>
      </c>
      <c r="H168" s="531">
        <v>2E-3</v>
      </c>
      <c r="I168" s="532">
        <v>1E-3</v>
      </c>
      <c r="J168" s="533">
        <v>0.1</v>
      </c>
      <c r="L168" s="518"/>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4" t="str">
        <f>General!G44</f>
        <v>lf</v>
      </c>
      <c r="H169" s="531">
        <v>2E-3</v>
      </c>
      <c r="I169" s="532">
        <v>1E-3</v>
      </c>
      <c r="J169" s="533">
        <v>0.1</v>
      </c>
      <c r="L169" s="518"/>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4" t="str">
        <f>General!G45</f>
        <v>ms</v>
      </c>
      <c r="H170" s="531">
        <v>2E-3</v>
      </c>
      <c r="I170" s="532">
        <v>1E-3</v>
      </c>
      <c r="J170" s="533">
        <v>0.1</v>
      </c>
      <c r="L170" s="518"/>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4" t="str">
        <f>General!G46</f>
        <v>o</v>
      </c>
      <c r="H171" s="531">
        <v>2E-3</v>
      </c>
      <c r="I171" s="532">
        <v>1E-3</v>
      </c>
      <c r="J171" s="533">
        <v>0.1</v>
      </c>
      <c r="L171" s="518"/>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4" t="str">
        <f>General!G47</f>
        <v>od</v>
      </c>
      <c r="H172" s="531">
        <v>2E-3</v>
      </c>
      <c r="I172" s="532">
        <v>1E-3</v>
      </c>
      <c r="J172" s="533">
        <v>0.1</v>
      </c>
      <c r="L172" s="518"/>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4" t="str">
        <f>General!G48</f>
        <v>of</v>
      </c>
      <c r="H173" s="531">
        <v>2E-3</v>
      </c>
      <c r="I173" s="532">
        <v>1E-3</v>
      </c>
      <c r="J173" s="533">
        <v>0.1</v>
      </c>
      <c r="L173" s="518"/>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4" t="str">
        <f>General!G49</f>
        <v>r</v>
      </c>
      <c r="H174" s="531">
        <v>2E-3</v>
      </c>
      <c r="I174" s="532">
        <v>1E-3</v>
      </c>
      <c r="J174" s="533">
        <v>0.1</v>
      </c>
      <c r="L174" s="518"/>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4" t="str">
        <f>General!G50</f>
        <v>rd</v>
      </c>
      <c r="H175" s="531">
        <v>2E-3</v>
      </c>
      <c r="I175" s="532">
        <v>1E-3</v>
      </c>
      <c r="J175" s="533">
        <v>0.1</v>
      </c>
      <c r="L175" s="518"/>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4" t="str">
        <f>General!G51</f>
        <v>v</v>
      </c>
      <c r="H176" s="531">
        <v>2E-3</v>
      </c>
      <c r="I176" s="532">
        <v>1E-3</v>
      </c>
      <c r="J176" s="533">
        <v>0.1</v>
      </c>
      <c r="L176" s="518"/>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4" t="str">
        <f>General!G52</f>
        <v>w</v>
      </c>
      <c r="H177" s="531">
        <v>2E-3</v>
      </c>
      <c r="I177" s="532">
        <v>1E-3</v>
      </c>
      <c r="J177" s="533">
        <v>0.1</v>
      </c>
      <c r="L177" s="518"/>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4" t="str">
        <f>General!G53</f>
        <v>wd</v>
      </c>
      <c r="H178" s="531">
        <v>2E-3</v>
      </c>
      <c r="I178" s="532">
        <v>1E-3</v>
      </c>
      <c r="J178" s="533">
        <v>0.1</v>
      </c>
      <c r="L178" s="518"/>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4" t="str">
        <f>General!G54</f>
        <v>z</v>
      </c>
      <c r="H179" s="531">
        <v>2E-3</v>
      </c>
      <c r="I179" s="532">
        <v>1E-3</v>
      </c>
      <c r="J179" s="533">
        <v>0.1</v>
      </c>
      <c r="L179" s="518"/>
      <c r="M179" s="495"/>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4" t="str">
        <f>General!G55</f>
        <v>zd</v>
      </c>
      <c r="H180" s="531">
        <v>2E-3</v>
      </c>
      <c r="I180" s="532">
        <v>1E-3</v>
      </c>
      <c r="J180" s="533">
        <v>0.1</v>
      </c>
      <c r="L180" s="518"/>
      <c r="M180" s="30"/>
      <c r="P180" s="30"/>
      <c r="Q180" s="30"/>
      <c r="R180" s="30"/>
      <c r="S180" s="525"/>
      <c r="T180" s="30"/>
      <c r="U180" s="30"/>
      <c r="V180" s="27"/>
      <c r="W180" s="17"/>
      <c r="X180" s="9"/>
      <c r="Y180" s="9"/>
      <c r="Z180" s="9"/>
    </row>
    <row r="181" spans="1:26" customFormat="1" ht="12" customHeight="1" outlineLevel="1" x14ac:dyDescent="0.25">
      <c r="A181" s="7"/>
      <c r="B181" s="8"/>
      <c r="C181" s="18"/>
      <c r="D181" s="18"/>
      <c r="E181" s="18"/>
      <c r="F181" s="24"/>
      <c r="G181" s="28"/>
      <c r="H181" s="27"/>
      <c r="I181" s="507"/>
      <c r="J181" s="495"/>
      <c r="K181" s="495"/>
      <c r="L181" s="518"/>
      <c r="M181" s="30"/>
      <c r="N181" s="28"/>
      <c r="P181" s="30"/>
      <c r="Q181" s="30"/>
      <c r="R181" s="30"/>
      <c r="S181" s="525"/>
      <c r="T181" s="30"/>
      <c r="U181" s="30"/>
      <c r="V181" s="27"/>
      <c r="W181" s="17"/>
      <c r="X181" s="9"/>
      <c r="Y181" s="9"/>
      <c r="Z181" s="9"/>
    </row>
    <row r="182" spans="1:26" customFormat="1" ht="12.6" customHeight="1" outlineLevel="1" x14ac:dyDescent="0.25">
      <c r="A182" s="7"/>
      <c r="B182" s="8"/>
      <c r="C182" s="18"/>
      <c r="D182" s="18"/>
      <c r="E182" s="18"/>
      <c r="F182" s="24"/>
      <c r="G182" s="28"/>
      <c r="H182" s="28"/>
      <c r="I182" s="493"/>
      <c r="J182" s="496"/>
      <c r="K182" s="496"/>
      <c r="L182" s="496"/>
      <c r="M182" s="496"/>
      <c r="N182" s="496"/>
      <c r="O182" s="496"/>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93"/>
      <c r="J183" s="496"/>
      <c r="K183" s="496"/>
      <c r="L183" s="496"/>
      <c r="M183" s="496"/>
      <c r="N183" s="496"/>
      <c r="O183" s="496"/>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6" t="s">
        <v>3075</v>
      </c>
      <c r="H184" s="28"/>
      <c r="I184" s="493"/>
      <c r="J184" s="496"/>
      <c r="K184" s="496"/>
      <c r="L184" s="496"/>
      <c r="M184" s="496"/>
      <c r="N184" s="496"/>
      <c r="O184" s="496"/>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4"/>
      <c r="J185" s="535"/>
      <c r="K185" s="535"/>
      <c r="L185" s="536"/>
      <c r="M185" s="535"/>
      <c r="N185" s="535"/>
      <c r="O185" s="535"/>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7" t="s">
        <v>2320</v>
      </c>
      <c r="I186" s="538" t="s">
        <v>4</v>
      </c>
      <c r="J186" s="538" t="s">
        <v>3076</v>
      </c>
      <c r="K186" s="538" t="s">
        <v>531</v>
      </c>
      <c r="L186" s="539" t="s">
        <v>3077</v>
      </c>
      <c r="M186" s="540" t="s">
        <v>10</v>
      </c>
      <c r="N186" s="540" t="s">
        <v>3078</v>
      </c>
      <c r="O186" s="540" t="s">
        <v>60</v>
      </c>
      <c r="P186" s="541" t="s">
        <v>61</v>
      </c>
      <c r="Q186" s="542" t="s">
        <v>2321</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3079</v>
      </c>
      <c r="H187" s="543">
        <v>80</v>
      </c>
      <c r="I187" s="543">
        <f>H187-5</f>
        <v>75</v>
      </c>
      <c r="J187" s="543">
        <f t="shared" ref="J187:Q187" si="6">I187-5</f>
        <v>70</v>
      </c>
      <c r="K187" s="543">
        <f t="shared" si="6"/>
        <v>65</v>
      </c>
      <c r="L187" s="543">
        <f t="shared" si="6"/>
        <v>60</v>
      </c>
      <c r="M187" s="543">
        <f t="shared" si="6"/>
        <v>55</v>
      </c>
      <c r="N187" s="543">
        <f t="shared" si="6"/>
        <v>50</v>
      </c>
      <c r="O187" s="543">
        <f t="shared" si="6"/>
        <v>45</v>
      </c>
      <c r="P187" s="543">
        <f t="shared" si="6"/>
        <v>40</v>
      </c>
      <c r="Q187" s="543">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3080</v>
      </c>
      <c r="H188" s="544">
        <v>0.115</v>
      </c>
      <c r="I188" s="545">
        <v>0.1065</v>
      </c>
      <c r="J188" s="531">
        <v>0.10150000000000001</v>
      </c>
      <c r="K188" s="531">
        <v>9.5000000000000001E-2</v>
      </c>
      <c r="L188" s="531">
        <v>8.7999999999999995E-2</v>
      </c>
      <c r="M188" s="531">
        <v>8.2000000000000003E-2</v>
      </c>
      <c r="N188" s="531">
        <v>7.6999999999999999E-2</v>
      </c>
      <c r="O188" s="531">
        <v>7.1199999999999999E-2</v>
      </c>
      <c r="P188" s="546">
        <v>5.9900000000000002E-2</v>
      </c>
      <c r="Q188" s="546">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93"/>
      <c r="J189" s="496"/>
      <c r="K189" s="496"/>
      <c r="L189" s="496"/>
      <c r="M189" s="496"/>
      <c r="N189" s="496"/>
      <c r="O189" s="496"/>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93"/>
      <c r="J190" s="496"/>
      <c r="K190" s="496"/>
      <c r="L190" s="496"/>
      <c r="M190" s="496"/>
      <c r="N190" s="496"/>
      <c r="O190" s="496"/>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93"/>
      <c r="J191" s="496"/>
      <c r="K191" s="496"/>
      <c r="L191" s="496"/>
      <c r="M191" s="496"/>
      <c r="N191" s="496"/>
      <c r="O191" s="496"/>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93"/>
      <c r="J192" s="496"/>
      <c r="K192" s="496"/>
      <c r="L192" s="496"/>
      <c r="M192" s="496"/>
      <c r="N192" s="496"/>
      <c r="O192" s="496"/>
      <c r="P192" s="30"/>
      <c r="Q192" s="30"/>
      <c r="R192" s="30"/>
      <c r="S192" s="30"/>
      <c r="T192" s="30"/>
      <c r="U192" s="30"/>
      <c r="V192" s="27"/>
      <c r="W192" s="17"/>
      <c r="X192" s="9"/>
      <c r="Y192" s="9"/>
      <c r="Z192" s="9"/>
    </row>
    <row r="193" spans="1:44" customFormat="1" ht="12" customHeight="1" outlineLevel="1" x14ac:dyDescent="0.25">
      <c r="A193" s="7"/>
      <c r="B193" s="8"/>
      <c r="C193" s="18"/>
      <c r="D193" s="18"/>
      <c r="E193" s="18"/>
      <c r="F193" s="24"/>
      <c r="G193" s="28"/>
      <c r="H193" s="28"/>
      <c r="I193" s="493"/>
      <c r="J193" s="496"/>
      <c r="K193" s="496"/>
      <c r="L193" s="496"/>
      <c r="M193" s="496"/>
      <c r="N193" s="496"/>
      <c r="O193" s="496"/>
      <c r="P193" s="30"/>
      <c r="Q193" s="30"/>
      <c r="R193" s="30"/>
      <c r="S193" s="30"/>
      <c r="T193" s="30"/>
      <c r="U193" s="30"/>
      <c r="V193" s="27"/>
      <c r="W193" s="17"/>
      <c r="X193" s="9"/>
      <c r="Y193" s="9"/>
      <c r="Z193" s="9"/>
    </row>
    <row r="194" spans="1:44" customFormat="1" ht="12" customHeight="1" outlineLevel="1" x14ac:dyDescent="0.25">
      <c r="A194" s="7"/>
      <c r="B194" s="8"/>
      <c r="C194" s="18"/>
      <c r="D194" s="18"/>
      <c r="E194" s="18"/>
      <c r="F194" s="547"/>
      <c r="G194" s="28"/>
      <c r="H194" s="28"/>
      <c r="I194" s="493"/>
      <c r="J194" s="495"/>
      <c r="K194" s="495"/>
      <c r="L194" s="495"/>
      <c r="M194" s="495"/>
      <c r="N194" s="495"/>
      <c r="O194" s="495"/>
      <c r="P194" s="30"/>
      <c r="Q194" s="30"/>
      <c r="R194" s="30"/>
      <c r="S194" s="30"/>
      <c r="T194" s="30"/>
      <c r="U194" s="30"/>
      <c r="V194" s="27"/>
      <c r="W194" s="17"/>
      <c r="X194" s="9"/>
      <c r="Y194" s="9"/>
      <c r="Z194" s="9"/>
    </row>
    <row r="195" spans="1:44"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25">
      <c r="A201" s="7"/>
      <c r="B201" s="8"/>
      <c r="C201" s="13"/>
      <c r="D201" s="13"/>
      <c r="E201" s="13" t="s">
        <v>87</v>
      </c>
      <c r="F201" s="14"/>
      <c r="G201" s="15" t="s">
        <v>3081</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25">
      <c r="A202" s="7"/>
      <c r="B202" s="8"/>
      <c r="C202" s="13"/>
      <c r="D202" s="13"/>
      <c r="E202" s="18"/>
      <c r="F202" s="14"/>
      <c r="G202" s="14" t="s">
        <v>3082</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25">
      <c r="A204" s="7"/>
      <c r="B204" s="8"/>
      <c r="C204" s="398"/>
      <c r="D204" s="13"/>
      <c r="E204" s="18"/>
      <c r="F204" s="14"/>
      <c r="G204" s="492"/>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25">
      <c r="A205" s="7"/>
      <c r="B205" s="8"/>
      <c r="C205" s="18"/>
      <c r="D205" s="18"/>
      <c r="E205" s="18"/>
      <c r="F205" s="18"/>
      <c r="G205" s="18"/>
      <c r="H205" s="18"/>
      <c r="I205" s="18"/>
      <c r="J205" s="21" t="s">
        <v>3083</v>
      </c>
      <c r="K205" s="21" t="s">
        <v>3084</v>
      </c>
      <c r="L205" s="21" t="s">
        <v>3085</v>
      </c>
      <c r="M205" s="21" t="s">
        <v>3086</v>
      </c>
      <c r="N205" s="21" t="s">
        <v>3087</v>
      </c>
      <c r="O205" s="21" t="s">
        <v>3088</v>
      </c>
      <c r="P205" s="21" t="s">
        <v>3089</v>
      </c>
      <c r="Q205" s="21" t="s">
        <v>3090</v>
      </c>
      <c r="R205" s="21" t="s">
        <v>3091</v>
      </c>
      <c r="S205" s="21" t="s">
        <v>3092</v>
      </c>
      <c r="T205" s="21" t="s">
        <v>3093</v>
      </c>
      <c r="U205" s="21" t="s">
        <v>3094</v>
      </c>
      <c r="V205" s="21" t="s">
        <v>3095</v>
      </c>
      <c r="W205" s="21" t="s">
        <v>3096</v>
      </c>
      <c r="X205" s="21" t="s">
        <v>3097</v>
      </c>
      <c r="Y205" s="21" t="s">
        <v>3098</v>
      </c>
      <c r="Z205" s="21" t="s">
        <v>3099</v>
      </c>
      <c r="AA205" s="21" t="s">
        <v>3100</v>
      </c>
      <c r="AB205" s="21" t="s">
        <v>3101</v>
      </c>
      <c r="AC205" s="21" t="s">
        <v>3102</v>
      </c>
      <c r="AD205" s="21" t="s">
        <v>3103</v>
      </c>
      <c r="AE205" s="21" t="s">
        <v>3104</v>
      </c>
      <c r="AF205" s="21" t="s">
        <v>3105</v>
      </c>
      <c r="AG205" s="21" t="s">
        <v>3106</v>
      </c>
      <c r="AH205" s="21" t="s">
        <v>3107</v>
      </c>
      <c r="AI205" s="21" t="s">
        <v>3108</v>
      </c>
      <c r="AJ205" s="21" t="s">
        <v>3109</v>
      </c>
      <c r="AK205" s="21" t="s">
        <v>3110</v>
      </c>
      <c r="AL205" s="21" t="s">
        <v>3111</v>
      </c>
      <c r="AM205" s="21" t="s">
        <v>3112</v>
      </c>
      <c r="AN205" s="21"/>
      <c r="AO205" s="17"/>
      <c r="AP205" s="9"/>
      <c r="AQ205" s="9"/>
      <c r="AR205" s="9"/>
    </row>
    <row r="206" spans="1:44" customFormat="1" ht="12" customHeight="1" outlineLevel="1" x14ac:dyDescent="0.25">
      <c r="A206" s="7"/>
      <c r="B206" s="8"/>
      <c r="C206" s="18"/>
      <c r="D206" s="18"/>
      <c r="E206" s="18"/>
      <c r="F206" s="18"/>
      <c r="G206" s="18"/>
      <c r="H206" s="18"/>
      <c r="I206" s="18"/>
      <c r="J206" s="548" t="s">
        <v>399</v>
      </c>
      <c r="K206" s="548"/>
      <c r="L206" s="548"/>
      <c r="M206" s="548"/>
      <c r="N206" s="548"/>
      <c r="O206" s="548"/>
      <c r="P206" s="548"/>
      <c r="Q206" s="548"/>
      <c r="R206" s="548" t="s">
        <v>3113</v>
      </c>
      <c r="S206" s="548"/>
      <c r="T206" s="548"/>
      <c r="U206" s="548"/>
      <c r="V206" s="548"/>
      <c r="W206" s="548"/>
      <c r="X206" s="548"/>
      <c r="Y206" s="548"/>
      <c r="Z206" s="548"/>
      <c r="AA206" s="548"/>
      <c r="AB206" s="548"/>
      <c r="AC206" s="548"/>
      <c r="AD206" s="548" t="s">
        <v>400</v>
      </c>
      <c r="AE206" s="548"/>
      <c r="AF206" s="548"/>
      <c r="AG206" s="548"/>
      <c r="AH206" s="548"/>
      <c r="AI206" s="548"/>
      <c r="AJ206" s="548" t="s">
        <v>3114</v>
      </c>
      <c r="AK206" s="548"/>
      <c r="AL206" s="549"/>
      <c r="AM206" s="549"/>
      <c r="AN206" s="21"/>
      <c r="AO206" s="17"/>
      <c r="AP206" s="9"/>
      <c r="AQ206" s="9"/>
      <c r="AR206" s="9"/>
    </row>
    <row r="207" spans="1:44" customFormat="1" ht="12" customHeight="1" outlineLevel="1" x14ac:dyDescent="0.25">
      <c r="A207" s="7"/>
      <c r="B207" s="8"/>
      <c r="C207" s="18"/>
      <c r="D207" s="18"/>
      <c r="E207" s="18"/>
      <c r="F207" s="18"/>
      <c r="G207" s="18"/>
      <c r="H207" s="18"/>
      <c r="I207" s="18"/>
      <c r="J207" s="550" t="s">
        <v>3115</v>
      </c>
      <c r="K207" s="550" t="s">
        <v>3116</v>
      </c>
      <c r="L207" s="550" t="s">
        <v>3117</v>
      </c>
      <c r="M207" s="550" t="s">
        <v>3117</v>
      </c>
      <c r="N207" s="550" t="s">
        <v>3117</v>
      </c>
      <c r="O207" s="550" t="s">
        <v>3117</v>
      </c>
      <c r="P207" s="550" t="s">
        <v>3117</v>
      </c>
      <c r="Q207" s="550" t="s">
        <v>3118</v>
      </c>
      <c r="R207" s="550" t="s">
        <v>3119</v>
      </c>
      <c r="S207" s="550" t="s">
        <v>3119</v>
      </c>
      <c r="T207" s="550" t="s">
        <v>3120</v>
      </c>
      <c r="U207" s="550" t="s">
        <v>3120</v>
      </c>
      <c r="V207" s="550" t="s">
        <v>3121</v>
      </c>
      <c r="W207" s="550" t="s">
        <v>3121</v>
      </c>
      <c r="X207" s="550" t="s">
        <v>3122</v>
      </c>
      <c r="Y207" s="550" t="s">
        <v>3122</v>
      </c>
      <c r="Z207" s="550" t="s">
        <v>3123</v>
      </c>
      <c r="AA207" s="550" t="s">
        <v>3123</v>
      </c>
      <c r="AB207" s="550" t="s">
        <v>3124</v>
      </c>
      <c r="AC207" s="550" t="s">
        <v>3124</v>
      </c>
      <c r="AD207" s="550" t="s">
        <v>3125</v>
      </c>
      <c r="AE207" s="550" t="s">
        <v>3126</v>
      </c>
      <c r="AF207" s="550" t="s">
        <v>3127</v>
      </c>
      <c r="AG207" s="550" t="s">
        <v>3128</v>
      </c>
      <c r="AH207" s="550" t="s">
        <v>3128</v>
      </c>
      <c r="AI207" s="550" t="s">
        <v>3129</v>
      </c>
      <c r="AJ207" s="549" t="s">
        <v>3130</v>
      </c>
      <c r="AK207" s="549" t="s">
        <v>3130</v>
      </c>
      <c r="AL207" s="549"/>
      <c r="AM207" s="549"/>
      <c r="AN207" s="21"/>
      <c r="AO207" s="17"/>
      <c r="AP207" s="9"/>
      <c r="AQ207" s="9"/>
      <c r="AR207" s="9"/>
    </row>
    <row r="208" spans="1:44" customFormat="1" ht="12" customHeight="1" outlineLevel="1" x14ac:dyDescent="0.25">
      <c r="A208" s="7"/>
      <c r="B208" s="8"/>
      <c r="C208" s="18"/>
      <c r="D208" s="18"/>
      <c r="E208" s="18"/>
      <c r="F208" s="18"/>
      <c r="G208" s="18"/>
      <c r="H208" s="18"/>
      <c r="I208" s="21"/>
      <c r="J208" s="550" t="s">
        <v>3131</v>
      </c>
      <c r="K208" s="550" t="s">
        <v>3131</v>
      </c>
      <c r="L208" s="550" t="s">
        <v>3131</v>
      </c>
      <c r="M208" s="550" t="s">
        <v>3131</v>
      </c>
      <c r="N208" s="550" t="s">
        <v>3131</v>
      </c>
      <c r="O208" s="550" t="s">
        <v>3131</v>
      </c>
      <c r="P208" s="550" t="s">
        <v>3131</v>
      </c>
      <c r="Q208" s="550" t="s">
        <v>3131</v>
      </c>
      <c r="R208" s="550" t="s">
        <v>3132</v>
      </c>
      <c r="S208" s="550" t="s">
        <v>3133</v>
      </c>
      <c r="T208" s="550" t="s">
        <v>3134</v>
      </c>
      <c r="U208" s="550" t="s">
        <v>3135</v>
      </c>
      <c r="V208" s="550" t="s">
        <v>3136</v>
      </c>
      <c r="W208" s="550" t="s">
        <v>3137</v>
      </c>
      <c r="X208" s="550" t="s">
        <v>3138</v>
      </c>
      <c r="Y208" s="550" t="s">
        <v>3139</v>
      </c>
      <c r="Z208" s="550" t="s">
        <v>3140</v>
      </c>
      <c r="AA208" s="550" t="s">
        <v>3131</v>
      </c>
      <c r="AB208" s="550" t="s">
        <v>3140</v>
      </c>
      <c r="AC208" s="550" t="s">
        <v>3131</v>
      </c>
      <c r="AD208" s="550" t="s">
        <v>3141</v>
      </c>
      <c r="AE208" s="550" t="s">
        <v>3141</v>
      </c>
      <c r="AF208" s="550" t="s">
        <v>3141</v>
      </c>
      <c r="AG208" s="550" t="s">
        <v>3141</v>
      </c>
      <c r="AH208" s="550" t="s">
        <v>3142</v>
      </c>
      <c r="AI208" s="550" t="s">
        <v>3141</v>
      </c>
      <c r="AJ208" s="550" t="s">
        <v>3143</v>
      </c>
      <c r="AK208" s="550" t="s">
        <v>3142</v>
      </c>
      <c r="AL208" s="549"/>
      <c r="AM208" s="549"/>
      <c r="AN208" s="21"/>
      <c r="AO208" s="17"/>
      <c r="AP208" s="9"/>
      <c r="AQ208" s="9"/>
      <c r="AR208" s="9"/>
    </row>
    <row r="209" spans="1:44" customFormat="1" ht="5.0999999999999996" customHeight="1" outlineLevel="1" x14ac:dyDescent="0.25">
      <c r="A209" s="7"/>
      <c r="B209" s="8"/>
      <c r="C209" s="18"/>
      <c r="D209" s="18"/>
      <c r="E209" s="18"/>
      <c r="F209" s="18"/>
      <c r="G209" s="18"/>
      <c r="H209" s="18"/>
      <c r="I209" s="18"/>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21"/>
      <c r="AO209" s="17"/>
      <c r="AP209" s="9"/>
      <c r="AQ209" s="9"/>
      <c r="AR209" s="9"/>
    </row>
    <row r="210" spans="1:44" customFormat="1" ht="5.0999999999999996" customHeight="1" outlineLevel="1" x14ac:dyDescent="0.25">
      <c r="A210" s="7"/>
      <c r="B210" s="8"/>
      <c r="C210" s="18"/>
      <c r="D210" s="18"/>
      <c r="E210" s="18"/>
      <c r="F210" s="24"/>
      <c r="G210" s="25"/>
      <c r="H210" s="25"/>
      <c r="I210" s="493"/>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27"/>
      <c r="AO210" s="17"/>
      <c r="AP210" s="9"/>
      <c r="AQ210" s="9"/>
      <c r="AR210" s="9"/>
    </row>
    <row r="211" spans="1:44" customFormat="1" x14ac:dyDescent="0.25">
      <c r="A211" s="7"/>
      <c r="B211" s="8"/>
      <c r="C211" s="18"/>
      <c r="D211" s="18"/>
      <c r="E211" s="18"/>
      <c r="F211" s="24"/>
      <c r="G211" s="551" t="s">
        <v>3144</v>
      </c>
      <c r="H211" s="25"/>
      <c r="I211" s="493"/>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27"/>
      <c r="AO211" s="17"/>
      <c r="AP211" s="9"/>
      <c r="AQ211" s="9"/>
      <c r="AR211" s="9"/>
    </row>
    <row r="212" spans="1:44" customFormat="1" outlineLevel="1" x14ac:dyDescent="0.25">
      <c r="A212" s="7"/>
      <c r="B212" s="8"/>
      <c r="C212" s="18"/>
      <c r="D212" s="18"/>
      <c r="E212" s="18"/>
      <c r="F212" s="24"/>
      <c r="G212" s="25"/>
      <c r="H212" s="25" t="s">
        <v>3145</v>
      </c>
      <c r="I212" s="493"/>
      <c r="J212" s="552" t="b">
        <v>1</v>
      </c>
      <c r="K212" s="552" t="b">
        <v>1</v>
      </c>
      <c r="L212" s="552" t="b">
        <v>1</v>
      </c>
      <c r="M212" s="552" t="b">
        <v>1</v>
      </c>
      <c r="N212" s="552" t="b">
        <v>1</v>
      </c>
      <c r="O212" s="552" t="b">
        <v>1</v>
      </c>
      <c r="P212" s="552" t="b">
        <v>1</v>
      </c>
      <c r="Q212" s="552" t="b">
        <v>1</v>
      </c>
      <c r="R212" s="552" t="b">
        <v>0</v>
      </c>
      <c r="S212" s="552" t="b">
        <v>1</v>
      </c>
      <c r="T212" s="552" t="b">
        <v>0</v>
      </c>
      <c r="U212" s="552" t="b">
        <v>1</v>
      </c>
      <c r="V212" s="552" t="b">
        <v>0</v>
      </c>
      <c r="W212" s="552" t="b">
        <v>1</v>
      </c>
      <c r="X212" s="552" t="b">
        <v>0</v>
      </c>
      <c r="Y212" s="552" t="b">
        <v>1</v>
      </c>
      <c r="Z212" s="552" t="b">
        <v>0</v>
      </c>
      <c r="AA212" s="552" t="b">
        <v>1</v>
      </c>
      <c r="AB212" s="552" t="b">
        <v>0</v>
      </c>
      <c r="AC212" s="552" t="b">
        <v>1</v>
      </c>
      <c r="AD212" s="552" t="b">
        <v>1</v>
      </c>
      <c r="AE212" s="552" t="b">
        <v>1</v>
      </c>
      <c r="AF212" s="552" t="b">
        <v>1</v>
      </c>
      <c r="AG212" s="552" t="b">
        <v>1</v>
      </c>
      <c r="AH212" s="552" t="b">
        <v>1</v>
      </c>
      <c r="AI212" s="552" t="b">
        <v>1</v>
      </c>
      <c r="AJ212" s="552" t="b">
        <v>1</v>
      </c>
      <c r="AK212" s="552" t="b">
        <v>1</v>
      </c>
      <c r="AL212" s="494"/>
      <c r="AM212" s="494"/>
      <c r="AN212" s="27"/>
      <c r="AO212" s="17"/>
      <c r="AP212" s="9"/>
      <c r="AQ212" s="9"/>
      <c r="AR212" s="9"/>
    </row>
    <row r="213" spans="1:44" customFormat="1" outlineLevel="1" x14ac:dyDescent="0.25">
      <c r="A213" s="7"/>
      <c r="B213" s="8"/>
      <c r="C213" s="18"/>
      <c r="D213" s="18"/>
      <c r="E213" s="18"/>
      <c r="F213" s="24"/>
      <c r="G213" s="25"/>
      <c r="H213" s="25"/>
      <c r="I213" s="493"/>
      <c r="J213" s="493"/>
      <c r="K213" s="493"/>
      <c r="L213" s="493"/>
      <c r="M213" s="493"/>
      <c r="N213" s="493"/>
      <c r="O213" s="493"/>
      <c r="P213" s="493"/>
      <c r="Q213" s="493"/>
      <c r="R213" s="493"/>
      <c r="S213" s="493"/>
      <c r="T213" s="493"/>
      <c r="U213" s="493"/>
      <c r="V213" s="493"/>
      <c r="W213" s="493"/>
      <c r="X213" s="493"/>
      <c r="Y213" s="493"/>
      <c r="Z213" s="493"/>
      <c r="AA213" s="493"/>
      <c r="AB213" s="493"/>
      <c r="AC213" s="493"/>
      <c r="AD213" s="493"/>
      <c r="AE213" s="493"/>
      <c r="AF213" s="493"/>
      <c r="AG213" s="493"/>
      <c r="AH213" s="493"/>
      <c r="AI213" s="493"/>
      <c r="AJ213" s="493"/>
      <c r="AK213" s="493"/>
      <c r="AL213" s="494"/>
      <c r="AM213" s="494"/>
      <c r="AN213" s="27"/>
      <c r="AO213" s="17"/>
      <c r="AP213" s="9"/>
      <c r="AQ213" s="9"/>
      <c r="AR213" s="9"/>
    </row>
    <row r="214" spans="1:44" customFormat="1" outlineLevel="1" x14ac:dyDescent="0.25">
      <c r="A214" s="7"/>
      <c r="B214" s="8"/>
      <c r="C214" s="18"/>
      <c r="D214" s="18"/>
      <c r="E214" s="18"/>
      <c r="F214" s="24"/>
      <c r="G214" s="25"/>
      <c r="H214" s="25" t="s">
        <v>3146</v>
      </c>
      <c r="I214" s="493"/>
      <c r="J214" s="553">
        <v>42402</v>
      </c>
      <c r="K214" s="553">
        <v>42374</v>
      </c>
      <c r="L214" s="553">
        <v>39476</v>
      </c>
      <c r="M214" s="553">
        <v>39476</v>
      </c>
      <c r="N214" s="553">
        <v>41687</v>
      </c>
      <c r="O214" s="553">
        <v>42045</v>
      </c>
      <c r="P214" s="553">
        <v>42045</v>
      </c>
      <c r="Q214" s="553">
        <v>42346</v>
      </c>
      <c r="R214" s="553">
        <v>42347</v>
      </c>
      <c r="S214" s="553">
        <v>42347</v>
      </c>
      <c r="T214" s="553">
        <v>42332</v>
      </c>
      <c r="U214" s="553">
        <v>42332</v>
      </c>
      <c r="V214" s="553">
        <v>42430</v>
      </c>
      <c r="W214" s="553">
        <v>42430</v>
      </c>
      <c r="X214" s="553">
        <v>43080</v>
      </c>
      <c r="Y214" s="553">
        <v>43080</v>
      </c>
      <c r="Z214" s="553">
        <v>43089</v>
      </c>
      <c r="AA214" s="553">
        <v>43089</v>
      </c>
      <c r="AB214" s="553">
        <v>43082</v>
      </c>
      <c r="AC214" s="553">
        <v>43082</v>
      </c>
      <c r="AD214" s="553">
        <v>45258</v>
      </c>
      <c r="AE214" s="553">
        <v>45230</v>
      </c>
      <c r="AF214" s="553">
        <v>45246</v>
      </c>
      <c r="AG214" s="553">
        <v>45233</v>
      </c>
      <c r="AH214" s="553">
        <v>45233</v>
      </c>
      <c r="AI214" s="553">
        <v>45250</v>
      </c>
      <c r="AJ214" s="553">
        <v>43820</v>
      </c>
      <c r="AK214" s="553">
        <f>AVERAGE(AF214:AG214)</f>
        <v>45239.5</v>
      </c>
      <c r="AL214" s="494"/>
      <c r="AM214" s="494"/>
      <c r="AN214" s="27"/>
      <c r="AO214" s="17"/>
      <c r="AP214" s="9"/>
      <c r="AQ214" s="9"/>
      <c r="AR214" s="9"/>
    </row>
    <row r="215" spans="1:44" customFormat="1" outlineLevel="1" x14ac:dyDescent="0.25">
      <c r="A215" s="7"/>
      <c r="B215" s="8"/>
      <c r="C215" s="18"/>
      <c r="D215" s="18"/>
      <c r="E215" s="18"/>
      <c r="F215" s="24"/>
      <c r="G215" s="25"/>
      <c r="H215" s="25" t="s">
        <v>3146</v>
      </c>
      <c r="I215" s="493"/>
      <c r="J215" s="385">
        <f>MIN(364,INT((J214 - DATE(YEAR(J214),1,1))))</f>
        <v>32</v>
      </c>
      <c r="K215" s="385">
        <f t="shared" ref="K215:AI215" si="7">MIN(364,INT((K214 - DATE(YEAR(K214),1,1))))</f>
        <v>4</v>
      </c>
      <c r="L215" s="385">
        <f t="shared" si="7"/>
        <v>28</v>
      </c>
      <c r="M215" s="385">
        <f t="shared" si="7"/>
        <v>28</v>
      </c>
      <c r="N215" s="385">
        <f t="shared" si="7"/>
        <v>47</v>
      </c>
      <c r="O215" s="385">
        <f t="shared" si="7"/>
        <v>40</v>
      </c>
      <c r="P215" s="385">
        <f t="shared" si="7"/>
        <v>40</v>
      </c>
      <c r="Q215" s="385">
        <f t="shared" si="7"/>
        <v>341</v>
      </c>
      <c r="R215" s="385">
        <f t="shared" si="7"/>
        <v>342</v>
      </c>
      <c r="S215" s="385">
        <f t="shared" si="7"/>
        <v>342</v>
      </c>
      <c r="T215" s="385">
        <f t="shared" si="7"/>
        <v>327</v>
      </c>
      <c r="U215" s="385">
        <f t="shared" si="7"/>
        <v>327</v>
      </c>
      <c r="V215" s="385">
        <f t="shared" si="7"/>
        <v>60</v>
      </c>
      <c r="W215" s="385">
        <f t="shared" si="7"/>
        <v>60</v>
      </c>
      <c r="X215" s="385">
        <f t="shared" si="7"/>
        <v>344</v>
      </c>
      <c r="Y215" s="385">
        <f t="shared" si="7"/>
        <v>344</v>
      </c>
      <c r="Z215" s="385">
        <f t="shared" si="7"/>
        <v>353</v>
      </c>
      <c r="AA215" s="385">
        <f t="shared" si="7"/>
        <v>353</v>
      </c>
      <c r="AB215" s="385">
        <f t="shared" si="7"/>
        <v>346</v>
      </c>
      <c r="AC215" s="385">
        <f t="shared" si="7"/>
        <v>346</v>
      </c>
      <c r="AD215" s="385">
        <f t="shared" si="7"/>
        <v>331</v>
      </c>
      <c r="AE215" s="385">
        <f t="shared" si="7"/>
        <v>303</v>
      </c>
      <c r="AF215" s="385">
        <f t="shared" si="7"/>
        <v>319</v>
      </c>
      <c r="AG215" s="385">
        <f t="shared" si="7"/>
        <v>306</v>
      </c>
      <c r="AH215" s="385">
        <f t="shared" si="7"/>
        <v>306</v>
      </c>
      <c r="AI215" s="385">
        <f t="shared" si="7"/>
        <v>323</v>
      </c>
      <c r="AJ215" s="385">
        <f>MIN(364,INT((AJ214 - DATE(YEAR(AJ214),1,1))))</f>
        <v>354</v>
      </c>
      <c r="AK215" s="385">
        <f t="shared" ref="AK215" si="8">MIN(364,INT((AK214 - DATE(YEAR(AK214),1,1))))</f>
        <v>312</v>
      </c>
      <c r="AL215" s="494"/>
      <c r="AM215" s="494"/>
      <c r="AN215" s="27"/>
      <c r="AO215" s="17"/>
      <c r="AP215" s="9"/>
      <c r="AQ215" s="9"/>
      <c r="AR215" s="9"/>
    </row>
    <row r="216" spans="1:44" customFormat="1" ht="12" customHeight="1" outlineLevel="1" x14ac:dyDescent="0.25">
      <c r="A216" s="7"/>
      <c r="B216" s="8"/>
      <c r="C216" s="18"/>
      <c r="D216" s="18"/>
      <c r="E216" s="18"/>
      <c r="F216" s="24"/>
      <c r="G216" s="28"/>
      <c r="H216" s="25" t="s">
        <v>3147</v>
      </c>
      <c r="I216" s="493"/>
      <c r="J216" s="554">
        <f>J214-DATE(YEAR(J214)-1,12,1)</f>
        <v>63</v>
      </c>
      <c r="K216" s="554">
        <f t="shared" ref="K216:P216" si="9">K214-DATE(YEAR(K214)-1,12,1)</f>
        <v>35</v>
      </c>
      <c r="L216" s="554">
        <f t="shared" si="9"/>
        <v>59</v>
      </c>
      <c r="M216" s="554">
        <f t="shared" si="9"/>
        <v>59</v>
      </c>
      <c r="N216" s="554">
        <f t="shared" si="9"/>
        <v>78</v>
      </c>
      <c r="O216" s="554">
        <f t="shared" si="9"/>
        <v>71</v>
      </c>
      <c r="P216" s="554">
        <f t="shared" si="9"/>
        <v>71</v>
      </c>
      <c r="Q216" s="554">
        <f>Q214-DATE(YEAR(Q214),12,1)</f>
        <v>7</v>
      </c>
      <c r="R216" s="554">
        <v>8</v>
      </c>
      <c r="S216" s="554">
        <v>8</v>
      </c>
      <c r="T216" s="554">
        <v>0</v>
      </c>
      <c r="U216" s="554">
        <v>0</v>
      </c>
      <c r="V216" s="554">
        <f t="shared" ref="V216:W216" si="10">V214-DATE(2015,12,1)</f>
        <v>91</v>
      </c>
      <c r="W216" s="554">
        <f t="shared" si="10"/>
        <v>91</v>
      </c>
      <c r="X216" s="554">
        <v>11</v>
      </c>
      <c r="Y216" s="554">
        <v>11</v>
      </c>
      <c r="Z216" s="554">
        <v>20</v>
      </c>
      <c r="AA216" s="554">
        <v>20</v>
      </c>
      <c r="AB216" s="554">
        <v>13</v>
      </c>
      <c r="AC216" s="554">
        <v>13</v>
      </c>
      <c r="AD216" s="554">
        <v>0</v>
      </c>
      <c r="AE216" s="554">
        <v>0</v>
      </c>
      <c r="AF216" s="554">
        <v>0</v>
      </c>
      <c r="AG216" s="554">
        <v>0</v>
      </c>
      <c r="AH216" s="554">
        <v>0</v>
      </c>
      <c r="AI216" s="554">
        <v>20</v>
      </c>
      <c r="AJ216" s="554">
        <v>20</v>
      </c>
      <c r="AK216" s="555">
        <f>AVERAGE(AE216:AF216)</f>
        <v>0</v>
      </c>
      <c r="AL216" s="496"/>
      <c r="AM216" s="496"/>
      <c r="AN216" s="27"/>
      <c r="AO216" s="17"/>
      <c r="AP216" s="9"/>
      <c r="AQ216" s="9"/>
      <c r="AR216" s="9"/>
    </row>
    <row r="217" spans="1:44" customFormat="1" outlineLevel="1" x14ac:dyDescent="0.25">
      <c r="A217" s="7"/>
      <c r="B217" s="8"/>
      <c r="C217" s="18"/>
      <c r="D217" s="18"/>
      <c r="E217" s="18"/>
      <c r="F217" s="24"/>
      <c r="G217" s="25"/>
      <c r="H217" s="25" t="s">
        <v>3148</v>
      </c>
      <c r="I217" s="493"/>
      <c r="J217" s="552">
        <v>9</v>
      </c>
      <c r="K217" s="552">
        <v>9</v>
      </c>
      <c r="L217" s="552">
        <v>9</v>
      </c>
      <c r="M217" s="552">
        <v>9</v>
      </c>
      <c r="N217" s="552">
        <v>9</v>
      </c>
      <c r="O217" s="552">
        <v>9</v>
      </c>
      <c r="P217" s="552">
        <v>9</v>
      </c>
      <c r="Q217" s="552">
        <v>9</v>
      </c>
      <c r="R217" s="552">
        <v>9</v>
      </c>
      <c r="S217" s="552">
        <v>9</v>
      </c>
      <c r="T217" s="552">
        <v>9</v>
      </c>
      <c r="U217" s="552">
        <v>9</v>
      </c>
      <c r="V217" s="552">
        <v>9</v>
      </c>
      <c r="W217" s="552">
        <v>9</v>
      </c>
      <c r="X217" s="552">
        <v>9</v>
      </c>
      <c r="Y217" s="552">
        <v>9</v>
      </c>
      <c r="Z217" s="552">
        <v>9</v>
      </c>
      <c r="AA217" s="552">
        <v>9</v>
      </c>
      <c r="AB217" s="552">
        <v>9</v>
      </c>
      <c r="AC217" s="552">
        <v>9</v>
      </c>
      <c r="AD217" s="552">
        <v>20</v>
      </c>
      <c r="AE217" s="552">
        <v>20</v>
      </c>
      <c r="AF217" s="552">
        <v>20</v>
      </c>
      <c r="AG217" s="552">
        <v>20</v>
      </c>
      <c r="AH217" s="552">
        <v>20</v>
      </c>
      <c r="AI217" s="552">
        <v>20</v>
      </c>
      <c r="AJ217" s="552">
        <v>9</v>
      </c>
      <c r="AK217" s="556">
        <f>INT(AVERAGE(AE217:AF217))</f>
        <v>20</v>
      </c>
      <c r="AL217" s="494"/>
      <c r="AM217" s="494"/>
      <c r="AN217" s="27"/>
      <c r="AO217" s="17"/>
      <c r="AP217" s="9"/>
      <c r="AQ217" s="9"/>
      <c r="AR217" s="9"/>
    </row>
    <row r="218" spans="1:44" customFormat="1" outlineLevel="1" x14ac:dyDescent="0.25">
      <c r="A218" s="7"/>
      <c r="B218" s="8"/>
      <c r="C218" s="18"/>
      <c r="D218" s="18"/>
      <c r="E218" s="18"/>
      <c r="F218" s="24"/>
      <c r="G218" s="25"/>
      <c r="H218" s="25"/>
      <c r="I218" s="493"/>
      <c r="J218" s="494"/>
      <c r="K218" s="494"/>
      <c r="L218" s="494"/>
      <c r="M218" s="494"/>
      <c r="N218" s="494"/>
      <c r="O218" s="494"/>
      <c r="P218" s="494"/>
      <c r="Q218" s="494"/>
      <c r="R218" s="615">
        <v>0.5</v>
      </c>
      <c r="S218" s="614">
        <f t="shared" ref="S218:AC218" si="11">$R218</f>
        <v>0.5</v>
      </c>
      <c r="T218" s="614">
        <f t="shared" si="11"/>
        <v>0.5</v>
      </c>
      <c r="U218" s="614">
        <f t="shared" si="11"/>
        <v>0.5</v>
      </c>
      <c r="V218" s="614">
        <f t="shared" si="11"/>
        <v>0.5</v>
      </c>
      <c r="W218" s="614">
        <f t="shared" si="11"/>
        <v>0.5</v>
      </c>
      <c r="X218" s="614">
        <f t="shared" si="11"/>
        <v>0.5</v>
      </c>
      <c r="Y218" s="614">
        <f t="shared" si="11"/>
        <v>0.5</v>
      </c>
      <c r="Z218" s="614">
        <f t="shared" si="11"/>
        <v>0.5</v>
      </c>
      <c r="AA218" s="614">
        <f t="shared" si="11"/>
        <v>0.5</v>
      </c>
      <c r="AB218" s="614">
        <f t="shared" si="11"/>
        <v>0.5</v>
      </c>
      <c r="AC218" s="614">
        <f t="shared" si="11"/>
        <v>0.5</v>
      </c>
      <c r="AD218" s="494"/>
      <c r="AE218" s="494"/>
      <c r="AF218" s="494"/>
      <c r="AG218" s="494"/>
      <c r="AH218" s="494"/>
      <c r="AI218" s="494"/>
      <c r="AJ218" s="614">
        <f>$R218</f>
        <v>0.5</v>
      </c>
      <c r="AK218" s="494"/>
      <c r="AL218" s="494"/>
      <c r="AM218" s="494"/>
      <c r="AN218" s="27"/>
      <c r="AO218" s="17"/>
      <c r="AP218" s="9"/>
      <c r="AQ218" s="9"/>
      <c r="AR218" s="9"/>
    </row>
    <row r="219" spans="1:44" customFormat="1" outlineLevel="1" x14ac:dyDescent="0.25">
      <c r="A219" s="7"/>
      <c r="B219" s="8"/>
      <c r="C219" s="18"/>
      <c r="D219" s="18"/>
      <c r="E219" s="18"/>
      <c r="F219" s="24"/>
      <c r="G219" s="25"/>
      <c r="H219" s="25" t="s">
        <v>3149</v>
      </c>
      <c r="J219" s="557">
        <v>2.16</v>
      </c>
      <c r="K219" s="557">
        <v>3.16</v>
      </c>
      <c r="L219" s="557">
        <v>1.9799999999999989</v>
      </c>
      <c r="M219" s="557">
        <v>3.96</v>
      </c>
      <c r="N219" s="557">
        <v>2.36</v>
      </c>
      <c r="O219" s="557">
        <v>2.4300000000000002</v>
      </c>
      <c r="P219" s="557">
        <v>2.4699999999999998</v>
      </c>
      <c r="Q219" s="557">
        <v>2.2000000000000002</v>
      </c>
      <c r="R219" s="558">
        <f>R$218*12</f>
        <v>6</v>
      </c>
      <c r="S219" s="558">
        <f>S$218*12</f>
        <v>6</v>
      </c>
      <c r="T219" s="558">
        <f>T$218*9</f>
        <v>4.5</v>
      </c>
      <c r="U219" s="558">
        <f>U$218*9</f>
        <v>4.5</v>
      </c>
      <c r="V219" s="558">
        <f>V$218*7</f>
        <v>3.5</v>
      </c>
      <c r="W219" s="558">
        <f>W$218*7</f>
        <v>3.5</v>
      </c>
      <c r="X219" s="558">
        <f>X$218*7.8</f>
        <v>3.9</v>
      </c>
      <c r="Y219" s="558">
        <f>Y$218*5.6</f>
        <v>2.8</v>
      </c>
      <c r="Z219" s="558">
        <f>Z$218*8.9</f>
        <v>4.45</v>
      </c>
      <c r="AA219" s="558">
        <f>AA$218*8.9</f>
        <v>4.45</v>
      </c>
      <c r="AB219" s="558">
        <f>AB$218*4.8</f>
        <v>2.4</v>
      </c>
      <c r="AC219" s="558">
        <f>AC$218*4.8</f>
        <v>2.4</v>
      </c>
      <c r="AD219" s="558">
        <v>36</v>
      </c>
      <c r="AE219" s="558">
        <v>41</v>
      </c>
      <c r="AF219" s="558">
        <v>32</v>
      </c>
      <c r="AG219" s="558">
        <v>23</v>
      </c>
      <c r="AH219" s="558">
        <v>23</v>
      </c>
      <c r="AI219" s="558">
        <v>25</v>
      </c>
      <c r="AJ219" s="558">
        <f>AJ$218*7.88</f>
        <v>3.94</v>
      </c>
      <c r="AK219" s="559">
        <f>AVERAGE(AE219:AF219)</f>
        <v>36.5</v>
      </c>
      <c r="AL219" s="494"/>
      <c r="AM219" s="494"/>
      <c r="AN219" s="27"/>
      <c r="AO219" s="17"/>
      <c r="AP219" s="9"/>
      <c r="AQ219" s="9"/>
      <c r="AR219" s="9"/>
    </row>
    <row r="220" spans="1:44" customFormat="1" outlineLevel="1" x14ac:dyDescent="0.2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4"/>
      <c r="AM220" s="494"/>
      <c r="AN220" s="27"/>
      <c r="AO220" s="17"/>
      <c r="AP220" s="9"/>
      <c r="AQ220" s="9"/>
      <c r="AR220" s="9"/>
    </row>
    <row r="221" spans="1:44" customFormat="1" outlineLevel="1" x14ac:dyDescent="0.25">
      <c r="A221" s="7"/>
      <c r="B221" s="8"/>
      <c r="C221" s="18"/>
      <c r="D221" s="18"/>
      <c r="E221" s="18"/>
      <c r="F221" s="24"/>
      <c r="G221" s="25"/>
      <c r="H221" s="25" t="s">
        <v>3150</v>
      </c>
      <c r="I221" s="25"/>
      <c r="J221" s="558" t="s">
        <v>2327</v>
      </c>
      <c r="K221" s="558" t="s">
        <v>2327</v>
      </c>
      <c r="L221" s="558" t="s">
        <v>2327</v>
      </c>
      <c r="M221" s="558" t="s">
        <v>2327</v>
      </c>
      <c r="N221" s="558" t="s">
        <v>2327</v>
      </c>
      <c r="O221" s="558" t="s">
        <v>2327</v>
      </c>
      <c r="P221" s="558" t="s">
        <v>2327</v>
      </c>
      <c r="Q221" s="558" t="s">
        <v>2327</v>
      </c>
      <c r="R221" s="558" t="s">
        <v>3151</v>
      </c>
      <c r="S221" s="558" t="s">
        <v>2327</v>
      </c>
      <c r="T221" s="558" t="s">
        <v>3151</v>
      </c>
      <c r="U221" s="558" t="s">
        <v>2327</v>
      </c>
      <c r="V221" s="558" t="s">
        <v>3151</v>
      </c>
      <c r="W221" s="558" t="s">
        <v>2327</v>
      </c>
      <c r="X221" s="558" t="s">
        <v>3151</v>
      </c>
      <c r="Y221" s="558" t="s">
        <v>2327</v>
      </c>
      <c r="Z221" s="558" t="s">
        <v>3151</v>
      </c>
      <c r="AA221" s="558" t="s">
        <v>2327</v>
      </c>
      <c r="AB221" s="558" t="s">
        <v>3151</v>
      </c>
      <c r="AC221" s="558" t="s">
        <v>2327</v>
      </c>
      <c r="AD221" s="558" t="s">
        <v>2329</v>
      </c>
      <c r="AE221" s="558" t="s">
        <v>2329</v>
      </c>
      <c r="AF221" s="558" t="s">
        <v>2329</v>
      </c>
      <c r="AG221" s="558" t="s">
        <v>2329</v>
      </c>
      <c r="AH221" s="558" t="s">
        <v>2329</v>
      </c>
      <c r="AI221" s="558" t="s">
        <v>2329</v>
      </c>
      <c r="AJ221" s="558" t="s">
        <v>2327</v>
      </c>
      <c r="AK221" s="558" t="s">
        <v>2329</v>
      </c>
      <c r="AL221" s="494"/>
      <c r="AM221" s="494"/>
      <c r="AN221" s="27"/>
      <c r="AO221" s="17"/>
      <c r="AP221" s="9"/>
      <c r="AQ221" s="9"/>
      <c r="AR221" s="9"/>
    </row>
    <row r="222" spans="1:44" customFormat="1" outlineLevel="1" x14ac:dyDescent="0.25">
      <c r="A222" s="7"/>
      <c r="B222" s="8"/>
      <c r="C222" s="18"/>
      <c r="D222" s="18"/>
      <c r="E222" s="18"/>
      <c r="F222" s="24"/>
      <c r="G222" s="25"/>
      <c r="H222" s="25" t="s">
        <v>3152</v>
      </c>
      <c r="I222" s="25"/>
      <c r="J222" s="558" t="s">
        <v>5</v>
      </c>
      <c r="K222" s="558" t="s">
        <v>5</v>
      </c>
      <c r="L222" s="558" t="s">
        <v>5</v>
      </c>
      <c r="M222" s="558" t="s">
        <v>5</v>
      </c>
      <c r="N222" s="558" t="s">
        <v>5</v>
      </c>
      <c r="O222" s="558" t="s">
        <v>5</v>
      </c>
      <c r="P222" s="558" t="s">
        <v>5</v>
      </c>
      <c r="Q222" s="558" t="s">
        <v>5</v>
      </c>
      <c r="R222" s="560" t="s">
        <v>4</v>
      </c>
      <c r="S222" s="560" t="s">
        <v>4</v>
      </c>
      <c r="T222" s="560" t="s">
        <v>8</v>
      </c>
      <c r="U222" s="560" t="s">
        <v>8</v>
      </c>
      <c r="V222" s="560" t="s">
        <v>5</v>
      </c>
      <c r="W222" s="560" t="s">
        <v>5</v>
      </c>
      <c r="X222" s="560" t="s">
        <v>8</v>
      </c>
      <c r="Y222" s="560" t="s">
        <v>8</v>
      </c>
      <c r="Z222" s="560" t="s">
        <v>5</v>
      </c>
      <c r="AA222" s="560" t="s">
        <v>5</v>
      </c>
      <c r="AB222" s="560" t="s">
        <v>5</v>
      </c>
      <c r="AC222" s="560" t="s">
        <v>5</v>
      </c>
      <c r="AD222" s="558" t="s">
        <v>7</v>
      </c>
      <c r="AE222" s="558" t="s">
        <v>7</v>
      </c>
      <c r="AF222" s="558" t="s">
        <v>7</v>
      </c>
      <c r="AG222" s="558" t="s">
        <v>7</v>
      </c>
      <c r="AH222" s="558" t="s">
        <v>72</v>
      </c>
      <c r="AI222" s="558" t="s">
        <v>7</v>
      </c>
      <c r="AJ222" s="558" t="s">
        <v>7</v>
      </c>
      <c r="AK222" s="558" t="s">
        <v>72</v>
      </c>
      <c r="AL222" s="494"/>
      <c r="AM222" s="494"/>
      <c r="AN222" s="27"/>
      <c r="AO222" s="17"/>
      <c r="AP222" s="9"/>
      <c r="AQ222" s="9"/>
      <c r="AR222" s="9"/>
    </row>
    <row r="223" spans="1:44" customFormat="1" ht="14.45" customHeight="1" outlineLevel="1" x14ac:dyDescent="0.25">
      <c r="A223" s="7"/>
      <c r="B223" s="8"/>
      <c r="C223" s="18"/>
      <c r="D223" s="18"/>
      <c r="E223" s="18"/>
      <c r="F223" s="24"/>
      <c r="G223" s="25"/>
      <c r="H223" s="561" t="s">
        <v>3153</v>
      </c>
      <c r="I223" s="25"/>
      <c r="J223" s="562">
        <v>2520</v>
      </c>
      <c r="K223" s="562">
        <v>1470</v>
      </c>
      <c r="L223" s="562">
        <v>1660</v>
      </c>
      <c r="M223" s="562">
        <v>1660</v>
      </c>
      <c r="N223" s="562">
        <v>2690</v>
      </c>
      <c r="O223" s="562">
        <v>2110</v>
      </c>
      <c r="P223" s="562">
        <v>2110</v>
      </c>
      <c r="Q223" s="562">
        <v>2520</v>
      </c>
      <c r="R223" s="562">
        <v>3000</v>
      </c>
      <c r="S223" s="562">
        <v>3000</v>
      </c>
      <c r="T223" s="562">
        <v>2000</v>
      </c>
      <c r="U223" s="562">
        <v>2000</v>
      </c>
      <c r="V223" s="562">
        <v>2100</v>
      </c>
      <c r="W223" s="562">
        <v>2100</v>
      </c>
      <c r="X223" s="562">
        <v>1600</v>
      </c>
      <c r="Y223" s="562">
        <v>1150</v>
      </c>
      <c r="Z223" s="562">
        <v>3000</v>
      </c>
      <c r="AA223" s="562">
        <v>3000</v>
      </c>
      <c r="AB223" s="562">
        <v>3000</v>
      </c>
      <c r="AC223" s="562">
        <v>3000</v>
      </c>
      <c r="AD223" s="562"/>
      <c r="AE223" s="562"/>
      <c r="AF223" s="562"/>
      <c r="AG223" s="562"/>
      <c r="AH223" s="562"/>
      <c r="AI223" s="562"/>
      <c r="AJ223" s="562">
        <v>2000</v>
      </c>
      <c r="AK223" s="562"/>
      <c r="AL223" s="494"/>
      <c r="AM223" s="494"/>
      <c r="AN223" s="27"/>
      <c r="AO223" s="17"/>
      <c r="AP223" s="9"/>
      <c r="AQ223" s="9"/>
      <c r="AR223" s="9"/>
    </row>
    <row r="224" spans="1:44" customFormat="1" outlineLevel="1" x14ac:dyDescent="0.25">
      <c r="A224" s="7"/>
      <c r="B224" s="8"/>
      <c r="C224" s="18"/>
      <c r="D224" s="18"/>
      <c r="E224" s="18"/>
      <c r="F224" s="24"/>
      <c r="G224" s="25"/>
      <c r="H224" s="563" t="s">
        <v>3154</v>
      </c>
      <c r="I224" s="564"/>
      <c r="J224" s="565">
        <f>J223/VLOOKUP(J$222,$G$140:$H$158,2)</f>
        <v>2680.8510638297876</v>
      </c>
      <c r="K224" s="565">
        <f t="shared" ref="K224:S224" si="12">K223/VLOOKUP(K$222,$G$140:$H$158,2)</f>
        <v>1563.8297872340427</v>
      </c>
      <c r="L224" s="565">
        <f t="shared" si="12"/>
        <v>1765.9574468085107</v>
      </c>
      <c r="M224" s="565">
        <f t="shared" si="12"/>
        <v>1765.9574468085107</v>
      </c>
      <c r="N224" s="565">
        <f t="shared" si="12"/>
        <v>2861.7021276595747</v>
      </c>
      <c r="O224" s="565">
        <f t="shared" si="12"/>
        <v>2244.6808510638298</v>
      </c>
      <c r="P224" s="565">
        <f t="shared" si="12"/>
        <v>2244.6808510638298</v>
      </c>
      <c r="Q224" s="565">
        <f t="shared" si="12"/>
        <v>2680.8510638297876</v>
      </c>
      <c r="R224" s="565">
        <f t="shared" si="12"/>
        <v>3191.489361702128</v>
      </c>
      <c r="S224" s="565">
        <f t="shared" si="12"/>
        <v>3191.489361702128</v>
      </c>
      <c r="T224" s="565">
        <f>T223/VLOOKUP(T$222,$G$140:$H$158,2)</f>
        <v>2061.855670103093</v>
      </c>
      <c r="U224" s="565">
        <f t="shared" ref="U224:AC224" si="13">U223/VLOOKUP(U$222,$G$140:$H$158,2)</f>
        <v>2061.855670103093</v>
      </c>
      <c r="V224" s="565">
        <f t="shared" si="13"/>
        <v>2234.0425531914893</v>
      </c>
      <c r="W224" s="565">
        <f t="shared" si="13"/>
        <v>2234.0425531914893</v>
      </c>
      <c r="X224" s="565">
        <f t="shared" si="13"/>
        <v>1649.4845360824743</v>
      </c>
      <c r="Y224" s="565">
        <f t="shared" si="13"/>
        <v>1185.5670103092784</v>
      </c>
      <c r="Z224" s="565">
        <f t="shared" si="13"/>
        <v>3191.489361702128</v>
      </c>
      <c r="AA224" s="565">
        <f t="shared" si="13"/>
        <v>3191.489361702128</v>
      </c>
      <c r="AB224" s="565">
        <f t="shared" si="13"/>
        <v>3191.489361702128</v>
      </c>
      <c r="AC224" s="565">
        <f t="shared" si="13"/>
        <v>3191.489361702128</v>
      </c>
      <c r="AD224" s="560">
        <f>AVERAGE(1700/0.95,3460)</f>
        <v>2624.7368421052633</v>
      </c>
      <c r="AE224" s="560">
        <f>AVERAGE(1750/0.95,2288)</f>
        <v>2065.0526315789475</v>
      </c>
      <c r="AF224" s="560">
        <f>AVERAGE(1700/0.95,1373)</f>
        <v>1581.2368421052633</v>
      </c>
      <c r="AG224" s="560">
        <f>AVERAGE(1800/0.95,4500)</f>
        <v>3197.3684210526317</v>
      </c>
      <c r="AH224" s="560">
        <f>AVERAGE(2800/0.95,4032)</f>
        <v>3489.6842105263158</v>
      </c>
      <c r="AI224" s="560">
        <f>AVERAGE(1800/0.95,2280)</f>
        <v>2087.3684210526317</v>
      </c>
      <c r="AJ224" s="565">
        <f>AJ223/VLOOKUP(AJ$222,$G$140:$H$158,2)</f>
        <v>2222.2222222222222</v>
      </c>
      <c r="AK224" s="560">
        <f t="shared" ref="AK224" si="14">AVERAGE(2800/0.95,4032)</f>
        <v>3489.6842105263158</v>
      </c>
      <c r="AL224" s="494"/>
      <c r="AM224" s="494"/>
      <c r="AN224" s="27"/>
      <c r="AO224" s="17"/>
      <c r="AP224" s="9"/>
      <c r="AQ224" s="9"/>
      <c r="AR224" s="9"/>
    </row>
    <row r="225" spans="1:44" customFormat="1" x14ac:dyDescent="0.25">
      <c r="A225" s="7"/>
      <c r="B225" s="8"/>
      <c r="C225" s="18"/>
      <c r="D225" s="18"/>
      <c r="E225" s="18"/>
      <c r="F225" s="24"/>
      <c r="G225" s="551" t="s">
        <v>3155</v>
      </c>
      <c r="H225" s="25"/>
      <c r="I225" s="493"/>
      <c r="J225" s="493"/>
      <c r="K225" s="493"/>
      <c r="L225" s="493"/>
      <c r="M225" s="493"/>
      <c r="N225" s="493"/>
      <c r="O225" s="493"/>
      <c r="P225" s="493"/>
      <c r="Q225" s="493"/>
      <c r="R225" s="493"/>
      <c r="S225" s="493"/>
      <c r="T225" s="493"/>
      <c r="U225" s="493"/>
      <c r="V225" s="493"/>
      <c r="W225" s="493"/>
      <c r="X225" s="493"/>
      <c r="Y225" s="493"/>
      <c r="Z225" s="493"/>
      <c r="AA225" s="493"/>
      <c r="AB225" s="493"/>
      <c r="AC225" s="493"/>
      <c r="AD225" s="493"/>
      <c r="AE225" s="493"/>
      <c r="AF225" s="493"/>
      <c r="AG225" s="493"/>
      <c r="AH225" s="493"/>
      <c r="AI225" s="493"/>
      <c r="AJ225" s="493"/>
      <c r="AK225" s="493"/>
      <c r="AL225" s="494"/>
      <c r="AM225" s="494"/>
      <c r="AN225" s="27"/>
      <c r="AO225" s="17"/>
      <c r="AP225" s="9"/>
      <c r="AQ225" s="9"/>
      <c r="AR225" s="9"/>
    </row>
    <row r="226" spans="1:44" customFormat="1" outlineLevel="1" x14ac:dyDescent="0.25">
      <c r="A226" s="7"/>
      <c r="B226" s="8"/>
      <c r="C226" s="18"/>
      <c r="D226" s="18"/>
      <c r="E226" s="18"/>
      <c r="F226" s="24"/>
      <c r="G226" s="25"/>
      <c r="H226" s="25" t="s">
        <v>3156</v>
      </c>
      <c r="I226" s="493"/>
      <c r="J226" s="558">
        <v>3</v>
      </c>
      <c r="K226" s="558">
        <v>3</v>
      </c>
      <c r="L226" s="558">
        <v>3</v>
      </c>
      <c r="M226" s="558">
        <v>3</v>
      </c>
      <c r="N226" s="558">
        <v>3</v>
      </c>
      <c r="O226" s="558">
        <v>3</v>
      </c>
      <c r="P226" s="558">
        <v>3</v>
      </c>
      <c r="Q226" s="558">
        <v>3</v>
      </c>
      <c r="R226" s="558">
        <v>3</v>
      </c>
      <c r="S226" s="558">
        <v>3</v>
      </c>
      <c r="T226" s="558">
        <v>3</v>
      </c>
      <c r="U226" s="558">
        <v>3</v>
      </c>
      <c r="V226" s="558">
        <v>3</v>
      </c>
      <c r="W226" s="558">
        <v>3</v>
      </c>
      <c r="X226" s="558">
        <v>3</v>
      </c>
      <c r="Y226" s="558">
        <v>3</v>
      </c>
      <c r="Z226" s="558">
        <v>3</v>
      </c>
      <c r="AA226" s="558">
        <v>3</v>
      </c>
      <c r="AB226" s="558">
        <v>3</v>
      </c>
      <c r="AC226" s="558">
        <v>3</v>
      </c>
      <c r="AD226" s="558">
        <v>1</v>
      </c>
      <c r="AE226" s="558">
        <v>1</v>
      </c>
      <c r="AF226" s="558">
        <v>1</v>
      </c>
      <c r="AG226" s="558">
        <v>1</v>
      </c>
      <c r="AH226" s="558">
        <v>1</v>
      </c>
      <c r="AI226" s="558">
        <v>1</v>
      </c>
      <c r="AJ226" s="558">
        <v>3</v>
      </c>
      <c r="AK226" s="559">
        <f t="shared" ref="AK226:AK231" si="15">AVERAGE(AE226:AF226)</f>
        <v>1</v>
      </c>
      <c r="AL226" s="494"/>
      <c r="AM226" s="494"/>
      <c r="AN226" s="27"/>
      <c r="AO226" s="17"/>
      <c r="AP226" s="9"/>
      <c r="AQ226" s="9"/>
      <c r="AR226" s="9"/>
    </row>
    <row r="227" spans="1:44" customFormat="1" outlineLevel="1" x14ac:dyDescent="0.25">
      <c r="A227" s="7"/>
      <c r="B227" s="8"/>
      <c r="C227" s="18"/>
      <c r="D227" s="18"/>
      <c r="E227" s="18"/>
      <c r="F227" s="24"/>
      <c r="G227" s="25"/>
      <c r="H227" s="25" t="s">
        <v>3157</v>
      </c>
      <c r="I227" s="493"/>
      <c r="J227" s="558">
        <v>3</v>
      </c>
      <c r="K227" s="558">
        <v>3</v>
      </c>
      <c r="L227" s="558">
        <v>3</v>
      </c>
      <c r="M227" s="558">
        <v>3</v>
      </c>
      <c r="N227" s="558">
        <v>3</v>
      </c>
      <c r="O227" s="558">
        <v>3</v>
      </c>
      <c r="P227" s="558">
        <v>3</v>
      </c>
      <c r="Q227" s="558">
        <v>3</v>
      </c>
      <c r="R227" s="558">
        <v>3</v>
      </c>
      <c r="S227" s="558">
        <v>3</v>
      </c>
      <c r="T227" s="558">
        <v>3</v>
      </c>
      <c r="U227" s="558">
        <v>3</v>
      </c>
      <c r="V227" s="558">
        <v>3</v>
      </c>
      <c r="W227" s="558">
        <v>3</v>
      </c>
      <c r="X227" s="558">
        <v>3</v>
      </c>
      <c r="Y227" s="558">
        <v>3</v>
      </c>
      <c r="Z227" s="558">
        <v>3</v>
      </c>
      <c r="AA227" s="558">
        <v>3</v>
      </c>
      <c r="AB227" s="558">
        <v>3</v>
      </c>
      <c r="AC227" s="558">
        <v>3</v>
      </c>
      <c r="AD227" s="558">
        <v>1.2</v>
      </c>
      <c r="AE227" s="558">
        <v>1.2</v>
      </c>
      <c r="AF227" s="558">
        <v>1.2</v>
      </c>
      <c r="AG227" s="558">
        <v>1.2</v>
      </c>
      <c r="AH227" s="558">
        <v>1.2</v>
      </c>
      <c r="AI227" s="558">
        <v>1.2</v>
      </c>
      <c r="AJ227" s="558">
        <v>3</v>
      </c>
      <c r="AK227" s="559">
        <f t="shared" si="15"/>
        <v>1.2</v>
      </c>
      <c r="AL227" s="494"/>
      <c r="AM227" s="494"/>
      <c r="AN227" s="27"/>
      <c r="AO227" s="17"/>
      <c r="AP227" s="9"/>
      <c r="AQ227" s="9"/>
      <c r="AR227" s="9"/>
    </row>
    <row r="228" spans="1:44" customFormat="1" outlineLevel="1" x14ac:dyDescent="0.25">
      <c r="A228" s="7"/>
      <c r="B228" s="8"/>
      <c r="C228" s="18"/>
      <c r="D228" s="18"/>
      <c r="E228" s="18"/>
      <c r="F228" s="24"/>
      <c r="G228" s="25"/>
      <c r="H228" s="25" t="s">
        <v>3158</v>
      </c>
      <c r="I228" s="493"/>
      <c r="J228" s="558">
        <v>21</v>
      </c>
      <c r="K228" s="558">
        <v>21</v>
      </c>
      <c r="L228" s="558">
        <v>21</v>
      </c>
      <c r="M228" s="558">
        <v>21</v>
      </c>
      <c r="N228" s="558">
        <v>21</v>
      </c>
      <c r="O228" s="558">
        <v>21</v>
      </c>
      <c r="P228" s="558">
        <v>21</v>
      </c>
      <c r="Q228" s="558">
        <v>21</v>
      </c>
      <c r="R228" s="558">
        <v>21</v>
      </c>
      <c r="S228" s="558">
        <v>21</v>
      </c>
      <c r="T228" s="558">
        <v>21</v>
      </c>
      <c r="U228" s="558">
        <v>21</v>
      </c>
      <c r="V228" s="558">
        <v>21</v>
      </c>
      <c r="W228" s="558">
        <v>21</v>
      </c>
      <c r="X228" s="558">
        <v>21</v>
      </c>
      <c r="Y228" s="558">
        <v>21</v>
      </c>
      <c r="Z228" s="558">
        <v>21</v>
      </c>
      <c r="AA228" s="558">
        <v>21</v>
      </c>
      <c r="AB228" s="558">
        <v>21</v>
      </c>
      <c r="AC228" s="558">
        <v>21</v>
      </c>
      <c r="AD228" s="558">
        <v>25</v>
      </c>
      <c r="AE228" s="558">
        <v>21</v>
      </c>
      <c r="AF228" s="558">
        <v>21</v>
      </c>
      <c r="AG228" s="558">
        <v>21</v>
      </c>
      <c r="AH228" s="558">
        <v>21</v>
      </c>
      <c r="AI228" s="558">
        <v>25</v>
      </c>
      <c r="AJ228" s="558">
        <v>21</v>
      </c>
      <c r="AK228" s="559">
        <f t="shared" si="15"/>
        <v>21</v>
      </c>
      <c r="AL228" s="494"/>
      <c r="AM228" s="494"/>
      <c r="AN228" s="27"/>
      <c r="AO228" s="17"/>
      <c r="AP228" s="9"/>
      <c r="AQ228" s="9"/>
      <c r="AR228" s="9"/>
    </row>
    <row r="229" spans="1:44" customFormat="1" outlineLevel="1" x14ac:dyDescent="0.25">
      <c r="A229" s="7"/>
      <c r="B229" s="8"/>
      <c r="C229" s="18"/>
      <c r="D229" s="18"/>
      <c r="E229" s="18"/>
      <c r="F229" s="24"/>
      <c r="G229" s="25"/>
      <c r="H229" s="25" t="s">
        <v>3159</v>
      </c>
      <c r="I229" s="493"/>
      <c r="J229" s="558">
        <v>5</v>
      </c>
      <c r="K229" s="558">
        <v>5</v>
      </c>
      <c r="L229" s="558">
        <v>5</v>
      </c>
      <c r="M229" s="558">
        <v>5</v>
      </c>
      <c r="N229" s="558">
        <v>5</v>
      </c>
      <c r="O229" s="558">
        <v>5</v>
      </c>
      <c r="P229" s="558">
        <v>5</v>
      </c>
      <c r="Q229" s="558">
        <v>5</v>
      </c>
      <c r="R229" s="558">
        <v>5</v>
      </c>
      <c r="S229" s="558">
        <v>5</v>
      </c>
      <c r="T229" s="558">
        <v>5</v>
      </c>
      <c r="U229" s="558">
        <v>5</v>
      </c>
      <c r="V229" s="558">
        <v>5</v>
      </c>
      <c r="W229" s="558">
        <v>5</v>
      </c>
      <c r="X229" s="558">
        <v>5</v>
      </c>
      <c r="Y229" s="558">
        <v>5</v>
      </c>
      <c r="Z229" s="558">
        <v>5</v>
      </c>
      <c r="AA229" s="558">
        <v>5</v>
      </c>
      <c r="AB229" s="558">
        <v>5</v>
      </c>
      <c r="AC229" s="558">
        <v>5</v>
      </c>
      <c r="AD229" s="558">
        <v>2.5</v>
      </c>
      <c r="AE229" s="558">
        <v>2.5</v>
      </c>
      <c r="AF229" s="558">
        <v>2.5</v>
      </c>
      <c r="AG229" s="558">
        <v>2.5</v>
      </c>
      <c r="AH229" s="558">
        <v>2.5</v>
      </c>
      <c r="AI229" s="558">
        <v>2.5</v>
      </c>
      <c r="AJ229" s="558">
        <v>5</v>
      </c>
      <c r="AK229" s="559">
        <f t="shared" si="15"/>
        <v>2.5</v>
      </c>
      <c r="AL229" s="494"/>
      <c r="AM229" s="494"/>
      <c r="AN229" s="27"/>
      <c r="AO229" s="17"/>
      <c r="AP229" s="9"/>
      <c r="AQ229" s="9"/>
      <c r="AR229" s="9"/>
    </row>
    <row r="230" spans="1:44" customFormat="1" ht="15" customHeight="1" outlineLevel="1" x14ac:dyDescent="0.25">
      <c r="A230" s="7"/>
      <c r="B230" s="8"/>
      <c r="C230" s="18"/>
      <c r="D230" s="18"/>
      <c r="E230" s="18"/>
      <c r="F230" s="24"/>
      <c r="G230" s="25"/>
      <c r="H230" s="25" t="s">
        <v>3160</v>
      </c>
      <c r="I230" s="620" t="s">
        <v>3161</v>
      </c>
      <c r="J230" s="566">
        <v>0.15</v>
      </c>
      <c r="K230" s="566">
        <v>0.15</v>
      </c>
      <c r="L230" s="566">
        <v>0.15</v>
      </c>
      <c r="M230" s="566">
        <v>0.15</v>
      </c>
      <c r="N230" s="566">
        <v>0.15</v>
      </c>
      <c r="O230" s="566">
        <v>0.15</v>
      </c>
      <c r="P230" s="566">
        <v>0.15</v>
      </c>
      <c r="Q230" s="566">
        <v>0.15</v>
      </c>
      <c r="R230" s="566">
        <v>0.15</v>
      </c>
      <c r="S230" s="566">
        <v>0.15</v>
      </c>
      <c r="T230" s="566">
        <v>0.15</v>
      </c>
      <c r="U230" s="566">
        <v>0.15</v>
      </c>
      <c r="V230" s="566">
        <v>0.15</v>
      </c>
      <c r="W230" s="566">
        <v>0.15</v>
      </c>
      <c r="X230" s="566">
        <v>0.15</v>
      </c>
      <c r="Y230" s="566">
        <v>0.15</v>
      </c>
      <c r="Z230" s="566">
        <v>0.15</v>
      </c>
      <c r="AA230" s="566">
        <v>0.15</v>
      </c>
      <c r="AB230" s="566">
        <v>0.15</v>
      </c>
      <c r="AC230" s="566">
        <v>0.15</v>
      </c>
      <c r="AD230" s="566">
        <v>0.15</v>
      </c>
      <c r="AE230" s="566">
        <v>0.15</v>
      </c>
      <c r="AF230" s="566">
        <v>0.15</v>
      </c>
      <c r="AG230" s="566">
        <v>0.15</v>
      </c>
      <c r="AH230" s="566">
        <v>0.15</v>
      </c>
      <c r="AI230" s="566">
        <v>0.15</v>
      </c>
      <c r="AJ230" s="566">
        <v>0.15</v>
      </c>
      <c r="AK230" s="567">
        <f t="shared" si="15"/>
        <v>0.15</v>
      </c>
      <c r="AL230" s="494"/>
      <c r="AM230" s="494"/>
      <c r="AN230" s="27"/>
      <c r="AO230" s="17"/>
      <c r="AP230" s="9"/>
      <c r="AQ230" s="9"/>
      <c r="AR230" s="9"/>
    </row>
    <row r="231" spans="1:44" customFormat="1" outlineLevel="1" x14ac:dyDescent="0.25">
      <c r="A231" s="7"/>
      <c r="B231" s="8"/>
      <c r="C231" s="18"/>
      <c r="D231" s="18"/>
      <c r="E231" s="18"/>
      <c r="F231" s="24"/>
      <c r="G231" s="25"/>
      <c r="H231" s="25" t="s">
        <v>3162</v>
      </c>
      <c r="I231" s="620"/>
      <c r="J231" s="566">
        <v>0.02</v>
      </c>
      <c r="K231" s="566">
        <v>0.02</v>
      </c>
      <c r="L231" s="566">
        <v>0.02</v>
      </c>
      <c r="M231" s="566">
        <v>0.02</v>
      </c>
      <c r="N231" s="566">
        <v>0.02</v>
      </c>
      <c r="O231" s="566">
        <v>0.02</v>
      </c>
      <c r="P231" s="566">
        <v>0.02</v>
      </c>
      <c r="Q231" s="566">
        <v>0.02</v>
      </c>
      <c r="R231" s="566">
        <v>0.02</v>
      </c>
      <c r="S231" s="566">
        <v>0.02</v>
      </c>
      <c r="T231" s="566">
        <v>0.02</v>
      </c>
      <c r="U231" s="566">
        <v>0.02</v>
      </c>
      <c r="V231" s="566">
        <v>0.02</v>
      </c>
      <c r="W231" s="566">
        <v>0.02</v>
      </c>
      <c r="X231" s="566">
        <v>0.02</v>
      </c>
      <c r="Y231" s="566">
        <v>0.02</v>
      </c>
      <c r="Z231" s="566">
        <v>0.02</v>
      </c>
      <c r="AA231" s="566">
        <v>0.02</v>
      </c>
      <c r="AB231" s="566">
        <v>0.02</v>
      </c>
      <c r="AC231" s="566">
        <v>0.02</v>
      </c>
      <c r="AD231" s="566">
        <v>0.02</v>
      </c>
      <c r="AE231" s="566">
        <v>0.02</v>
      </c>
      <c r="AF231" s="566">
        <v>0.02</v>
      </c>
      <c r="AG231" s="566">
        <v>0.02</v>
      </c>
      <c r="AH231" s="566">
        <v>0.02</v>
      </c>
      <c r="AI231" s="566">
        <v>0.02</v>
      </c>
      <c r="AJ231" s="566">
        <v>0.02</v>
      </c>
      <c r="AK231" s="567">
        <f t="shared" si="15"/>
        <v>0.02</v>
      </c>
      <c r="AL231" s="494"/>
      <c r="AM231" s="494"/>
      <c r="AN231" s="27"/>
      <c r="AO231" s="17"/>
      <c r="AP231" s="9"/>
      <c r="AQ231" s="9"/>
      <c r="AR231" s="9"/>
    </row>
    <row r="232" spans="1:44" customFormat="1" outlineLevel="1" x14ac:dyDescent="0.25">
      <c r="A232" s="7"/>
      <c r="B232" s="8"/>
      <c r="C232" s="18"/>
      <c r="D232" s="18"/>
      <c r="E232" s="18"/>
      <c r="F232" s="24"/>
      <c r="G232" s="25"/>
      <c r="H232" s="25" t="s">
        <v>3163</v>
      </c>
      <c r="I232" s="620"/>
      <c r="J232" s="567">
        <f>1-SUM(J230:J231)</f>
        <v>0.83000000000000007</v>
      </c>
      <c r="K232" s="567">
        <f t="shared" ref="K232:Q232" si="16">1-SUM(K230:K231)</f>
        <v>0.83000000000000007</v>
      </c>
      <c r="L232" s="567">
        <f t="shared" si="16"/>
        <v>0.83000000000000007</v>
      </c>
      <c r="M232" s="567">
        <f t="shared" si="16"/>
        <v>0.83000000000000007</v>
      </c>
      <c r="N232" s="567">
        <f t="shared" si="16"/>
        <v>0.83000000000000007</v>
      </c>
      <c r="O232" s="567">
        <f t="shared" si="16"/>
        <v>0.83000000000000007</v>
      </c>
      <c r="P232" s="567">
        <f t="shared" si="16"/>
        <v>0.83000000000000007</v>
      </c>
      <c r="Q232" s="567">
        <f t="shared" si="16"/>
        <v>0.83000000000000007</v>
      </c>
      <c r="R232" s="567">
        <f t="shared" ref="R232:AI232" si="17">1-SUM(R230:R231)</f>
        <v>0.83000000000000007</v>
      </c>
      <c r="S232" s="567">
        <f t="shared" si="17"/>
        <v>0.83000000000000007</v>
      </c>
      <c r="T232" s="567">
        <f t="shared" si="17"/>
        <v>0.83000000000000007</v>
      </c>
      <c r="U232" s="567">
        <f t="shared" si="17"/>
        <v>0.83000000000000007</v>
      </c>
      <c r="V232" s="567">
        <f t="shared" si="17"/>
        <v>0.83000000000000007</v>
      </c>
      <c r="W232" s="567">
        <f t="shared" si="17"/>
        <v>0.83000000000000007</v>
      </c>
      <c r="X232" s="567">
        <f t="shared" si="17"/>
        <v>0.83000000000000007</v>
      </c>
      <c r="Y232" s="567">
        <f t="shared" si="17"/>
        <v>0.83000000000000007</v>
      </c>
      <c r="Z232" s="567">
        <f t="shared" si="17"/>
        <v>0.83000000000000007</v>
      </c>
      <c r="AA232" s="567">
        <f t="shared" si="17"/>
        <v>0.83000000000000007</v>
      </c>
      <c r="AB232" s="567">
        <f t="shared" si="17"/>
        <v>0.83000000000000007</v>
      </c>
      <c r="AC232" s="567">
        <f t="shared" si="17"/>
        <v>0.83000000000000007</v>
      </c>
      <c r="AD232" s="567">
        <f t="shared" si="17"/>
        <v>0.83000000000000007</v>
      </c>
      <c r="AE232" s="567">
        <f t="shared" si="17"/>
        <v>0.83000000000000007</v>
      </c>
      <c r="AF232" s="567">
        <f t="shared" si="17"/>
        <v>0.83000000000000007</v>
      </c>
      <c r="AG232" s="567">
        <f t="shared" si="17"/>
        <v>0.83000000000000007</v>
      </c>
      <c r="AH232" s="567">
        <f t="shared" si="17"/>
        <v>0.83000000000000007</v>
      </c>
      <c r="AI232" s="567">
        <f t="shared" si="17"/>
        <v>0.83000000000000007</v>
      </c>
      <c r="AJ232" s="567">
        <f>1-SUM(AJ230:AJ231)</f>
        <v>0.83000000000000007</v>
      </c>
      <c r="AK232" s="567">
        <f t="shared" ref="AK232" si="18">1-SUM(AK230:AK231)</f>
        <v>0.83000000000000007</v>
      </c>
      <c r="AL232" s="494"/>
      <c r="AM232" s="494"/>
      <c r="AN232" s="27"/>
      <c r="AO232" s="17"/>
      <c r="AP232" s="9"/>
      <c r="AQ232" s="9"/>
      <c r="AR232" s="9"/>
    </row>
    <row r="233" spans="1:44" customFormat="1" outlineLevel="1" x14ac:dyDescent="0.25">
      <c r="A233" s="7"/>
      <c r="B233" s="8"/>
      <c r="C233" s="18"/>
      <c r="D233" s="18"/>
      <c r="E233" s="18"/>
      <c r="F233" s="24"/>
      <c r="G233" s="25"/>
      <c r="H233" s="25" t="s">
        <v>3164</v>
      </c>
      <c r="I233" s="493"/>
      <c r="J233" s="568">
        <v>0</v>
      </c>
      <c r="K233" s="568">
        <v>0</v>
      </c>
      <c r="L233" s="568">
        <v>0</v>
      </c>
      <c r="M233" s="568">
        <v>0</v>
      </c>
      <c r="N233" s="568">
        <v>0</v>
      </c>
      <c r="O233" s="568">
        <v>0</v>
      </c>
      <c r="P233" s="568">
        <v>0</v>
      </c>
      <c r="Q233" s="568">
        <v>0</v>
      </c>
      <c r="R233" s="568">
        <v>0</v>
      </c>
      <c r="S233" s="568">
        <v>0</v>
      </c>
      <c r="T233" s="568">
        <v>0</v>
      </c>
      <c r="U233" s="568">
        <v>0</v>
      </c>
      <c r="V233" s="568">
        <v>0</v>
      </c>
      <c r="W233" s="568">
        <v>0</v>
      </c>
      <c r="X233" s="568">
        <v>0</v>
      </c>
      <c r="Y233" s="568">
        <v>0</v>
      </c>
      <c r="Z233" s="568">
        <v>0</v>
      </c>
      <c r="AA233" s="568">
        <v>0</v>
      </c>
      <c r="AB233" s="568">
        <v>0</v>
      </c>
      <c r="AC233" s="568">
        <v>0</v>
      </c>
      <c r="AD233" s="568">
        <v>0</v>
      </c>
      <c r="AE233" s="568">
        <v>0</v>
      </c>
      <c r="AF233" s="568">
        <v>0</v>
      </c>
      <c r="AG233" s="568">
        <v>0</v>
      </c>
      <c r="AH233" s="568">
        <v>0</v>
      </c>
      <c r="AI233" s="568">
        <v>0</v>
      </c>
      <c r="AJ233" s="568">
        <v>0</v>
      </c>
      <c r="AK233" s="569">
        <f>AVERAGE(AE233:AF233)</f>
        <v>0</v>
      </c>
      <c r="AL233" s="494"/>
      <c r="AM233" s="494"/>
      <c r="AN233" s="27"/>
      <c r="AO233" s="17"/>
      <c r="AP233" s="9"/>
      <c r="AQ233" s="9"/>
      <c r="AR233" s="9"/>
    </row>
    <row r="234" spans="1:44" customFormat="1" outlineLevel="1" x14ac:dyDescent="0.25">
      <c r="A234" s="7"/>
      <c r="B234" s="8"/>
      <c r="C234" s="18"/>
      <c r="D234" s="18"/>
      <c r="E234" s="18"/>
      <c r="F234" s="24"/>
      <c r="G234" s="25"/>
      <c r="H234" s="25" t="s">
        <v>3165</v>
      </c>
      <c r="I234" s="493"/>
      <c r="J234" s="568">
        <v>10</v>
      </c>
      <c r="K234" s="568">
        <v>10</v>
      </c>
      <c r="L234" s="568">
        <v>10</v>
      </c>
      <c r="M234" s="568">
        <v>10</v>
      </c>
      <c r="N234" s="568">
        <v>10</v>
      </c>
      <c r="O234" s="568">
        <v>10</v>
      </c>
      <c r="P234" s="568">
        <v>10</v>
      </c>
      <c r="Q234" s="568">
        <v>10</v>
      </c>
      <c r="R234" s="568">
        <v>10</v>
      </c>
      <c r="S234" s="568">
        <v>10</v>
      </c>
      <c r="T234" s="568">
        <v>10</v>
      </c>
      <c r="U234" s="568">
        <v>10</v>
      </c>
      <c r="V234" s="568">
        <v>10</v>
      </c>
      <c r="W234" s="568">
        <v>10</v>
      </c>
      <c r="X234" s="568">
        <v>10</v>
      </c>
      <c r="Y234" s="568">
        <v>10</v>
      </c>
      <c r="Z234" s="568">
        <v>10</v>
      </c>
      <c r="AA234" s="568">
        <v>10</v>
      </c>
      <c r="AB234" s="568">
        <v>10</v>
      </c>
      <c r="AC234" s="568">
        <v>10</v>
      </c>
      <c r="AD234" s="568">
        <v>12</v>
      </c>
      <c r="AE234" s="568">
        <v>12</v>
      </c>
      <c r="AF234" s="568">
        <v>12</v>
      </c>
      <c r="AG234" s="568">
        <v>12</v>
      </c>
      <c r="AH234" s="568">
        <v>12</v>
      </c>
      <c r="AI234" s="568">
        <v>12</v>
      </c>
      <c r="AJ234" s="568">
        <v>10</v>
      </c>
      <c r="AK234" s="569">
        <f>AVERAGE(AE234:AF234)</f>
        <v>12</v>
      </c>
      <c r="AL234" s="494"/>
      <c r="AM234" s="494"/>
      <c r="AN234" s="27"/>
      <c r="AO234" s="17"/>
      <c r="AP234" s="9"/>
      <c r="AQ234" s="9"/>
      <c r="AR234" s="9"/>
    </row>
    <row r="235" spans="1:44" customFormat="1" outlineLevel="1" x14ac:dyDescent="0.25">
      <c r="A235" s="7"/>
      <c r="B235" s="8"/>
      <c r="C235" s="18"/>
      <c r="D235" s="18"/>
      <c r="E235" s="18"/>
      <c r="F235" s="24"/>
      <c r="G235" s="25"/>
      <c r="H235" s="25"/>
      <c r="I235" s="493"/>
      <c r="J235" s="493"/>
      <c r="K235" s="493"/>
      <c r="L235" s="493"/>
      <c r="M235" s="493"/>
      <c r="N235" s="493"/>
      <c r="O235" s="493"/>
      <c r="P235" s="493"/>
      <c r="Q235" s="493"/>
      <c r="R235" s="493"/>
      <c r="S235" s="493"/>
      <c r="T235" s="493"/>
      <c r="U235" s="493"/>
      <c r="V235" s="493"/>
      <c r="W235" s="493"/>
      <c r="X235" s="493"/>
      <c r="Y235" s="493"/>
      <c r="Z235" s="493"/>
      <c r="AA235" s="493"/>
      <c r="AB235" s="493"/>
      <c r="AC235" s="493"/>
      <c r="AD235" s="493"/>
      <c r="AE235" s="493"/>
      <c r="AF235" s="493"/>
      <c r="AG235" s="493"/>
      <c r="AH235" s="493"/>
      <c r="AI235" s="493"/>
      <c r="AJ235" s="493"/>
      <c r="AK235" s="493"/>
      <c r="AL235" s="494"/>
      <c r="AM235" s="494"/>
      <c r="AN235" s="27"/>
      <c r="AO235" s="17"/>
      <c r="AP235" s="9"/>
      <c r="AQ235" s="9"/>
      <c r="AR235" s="9"/>
    </row>
    <row r="236" spans="1:44" customFormat="1" outlineLevel="1" x14ac:dyDescent="0.25">
      <c r="A236" s="7"/>
      <c r="B236" s="8"/>
      <c r="C236" s="18"/>
      <c r="D236" s="18"/>
      <c r="E236" s="18"/>
      <c r="F236" s="24"/>
      <c r="G236" s="25"/>
      <c r="H236" s="25" t="s">
        <v>3166</v>
      </c>
      <c r="I236" s="493"/>
      <c r="J236" s="568" t="b">
        <v>1</v>
      </c>
      <c r="K236" s="568" t="b">
        <v>1</v>
      </c>
      <c r="L236" s="568" t="b">
        <v>1</v>
      </c>
      <c r="M236" s="568" t="b">
        <v>1</v>
      </c>
      <c r="N236" s="568" t="b">
        <v>1</v>
      </c>
      <c r="O236" s="568" t="b">
        <v>1</v>
      </c>
      <c r="P236" s="568" t="b">
        <v>1</v>
      </c>
      <c r="Q236" s="568" t="b">
        <v>1</v>
      </c>
      <c r="R236" s="568" t="b">
        <v>1</v>
      </c>
      <c r="S236" s="568" t="b">
        <v>1</v>
      </c>
      <c r="T236" s="568" t="b">
        <v>1</v>
      </c>
      <c r="U236" s="568" t="b">
        <v>1</v>
      </c>
      <c r="V236" s="568" t="b">
        <v>1</v>
      </c>
      <c r="W236" s="568" t="b">
        <v>1</v>
      </c>
      <c r="X236" s="568" t="b">
        <v>1</v>
      </c>
      <c r="Y236" s="568" t="b">
        <v>1</v>
      </c>
      <c r="Z236" s="568" t="b">
        <v>1</v>
      </c>
      <c r="AA236" s="568" t="b">
        <v>1</v>
      </c>
      <c r="AB236" s="568" t="b">
        <v>1</v>
      </c>
      <c r="AC236" s="568" t="b">
        <v>1</v>
      </c>
      <c r="AD236" s="568" t="b">
        <v>1</v>
      </c>
      <c r="AE236" s="568" t="b">
        <v>1</v>
      </c>
      <c r="AF236" s="568" t="b">
        <v>1</v>
      </c>
      <c r="AG236" s="568" t="b">
        <v>1</v>
      </c>
      <c r="AH236" s="568" t="b">
        <v>1</v>
      </c>
      <c r="AI236" s="568" t="b">
        <v>1</v>
      </c>
      <c r="AJ236" s="568" t="b">
        <v>1</v>
      </c>
      <c r="AK236" s="568" t="b">
        <v>1</v>
      </c>
      <c r="AL236" s="494"/>
      <c r="AM236" s="494"/>
      <c r="AN236" s="27"/>
      <c r="AO236" s="17"/>
      <c r="AP236" s="9"/>
      <c r="AQ236" s="9"/>
      <c r="AR236" s="9"/>
    </row>
    <row r="237" spans="1:44" customFormat="1" outlineLevel="1" x14ac:dyDescent="0.25">
      <c r="A237" s="7"/>
      <c r="B237" s="8"/>
      <c r="C237" s="18"/>
      <c r="D237" s="18"/>
      <c r="E237" s="18"/>
      <c r="F237" s="24"/>
      <c r="G237" s="25"/>
      <c r="H237" s="25" t="s">
        <v>3167</v>
      </c>
      <c r="I237" s="493"/>
      <c r="J237" s="569" t="b">
        <f>NOT(J236)</f>
        <v>0</v>
      </c>
      <c r="K237" s="569" t="b">
        <f t="shared" ref="K237:AI237" si="19">NOT(K236)</f>
        <v>0</v>
      </c>
      <c r="L237" s="569" t="b">
        <f t="shared" si="19"/>
        <v>0</v>
      </c>
      <c r="M237" s="569" t="b">
        <f t="shared" si="19"/>
        <v>0</v>
      </c>
      <c r="N237" s="569" t="b">
        <f t="shared" si="19"/>
        <v>0</v>
      </c>
      <c r="O237" s="569" t="b">
        <f t="shared" si="19"/>
        <v>0</v>
      </c>
      <c r="P237" s="569" t="b">
        <f t="shared" si="19"/>
        <v>0</v>
      </c>
      <c r="Q237" s="569" t="b">
        <f t="shared" si="19"/>
        <v>0</v>
      </c>
      <c r="R237" s="569" t="b">
        <f t="shared" si="19"/>
        <v>0</v>
      </c>
      <c r="S237" s="569" t="b">
        <f t="shared" si="19"/>
        <v>0</v>
      </c>
      <c r="T237" s="569" t="b">
        <f t="shared" si="19"/>
        <v>0</v>
      </c>
      <c r="U237" s="569" t="b">
        <f t="shared" si="19"/>
        <v>0</v>
      </c>
      <c r="V237" s="569" t="b">
        <f t="shared" si="19"/>
        <v>0</v>
      </c>
      <c r="W237" s="569" t="b">
        <f t="shared" si="19"/>
        <v>0</v>
      </c>
      <c r="X237" s="569" t="b">
        <f t="shared" si="19"/>
        <v>0</v>
      </c>
      <c r="Y237" s="569" t="b">
        <f t="shared" si="19"/>
        <v>0</v>
      </c>
      <c r="Z237" s="569" t="b">
        <f t="shared" si="19"/>
        <v>0</v>
      </c>
      <c r="AA237" s="569" t="b">
        <f t="shared" si="19"/>
        <v>0</v>
      </c>
      <c r="AB237" s="569" t="b">
        <f t="shared" si="19"/>
        <v>0</v>
      </c>
      <c r="AC237" s="569" t="b">
        <f t="shared" si="19"/>
        <v>0</v>
      </c>
      <c r="AD237" s="569" t="b">
        <f t="shared" si="19"/>
        <v>0</v>
      </c>
      <c r="AE237" s="569" t="b">
        <f t="shared" si="19"/>
        <v>0</v>
      </c>
      <c r="AF237" s="569" t="b">
        <f t="shared" si="19"/>
        <v>0</v>
      </c>
      <c r="AG237" s="569" t="b">
        <f t="shared" si="19"/>
        <v>0</v>
      </c>
      <c r="AH237" s="569" t="b">
        <f t="shared" si="19"/>
        <v>0</v>
      </c>
      <c r="AI237" s="569" t="b">
        <f t="shared" si="19"/>
        <v>0</v>
      </c>
      <c r="AJ237" s="569" t="b">
        <f>NOT(AJ236)</f>
        <v>0</v>
      </c>
      <c r="AK237" s="569" t="b">
        <f t="shared" ref="AK237" si="20">NOT(AK236)</f>
        <v>0</v>
      </c>
      <c r="AL237" s="494"/>
      <c r="AM237" s="494"/>
      <c r="AN237" s="27"/>
      <c r="AO237" s="17"/>
      <c r="AP237" s="9"/>
      <c r="AQ237" s="9"/>
      <c r="AR237" s="9"/>
    </row>
    <row r="238" spans="1:44" customFormat="1" outlineLevel="1" x14ac:dyDescent="0.25">
      <c r="A238" s="7"/>
      <c r="B238" s="8"/>
      <c r="C238" s="18"/>
      <c r="D238" s="18"/>
      <c r="E238" s="18"/>
      <c r="F238" s="24"/>
      <c r="G238" s="25"/>
      <c r="H238" s="25"/>
      <c r="I238" s="493"/>
      <c r="J238" s="493"/>
      <c r="K238" s="493"/>
      <c r="L238" s="493"/>
      <c r="M238" s="493"/>
      <c r="N238" s="493"/>
      <c r="O238" s="493"/>
      <c r="P238" s="493"/>
      <c r="Q238" s="493"/>
      <c r="R238" s="493"/>
      <c r="S238" s="493"/>
      <c r="T238" s="493"/>
      <c r="U238" s="493"/>
      <c r="V238" s="493"/>
      <c r="W238" s="493"/>
      <c r="X238" s="493"/>
      <c r="Y238" s="493"/>
      <c r="Z238" s="493"/>
      <c r="AA238" s="493"/>
      <c r="AB238" s="493"/>
      <c r="AC238" s="493"/>
      <c r="AD238" s="493"/>
      <c r="AE238" s="493"/>
      <c r="AF238" s="493"/>
      <c r="AG238" s="493"/>
      <c r="AH238" s="493"/>
      <c r="AI238" s="493"/>
      <c r="AJ238" s="493"/>
      <c r="AK238" s="493"/>
      <c r="AL238" s="494"/>
      <c r="AM238" s="494"/>
      <c r="AN238" s="27"/>
      <c r="AO238" s="17"/>
      <c r="AP238" s="9"/>
      <c r="AQ238" s="9"/>
      <c r="AR238" s="9"/>
    </row>
    <row r="239" spans="1:44" customFormat="1" outlineLevel="1" x14ac:dyDescent="0.25">
      <c r="A239" s="7"/>
      <c r="B239" s="8"/>
      <c r="C239" s="18"/>
      <c r="D239" s="18"/>
      <c r="E239" s="18"/>
      <c r="F239" s="24"/>
      <c r="G239" s="25"/>
      <c r="H239" s="25" t="s">
        <v>3168</v>
      </c>
      <c r="I239" s="16" t="s">
        <v>3169</v>
      </c>
      <c r="J239" s="558">
        <v>1</v>
      </c>
      <c r="K239" s="558">
        <v>1</v>
      </c>
      <c r="L239" s="558">
        <v>1</v>
      </c>
      <c r="M239" s="558">
        <v>1</v>
      </c>
      <c r="N239" s="558">
        <v>1</v>
      </c>
      <c r="O239" s="558">
        <v>1</v>
      </c>
      <c r="P239" s="558">
        <v>1</v>
      </c>
      <c r="Q239" s="558">
        <v>1</v>
      </c>
      <c r="R239" s="558">
        <v>1</v>
      </c>
      <c r="S239" s="558">
        <v>1</v>
      </c>
      <c r="T239" s="558">
        <v>1</v>
      </c>
      <c r="U239" s="558">
        <v>1</v>
      </c>
      <c r="V239" s="558">
        <v>1</v>
      </c>
      <c r="W239" s="558">
        <v>1</v>
      </c>
      <c r="X239" s="558">
        <v>1</v>
      </c>
      <c r="Y239" s="558">
        <v>1</v>
      </c>
      <c r="Z239" s="558">
        <v>1</v>
      </c>
      <c r="AA239" s="558">
        <v>1</v>
      </c>
      <c r="AB239" s="558">
        <v>1</v>
      </c>
      <c r="AC239" s="558">
        <v>1</v>
      </c>
      <c r="AD239" s="558">
        <v>1</v>
      </c>
      <c r="AE239" s="558">
        <v>1</v>
      </c>
      <c r="AF239" s="558">
        <v>1</v>
      </c>
      <c r="AG239" s="558">
        <v>1</v>
      </c>
      <c r="AH239" s="558">
        <v>1</v>
      </c>
      <c r="AI239" s="558">
        <v>1</v>
      </c>
      <c r="AJ239" s="558">
        <v>1</v>
      </c>
      <c r="AK239" s="558">
        <v>1</v>
      </c>
      <c r="AL239" s="494"/>
      <c r="AM239" s="494"/>
      <c r="AN239" s="27"/>
      <c r="AO239" s="17"/>
      <c r="AP239" s="9"/>
      <c r="AQ239" s="9"/>
      <c r="AR239" s="9"/>
    </row>
    <row r="240" spans="1:44" customFormat="1" outlineLevel="1" x14ac:dyDescent="0.25">
      <c r="A240" s="7"/>
      <c r="B240" s="8"/>
      <c r="C240" s="18"/>
      <c r="D240" s="18"/>
      <c r="E240" s="18"/>
      <c r="F240" s="24"/>
      <c r="G240" s="25"/>
      <c r="H240" s="25"/>
      <c r="I240" s="570" t="s">
        <v>3170</v>
      </c>
      <c r="J240" s="558">
        <v>0</v>
      </c>
      <c r="K240" s="558">
        <v>0</v>
      </c>
      <c r="L240" s="558">
        <v>0</v>
      </c>
      <c r="M240" s="558">
        <v>0</v>
      </c>
      <c r="N240" s="558">
        <v>0</v>
      </c>
      <c r="O240" s="558">
        <v>0</v>
      </c>
      <c r="P240" s="558">
        <v>0</v>
      </c>
      <c r="Q240" s="558">
        <v>0</v>
      </c>
      <c r="R240" s="558">
        <v>0</v>
      </c>
      <c r="S240" s="558">
        <v>0</v>
      </c>
      <c r="T240" s="558">
        <v>0</v>
      </c>
      <c r="U240" s="558">
        <v>0</v>
      </c>
      <c r="V240" s="558">
        <v>0</v>
      </c>
      <c r="W240" s="558">
        <v>0</v>
      </c>
      <c r="X240" s="558">
        <v>0</v>
      </c>
      <c r="Y240" s="558">
        <v>0</v>
      </c>
      <c r="Z240" s="558">
        <v>0</v>
      </c>
      <c r="AA240" s="558">
        <v>0</v>
      </c>
      <c r="AB240" s="558">
        <v>0</v>
      </c>
      <c r="AC240" s="558">
        <v>0</v>
      </c>
      <c r="AD240" s="558">
        <v>0</v>
      </c>
      <c r="AE240" s="558">
        <v>0</v>
      </c>
      <c r="AF240" s="558">
        <v>0</v>
      </c>
      <c r="AG240" s="558">
        <v>0</v>
      </c>
      <c r="AH240" s="558">
        <v>0</v>
      </c>
      <c r="AI240" s="558">
        <v>0</v>
      </c>
      <c r="AJ240" s="558">
        <v>0</v>
      </c>
      <c r="AK240" s="558">
        <v>0</v>
      </c>
      <c r="AL240" s="494"/>
      <c r="AM240" s="494"/>
      <c r="AN240" s="27"/>
      <c r="AO240" s="17"/>
      <c r="AP240" s="9"/>
      <c r="AQ240" s="9"/>
      <c r="AR240" s="9"/>
    </row>
    <row r="241" spans="1:44" customFormat="1" outlineLevel="1" x14ac:dyDescent="0.25">
      <c r="A241" s="7"/>
      <c r="B241" s="8"/>
      <c r="C241" s="18"/>
      <c r="D241" s="18"/>
      <c r="E241" s="18"/>
      <c r="F241" s="24"/>
      <c r="G241" s="25"/>
      <c r="H241" s="25"/>
      <c r="I241" s="570" t="s">
        <v>3171</v>
      </c>
      <c r="J241" s="558">
        <v>0</v>
      </c>
      <c r="K241" s="558">
        <v>0</v>
      </c>
      <c r="L241" s="558">
        <v>0</v>
      </c>
      <c r="M241" s="558">
        <v>0</v>
      </c>
      <c r="N241" s="558">
        <v>0</v>
      </c>
      <c r="O241" s="558">
        <v>0</v>
      </c>
      <c r="P241" s="558">
        <v>0</v>
      </c>
      <c r="Q241" s="558">
        <v>0</v>
      </c>
      <c r="R241" s="558">
        <v>0</v>
      </c>
      <c r="S241" s="558">
        <v>0</v>
      </c>
      <c r="T241" s="558">
        <v>0</v>
      </c>
      <c r="U241" s="558">
        <v>0</v>
      </c>
      <c r="V241" s="558">
        <v>0</v>
      </c>
      <c r="W241" s="558">
        <v>0</v>
      </c>
      <c r="X241" s="558">
        <v>0</v>
      </c>
      <c r="Y241" s="558">
        <v>0</v>
      </c>
      <c r="Z241" s="558">
        <v>0</v>
      </c>
      <c r="AA241" s="558">
        <v>0</v>
      </c>
      <c r="AB241" s="558">
        <v>0</v>
      </c>
      <c r="AC241" s="558">
        <v>0</v>
      </c>
      <c r="AD241" s="558">
        <v>0</v>
      </c>
      <c r="AE241" s="558">
        <v>0</v>
      </c>
      <c r="AF241" s="558">
        <v>0</v>
      </c>
      <c r="AG241" s="558">
        <v>0</v>
      </c>
      <c r="AH241" s="558">
        <v>0</v>
      </c>
      <c r="AI241" s="558">
        <v>0</v>
      </c>
      <c r="AJ241" s="558">
        <v>0</v>
      </c>
      <c r="AK241" s="558">
        <v>0</v>
      </c>
      <c r="AL241" s="494"/>
      <c r="AM241" s="494"/>
      <c r="AN241" s="27"/>
      <c r="AO241" s="17"/>
      <c r="AP241" s="9"/>
      <c r="AQ241" s="9"/>
      <c r="AR241" s="9"/>
    </row>
    <row r="242" spans="1:44" customFormat="1" outlineLevel="1" x14ac:dyDescent="0.25">
      <c r="A242" s="7"/>
      <c r="B242" s="8"/>
      <c r="C242" s="18"/>
      <c r="D242" s="18"/>
      <c r="E242" s="18"/>
      <c r="F242" s="24"/>
      <c r="G242" s="25"/>
      <c r="H242" s="25"/>
      <c r="I242" s="570" t="s">
        <v>3172</v>
      </c>
      <c r="J242" s="558">
        <v>0</v>
      </c>
      <c r="K242" s="558">
        <v>0</v>
      </c>
      <c r="L242" s="558">
        <v>0</v>
      </c>
      <c r="M242" s="558">
        <v>0</v>
      </c>
      <c r="N242" s="558">
        <v>0</v>
      </c>
      <c r="O242" s="558">
        <v>0</v>
      </c>
      <c r="P242" s="558">
        <v>0</v>
      </c>
      <c r="Q242" s="558">
        <v>0</v>
      </c>
      <c r="R242" s="558">
        <v>0</v>
      </c>
      <c r="S242" s="558">
        <v>0</v>
      </c>
      <c r="T242" s="558">
        <v>0</v>
      </c>
      <c r="U242" s="558">
        <v>0</v>
      </c>
      <c r="V242" s="558">
        <v>0</v>
      </c>
      <c r="W242" s="558">
        <v>0</v>
      </c>
      <c r="X242" s="558">
        <v>0</v>
      </c>
      <c r="Y242" s="558">
        <v>0</v>
      </c>
      <c r="Z242" s="558">
        <v>0</v>
      </c>
      <c r="AA242" s="558">
        <v>0</v>
      </c>
      <c r="AB242" s="558">
        <v>0</v>
      </c>
      <c r="AC242" s="558">
        <v>0</v>
      </c>
      <c r="AD242" s="558">
        <v>0</v>
      </c>
      <c r="AE242" s="558">
        <v>0</v>
      </c>
      <c r="AF242" s="558">
        <v>0</v>
      </c>
      <c r="AG242" s="558">
        <v>0</v>
      </c>
      <c r="AH242" s="558">
        <v>0</v>
      </c>
      <c r="AI242" s="558">
        <v>0</v>
      </c>
      <c r="AJ242" s="558">
        <v>0</v>
      </c>
      <c r="AK242" s="558">
        <v>0</v>
      </c>
      <c r="AL242" s="494"/>
      <c r="AM242" s="494"/>
      <c r="AN242" s="27"/>
      <c r="AO242" s="17"/>
      <c r="AP242" s="9"/>
      <c r="AQ242" s="9"/>
      <c r="AR242" s="9"/>
    </row>
    <row r="243" spans="1:44" customFormat="1" outlineLevel="1" x14ac:dyDescent="0.25">
      <c r="A243" s="7"/>
      <c r="B243" s="8"/>
      <c r="C243" s="18"/>
      <c r="D243" s="18"/>
      <c r="E243" s="18"/>
      <c r="F243" s="24"/>
      <c r="G243" s="25"/>
      <c r="H243" s="25"/>
      <c r="I243" s="570" t="s">
        <v>3173</v>
      </c>
      <c r="J243" s="558">
        <v>0</v>
      </c>
      <c r="K243" s="558">
        <v>0</v>
      </c>
      <c r="L243" s="558">
        <v>0</v>
      </c>
      <c r="M243" s="558">
        <v>0</v>
      </c>
      <c r="N243" s="558">
        <v>0</v>
      </c>
      <c r="O243" s="558">
        <v>0</v>
      </c>
      <c r="P243" s="558">
        <v>0</v>
      </c>
      <c r="Q243" s="558">
        <v>0</v>
      </c>
      <c r="R243" s="558">
        <v>0</v>
      </c>
      <c r="S243" s="558">
        <v>0</v>
      </c>
      <c r="T243" s="558">
        <v>0</v>
      </c>
      <c r="U243" s="558">
        <v>0</v>
      </c>
      <c r="V243" s="558">
        <v>0</v>
      </c>
      <c r="W243" s="558">
        <v>0</v>
      </c>
      <c r="X243" s="558">
        <v>0</v>
      </c>
      <c r="Y243" s="558">
        <v>0</v>
      </c>
      <c r="Z243" s="558">
        <v>0</v>
      </c>
      <c r="AA243" s="558">
        <v>0</v>
      </c>
      <c r="AB243" s="558">
        <v>0</v>
      </c>
      <c r="AC243" s="558">
        <v>0</v>
      </c>
      <c r="AD243" s="558">
        <v>0</v>
      </c>
      <c r="AE243" s="558">
        <v>0</v>
      </c>
      <c r="AF243" s="558">
        <v>0</v>
      </c>
      <c r="AG243" s="558">
        <v>0</v>
      </c>
      <c r="AH243" s="558">
        <v>0</v>
      </c>
      <c r="AI243" s="558">
        <v>0</v>
      </c>
      <c r="AJ243" s="558">
        <v>0</v>
      </c>
      <c r="AK243" s="558">
        <v>0</v>
      </c>
      <c r="AL243" s="494"/>
      <c r="AM243" s="494"/>
      <c r="AN243" s="27"/>
      <c r="AO243" s="17"/>
      <c r="AP243" s="9"/>
      <c r="AQ243" s="9"/>
      <c r="AR243" s="9"/>
    </row>
    <row r="244" spans="1:44" customFormat="1" outlineLevel="1" x14ac:dyDescent="0.25">
      <c r="A244" s="7"/>
      <c r="B244" s="8"/>
      <c r="C244" s="18"/>
      <c r="D244" s="18"/>
      <c r="E244" s="18"/>
      <c r="F244" s="24"/>
      <c r="G244" s="25"/>
      <c r="H244" s="25"/>
      <c r="I244" s="570" t="s">
        <v>3174</v>
      </c>
      <c r="J244" s="558">
        <v>0</v>
      </c>
      <c r="K244" s="558">
        <v>0</v>
      </c>
      <c r="L244" s="558">
        <v>0</v>
      </c>
      <c r="M244" s="558">
        <v>0</v>
      </c>
      <c r="N244" s="558">
        <v>0</v>
      </c>
      <c r="O244" s="558">
        <v>0</v>
      </c>
      <c r="P244" s="558">
        <v>0</v>
      </c>
      <c r="Q244" s="558">
        <v>0</v>
      </c>
      <c r="R244" s="558">
        <v>0</v>
      </c>
      <c r="S244" s="558">
        <v>0</v>
      </c>
      <c r="T244" s="558">
        <v>0</v>
      </c>
      <c r="U244" s="558">
        <v>0</v>
      </c>
      <c r="V244" s="558">
        <v>0</v>
      </c>
      <c r="W244" s="558">
        <v>0</v>
      </c>
      <c r="X244" s="558">
        <v>0</v>
      </c>
      <c r="Y244" s="558">
        <v>0</v>
      </c>
      <c r="Z244" s="558">
        <v>0</v>
      </c>
      <c r="AA244" s="558">
        <v>0</v>
      </c>
      <c r="AB244" s="558">
        <v>0</v>
      </c>
      <c r="AC244" s="558">
        <v>0</v>
      </c>
      <c r="AD244" s="558">
        <v>0</v>
      </c>
      <c r="AE244" s="558">
        <v>0</v>
      </c>
      <c r="AF244" s="558">
        <v>0</v>
      </c>
      <c r="AG244" s="558">
        <v>0</v>
      </c>
      <c r="AH244" s="558">
        <v>0</v>
      </c>
      <c r="AI244" s="558">
        <v>0</v>
      </c>
      <c r="AJ244" s="558">
        <v>0</v>
      </c>
      <c r="AK244" s="558">
        <v>0</v>
      </c>
      <c r="AL244" s="494"/>
      <c r="AM244" s="494"/>
      <c r="AN244" s="27"/>
      <c r="AO244" s="17"/>
      <c r="AP244" s="9"/>
      <c r="AQ244" s="9"/>
      <c r="AR244" s="9"/>
    </row>
    <row r="245" spans="1:44" customFormat="1" outlineLevel="1" x14ac:dyDescent="0.25">
      <c r="A245" s="7"/>
      <c r="B245" s="8"/>
      <c r="C245" s="18"/>
      <c r="D245" s="18"/>
      <c r="E245" s="18"/>
      <c r="F245" s="24"/>
      <c r="G245" s="25"/>
      <c r="H245" s="25"/>
      <c r="I245" s="570" t="s">
        <v>3175</v>
      </c>
      <c r="J245" s="558">
        <v>0</v>
      </c>
      <c r="K245" s="558">
        <v>0</v>
      </c>
      <c r="L245" s="558">
        <v>0</v>
      </c>
      <c r="M245" s="558">
        <v>0</v>
      </c>
      <c r="N245" s="558">
        <v>0</v>
      </c>
      <c r="O245" s="558">
        <v>0</v>
      </c>
      <c r="P245" s="558">
        <v>0</v>
      </c>
      <c r="Q245" s="558">
        <v>0</v>
      </c>
      <c r="R245" s="558">
        <v>0</v>
      </c>
      <c r="S245" s="558">
        <v>0</v>
      </c>
      <c r="T245" s="558">
        <v>0</v>
      </c>
      <c r="U245" s="558">
        <v>0</v>
      </c>
      <c r="V245" s="558">
        <v>0</v>
      </c>
      <c r="W245" s="558">
        <v>0</v>
      </c>
      <c r="X245" s="558">
        <v>0</v>
      </c>
      <c r="Y245" s="558">
        <v>0</v>
      </c>
      <c r="Z245" s="558">
        <v>0</v>
      </c>
      <c r="AA245" s="558">
        <v>0</v>
      </c>
      <c r="AB245" s="558">
        <v>0</v>
      </c>
      <c r="AC245" s="558">
        <v>0</v>
      </c>
      <c r="AD245" s="558">
        <v>0</v>
      </c>
      <c r="AE245" s="558">
        <v>0</v>
      </c>
      <c r="AF245" s="558">
        <v>0</v>
      </c>
      <c r="AG245" s="558">
        <v>0</v>
      </c>
      <c r="AH245" s="558">
        <v>0</v>
      </c>
      <c r="AI245" s="558">
        <v>0</v>
      </c>
      <c r="AJ245" s="558">
        <v>0</v>
      </c>
      <c r="AK245" s="558">
        <v>0</v>
      </c>
      <c r="AL245" s="494"/>
      <c r="AM245" s="494"/>
      <c r="AN245" s="27"/>
      <c r="AO245" s="17"/>
      <c r="AP245" s="9"/>
      <c r="AQ245" s="9"/>
      <c r="AR245" s="9"/>
    </row>
    <row r="246" spans="1:44" customFormat="1" outlineLevel="1" x14ac:dyDescent="0.25">
      <c r="A246" s="7"/>
      <c r="B246" s="8"/>
      <c r="C246" s="18"/>
      <c r="D246" s="18"/>
      <c r="E246" s="18"/>
      <c r="F246" s="24"/>
      <c r="G246" s="25"/>
      <c r="H246" s="25"/>
      <c r="I246" s="570" t="s">
        <v>3176</v>
      </c>
      <c r="J246" s="558">
        <v>0</v>
      </c>
      <c r="K246" s="558">
        <v>0</v>
      </c>
      <c r="L246" s="558">
        <v>0</v>
      </c>
      <c r="M246" s="558">
        <v>0</v>
      </c>
      <c r="N246" s="558">
        <v>0</v>
      </c>
      <c r="O246" s="558">
        <v>0</v>
      </c>
      <c r="P246" s="558">
        <v>0</v>
      </c>
      <c r="Q246" s="558">
        <v>0</v>
      </c>
      <c r="R246" s="558">
        <v>0</v>
      </c>
      <c r="S246" s="558">
        <v>0</v>
      </c>
      <c r="T246" s="558">
        <v>0</v>
      </c>
      <c r="U246" s="558">
        <v>0</v>
      </c>
      <c r="V246" s="558">
        <v>0</v>
      </c>
      <c r="W246" s="558">
        <v>0</v>
      </c>
      <c r="X246" s="558">
        <v>0</v>
      </c>
      <c r="Y246" s="558">
        <v>0</v>
      </c>
      <c r="Z246" s="558">
        <v>0</v>
      </c>
      <c r="AA246" s="558">
        <v>0</v>
      </c>
      <c r="AB246" s="558">
        <v>0</v>
      </c>
      <c r="AC246" s="558">
        <v>0</v>
      </c>
      <c r="AD246" s="558">
        <v>0</v>
      </c>
      <c r="AE246" s="558">
        <v>0</v>
      </c>
      <c r="AF246" s="558">
        <v>0</v>
      </c>
      <c r="AG246" s="558">
        <v>0</v>
      </c>
      <c r="AH246" s="558">
        <v>0</v>
      </c>
      <c r="AI246" s="558">
        <v>0</v>
      </c>
      <c r="AJ246" s="558">
        <v>0</v>
      </c>
      <c r="AK246" s="558">
        <v>0</v>
      </c>
      <c r="AL246" s="494"/>
      <c r="AM246" s="494"/>
      <c r="AN246" s="27"/>
      <c r="AO246" s="17"/>
      <c r="AP246" s="9"/>
      <c r="AQ246" s="9"/>
      <c r="AR246" s="9"/>
    </row>
    <row r="247" spans="1:44" customFormat="1" outlineLevel="1" x14ac:dyDescent="0.25">
      <c r="A247" s="7"/>
      <c r="B247" s="8"/>
      <c r="C247" s="18"/>
      <c r="D247" s="18"/>
      <c r="E247" s="18"/>
      <c r="F247" s="24"/>
      <c r="G247" s="25"/>
      <c r="H247" s="25"/>
      <c r="I247" s="570" t="s">
        <v>3177</v>
      </c>
      <c r="J247" s="558">
        <v>0</v>
      </c>
      <c r="K247" s="558">
        <v>0</v>
      </c>
      <c r="L247" s="558">
        <v>0</v>
      </c>
      <c r="M247" s="558">
        <v>0</v>
      </c>
      <c r="N247" s="558">
        <v>0</v>
      </c>
      <c r="O247" s="558">
        <v>0</v>
      </c>
      <c r="P247" s="558">
        <v>0</v>
      </c>
      <c r="Q247" s="558">
        <v>0</v>
      </c>
      <c r="R247" s="558">
        <v>0</v>
      </c>
      <c r="S247" s="558">
        <v>0</v>
      </c>
      <c r="T247" s="558">
        <v>0</v>
      </c>
      <c r="U247" s="558">
        <v>0</v>
      </c>
      <c r="V247" s="558">
        <v>0</v>
      </c>
      <c r="W247" s="558">
        <v>0</v>
      </c>
      <c r="X247" s="558">
        <v>0</v>
      </c>
      <c r="Y247" s="558">
        <v>0</v>
      </c>
      <c r="Z247" s="558">
        <v>0</v>
      </c>
      <c r="AA247" s="558">
        <v>0</v>
      </c>
      <c r="AB247" s="558">
        <v>0</v>
      </c>
      <c r="AC247" s="558">
        <v>0</v>
      </c>
      <c r="AD247" s="558">
        <v>0</v>
      </c>
      <c r="AE247" s="558">
        <v>0</v>
      </c>
      <c r="AF247" s="558">
        <v>0</v>
      </c>
      <c r="AG247" s="558">
        <v>0</v>
      </c>
      <c r="AH247" s="558">
        <v>0</v>
      </c>
      <c r="AI247" s="558">
        <v>0</v>
      </c>
      <c r="AJ247" s="558">
        <v>0</v>
      </c>
      <c r="AK247" s="558">
        <v>0</v>
      </c>
      <c r="AL247" s="494"/>
      <c r="AM247" s="494"/>
      <c r="AN247" s="27"/>
      <c r="AO247" s="17"/>
      <c r="AP247" s="9"/>
      <c r="AQ247" s="9"/>
      <c r="AR247" s="9"/>
    </row>
    <row r="248" spans="1:44" customFormat="1" outlineLevel="1" x14ac:dyDescent="0.25">
      <c r="A248" s="7"/>
      <c r="B248" s="8"/>
      <c r="C248" s="18"/>
      <c r="D248" s="18"/>
      <c r="E248" s="18"/>
      <c r="F248" s="24"/>
      <c r="G248" s="25"/>
      <c r="H248" s="25"/>
      <c r="I248" s="570" t="s">
        <v>3178</v>
      </c>
      <c r="J248" s="558">
        <v>0</v>
      </c>
      <c r="K248" s="558">
        <v>0</v>
      </c>
      <c r="L248" s="558">
        <v>0</v>
      </c>
      <c r="M248" s="558">
        <v>0</v>
      </c>
      <c r="N248" s="558">
        <v>0</v>
      </c>
      <c r="O248" s="558">
        <v>0</v>
      </c>
      <c r="P248" s="558">
        <v>0</v>
      </c>
      <c r="Q248" s="558">
        <v>0</v>
      </c>
      <c r="R248" s="558">
        <v>0</v>
      </c>
      <c r="S248" s="558">
        <v>0</v>
      </c>
      <c r="T248" s="558">
        <v>0</v>
      </c>
      <c r="U248" s="558">
        <v>0</v>
      </c>
      <c r="V248" s="558">
        <v>0</v>
      </c>
      <c r="W248" s="558">
        <v>0</v>
      </c>
      <c r="X248" s="558">
        <v>0</v>
      </c>
      <c r="Y248" s="558">
        <v>0</v>
      </c>
      <c r="Z248" s="558">
        <v>0</v>
      </c>
      <c r="AA248" s="558">
        <v>0</v>
      </c>
      <c r="AB248" s="558">
        <v>0</v>
      </c>
      <c r="AC248" s="558">
        <v>0</v>
      </c>
      <c r="AD248" s="558">
        <v>0</v>
      </c>
      <c r="AE248" s="558">
        <v>0</v>
      </c>
      <c r="AF248" s="558">
        <v>0</v>
      </c>
      <c r="AG248" s="558">
        <v>0</v>
      </c>
      <c r="AH248" s="558">
        <v>0</v>
      </c>
      <c r="AI248" s="558">
        <v>0</v>
      </c>
      <c r="AJ248" s="558">
        <v>0</v>
      </c>
      <c r="AK248" s="558">
        <v>0</v>
      </c>
      <c r="AL248" s="494"/>
      <c r="AM248" s="494"/>
      <c r="AN248" s="27"/>
      <c r="AO248" s="17"/>
      <c r="AP248" s="9"/>
      <c r="AQ248" s="9"/>
      <c r="AR248" s="9"/>
    </row>
    <row r="249" spans="1:44" customFormat="1" outlineLevel="1" x14ac:dyDescent="0.25">
      <c r="A249" s="7"/>
      <c r="B249" s="8"/>
      <c r="C249" s="18"/>
      <c r="D249" s="18"/>
      <c r="E249" s="18"/>
      <c r="F249" s="24"/>
      <c r="G249" s="25"/>
      <c r="H249" s="25"/>
      <c r="I249" s="570" t="s">
        <v>3179</v>
      </c>
      <c r="J249" s="558">
        <v>0</v>
      </c>
      <c r="K249" s="558">
        <v>0</v>
      </c>
      <c r="L249" s="558">
        <v>0</v>
      </c>
      <c r="M249" s="558">
        <v>0</v>
      </c>
      <c r="N249" s="558">
        <v>0</v>
      </c>
      <c r="O249" s="558">
        <v>0</v>
      </c>
      <c r="P249" s="558">
        <v>0</v>
      </c>
      <c r="Q249" s="558">
        <v>0</v>
      </c>
      <c r="R249" s="558">
        <v>0</v>
      </c>
      <c r="S249" s="558">
        <v>0</v>
      </c>
      <c r="T249" s="558">
        <v>0</v>
      </c>
      <c r="U249" s="558">
        <v>0</v>
      </c>
      <c r="V249" s="558">
        <v>0</v>
      </c>
      <c r="W249" s="558">
        <v>0</v>
      </c>
      <c r="X249" s="558">
        <v>0</v>
      </c>
      <c r="Y249" s="558">
        <v>0</v>
      </c>
      <c r="Z249" s="558">
        <v>0</v>
      </c>
      <c r="AA249" s="558">
        <v>0</v>
      </c>
      <c r="AB249" s="558">
        <v>0</v>
      </c>
      <c r="AC249" s="558">
        <v>0</v>
      </c>
      <c r="AD249" s="558">
        <v>0</v>
      </c>
      <c r="AE249" s="558">
        <v>0</v>
      </c>
      <c r="AF249" s="558">
        <v>0</v>
      </c>
      <c r="AG249" s="558">
        <v>0</v>
      </c>
      <c r="AH249" s="558">
        <v>0</v>
      </c>
      <c r="AI249" s="558">
        <v>0</v>
      </c>
      <c r="AJ249" s="558">
        <v>0</v>
      </c>
      <c r="AK249" s="558">
        <v>0</v>
      </c>
      <c r="AL249" s="494"/>
      <c r="AM249" s="494"/>
      <c r="AN249" s="27"/>
      <c r="AO249" s="17"/>
      <c r="AP249" s="9"/>
      <c r="AQ249" s="9"/>
      <c r="AR249" s="9"/>
    </row>
    <row r="250" spans="1:44" customFormat="1" outlineLevel="1" x14ac:dyDescent="0.25">
      <c r="A250" s="7"/>
      <c r="B250" s="8"/>
      <c r="C250" s="18"/>
      <c r="D250" s="18"/>
      <c r="E250" s="18"/>
      <c r="F250" s="24"/>
      <c r="G250" s="25"/>
      <c r="H250" s="25"/>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27"/>
      <c r="AO250" s="17"/>
      <c r="AP250" s="9"/>
      <c r="AQ250" s="9"/>
      <c r="AR250" s="9"/>
    </row>
    <row r="251" spans="1:44" customFormat="1" outlineLevel="1" x14ac:dyDescent="0.25">
      <c r="A251" s="7"/>
      <c r="B251" s="8"/>
      <c r="C251" s="18"/>
      <c r="D251" s="18"/>
      <c r="E251" s="18"/>
      <c r="F251" s="24"/>
      <c r="G251" s="25"/>
      <c r="H251" s="25" t="s">
        <v>3180</v>
      </c>
      <c r="I251" s="570" t="s">
        <v>3171</v>
      </c>
      <c r="J251" s="558">
        <v>0</v>
      </c>
      <c r="K251" s="558">
        <v>0</v>
      </c>
      <c r="L251" s="558">
        <v>0</v>
      </c>
      <c r="M251" s="558">
        <v>0</v>
      </c>
      <c r="N251" s="558">
        <v>0</v>
      </c>
      <c r="O251" s="558">
        <v>0</v>
      </c>
      <c r="P251" s="558">
        <v>0</v>
      </c>
      <c r="Q251" s="558">
        <v>0</v>
      </c>
      <c r="R251" s="558">
        <v>0</v>
      </c>
      <c r="S251" s="558">
        <v>0</v>
      </c>
      <c r="T251" s="558">
        <v>0</v>
      </c>
      <c r="U251" s="558">
        <v>0</v>
      </c>
      <c r="V251" s="558">
        <v>0</v>
      </c>
      <c r="W251" s="558">
        <v>0</v>
      </c>
      <c r="X251" s="558">
        <v>0</v>
      </c>
      <c r="Y251" s="558">
        <v>0</v>
      </c>
      <c r="Z251" s="558">
        <v>0</v>
      </c>
      <c r="AA251" s="558">
        <v>0</v>
      </c>
      <c r="AB251" s="558">
        <v>0</v>
      </c>
      <c r="AC251" s="558">
        <v>0</v>
      </c>
      <c r="AD251" s="558">
        <v>0.4</v>
      </c>
      <c r="AE251" s="558">
        <v>0.5</v>
      </c>
      <c r="AF251" s="558">
        <v>0.5</v>
      </c>
      <c r="AG251" s="558">
        <v>0.5</v>
      </c>
      <c r="AH251" s="558">
        <v>0.5</v>
      </c>
      <c r="AI251" s="558">
        <v>0.4</v>
      </c>
      <c r="AJ251" s="558">
        <v>0</v>
      </c>
      <c r="AK251" s="558">
        <v>0.4</v>
      </c>
      <c r="AL251" s="494"/>
      <c r="AM251" s="494"/>
      <c r="AN251" s="27"/>
      <c r="AO251" s="17"/>
      <c r="AP251" s="9"/>
      <c r="AQ251" s="9"/>
      <c r="AR251" s="9"/>
    </row>
    <row r="252" spans="1:44" customFormat="1" outlineLevel="1" x14ac:dyDescent="0.25">
      <c r="A252" s="7"/>
      <c r="B252" s="8"/>
      <c r="C252" s="18"/>
      <c r="D252" s="18"/>
      <c r="E252" s="18"/>
      <c r="F252" s="24"/>
      <c r="G252" s="25"/>
      <c r="H252" s="25"/>
      <c r="I252" s="570" t="s">
        <v>3172</v>
      </c>
      <c r="J252" s="558">
        <v>0</v>
      </c>
      <c r="K252" s="558">
        <v>0</v>
      </c>
      <c r="L252" s="558">
        <v>0</v>
      </c>
      <c r="M252" s="558">
        <v>0</v>
      </c>
      <c r="N252" s="558">
        <v>0</v>
      </c>
      <c r="O252" s="558">
        <v>0</v>
      </c>
      <c r="P252" s="558">
        <v>0</v>
      </c>
      <c r="Q252" s="558">
        <v>0</v>
      </c>
      <c r="R252" s="558">
        <v>0</v>
      </c>
      <c r="S252" s="558">
        <v>0</v>
      </c>
      <c r="T252" s="558">
        <v>0</v>
      </c>
      <c r="U252" s="558">
        <v>0</v>
      </c>
      <c r="V252" s="558">
        <v>0</v>
      </c>
      <c r="W252" s="558">
        <v>0</v>
      </c>
      <c r="X252" s="558">
        <v>0</v>
      </c>
      <c r="Y252" s="558">
        <v>0</v>
      </c>
      <c r="Z252" s="558">
        <v>0</v>
      </c>
      <c r="AA252" s="558">
        <v>0</v>
      </c>
      <c r="AB252" s="558">
        <v>0</v>
      </c>
      <c r="AC252" s="558">
        <v>0</v>
      </c>
      <c r="AD252" s="558">
        <v>0.5</v>
      </c>
      <c r="AE252" s="558">
        <v>0.4</v>
      </c>
      <c r="AF252" s="558">
        <v>0.4</v>
      </c>
      <c r="AG252" s="558">
        <v>0.4</v>
      </c>
      <c r="AH252" s="558">
        <v>0.4</v>
      </c>
      <c r="AI252" s="558">
        <v>0.5</v>
      </c>
      <c r="AJ252" s="558">
        <v>0</v>
      </c>
      <c r="AK252" s="558">
        <v>0.5</v>
      </c>
      <c r="AL252" s="494"/>
      <c r="AM252" s="494"/>
      <c r="AN252" s="27"/>
      <c r="AO252" s="17"/>
      <c r="AP252" s="9"/>
      <c r="AQ252" s="9"/>
      <c r="AR252" s="9"/>
    </row>
    <row r="253" spans="1:44" customFormat="1" outlineLevel="1" x14ac:dyDescent="0.25">
      <c r="A253" s="7"/>
      <c r="B253" s="8"/>
      <c r="C253" s="18"/>
      <c r="D253" s="18"/>
      <c r="E253" s="18"/>
      <c r="F253" s="24"/>
      <c r="G253" s="25"/>
      <c r="H253" s="25"/>
      <c r="I253" s="570" t="s">
        <v>3173</v>
      </c>
      <c r="J253" s="558">
        <v>0</v>
      </c>
      <c r="K253" s="558">
        <v>0</v>
      </c>
      <c r="L253" s="558">
        <v>0</v>
      </c>
      <c r="M253" s="558">
        <v>0</v>
      </c>
      <c r="N253" s="558">
        <v>0</v>
      </c>
      <c r="O253" s="558">
        <v>0</v>
      </c>
      <c r="P253" s="558">
        <v>0</v>
      </c>
      <c r="Q253" s="558">
        <v>0</v>
      </c>
      <c r="R253" s="558">
        <v>0</v>
      </c>
      <c r="S253" s="558">
        <v>0</v>
      </c>
      <c r="T253" s="558">
        <v>0</v>
      </c>
      <c r="U253" s="558">
        <v>0</v>
      </c>
      <c r="V253" s="558">
        <v>0</v>
      </c>
      <c r="W253" s="558">
        <v>0</v>
      </c>
      <c r="X253" s="558">
        <v>0</v>
      </c>
      <c r="Y253" s="558">
        <v>0</v>
      </c>
      <c r="Z253" s="558">
        <v>0</v>
      </c>
      <c r="AA253" s="558">
        <v>0</v>
      </c>
      <c r="AB253" s="558">
        <v>0</v>
      </c>
      <c r="AC253" s="558">
        <v>0</v>
      </c>
      <c r="AD253" s="558">
        <v>0</v>
      </c>
      <c r="AE253" s="558">
        <v>0</v>
      </c>
      <c r="AF253" s="558">
        <v>0</v>
      </c>
      <c r="AG253" s="558">
        <v>0</v>
      </c>
      <c r="AH253" s="558">
        <v>0</v>
      </c>
      <c r="AI253" s="558">
        <v>0</v>
      </c>
      <c r="AJ253" s="558">
        <v>0</v>
      </c>
      <c r="AK253" s="558">
        <v>0</v>
      </c>
      <c r="AL253" s="494"/>
      <c r="AM253" s="494"/>
      <c r="AN253" s="27"/>
      <c r="AO253" s="17"/>
      <c r="AP253" s="9"/>
      <c r="AQ253" s="9"/>
      <c r="AR253" s="9"/>
    </row>
    <row r="254" spans="1:44" customFormat="1" outlineLevel="1" x14ac:dyDescent="0.25">
      <c r="A254" s="7"/>
      <c r="B254" s="8"/>
      <c r="C254" s="18"/>
      <c r="D254" s="18"/>
      <c r="E254" s="18"/>
      <c r="F254" s="24"/>
      <c r="G254" s="25"/>
      <c r="H254" s="25"/>
      <c r="I254" s="570" t="s">
        <v>3174</v>
      </c>
      <c r="J254" s="558">
        <v>0</v>
      </c>
      <c r="K254" s="558">
        <v>0</v>
      </c>
      <c r="L254" s="558">
        <v>0</v>
      </c>
      <c r="M254" s="558">
        <v>0</v>
      </c>
      <c r="N254" s="558">
        <v>0</v>
      </c>
      <c r="O254" s="558">
        <v>0</v>
      </c>
      <c r="P254" s="558">
        <v>0</v>
      </c>
      <c r="Q254" s="558">
        <v>0</v>
      </c>
      <c r="R254" s="558">
        <v>0</v>
      </c>
      <c r="S254" s="558">
        <v>0</v>
      </c>
      <c r="T254" s="558">
        <v>0</v>
      </c>
      <c r="U254" s="558">
        <v>0</v>
      </c>
      <c r="V254" s="558">
        <v>0</v>
      </c>
      <c r="W254" s="558">
        <v>0</v>
      </c>
      <c r="X254" s="558">
        <v>0</v>
      </c>
      <c r="Y254" s="558">
        <v>0</v>
      </c>
      <c r="Z254" s="558">
        <v>0</v>
      </c>
      <c r="AA254" s="558">
        <v>0</v>
      </c>
      <c r="AB254" s="558">
        <v>0</v>
      </c>
      <c r="AC254" s="558">
        <v>0</v>
      </c>
      <c r="AD254" s="558">
        <v>0.1</v>
      </c>
      <c r="AE254" s="558">
        <v>0.1</v>
      </c>
      <c r="AF254" s="558">
        <v>0.1</v>
      </c>
      <c r="AG254" s="558">
        <v>0.1</v>
      </c>
      <c r="AH254" s="558">
        <v>0.1</v>
      </c>
      <c r="AI254" s="558">
        <v>0.1</v>
      </c>
      <c r="AJ254" s="558">
        <v>0</v>
      </c>
      <c r="AK254" s="558">
        <v>0.1</v>
      </c>
      <c r="AL254" s="494"/>
      <c r="AM254" s="494"/>
      <c r="AN254" s="27"/>
      <c r="AO254" s="17"/>
      <c r="AP254" s="9"/>
      <c r="AQ254" s="9"/>
      <c r="AR254" s="9"/>
    </row>
    <row r="255" spans="1:44" customFormat="1" outlineLevel="1" x14ac:dyDescent="0.25">
      <c r="A255" s="7"/>
      <c r="B255" s="8"/>
      <c r="C255" s="18"/>
      <c r="D255" s="18"/>
      <c r="E255" s="18"/>
      <c r="F255" s="24"/>
      <c r="G255" s="25"/>
      <c r="H255" s="25"/>
      <c r="I255" s="570" t="s">
        <v>3175</v>
      </c>
      <c r="J255" s="558">
        <v>0</v>
      </c>
      <c r="K255" s="558">
        <v>0</v>
      </c>
      <c r="L255" s="558">
        <v>0</v>
      </c>
      <c r="M255" s="558">
        <v>0</v>
      </c>
      <c r="N255" s="558">
        <v>0</v>
      </c>
      <c r="O255" s="558">
        <v>0</v>
      </c>
      <c r="P255" s="558">
        <v>0</v>
      </c>
      <c r="Q255" s="558">
        <v>0</v>
      </c>
      <c r="R255" s="558">
        <v>0</v>
      </c>
      <c r="S255" s="558">
        <v>0</v>
      </c>
      <c r="T255" s="558">
        <v>0</v>
      </c>
      <c r="U255" s="558">
        <v>0</v>
      </c>
      <c r="V255" s="558">
        <v>0</v>
      </c>
      <c r="W255" s="558">
        <v>0</v>
      </c>
      <c r="X255" s="558">
        <v>0</v>
      </c>
      <c r="Y255" s="558">
        <v>0</v>
      </c>
      <c r="Z255" s="558">
        <v>0</v>
      </c>
      <c r="AA255" s="558">
        <v>0</v>
      </c>
      <c r="AB255" s="558">
        <v>0</v>
      </c>
      <c r="AC255" s="558">
        <v>0</v>
      </c>
      <c r="AD255" s="558">
        <v>0</v>
      </c>
      <c r="AE255" s="558">
        <v>0</v>
      </c>
      <c r="AF255" s="558">
        <v>0</v>
      </c>
      <c r="AG255" s="558">
        <v>0</v>
      </c>
      <c r="AH255" s="558">
        <v>0</v>
      </c>
      <c r="AI255" s="558">
        <v>0</v>
      </c>
      <c r="AJ255" s="558">
        <v>0</v>
      </c>
      <c r="AK255" s="558">
        <v>0</v>
      </c>
      <c r="AL255" s="494"/>
      <c r="AM255" s="494"/>
      <c r="AN255" s="27"/>
      <c r="AO255" s="17"/>
      <c r="AP255" s="9"/>
      <c r="AQ255" s="9"/>
      <c r="AR255" s="9"/>
    </row>
    <row r="256" spans="1:44" customFormat="1" outlineLevel="1" x14ac:dyDescent="0.25">
      <c r="A256" s="7"/>
      <c r="B256" s="8"/>
      <c r="C256" s="18"/>
      <c r="D256" s="18"/>
      <c r="E256" s="18"/>
      <c r="F256" s="24"/>
      <c r="G256" s="25"/>
      <c r="H256" s="25"/>
      <c r="I256" s="570" t="s">
        <v>3176</v>
      </c>
      <c r="J256" s="558">
        <v>0</v>
      </c>
      <c r="K256" s="558">
        <v>0</v>
      </c>
      <c r="L256" s="558">
        <v>0</v>
      </c>
      <c r="M256" s="558">
        <v>0</v>
      </c>
      <c r="N256" s="558">
        <v>0</v>
      </c>
      <c r="O256" s="558">
        <v>0</v>
      </c>
      <c r="P256" s="558">
        <v>0</v>
      </c>
      <c r="Q256" s="558">
        <v>0</v>
      </c>
      <c r="R256" s="558">
        <v>0</v>
      </c>
      <c r="S256" s="558">
        <v>0</v>
      </c>
      <c r="T256" s="558">
        <v>0</v>
      </c>
      <c r="U256" s="558">
        <v>0</v>
      </c>
      <c r="V256" s="558">
        <v>0</v>
      </c>
      <c r="W256" s="558">
        <v>0</v>
      </c>
      <c r="X256" s="558">
        <v>0</v>
      </c>
      <c r="Y256" s="558">
        <v>0</v>
      </c>
      <c r="Z256" s="558">
        <v>0</v>
      </c>
      <c r="AA256" s="558">
        <v>0</v>
      </c>
      <c r="AB256" s="558">
        <v>0</v>
      </c>
      <c r="AC256" s="558">
        <v>0</v>
      </c>
      <c r="AD256" s="558">
        <v>0</v>
      </c>
      <c r="AE256" s="558">
        <v>0</v>
      </c>
      <c r="AF256" s="558">
        <v>0</v>
      </c>
      <c r="AG256" s="558">
        <v>0</v>
      </c>
      <c r="AH256" s="558">
        <v>0</v>
      </c>
      <c r="AI256" s="558">
        <v>0</v>
      </c>
      <c r="AJ256" s="558">
        <v>0</v>
      </c>
      <c r="AK256" s="558">
        <v>0</v>
      </c>
      <c r="AL256" s="494"/>
      <c r="AM256" s="494"/>
      <c r="AN256" s="27"/>
      <c r="AO256" s="17"/>
      <c r="AP256" s="9"/>
      <c r="AQ256" s="9"/>
      <c r="AR256" s="9"/>
    </row>
    <row r="257" spans="1:44" customFormat="1" outlineLevel="1" x14ac:dyDescent="0.25">
      <c r="A257" s="7"/>
      <c r="B257" s="8"/>
      <c r="C257" s="18"/>
      <c r="D257" s="18"/>
      <c r="E257" s="18"/>
      <c r="F257" s="24"/>
      <c r="G257" s="25"/>
      <c r="H257" s="25"/>
      <c r="I257" s="493"/>
      <c r="J257" s="493"/>
      <c r="K257" s="493"/>
      <c r="L257" s="493"/>
      <c r="M257" s="493"/>
      <c r="N257" s="493"/>
      <c r="O257" s="493"/>
      <c r="P257" s="493"/>
      <c r="Q257" s="493"/>
      <c r="R257" s="493"/>
      <c r="S257" s="493"/>
      <c r="T257" s="493"/>
      <c r="U257" s="493"/>
      <c r="V257" s="493"/>
      <c r="W257" s="493"/>
      <c r="X257" s="493"/>
      <c r="Y257" s="493"/>
      <c r="Z257" s="493"/>
      <c r="AA257" s="493"/>
      <c r="AB257" s="493"/>
      <c r="AC257" s="493"/>
      <c r="AD257" s="493"/>
      <c r="AE257" s="493"/>
      <c r="AF257" s="493"/>
      <c r="AG257" s="493"/>
      <c r="AH257" s="493"/>
      <c r="AI257" s="493"/>
      <c r="AJ257" s="493"/>
      <c r="AK257" s="493"/>
      <c r="AL257" s="494"/>
      <c r="AM257" s="494"/>
      <c r="AN257" s="27"/>
      <c r="AO257" s="17"/>
      <c r="AP257" s="9"/>
      <c r="AQ257" s="9"/>
      <c r="AR257" s="9"/>
    </row>
    <row r="258" spans="1:44" customFormat="1" x14ac:dyDescent="0.25">
      <c r="A258" s="7"/>
      <c r="B258" s="8"/>
      <c r="C258" s="18"/>
      <c r="D258" s="18"/>
      <c r="E258" s="18"/>
      <c r="F258" s="24"/>
      <c r="G258" s="551" t="s">
        <v>3181</v>
      </c>
      <c r="H258" s="25"/>
      <c r="I258" s="493"/>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4"/>
      <c r="AM258" s="494"/>
      <c r="AN258" s="27"/>
      <c r="AO258" s="17"/>
      <c r="AP258" s="9"/>
      <c r="AQ258" s="9"/>
      <c r="AR258" s="9"/>
    </row>
    <row r="259" spans="1:44" customFormat="1" outlineLevel="1" x14ac:dyDescent="0.25">
      <c r="A259" s="7"/>
      <c r="B259" s="8"/>
      <c r="C259" s="18"/>
      <c r="D259" s="18"/>
      <c r="E259" s="18"/>
      <c r="F259" s="24"/>
      <c r="G259" s="25"/>
      <c r="H259" s="25" t="s">
        <v>3182</v>
      </c>
      <c r="I259" s="493"/>
      <c r="J259" s="568">
        <v>0</v>
      </c>
      <c r="K259" s="568">
        <v>0</v>
      </c>
      <c r="L259" s="568">
        <v>0</v>
      </c>
      <c r="M259" s="568">
        <v>0</v>
      </c>
      <c r="N259" s="568">
        <v>0</v>
      </c>
      <c r="O259" s="568">
        <v>0</v>
      </c>
      <c r="P259" s="568">
        <v>0</v>
      </c>
      <c r="Q259" s="568">
        <v>0</v>
      </c>
      <c r="R259" s="568">
        <v>0</v>
      </c>
      <c r="S259" s="568">
        <v>0</v>
      </c>
      <c r="T259" s="568">
        <v>0</v>
      </c>
      <c r="U259" s="568">
        <v>0</v>
      </c>
      <c r="V259" s="568">
        <v>0</v>
      </c>
      <c r="W259" s="568">
        <v>0</v>
      </c>
      <c r="X259" s="568">
        <v>0</v>
      </c>
      <c r="Y259" s="568">
        <v>0</v>
      </c>
      <c r="Z259" s="568">
        <v>0</v>
      </c>
      <c r="AA259" s="568">
        <v>0</v>
      </c>
      <c r="AB259" s="568">
        <v>0</v>
      </c>
      <c r="AC259" s="568">
        <v>0</v>
      </c>
      <c r="AD259" s="568">
        <v>0</v>
      </c>
      <c r="AE259" s="568">
        <v>0</v>
      </c>
      <c r="AF259" s="568">
        <v>0</v>
      </c>
      <c r="AG259" s="568">
        <v>0</v>
      </c>
      <c r="AH259" s="568">
        <v>0</v>
      </c>
      <c r="AI259" s="568">
        <v>0</v>
      </c>
      <c r="AJ259" s="568">
        <v>0</v>
      </c>
      <c r="AK259" s="568">
        <v>0</v>
      </c>
      <c r="AL259" s="494"/>
      <c r="AM259" s="494"/>
      <c r="AN259" s="27"/>
      <c r="AO259" s="17"/>
      <c r="AP259" s="9"/>
      <c r="AQ259" s="9"/>
      <c r="AR259" s="9"/>
    </row>
    <row r="260" spans="1:44" customFormat="1" outlineLevel="1" x14ac:dyDescent="0.25">
      <c r="A260" s="7"/>
      <c r="B260" s="8"/>
      <c r="C260" s="18"/>
      <c r="D260" s="18"/>
      <c r="E260" s="18"/>
      <c r="F260" s="24"/>
      <c r="G260" s="25"/>
      <c r="H260" s="25" t="s">
        <v>3157</v>
      </c>
      <c r="I260" s="493"/>
      <c r="J260" s="568">
        <v>0</v>
      </c>
      <c r="K260" s="568">
        <v>0</v>
      </c>
      <c r="L260" s="568">
        <v>0</v>
      </c>
      <c r="M260" s="568">
        <v>0</v>
      </c>
      <c r="N260" s="568">
        <v>0</v>
      </c>
      <c r="O260" s="568">
        <v>0</v>
      </c>
      <c r="P260" s="568">
        <v>0</v>
      </c>
      <c r="Q260" s="568">
        <v>0</v>
      </c>
      <c r="R260" s="568">
        <v>0</v>
      </c>
      <c r="S260" s="568">
        <v>0</v>
      </c>
      <c r="T260" s="568">
        <v>0</v>
      </c>
      <c r="U260" s="568">
        <v>0</v>
      </c>
      <c r="V260" s="568">
        <v>0</v>
      </c>
      <c r="W260" s="568">
        <v>0</v>
      </c>
      <c r="X260" s="568">
        <v>0</v>
      </c>
      <c r="Y260" s="568">
        <v>0</v>
      </c>
      <c r="Z260" s="568">
        <v>0</v>
      </c>
      <c r="AA260" s="568">
        <v>0</v>
      </c>
      <c r="AB260" s="568">
        <v>0</v>
      </c>
      <c r="AC260" s="568">
        <v>0</v>
      </c>
      <c r="AD260" s="568">
        <v>0</v>
      </c>
      <c r="AE260" s="568">
        <v>0</v>
      </c>
      <c r="AF260" s="568">
        <v>0</v>
      </c>
      <c r="AG260" s="568">
        <v>0</v>
      </c>
      <c r="AH260" s="568">
        <v>0</v>
      </c>
      <c r="AI260" s="568">
        <v>0</v>
      </c>
      <c r="AJ260" s="568">
        <v>0</v>
      </c>
      <c r="AK260" s="568">
        <v>0</v>
      </c>
      <c r="AL260" s="494"/>
      <c r="AM260" s="494"/>
      <c r="AN260" s="27"/>
      <c r="AO260" s="17"/>
      <c r="AP260" s="9"/>
      <c r="AQ260" s="9"/>
      <c r="AR260" s="9"/>
    </row>
    <row r="261" spans="1:44" customFormat="1" outlineLevel="1" x14ac:dyDescent="0.25">
      <c r="A261" s="7"/>
      <c r="B261" s="8"/>
      <c r="C261" s="18"/>
      <c r="D261" s="18"/>
      <c r="E261" s="18"/>
      <c r="F261" s="24"/>
      <c r="G261" s="25"/>
      <c r="H261" s="25" t="s">
        <v>3158</v>
      </c>
      <c r="I261" s="493"/>
      <c r="J261" s="552">
        <v>0</v>
      </c>
      <c r="K261" s="552">
        <v>0</v>
      </c>
      <c r="L261" s="552">
        <v>0</v>
      </c>
      <c r="M261" s="552">
        <v>0</v>
      </c>
      <c r="N261" s="552">
        <v>0</v>
      </c>
      <c r="O261" s="552">
        <v>0</v>
      </c>
      <c r="P261" s="552">
        <v>0</v>
      </c>
      <c r="Q261" s="552">
        <v>0</v>
      </c>
      <c r="R261" s="552">
        <v>0</v>
      </c>
      <c r="S261" s="552">
        <v>0</v>
      </c>
      <c r="T261" s="552">
        <v>0</v>
      </c>
      <c r="U261" s="552">
        <v>0</v>
      </c>
      <c r="V261" s="552">
        <v>0</v>
      </c>
      <c r="W261" s="552">
        <v>0</v>
      </c>
      <c r="X261" s="552">
        <v>0</v>
      </c>
      <c r="Y261" s="552">
        <v>0</v>
      </c>
      <c r="Z261" s="552">
        <v>0</v>
      </c>
      <c r="AA261" s="552">
        <v>0</v>
      </c>
      <c r="AB261" s="552">
        <v>0</v>
      </c>
      <c r="AC261" s="552">
        <v>0</v>
      </c>
      <c r="AD261" s="552">
        <v>0</v>
      </c>
      <c r="AE261" s="552">
        <v>0</v>
      </c>
      <c r="AF261" s="552">
        <v>0</v>
      </c>
      <c r="AG261" s="552">
        <v>0</v>
      </c>
      <c r="AH261" s="552">
        <v>0</v>
      </c>
      <c r="AI261" s="552">
        <v>0</v>
      </c>
      <c r="AJ261" s="552">
        <v>0</v>
      </c>
      <c r="AK261" s="552">
        <v>0</v>
      </c>
      <c r="AL261" s="494"/>
      <c r="AM261" s="494"/>
      <c r="AN261" s="27"/>
      <c r="AO261" s="17"/>
      <c r="AP261" s="9"/>
      <c r="AQ261" s="9"/>
      <c r="AR261" s="9"/>
    </row>
    <row r="262" spans="1:44" customFormat="1" outlineLevel="1" x14ac:dyDescent="0.25">
      <c r="A262" s="7"/>
      <c r="B262" s="8"/>
      <c r="C262" s="18"/>
      <c r="D262" s="18"/>
      <c r="E262" s="18"/>
      <c r="F262" s="24"/>
      <c r="G262" s="25"/>
      <c r="H262" s="25" t="s">
        <v>3183</v>
      </c>
      <c r="I262" s="493"/>
      <c r="J262" s="568">
        <v>0</v>
      </c>
      <c r="K262" s="568">
        <v>0</v>
      </c>
      <c r="L262" s="568">
        <v>0</v>
      </c>
      <c r="M262" s="568">
        <v>0</v>
      </c>
      <c r="N262" s="568">
        <v>0</v>
      </c>
      <c r="O262" s="568">
        <v>0</v>
      </c>
      <c r="P262" s="568">
        <v>0</v>
      </c>
      <c r="Q262" s="568">
        <v>0</v>
      </c>
      <c r="R262" s="568">
        <v>0</v>
      </c>
      <c r="S262" s="568">
        <v>0</v>
      </c>
      <c r="T262" s="568">
        <v>0</v>
      </c>
      <c r="U262" s="568">
        <v>0</v>
      </c>
      <c r="V262" s="568">
        <v>0</v>
      </c>
      <c r="W262" s="568">
        <v>0</v>
      </c>
      <c r="X262" s="568">
        <v>0</v>
      </c>
      <c r="Y262" s="568">
        <v>0</v>
      </c>
      <c r="Z262" s="568">
        <v>0</v>
      </c>
      <c r="AA262" s="568">
        <v>0</v>
      </c>
      <c r="AB262" s="568">
        <v>0</v>
      </c>
      <c r="AC262" s="568">
        <v>0</v>
      </c>
      <c r="AD262" s="568">
        <v>0</v>
      </c>
      <c r="AE262" s="568">
        <v>0</v>
      </c>
      <c r="AF262" s="568">
        <v>0</v>
      </c>
      <c r="AG262" s="568">
        <v>0</v>
      </c>
      <c r="AH262" s="568">
        <v>0</v>
      </c>
      <c r="AI262" s="568">
        <v>0</v>
      </c>
      <c r="AJ262" s="568">
        <v>0</v>
      </c>
      <c r="AK262" s="568">
        <v>0</v>
      </c>
      <c r="AL262" s="494"/>
      <c r="AM262" s="494"/>
      <c r="AN262" s="27"/>
      <c r="AO262" s="17"/>
      <c r="AP262" s="9"/>
      <c r="AQ262" s="9"/>
      <c r="AR262" s="9"/>
    </row>
    <row r="263" spans="1:44" customFormat="1" ht="15" customHeight="1" outlineLevel="1" x14ac:dyDescent="0.25">
      <c r="A263" s="7"/>
      <c r="B263" s="8"/>
      <c r="C263" s="18"/>
      <c r="D263" s="18"/>
      <c r="E263" s="18"/>
      <c r="F263" s="24"/>
      <c r="G263" s="25"/>
      <c r="H263" s="25" t="s">
        <v>3160</v>
      </c>
      <c r="I263" s="620" t="s">
        <v>3161</v>
      </c>
      <c r="J263" s="566">
        <v>0.125</v>
      </c>
      <c r="K263" s="566">
        <v>0.125</v>
      </c>
      <c r="L263" s="566">
        <v>0.125</v>
      </c>
      <c r="M263" s="566">
        <v>0.125</v>
      </c>
      <c r="N263" s="566">
        <v>0.125</v>
      </c>
      <c r="O263" s="566">
        <v>0.125</v>
      </c>
      <c r="P263" s="566">
        <v>0.125</v>
      </c>
      <c r="Q263" s="566">
        <v>0.125</v>
      </c>
      <c r="R263" s="566">
        <v>0.125</v>
      </c>
      <c r="S263" s="566">
        <v>0.125</v>
      </c>
      <c r="T263" s="566">
        <v>0.125</v>
      </c>
      <c r="U263" s="566">
        <v>0.125</v>
      </c>
      <c r="V263" s="566">
        <v>0.125</v>
      </c>
      <c r="W263" s="566">
        <v>0.125</v>
      </c>
      <c r="X263" s="566">
        <v>0.125</v>
      </c>
      <c r="Y263" s="566">
        <v>0.125</v>
      </c>
      <c r="Z263" s="566">
        <v>0.125</v>
      </c>
      <c r="AA263" s="566">
        <v>0.125</v>
      </c>
      <c r="AB263" s="566">
        <v>0.125</v>
      </c>
      <c r="AC263" s="566">
        <v>0.125</v>
      </c>
      <c r="AD263" s="566">
        <v>0.125</v>
      </c>
      <c r="AE263" s="566">
        <v>0.125</v>
      </c>
      <c r="AF263" s="566">
        <v>0.125</v>
      </c>
      <c r="AG263" s="566">
        <v>0.125</v>
      </c>
      <c r="AH263" s="566">
        <v>0.125</v>
      </c>
      <c r="AI263" s="566">
        <v>0.125</v>
      </c>
      <c r="AJ263" s="566">
        <v>0.125</v>
      </c>
      <c r="AK263" s="566">
        <v>0.125</v>
      </c>
      <c r="AL263" s="494"/>
      <c r="AM263" s="494"/>
      <c r="AN263" s="27"/>
      <c r="AO263" s="17"/>
      <c r="AP263" s="9"/>
      <c r="AQ263" s="9"/>
      <c r="AR263" s="9"/>
    </row>
    <row r="264" spans="1:44" customFormat="1" outlineLevel="1" x14ac:dyDescent="0.25">
      <c r="A264" s="7"/>
      <c r="B264" s="8"/>
      <c r="C264" s="18"/>
      <c r="D264" s="18"/>
      <c r="E264" s="18"/>
      <c r="F264" s="24"/>
      <c r="G264" s="25"/>
      <c r="H264" s="25" t="s">
        <v>3162</v>
      </c>
      <c r="I264" s="620"/>
      <c r="J264" s="566">
        <v>0.02</v>
      </c>
      <c r="K264" s="566">
        <v>0.02</v>
      </c>
      <c r="L264" s="566">
        <v>0.02</v>
      </c>
      <c r="M264" s="566">
        <v>0.02</v>
      </c>
      <c r="N264" s="566">
        <v>0.02</v>
      </c>
      <c r="O264" s="566">
        <v>0.02</v>
      </c>
      <c r="P264" s="566">
        <v>0.02</v>
      </c>
      <c r="Q264" s="566">
        <v>0.02</v>
      </c>
      <c r="R264" s="566">
        <v>0.02</v>
      </c>
      <c r="S264" s="566">
        <v>0.02</v>
      </c>
      <c r="T264" s="566">
        <v>0.02</v>
      </c>
      <c r="U264" s="566">
        <v>0.02</v>
      </c>
      <c r="V264" s="566">
        <v>0.02</v>
      </c>
      <c r="W264" s="566">
        <v>0.02</v>
      </c>
      <c r="X264" s="566">
        <v>0.02</v>
      </c>
      <c r="Y264" s="566">
        <v>0.02</v>
      </c>
      <c r="Z264" s="566">
        <v>0.02</v>
      </c>
      <c r="AA264" s="566">
        <v>0.02</v>
      </c>
      <c r="AB264" s="566">
        <v>0.02</v>
      </c>
      <c r="AC264" s="566">
        <v>0.02</v>
      </c>
      <c r="AD264" s="566">
        <v>0.02</v>
      </c>
      <c r="AE264" s="566">
        <v>0.02</v>
      </c>
      <c r="AF264" s="566">
        <v>0.02</v>
      </c>
      <c r="AG264" s="566">
        <v>0.02</v>
      </c>
      <c r="AH264" s="566">
        <v>0.02</v>
      </c>
      <c r="AI264" s="566">
        <v>0.02</v>
      </c>
      <c r="AJ264" s="566">
        <v>0.02</v>
      </c>
      <c r="AK264" s="566">
        <v>0.02</v>
      </c>
      <c r="AL264" s="494"/>
      <c r="AM264" s="494"/>
      <c r="AN264" s="27"/>
      <c r="AO264" s="17"/>
      <c r="AP264" s="9"/>
      <c r="AQ264" s="9"/>
      <c r="AR264" s="9"/>
    </row>
    <row r="265" spans="1:44" customFormat="1" outlineLevel="1" x14ac:dyDescent="0.25">
      <c r="A265" s="7"/>
      <c r="B265" s="8"/>
      <c r="C265" s="18"/>
      <c r="D265" s="18"/>
      <c r="E265" s="18"/>
      <c r="F265" s="24"/>
      <c r="G265" s="25"/>
      <c r="H265" s="25" t="s">
        <v>3163</v>
      </c>
      <c r="I265" s="620"/>
      <c r="J265" s="567">
        <f>1-SUM(J263:J264)</f>
        <v>0.85499999999999998</v>
      </c>
      <c r="K265" s="567">
        <f t="shared" ref="K265:AI265" si="21">1-SUM(K263:K264)</f>
        <v>0.85499999999999998</v>
      </c>
      <c r="L265" s="567">
        <f t="shared" si="21"/>
        <v>0.85499999999999998</v>
      </c>
      <c r="M265" s="567">
        <f t="shared" si="21"/>
        <v>0.85499999999999998</v>
      </c>
      <c r="N265" s="567">
        <f t="shared" si="21"/>
        <v>0.85499999999999998</v>
      </c>
      <c r="O265" s="567">
        <f t="shared" si="21"/>
        <v>0.85499999999999998</v>
      </c>
      <c r="P265" s="567">
        <f t="shared" si="21"/>
        <v>0.85499999999999998</v>
      </c>
      <c r="Q265" s="567">
        <f t="shared" si="21"/>
        <v>0.85499999999999998</v>
      </c>
      <c r="R265" s="567">
        <f t="shared" si="21"/>
        <v>0.85499999999999998</v>
      </c>
      <c r="S265" s="567">
        <f t="shared" si="21"/>
        <v>0.85499999999999998</v>
      </c>
      <c r="T265" s="567">
        <f t="shared" si="21"/>
        <v>0.85499999999999998</v>
      </c>
      <c r="U265" s="567">
        <f t="shared" si="21"/>
        <v>0.85499999999999998</v>
      </c>
      <c r="V265" s="567">
        <f t="shared" si="21"/>
        <v>0.85499999999999998</v>
      </c>
      <c r="W265" s="567">
        <f t="shared" si="21"/>
        <v>0.85499999999999998</v>
      </c>
      <c r="X265" s="567">
        <f t="shared" si="21"/>
        <v>0.85499999999999998</v>
      </c>
      <c r="Y265" s="567">
        <f t="shared" si="21"/>
        <v>0.85499999999999998</v>
      </c>
      <c r="Z265" s="567">
        <f t="shared" si="21"/>
        <v>0.85499999999999998</v>
      </c>
      <c r="AA265" s="567">
        <f t="shared" si="21"/>
        <v>0.85499999999999998</v>
      </c>
      <c r="AB265" s="567">
        <f t="shared" si="21"/>
        <v>0.85499999999999998</v>
      </c>
      <c r="AC265" s="567">
        <f t="shared" si="21"/>
        <v>0.85499999999999998</v>
      </c>
      <c r="AD265" s="567">
        <f t="shared" si="21"/>
        <v>0.85499999999999998</v>
      </c>
      <c r="AE265" s="567">
        <f t="shared" si="21"/>
        <v>0.85499999999999998</v>
      </c>
      <c r="AF265" s="567">
        <f t="shared" si="21"/>
        <v>0.85499999999999998</v>
      </c>
      <c r="AG265" s="567">
        <f t="shared" si="21"/>
        <v>0.85499999999999998</v>
      </c>
      <c r="AH265" s="567">
        <f t="shared" si="21"/>
        <v>0.85499999999999998</v>
      </c>
      <c r="AI265" s="567">
        <f t="shared" si="21"/>
        <v>0.85499999999999998</v>
      </c>
      <c r="AJ265" s="567">
        <f>1-SUM(AJ263:AJ264)</f>
        <v>0.85499999999999998</v>
      </c>
      <c r="AK265" s="567">
        <f t="shared" ref="AK265" si="22">1-SUM(AK263:AK264)</f>
        <v>0.85499999999999998</v>
      </c>
      <c r="AL265" s="494"/>
      <c r="AM265" s="494"/>
      <c r="AN265" s="27"/>
      <c r="AO265" s="17"/>
      <c r="AP265" s="9"/>
      <c r="AQ265" s="9"/>
      <c r="AR265" s="9"/>
    </row>
    <row r="266" spans="1:44" customFormat="1" outlineLevel="1" x14ac:dyDescent="0.25">
      <c r="A266" s="7"/>
      <c r="B266" s="8"/>
      <c r="C266" s="18"/>
      <c r="D266" s="18"/>
      <c r="E266" s="18"/>
      <c r="F266" s="24"/>
      <c r="G266" s="551"/>
      <c r="H266" s="25"/>
      <c r="I266" s="493"/>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27"/>
      <c r="AO266" s="17"/>
      <c r="AP266" s="9"/>
      <c r="AQ266" s="9"/>
      <c r="AR266" s="9"/>
    </row>
    <row r="267" spans="1:44" customFormat="1" outlineLevel="1" x14ac:dyDescent="0.25">
      <c r="A267" s="7"/>
      <c r="B267" s="8"/>
      <c r="C267" s="18"/>
      <c r="D267" s="18"/>
      <c r="E267" s="18"/>
      <c r="F267" s="24"/>
      <c r="G267" s="551"/>
      <c r="H267" s="25"/>
      <c r="I267" s="493"/>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27"/>
      <c r="AO267" s="17"/>
      <c r="AP267" s="9"/>
      <c r="AQ267" s="9"/>
      <c r="AR267" s="9"/>
    </row>
    <row r="268" spans="1:44" customFormat="1" x14ac:dyDescent="0.25">
      <c r="A268" s="7"/>
      <c r="B268" s="8"/>
      <c r="C268" s="18"/>
      <c r="D268" s="18"/>
      <c r="E268" s="18"/>
      <c r="F268" s="24"/>
      <c r="G268" s="551" t="s">
        <v>3184</v>
      </c>
      <c r="H268" s="25"/>
      <c r="I268" s="493"/>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27"/>
      <c r="AO268" s="17"/>
      <c r="AP268" s="9"/>
      <c r="AQ268" s="9"/>
      <c r="AR268" s="9"/>
    </row>
    <row r="269" spans="1:44" customFormat="1" ht="12" customHeight="1" outlineLevel="1" x14ac:dyDescent="0.25">
      <c r="A269" s="7"/>
      <c r="B269" s="8"/>
      <c r="C269" s="18"/>
      <c r="D269" s="18"/>
      <c r="E269" s="18"/>
      <c r="F269" s="24"/>
      <c r="H269" s="507" t="s">
        <v>3185</v>
      </c>
      <c r="I269" s="507"/>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5"/>
      <c r="AM269" s="495"/>
      <c r="AN269" s="27"/>
      <c r="AO269" s="17"/>
      <c r="AP269" s="9"/>
      <c r="AQ269" s="9"/>
      <c r="AR269" s="9"/>
    </row>
    <row r="270" spans="1:44" customFormat="1" ht="12" customHeight="1" outlineLevel="1" x14ac:dyDescent="0.25">
      <c r="A270" s="7"/>
      <c r="B270" s="8"/>
      <c r="C270" s="18"/>
      <c r="D270" s="18"/>
      <c r="E270" s="18"/>
      <c r="F270" s="24"/>
      <c r="H270" s="507"/>
      <c r="I270" s="495" t="s">
        <v>3186</v>
      </c>
      <c r="J270" s="571">
        <v>1</v>
      </c>
      <c r="K270" s="571">
        <v>1</v>
      </c>
      <c r="L270" s="571">
        <v>1</v>
      </c>
      <c r="M270" s="571">
        <v>1</v>
      </c>
      <c r="N270" s="571">
        <v>1</v>
      </c>
      <c r="O270" s="571">
        <v>1</v>
      </c>
      <c r="P270" s="571">
        <v>1</v>
      </c>
      <c r="Q270" s="571">
        <v>1</v>
      </c>
      <c r="R270" s="571">
        <v>1</v>
      </c>
      <c r="S270" s="571">
        <v>1</v>
      </c>
      <c r="T270" s="571">
        <v>1</v>
      </c>
      <c r="U270" s="571">
        <v>1</v>
      </c>
      <c r="V270" s="571">
        <v>1</v>
      </c>
      <c r="W270" s="571">
        <v>1</v>
      </c>
      <c r="X270" s="571">
        <v>1</v>
      </c>
      <c r="Y270" s="571">
        <v>1</v>
      </c>
      <c r="Z270" s="571">
        <v>1</v>
      </c>
      <c r="AA270" s="571">
        <v>1</v>
      </c>
      <c r="AB270" s="571">
        <v>1</v>
      </c>
      <c r="AC270" s="571">
        <v>1</v>
      </c>
      <c r="AD270" s="571">
        <v>1</v>
      </c>
      <c r="AE270" s="571">
        <v>1</v>
      </c>
      <c r="AF270" s="571">
        <v>1</v>
      </c>
      <c r="AG270" s="571">
        <v>1</v>
      </c>
      <c r="AH270" s="571">
        <v>1</v>
      </c>
      <c r="AI270" s="571">
        <v>1</v>
      </c>
      <c r="AJ270" s="571">
        <v>1</v>
      </c>
      <c r="AK270" s="571">
        <v>1</v>
      </c>
      <c r="AL270" s="494"/>
      <c r="AM270" s="494"/>
      <c r="AN270" s="27"/>
      <c r="AO270" s="17"/>
      <c r="AP270" s="9"/>
      <c r="AQ270" s="9"/>
      <c r="AR270" s="9"/>
    </row>
    <row r="271" spans="1:44" customFormat="1" ht="12" customHeight="1" outlineLevel="1" x14ac:dyDescent="0.25">
      <c r="A271" s="7"/>
      <c r="B271" s="8"/>
      <c r="C271" s="18"/>
      <c r="D271" s="18"/>
      <c r="E271" s="18"/>
      <c r="F271" s="24"/>
      <c r="H271" s="507"/>
      <c r="I271" s="495" t="s">
        <v>3187</v>
      </c>
      <c r="J271" s="571">
        <v>6</v>
      </c>
      <c r="K271" s="571">
        <v>6</v>
      </c>
      <c r="L271" s="571">
        <v>6</v>
      </c>
      <c r="M271" s="571">
        <v>6</v>
      </c>
      <c r="N271" s="571">
        <v>6</v>
      </c>
      <c r="O271" s="571">
        <v>6</v>
      </c>
      <c r="P271" s="571">
        <v>6</v>
      </c>
      <c r="Q271" s="571">
        <v>6</v>
      </c>
      <c r="R271" s="571">
        <v>6</v>
      </c>
      <c r="S271" s="571">
        <v>6</v>
      </c>
      <c r="T271" s="571">
        <v>6</v>
      </c>
      <c r="U271" s="571">
        <v>6</v>
      </c>
      <c r="V271" s="571">
        <v>6</v>
      </c>
      <c r="W271" s="571">
        <v>6</v>
      </c>
      <c r="X271" s="571">
        <v>6</v>
      </c>
      <c r="Y271" s="571">
        <v>6</v>
      </c>
      <c r="Z271" s="571">
        <v>6</v>
      </c>
      <c r="AA271" s="571">
        <v>6</v>
      </c>
      <c r="AB271" s="571">
        <v>6</v>
      </c>
      <c r="AC271" s="571">
        <v>6</v>
      </c>
      <c r="AD271" s="571">
        <v>6</v>
      </c>
      <c r="AE271" s="571">
        <v>6</v>
      </c>
      <c r="AF271" s="571">
        <v>6</v>
      </c>
      <c r="AG271" s="571">
        <v>6</v>
      </c>
      <c r="AH271" s="571">
        <v>6</v>
      </c>
      <c r="AI271" s="571">
        <v>6</v>
      </c>
      <c r="AJ271" s="571">
        <v>6</v>
      </c>
      <c r="AK271" s="571">
        <v>6</v>
      </c>
      <c r="AL271" s="494"/>
      <c r="AM271" s="494"/>
      <c r="AN271" s="27"/>
      <c r="AO271" s="17"/>
      <c r="AP271" s="9"/>
      <c r="AQ271" s="9"/>
      <c r="AR271" s="9"/>
    </row>
    <row r="272" spans="1:44" customFormat="1" ht="12" customHeight="1" outlineLevel="1" x14ac:dyDescent="0.25">
      <c r="A272" s="7"/>
      <c r="B272" s="8"/>
      <c r="C272" s="18"/>
      <c r="D272" s="18"/>
      <c r="E272" s="18"/>
      <c r="F272" s="24"/>
      <c r="H272" s="507"/>
      <c r="I272" s="495" t="s">
        <v>3188</v>
      </c>
      <c r="J272" s="571">
        <v>7</v>
      </c>
      <c r="K272" s="571">
        <v>7</v>
      </c>
      <c r="L272" s="571">
        <v>7</v>
      </c>
      <c r="M272" s="571">
        <v>7</v>
      </c>
      <c r="N272" s="571">
        <v>7</v>
      </c>
      <c r="O272" s="571">
        <v>7</v>
      </c>
      <c r="P272" s="571">
        <v>7</v>
      </c>
      <c r="Q272" s="571">
        <v>7</v>
      </c>
      <c r="R272" s="571">
        <v>7</v>
      </c>
      <c r="S272" s="571">
        <v>7</v>
      </c>
      <c r="T272" s="571">
        <v>7</v>
      </c>
      <c r="U272" s="571">
        <v>7</v>
      </c>
      <c r="V272" s="571">
        <v>7</v>
      </c>
      <c r="W272" s="571">
        <v>7</v>
      </c>
      <c r="X272" s="571">
        <v>7</v>
      </c>
      <c r="Y272" s="571">
        <v>7</v>
      </c>
      <c r="Z272" s="571">
        <v>7</v>
      </c>
      <c r="AA272" s="571">
        <v>7</v>
      </c>
      <c r="AB272" s="571">
        <v>7</v>
      </c>
      <c r="AC272" s="571">
        <v>7</v>
      </c>
      <c r="AD272" s="571">
        <v>7</v>
      </c>
      <c r="AE272" s="571">
        <v>7</v>
      </c>
      <c r="AF272" s="571">
        <v>7</v>
      </c>
      <c r="AG272" s="571">
        <v>7</v>
      </c>
      <c r="AH272" s="571">
        <v>7</v>
      </c>
      <c r="AI272" s="571">
        <v>7</v>
      </c>
      <c r="AJ272" s="571">
        <v>7</v>
      </c>
      <c r="AK272" s="571">
        <v>7</v>
      </c>
      <c r="AL272" s="494"/>
      <c r="AM272" s="494"/>
      <c r="AN272" s="27"/>
      <c r="AO272" s="17"/>
      <c r="AP272" s="9"/>
      <c r="AQ272" s="9"/>
      <c r="AR272" s="9"/>
    </row>
    <row r="273" spans="1:44" customFormat="1" ht="12" customHeight="1" outlineLevel="1" x14ac:dyDescent="0.25">
      <c r="A273" s="7"/>
      <c r="B273" s="8"/>
      <c r="C273" s="18"/>
      <c r="D273" s="18"/>
      <c r="E273" s="18"/>
      <c r="F273" s="24"/>
      <c r="H273" s="507"/>
      <c r="I273" s="507"/>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494"/>
      <c r="AM273" s="494"/>
      <c r="AN273" s="27"/>
      <c r="AO273" s="17"/>
      <c r="AP273" s="9"/>
      <c r="AQ273" s="9"/>
      <c r="AR273" s="9"/>
    </row>
    <row r="274" spans="1:44" customFormat="1" ht="12" customHeight="1" outlineLevel="1" x14ac:dyDescent="0.25">
      <c r="A274" s="7"/>
      <c r="B274" s="8"/>
      <c r="C274" s="18"/>
      <c r="D274" s="18"/>
      <c r="E274" s="18"/>
      <c r="F274" s="24"/>
      <c r="H274" s="507" t="s">
        <v>3189</v>
      </c>
      <c r="I274" s="507"/>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27"/>
      <c r="AO274" s="17"/>
      <c r="AP274" s="9"/>
      <c r="AQ274" s="9"/>
      <c r="AR274" s="9"/>
    </row>
    <row r="275" spans="1:44" customFormat="1" ht="12" customHeight="1" outlineLevel="1" x14ac:dyDescent="0.25">
      <c r="A275" s="7"/>
      <c r="B275" s="8"/>
      <c r="C275" s="18"/>
      <c r="D275" s="18"/>
      <c r="E275" s="18"/>
      <c r="F275" s="24"/>
      <c r="I275" s="495" t="s">
        <v>2807</v>
      </c>
      <c r="J275" s="573" t="b">
        <v>1</v>
      </c>
      <c r="K275" s="573" t="b">
        <v>1</v>
      </c>
      <c r="L275" s="573" t="b">
        <v>1</v>
      </c>
      <c r="M275" s="573" t="b">
        <v>1</v>
      </c>
      <c r="N275" s="573" t="b">
        <v>1</v>
      </c>
      <c r="O275" s="573" t="b">
        <v>1</v>
      </c>
      <c r="P275" s="573" t="b">
        <v>1</v>
      </c>
      <c r="Q275" s="573" t="b">
        <v>1</v>
      </c>
      <c r="R275" s="573" t="b">
        <v>1</v>
      </c>
      <c r="S275" s="573" t="b">
        <v>1</v>
      </c>
      <c r="T275" s="573" t="b">
        <v>1</v>
      </c>
      <c r="U275" s="573" t="b">
        <v>1</v>
      </c>
      <c r="V275" s="573" t="b">
        <v>1</v>
      </c>
      <c r="W275" s="573" t="b">
        <v>1</v>
      </c>
      <c r="X275" s="573" t="b">
        <v>1</v>
      </c>
      <c r="Y275" s="573" t="b">
        <v>1</v>
      </c>
      <c r="Z275" s="573" t="b">
        <v>1</v>
      </c>
      <c r="AA275" s="573" t="b">
        <v>1</v>
      </c>
      <c r="AB275" s="573" t="b">
        <v>1</v>
      </c>
      <c r="AC275" s="573" t="b">
        <v>1</v>
      </c>
      <c r="AD275" s="573" t="b">
        <v>0</v>
      </c>
      <c r="AE275" s="573" t="b">
        <v>1</v>
      </c>
      <c r="AF275" s="573" t="b">
        <v>1</v>
      </c>
      <c r="AG275" s="573" t="b">
        <v>1</v>
      </c>
      <c r="AH275" s="573" t="b">
        <v>1</v>
      </c>
      <c r="AI275" s="573" t="b">
        <v>0</v>
      </c>
      <c r="AJ275" s="573" t="b">
        <v>1</v>
      </c>
      <c r="AK275" s="573" t="b">
        <v>1</v>
      </c>
      <c r="AL275" s="494"/>
      <c r="AM275" s="494"/>
      <c r="AN275" s="27"/>
      <c r="AO275" s="17"/>
      <c r="AP275" s="9"/>
      <c r="AQ275" s="9"/>
      <c r="AR275" s="9"/>
    </row>
    <row r="276" spans="1:44" customFormat="1" ht="12" customHeight="1" outlineLevel="1" x14ac:dyDescent="0.25">
      <c r="A276" s="7"/>
      <c r="B276" s="8"/>
      <c r="C276" s="18"/>
      <c r="D276" s="18"/>
      <c r="E276" s="18"/>
      <c r="F276" s="24"/>
      <c r="G276" s="507"/>
      <c r="H276" s="507"/>
      <c r="I276" s="495" t="s">
        <v>2808</v>
      </c>
      <c r="J276" s="573" t="b">
        <v>0</v>
      </c>
      <c r="K276" s="573" t="b">
        <v>0</v>
      </c>
      <c r="L276" s="573" t="b">
        <v>0</v>
      </c>
      <c r="M276" s="573" t="b">
        <v>0</v>
      </c>
      <c r="N276" s="573" t="b">
        <v>0</v>
      </c>
      <c r="O276" s="573" t="b">
        <v>0</v>
      </c>
      <c r="P276" s="573" t="b">
        <v>0</v>
      </c>
      <c r="Q276" s="573" t="b">
        <v>0</v>
      </c>
      <c r="R276" s="573" t="b">
        <v>0</v>
      </c>
      <c r="S276" s="573" t="b">
        <v>0</v>
      </c>
      <c r="T276" s="573" t="b">
        <v>0</v>
      </c>
      <c r="U276" s="573" t="b">
        <v>0</v>
      </c>
      <c r="V276" s="573" t="b">
        <v>0</v>
      </c>
      <c r="W276" s="573" t="b">
        <v>0</v>
      </c>
      <c r="X276" s="573" t="b">
        <v>0</v>
      </c>
      <c r="Y276" s="573" t="b">
        <v>0</v>
      </c>
      <c r="Z276" s="573" t="b">
        <v>0</v>
      </c>
      <c r="AA276" s="573" t="b">
        <v>0</v>
      </c>
      <c r="AB276" s="573" t="b">
        <v>0</v>
      </c>
      <c r="AC276" s="573" t="b">
        <v>0</v>
      </c>
      <c r="AD276" s="573" t="b">
        <v>0</v>
      </c>
      <c r="AE276" s="573" t="b">
        <v>0</v>
      </c>
      <c r="AF276" s="573" t="b">
        <v>0</v>
      </c>
      <c r="AG276" s="573" t="b">
        <v>0</v>
      </c>
      <c r="AH276" s="573" t="b">
        <v>0</v>
      </c>
      <c r="AI276" s="573" t="b">
        <v>0</v>
      </c>
      <c r="AJ276" s="573" t="b">
        <v>0</v>
      </c>
      <c r="AK276" s="573" t="b">
        <v>0</v>
      </c>
      <c r="AL276" s="494"/>
      <c r="AM276" s="494"/>
      <c r="AN276" s="27"/>
      <c r="AO276" s="17"/>
      <c r="AP276" s="9"/>
      <c r="AQ276" s="9"/>
      <c r="AR276" s="9"/>
    </row>
    <row r="277" spans="1:44" customFormat="1" ht="12" customHeight="1" outlineLevel="1" x14ac:dyDescent="0.25">
      <c r="A277" s="7"/>
      <c r="B277" s="8"/>
      <c r="C277" s="18"/>
      <c r="D277" s="18"/>
      <c r="E277" s="18"/>
      <c r="F277" s="24"/>
      <c r="H277" s="507"/>
      <c r="I277" s="495" t="s">
        <v>2809</v>
      </c>
      <c r="J277" s="573" t="b">
        <v>0</v>
      </c>
      <c r="K277" s="573" t="b">
        <v>0</v>
      </c>
      <c r="L277" s="573" t="b">
        <v>0</v>
      </c>
      <c r="M277" s="573" t="b">
        <v>0</v>
      </c>
      <c r="N277" s="573" t="b">
        <v>0</v>
      </c>
      <c r="O277" s="573" t="b">
        <v>0</v>
      </c>
      <c r="P277" s="573" t="b">
        <v>0</v>
      </c>
      <c r="Q277" s="573" t="b">
        <v>0</v>
      </c>
      <c r="R277" s="573" t="b">
        <v>0</v>
      </c>
      <c r="S277" s="573" t="b">
        <v>0</v>
      </c>
      <c r="T277" s="573" t="b">
        <v>0</v>
      </c>
      <c r="U277" s="573" t="b">
        <v>0</v>
      </c>
      <c r="V277" s="573" t="b">
        <v>0</v>
      </c>
      <c r="W277" s="573" t="b">
        <v>0</v>
      </c>
      <c r="X277" s="573" t="b">
        <v>0</v>
      </c>
      <c r="Y277" s="573" t="b">
        <v>0</v>
      </c>
      <c r="Z277" s="573" t="b">
        <v>0</v>
      </c>
      <c r="AA277" s="573" t="b">
        <v>0</v>
      </c>
      <c r="AB277" s="573" t="b">
        <v>0</v>
      </c>
      <c r="AC277" s="573" t="b">
        <v>0</v>
      </c>
      <c r="AD277" s="573" t="b">
        <v>1</v>
      </c>
      <c r="AE277" s="573" t="b">
        <v>0</v>
      </c>
      <c r="AF277" s="573" t="b">
        <v>0</v>
      </c>
      <c r="AG277" s="573" t="b">
        <v>0</v>
      </c>
      <c r="AH277" s="573" t="b">
        <v>0</v>
      </c>
      <c r="AI277" s="573" t="b">
        <v>1</v>
      </c>
      <c r="AJ277" s="573" t="b">
        <v>0</v>
      </c>
      <c r="AK277" s="573" t="b">
        <v>0</v>
      </c>
      <c r="AL277" s="494"/>
      <c r="AM277" s="494"/>
      <c r="AN277" s="27"/>
      <c r="AO277" s="17"/>
      <c r="AP277" s="9"/>
      <c r="AQ277" s="9"/>
      <c r="AR277" s="9"/>
    </row>
    <row r="278" spans="1:44" customFormat="1" ht="12" customHeight="1" outlineLevel="1" x14ac:dyDescent="0.25">
      <c r="A278" s="7"/>
      <c r="B278" s="8"/>
      <c r="C278" s="18"/>
      <c r="D278" s="18"/>
      <c r="E278" s="18"/>
      <c r="F278" s="24"/>
      <c r="G278" s="507"/>
      <c r="H278" s="507"/>
      <c r="I278" s="495" t="s">
        <v>2810</v>
      </c>
      <c r="J278" s="573" t="b">
        <v>0</v>
      </c>
      <c r="K278" s="573" t="b">
        <v>0</v>
      </c>
      <c r="L278" s="573" t="b">
        <v>0</v>
      </c>
      <c r="M278" s="573" t="b">
        <v>0</v>
      </c>
      <c r="N278" s="573" t="b">
        <v>0</v>
      </c>
      <c r="O278" s="573" t="b">
        <v>0</v>
      </c>
      <c r="P278" s="573" t="b">
        <v>0</v>
      </c>
      <c r="Q278" s="573" t="b">
        <v>0</v>
      </c>
      <c r="R278" s="573" t="b">
        <v>0</v>
      </c>
      <c r="S278" s="573" t="b">
        <v>0</v>
      </c>
      <c r="T278" s="573" t="b">
        <v>0</v>
      </c>
      <c r="U278" s="573" t="b">
        <v>0</v>
      </c>
      <c r="V278" s="573" t="b">
        <v>0</v>
      </c>
      <c r="W278" s="573" t="b">
        <v>0</v>
      </c>
      <c r="X278" s="573" t="b">
        <v>0</v>
      </c>
      <c r="Y278" s="573" t="b">
        <v>0</v>
      </c>
      <c r="Z278" s="573" t="b">
        <v>0</v>
      </c>
      <c r="AA278" s="573" t="b">
        <v>0</v>
      </c>
      <c r="AB278" s="573" t="b">
        <v>0</v>
      </c>
      <c r="AC278" s="573" t="b">
        <v>0</v>
      </c>
      <c r="AD278" s="573" t="b">
        <v>0</v>
      </c>
      <c r="AE278" s="573" t="b">
        <v>0</v>
      </c>
      <c r="AF278" s="573" t="b">
        <v>0</v>
      </c>
      <c r="AG278" s="573" t="b">
        <v>0</v>
      </c>
      <c r="AH278" s="573" t="b">
        <v>0</v>
      </c>
      <c r="AI278" s="573" t="b">
        <v>0</v>
      </c>
      <c r="AJ278" s="573" t="b">
        <v>0</v>
      </c>
      <c r="AK278" s="573" t="b">
        <v>0</v>
      </c>
      <c r="AL278" s="496"/>
      <c r="AM278" s="496"/>
      <c r="AN278" s="27"/>
      <c r="AO278" s="17"/>
      <c r="AP278" s="9"/>
      <c r="AQ278" s="9"/>
      <c r="AR278" s="9"/>
    </row>
    <row r="279" spans="1:44" customFormat="1" ht="12" customHeight="1" outlineLevel="1" x14ac:dyDescent="0.25">
      <c r="A279" s="7"/>
      <c r="B279" s="8"/>
      <c r="C279" s="18"/>
      <c r="D279" s="18"/>
      <c r="E279" s="18"/>
      <c r="F279" s="24"/>
      <c r="G279" s="507"/>
      <c r="H279" s="507"/>
      <c r="I279" s="507"/>
      <c r="J279" s="496"/>
      <c r="K279" s="496"/>
      <c r="L279" s="496"/>
      <c r="M279" s="496"/>
      <c r="N279" s="496"/>
      <c r="O279" s="496"/>
      <c r="P279" s="496"/>
      <c r="Q279" s="496"/>
      <c r="R279" s="496"/>
      <c r="S279" s="496"/>
      <c r="T279" s="496"/>
      <c r="U279" s="496"/>
      <c r="V279" s="496"/>
      <c r="W279" s="496"/>
      <c r="X279" s="496"/>
      <c r="Y279" s="496"/>
      <c r="Z279" s="496"/>
      <c r="AA279" s="496"/>
      <c r="AB279" s="496"/>
      <c r="AC279" s="496"/>
      <c r="AD279" s="496"/>
      <c r="AE279" s="496"/>
      <c r="AF279" s="496"/>
      <c r="AG279" s="496"/>
      <c r="AH279" s="496"/>
      <c r="AI279" s="496"/>
      <c r="AJ279" s="496"/>
      <c r="AK279" s="496"/>
      <c r="AL279" s="496"/>
      <c r="AM279" s="496"/>
      <c r="AN279" s="27"/>
      <c r="AO279" s="17"/>
      <c r="AP279" s="9"/>
      <c r="AQ279" s="9"/>
      <c r="AR279" s="9"/>
    </row>
    <row r="280" spans="1:44" customFormat="1" ht="12" customHeight="1" x14ac:dyDescent="0.25">
      <c r="A280" s="7"/>
      <c r="B280" s="8"/>
      <c r="C280" s="18"/>
      <c r="D280" s="18"/>
      <c r="E280" s="18"/>
      <c r="F280" s="24"/>
      <c r="G280" s="574" t="s">
        <v>3190</v>
      </c>
      <c r="H280" s="507"/>
      <c r="I280" s="507"/>
      <c r="J280" s="496"/>
      <c r="K280" s="496"/>
      <c r="L280" s="496"/>
      <c r="M280" s="496"/>
      <c r="N280" s="496"/>
      <c r="O280" s="496"/>
      <c r="P280" s="496"/>
      <c r="Q280" s="496"/>
      <c r="R280" s="496"/>
      <c r="S280" s="496"/>
      <c r="T280" s="496"/>
      <c r="U280" s="496"/>
      <c r="V280" s="496"/>
      <c r="W280" s="496"/>
      <c r="X280" s="496"/>
      <c r="Y280" s="496"/>
      <c r="Z280" s="496"/>
      <c r="AA280" s="496"/>
      <c r="AB280" s="496"/>
      <c r="AC280" s="496"/>
      <c r="AD280" s="496"/>
      <c r="AE280" s="496"/>
      <c r="AF280" s="496"/>
      <c r="AG280" s="496"/>
      <c r="AH280" s="496"/>
      <c r="AI280" s="496"/>
      <c r="AJ280" s="496"/>
      <c r="AK280" s="496"/>
      <c r="AL280" s="496"/>
      <c r="AM280" s="496"/>
      <c r="AN280" s="27"/>
      <c r="AO280" s="17"/>
      <c r="AP280" s="9"/>
      <c r="AQ280" s="9"/>
      <c r="AR280" s="9"/>
    </row>
    <row r="281" spans="1:44" customFormat="1" ht="12" customHeight="1" outlineLevel="1" x14ac:dyDescent="0.25">
      <c r="A281" s="7"/>
      <c r="B281" s="8"/>
      <c r="C281" s="18"/>
      <c r="D281" s="18"/>
      <c r="E281" s="18"/>
      <c r="F281" s="24"/>
      <c r="G281" s="507"/>
      <c r="H281" s="507" t="s">
        <v>3191</v>
      </c>
      <c r="I281" s="507"/>
      <c r="J281" s="575">
        <v>43466</v>
      </c>
      <c r="K281" s="575">
        <v>43466</v>
      </c>
      <c r="L281" s="575">
        <v>43466</v>
      </c>
      <c r="M281" s="575">
        <v>43466</v>
      </c>
      <c r="N281" s="575">
        <v>43466</v>
      </c>
      <c r="O281" s="575">
        <v>43466</v>
      </c>
      <c r="P281" s="575">
        <v>43466</v>
      </c>
      <c r="Q281" s="575">
        <v>43466</v>
      </c>
      <c r="R281" s="575">
        <v>43466</v>
      </c>
      <c r="S281" s="575">
        <v>43466</v>
      </c>
      <c r="T281" s="575">
        <v>43466</v>
      </c>
      <c r="U281" s="575">
        <v>43466</v>
      </c>
      <c r="V281" s="575">
        <v>43466</v>
      </c>
      <c r="W281" s="575">
        <v>43466</v>
      </c>
      <c r="X281" s="575">
        <v>43466</v>
      </c>
      <c r="Y281" s="575">
        <v>43466</v>
      </c>
      <c r="Z281" s="575">
        <v>43466</v>
      </c>
      <c r="AA281" s="575">
        <v>43466</v>
      </c>
      <c r="AB281" s="575">
        <v>43466</v>
      </c>
      <c r="AC281" s="575">
        <v>43466</v>
      </c>
      <c r="AD281" s="575">
        <v>43617</v>
      </c>
      <c r="AE281" s="575">
        <v>43617</v>
      </c>
      <c r="AF281" s="575">
        <v>43617</v>
      </c>
      <c r="AG281" s="575">
        <v>43617</v>
      </c>
      <c r="AH281" s="575">
        <v>43617</v>
      </c>
      <c r="AI281" s="575">
        <v>43617</v>
      </c>
      <c r="AJ281" s="575">
        <v>43466</v>
      </c>
      <c r="AK281" s="575">
        <v>43617</v>
      </c>
      <c r="AL281" s="496"/>
      <c r="AM281" s="496"/>
      <c r="AN281" s="27"/>
      <c r="AO281" s="17"/>
      <c r="AP281" s="9"/>
      <c r="AQ281" s="9"/>
      <c r="AR281" s="9"/>
    </row>
    <row r="282" spans="1:44" customFormat="1" ht="12" customHeight="1" outlineLevel="1" x14ac:dyDescent="0.25">
      <c r="A282" s="7"/>
      <c r="B282" s="8"/>
      <c r="C282" s="18"/>
      <c r="D282" s="18"/>
      <c r="E282" s="18"/>
      <c r="F282" s="24"/>
      <c r="G282" s="507"/>
      <c r="H282" s="507"/>
      <c r="I282" s="562">
        <v>2019</v>
      </c>
      <c r="J282" s="576">
        <f>MIN(364,INT((J281 - DATE(YEAR(J281),1,1))))+364*(YEAR(J281)-$I282)</f>
        <v>0</v>
      </c>
      <c r="K282" s="576">
        <f t="shared" ref="K282:AK282" si="23">MIN(364,INT((K281 - DATE(YEAR(K281),1,1))))+364*(YEAR(K281)-$I282)</f>
        <v>0</v>
      </c>
      <c r="L282" s="576">
        <f t="shared" si="23"/>
        <v>0</v>
      </c>
      <c r="M282" s="576">
        <f t="shared" si="23"/>
        <v>0</v>
      </c>
      <c r="N282" s="576">
        <f t="shared" si="23"/>
        <v>0</v>
      </c>
      <c r="O282" s="576">
        <f t="shared" si="23"/>
        <v>0</v>
      </c>
      <c r="P282" s="576">
        <f t="shared" si="23"/>
        <v>0</v>
      </c>
      <c r="Q282" s="576">
        <f t="shared" si="23"/>
        <v>0</v>
      </c>
      <c r="R282" s="576">
        <f t="shared" si="23"/>
        <v>0</v>
      </c>
      <c r="S282" s="576">
        <f t="shared" si="23"/>
        <v>0</v>
      </c>
      <c r="T282" s="576">
        <f t="shared" si="23"/>
        <v>0</v>
      </c>
      <c r="U282" s="576">
        <f t="shared" si="23"/>
        <v>0</v>
      </c>
      <c r="V282" s="576">
        <f t="shared" si="23"/>
        <v>0</v>
      </c>
      <c r="W282" s="576">
        <f t="shared" si="23"/>
        <v>0</v>
      </c>
      <c r="X282" s="576">
        <f t="shared" si="23"/>
        <v>0</v>
      </c>
      <c r="Y282" s="576">
        <f t="shared" si="23"/>
        <v>0</v>
      </c>
      <c r="Z282" s="576">
        <f t="shared" si="23"/>
        <v>0</v>
      </c>
      <c r="AA282" s="576">
        <f t="shared" si="23"/>
        <v>0</v>
      </c>
      <c r="AB282" s="576">
        <f t="shared" si="23"/>
        <v>0</v>
      </c>
      <c r="AC282" s="576">
        <f t="shared" si="23"/>
        <v>0</v>
      </c>
      <c r="AD282" s="576">
        <f t="shared" si="23"/>
        <v>151</v>
      </c>
      <c r="AE282" s="576">
        <f t="shared" si="23"/>
        <v>151</v>
      </c>
      <c r="AF282" s="576">
        <f t="shared" si="23"/>
        <v>151</v>
      </c>
      <c r="AG282" s="576">
        <f t="shared" si="23"/>
        <v>151</v>
      </c>
      <c r="AH282" s="576">
        <f t="shared" si="23"/>
        <v>151</v>
      </c>
      <c r="AI282" s="576">
        <f t="shared" si="23"/>
        <v>151</v>
      </c>
      <c r="AJ282" s="576">
        <f t="shared" si="23"/>
        <v>0</v>
      </c>
      <c r="AK282" s="576">
        <f t="shared" si="23"/>
        <v>151</v>
      </c>
      <c r="AL282" s="496"/>
      <c r="AM282" s="496"/>
      <c r="AN282" s="27"/>
      <c r="AO282" s="17"/>
      <c r="AP282" s="9"/>
      <c r="AQ282" s="9"/>
      <c r="AR282" s="9"/>
    </row>
    <row r="283" spans="1:44" customFormat="1" ht="12" customHeight="1" outlineLevel="1" x14ac:dyDescent="0.25">
      <c r="A283" s="7"/>
      <c r="B283" s="8"/>
      <c r="C283" s="18"/>
      <c r="D283" s="18"/>
      <c r="E283" s="18"/>
      <c r="F283" s="24"/>
      <c r="G283" s="507"/>
      <c r="H283" s="507" t="s">
        <v>3192</v>
      </c>
      <c r="I283" s="507"/>
      <c r="J283" s="575">
        <v>43466</v>
      </c>
      <c r="K283" s="575">
        <v>43466</v>
      </c>
      <c r="L283" s="575">
        <v>43466</v>
      </c>
      <c r="M283" s="575">
        <v>43466</v>
      </c>
      <c r="N283" s="575">
        <v>43466</v>
      </c>
      <c r="O283" s="575">
        <v>43466</v>
      </c>
      <c r="P283" s="575">
        <v>43466</v>
      </c>
      <c r="Q283" s="575">
        <v>43466</v>
      </c>
      <c r="R283" s="575">
        <v>43466</v>
      </c>
      <c r="S283" s="575">
        <v>43466</v>
      </c>
      <c r="T283" s="575">
        <v>43466</v>
      </c>
      <c r="U283" s="575">
        <v>43466</v>
      </c>
      <c r="V283" s="575">
        <v>43466</v>
      </c>
      <c r="W283" s="575">
        <v>43466</v>
      </c>
      <c r="X283" s="575">
        <v>43466</v>
      </c>
      <c r="Y283" s="575">
        <v>43466</v>
      </c>
      <c r="Z283" s="575">
        <v>43466</v>
      </c>
      <c r="AA283" s="575">
        <v>43466</v>
      </c>
      <c r="AB283" s="575">
        <v>43466</v>
      </c>
      <c r="AC283" s="575">
        <v>43466</v>
      </c>
      <c r="AD283" s="575">
        <v>43506</v>
      </c>
      <c r="AE283" s="575">
        <v>43506</v>
      </c>
      <c r="AF283" s="575">
        <v>43506</v>
      </c>
      <c r="AG283" s="575">
        <v>43506</v>
      </c>
      <c r="AH283" s="575">
        <v>43506</v>
      </c>
      <c r="AI283" s="575">
        <v>43506</v>
      </c>
      <c r="AJ283" s="575">
        <v>43466</v>
      </c>
      <c r="AK283" s="575">
        <v>43506</v>
      </c>
      <c r="AL283" s="496"/>
      <c r="AM283" s="496"/>
      <c r="AN283" s="27"/>
      <c r="AO283" s="17"/>
      <c r="AP283" s="9"/>
      <c r="AQ283" s="9"/>
      <c r="AR283" s="9"/>
    </row>
    <row r="284" spans="1:44" customFormat="1" ht="12" customHeight="1" outlineLevel="1" x14ac:dyDescent="0.25">
      <c r="A284" s="7"/>
      <c r="B284" s="8"/>
      <c r="C284" s="18"/>
      <c r="D284" s="18"/>
      <c r="E284" s="18"/>
      <c r="F284" s="24"/>
      <c r="G284" s="507"/>
      <c r="H284" s="507"/>
      <c r="I284" s="510">
        <f>I282</f>
        <v>2019</v>
      </c>
      <c r="J284" s="576">
        <f>MIN(364,INT((J283 - DATE(YEAR(J283),1,1))))+364*(YEAR(J283)-$I284)</f>
        <v>0</v>
      </c>
      <c r="K284" s="576">
        <f t="shared" ref="K284:AK284" si="24">MIN(364,INT((K283 - DATE(YEAR(K283),1,1))))+364*(YEAR(K283)-$I284)</f>
        <v>0</v>
      </c>
      <c r="L284" s="576">
        <f t="shared" si="24"/>
        <v>0</v>
      </c>
      <c r="M284" s="576">
        <f t="shared" si="24"/>
        <v>0</v>
      </c>
      <c r="N284" s="576">
        <f t="shared" si="24"/>
        <v>0</v>
      </c>
      <c r="O284" s="576">
        <f t="shared" si="24"/>
        <v>0</v>
      </c>
      <c r="P284" s="576">
        <f t="shared" si="24"/>
        <v>0</v>
      </c>
      <c r="Q284" s="576">
        <f t="shared" si="24"/>
        <v>0</v>
      </c>
      <c r="R284" s="576">
        <f t="shared" si="24"/>
        <v>0</v>
      </c>
      <c r="S284" s="576">
        <f t="shared" si="24"/>
        <v>0</v>
      </c>
      <c r="T284" s="576">
        <f t="shared" si="24"/>
        <v>0</v>
      </c>
      <c r="U284" s="576">
        <f t="shared" si="24"/>
        <v>0</v>
      </c>
      <c r="V284" s="576">
        <f t="shared" si="24"/>
        <v>0</v>
      </c>
      <c r="W284" s="576">
        <f t="shared" si="24"/>
        <v>0</v>
      </c>
      <c r="X284" s="576">
        <f t="shared" si="24"/>
        <v>0</v>
      </c>
      <c r="Y284" s="576">
        <f t="shared" si="24"/>
        <v>0</v>
      </c>
      <c r="Z284" s="576">
        <f t="shared" si="24"/>
        <v>0</v>
      </c>
      <c r="AA284" s="576">
        <f t="shared" si="24"/>
        <v>0</v>
      </c>
      <c r="AB284" s="576">
        <f t="shared" si="24"/>
        <v>0</v>
      </c>
      <c r="AC284" s="576">
        <f t="shared" si="24"/>
        <v>0</v>
      </c>
      <c r="AD284" s="576">
        <f t="shared" si="24"/>
        <v>40</v>
      </c>
      <c r="AE284" s="576">
        <f t="shared" si="24"/>
        <v>40</v>
      </c>
      <c r="AF284" s="576">
        <f t="shared" si="24"/>
        <v>40</v>
      </c>
      <c r="AG284" s="576">
        <f t="shared" si="24"/>
        <v>40</v>
      </c>
      <c r="AH284" s="576">
        <f t="shared" si="24"/>
        <v>40</v>
      </c>
      <c r="AI284" s="576">
        <f t="shared" si="24"/>
        <v>40</v>
      </c>
      <c r="AJ284" s="576">
        <f t="shared" si="24"/>
        <v>0</v>
      </c>
      <c r="AK284" s="576">
        <f t="shared" si="24"/>
        <v>40</v>
      </c>
      <c r="AL284" s="496"/>
      <c r="AM284" s="496"/>
      <c r="AN284" s="27"/>
      <c r="AO284" s="17"/>
      <c r="AP284" s="9"/>
      <c r="AQ284" s="9"/>
      <c r="AR284" s="9"/>
    </row>
    <row r="285" spans="1:44" customFormat="1" ht="12" customHeight="1" outlineLevel="1" x14ac:dyDescent="0.25">
      <c r="A285" s="7"/>
      <c r="B285" s="8"/>
      <c r="C285" s="18"/>
      <c r="D285" s="18"/>
      <c r="E285" s="18"/>
      <c r="F285" s="24"/>
      <c r="G285" s="507"/>
      <c r="H285" s="507"/>
      <c r="I285" s="507"/>
      <c r="J285" s="496"/>
      <c r="K285" s="496"/>
      <c r="L285" s="496"/>
      <c r="M285" s="496"/>
      <c r="N285" s="496"/>
      <c r="O285" s="496"/>
      <c r="P285" s="496"/>
      <c r="Q285" s="496"/>
      <c r="R285" s="496"/>
      <c r="S285" s="496"/>
      <c r="T285" s="496"/>
      <c r="U285" s="496"/>
      <c r="V285" s="496"/>
      <c r="W285" s="496"/>
      <c r="X285" s="496"/>
      <c r="Y285" s="496"/>
      <c r="Z285" s="496"/>
      <c r="AA285" s="496"/>
      <c r="AB285" s="496"/>
      <c r="AC285" s="496"/>
      <c r="AD285" s="496"/>
      <c r="AE285" s="496"/>
      <c r="AF285" s="496"/>
      <c r="AG285" s="496"/>
      <c r="AH285" s="496"/>
      <c r="AI285" s="496"/>
      <c r="AJ285" s="496"/>
      <c r="AK285" s="496"/>
      <c r="AL285" s="496"/>
      <c r="AM285" s="496"/>
      <c r="AN285" s="27"/>
      <c r="AO285" s="17"/>
      <c r="AP285" s="9"/>
      <c r="AQ285" s="9"/>
      <c r="AR285" s="9"/>
    </row>
    <row r="286" spans="1:44" customFormat="1" ht="12" customHeight="1" outlineLevel="1" x14ac:dyDescent="0.25">
      <c r="A286" s="7"/>
      <c r="B286" s="8"/>
      <c r="C286" s="18"/>
      <c r="D286" s="18"/>
      <c r="E286" s="18"/>
      <c r="F286" s="24"/>
      <c r="G286" s="507"/>
      <c r="H286" s="507"/>
      <c r="I286" s="507"/>
      <c r="J286" s="496"/>
      <c r="K286" s="496"/>
      <c r="L286" s="496"/>
      <c r="M286" s="496"/>
      <c r="N286" s="496"/>
      <c r="O286" s="496"/>
      <c r="P286" s="496"/>
      <c r="Q286" s="496"/>
      <c r="R286" s="496"/>
      <c r="S286" s="496"/>
      <c r="T286" s="496"/>
      <c r="U286" s="496"/>
      <c r="V286" s="496"/>
      <c r="W286" s="496"/>
      <c r="X286" s="496"/>
      <c r="Y286" s="496"/>
      <c r="Z286" s="496"/>
      <c r="AA286" s="496"/>
      <c r="AB286" s="496"/>
      <c r="AC286" s="496"/>
      <c r="AD286" s="496"/>
      <c r="AE286" s="496"/>
      <c r="AF286" s="496"/>
      <c r="AG286" s="496"/>
      <c r="AH286" s="496"/>
      <c r="AI286" s="496"/>
      <c r="AJ286" s="496"/>
      <c r="AK286" s="496"/>
      <c r="AL286" s="496"/>
      <c r="AM286" s="496"/>
      <c r="AN286" s="27"/>
      <c r="AO286" s="17"/>
      <c r="AP286" s="9"/>
      <c r="AQ286" s="9"/>
      <c r="AR286" s="9"/>
    </row>
    <row r="287" spans="1:44" customFormat="1" ht="12" customHeight="1" x14ac:dyDescent="0.25">
      <c r="A287" s="7"/>
      <c r="B287" s="8"/>
      <c r="C287" s="18"/>
      <c r="D287" s="18"/>
      <c r="E287" s="18"/>
      <c r="F287" s="24"/>
      <c r="G287" s="574" t="s">
        <v>3193</v>
      </c>
      <c r="H287" s="507"/>
      <c r="I287" s="507"/>
      <c r="J287" s="496"/>
      <c r="K287" s="496"/>
      <c r="L287" s="496"/>
      <c r="M287" s="496"/>
      <c r="N287" s="496"/>
      <c r="O287" s="496"/>
      <c r="P287" s="496"/>
      <c r="Q287" s="496"/>
      <c r="R287" s="496"/>
      <c r="S287" s="496"/>
      <c r="T287" s="496"/>
      <c r="U287" s="496"/>
      <c r="V287" s="496"/>
      <c r="W287" s="496"/>
      <c r="X287" s="496"/>
      <c r="Y287" s="496"/>
      <c r="Z287" s="496"/>
      <c r="AA287" s="496"/>
      <c r="AB287" s="496"/>
      <c r="AC287" s="496"/>
      <c r="AD287" s="496"/>
      <c r="AE287" s="496"/>
      <c r="AF287" s="496"/>
      <c r="AG287" s="496"/>
      <c r="AH287" s="496"/>
      <c r="AI287" s="496"/>
      <c r="AJ287" s="496"/>
      <c r="AK287" s="496"/>
      <c r="AL287" s="496"/>
      <c r="AM287" s="496"/>
      <c r="AN287" s="27"/>
      <c r="AO287" s="17"/>
      <c r="AP287" s="9"/>
      <c r="AQ287" s="9"/>
      <c r="AR287" s="9"/>
    </row>
    <row r="288" spans="1:44" customFormat="1" ht="12" customHeight="1" outlineLevel="1" x14ac:dyDescent="0.25">
      <c r="A288" s="7"/>
      <c r="B288" s="8"/>
      <c r="C288" s="18"/>
      <c r="D288" s="18"/>
      <c r="E288" s="18"/>
      <c r="F288" s="24"/>
      <c r="G288" s="507"/>
      <c r="H288" s="507" t="s">
        <v>3194</v>
      </c>
      <c r="I288" s="507"/>
      <c r="J288" s="577">
        <v>3.4</v>
      </c>
      <c r="K288" s="577">
        <v>3.4</v>
      </c>
      <c r="L288" s="577">
        <v>3.4</v>
      </c>
      <c r="M288" s="577">
        <v>3.4</v>
      </c>
      <c r="N288" s="577">
        <v>3.4</v>
      </c>
      <c r="O288" s="577">
        <v>3.4</v>
      </c>
      <c r="P288" s="577">
        <v>3.4</v>
      </c>
      <c r="Q288" s="577">
        <v>3.4</v>
      </c>
      <c r="R288" s="577">
        <v>3.4</v>
      </c>
      <c r="S288" s="577">
        <v>3.4</v>
      </c>
      <c r="T288" s="577">
        <v>3.4</v>
      </c>
      <c r="U288" s="577">
        <v>3.4</v>
      </c>
      <c r="V288" s="577">
        <v>3.4</v>
      </c>
      <c r="W288" s="577">
        <v>3.4</v>
      </c>
      <c r="X288" s="577">
        <v>3.4</v>
      </c>
      <c r="Y288" s="577">
        <v>3.4</v>
      </c>
      <c r="Z288" s="577">
        <v>3.4</v>
      </c>
      <c r="AA288" s="577">
        <v>3.4</v>
      </c>
      <c r="AB288" s="577">
        <v>3.4</v>
      </c>
      <c r="AC288" s="577">
        <v>3.4</v>
      </c>
      <c r="AD288" s="577">
        <v>3.4</v>
      </c>
      <c r="AE288" s="577">
        <v>3.4</v>
      </c>
      <c r="AF288" s="577">
        <v>3.4</v>
      </c>
      <c r="AG288" s="577">
        <v>3.4</v>
      </c>
      <c r="AH288" s="577">
        <v>3.4</v>
      </c>
      <c r="AI288" s="577">
        <v>3.4</v>
      </c>
      <c r="AJ288" s="577">
        <v>3.4</v>
      </c>
      <c r="AK288" s="555">
        <f>AVERAGE(AD288:AE288)</f>
        <v>3.4</v>
      </c>
      <c r="AL288" s="496"/>
      <c r="AM288" s="496"/>
      <c r="AN288" s="27"/>
      <c r="AO288" s="17"/>
      <c r="AP288" s="9"/>
      <c r="AQ288" s="9"/>
      <c r="AR288" s="9"/>
    </row>
    <row r="289" spans="1:44" customFormat="1" ht="12" customHeight="1" outlineLevel="1" x14ac:dyDescent="0.25">
      <c r="A289" s="7"/>
      <c r="B289" s="8"/>
      <c r="C289" s="18"/>
      <c r="D289" s="18"/>
      <c r="E289" s="18"/>
      <c r="F289" s="24"/>
      <c r="G289" s="507"/>
      <c r="H289" s="507" t="s">
        <v>3195</v>
      </c>
      <c r="I289" s="507"/>
      <c r="J289" s="577">
        <v>0</v>
      </c>
      <c r="K289" s="577">
        <v>0</v>
      </c>
      <c r="L289" s="577">
        <v>0</v>
      </c>
      <c r="M289" s="577">
        <v>0</v>
      </c>
      <c r="N289" s="577">
        <v>0</v>
      </c>
      <c r="O289" s="577">
        <v>0</v>
      </c>
      <c r="P289" s="577">
        <v>0</v>
      </c>
      <c r="Q289" s="577">
        <v>0</v>
      </c>
      <c r="R289" s="577">
        <v>15.4</v>
      </c>
      <c r="S289" s="577">
        <v>15.4</v>
      </c>
      <c r="T289" s="577">
        <v>15.4</v>
      </c>
      <c r="U289" s="577">
        <v>15.4</v>
      </c>
      <c r="V289" s="577">
        <v>15.4</v>
      </c>
      <c r="W289" s="577">
        <v>15.4</v>
      </c>
      <c r="X289" s="577">
        <v>15.4</v>
      </c>
      <c r="Y289" s="577">
        <v>15.4</v>
      </c>
      <c r="Z289" s="577">
        <v>15.4</v>
      </c>
      <c r="AA289" s="577">
        <v>15.4</v>
      </c>
      <c r="AB289" s="577">
        <v>15.4</v>
      </c>
      <c r="AC289" s="577">
        <v>15.4</v>
      </c>
      <c r="AD289" s="577">
        <v>0</v>
      </c>
      <c r="AE289" s="577">
        <v>0</v>
      </c>
      <c r="AF289" s="577">
        <v>0</v>
      </c>
      <c r="AG289" s="577">
        <v>0</v>
      </c>
      <c r="AH289" s="577">
        <v>0</v>
      </c>
      <c r="AI289" s="577">
        <v>0</v>
      </c>
      <c r="AJ289" s="577">
        <v>15.4</v>
      </c>
      <c r="AK289" s="555">
        <f>AVERAGE(AD289:AE289)</f>
        <v>0</v>
      </c>
      <c r="AL289" s="496"/>
      <c r="AM289" s="496"/>
      <c r="AN289" s="27"/>
      <c r="AO289" s="17"/>
      <c r="AP289" s="9"/>
      <c r="AQ289" s="9"/>
      <c r="AR289" s="9"/>
    </row>
    <row r="290" spans="1:44" customFormat="1" ht="12" customHeight="1" outlineLevel="1" x14ac:dyDescent="0.25">
      <c r="A290" s="7"/>
      <c r="B290" s="8"/>
      <c r="C290" s="18"/>
      <c r="D290" s="18"/>
      <c r="E290" s="18"/>
      <c r="F290" s="24"/>
      <c r="G290" s="507"/>
      <c r="H290" s="507" t="s">
        <v>3196</v>
      </c>
      <c r="I290" s="507"/>
      <c r="J290" s="577">
        <v>29.4</v>
      </c>
      <c r="K290" s="577">
        <v>29.4</v>
      </c>
      <c r="L290" s="577">
        <v>29.4</v>
      </c>
      <c r="M290" s="577">
        <v>29.4</v>
      </c>
      <c r="N290" s="577">
        <v>29.4</v>
      </c>
      <c r="O290" s="577">
        <v>29.4</v>
      </c>
      <c r="P290" s="577">
        <v>29.4</v>
      </c>
      <c r="Q290" s="577">
        <v>29.4</v>
      </c>
      <c r="R290" s="577">
        <v>29.4</v>
      </c>
      <c r="S290" s="577">
        <v>29.4</v>
      </c>
      <c r="T290" s="577">
        <v>29.4</v>
      </c>
      <c r="U290" s="577">
        <v>29.4</v>
      </c>
      <c r="V290" s="577">
        <v>29.4</v>
      </c>
      <c r="W290" s="577">
        <v>29.4</v>
      </c>
      <c r="X290" s="577">
        <v>29.4</v>
      </c>
      <c r="Y290" s="577">
        <v>29.4</v>
      </c>
      <c r="Z290" s="577">
        <v>29.4</v>
      </c>
      <c r="AA290" s="577">
        <v>29.4</v>
      </c>
      <c r="AB290" s="577">
        <v>29.4</v>
      </c>
      <c r="AC290" s="577">
        <v>29.4</v>
      </c>
      <c r="AD290" s="577">
        <v>29.4</v>
      </c>
      <c r="AE290" s="577">
        <v>29.4</v>
      </c>
      <c r="AF290" s="577">
        <v>29.4</v>
      </c>
      <c r="AG290" s="577">
        <v>29.4</v>
      </c>
      <c r="AH290" s="577">
        <v>29.4</v>
      </c>
      <c r="AI290" s="577">
        <v>29.4</v>
      </c>
      <c r="AJ290" s="577">
        <v>29.4</v>
      </c>
      <c r="AK290" s="555">
        <f>AVERAGE(AD290:AE290)</f>
        <v>29.4</v>
      </c>
      <c r="AL290" s="508"/>
      <c r="AM290" s="508"/>
      <c r="AN290" s="27"/>
      <c r="AO290" s="17"/>
      <c r="AP290" s="9"/>
      <c r="AQ290" s="9"/>
      <c r="AR290" s="9"/>
    </row>
    <row r="291" spans="1:44" customFormat="1" ht="12" customHeight="1" outlineLevel="1" x14ac:dyDescent="0.25">
      <c r="A291" s="7"/>
      <c r="B291" s="8"/>
      <c r="C291" s="18"/>
      <c r="D291" s="18"/>
      <c r="E291" s="18"/>
      <c r="F291" s="24"/>
      <c r="G291" s="507"/>
      <c r="H291" s="507" t="s">
        <v>3197</v>
      </c>
      <c r="I291" s="507"/>
      <c r="J291" s="577">
        <v>13.1</v>
      </c>
      <c r="K291" s="577">
        <v>13.1</v>
      </c>
      <c r="L291" s="577">
        <v>13.1</v>
      </c>
      <c r="M291" s="577">
        <v>13.1</v>
      </c>
      <c r="N291" s="577">
        <v>13.1</v>
      </c>
      <c r="O291" s="577">
        <v>13.1</v>
      </c>
      <c r="P291" s="577">
        <v>13.1</v>
      </c>
      <c r="Q291" s="577">
        <v>13.1</v>
      </c>
      <c r="R291" s="577">
        <v>13.1</v>
      </c>
      <c r="S291" s="577">
        <v>13.1</v>
      </c>
      <c r="T291" s="577">
        <v>13.1</v>
      </c>
      <c r="U291" s="577">
        <v>13.1</v>
      </c>
      <c r="V291" s="577">
        <v>13.1</v>
      </c>
      <c r="W291" s="577">
        <v>13.1</v>
      </c>
      <c r="X291" s="577">
        <v>13.1</v>
      </c>
      <c r="Y291" s="577">
        <v>13.1</v>
      </c>
      <c r="Z291" s="577">
        <v>13.1</v>
      </c>
      <c r="AA291" s="577">
        <v>13.1</v>
      </c>
      <c r="AB291" s="577">
        <v>13.1</v>
      </c>
      <c r="AC291" s="577">
        <v>13.1</v>
      </c>
      <c r="AD291" s="577">
        <v>13.1</v>
      </c>
      <c r="AE291" s="577">
        <v>13.1</v>
      </c>
      <c r="AF291" s="577">
        <v>13.1</v>
      </c>
      <c r="AG291" s="577">
        <v>13.1</v>
      </c>
      <c r="AH291" s="577">
        <v>13.1</v>
      </c>
      <c r="AI291" s="577">
        <v>13.1</v>
      </c>
      <c r="AJ291" s="577">
        <v>13.1</v>
      </c>
      <c r="AK291" s="555">
        <f>AVERAGE(AD291:AE291)</f>
        <v>13.1</v>
      </c>
      <c r="AL291" s="495"/>
      <c r="AM291" s="495"/>
      <c r="AN291" s="27"/>
      <c r="AO291" s="17"/>
      <c r="AP291" s="9"/>
      <c r="AQ291" s="9"/>
      <c r="AR291" s="9"/>
    </row>
    <row r="292" spans="1:44" customFormat="1" ht="12" customHeight="1" outlineLevel="1" x14ac:dyDescent="0.25">
      <c r="A292" s="7"/>
      <c r="B292" s="8"/>
      <c r="C292" s="18"/>
      <c r="D292" s="18"/>
      <c r="E292" s="18"/>
      <c r="F292" s="24"/>
      <c r="G292" s="507"/>
      <c r="H292" s="507" t="s">
        <v>3198</v>
      </c>
      <c r="I292" s="507"/>
      <c r="J292" s="577">
        <v>21.25</v>
      </c>
      <c r="K292" s="577">
        <v>21.25</v>
      </c>
      <c r="L292" s="577">
        <v>21.25</v>
      </c>
      <c r="M292" s="577">
        <v>21.25</v>
      </c>
      <c r="N292" s="577">
        <v>21.25</v>
      </c>
      <c r="O292" s="577">
        <v>21.25</v>
      </c>
      <c r="P292" s="577">
        <v>21.25</v>
      </c>
      <c r="Q292" s="577">
        <v>21.25</v>
      </c>
      <c r="R292" s="577">
        <v>21.25</v>
      </c>
      <c r="S292" s="577">
        <v>21.25</v>
      </c>
      <c r="T292" s="577">
        <v>21.25</v>
      </c>
      <c r="U292" s="577">
        <v>21.25</v>
      </c>
      <c r="V292" s="577">
        <v>21.25</v>
      </c>
      <c r="W292" s="577">
        <v>21.25</v>
      </c>
      <c r="X292" s="577">
        <v>21.25</v>
      </c>
      <c r="Y292" s="577">
        <v>21.25</v>
      </c>
      <c r="Z292" s="577">
        <v>21.25</v>
      </c>
      <c r="AA292" s="577">
        <v>21.25</v>
      </c>
      <c r="AB292" s="577">
        <v>21.25</v>
      </c>
      <c r="AC292" s="577">
        <v>21.25</v>
      </c>
      <c r="AD292" s="577">
        <v>21.25</v>
      </c>
      <c r="AE292" s="577">
        <v>21.25</v>
      </c>
      <c r="AF292" s="577">
        <v>21.25</v>
      </c>
      <c r="AG292" s="577">
        <v>21.25</v>
      </c>
      <c r="AH292" s="577">
        <v>21.25</v>
      </c>
      <c r="AI292" s="577">
        <v>21.25</v>
      </c>
      <c r="AJ292" s="577">
        <v>21.25</v>
      </c>
      <c r="AK292" s="555">
        <f>AVERAGE(AD292:AE292)</f>
        <v>21.25</v>
      </c>
      <c r="AL292" s="496"/>
      <c r="AM292" s="496"/>
      <c r="AN292" s="27"/>
      <c r="AO292" s="17"/>
      <c r="AP292" s="9"/>
      <c r="AQ292" s="9"/>
      <c r="AR292" s="9"/>
    </row>
    <row r="293" spans="1:44" customFormat="1" ht="12" customHeight="1" outlineLevel="1" x14ac:dyDescent="0.25">
      <c r="A293" s="7"/>
      <c r="B293" s="8"/>
      <c r="C293" s="18"/>
      <c r="D293" s="18"/>
      <c r="E293" s="18"/>
      <c r="F293" s="24"/>
      <c r="G293" s="507"/>
      <c r="H293" s="507"/>
      <c r="I293" s="507"/>
      <c r="J293" s="496"/>
      <c r="K293" s="496"/>
      <c r="L293" s="496"/>
      <c r="M293" s="496"/>
      <c r="N293" s="496"/>
      <c r="O293" s="496"/>
      <c r="P293" s="496"/>
      <c r="Q293" s="496"/>
      <c r="R293" s="496"/>
      <c r="S293" s="496"/>
      <c r="T293" s="496"/>
      <c r="U293" s="496"/>
      <c r="V293" s="496"/>
      <c r="W293" s="496"/>
      <c r="X293" s="496"/>
      <c r="Y293" s="496"/>
      <c r="Z293" s="496"/>
      <c r="AA293" s="496"/>
      <c r="AB293" s="496"/>
      <c r="AC293" s="496"/>
      <c r="AD293" s="496"/>
      <c r="AE293" s="496"/>
      <c r="AF293" s="496"/>
      <c r="AG293" s="496"/>
      <c r="AH293" s="496"/>
      <c r="AI293" s="496"/>
      <c r="AJ293" s="496"/>
      <c r="AK293" s="496"/>
      <c r="AL293" s="496"/>
      <c r="AM293" s="496"/>
      <c r="AN293" s="27"/>
      <c r="AO293" s="17"/>
      <c r="AP293" s="9"/>
      <c r="AQ293" s="9"/>
      <c r="AR293" s="9"/>
    </row>
    <row r="294" spans="1:44" customFormat="1" ht="12" customHeight="1" outlineLevel="1" x14ac:dyDescent="0.25">
      <c r="A294" s="7"/>
      <c r="B294" s="8"/>
      <c r="C294" s="18"/>
      <c r="D294" s="18"/>
      <c r="E294" s="18"/>
      <c r="F294" s="24"/>
      <c r="G294" s="25"/>
      <c r="H294" s="28"/>
      <c r="I294" s="507"/>
      <c r="J294" s="496"/>
      <c r="K294" s="496"/>
      <c r="L294" s="496"/>
      <c r="M294" s="496"/>
      <c r="N294" s="496"/>
      <c r="O294" s="496"/>
      <c r="P294" s="496"/>
      <c r="Q294" s="496"/>
      <c r="R294" s="496"/>
      <c r="S294" s="496"/>
      <c r="T294" s="496"/>
      <c r="U294" s="496"/>
      <c r="V294" s="496"/>
      <c r="W294" s="496"/>
      <c r="X294" s="496"/>
      <c r="Y294" s="496"/>
      <c r="Z294" s="496"/>
      <c r="AA294" s="496"/>
      <c r="AB294" s="496"/>
      <c r="AC294" s="496"/>
      <c r="AD294" s="496"/>
      <c r="AE294" s="496"/>
      <c r="AF294" s="496"/>
      <c r="AG294" s="496"/>
      <c r="AH294" s="496"/>
      <c r="AI294" s="496"/>
      <c r="AJ294" s="496"/>
      <c r="AK294" s="496"/>
      <c r="AL294" s="496"/>
      <c r="AM294" s="496"/>
      <c r="AN294" s="27"/>
      <c r="AO294" s="17"/>
      <c r="AP294" s="9"/>
      <c r="AQ294" s="9"/>
      <c r="AR294" s="9"/>
    </row>
    <row r="295" spans="1:44" customFormat="1" ht="12" customHeight="1" x14ac:dyDescent="0.25">
      <c r="A295" s="7"/>
      <c r="B295" s="8"/>
      <c r="C295" s="18"/>
      <c r="D295" s="18"/>
      <c r="E295" s="18"/>
      <c r="F295" s="24"/>
      <c r="G295" s="551" t="s">
        <v>3199</v>
      </c>
      <c r="H295" s="28"/>
      <c r="I295" s="578"/>
      <c r="J295" s="500"/>
      <c r="K295" s="500"/>
      <c r="L295" s="500"/>
      <c r="M295" s="500"/>
      <c r="N295" s="500"/>
      <c r="O295" s="500"/>
      <c r="P295" s="500"/>
      <c r="Q295" s="500"/>
      <c r="R295" s="500"/>
      <c r="S295" s="500"/>
      <c r="T295" s="500"/>
      <c r="U295" s="500"/>
      <c r="V295" s="500"/>
      <c r="W295" s="500"/>
      <c r="X295" s="500"/>
      <c r="Y295" s="500"/>
      <c r="Z295" s="500"/>
      <c r="AA295" s="500"/>
      <c r="AB295" s="500"/>
      <c r="AC295" s="500"/>
      <c r="AD295" s="500"/>
      <c r="AE295" s="500"/>
      <c r="AF295" s="500"/>
      <c r="AG295" s="500"/>
      <c r="AH295" s="500"/>
      <c r="AI295" s="500"/>
      <c r="AJ295" s="500"/>
      <c r="AK295" s="500"/>
      <c r="AL295" s="496"/>
      <c r="AM295" s="496"/>
      <c r="AN295" s="27"/>
      <c r="AO295" s="17"/>
      <c r="AP295" s="9"/>
      <c r="AQ295" s="9"/>
      <c r="AR295" s="9"/>
    </row>
    <row r="296" spans="1:44" customFormat="1" ht="12" customHeight="1" outlineLevel="1" x14ac:dyDescent="0.25">
      <c r="A296" s="7"/>
      <c r="B296" s="8"/>
      <c r="C296" s="18"/>
      <c r="D296" s="18"/>
      <c r="E296" s="18"/>
      <c r="F296" s="24"/>
      <c r="G296" s="25"/>
      <c r="H296" s="28" t="s">
        <v>2374</v>
      </c>
      <c r="I296" s="578"/>
      <c r="J296" s="579">
        <v>1500</v>
      </c>
      <c r="K296" s="579">
        <v>1500</v>
      </c>
      <c r="L296" s="579">
        <v>1500</v>
      </c>
      <c r="M296" s="579">
        <v>1500</v>
      </c>
      <c r="N296" s="579">
        <v>1500</v>
      </c>
      <c r="O296" s="579">
        <v>1500</v>
      </c>
      <c r="P296" s="579">
        <v>1500</v>
      </c>
      <c r="Q296" s="579">
        <v>1500</v>
      </c>
      <c r="R296" s="579">
        <v>1500</v>
      </c>
      <c r="S296" s="579">
        <v>1500</v>
      </c>
      <c r="T296" s="579">
        <v>1500</v>
      </c>
      <c r="U296" s="579">
        <v>1500</v>
      </c>
      <c r="V296" s="579">
        <v>1500</v>
      </c>
      <c r="W296" s="579">
        <v>1500</v>
      </c>
      <c r="X296" s="579">
        <v>1500</v>
      </c>
      <c r="Y296" s="579">
        <v>1500</v>
      </c>
      <c r="Z296" s="579">
        <v>1500</v>
      </c>
      <c r="AA296" s="579">
        <v>1500</v>
      </c>
      <c r="AB296" s="579">
        <v>1500</v>
      </c>
      <c r="AC296" s="579">
        <v>1500</v>
      </c>
      <c r="AD296" s="579">
        <v>3000</v>
      </c>
      <c r="AE296" s="579">
        <v>3000</v>
      </c>
      <c r="AF296" s="579">
        <v>3000</v>
      </c>
      <c r="AG296" s="579">
        <v>3000</v>
      </c>
      <c r="AH296" s="579">
        <v>3000</v>
      </c>
      <c r="AI296" s="579">
        <v>3000</v>
      </c>
      <c r="AJ296" s="579">
        <v>1500</v>
      </c>
      <c r="AK296" s="579">
        <v>3000</v>
      </c>
      <c r="AL296" s="496"/>
      <c r="AM296" s="496"/>
      <c r="AN296" s="27"/>
      <c r="AO296" s="17"/>
      <c r="AP296" s="9"/>
      <c r="AQ296" s="496" t="s">
        <v>3200</v>
      </c>
      <c r="AR296" s="9"/>
    </row>
    <row r="297" spans="1:44" customFormat="1" ht="12" customHeight="1" outlineLevel="1" x14ac:dyDescent="0.25">
      <c r="A297" s="7"/>
      <c r="B297" s="8"/>
      <c r="C297" s="18"/>
      <c r="D297" s="18"/>
      <c r="E297" s="18"/>
      <c r="F297" s="24"/>
      <c r="G297" s="25"/>
      <c r="H297" s="41" t="s">
        <v>3201</v>
      </c>
      <c r="I297" s="580" t="s">
        <v>3202</v>
      </c>
      <c r="J297" s="579">
        <v>0</v>
      </c>
      <c r="K297" s="579">
        <v>0</v>
      </c>
      <c r="L297" s="579">
        <v>0</v>
      </c>
      <c r="M297" s="579">
        <v>0</v>
      </c>
      <c r="N297" s="579">
        <v>0</v>
      </c>
      <c r="O297" s="579">
        <v>0</v>
      </c>
      <c r="P297" s="579">
        <v>0</v>
      </c>
      <c r="Q297" s="579">
        <v>0</v>
      </c>
      <c r="R297" s="579">
        <v>0.25</v>
      </c>
      <c r="S297" s="579">
        <v>0.25</v>
      </c>
      <c r="T297" s="579">
        <v>0.25</v>
      </c>
      <c r="U297" s="579">
        <v>0.25</v>
      </c>
      <c r="V297" s="579">
        <v>0.25</v>
      </c>
      <c r="W297" s="579">
        <v>0.25</v>
      </c>
      <c r="X297" s="579">
        <v>0.32</v>
      </c>
      <c r="Y297" s="579">
        <v>0.32</v>
      </c>
      <c r="Z297" s="579">
        <v>0.25</v>
      </c>
      <c r="AA297" s="579">
        <v>0.25</v>
      </c>
      <c r="AB297" s="579">
        <v>0.17</v>
      </c>
      <c r="AC297" s="579">
        <v>0.17</v>
      </c>
      <c r="AD297" s="579">
        <v>0</v>
      </c>
      <c r="AE297" s="579">
        <v>0</v>
      </c>
      <c r="AF297" s="579">
        <v>0</v>
      </c>
      <c r="AG297" s="579">
        <v>0</v>
      </c>
      <c r="AH297" s="579">
        <v>0</v>
      </c>
      <c r="AI297" s="579">
        <v>0</v>
      </c>
      <c r="AJ297" s="579">
        <v>0.25</v>
      </c>
      <c r="AK297" s="579">
        <v>0</v>
      </c>
      <c r="AL297" s="496"/>
      <c r="AM297" s="496"/>
      <c r="AN297" s="27"/>
      <c r="AO297" s="17"/>
      <c r="AP297" s="9"/>
      <c r="AQ297" s="581">
        <f>AI214</f>
        <v>45250</v>
      </c>
      <c r="AR297" s="9"/>
    </row>
    <row r="298" spans="1:44" customFormat="1" ht="12" customHeight="1" outlineLevel="1" x14ac:dyDescent="0.25">
      <c r="A298" s="7"/>
      <c r="B298" s="8"/>
      <c r="C298" s="18"/>
      <c r="D298" s="18"/>
      <c r="E298" s="18"/>
      <c r="F298" s="24"/>
      <c r="G298" s="25"/>
      <c r="H298" s="28"/>
      <c r="I298" s="580" t="s">
        <v>3203</v>
      </c>
      <c r="J298" s="579">
        <v>0</v>
      </c>
      <c r="K298" s="579">
        <v>0</v>
      </c>
      <c r="L298" s="579">
        <v>0</v>
      </c>
      <c r="M298" s="579">
        <v>0</v>
      </c>
      <c r="N298" s="579">
        <v>0</v>
      </c>
      <c r="O298" s="579">
        <v>0</v>
      </c>
      <c r="P298" s="579">
        <v>0</v>
      </c>
      <c r="Q298" s="579">
        <v>0</v>
      </c>
      <c r="R298" s="579">
        <v>0</v>
      </c>
      <c r="S298" s="579">
        <v>0</v>
      </c>
      <c r="T298" s="579">
        <v>0</v>
      </c>
      <c r="U298" s="579">
        <v>0</v>
      </c>
      <c r="V298" s="579">
        <v>0</v>
      </c>
      <c r="W298" s="579">
        <v>0</v>
      </c>
      <c r="X298" s="579">
        <v>0</v>
      </c>
      <c r="Y298" s="579">
        <v>0</v>
      </c>
      <c r="Z298" s="579">
        <v>0</v>
      </c>
      <c r="AA298" s="579">
        <v>0</v>
      </c>
      <c r="AB298" s="579">
        <v>0</v>
      </c>
      <c r="AC298" s="579">
        <v>0</v>
      </c>
      <c r="AD298" s="579">
        <v>0</v>
      </c>
      <c r="AE298" s="579">
        <v>0</v>
      </c>
      <c r="AF298" s="579">
        <v>0</v>
      </c>
      <c r="AG298" s="582">
        <f>300/919/7</f>
        <v>4.6634540649774604E-2</v>
      </c>
      <c r="AH298" s="582">
        <f>300/746/7</f>
        <v>5.7449253159708925E-2</v>
      </c>
      <c r="AI298" s="579">
        <v>0</v>
      </c>
      <c r="AJ298" s="579">
        <v>0</v>
      </c>
      <c r="AK298" s="579">
        <v>0</v>
      </c>
      <c r="AL298" s="496"/>
      <c r="AM298" s="496"/>
      <c r="AN298" s="27"/>
      <c r="AO298" s="17"/>
      <c r="AP298" s="9"/>
      <c r="AQ298" s="581">
        <f>AQ297+7</f>
        <v>45257</v>
      </c>
      <c r="AR298" s="9"/>
    </row>
    <row r="299" spans="1:44" customFormat="1" ht="12" customHeight="1" outlineLevel="1" x14ac:dyDescent="0.25">
      <c r="A299" s="7"/>
      <c r="B299" s="8"/>
      <c r="C299" s="18"/>
      <c r="D299" s="18"/>
      <c r="E299" s="18"/>
      <c r="F299" s="24"/>
      <c r="G299" s="25"/>
      <c r="H299" s="28"/>
      <c r="I299" s="580" t="s">
        <v>3204</v>
      </c>
      <c r="J299" s="579">
        <v>0</v>
      </c>
      <c r="K299" s="579">
        <v>0</v>
      </c>
      <c r="L299" s="579">
        <v>0</v>
      </c>
      <c r="M299" s="579">
        <v>0</v>
      </c>
      <c r="N299" s="579">
        <v>0</v>
      </c>
      <c r="O299" s="579">
        <v>0</v>
      </c>
      <c r="P299" s="579">
        <v>0</v>
      </c>
      <c r="Q299" s="579">
        <v>0</v>
      </c>
      <c r="R299" s="579">
        <v>0</v>
      </c>
      <c r="S299" s="579">
        <v>0</v>
      </c>
      <c r="T299" s="579">
        <v>0</v>
      </c>
      <c r="U299" s="579">
        <v>0</v>
      </c>
      <c r="V299" s="579">
        <v>0</v>
      </c>
      <c r="W299" s="579">
        <v>0</v>
      </c>
      <c r="X299" s="579">
        <v>0</v>
      </c>
      <c r="Y299" s="579">
        <v>0</v>
      </c>
      <c r="Z299" s="579">
        <v>0</v>
      </c>
      <c r="AA299" s="579">
        <v>0</v>
      </c>
      <c r="AB299" s="579">
        <v>0</v>
      </c>
      <c r="AC299" s="579">
        <v>0</v>
      </c>
      <c r="AD299" s="579">
        <v>0</v>
      </c>
      <c r="AE299" s="579">
        <v>0</v>
      </c>
      <c r="AF299" s="579">
        <v>0</v>
      </c>
      <c r="AG299" s="579">
        <v>0</v>
      </c>
      <c r="AH299" s="582">
        <f t="shared" ref="AH299" si="25">300/746/7</f>
        <v>5.7449253159708925E-2</v>
      </c>
      <c r="AI299" s="579">
        <v>0</v>
      </c>
      <c r="AJ299" s="579">
        <v>0</v>
      </c>
      <c r="AK299" s="579">
        <v>0</v>
      </c>
      <c r="AL299" s="496"/>
      <c r="AM299" s="496"/>
      <c r="AN299" s="27"/>
      <c r="AO299" s="17"/>
      <c r="AP299" s="9"/>
      <c r="AQ299" s="581">
        <f t="shared" ref="AQ299:AQ312" si="26">AQ298+7</f>
        <v>45264</v>
      </c>
      <c r="AR299" s="9"/>
    </row>
    <row r="300" spans="1:44" customFormat="1" ht="12" customHeight="1" outlineLevel="1" x14ac:dyDescent="0.25">
      <c r="A300" s="7"/>
      <c r="B300" s="8"/>
      <c r="C300" s="18"/>
      <c r="D300" s="18"/>
      <c r="E300" s="18"/>
      <c r="F300" s="24"/>
      <c r="G300" s="25"/>
      <c r="H300" s="28"/>
      <c r="I300" s="580" t="s">
        <v>3205</v>
      </c>
      <c r="J300" s="579">
        <v>0</v>
      </c>
      <c r="K300" s="579">
        <v>0</v>
      </c>
      <c r="L300" s="579">
        <v>0</v>
      </c>
      <c r="M300" s="579">
        <v>0</v>
      </c>
      <c r="N300" s="579">
        <v>0</v>
      </c>
      <c r="O300" s="579">
        <v>0</v>
      </c>
      <c r="P300" s="579">
        <v>0</v>
      </c>
      <c r="Q300" s="579">
        <v>0</v>
      </c>
      <c r="R300" s="579">
        <v>0</v>
      </c>
      <c r="S300" s="579">
        <v>0</v>
      </c>
      <c r="T300" s="579">
        <v>0</v>
      </c>
      <c r="U300" s="579">
        <v>0</v>
      </c>
      <c r="V300" s="579">
        <v>0</v>
      </c>
      <c r="W300" s="579">
        <v>0</v>
      </c>
      <c r="X300" s="579">
        <v>0</v>
      </c>
      <c r="Y300" s="579">
        <v>0</v>
      </c>
      <c r="Z300" s="579">
        <v>0</v>
      </c>
      <c r="AA300" s="579">
        <v>0</v>
      </c>
      <c r="AB300" s="579">
        <v>0</v>
      </c>
      <c r="AC300" s="579">
        <v>0</v>
      </c>
      <c r="AD300" s="579">
        <v>0</v>
      </c>
      <c r="AE300" s="579">
        <v>0</v>
      </c>
      <c r="AF300" s="579">
        <v>0</v>
      </c>
      <c r="AG300" s="582">
        <f>300/919/7</f>
        <v>4.6634540649774604E-2</v>
      </c>
      <c r="AH300" s="582">
        <f>320/746/7</f>
        <v>6.1279203370356188E-2</v>
      </c>
      <c r="AI300" s="579">
        <v>0</v>
      </c>
      <c r="AJ300" s="579">
        <v>0</v>
      </c>
      <c r="AK300" s="579">
        <v>0</v>
      </c>
      <c r="AL300" s="496"/>
      <c r="AM300" s="496"/>
      <c r="AN300" s="27"/>
      <c r="AO300" s="17"/>
      <c r="AP300" s="9"/>
      <c r="AQ300" s="581">
        <f t="shared" si="26"/>
        <v>45271</v>
      </c>
      <c r="AR300" s="9"/>
    </row>
    <row r="301" spans="1:44" customFormat="1" ht="12" customHeight="1" outlineLevel="1" x14ac:dyDescent="0.25">
      <c r="A301" s="7"/>
      <c r="B301" s="8"/>
      <c r="C301" s="18"/>
      <c r="D301" s="18"/>
      <c r="E301" s="18"/>
      <c r="F301" s="24"/>
      <c r="G301" s="25"/>
      <c r="H301" s="28"/>
      <c r="I301" s="580" t="s">
        <v>3206</v>
      </c>
      <c r="J301" s="579">
        <v>0</v>
      </c>
      <c r="K301" s="579">
        <v>0</v>
      </c>
      <c r="L301" s="579">
        <v>0</v>
      </c>
      <c r="M301" s="579">
        <v>0</v>
      </c>
      <c r="N301" s="579">
        <v>0</v>
      </c>
      <c r="O301" s="579">
        <v>0</v>
      </c>
      <c r="P301" s="579">
        <v>0</v>
      </c>
      <c r="Q301" s="579">
        <v>0</v>
      </c>
      <c r="R301" s="579">
        <v>0</v>
      </c>
      <c r="S301" s="579">
        <v>0</v>
      </c>
      <c r="T301" s="579">
        <v>0</v>
      </c>
      <c r="U301" s="579">
        <v>0</v>
      </c>
      <c r="V301" s="579">
        <v>0</v>
      </c>
      <c r="W301" s="579">
        <v>0</v>
      </c>
      <c r="X301" s="579">
        <v>0</v>
      </c>
      <c r="Y301" s="579">
        <v>0</v>
      </c>
      <c r="Z301" s="579">
        <v>0</v>
      </c>
      <c r="AA301" s="579">
        <v>0</v>
      </c>
      <c r="AB301" s="579">
        <v>0</v>
      </c>
      <c r="AC301" s="579">
        <v>0</v>
      </c>
      <c r="AD301" s="579">
        <v>0</v>
      </c>
      <c r="AE301" s="579">
        <v>0</v>
      </c>
      <c r="AF301" s="579">
        <v>0</v>
      </c>
      <c r="AG301" s="582">
        <f>400/919/7</f>
        <v>6.2179387533032801E-2</v>
      </c>
      <c r="AH301" s="582">
        <f>350/746/7</f>
        <v>6.7024128686327081E-2</v>
      </c>
      <c r="AI301" s="582">
        <f>200/294/7</f>
        <v>9.718172983479105E-2</v>
      </c>
      <c r="AJ301" s="579">
        <v>0</v>
      </c>
      <c r="AK301" s="579">
        <v>0</v>
      </c>
      <c r="AL301" s="496"/>
      <c r="AM301" s="496"/>
      <c r="AN301" s="27"/>
      <c r="AO301" s="17"/>
      <c r="AP301" s="9"/>
      <c r="AQ301" s="581">
        <f t="shared" si="26"/>
        <v>45278</v>
      </c>
      <c r="AR301" s="9"/>
    </row>
    <row r="302" spans="1:44" customFormat="1" ht="12" customHeight="1" outlineLevel="1" x14ac:dyDescent="0.25">
      <c r="A302" s="7"/>
      <c r="B302" s="8"/>
      <c r="C302" s="18"/>
      <c r="D302" s="18"/>
      <c r="E302" s="18"/>
      <c r="F302" s="24"/>
      <c r="G302" s="25"/>
      <c r="H302" s="28"/>
      <c r="I302" s="580" t="s">
        <v>3207</v>
      </c>
      <c r="J302" s="579">
        <v>0</v>
      </c>
      <c r="K302" s="579">
        <v>0</v>
      </c>
      <c r="L302" s="579">
        <v>0</v>
      </c>
      <c r="M302" s="579">
        <v>0</v>
      </c>
      <c r="N302" s="579">
        <v>0</v>
      </c>
      <c r="O302" s="579">
        <v>0</v>
      </c>
      <c r="P302" s="579">
        <v>0</v>
      </c>
      <c r="Q302" s="579">
        <v>0</v>
      </c>
      <c r="R302" s="579">
        <v>0</v>
      </c>
      <c r="S302" s="579">
        <v>0</v>
      </c>
      <c r="T302" s="579">
        <v>0</v>
      </c>
      <c r="U302" s="579">
        <v>0</v>
      </c>
      <c r="V302" s="579">
        <v>0</v>
      </c>
      <c r="W302" s="579">
        <v>0</v>
      </c>
      <c r="X302" s="579">
        <v>0</v>
      </c>
      <c r="Y302" s="579">
        <v>0</v>
      </c>
      <c r="Z302" s="579">
        <v>0</v>
      </c>
      <c r="AA302" s="579">
        <v>0</v>
      </c>
      <c r="AB302" s="579">
        <v>0</v>
      </c>
      <c r="AC302" s="579">
        <v>0</v>
      </c>
      <c r="AD302" s="579">
        <v>0</v>
      </c>
      <c r="AE302" s="579">
        <v>0</v>
      </c>
      <c r="AF302" s="579">
        <v>0</v>
      </c>
      <c r="AG302" s="579">
        <v>0</v>
      </c>
      <c r="AH302" s="582">
        <f t="shared" ref="AH302:AH307" si="27">350/746/7</f>
        <v>6.7024128686327081E-2</v>
      </c>
      <c r="AI302" s="579">
        <v>0</v>
      </c>
      <c r="AJ302" s="579">
        <v>0</v>
      </c>
      <c r="AK302" s="579">
        <v>0</v>
      </c>
      <c r="AL302" s="496"/>
      <c r="AM302" s="496"/>
      <c r="AN302" s="27"/>
      <c r="AO302" s="17"/>
      <c r="AP302" s="9"/>
      <c r="AQ302" s="581">
        <f t="shared" si="26"/>
        <v>45285</v>
      </c>
      <c r="AR302" s="9"/>
    </row>
    <row r="303" spans="1:44" customFormat="1" ht="12" customHeight="1" outlineLevel="1" x14ac:dyDescent="0.25">
      <c r="A303" s="7"/>
      <c r="B303" s="8"/>
      <c r="C303" s="18"/>
      <c r="D303" s="18"/>
      <c r="E303" s="18"/>
      <c r="F303" s="24"/>
      <c r="G303" s="25"/>
      <c r="H303" s="28"/>
      <c r="I303" s="580" t="s">
        <v>3208</v>
      </c>
      <c r="J303" s="579">
        <v>0</v>
      </c>
      <c r="K303" s="579">
        <v>0</v>
      </c>
      <c r="L303" s="579">
        <v>0</v>
      </c>
      <c r="M303" s="579">
        <v>0</v>
      </c>
      <c r="N303" s="579">
        <v>0</v>
      </c>
      <c r="O303" s="579">
        <v>0</v>
      </c>
      <c r="P303" s="579">
        <v>0</v>
      </c>
      <c r="Q303" s="579">
        <v>0</v>
      </c>
      <c r="R303" s="579">
        <v>0</v>
      </c>
      <c r="S303" s="579">
        <v>0</v>
      </c>
      <c r="T303" s="579">
        <v>0</v>
      </c>
      <c r="U303" s="579">
        <v>0</v>
      </c>
      <c r="V303" s="579">
        <v>0</v>
      </c>
      <c r="W303" s="579">
        <v>0</v>
      </c>
      <c r="X303" s="579">
        <v>0</v>
      </c>
      <c r="Y303" s="579">
        <v>0</v>
      </c>
      <c r="Z303" s="579">
        <v>0</v>
      </c>
      <c r="AA303" s="579">
        <v>0</v>
      </c>
      <c r="AB303" s="579">
        <v>0</v>
      </c>
      <c r="AC303" s="579">
        <v>0</v>
      </c>
      <c r="AD303" s="579">
        <v>0</v>
      </c>
      <c r="AE303" s="579">
        <v>0</v>
      </c>
      <c r="AF303" s="579">
        <v>0</v>
      </c>
      <c r="AG303" s="579">
        <v>0</v>
      </c>
      <c r="AH303" s="582">
        <f t="shared" si="27"/>
        <v>6.7024128686327081E-2</v>
      </c>
      <c r="AI303" s="579">
        <v>0</v>
      </c>
      <c r="AJ303" s="579">
        <v>0</v>
      </c>
      <c r="AK303" s="579">
        <v>0</v>
      </c>
      <c r="AL303" s="496"/>
      <c r="AM303" s="496"/>
      <c r="AN303" s="27"/>
      <c r="AO303" s="17"/>
      <c r="AP303" s="9"/>
      <c r="AQ303" s="581">
        <f t="shared" si="26"/>
        <v>45292</v>
      </c>
      <c r="AR303" s="9"/>
    </row>
    <row r="304" spans="1:44" customFormat="1" ht="12" customHeight="1" outlineLevel="1" x14ac:dyDescent="0.25">
      <c r="A304" s="7"/>
      <c r="B304" s="8"/>
      <c r="C304" s="18"/>
      <c r="D304" s="18"/>
      <c r="E304" s="18"/>
      <c r="F304" s="24"/>
      <c r="G304" s="25"/>
      <c r="H304" s="28"/>
      <c r="I304" s="580" t="s">
        <v>3209</v>
      </c>
      <c r="J304" s="579">
        <v>0</v>
      </c>
      <c r="K304" s="579">
        <v>0</v>
      </c>
      <c r="L304" s="579">
        <v>0</v>
      </c>
      <c r="M304" s="579">
        <v>0</v>
      </c>
      <c r="N304" s="579">
        <v>0</v>
      </c>
      <c r="O304" s="579">
        <v>0</v>
      </c>
      <c r="P304" s="579">
        <v>0</v>
      </c>
      <c r="Q304" s="579">
        <v>0</v>
      </c>
      <c r="R304" s="579">
        <v>0</v>
      </c>
      <c r="S304" s="579">
        <v>0</v>
      </c>
      <c r="T304" s="579">
        <v>0</v>
      </c>
      <c r="U304" s="579">
        <v>0</v>
      </c>
      <c r="V304" s="579">
        <v>0</v>
      </c>
      <c r="W304" s="579">
        <v>0</v>
      </c>
      <c r="X304" s="579">
        <v>0</v>
      </c>
      <c r="Y304" s="579">
        <v>0</v>
      </c>
      <c r="Z304" s="579">
        <v>0</v>
      </c>
      <c r="AA304" s="579">
        <v>0</v>
      </c>
      <c r="AB304" s="579">
        <v>0</v>
      </c>
      <c r="AC304" s="579">
        <v>0</v>
      </c>
      <c r="AD304" s="579">
        <v>0</v>
      </c>
      <c r="AE304" s="579">
        <v>0</v>
      </c>
      <c r="AF304" s="579">
        <v>0</v>
      </c>
      <c r="AG304" s="579">
        <v>0</v>
      </c>
      <c r="AH304" s="582">
        <f t="shared" si="27"/>
        <v>6.7024128686327081E-2</v>
      </c>
      <c r="AI304" s="579">
        <v>0</v>
      </c>
      <c r="AJ304" s="579">
        <v>0</v>
      </c>
      <c r="AK304" s="579">
        <v>0</v>
      </c>
      <c r="AL304" s="496"/>
      <c r="AM304" s="496"/>
      <c r="AN304" s="27"/>
      <c r="AO304" s="17"/>
      <c r="AP304" s="9"/>
      <c r="AQ304" s="581">
        <f t="shared" si="26"/>
        <v>45299</v>
      </c>
      <c r="AR304" s="9"/>
    </row>
    <row r="305" spans="1:44" customFormat="1" ht="12" customHeight="1" outlineLevel="1" x14ac:dyDescent="0.25">
      <c r="A305" s="7"/>
      <c r="B305" s="8"/>
      <c r="C305" s="18"/>
      <c r="D305" s="18"/>
      <c r="E305" s="18"/>
      <c r="F305" s="24"/>
      <c r="G305" s="25"/>
      <c r="H305" s="28"/>
      <c r="I305" s="580" t="s">
        <v>3210</v>
      </c>
      <c r="J305" s="579">
        <v>0</v>
      </c>
      <c r="K305" s="579">
        <v>0</v>
      </c>
      <c r="L305" s="579">
        <v>0</v>
      </c>
      <c r="M305" s="579">
        <v>0</v>
      </c>
      <c r="N305" s="579">
        <v>0</v>
      </c>
      <c r="O305" s="579">
        <v>0</v>
      </c>
      <c r="P305" s="579">
        <v>0</v>
      </c>
      <c r="Q305" s="579">
        <v>0</v>
      </c>
      <c r="R305" s="579">
        <v>0</v>
      </c>
      <c r="S305" s="579">
        <v>0</v>
      </c>
      <c r="T305" s="579">
        <v>0</v>
      </c>
      <c r="U305" s="579">
        <v>0</v>
      </c>
      <c r="V305" s="579">
        <v>0</v>
      </c>
      <c r="W305" s="579">
        <v>0</v>
      </c>
      <c r="X305" s="579">
        <v>0</v>
      </c>
      <c r="Y305" s="579">
        <v>0</v>
      </c>
      <c r="Z305" s="579">
        <v>0</v>
      </c>
      <c r="AA305" s="579">
        <v>0</v>
      </c>
      <c r="AB305" s="579">
        <v>0</v>
      </c>
      <c r="AC305" s="579">
        <v>0</v>
      </c>
      <c r="AD305" s="579">
        <v>0</v>
      </c>
      <c r="AE305" s="579">
        <v>0</v>
      </c>
      <c r="AF305" s="579">
        <v>0</v>
      </c>
      <c r="AG305" s="579">
        <v>0</v>
      </c>
      <c r="AH305" s="582">
        <f t="shared" si="27"/>
        <v>6.7024128686327081E-2</v>
      </c>
      <c r="AI305" s="579">
        <v>0</v>
      </c>
      <c r="AJ305" s="579">
        <v>0</v>
      </c>
      <c r="AK305" s="579">
        <v>0</v>
      </c>
      <c r="AL305" s="496"/>
      <c r="AM305" s="496"/>
      <c r="AN305" s="27"/>
      <c r="AO305" s="17"/>
      <c r="AP305" s="9"/>
      <c r="AQ305" s="581">
        <f t="shared" si="26"/>
        <v>45306</v>
      </c>
      <c r="AR305" s="9"/>
    </row>
    <row r="306" spans="1:44" customFormat="1" ht="12" customHeight="1" outlineLevel="1" x14ac:dyDescent="0.25">
      <c r="A306" s="7"/>
      <c r="B306" s="8"/>
      <c r="C306" s="18"/>
      <c r="D306" s="18"/>
      <c r="E306" s="18"/>
      <c r="F306" s="24"/>
      <c r="G306" s="25"/>
      <c r="H306" s="28"/>
      <c r="I306" s="580" t="s">
        <v>3211</v>
      </c>
      <c r="J306" s="579">
        <v>0</v>
      </c>
      <c r="K306" s="579">
        <v>0</v>
      </c>
      <c r="L306" s="579">
        <v>0</v>
      </c>
      <c r="M306" s="579">
        <v>0</v>
      </c>
      <c r="N306" s="579">
        <v>0</v>
      </c>
      <c r="O306" s="579">
        <v>0</v>
      </c>
      <c r="P306" s="579">
        <v>0</v>
      </c>
      <c r="Q306" s="579">
        <v>0</v>
      </c>
      <c r="R306" s="579">
        <v>0</v>
      </c>
      <c r="S306" s="579">
        <v>0</v>
      </c>
      <c r="T306" s="579">
        <v>0</v>
      </c>
      <c r="U306" s="579">
        <v>0</v>
      </c>
      <c r="V306" s="579">
        <v>0</v>
      </c>
      <c r="W306" s="579">
        <v>0</v>
      </c>
      <c r="X306" s="579">
        <v>0</v>
      </c>
      <c r="Y306" s="579">
        <v>0</v>
      </c>
      <c r="Z306" s="579">
        <v>0</v>
      </c>
      <c r="AA306" s="579">
        <v>0</v>
      </c>
      <c r="AB306" s="579">
        <v>0</v>
      </c>
      <c r="AC306" s="579">
        <v>0</v>
      </c>
      <c r="AD306" s="579">
        <v>0</v>
      </c>
      <c r="AE306" s="579">
        <v>0</v>
      </c>
      <c r="AF306" s="579">
        <v>0</v>
      </c>
      <c r="AG306" s="579">
        <v>0</v>
      </c>
      <c r="AH306" s="582">
        <f t="shared" si="27"/>
        <v>6.7024128686327081E-2</v>
      </c>
      <c r="AI306" s="579">
        <v>0</v>
      </c>
      <c r="AJ306" s="579">
        <v>0</v>
      </c>
      <c r="AK306" s="579">
        <v>0</v>
      </c>
      <c r="AL306" s="496"/>
      <c r="AM306" s="496"/>
      <c r="AN306" s="27"/>
      <c r="AO306" s="17"/>
      <c r="AP306" s="9"/>
      <c r="AQ306" s="581">
        <f t="shared" si="26"/>
        <v>45313</v>
      </c>
      <c r="AR306" s="9"/>
    </row>
    <row r="307" spans="1:44" customFormat="1" ht="12" customHeight="1" outlineLevel="1" x14ac:dyDescent="0.25">
      <c r="A307" s="7"/>
      <c r="B307" s="8"/>
      <c r="C307" s="18"/>
      <c r="D307" s="18"/>
      <c r="E307" s="18"/>
      <c r="F307" s="24"/>
      <c r="G307" s="25"/>
      <c r="H307" s="28"/>
      <c r="I307" s="580" t="s">
        <v>3212</v>
      </c>
      <c r="J307" s="579">
        <v>0</v>
      </c>
      <c r="K307" s="579">
        <v>0</v>
      </c>
      <c r="L307" s="579">
        <v>0</v>
      </c>
      <c r="M307" s="579">
        <v>0</v>
      </c>
      <c r="N307" s="579">
        <v>0</v>
      </c>
      <c r="O307" s="579">
        <v>0</v>
      </c>
      <c r="P307" s="579">
        <v>0</v>
      </c>
      <c r="Q307" s="579">
        <v>0</v>
      </c>
      <c r="R307" s="579">
        <v>0</v>
      </c>
      <c r="S307" s="579">
        <v>0</v>
      </c>
      <c r="T307" s="579">
        <v>0</v>
      </c>
      <c r="U307" s="579">
        <v>0</v>
      </c>
      <c r="V307" s="579">
        <v>0</v>
      </c>
      <c r="W307" s="579">
        <v>0</v>
      </c>
      <c r="X307" s="579">
        <v>0</v>
      </c>
      <c r="Y307" s="579">
        <v>0</v>
      </c>
      <c r="Z307" s="579">
        <v>0</v>
      </c>
      <c r="AA307" s="579">
        <v>0</v>
      </c>
      <c r="AB307" s="579">
        <v>0</v>
      </c>
      <c r="AC307" s="579">
        <v>0</v>
      </c>
      <c r="AD307" s="579">
        <v>0</v>
      </c>
      <c r="AE307" s="579">
        <v>0</v>
      </c>
      <c r="AF307" s="579">
        <v>0</v>
      </c>
      <c r="AG307" s="579">
        <v>0</v>
      </c>
      <c r="AH307" s="582">
        <f t="shared" si="27"/>
        <v>6.7024128686327081E-2</v>
      </c>
      <c r="AI307" s="579">
        <v>0</v>
      </c>
      <c r="AJ307" s="579">
        <v>0</v>
      </c>
      <c r="AK307" s="579">
        <v>0</v>
      </c>
      <c r="AL307" s="496"/>
      <c r="AM307" s="496"/>
      <c r="AN307" s="27"/>
      <c r="AO307" s="17"/>
      <c r="AP307" s="9"/>
      <c r="AQ307" s="581">
        <f t="shared" si="26"/>
        <v>45320</v>
      </c>
      <c r="AR307" s="9"/>
    </row>
    <row r="308" spans="1:44" customFormat="1" ht="12" customHeight="1" outlineLevel="1" x14ac:dyDescent="0.25">
      <c r="A308" s="7"/>
      <c r="B308" s="8"/>
      <c r="C308" s="18"/>
      <c r="D308" s="18"/>
      <c r="E308" s="18"/>
      <c r="F308" s="24"/>
      <c r="G308" s="25"/>
      <c r="H308" s="28"/>
      <c r="I308" s="580" t="s">
        <v>3213</v>
      </c>
      <c r="J308" s="579">
        <v>0</v>
      </c>
      <c r="K308" s="579">
        <v>0</v>
      </c>
      <c r="L308" s="579">
        <v>0</v>
      </c>
      <c r="M308" s="579">
        <v>0</v>
      </c>
      <c r="N308" s="579">
        <v>0</v>
      </c>
      <c r="O308" s="579">
        <v>0</v>
      </c>
      <c r="P308" s="579">
        <v>0</v>
      </c>
      <c r="Q308" s="579">
        <v>0</v>
      </c>
      <c r="R308" s="579">
        <v>0</v>
      </c>
      <c r="S308" s="579">
        <v>0</v>
      </c>
      <c r="T308" s="579">
        <v>0</v>
      </c>
      <c r="U308" s="579">
        <v>0</v>
      </c>
      <c r="V308" s="579">
        <v>0</v>
      </c>
      <c r="W308" s="579">
        <v>0</v>
      </c>
      <c r="X308" s="579">
        <v>0</v>
      </c>
      <c r="Y308" s="579">
        <v>0</v>
      </c>
      <c r="Z308" s="579">
        <v>0</v>
      </c>
      <c r="AA308" s="579">
        <v>0</v>
      </c>
      <c r="AB308" s="579">
        <v>0</v>
      </c>
      <c r="AC308" s="579">
        <v>0</v>
      </c>
      <c r="AD308" s="579">
        <v>0</v>
      </c>
      <c r="AE308" s="579">
        <v>0</v>
      </c>
      <c r="AF308" s="579">
        <v>0</v>
      </c>
      <c r="AG308" s="582">
        <f>400/919/7</f>
        <v>6.2179387533032801E-2</v>
      </c>
      <c r="AH308" s="582">
        <f>400/746/7</f>
        <v>7.6599004212945229E-2</v>
      </c>
      <c r="AI308" s="582">
        <f>200/294/7</f>
        <v>9.718172983479105E-2</v>
      </c>
      <c r="AJ308" s="579">
        <v>0</v>
      </c>
      <c r="AK308" s="579">
        <v>0</v>
      </c>
      <c r="AL308" s="496"/>
      <c r="AM308" s="496"/>
      <c r="AN308" s="27"/>
      <c r="AO308" s="17"/>
      <c r="AP308" s="9"/>
      <c r="AQ308" s="581">
        <f t="shared" si="26"/>
        <v>45327</v>
      </c>
      <c r="AR308" s="9"/>
    </row>
    <row r="309" spans="1:44" customFormat="1" ht="12" customHeight="1" outlineLevel="1" x14ac:dyDescent="0.25">
      <c r="A309" s="7"/>
      <c r="B309" s="8"/>
      <c r="C309" s="18"/>
      <c r="D309" s="18"/>
      <c r="E309" s="18"/>
      <c r="F309" s="24"/>
      <c r="G309" s="25"/>
      <c r="H309" s="28"/>
      <c r="I309" s="580" t="s">
        <v>3214</v>
      </c>
      <c r="J309" s="579">
        <v>0</v>
      </c>
      <c r="K309" s="579">
        <v>0</v>
      </c>
      <c r="L309" s="579">
        <v>0</v>
      </c>
      <c r="M309" s="579">
        <v>0</v>
      </c>
      <c r="N309" s="579">
        <v>0</v>
      </c>
      <c r="O309" s="579">
        <v>0</v>
      </c>
      <c r="P309" s="579">
        <v>0</v>
      </c>
      <c r="Q309" s="579">
        <v>0</v>
      </c>
      <c r="R309" s="579">
        <v>0</v>
      </c>
      <c r="S309" s="579">
        <v>0</v>
      </c>
      <c r="T309" s="579">
        <v>0</v>
      </c>
      <c r="U309" s="579">
        <v>0</v>
      </c>
      <c r="V309" s="579">
        <v>0</v>
      </c>
      <c r="W309" s="579">
        <v>0</v>
      </c>
      <c r="X309" s="579">
        <v>0</v>
      </c>
      <c r="Y309" s="579">
        <v>0</v>
      </c>
      <c r="Z309" s="579">
        <v>0</v>
      </c>
      <c r="AA309" s="579">
        <v>0</v>
      </c>
      <c r="AB309" s="579">
        <v>0</v>
      </c>
      <c r="AC309" s="579">
        <v>0</v>
      </c>
      <c r="AD309" s="579">
        <v>0</v>
      </c>
      <c r="AE309" s="579">
        <v>0</v>
      </c>
      <c r="AF309" s="579">
        <v>0</v>
      </c>
      <c r="AG309" s="579">
        <v>0</v>
      </c>
      <c r="AH309" s="582">
        <f t="shared" ref="AH309:AH316" si="28">400/746/7</f>
        <v>7.6599004212945229E-2</v>
      </c>
      <c r="AI309" s="579">
        <v>0</v>
      </c>
      <c r="AJ309" s="579">
        <v>0</v>
      </c>
      <c r="AK309" s="579">
        <v>0</v>
      </c>
      <c r="AL309" s="496"/>
      <c r="AM309" s="496"/>
      <c r="AN309" s="27"/>
      <c r="AO309" s="17"/>
      <c r="AP309" s="9"/>
      <c r="AQ309" s="581">
        <f t="shared" si="26"/>
        <v>45334</v>
      </c>
      <c r="AR309" s="9"/>
    </row>
    <row r="310" spans="1:44" customFormat="1" ht="12" customHeight="1" outlineLevel="1" x14ac:dyDescent="0.25">
      <c r="A310" s="7"/>
      <c r="B310" s="8"/>
      <c r="C310" s="18"/>
      <c r="D310" s="18"/>
      <c r="E310" s="18"/>
      <c r="F310" s="24"/>
      <c r="G310" s="25"/>
      <c r="H310" s="28"/>
      <c r="I310" s="580" t="s">
        <v>3215</v>
      </c>
      <c r="J310" s="579">
        <v>0</v>
      </c>
      <c r="K310" s="579">
        <v>0</v>
      </c>
      <c r="L310" s="579">
        <v>0</v>
      </c>
      <c r="M310" s="579">
        <v>0</v>
      </c>
      <c r="N310" s="579">
        <v>0</v>
      </c>
      <c r="O310" s="579">
        <v>0</v>
      </c>
      <c r="P310" s="579">
        <v>0</v>
      </c>
      <c r="Q310" s="579">
        <v>0</v>
      </c>
      <c r="R310" s="579">
        <v>0</v>
      </c>
      <c r="S310" s="579">
        <v>0</v>
      </c>
      <c r="T310" s="579">
        <v>0</v>
      </c>
      <c r="U310" s="579">
        <v>0</v>
      </c>
      <c r="V310" s="579">
        <v>0</v>
      </c>
      <c r="W310" s="579">
        <v>0</v>
      </c>
      <c r="X310" s="579">
        <v>0</v>
      </c>
      <c r="Y310" s="579">
        <v>0</v>
      </c>
      <c r="Z310" s="579">
        <v>0</v>
      </c>
      <c r="AA310" s="579">
        <v>0</v>
      </c>
      <c r="AB310" s="579">
        <v>0</v>
      </c>
      <c r="AC310" s="579">
        <v>0</v>
      </c>
      <c r="AD310" s="579">
        <v>0</v>
      </c>
      <c r="AE310" s="579">
        <v>0</v>
      </c>
      <c r="AF310" s="579">
        <v>0</v>
      </c>
      <c r="AG310" s="579">
        <v>0</v>
      </c>
      <c r="AH310" s="582">
        <f t="shared" si="28"/>
        <v>7.6599004212945229E-2</v>
      </c>
      <c r="AI310" s="579">
        <v>0</v>
      </c>
      <c r="AJ310" s="579">
        <v>0</v>
      </c>
      <c r="AK310" s="579">
        <v>0</v>
      </c>
      <c r="AL310" s="496"/>
      <c r="AM310" s="496"/>
      <c r="AN310" s="27"/>
      <c r="AO310" s="17"/>
      <c r="AP310" s="9"/>
      <c r="AQ310" s="581">
        <f t="shared" si="26"/>
        <v>45341</v>
      </c>
      <c r="AR310" s="9"/>
    </row>
    <row r="311" spans="1:44" customFormat="1" ht="12" customHeight="1" outlineLevel="1" x14ac:dyDescent="0.25">
      <c r="A311" s="7"/>
      <c r="B311" s="8"/>
      <c r="C311" s="18"/>
      <c r="D311" s="18"/>
      <c r="E311" s="18"/>
      <c r="F311" s="24"/>
      <c r="G311" s="25"/>
      <c r="H311" s="28"/>
      <c r="I311" s="580" t="s">
        <v>3216</v>
      </c>
      <c r="J311" s="579">
        <v>0</v>
      </c>
      <c r="K311" s="579">
        <v>0</v>
      </c>
      <c r="L311" s="579">
        <v>0</v>
      </c>
      <c r="M311" s="579">
        <v>0</v>
      </c>
      <c r="N311" s="579">
        <v>0</v>
      </c>
      <c r="O311" s="579">
        <v>0</v>
      </c>
      <c r="P311" s="579">
        <v>0</v>
      </c>
      <c r="Q311" s="579">
        <v>0</v>
      </c>
      <c r="R311" s="579">
        <v>0</v>
      </c>
      <c r="S311" s="579">
        <v>0</v>
      </c>
      <c r="T311" s="579">
        <v>0</v>
      </c>
      <c r="U311" s="579">
        <v>0</v>
      </c>
      <c r="V311" s="579">
        <v>0</v>
      </c>
      <c r="W311" s="579">
        <v>0</v>
      </c>
      <c r="X311" s="579">
        <v>0</v>
      </c>
      <c r="Y311" s="579">
        <v>0</v>
      </c>
      <c r="Z311" s="579">
        <v>0</v>
      </c>
      <c r="AA311" s="579">
        <v>0</v>
      </c>
      <c r="AB311" s="579">
        <v>0</v>
      </c>
      <c r="AC311" s="579">
        <v>0</v>
      </c>
      <c r="AD311" s="579">
        <v>0</v>
      </c>
      <c r="AE311" s="579">
        <v>0</v>
      </c>
      <c r="AF311" s="579">
        <v>0</v>
      </c>
      <c r="AG311" s="579">
        <v>0</v>
      </c>
      <c r="AH311" s="582">
        <f t="shared" si="28"/>
        <v>7.6599004212945229E-2</v>
      </c>
      <c r="AI311" s="579">
        <v>0</v>
      </c>
      <c r="AJ311" s="579">
        <v>0</v>
      </c>
      <c r="AK311" s="579">
        <v>0</v>
      </c>
      <c r="AL311" s="496"/>
      <c r="AM311" s="496"/>
      <c r="AN311" s="27"/>
      <c r="AO311" s="17"/>
      <c r="AP311" s="9"/>
      <c r="AQ311" s="581">
        <f t="shared" si="26"/>
        <v>45348</v>
      </c>
      <c r="AR311" s="9"/>
    </row>
    <row r="312" spans="1:44" customFormat="1" ht="12" customHeight="1" outlineLevel="1" x14ac:dyDescent="0.25">
      <c r="A312" s="7"/>
      <c r="B312" s="8"/>
      <c r="C312" s="18"/>
      <c r="D312" s="18"/>
      <c r="E312" s="18"/>
      <c r="F312" s="24"/>
      <c r="G312" s="25"/>
      <c r="H312" s="28"/>
      <c r="I312" s="580" t="s">
        <v>3217</v>
      </c>
      <c r="J312" s="579">
        <v>0</v>
      </c>
      <c r="K312" s="579">
        <v>0</v>
      </c>
      <c r="L312" s="579">
        <v>0</v>
      </c>
      <c r="M312" s="579">
        <v>0</v>
      </c>
      <c r="N312" s="579">
        <v>0</v>
      </c>
      <c r="O312" s="579">
        <v>0</v>
      </c>
      <c r="P312" s="579">
        <v>0</v>
      </c>
      <c r="Q312" s="579">
        <v>0</v>
      </c>
      <c r="R312" s="579">
        <v>0</v>
      </c>
      <c r="S312" s="579">
        <v>0</v>
      </c>
      <c r="T312" s="579">
        <v>0</v>
      </c>
      <c r="U312" s="579">
        <v>0</v>
      </c>
      <c r="V312" s="579">
        <v>0</v>
      </c>
      <c r="W312" s="579">
        <v>0</v>
      </c>
      <c r="X312" s="579">
        <v>0</v>
      </c>
      <c r="Y312" s="579">
        <v>0</v>
      </c>
      <c r="Z312" s="579">
        <v>0</v>
      </c>
      <c r="AA312" s="579">
        <v>0</v>
      </c>
      <c r="AB312" s="579">
        <v>0</v>
      </c>
      <c r="AC312" s="579">
        <v>0</v>
      </c>
      <c r="AD312" s="579">
        <v>0</v>
      </c>
      <c r="AE312" s="579">
        <v>0</v>
      </c>
      <c r="AF312" s="579">
        <v>0</v>
      </c>
      <c r="AG312" s="579">
        <v>0</v>
      </c>
      <c r="AH312" s="582">
        <f t="shared" si="28"/>
        <v>7.6599004212945229E-2</v>
      </c>
      <c r="AI312" s="579">
        <v>0</v>
      </c>
      <c r="AJ312" s="579">
        <v>0</v>
      </c>
      <c r="AK312" s="579">
        <v>0</v>
      </c>
      <c r="AL312" s="496"/>
      <c r="AM312" s="496"/>
      <c r="AN312" s="27"/>
      <c r="AO312" s="17"/>
      <c r="AP312" s="9"/>
      <c r="AQ312" s="581">
        <f t="shared" si="26"/>
        <v>45355</v>
      </c>
      <c r="AR312" s="9"/>
    </row>
    <row r="313" spans="1:44" customFormat="1" ht="12" customHeight="1" outlineLevel="1" x14ac:dyDescent="0.25">
      <c r="A313" s="7"/>
      <c r="B313" s="8"/>
      <c r="C313" s="18"/>
      <c r="D313" s="18"/>
      <c r="E313" s="18"/>
      <c r="F313" s="24"/>
      <c r="G313" s="25"/>
      <c r="H313" s="28"/>
      <c r="I313" s="580" t="s">
        <v>3218</v>
      </c>
      <c r="J313" s="579">
        <v>0</v>
      </c>
      <c r="K313" s="579">
        <v>0</v>
      </c>
      <c r="L313" s="579">
        <v>0</v>
      </c>
      <c r="M313" s="579">
        <v>0</v>
      </c>
      <c r="N313" s="579">
        <v>0</v>
      </c>
      <c r="O313" s="579">
        <v>0</v>
      </c>
      <c r="P313" s="579">
        <v>0</v>
      </c>
      <c r="Q313" s="579">
        <v>0</v>
      </c>
      <c r="R313" s="579">
        <v>0</v>
      </c>
      <c r="S313" s="579">
        <v>0</v>
      </c>
      <c r="T313" s="579">
        <v>0</v>
      </c>
      <c r="U313" s="579">
        <v>0</v>
      </c>
      <c r="V313" s="579">
        <v>0</v>
      </c>
      <c r="W313" s="579">
        <v>0</v>
      </c>
      <c r="X313" s="579">
        <v>0</v>
      </c>
      <c r="Y313" s="579">
        <v>0</v>
      </c>
      <c r="Z313" s="579">
        <v>0</v>
      </c>
      <c r="AA313" s="579">
        <v>0</v>
      </c>
      <c r="AB313" s="579">
        <v>0</v>
      </c>
      <c r="AC313" s="579">
        <v>0</v>
      </c>
      <c r="AD313" s="579">
        <v>0</v>
      </c>
      <c r="AE313" s="579">
        <v>0</v>
      </c>
      <c r="AF313" s="579">
        <v>0</v>
      </c>
      <c r="AG313" s="579">
        <v>0</v>
      </c>
      <c r="AH313" s="582">
        <f t="shared" si="28"/>
        <v>7.6599004212945229E-2</v>
      </c>
      <c r="AI313" s="579">
        <v>0</v>
      </c>
      <c r="AJ313" s="579">
        <v>0</v>
      </c>
      <c r="AK313" s="579">
        <v>0</v>
      </c>
      <c r="AL313" s="496"/>
      <c r="AM313" s="496"/>
      <c r="AN313" s="27"/>
      <c r="AO313" s="17"/>
      <c r="AP313" s="9"/>
      <c r="AQ313" s="581">
        <f t="shared" ref="AQ313:AQ315" si="29">AQ309+7</f>
        <v>45341</v>
      </c>
      <c r="AR313" s="9"/>
    </row>
    <row r="314" spans="1:44" customFormat="1" ht="12" customHeight="1" outlineLevel="1" x14ac:dyDescent="0.25">
      <c r="A314" s="7"/>
      <c r="B314" s="8"/>
      <c r="C314" s="18"/>
      <c r="D314" s="18"/>
      <c r="E314" s="18"/>
      <c r="F314" s="24"/>
      <c r="G314" s="25"/>
      <c r="H314" s="28"/>
      <c r="I314" s="580" t="s">
        <v>3219</v>
      </c>
      <c r="J314" s="579">
        <v>0</v>
      </c>
      <c r="K314" s="579">
        <v>0</v>
      </c>
      <c r="L314" s="579">
        <v>0</v>
      </c>
      <c r="M314" s="579">
        <v>0</v>
      </c>
      <c r="N314" s="579">
        <v>0</v>
      </c>
      <c r="O314" s="579">
        <v>0</v>
      </c>
      <c r="P314" s="579">
        <v>0</v>
      </c>
      <c r="Q314" s="579">
        <v>0</v>
      </c>
      <c r="R314" s="579">
        <v>0</v>
      </c>
      <c r="S314" s="579">
        <v>0</v>
      </c>
      <c r="T314" s="579">
        <v>0</v>
      </c>
      <c r="U314" s="579">
        <v>0</v>
      </c>
      <c r="V314" s="579">
        <v>0</v>
      </c>
      <c r="W314" s="579">
        <v>0</v>
      </c>
      <c r="X314" s="579">
        <v>0</v>
      </c>
      <c r="Y314" s="579">
        <v>0</v>
      </c>
      <c r="Z314" s="579">
        <v>0</v>
      </c>
      <c r="AA314" s="579">
        <v>0</v>
      </c>
      <c r="AB314" s="579">
        <v>0</v>
      </c>
      <c r="AC314" s="579">
        <v>0</v>
      </c>
      <c r="AD314" s="579">
        <v>0</v>
      </c>
      <c r="AE314" s="579">
        <v>0</v>
      </c>
      <c r="AF314" s="579">
        <v>0</v>
      </c>
      <c r="AG314" s="579">
        <v>0</v>
      </c>
      <c r="AH314" s="582">
        <f t="shared" si="28"/>
        <v>7.6599004212945229E-2</v>
      </c>
      <c r="AI314" s="579">
        <v>0</v>
      </c>
      <c r="AJ314" s="579">
        <v>0</v>
      </c>
      <c r="AK314" s="579">
        <v>0</v>
      </c>
      <c r="AL314" s="496"/>
      <c r="AM314" s="496"/>
      <c r="AN314" s="27"/>
      <c r="AO314" s="17"/>
      <c r="AP314" s="9"/>
      <c r="AQ314" s="581">
        <f t="shared" si="29"/>
        <v>45348</v>
      </c>
      <c r="AR314" s="9"/>
    </row>
    <row r="315" spans="1:44" customFormat="1" ht="12" customHeight="1" outlineLevel="1" x14ac:dyDescent="0.25">
      <c r="A315" s="7"/>
      <c r="B315" s="8"/>
      <c r="C315" s="18"/>
      <c r="D315" s="18"/>
      <c r="E315" s="18"/>
      <c r="F315" s="24"/>
      <c r="G315" s="25"/>
      <c r="H315" s="28"/>
      <c r="I315" s="580" t="s">
        <v>3220</v>
      </c>
      <c r="J315" s="579">
        <v>0</v>
      </c>
      <c r="K315" s="579">
        <v>0</v>
      </c>
      <c r="L315" s="579">
        <v>0</v>
      </c>
      <c r="M315" s="579">
        <v>0</v>
      </c>
      <c r="N315" s="579">
        <v>0</v>
      </c>
      <c r="O315" s="579">
        <v>0</v>
      </c>
      <c r="P315" s="579">
        <v>0</v>
      </c>
      <c r="Q315" s="579">
        <v>0</v>
      </c>
      <c r="R315" s="579">
        <v>0</v>
      </c>
      <c r="S315" s="579">
        <v>0</v>
      </c>
      <c r="T315" s="579">
        <v>0</v>
      </c>
      <c r="U315" s="579">
        <v>0</v>
      </c>
      <c r="V315" s="579">
        <v>0</v>
      </c>
      <c r="W315" s="579">
        <v>0</v>
      </c>
      <c r="X315" s="579">
        <v>0</v>
      </c>
      <c r="Y315" s="579">
        <v>0</v>
      </c>
      <c r="Z315" s="579">
        <v>0</v>
      </c>
      <c r="AA315" s="579">
        <v>0</v>
      </c>
      <c r="AB315" s="579">
        <v>0</v>
      </c>
      <c r="AC315" s="579">
        <v>0</v>
      </c>
      <c r="AD315" s="579">
        <v>0</v>
      </c>
      <c r="AE315" s="579">
        <v>0</v>
      </c>
      <c r="AF315" s="579">
        <v>0</v>
      </c>
      <c r="AG315" s="579">
        <v>0</v>
      </c>
      <c r="AH315" s="582">
        <f t="shared" si="28"/>
        <v>7.6599004212945229E-2</v>
      </c>
      <c r="AI315" s="579">
        <v>0</v>
      </c>
      <c r="AJ315" s="579">
        <v>0</v>
      </c>
      <c r="AK315" s="579">
        <v>0</v>
      </c>
      <c r="AL315" s="496"/>
      <c r="AM315" s="496"/>
      <c r="AN315" s="27"/>
      <c r="AO315" s="17"/>
      <c r="AP315" s="9"/>
      <c r="AQ315" s="581">
        <f t="shared" si="29"/>
        <v>45355</v>
      </c>
      <c r="AR315" s="9"/>
    </row>
    <row r="316" spans="1:44" customFormat="1" ht="12" customHeight="1" outlineLevel="1" x14ac:dyDescent="0.25">
      <c r="A316" s="7"/>
      <c r="B316" s="8"/>
      <c r="C316" s="18"/>
      <c r="D316" s="18"/>
      <c r="E316" s="18"/>
      <c r="F316" s="24"/>
      <c r="G316" s="25"/>
      <c r="H316" s="28"/>
      <c r="I316" s="580" t="s">
        <v>3221</v>
      </c>
      <c r="J316" s="579">
        <v>0</v>
      </c>
      <c r="K316" s="579">
        <v>0</v>
      </c>
      <c r="L316" s="579">
        <v>0</v>
      </c>
      <c r="M316" s="579">
        <v>0</v>
      </c>
      <c r="N316" s="579">
        <v>0</v>
      </c>
      <c r="O316" s="579">
        <v>0</v>
      </c>
      <c r="P316" s="579">
        <v>0</v>
      </c>
      <c r="Q316" s="579">
        <v>0</v>
      </c>
      <c r="R316" s="579">
        <v>0</v>
      </c>
      <c r="S316" s="579">
        <v>0</v>
      </c>
      <c r="T316" s="579">
        <v>0</v>
      </c>
      <c r="U316" s="579">
        <v>0</v>
      </c>
      <c r="V316" s="579">
        <v>0</v>
      </c>
      <c r="W316" s="579">
        <v>0</v>
      </c>
      <c r="X316" s="579">
        <v>0</v>
      </c>
      <c r="Y316" s="579">
        <v>0</v>
      </c>
      <c r="Z316" s="579">
        <v>0</v>
      </c>
      <c r="AA316" s="579">
        <v>0</v>
      </c>
      <c r="AB316" s="579">
        <v>0</v>
      </c>
      <c r="AC316" s="579">
        <v>0</v>
      </c>
      <c r="AD316" s="579">
        <v>0</v>
      </c>
      <c r="AE316" s="579">
        <v>0</v>
      </c>
      <c r="AF316" s="579">
        <v>0</v>
      </c>
      <c r="AG316" s="579">
        <v>0</v>
      </c>
      <c r="AH316" s="582">
        <f t="shared" si="28"/>
        <v>7.6599004212945229E-2</v>
      </c>
      <c r="AI316" s="579">
        <v>0</v>
      </c>
      <c r="AJ316" s="579">
        <v>0</v>
      </c>
      <c r="AK316" s="579">
        <v>0</v>
      </c>
      <c r="AL316" s="496"/>
      <c r="AM316" s="496"/>
      <c r="AN316" s="27"/>
      <c r="AO316" s="17"/>
      <c r="AP316" s="9"/>
      <c r="AQ316" s="581">
        <f>AQ312+7</f>
        <v>45362</v>
      </c>
      <c r="AR316" s="9"/>
    </row>
    <row r="317" spans="1:44" customFormat="1" ht="12" customHeight="1" outlineLevel="1" x14ac:dyDescent="0.25">
      <c r="A317" s="7"/>
      <c r="B317" s="8"/>
      <c r="C317" s="18"/>
      <c r="D317" s="18"/>
      <c r="E317" s="18"/>
      <c r="F317" s="24"/>
      <c r="G317" s="25"/>
      <c r="H317" s="28"/>
      <c r="I317" s="578"/>
      <c r="J317" s="500"/>
      <c r="K317" s="496"/>
      <c r="L317" s="496"/>
      <c r="M317" s="496"/>
      <c r="N317" s="496"/>
      <c r="O317" s="496"/>
      <c r="P317" s="496"/>
      <c r="Q317" s="496"/>
      <c r="R317" s="496"/>
      <c r="S317" s="496"/>
      <c r="T317" s="496"/>
      <c r="U317" s="496"/>
      <c r="V317" s="496"/>
      <c r="W317" s="496"/>
      <c r="X317" s="496"/>
      <c r="Y317" s="496"/>
      <c r="Z317" s="496"/>
      <c r="AA317" s="496"/>
      <c r="AB317" s="496"/>
      <c r="AC317" s="496"/>
      <c r="AD317" s="496"/>
      <c r="AE317" s="496"/>
      <c r="AF317" s="496"/>
      <c r="AG317" s="496"/>
      <c r="AH317" s="496"/>
      <c r="AI317" s="496"/>
      <c r="AJ317" s="496"/>
      <c r="AK317" s="496"/>
      <c r="AL317" s="496"/>
      <c r="AM317" s="496"/>
      <c r="AN317" s="27"/>
      <c r="AO317" s="17"/>
      <c r="AP317" s="9"/>
      <c r="AQ317" s="9"/>
      <c r="AR317" s="9"/>
    </row>
    <row r="318" spans="1:44" customFormat="1" ht="12" customHeight="1" outlineLevel="1" x14ac:dyDescent="0.25">
      <c r="A318" s="7"/>
      <c r="B318" s="8"/>
      <c r="C318" s="18"/>
      <c r="D318" s="18"/>
      <c r="E318" s="18"/>
      <c r="F318" s="24"/>
      <c r="G318" s="25"/>
      <c r="H318" s="28"/>
      <c r="I318" s="578"/>
      <c r="J318" s="500"/>
      <c r="K318" s="496"/>
      <c r="L318" s="496"/>
      <c r="M318" s="496"/>
      <c r="N318" s="496"/>
      <c r="O318" s="496"/>
      <c r="P318" s="496"/>
      <c r="Q318" s="496"/>
      <c r="R318" s="496"/>
      <c r="S318" s="496"/>
      <c r="T318" s="496"/>
      <c r="U318" s="496"/>
      <c r="V318" s="496"/>
      <c r="W318" s="496"/>
      <c r="X318" s="496"/>
      <c r="Y318" s="496"/>
      <c r="Z318" s="496"/>
      <c r="AA318" s="496"/>
      <c r="AB318" s="496"/>
      <c r="AC318" s="496"/>
      <c r="AD318" s="496"/>
      <c r="AE318" s="496"/>
      <c r="AF318" s="496"/>
      <c r="AG318" s="496"/>
      <c r="AH318" s="496"/>
      <c r="AI318" s="496"/>
      <c r="AJ318" s="496"/>
      <c r="AK318" s="496"/>
      <c r="AL318" s="496"/>
      <c r="AM318" s="496"/>
      <c r="AN318" s="27"/>
      <c r="AO318" s="17"/>
      <c r="AP318" s="9"/>
      <c r="AQ318" s="9"/>
      <c r="AR318" s="9"/>
    </row>
    <row r="319" spans="1:44" customFormat="1" ht="12" customHeight="1" outlineLevel="1" x14ac:dyDescent="0.25">
      <c r="A319" s="7"/>
      <c r="B319" s="8"/>
      <c r="C319" s="18"/>
      <c r="D319" s="18"/>
      <c r="E319" s="18"/>
      <c r="F319" s="24"/>
      <c r="G319" s="25"/>
      <c r="H319" s="28"/>
      <c r="I319" s="578"/>
      <c r="J319" s="500"/>
      <c r="K319" s="496"/>
      <c r="L319" s="496"/>
      <c r="M319" s="496"/>
      <c r="N319" s="496"/>
      <c r="O319" s="496"/>
      <c r="P319" s="496"/>
      <c r="Q319" s="496"/>
      <c r="R319" s="496"/>
      <c r="S319" s="496"/>
      <c r="T319" s="496"/>
      <c r="U319" s="496"/>
      <c r="V319" s="496"/>
      <c r="W319" s="496"/>
      <c r="X319" s="496"/>
      <c r="Y319" s="496"/>
      <c r="Z319" s="496"/>
      <c r="AA319" s="496"/>
      <c r="AB319" s="496"/>
      <c r="AC319" s="496"/>
      <c r="AD319" s="496"/>
      <c r="AE319" s="496"/>
      <c r="AF319" s="496"/>
      <c r="AG319" s="496"/>
      <c r="AH319" s="496"/>
      <c r="AI319" s="496"/>
      <c r="AJ319" s="496"/>
      <c r="AK319" s="496"/>
      <c r="AL319" s="496"/>
      <c r="AM319" s="496"/>
      <c r="AN319" s="27"/>
      <c r="AO319" s="17"/>
      <c r="AP319" s="9"/>
      <c r="AQ319" s="9"/>
      <c r="AR319" s="9"/>
    </row>
    <row r="320" spans="1:44" customFormat="1" ht="12" customHeight="1" x14ac:dyDescent="0.25">
      <c r="A320" s="7"/>
      <c r="B320" s="8"/>
      <c r="C320" s="18"/>
      <c r="D320" s="18"/>
      <c r="E320" s="18"/>
      <c r="F320" s="24"/>
      <c r="G320" s="551" t="s">
        <v>3222</v>
      </c>
      <c r="H320" s="28"/>
      <c r="I320" s="583" t="s">
        <v>3223</v>
      </c>
      <c r="J320" s="584"/>
      <c r="K320" s="584"/>
      <c r="L320" s="584"/>
      <c r="M320" s="584"/>
      <c r="N320" s="584"/>
      <c r="O320" s="584"/>
      <c r="P320" s="584"/>
      <c r="Q320" s="584"/>
      <c r="R320" s="584"/>
      <c r="S320" s="584"/>
      <c r="T320" s="584"/>
      <c r="U320" s="584"/>
      <c r="V320" s="584"/>
      <c r="W320" s="584"/>
      <c r="X320" s="584"/>
      <c r="Y320" s="584"/>
      <c r="Z320" s="584"/>
      <c r="AA320" s="584"/>
      <c r="AB320" s="584"/>
      <c r="AC320" s="584"/>
      <c r="AD320" s="584"/>
      <c r="AE320" s="584"/>
      <c r="AF320" s="584"/>
      <c r="AG320" s="584"/>
      <c r="AH320" s="584"/>
      <c r="AI320" s="584"/>
      <c r="AJ320" s="584"/>
      <c r="AK320" s="584"/>
      <c r="AL320" s="496"/>
      <c r="AM320" s="496"/>
      <c r="AN320" s="30"/>
      <c r="AO320" s="17"/>
      <c r="AP320" s="9"/>
      <c r="AQ320" s="9"/>
      <c r="AR320" s="9"/>
    </row>
    <row r="321" spans="1:44" customFormat="1" ht="12" customHeight="1" x14ac:dyDescent="0.25">
      <c r="A321" s="7"/>
      <c r="B321" s="8"/>
      <c r="C321" s="18"/>
      <c r="D321" s="18"/>
      <c r="E321" s="18"/>
      <c r="F321" s="24"/>
      <c r="G321" s="551"/>
      <c r="H321" s="28"/>
      <c r="I321" s="585" t="s">
        <v>2320</v>
      </c>
      <c r="J321" s="586">
        <v>-6.9627386801849749</v>
      </c>
      <c r="K321" s="586">
        <v>-6.0156524915318768</v>
      </c>
      <c r="L321" s="586">
        <v>-16.045410093859722</v>
      </c>
      <c r="M321" s="586">
        <v>-13.509425240701901</v>
      </c>
      <c r="N321" s="586">
        <v>-8.217437489547061</v>
      </c>
      <c r="O321" s="586">
        <v>-8.1062270014987341</v>
      </c>
      <c r="P321" s="586">
        <v>-9.482552648879734</v>
      </c>
      <c r="Q321" s="586">
        <v>-29.071825012886912</v>
      </c>
      <c r="R321" s="586">
        <v>-0.59944361589410566</v>
      </c>
      <c r="S321" s="586">
        <v>-0.61199740889712317</v>
      </c>
      <c r="T321" s="586">
        <v>-0.65906310885294273</v>
      </c>
      <c r="U321" s="586">
        <v>-0.87644073372921349</v>
      </c>
      <c r="V321" s="586">
        <v>-1.3770690462419783</v>
      </c>
      <c r="W321" s="586">
        <v>-1.3560129446174805</v>
      </c>
      <c r="X321" s="586">
        <v>-0.92867167621956725</v>
      </c>
      <c r="Y321" s="586">
        <v>-1.3602142818907355</v>
      </c>
      <c r="Z321" s="586">
        <v>-0.62160661264888861</v>
      </c>
      <c r="AA321" s="586">
        <v>-0.8383353549900725</v>
      </c>
      <c r="AB321" s="586">
        <v>-1.7548717127396745</v>
      </c>
      <c r="AC321" s="586">
        <v>-2.1273556936201503</v>
      </c>
      <c r="AD321" s="586">
        <v>-2.1242128702581558E-2</v>
      </c>
      <c r="AE321" s="586">
        <v>-8.4945043615853727E-3</v>
      </c>
      <c r="AF321" s="586">
        <v>-8.5106530236712993E-3</v>
      </c>
      <c r="AG321" s="586">
        <v>-1.3786513769950051E-3</v>
      </c>
      <c r="AH321" s="586">
        <v>-7.02529466445438E-3</v>
      </c>
      <c r="AI321" s="586">
        <v>-4.1707721917420511E-2</v>
      </c>
      <c r="AJ321" s="586">
        <v>-0.91743119266055029</v>
      </c>
      <c r="AK321" s="586">
        <v>-5.6250000000000007E-3</v>
      </c>
      <c r="AL321" s="496"/>
      <c r="AM321" s="496"/>
      <c r="AN321" s="30"/>
      <c r="AO321" s="17"/>
      <c r="AP321" s="9"/>
      <c r="AQ321" s="9"/>
      <c r="AR321" s="9"/>
    </row>
    <row r="322" spans="1:44" customFormat="1" ht="12" customHeight="1" x14ac:dyDescent="0.25">
      <c r="A322" s="7"/>
      <c r="B322" s="8"/>
      <c r="C322" s="18"/>
      <c r="D322" s="18"/>
      <c r="E322" s="18"/>
      <c r="F322" s="24"/>
      <c r="G322" s="551"/>
      <c r="H322" s="28"/>
      <c r="I322" s="585" t="s">
        <v>4</v>
      </c>
      <c r="J322" s="587">
        <v>9.5708365331199214</v>
      </c>
      <c r="K322" s="587">
        <v>1.7972582134700135</v>
      </c>
      <c r="L322" s="587">
        <v>22.081968506219848</v>
      </c>
      <c r="M322" s="587">
        <v>18.236823192583859</v>
      </c>
      <c r="N322" s="587">
        <v>13.190271921056231</v>
      </c>
      <c r="O322" s="587">
        <v>7.8646590587758345</v>
      </c>
      <c r="P322" s="587">
        <v>10.377099619701518</v>
      </c>
      <c r="Q322" s="587">
        <v>22.10808785732327</v>
      </c>
      <c r="R322" s="587">
        <v>2.6419333894920047</v>
      </c>
      <c r="S322" s="587">
        <v>2.4899601010193639</v>
      </c>
      <c r="T322" s="587">
        <v>3.870826729788083</v>
      </c>
      <c r="U322" s="587">
        <v>4.0603762059598081</v>
      </c>
      <c r="V322" s="587">
        <v>4.7746394921672541</v>
      </c>
      <c r="W322" s="587">
        <v>3.9801927778750463</v>
      </c>
      <c r="X322" s="587">
        <v>3.2883889884288755</v>
      </c>
      <c r="Y322" s="587">
        <v>2.6959793962187328</v>
      </c>
      <c r="Z322" s="587">
        <v>2.3382915404356464</v>
      </c>
      <c r="AA322" s="587">
        <v>2.8219967504577319</v>
      </c>
      <c r="AB322" s="587">
        <v>3.9816543979886445</v>
      </c>
      <c r="AC322" s="587">
        <v>4.0854043022969995</v>
      </c>
      <c r="AD322" s="587">
        <v>0.801804515337185</v>
      </c>
      <c r="AE322" s="587">
        <v>0.63059509399466851</v>
      </c>
      <c r="AF322" s="587">
        <v>0.54513927385769101</v>
      </c>
      <c r="AG322" s="587">
        <v>0.65046740143494564</v>
      </c>
      <c r="AH322" s="587">
        <v>0.70144286673170986</v>
      </c>
      <c r="AI322" s="587">
        <v>1.0801013946492328</v>
      </c>
      <c r="AJ322" s="587">
        <v>3.6697247706422016</v>
      </c>
      <c r="AK322" s="587">
        <v>0.45000000000000007</v>
      </c>
      <c r="AL322" s="496"/>
      <c r="AM322" s="496"/>
      <c r="AN322" s="30"/>
      <c r="AO322" s="17"/>
      <c r="AP322" s="9"/>
      <c r="AQ322" s="9"/>
      <c r="AR322" s="9"/>
    </row>
    <row r="323" spans="1:44" customFormat="1" ht="12" customHeight="1" x14ac:dyDescent="0.25">
      <c r="A323" s="7"/>
      <c r="B323" s="8"/>
      <c r="C323" s="18"/>
      <c r="D323" s="18"/>
      <c r="E323" s="18"/>
      <c r="F323" s="24"/>
      <c r="G323" s="551"/>
      <c r="H323" s="28"/>
      <c r="I323" s="585" t="s">
        <v>3076</v>
      </c>
      <c r="J323" s="529">
        <v>56.100917431192656</v>
      </c>
      <c r="K323" s="529">
        <v>69.159021406727831</v>
      </c>
      <c r="L323" s="529">
        <v>53.794182071775069</v>
      </c>
      <c r="M323" s="529">
        <v>53.592149982469323</v>
      </c>
      <c r="N323" s="529">
        <v>50.094328742239497</v>
      </c>
      <c r="O323" s="529">
        <v>51.371537789427705</v>
      </c>
      <c r="P323" s="529">
        <v>51.259458278724338</v>
      </c>
      <c r="Q323" s="529">
        <v>55.107033639143737</v>
      </c>
      <c r="R323" s="529">
        <v>67.448488494510443</v>
      </c>
      <c r="S323" s="529">
        <v>67.182017640865936</v>
      </c>
      <c r="T323" s="529">
        <v>45.458958226107704</v>
      </c>
      <c r="U323" s="529">
        <v>44.749882809884156</v>
      </c>
      <c r="V323" s="529">
        <v>41.743119266055054</v>
      </c>
      <c r="W323" s="529">
        <v>41.743119266055054</v>
      </c>
      <c r="X323" s="529">
        <v>59.834862385321088</v>
      </c>
      <c r="Y323" s="529">
        <v>62.440366972477065</v>
      </c>
      <c r="Z323" s="529">
        <v>53.522935779816514</v>
      </c>
      <c r="AA323" s="529">
        <v>54.669724770642205</v>
      </c>
      <c r="AB323" s="529">
        <v>55.522935779816514</v>
      </c>
      <c r="AC323" s="529">
        <v>55.247706422018339</v>
      </c>
      <c r="AD323" s="529">
        <v>29.494055320716754</v>
      </c>
      <c r="AE323" s="529">
        <v>19.465154120592853</v>
      </c>
      <c r="AF323" s="529">
        <v>21.245396267638498</v>
      </c>
      <c r="AG323" s="529">
        <v>25.883536587765462</v>
      </c>
      <c r="AH323" s="529">
        <v>23.974921210037252</v>
      </c>
      <c r="AI323" s="529">
        <v>34.220183486238533</v>
      </c>
      <c r="AJ323" s="529">
        <v>53.876685566849588</v>
      </c>
      <c r="AK323" s="529">
        <v>21.2</v>
      </c>
      <c r="AL323" s="496"/>
      <c r="AM323" s="496"/>
      <c r="AN323" s="30"/>
      <c r="AO323" s="17"/>
      <c r="AP323" s="9"/>
      <c r="AQ323" s="9"/>
      <c r="AR323" s="9"/>
    </row>
    <row r="324" spans="1:44" customFormat="1" ht="12" customHeight="1" x14ac:dyDescent="0.25">
      <c r="A324" s="7"/>
      <c r="B324" s="8"/>
      <c r="C324" s="18"/>
      <c r="D324" s="18"/>
      <c r="E324" s="18"/>
      <c r="F324" s="24"/>
      <c r="G324" s="551"/>
      <c r="H324" s="28"/>
      <c r="I324" s="58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6"/>
      <c r="AM324" s="496"/>
      <c r="AN324" s="30"/>
      <c r="AO324" s="17"/>
      <c r="AP324" s="9"/>
      <c r="AQ324" s="9"/>
      <c r="AR324" s="9"/>
    </row>
    <row r="325" spans="1:44" customFormat="1" ht="12" customHeight="1" x14ac:dyDescent="0.25">
      <c r="A325" s="7"/>
      <c r="B325" s="8"/>
      <c r="C325" s="18"/>
      <c r="D325" s="18"/>
      <c r="E325" s="18"/>
      <c r="F325" s="24"/>
      <c r="G325" s="588" t="s">
        <v>3224</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6"/>
      <c r="AM325" s="496"/>
      <c r="AN325" s="30"/>
      <c r="AO325" s="17"/>
      <c r="AP325" s="9"/>
      <c r="AQ325" s="9"/>
      <c r="AR325" s="9"/>
    </row>
    <row r="326" spans="1:44" customFormat="1" ht="12" customHeight="1" outlineLevel="1" x14ac:dyDescent="0.25">
      <c r="A326" s="7"/>
      <c r="B326" s="8"/>
      <c r="C326" s="18">
        <v>0</v>
      </c>
      <c r="D326" s="18"/>
      <c r="E326" s="18"/>
      <c r="F326" s="24"/>
      <c r="G326" s="551"/>
      <c r="H326" s="25" t="s">
        <v>2327</v>
      </c>
      <c r="I326" s="514" t="str">
        <f>General!G37</f>
        <v>b</v>
      </c>
      <c r="J326" s="586"/>
      <c r="K326" s="586"/>
      <c r="L326" s="586"/>
      <c r="M326" s="586"/>
      <c r="N326" s="586"/>
      <c r="O326" s="586"/>
      <c r="P326" s="586"/>
      <c r="Q326" s="586"/>
      <c r="R326" s="586"/>
      <c r="S326" s="586" t="b">
        <v>1</v>
      </c>
      <c r="T326" s="586"/>
      <c r="U326" s="586"/>
      <c r="V326" s="586"/>
      <c r="W326" s="586"/>
      <c r="X326" s="586"/>
      <c r="Y326" s="586"/>
      <c r="Z326" s="586"/>
      <c r="AA326" s="586"/>
      <c r="AB326" s="586"/>
      <c r="AC326" s="586"/>
      <c r="AD326" s="586"/>
      <c r="AE326" s="586"/>
      <c r="AF326" s="586"/>
      <c r="AG326" s="586"/>
      <c r="AH326" s="586"/>
      <c r="AI326" s="586"/>
      <c r="AJ326" s="586"/>
      <c r="AK326" s="586"/>
      <c r="AL326" s="496"/>
      <c r="AM326" s="496"/>
      <c r="AN326" s="30" t="b">
        <f>OR(J326:AK326)</f>
        <v>1</v>
      </c>
      <c r="AO326" s="17"/>
      <c r="AP326" s="9"/>
      <c r="AQ326" s="9"/>
      <c r="AR326" s="9"/>
    </row>
    <row r="327" spans="1:44" customFormat="1" ht="12" customHeight="1" outlineLevel="1" x14ac:dyDescent="0.25">
      <c r="A327" s="7"/>
      <c r="B327" s="8"/>
      <c r="C327" s="18"/>
      <c r="D327" s="18"/>
      <c r="E327" s="18"/>
      <c r="F327" s="24"/>
      <c r="G327" s="551"/>
      <c r="H327" s="25"/>
      <c r="I327" s="514" t="str">
        <f>General!G38</f>
        <v>bd</v>
      </c>
      <c r="J327" s="586"/>
      <c r="K327" s="586"/>
      <c r="L327" s="586"/>
      <c r="M327" s="586"/>
      <c r="N327" s="586"/>
      <c r="O327" s="586"/>
      <c r="P327" s="586"/>
      <c r="Q327" s="586"/>
      <c r="R327" s="586"/>
      <c r="S327" s="586" t="b">
        <v>1</v>
      </c>
      <c r="T327" s="586"/>
      <c r="U327" s="586"/>
      <c r="V327" s="586"/>
      <c r="W327" s="586"/>
      <c r="X327" s="586"/>
      <c r="Y327" s="586"/>
      <c r="Z327" s="586"/>
      <c r="AA327" s="586"/>
      <c r="AB327" s="586"/>
      <c r="AC327" s="586"/>
      <c r="AD327" s="586"/>
      <c r="AE327" s="586"/>
      <c r="AF327" s="586"/>
      <c r="AG327" s="586"/>
      <c r="AH327" s="586"/>
      <c r="AI327" s="586"/>
      <c r="AJ327" s="586"/>
      <c r="AK327" s="586"/>
      <c r="AL327" s="496"/>
      <c r="AM327" s="496"/>
      <c r="AN327" s="30" t="b">
        <f t="shared" ref="AN327:AN382" si="30">OR(J327:AK327)</f>
        <v>1</v>
      </c>
      <c r="AO327" s="17"/>
      <c r="AP327" s="9"/>
      <c r="AQ327" s="9"/>
      <c r="AR327" s="9"/>
    </row>
    <row r="328" spans="1:44" customFormat="1" ht="12" customHeight="1" outlineLevel="1" x14ac:dyDescent="0.25">
      <c r="A328" s="7"/>
      <c r="B328" s="8"/>
      <c r="C328" s="18"/>
      <c r="D328" s="18"/>
      <c r="E328" s="18"/>
      <c r="F328" s="24"/>
      <c r="G328" s="551"/>
      <c r="H328" s="25"/>
      <c r="I328" s="514" t="str">
        <f>General!G39</f>
        <v>f</v>
      </c>
      <c r="J328" s="586"/>
      <c r="K328" s="586"/>
      <c r="L328" s="586"/>
      <c r="M328" s="586"/>
      <c r="N328" s="586"/>
      <c r="O328" s="586"/>
      <c r="P328" s="586"/>
      <c r="Q328" s="586"/>
      <c r="R328" s="586"/>
      <c r="S328" s="586"/>
      <c r="T328" s="586"/>
      <c r="U328" s="586"/>
      <c r="V328" s="586"/>
      <c r="W328" s="586"/>
      <c r="X328" s="586"/>
      <c r="Y328" s="586"/>
      <c r="Z328" s="586"/>
      <c r="AA328" s="586"/>
      <c r="AB328" s="586"/>
      <c r="AC328" s="586"/>
      <c r="AD328" s="586"/>
      <c r="AE328" s="586"/>
      <c r="AF328" s="586"/>
      <c r="AG328" s="586"/>
      <c r="AH328" s="586"/>
      <c r="AI328" s="586"/>
      <c r="AJ328" s="586" t="b">
        <v>1</v>
      </c>
      <c r="AK328" s="586"/>
      <c r="AL328" s="496"/>
      <c r="AM328" s="496"/>
      <c r="AN328" s="30" t="b">
        <f t="shared" si="30"/>
        <v>1</v>
      </c>
      <c r="AO328" s="17"/>
      <c r="AP328" s="9"/>
      <c r="AQ328" s="9"/>
      <c r="AR328" s="9"/>
    </row>
    <row r="329" spans="1:44" customFormat="1" ht="12" customHeight="1" outlineLevel="1" x14ac:dyDescent="0.25">
      <c r="A329" s="7"/>
      <c r="B329" s="8"/>
      <c r="C329" s="18"/>
      <c r="D329" s="18"/>
      <c r="E329" s="18"/>
      <c r="F329" s="24"/>
      <c r="G329" s="551"/>
      <c r="H329" s="25"/>
      <c r="I329" s="514" t="str">
        <f>General!G40</f>
        <v>h</v>
      </c>
      <c r="J329" s="586"/>
      <c r="K329" s="586"/>
      <c r="L329" s="586"/>
      <c r="M329" s="586"/>
      <c r="N329" s="586"/>
      <c r="O329" s="586"/>
      <c r="P329" s="586"/>
      <c r="Q329" s="586"/>
      <c r="R329" s="586"/>
      <c r="S329" s="586" t="b">
        <v>1</v>
      </c>
      <c r="T329" s="586"/>
      <c r="U329" s="586"/>
      <c r="V329" s="586"/>
      <c r="W329" s="586" t="b">
        <v>1</v>
      </c>
      <c r="X329" s="586"/>
      <c r="Y329" s="586"/>
      <c r="Z329" s="586"/>
      <c r="AA329" s="586" t="b">
        <v>1</v>
      </c>
      <c r="AB329" s="586"/>
      <c r="AC329" s="586" t="b">
        <v>1</v>
      </c>
      <c r="AD329" s="586"/>
      <c r="AE329" s="586"/>
      <c r="AF329" s="586"/>
      <c r="AG329" s="586"/>
      <c r="AH329" s="586"/>
      <c r="AI329" s="586"/>
      <c r="AJ329" s="586"/>
      <c r="AK329" s="586"/>
      <c r="AL329" s="496"/>
      <c r="AM329" s="496"/>
      <c r="AN329" s="30" t="b">
        <f t="shared" si="30"/>
        <v>1</v>
      </c>
      <c r="AO329" s="17"/>
      <c r="AP329" s="9"/>
      <c r="AQ329" s="9"/>
      <c r="AR329" s="9"/>
    </row>
    <row r="330" spans="1:44" customFormat="1" ht="12" customHeight="1" outlineLevel="1" x14ac:dyDescent="0.25">
      <c r="A330" s="7"/>
      <c r="B330" s="8"/>
      <c r="C330" s="18"/>
      <c r="D330" s="18"/>
      <c r="E330" s="18"/>
      <c r="F330" s="24"/>
      <c r="G330" s="551"/>
      <c r="H330" s="25"/>
      <c r="I330" s="514" t="str">
        <f>General!G41</f>
        <v>i</v>
      </c>
      <c r="J330" s="586"/>
      <c r="K330" s="586"/>
      <c r="L330" s="586"/>
      <c r="M330" s="586"/>
      <c r="N330" s="586"/>
      <c r="O330" s="586"/>
      <c r="P330" s="586"/>
      <c r="Q330" s="586"/>
      <c r="R330" s="586"/>
      <c r="S330" s="586"/>
      <c r="T330" s="586"/>
      <c r="U330" s="586"/>
      <c r="V330" s="586"/>
      <c r="W330" s="586"/>
      <c r="X330" s="586"/>
      <c r="Y330" s="586"/>
      <c r="Z330" s="586"/>
      <c r="AA330" s="586"/>
      <c r="AB330" s="586"/>
      <c r="AC330" s="586"/>
      <c r="AD330" s="586"/>
      <c r="AE330" s="586"/>
      <c r="AF330" s="586"/>
      <c r="AG330" s="586"/>
      <c r="AH330" s="586"/>
      <c r="AI330" s="586"/>
      <c r="AJ330" s="586" t="b">
        <v>1</v>
      </c>
      <c r="AK330" s="586"/>
      <c r="AL330" s="496"/>
      <c r="AM330" s="496"/>
      <c r="AN330" s="30" t="b">
        <f t="shared" si="30"/>
        <v>1</v>
      </c>
      <c r="AO330" s="17"/>
      <c r="AP330" s="9"/>
      <c r="AQ330" s="9"/>
      <c r="AR330" s="9"/>
    </row>
    <row r="331" spans="1:44" customFormat="1" ht="12" customHeight="1" outlineLevel="1" x14ac:dyDescent="0.25">
      <c r="A331" s="7"/>
      <c r="B331" s="8"/>
      <c r="C331" s="18"/>
      <c r="D331" s="18"/>
      <c r="E331" s="18"/>
      <c r="F331" s="24"/>
      <c r="G331" s="551"/>
      <c r="H331" s="25"/>
      <c r="I331" s="514" t="str">
        <f>General!G42</f>
        <v>k</v>
      </c>
      <c r="J331" s="586"/>
      <c r="K331" s="586"/>
      <c r="L331" s="586"/>
      <c r="M331" s="586"/>
      <c r="N331" s="586"/>
      <c r="O331" s="586"/>
      <c r="P331" s="586"/>
      <c r="Q331" s="586"/>
      <c r="R331" s="586"/>
      <c r="S331" s="586"/>
      <c r="T331" s="586"/>
      <c r="U331" s="586"/>
      <c r="V331" s="586"/>
      <c r="W331" s="586"/>
      <c r="X331" s="586"/>
      <c r="Y331" s="586"/>
      <c r="Z331" s="586"/>
      <c r="AA331" s="586"/>
      <c r="AB331" s="586"/>
      <c r="AC331" s="586"/>
      <c r="AD331" s="586"/>
      <c r="AE331" s="586"/>
      <c r="AF331" s="586"/>
      <c r="AG331" s="586"/>
      <c r="AH331" s="586"/>
      <c r="AI331" s="586"/>
      <c r="AJ331" s="586" t="b">
        <v>1</v>
      </c>
      <c r="AK331" s="586"/>
      <c r="AL331" s="496"/>
      <c r="AM331" s="496"/>
      <c r="AN331" s="30" t="b">
        <f t="shared" si="30"/>
        <v>1</v>
      </c>
      <c r="AO331" s="17"/>
      <c r="AP331" s="9"/>
      <c r="AQ331" s="9"/>
      <c r="AR331" s="9"/>
    </row>
    <row r="332" spans="1:44" customFormat="1" ht="12" customHeight="1" outlineLevel="1" x14ac:dyDescent="0.25">
      <c r="A332" s="7"/>
      <c r="B332" s="8"/>
      <c r="C332" s="18"/>
      <c r="D332" s="18"/>
      <c r="E332" s="18"/>
      <c r="F332" s="24"/>
      <c r="G332" s="551"/>
      <c r="H332" s="25"/>
      <c r="I332" s="514" t="str">
        <f>General!G43</f>
        <v>l</v>
      </c>
      <c r="J332" s="586"/>
      <c r="K332" s="586"/>
      <c r="L332" s="586"/>
      <c r="M332" s="586"/>
      <c r="N332" s="586"/>
      <c r="O332" s="586"/>
      <c r="P332" s="586"/>
      <c r="Q332" s="586"/>
      <c r="R332" s="586"/>
      <c r="S332" s="586"/>
      <c r="T332" s="586"/>
      <c r="U332" s="586"/>
      <c r="V332" s="586"/>
      <c r="W332" s="586"/>
      <c r="X332" s="586"/>
      <c r="Y332" s="586"/>
      <c r="Z332" s="586"/>
      <c r="AA332" s="586"/>
      <c r="AB332" s="586"/>
      <c r="AC332" s="586"/>
      <c r="AD332" s="586"/>
      <c r="AE332" s="586"/>
      <c r="AF332" s="586"/>
      <c r="AG332" s="586"/>
      <c r="AH332" s="586"/>
      <c r="AI332" s="586"/>
      <c r="AJ332" s="586" t="b">
        <v>1</v>
      </c>
      <c r="AK332" s="586"/>
      <c r="AL332" s="496"/>
      <c r="AM332" s="496"/>
      <c r="AN332" s="30" t="b">
        <f t="shared" si="30"/>
        <v>1</v>
      </c>
      <c r="AO332" s="17"/>
      <c r="AP332" s="9"/>
      <c r="AQ332" s="9"/>
      <c r="AR332" s="9"/>
    </row>
    <row r="333" spans="1:44" customFormat="1" ht="12" customHeight="1" outlineLevel="1" x14ac:dyDescent="0.25">
      <c r="A333" s="7"/>
      <c r="B333" s="8"/>
      <c r="C333" s="18"/>
      <c r="D333" s="18"/>
      <c r="E333" s="18"/>
      <c r="F333" s="24"/>
      <c r="G333" s="551"/>
      <c r="H333" s="25"/>
      <c r="I333" s="514" t="str">
        <f>General!G44</f>
        <v>lf</v>
      </c>
      <c r="J333" s="586"/>
      <c r="K333" s="586"/>
      <c r="L333" s="586"/>
      <c r="M333" s="586"/>
      <c r="N333" s="586"/>
      <c r="O333" s="586"/>
      <c r="P333" s="586"/>
      <c r="Q333" s="586"/>
      <c r="R333" s="586"/>
      <c r="S333" s="586"/>
      <c r="T333" s="586"/>
      <c r="U333" s="586"/>
      <c r="V333" s="586"/>
      <c r="W333" s="586"/>
      <c r="X333" s="586"/>
      <c r="Y333" s="586"/>
      <c r="Z333" s="586"/>
      <c r="AA333" s="586"/>
      <c r="AB333" s="586"/>
      <c r="AC333" s="586"/>
      <c r="AD333" s="586"/>
      <c r="AE333" s="586"/>
      <c r="AF333" s="586"/>
      <c r="AG333" s="586"/>
      <c r="AH333" s="586"/>
      <c r="AI333" s="586"/>
      <c r="AJ333" s="586" t="b">
        <v>1</v>
      </c>
      <c r="AK333" s="586"/>
      <c r="AL333" s="496"/>
      <c r="AM333" s="496"/>
      <c r="AN333" s="30" t="b">
        <f t="shared" ref="AN333" si="31">OR(J333:AK333)</f>
        <v>1</v>
      </c>
      <c r="AO333" s="17"/>
      <c r="AP333" s="9"/>
      <c r="AQ333" s="9"/>
      <c r="AR333" s="9"/>
    </row>
    <row r="334" spans="1:44" customFormat="1" ht="12" customHeight="1" outlineLevel="1" x14ac:dyDescent="0.25">
      <c r="A334" s="7"/>
      <c r="B334" s="8"/>
      <c r="C334" s="18"/>
      <c r="D334" s="18"/>
      <c r="E334" s="18"/>
      <c r="F334" s="24"/>
      <c r="G334" s="551"/>
      <c r="H334" s="25"/>
      <c r="I334" s="514" t="str">
        <f>General!G45</f>
        <v>ms</v>
      </c>
      <c r="J334" s="586"/>
      <c r="K334" s="586"/>
      <c r="L334" s="586"/>
      <c r="M334" s="586"/>
      <c r="N334" s="586"/>
      <c r="O334" s="586"/>
      <c r="P334" s="586"/>
      <c r="Q334" s="586"/>
      <c r="R334" s="586"/>
      <c r="S334" s="586" t="b">
        <v>1</v>
      </c>
      <c r="T334" s="586"/>
      <c r="U334" s="586" t="b">
        <v>1</v>
      </c>
      <c r="V334" s="586"/>
      <c r="W334" s="586" t="b">
        <v>1</v>
      </c>
      <c r="X334" s="586"/>
      <c r="Y334" s="586" t="b">
        <v>1</v>
      </c>
      <c r="Z334" s="586"/>
      <c r="AA334" s="586" t="b">
        <v>1</v>
      </c>
      <c r="AB334" s="586"/>
      <c r="AC334" s="586" t="b">
        <v>1</v>
      </c>
      <c r="AD334" s="586"/>
      <c r="AE334" s="586"/>
      <c r="AF334" s="586"/>
      <c r="AG334" s="586"/>
      <c r="AH334" s="586"/>
      <c r="AI334" s="586"/>
      <c r="AJ334" s="586" t="b">
        <v>1</v>
      </c>
      <c r="AK334" s="586"/>
      <c r="AL334" s="496"/>
      <c r="AM334" s="496"/>
      <c r="AN334" s="30"/>
      <c r="AO334" s="17"/>
      <c r="AP334" s="9"/>
      <c r="AQ334" s="9"/>
      <c r="AR334" s="9"/>
    </row>
    <row r="335" spans="1:44" customFormat="1" ht="12" customHeight="1" outlineLevel="1" x14ac:dyDescent="0.25">
      <c r="A335" s="7"/>
      <c r="B335" s="8"/>
      <c r="C335" s="18"/>
      <c r="D335" s="18"/>
      <c r="E335" s="18"/>
      <c r="F335" s="24"/>
      <c r="G335" s="551"/>
      <c r="H335" s="25"/>
      <c r="I335" s="514" t="str">
        <f>General!G46</f>
        <v>o</v>
      </c>
      <c r="J335" s="586"/>
      <c r="K335" s="586"/>
      <c r="L335" s="586"/>
      <c r="M335" s="586"/>
      <c r="N335" s="586"/>
      <c r="O335" s="586"/>
      <c r="P335" s="586"/>
      <c r="Q335" s="586"/>
      <c r="R335" s="586"/>
      <c r="S335" s="586" t="b">
        <v>1</v>
      </c>
      <c r="T335" s="586"/>
      <c r="U335" s="586"/>
      <c r="V335" s="586"/>
      <c r="W335" s="586" t="b">
        <v>1</v>
      </c>
      <c r="X335" s="586"/>
      <c r="Y335" s="586"/>
      <c r="Z335" s="586"/>
      <c r="AA335" s="586" t="b">
        <v>1</v>
      </c>
      <c r="AB335" s="586"/>
      <c r="AC335" s="586" t="b">
        <v>1</v>
      </c>
      <c r="AD335" s="586"/>
      <c r="AE335" s="586"/>
      <c r="AF335" s="586"/>
      <c r="AG335" s="586"/>
      <c r="AH335" s="586"/>
      <c r="AI335" s="586"/>
      <c r="AJ335" s="586"/>
      <c r="AK335" s="586"/>
      <c r="AL335" s="496"/>
      <c r="AM335" s="496"/>
      <c r="AN335" s="30" t="b">
        <f t="shared" si="30"/>
        <v>1</v>
      </c>
      <c r="AO335" s="17"/>
      <c r="AP335" s="9"/>
      <c r="AQ335" s="9"/>
      <c r="AR335" s="9"/>
    </row>
    <row r="336" spans="1:44" customFormat="1" ht="12" customHeight="1" outlineLevel="1" x14ac:dyDescent="0.25">
      <c r="A336" s="7"/>
      <c r="B336" s="8"/>
      <c r="C336" s="18"/>
      <c r="D336" s="18"/>
      <c r="E336" s="18"/>
      <c r="F336" s="24"/>
      <c r="G336" s="551"/>
      <c r="H336" s="25"/>
      <c r="I336" s="514" t="str">
        <f>General!G47</f>
        <v>od</v>
      </c>
      <c r="J336" s="586"/>
      <c r="K336" s="586"/>
      <c r="L336" s="586"/>
      <c r="M336" s="586"/>
      <c r="N336" s="586"/>
      <c r="O336" s="586"/>
      <c r="P336" s="586"/>
      <c r="Q336" s="586"/>
      <c r="R336" s="586"/>
      <c r="S336" s="586" t="b">
        <v>1</v>
      </c>
      <c r="T336" s="586"/>
      <c r="U336" s="586"/>
      <c r="V336" s="586"/>
      <c r="W336" s="586" t="b">
        <v>1</v>
      </c>
      <c r="X336" s="586"/>
      <c r="Y336" s="586"/>
      <c r="Z336" s="586"/>
      <c r="AA336" s="586" t="b">
        <v>1</v>
      </c>
      <c r="AB336" s="586"/>
      <c r="AC336" s="586" t="b">
        <v>1</v>
      </c>
      <c r="AD336" s="586"/>
      <c r="AE336" s="586"/>
      <c r="AF336" s="586"/>
      <c r="AG336" s="586"/>
      <c r="AH336" s="586"/>
      <c r="AI336" s="586"/>
      <c r="AJ336" s="586"/>
      <c r="AK336" s="586"/>
      <c r="AL336" s="496"/>
      <c r="AM336" s="496"/>
      <c r="AN336" s="30" t="b">
        <f t="shared" si="30"/>
        <v>1</v>
      </c>
      <c r="AO336" s="17"/>
      <c r="AP336" s="9"/>
      <c r="AQ336" s="9"/>
      <c r="AR336" s="9"/>
    </row>
    <row r="337" spans="1:44" customFormat="1" ht="12" customHeight="1" outlineLevel="1" x14ac:dyDescent="0.25">
      <c r="A337" s="7"/>
      <c r="B337" s="8"/>
      <c r="C337" s="18"/>
      <c r="D337" s="18"/>
      <c r="E337" s="18"/>
      <c r="F337" s="24"/>
      <c r="G337" s="551"/>
      <c r="H337" s="25"/>
      <c r="I337" s="514" t="str">
        <f>General!G48</f>
        <v>of</v>
      </c>
      <c r="J337" s="586"/>
      <c r="K337" s="586"/>
      <c r="L337" s="586"/>
      <c r="M337" s="586"/>
      <c r="N337" s="586"/>
      <c r="O337" s="586"/>
      <c r="P337" s="586"/>
      <c r="Q337" s="586"/>
      <c r="R337" s="586"/>
      <c r="S337" s="586" t="b">
        <v>1</v>
      </c>
      <c r="T337" s="586"/>
      <c r="U337" s="586"/>
      <c r="V337" s="586"/>
      <c r="W337" s="586" t="b">
        <v>1</v>
      </c>
      <c r="X337" s="586"/>
      <c r="Y337" s="586"/>
      <c r="Z337" s="586"/>
      <c r="AA337" s="586" t="b">
        <v>1</v>
      </c>
      <c r="AB337" s="586"/>
      <c r="AC337" s="586" t="b">
        <v>1</v>
      </c>
      <c r="AD337" s="586"/>
      <c r="AE337" s="586"/>
      <c r="AF337" s="586"/>
      <c r="AG337" s="586"/>
      <c r="AH337" s="586"/>
      <c r="AI337" s="586"/>
      <c r="AJ337" s="586"/>
      <c r="AK337" s="586"/>
      <c r="AL337" s="496"/>
      <c r="AM337" s="496"/>
      <c r="AN337" s="30" t="b">
        <f t="shared" si="30"/>
        <v>1</v>
      </c>
      <c r="AO337" s="17"/>
      <c r="AP337" s="9"/>
      <c r="AQ337" s="9"/>
      <c r="AR337" s="9"/>
    </row>
    <row r="338" spans="1:44" customFormat="1" ht="12" customHeight="1" outlineLevel="1" x14ac:dyDescent="0.25">
      <c r="A338" s="7"/>
      <c r="B338" s="8"/>
      <c r="C338" s="18"/>
      <c r="D338" s="18"/>
      <c r="E338" s="18"/>
      <c r="F338" s="24"/>
      <c r="G338" s="551"/>
      <c r="H338" s="25"/>
      <c r="I338" s="514" t="str">
        <f>General!G49</f>
        <v>r</v>
      </c>
      <c r="J338" s="586"/>
      <c r="K338" s="586"/>
      <c r="L338" s="586"/>
      <c r="M338" s="586"/>
      <c r="N338" s="586"/>
      <c r="O338" s="586"/>
      <c r="P338" s="586"/>
      <c r="Q338" s="586"/>
      <c r="R338" s="586"/>
      <c r="S338" s="586"/>
      <c r="T338" s="586"/>
      <c r="U338" s="586" t="b">
        <v>1</v>
      </c>
      <c r="V338" s="586"/>
      <c r="W338" s="586"/>
      <c r="X338" s="586"/>
      <c r="Y338" s="586" t="b">
        <v>1</v>
      </c>
      <c r="Z338" s="586"/>
      <c r="AA338" s="586"/>
      <c r="AB338" s="586"/>
      <c r="AC338" s="586"/>
      <c r="AD338" s="586"/>
      <c r="AE338" s="586"/>
      <c r="AF338" s="586"/>
      <c r="AG338" s="586"/>
      <c r="AH338" s="586"/>
      <c r="AI338" s="586"/>
      <c r="AJ338" s="586"/>
      <c r="AK338" s="586"/>
      <c r="AL338" s="496"/>
      <c r="AM338" s="496"/>
      <c r="AN338" s="30" t="b">
        <f t="shared" si="30"/>
        <v>1</v>
      </c>
      <c r="AO338" s="17"/>
      <c r="AP338" s="9"/>
      <c r="AQ338" s="9"/>
      <c r="AR338" s="9"/>
    </row>
    <row r="339" spans="1:44" customFormat="1" ht="12" customHeight="1" outlineLevel="1" x14ac:dyDescent="0.25">
      <c r="A339" s="7"/>
      <c r="B339" s="8"/>
      <c r="C339" s="18"/>
      <c r="D339" s="18"/>
      <c r="E339" s="18"/>
      <c r="F339" s="24"/>
      <c r="G339" s="551"/>
      <c r="H339" s="25"/>
      <c r="I339" s="514" t="str">
        <f>General!G50</f>
        <v>rd</v>
      </c>
      <c r="J339" s="586"/>
      <c r="K339" s="586"/>
      <c r="L339" s="586"/>
      <c r="M339" s="586"/>
      <c r="N339" s="586"/>
      <c r="O339" s="586"/>
      <c r="P339" s="586"/>
      <c r="Q339" s="586"/>
      <c r="R339" s="586"/>
      <c r="S339" s="586"/>
      <c r="T339" s="586"/>
      <c r="U339" s="586" t="b">
        <v>1</v>
      </c>
      <c r="V339" s="586"/>
      <c r="W339" s="586"/>
      <c r="X339" s="586"/>
      <c r="Y339" s="586" t="b">
        <v>1</v>
      </c>
      <c r="Z339" s="586"/>
      <c r="AA339" s="586"/>
      <c r="AB339" s="586"/>
      <c r="AC339" s="586"/>
      <c r="AD339" s="586"/>
      <c r="AE339" s="586"/>
      <c r="AF339" s="586"/>
      <c r="AG339" s="586"/>
      <c r="AH339" s="586"/>
      <c r="AI339" s="586"/>
      <c r="AJ339" s="586"/>
      <c r="AK339" s="586"/>
      <c r="AL339" s="496"/>
      <c r="AM339" s="496"/>
      <c r="AN339" s="30" t="b">
        <f t="shared" si="30"/>
        <v>1</v>
      </c>
      <c r="AO339" s="17"/>
      <c r="AP339" s="9"/>
      <c r="AQ339" s="9"/>
      <c r="AR339" s="9"/>
    </row>
    <row r="340" spans="1:44" customFormat="1" ht="12" customHeight="1" outlineLevel="1" x14ac:dyDescent="0.25">
      <c r="A340" s="7"/>
      <c r="B340" s="8"/>
      <c r="C340" s="18"/>
      <c r="D340" s="18"/>
      <c r="E340" s="18"/>
      <c r="F340" s="24"/>
      <c r="G340" s="551"/>
      <c r="H340" s="25"/>
      <c r="I340" s="514" t="str">
        <f>General!G51</f>
        <v>v</v>
      </c>
      <c r="J340" s="586"/>
      <c r="K340" s="586"/>
      <c r="L340" s="586"/>
      <c r="M340" s="586"/>
      <c r="N340" s="586"/>
      <c r="O340" s="586"/>
      <c r="P340" s="586"/>
      <c r="Q340" s="586"/>
      <c r="R340" s="586"/>
      <c r="S340" s="586"/>
      <c r="T340" s="586"/>
      <c r="U340" s="586"/>
      <c r="V340" s="586"/>
      <c r="W340" s="586"/>
      <c r="X340" s="586"/>
      <c r="Y340" s="586"/>
      <c r="Z340" s="586"/>
      <c r="AA340" s="586"/>
      <c r="AB340" s="586"/>
      <c r="AC340" s="586"/>
      <c r="AD340" s="586"/>
      <c r="AE340" s="586"/>
      <c r="AF340" s="586"/>
      <c r="AG340" s="586"/>
      <c r="AH340" s="586"/>
      <c r="AI340" s="586"/>
      <c r="AJ340" s="586" t="b">
        <v>1</v>
      </c>
      <c r="AK340" s="586"/>
      <c r="AL340" s="496"/>
      <c r="AM340" s="496"/>
      <c r="AN340" s="30" t="b">
        <f t="shared" si="30"/>
        <v>1</v>
      </c>
      <c r="AO340" s="17"/>
      <c r="AP340" s="9"/>
      <c r="AQ340" s="9"/>
      <c r="AR340" s="9"/>
    </row>
    <row r="341" spans="1:44" customFormat="1" ht="12" customHeight="1" outlineLevel="1" x14ac:dyDescent="0.25">
      <c r="A341" s="7"/>
      <c r="B341" s="8"/>
      <c r="C341" s="18"/>
      <c r="D341" s="18"/>
      <c r="E341" s="18"/>
      <c r="F341" s="24"/>
      <c r="G341" s="551"/>
      <c r="H341" s="25"/>
      <c r="I341" s="514" t="str">
        <f>General!G52</f>
        <v>w</v>
      </c>
      <c r="J341" s="586"/>
      <c r="K341" s="586"/>
      <c r="L341" s="586"/>
      <c r="M341" s="586"/>
      <c r="N341" s="586"/>
      <c r="O341" s="586"/>
      <c r="P341" s="586"/>
      <c r="Q341" s="586"/>
      <c r="R341" s="586"/>
      <c r="S341" s="586"/>
      <c r="T341" s="586"/>
      <c r="U341" s="586"/>
      <c r="V341" s="586"/>
      <c r="W341" s="586" t="b">
        <v>1</v>
      </c>
      <c r="X341" s="586"/>
      <c r="Y341" s="586"/>
      <c r="Z341" s="586"/>
      <c r="AA341" s="586" t="b">
        <v>1</v>
      </c>
      <c r="AB341" s="586"/>
      <c r="AC341" s="586" t="b">
        <v>1</v>
      </c>
      <c r="AD341" s="586"/>
      <c r="AE341" s="586"/>
      <c r="AF341" s="586"/>
      <c r="AG341" s="586"/>
      <c r="AH341" s="586"/>
      <c r="AI341" s="586"/>
      <c r="AJ341" s="586"/>
      <c r="AK341" s="586"/>
      <c r="AL341" s="496"/>
      <c r="AM341" s="496"/>
      <c r="AN341" s="30" t="b">
        <f t="shared" si="30"/>
        <v>1</v>
      </c>
      <c r="AO341" s="17"/>
      <c r="AP341" s="9"/>
      <c r="AQ341" s="9"/>
      <c r="AR341" s="9"/>
    </row>
    <row r="342" spans="1:44" customFormat="1" outlineLevel="1" x14ac:dyDescent="0.25">
      <c r="A342" s="7"/>
      <c r="B342" s="8"/>
      <c r="C342" s="18"/>
      <c r="D342" s="18"/>
      <c r="E342" s="18"/>
      <c r="F342" s="24"/>
      <c r="G342" s="551"/>
      <c r="H342" s="25"/>
      <c r="I342" s="514" t="str">
        <f>General!G53</f>
        <v>wd</v>
      </c>
      <c r="J342" s="586"/>
      <c r="K342" s="586"/>
      <c r="L342" s="586"/>
      <c r="M342" s="586"/>
      <c r="N342" s="586"/>
      <c r="O342" s="586"/>
      <c r="P342" s="586"/>
      <c r="Q342" s="586"/>
      <c r="R342" s="586"/>
      <c r="S342" s="586"/>
      <c r="T342" s="586"/>
      <c r="U342" s="586"/>
      <c r="V342" s="586"/>
      <c r="W342" s="586" t="b">
        <v>1</v>
      </c>
      <c r="X342" s="586"/>
      <c r="Y342" s="586"/>
      <c r="Z342" s="586"/>
      <c r="AA342" s="586" t="b">
        <v>1</v>
      </c>
      <c r="AB342" s="586"/>
      <c r="AC342" s="586" t="b">
        <v>1</v>
      </c>
      <c r="AD342" s="586"/>
      <c r="AE342" s="586"/>
      <c r="AF342" s="586"/>
      <c r="AG342" s="586"/>
      <c r="AH342" s="586"/>
      <c r="AI342" s="586"/>
      <c r="AJ342" s="586"/>
      <c r="AK342" s="586"/>
      <c r="AL342" s="496"/>
      <c r="AM342" s="496"/>
      <c r="AN342" s="30" t="b">
        <f t="shared" si="30"/>
        <v>1</v>
      </c>
      <c r="AO342" s="17"/>
      <c r="AP342" s="9"/>
      <c r="AQ342" s="9"/>
      <c r="AR342" s="9"/>
    </row>
    <row r="343" spans="1:44" customFormat="1" outlineLevel="1" x14ac:dyDescent="0.25">
      <c r="A343" s="7"/>
      <c r="B343" s="8"/>
      <c r="C343" s="18"/>
      <c r="D343" s="18"/>
      <c r="E343" s="18"/>
      <c r="F343" s="24"/>
      <c r="G343" s="551"/>
      <c r="H343" s="24"/>
      <c r="I343" s="514" t="str">
        <f>General!G54</f>
        <v>z</v>
      </c>
      <c r="J343" s="586"/>
      <c r="K343" s="586"/>
      <c r="L343" s="586"/>
      <c r="M343" s="586"/>
      <c r="N343" s="586"/>
      <c r="O343" s="586"/>
      <c r="P343" s="586"/>
      <c r="Q343" s="586"/>
      <c r="R343" s="586"/>
      <c r="S343" s="586"/>
      <c r="T343" s="586"/>
      <c r="U343" s="586" t="b">
        <v>1</v>
      </c>
      <c r="V343" s="586"/>
      <c r="W343" s="586"/>
      <c r="X343" s="586"/>
      <c r="Y343" s="586" t="b">
        <v>1</v>
      </c>
      <c r="Z343" s="586"/>
      <c r="AA343" s="586"/>
      <c r="AB343" s="586"/>
      <c r="AC343" s="586"/>
      <c r="AD343" s="586"/>
      <c r="AE343" s="586"/>
      <c r="AF343" s="586"/>
      <c r="AG343" s="586"/>
      <c r="AH343" s="586"/>
      <c r="AI343" s="586"/>
      <c r="AJ343" s="586"/>
      <c r="AK343" s="586"/>
      <c r="AL343" s="496"/>
      <c r="AM343" s="496"/>
      <c r="AN343" s="30" t="b">
        <f t="shared" si="30"/>
        <v>1</v>
      </c>
      <c r="AO343" s="17"/>
      <c r="AP343" s="9"/>
      <c r="AQ343" s="9"/>
      <c r="AR343" s="9"/>
    </row>
    <row r="344" spans="1:44" customFormat="1" outlineLevel="1" x14ac:dyDescent="0.25">
      <c r="A344" s="7"/>
      <c r="B344" s="8"/>
      <c r="C344" s="18"/>
      <c r="D344" s="18"/>
      <c r="E344" s="18"/>
      <c r="F344" s="24"/>
      <c r="G344" s="551"/>
      <c r="H344" s="24"/>
      <c r="I344" s="514" t="str">
        <f>General!G55</f>
        <v>zd</v>
      </c>
      <c r="J344" s="586"/>
      <c r="K344" s="586"/>
      <c r="L344" s="586"/>
      <c r="M344" s="586"/>
      <c r="N344" s="586"/>
      <c r="O344" s="586"/>
      <c r="P344" s="586"/>
      <c r="Q344" s="586"/>
      <c r="R344" s="586"/>
      <c r="S344" s="586"/>
      <c r="T344" s="586"/>
      <c r="U344" s="586" t="b">
        <v>1</v>
      </c>
      <c r="V344" s="586"/>
      <c r="W344" s="586"/>
      <c r="X344" s="586"/>
      <c r="Y344" s="586" t="b">
        <v>1</v>
      </c>
      <c r="Z344" s="586"/>
      <c r="AA344" s="586"/>
      <c r="AB344" s="586"/>
      <c r="AC344" s="586"/>
      <c r="AD344" s="586"/>
      <c r="AE344" s="586"/>
      <c r="AF344" s="586"/>
      <c r="AG344" s="586"/>
      <c r="AH344" s="586"/>
      <c r="AI344" s="586"/>
      <c r="AJ344" s="586"/>
      <c r="AK344" s="586"/>
      <c r="AL344" s="496"/>
      <c r="AM344" s="496"/>
      <c r="AN344" s="30" t="b">
        <f t="shared" si="30"/>
        <v>1</v>
      </c>
      <c r="AO344" s="17"/>
      <c r="AP344" s="9"/>
      <c r="AQ344" s="9"/>
      <c r="AR344" s="9"/>
    </row>
    <row r="345" spans="1:44" customFormat="1" ht="12" customHeight="1" outlineLevel="1" x14ac:dyDescent="0.25">
      <c r="A345" s="7"/>
      <c r="B345" s="8"/>
      <c r="C345" s="18">
        <v>1</v>
      </c>
      <c r="D345" s="18"/>
      <c r="E345" s="18"/>
      <c r="F345" s="24"/>
      <c r="G345" s="551"/>
      <c r="H345" s="25" t="s">
        <v>2329</v>
      </c>
      <c r="I345" s="514" t="str">
        <f>General!G37</f>
        <v>b</v>
      </c>
      <c r="J345" s="586"/>
      <c r="K345" s="586"/>
      <c r="L345" s="586"/>
      <c r="M345" s="586"/>
      <c r="N345" s="586"/>
      <c r="O345" s="586"/>
      <c r="P345" s="586"/>
      <c r="Q345" s="586"/>
      <c r="R345" s="586"/>
      <c r="S345" s="586"/>
      <c r="T345" s="586"/>
      <c r="U345" s="586"/>
      <c r="V345" s="586"/>
      <c r="W345" s="586"/>
      <c r="X345" s="586"/>
      <c r="Y345" s="586"/>
      <c r="Z345" s="586"/>
      <c r="AA345" s="586"/>
      <c r="AB345" s="586"/>
      <c r="AC345" s="586"/>
      <c r="AD345" s="586"/>
      <c r="AE345" s="586"/>
      <c r="AF345" s="586"/>
      <c r="AG345" s="586"/>
      <c r="AH345" s="586"/>
      <c r="AI345" s="586"/>
      <c r="AJ345" s="586"/>
      <c r="AK345" s="586" t="b">
        <v>1</v>
      </c>
      <c r="AL345" s="496"/>
      <c r="AM345" s="496"/>
      <c r="AN345" s="30" t="b">
        <f t="shared" si="30"/>
        <v>1</v>
      </c>
      <c r="AO345" s="17"/>
      <c r="AP345" s="9"/>
      <c r="AQ345" s="9"/>
      <c r="AR345" s="9"/>
    </row>
    <row r="346" spans="1:44" customFormat="1" ht="12" customHeight="1" outlineLevel="2" x14ac:dyDescent="0.25">
      <c r="A346" s="7"/>
      <c r="B346" s="8"/>
      <c r="C346" s="18"/>
      <c r="D346" s="18"/>
      <c r="E346" s="18"/>
      <c r="F346" s="24"/>
      <c r="G346" s="551"/>
      <c r="H346" s="25"/>
      <c r="I346" s="514" t="str">
        <f>General!G38</f>
        <v>bd</v>
      </c>
      <c r="J346" s="586"/>
      <c r="K346" s="586"/>
      <c r="L346" s="586"/>
      <c r="M346" s="586"/>
      <c r="N346" s="586"/>
      <c r="O346" s="586"/>
      <c r="P346" s="586"/>
      <c r="Q346" s="586"/>
      <c r="R346" s="586"/>
      <c r="S346" s="586"/>
      <c r="T346" s="586"/>
      <c r="U346" s="586"/>
      <c r="V346" s="586"/>
      <c r="W346" s="586"/>
      <c r="X346" s="586"/>
      <c r="Y346" s="586"/>
      <c r="Z346" s="586"/>
      <c r="AA346" s="586"/>
      <c r="AB346" s="586"/>
      <c r="AC346" s="586"/>
      <c r="AD346" s="586"/>
      <c r="AE346" s="586"/>
      <c r="AF346" s="586"/>
      <c r="AG346" s="586"/>
      <c r="AH346" s="586"/>
      <c r="AI346" s="586"/>
      <c r="AJ346" s="586"/>
      <c r="AK346" s="586" t="b">
        <v>1</v>
      </c>
      <c r="AL346" s="496"/>
      <c r="AM346" s="496"/>
      <c r="AN346" s="30" t="b">
        <f t="shared" si="30"/>
        <v>1</v>
      </c>
      <c r="AO346" s="17"/>
      <c r="AP346" s="9"/>
      <c r="AQ346" s="9"/>
      <c r="AR346" s="9"/>
    </row>
    <row r="347" spans="1:44" customFormat="1" ht="12" customHeight="1" outlineLevel="2" x14ac:dyDescent="0.25">
      <c r="A347" s="7"/>
      <c r="B347" s="8"/>
      <c r="C347" s="18"/>
      <c r="D347" s="18"/>
      <c r="E347" s="18"/>
      <c r="F347" s="24"/>
      <c r="G347" s="551"/>
      <c r="H347" s="25"/>
      <c r="I347" s="514" t="str">
        <f>General!G39</f>
        <v>f</v>
      </c>
      <c r="J347" s="586"/>
      <c r="K347" s="586"/>
      <c r="L347" s="586"/>
      <c r="M347" s="586"/>
      <c r="N347" s="586"/>
      <c r="O347" s="586"/>
      <c r="P347" s="586"/>
      <c r="Q347" s="586"/>
      <c r="R347" s="586"/>
      <c r="S347" s="586"/>
      <c r="T347" s="586"/>
      <c r="U347" s="586"/>
      <c r="V347" s="586"/>
      <c r="W347" s="586"/>
      <c r="X347" s="586"/>
      <c r="Y347" s="586"/>
      <c r="Z347" s="586"/>
      <c r="AA347" s="586"/>
      <c r="AB347" s="586"/>
      <c r="AC347" s="586"/>
      <c r="AD347" s="586"/>
      <c r="AE347" s="586" t="b">
        <v>1</v>
      </c>
      <c r="AF347" s="586" t="b">
        <v>1</v>
      </c>
      <c r="AG347" s="586"/>
      <c r="AH347" s="586"/>
      <c r="AI347" s="586"/>
      <c r="AJ347" s="586"/>
      <c r="AK347" s="586"/>
      <c r="AL347" s="496"/>
      <c r="AM347" s="496"/>
      <c r="AN347" s="30" t="b">
        <f t="shared" si="30"/>
        <v>1</v>
      </c>
      <c r="AO347" s="17"/>
      <c r="AP347" s="9"/>
      <c r="AQ347" s="9"/>
      <c r="AR347" s="9"/>
    </row>
    <row r="348" spans="1:44" customFormat="1" ht="12" customHeight="1" outlineLevel="2" x14ac:dyDescent="0.25">
      <c r="A348" s="7"/>
      <c r="B348" s="8"/>
      <c r="C348" s="18"/>
      <c r="D348" s="18"/>
      <c r="E348" s="18"/>
      <c r="F348" s="24"/>
      <c r="G348" s="551"/>
      <c r="H348" s="25"/>
      <c r="I348" s="514" t="str">
        <f>General!G40</f>
        <v>h</v>
      </c>
      <c r="J348" s="586"/>
      <c r="K348" s="586"/>
      <c r="L348" s="586"/>
      <c r="M348" s="586"/>
      <c r="N348" s="586"/>
      <c r="O348" s="586"/>
      <c r="P348" s="586"/>
      <c r="Q348" s="586"/>
      <c r="R348" s="586"/>
      <c r="S348" s="586"/>
      <c r="T348" s="586"/>
      <c r="U348" s="586"/>
      <c r="V348" s="586"/>
      <c r="W348" s="586"/>
      <c r="X348" s="586"/>
      <c r="Y348" s="586"/>
      <c r="Z348" s="586"/>
      <c r="AA348" s="586"/>
      <c r="AB348" s="586"/>
      <c r="AC348" s="586"/>
      <c r="AD348" s="586"/>
      <c r="AE348" s="586"/>
      <c r="AF348" s="586"/>
      <c r="AG348" s="586"/>
      <c r="AH348" s="586"/>
      <c r="AI348" s="586"/>
      <c r="AJ348" s="586"/>
      <c r="AK348" s="586" t="b">
        <v>1</v>
      </c>
      <c r="AL348" s="496"/>
      <c r="AM348" s="496"/>
      <c r="AN348" s="30" t="b">
        <f t="shared" si="30"/>
        <v>1</v>
      </c>
      <c r="AO348" s="17"/>
      <c r="AP348" s="9"/>
      <c r="AQ348" s="9"/>
      <c r="AR348" s="9"/>
    </row>
    <row r="349" spans="1:44" customFormat="1" ht="12" customHeight="1" outlineLevel="2" x14ac:dyDescent="0.25">
      <c r="A349" s="7"/>
      <c r="B349" s="8"/>
      <c r="C349" s="18"/>
      <c r="D349" s="18"/>
      <c r="E349" s="18"/>
      <c r="F349" s="24"/>
      <c r="G349" s="551"/>
      <c r="H349" s="25"/>
      <c r="I349" s="514" t="str">
        <f>General!G41</f>
        <v>i</v>
      </c>
      <c r="J349" s="586"/>
      <c r="K349" s="586"/>
      <c r="L349" s="586"/>
      <c r="M349" s="586"/>
      <c r="N349" s="586"/>
      <c r="O349" s="586"/>
      <c r="P349" s="586"/>
      <c r="Q349" s="586"/>
      <c r="R349" s="586"/>
      <c r="S349" s="586"/>
      <c r="T349" s="586"/>
      <c r="U349" s="586"/>
      <c r="V349" s="586"/>
      <c r="W349" s="586"/>
      <c r="X349" s="586"/>
      <c r="Y349" s="586"/>
      <c r="Z349" s="586"/>
      <c r="AA349" s="586"/>
      <c r="AB349" s="586"/>
      <c r="AC349" s="586"/>
      <c r="AD349" s="586"/>
      <c r="AE349" s="586" t="b">
        <v>1</v>
      </c>
      <c r="AF349" s="586" t="b">
        <v>1</v>
      </c>
      <c r="AG349" s="586"/>
      <c r="AH349" s="586"/>
      <c r="AI349" s="586"/>
      <c r="AJ349" s="586"/>
      <c r="AK349" s="586"/>
      <c r="AL349" s="496"/>
      <c r="AM349" s="496"/>
      <c r="AN349" s="30" t="b">
        <f t="shared" si="30"/>
        <v>1</v>
      </c>
      <c r="AO349" s="17"/>
      <c r="AP349" s="9"/>
      <c r="AQ349" s="9"/>
      <c r="AR349" s="9"/>
    </row>
    <row r="350" spans="1:44" customFormat="1" ht="12" customHeight="1" outlineLevel="2" x14ac:dyDescent="0.25">
      <c r="A350" s="7"/>
      <c r="B350" s="8"/>
      <c r="C350" s="18"/>
      <c r="D350" s="18"/>
      <c r="E350" s="18"/>
      <c r="F350" s="24"/>
      <c r="G350" s="551"/>
      <c r="H350" s="25"/>
      <c r="I350" s="514" t="str">
        <f>General!G42</f>
        <v>k</v>
      </c>
      <c r="J350" s="586"/>
      <c r="K350" s="586"/>
      <c r="L350" s="586"/>
      <c r="M350" s="586"/>
      <c r="N350" s="586"/>
      <c r="O350" s="586"/>
      <c r="P350" s="586"/>
      <c r="Q350" s="586"/>
      <c r="R350" s="586"/>
      <c r="S350" s="586"/>
      <c r="T350" s="586"/>
      <c r="U350" s="586"/>
      <c r="V350" s="586"/>
      <c r="W350" s="586"/>
      <c r="X350" s="586"/>
      <c r="Y350" s="586"/>
      <c r="Z350" s="586"/>
      <c r="AA350" s="586"/>
      <c r="AB350" s="586"/>
      <c r="AC350" s="586"/>
      <c r="AD350" s="586"/>
      <c r="AE350" s="586" t="b">
        <v>1</v>
      </c>
      <c r="AF350" s="586" t="b">
        <v>1</v>
      </c>
      <c r="AG350" s="586"/>
      <c r="AH350" s="586"/>
      <c r="AI350" s="586"/>
      <c r="AJ350" s="586"/>
      <c r="AK350" s="586"/>
      <c r="AL350" s="496"/>
      <c r="AM350" s="496"/>
      <c r="AN350" s="30" t="b">
        <f t="shared" si="30"/>
        <v>1</v>
      </c>
      <c r="AO350" s="17"/>
      <c r="AP350" s="9"/>
      <c r="AQ350" s="9"/>
      <c r="AR350" s="9"/>
    </row>
    <row r="351" spans="1:44" customFormat="1" ht="12" customHeight="1" outlineLevel="2" x14ac:dyDescent="0.25">
      <c r="A351" s="7"/>
      <c r="B351" s="8"/>
      <c r="C351" s="18"/>
      <c r="D351" s="18"/>
      <c r="E351" s="18"/>
      <c r="F351" s="24"/>
      <c r="G351" s="551"/>
      <c r="H351" s="25"/>
      <c r="I351" s="514" t="str">
        <f>General!G43</f>
        <v>l</v>
      </c>
      <c r="J351" s="586"/>
      <c r="K351" s="586"/>
      <c r="L351" s="586"/>
      <c r="M351" s="586"/>
      <c r="N351" s="586"/>
      <c r="O351" s="586"/>
      <c r="P351" s="586"/>
      <c r="Q351" s="586"/>
      <c r="R351" s="586"/>
      <c r="S351" s="586"/>
      <c r="T351" s="586"/>
      <c r="U351" s="586"/>
      <c r="V351" s="586"/>
      <c r="W351" s="586"/>
      <c r="X351" s="586"/>
      <c r="Y351" s="586"/>
      <c r="Z351" s="586"/>
      <c r="AA351" s="586"/>
      <c r="AB351" s="586"/>
      <c r="AC351" s="586"/>
      <c r="AD351" s="586"/>
      <c r="AE351" s="586" t="b">
        <v>1</v>
      </c>
      <c r="AF351" s="586" t="b">
        <v>1</v>
      </c>
      <c r="AG351" s="586"/>
      <c r="AH351" s="586"/>
      <c r="AI351" s="586"/>
      <c r="AJ351" s="586"/>
      <c r="AK351" s="586"/>
      <c r="AL351" s="496"/>
      <c r="AM351" s="496"/>
      <c r="AN351" s="30" t="b">
        <f t="shared" si="30"/>
        <v>1</v>
      </c>
      <c r="AO351" s="17"/>
      <c r="AP351" s="9"/>
      <c r="AQ351" s="9"/>
      <c r="AR351" s="9"/>
    </row>
    <row r="352" spans="1:44" customFormat="1" ht="12" customHeight="1" outlineLevel="2" x14ac:dyDescent="0.25">
      <c r="A352" s="7"/>
      <c r="B352" s="8"/>
      <c r="C352" s="18"/>
      <c r="D352" s="18"/>
      <c r="E352" s="18"/>
      <c r="F352" s="24"/>
      <c r="G352" s="551"/>
      <c r="H352" s="25"/>
      <c r="I352" s="514" t="str">
        <f>General!G44</f>
        <v>lf</v>
      </c>
      <c r="J352" s="586"/>
      <c r="K352" s="586"/>
      <c r="L352" s="586"/>
      <c r="M352" s="586"/>
      <c r="N352" s="586"/>
      <c r="O352" s="586"/>
      <c r="P352" s="586"/>
      <c r="Q352" s="586"/>
      <c r="R352" s="586"/>
      <c r="S352" s="586"/>
      <c r="T352" s="586"/>
      <c r="U352" s="586"/>
      <c r="V352" s="586"/>
      <c r="W352" s="586"/>
      <c r="X352" s="586"/>
      <c r="Y352" s="586"/>
      <c r="Z352" s="586"/>
      <c r="AA352" s="586"/>
      <c r="AB352" s="586"/>
      <c r="AC352" s="586"/>
      <c r="AD352" s="586"/>
      <c r="AE352" s="586" t="b">
        <v>1</v>
      </c>
      <c r="AF352" s="586" t="b">
        <v>1</v>
      </c>
      <c r="AG352" s="586"/>
      <c r="AH352" s="586"/>
      <c r="AI352" s="586"/>
      <c r="AJ352" s="586"/>
      <c r="AK352" s="586"/>
      <c r="AL352" s="496"/>
      <c r="AM352" s="496"/>
      <c r="AN352" s="30" t="b">
        <f t="shared" ref="AN352" si="32">OR(J352:AK352)</f>
        <v>1</v>
      </c>
      <c r="AO352" s="17"/>
      <c r="AP352" s="9"/>
      <c r="AQ352" s="9"/>
      <c r="AR352" s="9"/>
    </row>
    <row r="353" spans="1:44" customFormat="1" ht="12" customHeight="1" outlineLevel="2" x14ac:dyDescent="0.25">
      <c r="A353" s="7"/>
      <c r="B353" s="8"/>
      <c r="C353" s="18"/>
      <c r="D353" s="18"/>
      <c r="E353" s="18"/>
      <c r="F353" s="24"/>
      <c r="G353" s="551"/>
      <c r="H353" s="25"/>
      <c r="I353" s="514" t="str">
        <f>General!G45</f>
        <v>ms</v>
      </c>
      <c r="J353" s="586"/>
      <c r="K353" s="586"/>
      <c r="L353" s="586"/>
      <c r="M353" s="586"/>
      <c r="N353" s="586"/>
      <c r="O353" s="586"/>
      <c r="P353" s="586"/>
      <c r="Q353" s="586"/>
      <c r="R353" s="586"/>
      <c r="S353" s="586"/>
      <c r="T353" s="586"/>
      <c r="U353" s="586"/>
      <c r="V353" s="586"/>
      <c r="W353" s="586"/>
      <c r="X353" s="586"/>
      <c r="Y353" s="586"/>
      <c r="Z353" s="586"/>
      <c r="AA353" s="586"/>
      <c r="AB353" s="586"/>
      <c r="AC353" s="586"/>
      <c r="AD353" s="586"/>
      <c r="AE353" s="586" t="b">
        <v>1</v>
      </c>
      <c r="AF353" s="586" t="b">
        <v>1</v>
      </c>
      <c r="AG353" s="586"/>
      <c r="AH353" s="586"/>
      <c r="AI353" s="586"/>
      <c r="AJ353" s="586"/>
      <c r="AK353" s="586" t="b">
        <v>1</v>
      </c>
      <c r="AL353" s="496"/>
      <c r="AM353" s="496"/>
      <c r="AN353" s="30"/>
      <c r="AO353" s="17"/>
      <c r="AP353" s="9"/>
      <c r="AQ353" s="9"/>
      <c r="AR353" s="9"/>
    </row>
    <row r="354" spans="1:44" customFormat="1" ht="12" customHeight="1" outlineLevel="2" x14ac:dyDescent="0.25">
      <c r="A354" s="7"/>
      <c r="B354" s="8"/>
      <c r="C354" s="18"/>
      <c r="D354" s="18"/>
      <c r="E354" s="18"/>
      <c r="F354" s="24"/>
      <c r="G354" s="551"/>
      <c r="H354" s="589"/>
      <c r="I354" s="514" t="str">
        <f>General!G46</f>
        <v>o</v>
      </c>
      <c r="J354" s="586"/>
      <c r="K354" s="586"/>
      <c r="L354" s="586"/>
      <c r="M354" s="586"/>
      <c r="N354" s="586"/>
      <c r="O354" s="586"/>
      <c r="P354" s="586"/>
      <c r="Q354" s="586"/>
      <c r="R354" s="586"/>
      <c r="S354" s="586"/>
      <c r="T354" s="586"/>
      <c r="U354" s="586"/>
      <c r="V354" s="586"/>
      <c r="W354" s="586"/>
      <c r="X354" s="586"/>
      <c r="Y354" s="586"/>
      <c r="Z354" s="586"/>
      <c r="AA354" s="586"/>
      <c r="AB354" s="586"/>
      <c r="AC354" s="586"/>
      <c r="AD354" s="586"/>
      <c r="AE354" s="586"/>
      <c r="AF354" s="586"/>
      <c r="AG354" s="586"/>
      <c r="AH354" s="586"/>
      <c r="AI354" s="586"/>
      <c r="AJ354" s="586"/>
      <c r="AK354" s="586" t="b">
        <v>1</v>
      </c>
      <c r="AL354" s="496"/>
      <c r="AM354" s="496"/>
      <c r="AN354" s="30" t="b">
        <f t="shared" si="30"/>
        <v>1</v>
      </c>
      <c r="AO354" s="17"/>
      <c r="AP354" s="9"/>
      <c r="AQ354" s="9"/>
      <c r="AR354" s="9"/>
    </row>
    <row r="355" spans="1:44" customFormat="1" ht="12" customHeight="1" outlineLevel="2" x14ac:dyDescent="0.25">
      <c r="A355" s="7"/>
      <c r="B355" s="8"/>
      <c r="C355" s="18"/>
      <c r="D355" s="18"/>
      <c r="E355" s="18"/>
      <c r="F355" s="24"/>
      <c r="G355" s="551"/>
      <c r="H355" s="25"/>
      <c r="I355" s="514" t="str">
        <f>General!G47</f>
        <v>od</v>
      </c>
      <c r="J355" s="586"/>
      <c r="K355" s="586"/>
      <c r="L355" s="586"/>
      <c r="M355" s="586"/>
      <c r="N355" s="586"/>
      <c r="O355" s="586"/>
      <c r="P355" s="586"/>
      <c r="Q355" s="586"/>
      <c r="R355" s="586"/>
      <c r="S355" s="586"/>
      <c r="T355" s="586"/>
      <c r="U355" s="586"/>
      <c r="V355" s="586"/>
      <c r="W355" s="586"/>
      <c r="X355" s="586"/>
      <c r="Y355" s="586"/>
      <c r="Z355" s="586"/>
      <c r="AA355" s="586"/>
      <c r="AB355" s="586"/>
      <c r="AC355" s="586"/>
      <c r="AD355" s="586"/>
      <c r="AE355" s="586"/>
      <c r="AF355" s="586"/>
      <c r="AG355" s="586"/>
      <c r="AH355" s="586"/>
      <c r="AI355" s="586"/>
      <c r="AJ355" s="586"/>
      <c r="AK355" s="586" t="b">
        <v>1</v>
      </c>
      <c r="AL355" s="496"/>
      <c r="AM355" s="496"/>
      <c r="AN355" s="30" t="b">
        <f t="shared" si="30"/>
        <v>1</v>
      </c>
      <c r="AO355" s="17"/>
      <c r="AP355" s="9"/>
      <c r="AQ355" s="9"/>
      <c r="AR355" s="9"/>
    </row>
    <row r="356" spans="1:44" customFormat="1" ht="12" customHeight="1" outlineLevel="2" x14ac:dyDescent="0.25">
      <c r="A356" s="7"/>
      <c r="B356" s="8"/>
      <c r="C356" s="18"/>
      <c r="D356" s="18"/>
      <c r="E356" s="18"/>
      <c r="F356" s="24"/>
      <c r="G356" s="551"/>
      <c r="H356" s="25"/>
      <c r="I356" s="514" t="str">
        <f>General!G48</f>
        <v>of</v>
      </c>
      <c r="J356" s="586"/>
      <c r="K356" s="586"/>
      <c r="L356" s="586"/>
      <c r="M356" s="586"/>
      <c r="N356" s="586"/>
      <c r="O356" s="586"/>
      <c r="P356" s="586"/>
      <c r="Q356" s="586"/>
      <c r="R356" s="586"/>
      <c r="S356" s="586"/>
      <c r="T356" s="586"/>
      <c r="U356" s="586"/>
      <c r="V356" s="586"/>
      <c r="W356" s="586"/>
      <c r="X356" s="586"/>
      <c r="Y356" s="586"/>
      <c r="Z356" s="586"/>
      <c r="AA356" s="586"/>
      <c r="AB356" s="586"/>
      <c r="AC356" s="586"/>
      <c r="AD356" s="586"/>
      <c r="AE356" s="586"/>
      <c r="AF356" s="586"/>
      <c r="AG356" s="586"/>
      <c r="AH356" s="586"/>
      <c r="AI356" s="586"/>
      <c r="AJ356" s="586"/>
      <c r="AK356" s="586" t="b">
        <v>1</v>
      </c>
      <c r="AL356" s="496"/>
      <c r="AM356" s="496"/>
      <c r="AN356" s="30" t="b">
        <f t="shared" si="30"/>
        <v>1</v>
      </c>
      <c r="AO356" s="17"/>
      <c r="AP356" s="9"/>
      <c r="AQ356" s="9"/>
      <c r="AR356" s="9"/>
    </row>
    <row r="357" spans="1:44" customFormat="1" ht="12" customHeight="1" outlineLevel="2" x14ac:dyDescent="0.25">
      <c r="A357" s="7"/>
      <c r="B357" s="8"/>
      <c r="C357" s="18"/>
      <c r="D357" s="18"/>
      <c r="E357" s="18"/>
      <c r="F357" s="24"/>
      <c r="G357" s="551"/>
      <c r="H357" s="25"/>
      <c r="I357" s="514" t="str">
        <f>General!G49</f>
        <v>r</v>
      </c>
      <c r="J357" s="586"/>
      <c r="K357" s="586"/>
      <c r="L357" s="586"/>
      <c r="M357" s="586"/>
      <c r="N357" s="586"/>
      <c r="O357" s="586"/>
      <c r="P357" s="586"/>
      <c r="Q357" s="586"/>
      <c r="R357" s="586"/>
      <c r="S357" s="586"/>
      <c r="T357" s="586"/>
      <c r="U357" s="586"/>
      <c r="V357" s="586"/>
      <c r="W357" s="586"/>
      <c r="X357" s="586"/>
      <c r="Y357" s="586"/>
      <c r="Z357" s="586"/>
      <c r="AA357" s="586"/>
      <c r="AB357" s="586"/>
      <c r="AC357" s="586"/>
      <c r="AD357" s="586"/>
      <c r="AE357" s="586"/>
      <c r="AF357" s="586"/>
      <c r="AG357" s="586"/>
      <c r="AH357" s="586"/>
      <c r="AI357" s="586"/>
      <c r="AJ357" s="586"/>
      <c r="AK357" s="586" t="b">
        <v>1</v>
      </c>
      <c r="AL357" s="496"/>
      <c r="AM357" s="496"/>
      <c r="AN357" s="30" t="b">
        <f t="shared" si="30"/>
        <v>1</v>
      </c>
      <c r="AO357" s="17"/>
      <c r="AP357" s="9"/>
      <c r="AQ357" s="9"/>
      <c r="AR357" s="9"/>
    </row>
    <row r="358" spans="1:44" customFormat="1" ht="12" customHeight="1" outlineLevel="2" x14ac:dyDescent="0.25">
      <c r="A358" s="7"/>
      <c r="B358" s="8"/>
      <c r="C358" s="18"/>
      <c r="D358" s="18"/>
      <c r="E358" s="18"/>
      <c r="F358" s="24"/>
      <c r="G358" s="551"/>
      <c r="H358" s="25"/>
      <c r="I358" s="514" t="str">
        <f>General!G50</f>
        <v>rd</v>
      </c>
      <c r="J358" s="586"/>
      <c r="K358" s="586"/>
      <c r="L358" s="586"/>
      <c r="M358" s="586"/>
      <c r="N358" s="586"/>
      <c r="O358" s="586"/>
      <c r="P358" s="586"/>
      <c r="Q358" s="586"/>
      <c r="R358" s="586"/>
      <c r="S358" s="586"/>
      <c r="T358" s="586"/>
      <c r="U358" s="586"/>
      <c r="V358" s="586"/>
      <c r="W358" s="586"/>
      <c r="X358" s="586"/>
      <c r="Y358" s="586"/>
      <c r="Z358" s="586"/>
      <c r="AA358" s="586"/>
      <c r="AB358" s="586"/>
      <c r="AC358" s="586"/>
      <c r="AD358" s="586"/>
      <c r="AE358" s="586"/>
      <c r="AF358" s="586"/>
      <c r="AG358" s="586"/>
      <c r="AH358" s="586"/>
      <c r="AI358" s="586"/>
      <c r="AJ358" s="586"/>
      <c r="AK358" s="586" t="b">
        <v>1</v>
      </c>
      <c r="AL358" s="496"/>
      <c r="AM358" s="496"/>
      <c r="AN358" s="30" t="b">
        <f t="shared" si="30"/>
        <v>1</v>
      </c>
      <c r="AO358" s="17"/>
      <c r="AP358" s="9"/>
      <c r="AQ358" s="9"/>
      <c r="AR358" s="9"/>
    </row>
    <row r="359" spans="1:44" customFormat="1" ht="12" customHeight="1" outlineLevel="2" x14ac:dyDescent="0.25">
      <c r="A359" s="7"/>
      <c r="B359" s="8"/>
      <c r="C359" s="18"/>
      <c r="D359" s="18"/>
      <c r="E359" s="18"/>
      <c r="F359" s="24"/>
      <c r="G359" s="551"/>
      <c r="H359" s="25"/>
      <c r="I359" s="514" t="str">
        <f>General!G51</f>
        <v>v</v>
      </c>
      <c r="J359" s="586"/>
      <c r="K359" s="586"/>
      <c r="L359" s="586"/>
      <c r="M359" s="586"/>
      <c r="N359" s="586"/>
      <c r="O359" s="586"/>
      <c r="P359" s="586"/>
      <c r="Q359" s="586"/>
      <c r="R359" s="586"/>
      <c r="S359" s="586"/>
      <c r="T359" s="586"/>
      <c r="U359" s="586"/>
      <c r="V359" s="586"/>
      <c r="W359" s="586"/>
      <c r="X359" s="586"/>
      <c r="Y359" s="586"/>
      <c r="Z359" s="586"/>
      <c r="AA359" s="586"/>
      <c r="AB359" s="586"/>
      <c r="AC359" s="586"/>
      <c r="AD359" s="586"/>
      <c r="AE359" s="586" t="b">
        <v>1</v>
      </c>
      <c r="AF359" s="586" t="b">
        <v>1</v>
      </c>
      <c r="AG359" s="586"/>
      <c r="AH359" s="586"/>
      <c r="AI359" s="586"/>
      <c r="AJ359" s="586"/>
      <c r="AK359" s="586"/>
      <c r="AL359" s="496"/>
      <c r="AM359" s="496"/>
      <c r="AN359" s="30" t="b">
        <f t="shared" si="30"/>
        <v>1</v>
      </c>
      <c r="AO359" s="17"/>
      <c r="AP359" s="9"/>
      <c r="AQ359" s="9"/>
      <c r="AR359" s="9"/>
    </row>
    <row r="360" spans="1:44" customFormat="1" ht="12" customHeight="1" outlineLevel="2" x14ac:dyDescent="0.25">
      <c r="A360" s="7"/>
      <c r="B360" s="8"/>
      <c r="C360" s="18"/>
      <c r="D360" s="18"/>
      <c r="E360" s="18"/>
      <c r="F360" s="24"/>
      <c r="G360" s="551"/>
      <c r="H360" s="25"/>
      <c r="I360" s="514" t="str">
        <f>General!G52</f>
        <v>w</v>
      </c>
      <c r="J360" s="586"/>
      <c r="K360" s="586"/>
      <c r="L360" s="586"/>
      <c r="M360" s="586"/>
      <c r="N360" s="586"/>
      <c r="O360" s="586"/>
      <c r="P360" s="586"/>
      <c r="Q360" s="586"/>
      <c r="R360" s="586"/>
      <c r="S360" s="586"/>
      <c r="T360" s="586"/>
      <c r="U360" s="586"/>
      <c r="V360" s="586"/>
      <c r="W360" s="586"/>
      <c r="X360" s="586"/>
      <c r="Y360" s="586"/>
      <c r="Z360" s="586"/>
      <c r="AA360" s="586"/>
      <c r="AB360" s="586"/>
      <c r="AC360" s="586"/>
      <c r="AD360" s="586"/>
      <c r="AE360" s="586"/>
      <c r="AF360" s="586"/>
      <c r="AG360" s="586"/>
      <c r="AH360" s="586"/>
      <c r="AI360" s="586"/>
      <c r="AJ360" s="586"/>
      <c r="AK360" s="586" t="b">
        <v>1</v>
      </c>
      <c r="AL360" s="496"/>
      <c r="AM360" s="496"/>
      <c r="AN360" s="30" t="b">
        <f t="shared" si="30"/>
        <v>1</v>
      </c>
      <c r="AO360" s="17"/>
      <c r="AP360" s="9"/>
      <c r="AQ360" s="9"/>
      <c r="AR360" s="9"/>
    </row>
    <row r="361" spans="1:44" customFormat="1" outlineLevel="2" x14ac:dyDescent="0.25">
      <c r="A361" s="7"/>
      <c r="B361" s="8"/>
      <c r="C361" s="18"/>
      <c r="D361" s="18"/>
      <c r="E361" s="18"/>
      <c r="F361" s="24"/>
      <c r="G361" s="551"/>
      <c r="H361" s="25"/>
      <c r="I361" s="514" t="str">
        <f>General!G53</f>
        <v>wd</v>
      </c>
      <c r="J361" s="586"/>
      <c r="K361" s="586"/>
      <c r="L361" s="586"/>
      <c r="M361" s="586"/>
      <c r="N361" s="586"/>
      <c r="O361" s="586"/>
      <c r="P361" s="586"/>
      <c r="Q361" s="586"/>
      <c r="R361" s="586"/>
      <c r="S361" s="586"/>
      <c r="T361" s="586"/>
      <c r="U361" s="586"/>
      <c r="V361" s="586"/>
      <c r="W361" s="586"/>
      <c r="X361" s="586"/>
      <c r="Y361" s="586"/>
      <c r="Z361" s="586"/>
      <c r="AA361" s="586"/>
      <c r="AB361" s="586"/>
      <c r="AC361" s="586"/>
      <c r="AD361" s="586"/>
      <c r="AE361" s="586"/>
      <c r="AF361" s="586"/>
      <c r="AG361" s="586"/>
      <c r="AH361" s="586"/>
      <c r="AI361" s="586"/>
      <c r="AJ361" s="586"/>
      <c r="AK361" s="586" t="b">
        <v>1</v>
      </c>
      <c r="AL361" s="496"/>
      <c r="AM361" s="496"/>
      <c r="AN361" s="30" t="b">
        <f t="shared" si="30"/>
        <v>1</v>
      </c>
      <c r="AO361" s="17"/>
      <c r="AP361" s="9"/>
      <c r="AQ361" s="9"/>
      <c r="AR361" s="9"/>
    </row>
    <row r="362" spans="1:44" customFormat="1" outlineLevel="2" x14ac:dyDescent="0.25">
      <c r="A362" s="7"/>
      <c r="B362" s="8"/>
      <c r="C362" s="18"/>
      <c r="D362" s="18"/>
      <c r="E362" s="18"/>
      <c r="F362" s="24"/>
      <c r="G362" s="551"/>
      <c r="H362" s="24"/>
      <c r="I362" s="514" t="str">
        <f>General!G54</f>
        <v>z</v>
      </c>
      <c r="J362" s="586"/>
      <c r="K362" s="586"/>
      <c r="L362" s="586"/>
      <c r="M362" s="586"/>
      <c r="N362" s="586"/>
      <c r="O362" s="586"/>
      <c r="P362" s="586"/>
      <c r="Q362" s="586"/>
      <c r="R362" s="586"/>
      <c r="S362" s="586"/>
      <c r="T362" s="586"/>
      <c r="U362" s="586"/>
      <c r="V362" s="586"/>
      <c r="W362" s="586"/>
      <c r="X362" s="586"/>
      <c r="Y362" s="586"/>
      <c r="Z362" s="586"/>
      <c r="AA362" s="586"/>
      <c r="AB362" s="586"/>
      <c r="AC362" s="586"/>
      <c r="AD362" s="586"/>
      <c r="AE362" s="586"/>
      <c r="AF362" s="586"/>
      <c r="AG362" s="586"/>
      <c r="AH362" s="586"/>
      <c r="AI362" s="586"/>
      <c r="AJ362" s="586"/>
      <c r="AK362" s="586" t="b">
        <v>1</v>
      </c>
      <c r="AL362" s="496"/>
      <c r="AM362" s="496"/>
      <c r="AN362" s="30" t="b">
        <f t="shared" si="30"/>
        <v>1</v>
      </c>
      <c r="AO362" s="17"/>
      <c r="AP362" s="9"/>
      <c r="AQ362" s="9"/>
      <c r="AR362" s="9"/>
    </row>
    <row r="363" spans="1:44" customFormat="1" outlineLevel="2" x14ac:dyDescent="0.25">
      <c r="A363" s="7"/>
      <c r="B363" s="8"/>
      <c r="C363" s="18"/>
      <c r="D363" s="18"/>
      <c r="E363" s="18"/>
      <c r="F363" s="24"/>
      <c r="G363" s="551"/>
      <c r="H363" s="24"/>
      <c r="I363" s="514" t="str">
        <f>General!G55</f>
        <v>zd</v>
      </c>
      <c r="J363" s="586"/>
      <c r="K363" s="586"/>
      <c r="L363" s="586"/>
      <c r="M363" s="586"/>
      <c r="N363" s="586"/>
      <c r="O363" s="586"/>
      <c r="P363" s="586"/>
      <c r="Q363" s="586"/>
      <c r="R363" s="586"/>
      <c r="S363" s="586"/>
      <c r="T363" s="586"/>
      <c r="U363" s="586"/>
      <c r="V363" s="586"/>
      <c r="W363" s="586"/>
      <c r="X363" s="586"/>
      <c r="Y363" s="586"/>
      <c r="Z363" s="586"/>
      <c r="AA363" s="586"/>
      <c r="AB363" s="586"/>
      <c r="AC363" s="586"/>
      <c r="AD363" s="586"/>
      <c r="AE363" s="586"/>
      <c r="AF363" s="586"/>
      <c r="AG363" s="586"/>
      <c r="AH363" s="586"/>
      <c r="AI363" s="586"/>
      <c r="AJ363" s="586"/>
      <c r="AK363" s="586" t="b">
        <v>1</v>
      </c>
      <c r="AL363" s="496"/>
      <c r="AM363" s="496"/>
      <c r="AN363" s="30" t="b">
        <f t="shared" si="30"/>
        <v>1</v>
      </c>
      <c r="AO363" s="17"/>
      <c r="AP363" s="9"/>
      <c r="AQ363" s="9"/>
      <c r="AR363" s="9"/>
    </row>
    <row r="364" spans="1:44" customFormat="1" ht="12" customHeight="1" outlineLevel="1" x14ac:dyDescent="0.25">
      <c r="A364" s="7"/>
      <c r="B364" s="8"/>
      <c r="C364" s="18">
        <v>2</v>
      </c>
      <c r="D364" s="18"/>
      <c r="E364" s="18"/>
      <c r="F364" s="24"/>
      <c r="G364" s="551"/>
      <c r="H364" s="25" t="s">
        <v>2328</v>
      </c>
      <c r="I364" s="514" t="str">
        <f>General!G37</f>
        <v>b</v>
      </c>
      <c r="J364" s="590" t="str">
        <f t="shared" ref="J364:J371" si="33">IF(ISBLANK(J326),"",J326)</f>
        <v/>
      </c>
      <c r="K364" s="590" t="str">
        <f t="shared" ref="K364:AK364" si="34">IF(ISBLANK(K326),"",K326)</f>
        <v/>
      </c>
      <c r="L364" s="590" t="str">
        <f t="shared" si="34"/>
        <v/>
      </c>
      <c r="M364" s="590" t="str">
        <f t="shared" si="34"/>
        <v/>
      </c>
      <c r="N364" s="590" t="str">
        <f t="shared" si="34"/>
        <v/>
      </c>
      <c r="O364" s="590" t="str">
        <f t="shared" si="34"/>
        <v/>
      </c>
      <c r="P364" s="590" t="str">
        <f t="shared" si="34"/>
        <v/>
      </c>
      <c r="Q364" s="590" t="str">
        <f t="shared" si="34"/>
        <v/>
      </c>
      <c r="R364" s="590" t="str">
        <f t="shared" si="34"/>
        <v/>
      </c>
      <c r="S364" s="590" t="b">
        <f t="shared" si="34"/>
        <v>1</v>
      </c>
      <c r="T364" s="590" t="str">
        <f t="shared" si="34"/>
        <v/>
      </c>
      <c r="U364" s="590" t="str">
        <f t="shared" si="34"/>
        <v/>
      </c>
      <c r="V364" s="590" t="str">
        <f t="shared" si="34"/>
        <v/>
      </c>
      <c r="W364" s="590" t="str">
        <f t="shared" si="34"/>
        <v/>
      </c>
      <c r="X364" s="590" t="str">
        <f t="shared" si="34"/>
        <v/>
      </c>
      <c r="Y364" s="590" t="str">
        <f t="shared" si="34"/>
        <v/>
      </c>
      <c r="Z364" s="590" t="str">
        <f t="shared" si="34"/>
        <v/>
      </c>
      <c r="AA364" s="590" t="str">
        <f t="shared" si="34"/>
        <v/>
      </c>
      <c r="AB364" s="590" t="str">
        <f t="shared" si="34"/>
        <v/>
      </c>
      <c r="AC364" s="590" t="str">
        <f t="shared" si="34"/>
        <v/>
      </c>
      <c r="AD364" s="590" t="str">
        <f t="shared" si="34"/>
        <v/>
      </c>
      <c r="AE364" s="590" t="str">
        <f t="shared" si="34"/>
        <v/>
      </c>
      <c r="AF364" s="590" t="str">
        <f t="shared" si="34"/>
        <v/>
      </c>
      <c r="AG364" s="590" t="str">
        <f t="shared" si="34"/>
        <v/>
      </c>
      <c r="AH364" s="590" t="str">
        <f t="shared" si="34"/>
        <v/>
      </c>
      <c r="AI364" s="590" t="str">
        <f t="shared" si="34"/>
        <v/>
      </c>
      <c r="AJ364" s="590" t="str">
        <f t="shared" si="34"/>
        <v/>
      </c>
      <c r="AK364" s="590" t="str">
        <f t="shared" si="34"/>
        <v/>
      </c>
      <c r="AL364" s="496"/>
      <c r="AM364" s="496"/>
      <c r="AN364" s="30" t="b">
        <f t="shared" si="30"/>
        <v>1</v>
      </c>
      <c r="AO364" s="17"/>
      <c r="AP364" s="9"/>
      <c r="AQ364" s="9"/>
      <c r="AR364" s="9"/>
    </row>
    <row r="365" spans="1:44" customFormat="1" ht="12" customHeight="1" outlineLevel="2" x14ac:dyDescent="0.25">
      <c r="A365" s="7"/>
      <c r="B365" s="8"/>
      <c r="C365" s="18"/>
      <c r="D365" s="18"/>
      <c r="E365" s="18"/>
      <c r="F365" s="24"/>
      <c r="G365" s="551"/>
      <c r="H365" s="25"/>
      <c r="I365" s="514" t="str">
        <f>General!G38</f>
        <v>bd</v>
      </c>
      <c r="J365" s="590" t="str">
        <f t="shared" si="33"/>
        <v/>
      </c>
      <c r="K365" s="590" t="str">
        <f t="shared" ref="K365:AK365" si="35">IF(ISBLANK(K327),"",K327)</f>
        <v/>
      </c>
      <c r="L365" s="590" t="str">
        <f t="shared" si="35"/>
        <v/>
      </c>
      <c r="M365" s="590" t="str">
        <f t="shared" si="35"/>
        <v/>
      </c>
      <c r="N365" s="590" t="str">
        <f t="shared" si="35"/>
        <v/>
      </c>
      <c r="O365" s="590" t="str">
        <f t="shared" si="35"/>
        <v/>
      </c>
      <c r="P365" s="590" t="str">
        <f t="shared" si="35"/>
        <v/>
      </c>
      <c r="Q365" s="590" t="str">
        <f t="shared" si="35"/>
        <v/>
      </c>
      <c r="R365" s="590" t="str">
        <f t="shared" si="35"/>
        <v/>
      </c>
      <c r="S365" s="590" t="b">
        <f t="shared" si="35"/>
        <v>1</v>
      </c>
      <c r="T365" s="590" t="str">
        <f t="shared" si="35"/>
        <v/>
      </c>
      <c r="U365" s="590" t="str">
        <f t="shared" si="35"/>
        <v/>
      </c>
      <c r="V365" s="590" t="str">
        <f t="shared" si="35"/>
        <v/>
      </c>
      <c r="W365" s="590" t="str">
        <f t="shared" si="35"/>
        <v/>
      </c>
      <c r="X365" s="590" t="str">
        <f t="shared" si="35"/>
        <v/>
      </c>
      <c r="Y365" s="590" t="str">
        <f t="shared" si="35"/>
        <v/>
      </c>
      <c r="Z365" s="590" t="str">
        <f t="shared" si="35"/>
        <v/>
      </c>
      <c r="AA365" s="590" t="str">
        <f t="shared" si="35"/>
        <v/>
      </c>
      <c r="AB365" s="590" t="str">
        <f t="shared" si="35"/>
        <v/>
      </c>
      <c r="AC365" s="590" t="str">
        <f t="shared" si="35"/>
        <v/>
      </c>
      <c r="AD365" s="590" t="str">
        <f t="shared" si="35"/>
        <v/>
      </c>
      <c r="AE365" s="590" t="str">
        <f t="shared" si="35"/>
        <v/>
      </c>
      <c r="AF365" s="590" t="str">
        <f t="shared" si="35"/>
        <v/>
      </c>
      <c r="AG365" s="590" t="str">
        <f t="shared" si="35"/>
        <v/>
      </c>
      <c r="AH365" s="590" t="str">
        <f t="shared" si="35"/>
        <v/>
      </c>
      <c r="AI365" s="590" t="str">
        <f t="shared" si="35"/>
        <v/>
      </c>
      <c r="AJ365" s="590" t="str">
        <f t="shared" si="35"/>
        <v/>
      </c>
      <c r="AK365" s="590" t="str">
        <f t="shared" si="35"/>
        <v/>
      </c>
      <c r="AL365" s="496"/>
      <c r="AM365" s="496"/>
      <c r="AN365" s="30" t="b">
        <f t="shared" si="30"/>
        <v>1</v>
      </c>
      <c r="AO365" s="17"/>
      <c r="AP365" s="9"/>
      <c r="AQ365" s="9"/>
      <c r="AR365" s="9"/>
    </row>
    <row r="366" spans="1:44" customFormat="1" ht="12" customHeight="1" outlineLevel="2" x14ac:dyDescent="0.25">
      <c r="A366" s="7"/>
      <c r="B366" s="8"/>
      <c r="C366" s="18"/>
      <c r="D366" s="18"/>
      <c r="E366" s="18"/>
      <c r="F366" s="24"/>
      <c r="G366" s="551"/>
      <c r="H366" s="25"/>
      <c r="I366" s="514" t="str">
        <f>General!G39</f>
        <v>f</v>
      </c>
      <c r="J366" s="590" t="str">
        <f t="shared" si="33"/>
        <v/>
      </c>
      <c r="K366" s="590" t="str">
        <f t="shared" ref="K366:AK366" si="36">IF(ISBLANK(K328),"",K328)</f>
        <v/>
      </c>
      <c r="L366" s="590" t="str">
        <f t="shared" si="36"/>
        <v/>
      </c>
      <c r="M366" s="590" t="str">
        <f t="shared" si="36"/>
        <v/>
      </c>
      <c r="N366" s="590" t="str">
        <f t="shared" si="36"/>
        <v/>
      </c>
      <c r="O366" s="590" t="str">
        <f t="shared" si="36"/>
        <v/>
      </c>
      <c r="P366" s="590" t="str">
        <f t="shared" si="36"/>
        <v/>
      </c>
      <c r="Q366" s="590" t="str">
        <f t="shared" si="36"/>
        <v/>
      </c>
      <c r="R366" s="590" t="str">
        <f t="shared" si="36"/>
        <v/>
      </c>
      <c r="S366" s="590" t="str">
        <f t="shared" si="36"/>
        <v/>
      </c>
      <c r="T366" s="590" t="str">
        <f t="shared" si="36"/>
        <v/>
      </c>
      <c r="U366" s="590" t="str">
        <f t="shared" si="36"/>
        <v/>
      </c>
      <c r="V366" s="590" t="str">
        <f t="shared" si="36"/>
        <v/>
      </c>
      <c r="W366" s="590" t="str">
        <f t="shared" si="36"/>
        <v/>
      </c>
      <c r="X366" s="590" t="str">
        <f t="shared" si="36"/>
        <v/>
      </c>
      <c r="Y366" s="590" t="str">
        <f t="shared" si="36"/>
        <v/>
      </c>
      <c r="Z366" s="590" t="str">
        <f t="shared" si="36"/>
        <v/>
      </c>
      <c r="AA366" s="590" t="str">
        <f t="shared" si="36"/>
        <v/>
      </c>
      <c r="AB366" s="590" t="str">
        <f t="shared" si="36"/>
        <v/>
      </c>
      <c r="AC366" s="590" t="str">
        <f t="shared" si="36"/>
        <v/>
      </c>
      <c r="AD366" s="590" t="str">
        <f t="shared" si="36"/>
        <v/>
      </c>
      <c r="AE366" s="590" t="str">
        <f t="shared" si="36"/>
        <v/>
      </c>
      <c r="AF366" s="590" t="str">
        <f t="shared" si="36"/>
        <v/>
      </c>
      <c r="AG366" s="590" t="str">
        <f t="shared" si="36"/>
        <v/>
      </c>
      <c r="AH366" s="590" t="str">
        <f t="shared" si="36"/>
        <v/>
      </c>
      <c r="AI366" s="590" t="str">
        <f t="shared" si="36"/>
        <v/>
      </c>
      <c r="AJ366" s="590" t="b">
        <f t="shared" si="36"/>
        <v>1</v>
      </c>
      <c r="AK366" s="590" t="str">
        <f t="shared" si="36"/>
        <v/>
      </c>
      <c r="AL366" s="496"/>
      <c r="AM366" s="496"/>
      <c r="AN366" s="30" t="b">
        <f t="shared" si="30"/>
        <v>1</v>
      </c>
      <c r="AO366" s="17"/>
      <c r="AP366" s="9"/>
      <c r="AQ366" s="9"/>
      <c r="AR366" s="9"/>
    </row>
    <row r="367" spans="1:44" customFormat="1" ht="12" customHeight="1" outlineLevel="2" x14ac:dyDescent="0.25">
      <c r="A367" s="7"/>
      <c r="B367" s="8"/>
      <c r="C367" s="18"/>
      <c r="D367" s="18"/>
      <c r="E367" s="18"/>
      <c r="F367" s="24"/>
      <c r="G367" s="551"/>
      <c r="H367" s="25"/>
      <c r="I367" s="514" t="str">
        <f>General!G40</f>
        <v>h</v>
      </c>
      <c r="J367" s="590" t="str">
        <f t="shared" si="33"/>
        <v/>
      </c>
      <c r="K367" s="590" t="str">
        <f t="shared" ref="K367:AK367" si="37">IF(ISBLANK(K329),"",K329)</f>
        <v/>
      </c>
      <c r="L367" s="590" t="str">
        <f t="shared" si="37"/>
        <v/>
      </c>
      <c r="M367" s="590" t="str">
        <f t="shared" si="37"/>
        <v/>
      </c>
      <c r="N367" s="590" t="str">
        <f t="shared" si="37"/>
        <v/>
      </c>
      <c r="O367" s="590" t="str">
        <f t="shared" si="37"/>
        <v/>
      </c>
      <c r="P367" s="590" t="str">
        <f t="shared" si="37"/>
        <v/>
      </c>
      <c r="Q367" s="590" t="str">
        <f t="shared" si="37"/>
        <v/>
      </c>
      <c r="R367" s="590" t="str">
        <f t="shared" si="37"/>
        <v/>
      </c>
      <c r="S367" s="590" t="b">
        <f t="shared" si="37"/>
        <v>1</v>
      </c>
      <c r="T367" s="590" t="str">
        <f t="shared" si="37"/>
        <v/>
      </c>
      <c r="U367" s="590" t="str">
        <f t="shared" si="37"/>
        <v/>
      </c>
      <c r="V367" s="590" t="str">
        <f t="shared" si="37"/>
        <v/>
      </c>
      <c r="W367" s="590" t="b">
        <f t="shared" si="37"/>
        <v>1</v>
      </c>
      <c r="X367" s="590" t="str">
        <f t="shared" si="37"/>
        <v/>
      </c>
      <c r="Y367" s="590" t="str">
        <f t="shared" si="37"/>
        <v/>
      </c>
      <c r="Z367" s="590" t="str">
        <f t="shared" si="37"/>
        <v/>
      </c>
      <c r="AA367" s="590" t="b">
        <f t="shared" si="37"/>
        <v>1</v>
      </c>
      <c r="AB367" s="590" t="str">
        <f t="shared" si="37"/>
        <v/>
      </c>
      <c r="AC367" s="590" t="b">
        <f t="shared" si="37"/>
        <v>1</v>
      </c>
      <c r="AD367" s="590" t="str">
        <f t="shared" si="37"/>
        <v/>
      </c>
      <c r="AE367" s="590" t="str">
        <f t="shared" si="37"/>
        <v/>
      </c>
      <c r="AF367" s="590" t="str">
        <f t="shared" si="37"/>
        <v/>
      </c>
      <c r="AG367" s="590" t="str">
        <f t="shared" si="37"/>
        <v/>
      </c>
      <c r="AH367" s="590" t="str">
        <f t="shared" si="37"/>
        <v/>
      </c>
      <c r="AI367" s="590" t="str">
        <f t="shared" si="37"/>
        <v/>
      </c>
      <c r="AJ367" s="590" t="str">
        <f t="shared" si="37"/>
        <v/>
      </c>
      <c r="AK367" s="590" t="str">
        <f t="shared" si="37"/>
        <v/>
      </c>
      <c r="AL367" s="496"/>
      <c r="AM367" s="496"/>
      <c r="AN367" s="30" t="b">
        <f t="shared" si="30"/>
        <v>1</v>
      </c>
      <c r="AO367" s="17"/>
      <c r="AP367" s="9"/>
      <c r="AQ367" s="9"/>
      <c r="AR367" s="9"/>
    </row>
    <row r="368" spans="1:44" customFormat="1" ht="12" customHeight="1" outlineLevel="2" x14ac:dyDescent="0.25">
      <c r="A368" s="7"/>
      <c r="B368" s="8"/>
      <c r="C368" s="18"/>
      <c r="D368" s="18"/>
      <c r="E368" s="18"/>
      <c r="F368" s="24"/>
      <c r="G368" s="551"/>
      <c r="H368" s="25"/>
      <c r="I368" s="514" t="str">
        <f>General!G41</f>
        <v>i</v>
      </c>
      <c r="J368" s="590" t="str">
        <f t="shared" si="33"/>
        <v/>
      </c>
      <c r="K368" s="590" t="str">
        <f t="shared" ref="K368:AK368" si="38">IF(ISBLANK(K330),"",K330)</f>
        <v/>
      </c>
      <c r="L368" s="590" t="str">
        <f t="shared" si="38"/>
        <v/>
      </c>
      <c r="M368" s="590" t="str">
        <f t="shared" si="38"/>
        <v/>
      </c>
      <c r="N368" s="590" t="str">
        <f t="shared" si="38"/>
        <v/>
      </c>
      <c r="O368" s="590" t="str">
        <f t="shared" si="38"/>
        <v/>
      </c>
      <c r="P368" s="590" t="str">
        <f t="shared" si="38"/>
        <v/>
      </c>
      <c r="Q368" s="590" t="str">
        <f t="shared" si="38"/>
        <v/>
      </c>
      <c r="R368" s="590" t="str">
        <f t="shared" si="38"/>
        <v/>
      </c>
      <c r="S368" s="590" t="str">
        <f t="shared" si="38"/>
        <v/>
      </c>
      <c r="T368" s="590" t="str">
        <f t="shared" si="38"/>
        <v/>
      </c>
      <c r="U368" s="590" t="str">
        <f t="shared" si="38"/>
        <v/>
      </c>
      <c r="V368" s="590" t="str">
        <f t="shared" si="38"/>
        <v/>
      </c>
      <c r="W368" s="590" t="str">
        <f t="shared" si="38"/>
        <v/>
      </c>
      <c r="X368" s="590" t="str">
        <f t="shared" si="38"/>
        <v/>
      </c>
      <c r="Y368" s="590" t="str">
        <f t="shared" si="38"/>
        <v/>
      </c>
      <c r="Z368" s="590" t="str">
        <f t="shared" si="38"/>
        <v/>
      </c>
      <c r="AA368" s="590" t="str">
        <f t="shared" si="38"/>
        <v/>
      </c>
      <c r="AB368" s="590" t="str">
        <f t="shared" si="38"/>
        <v/>
      </c>
      <c r="AC368" s="590" t="str">
        <f t="shared" si="38"/>
        <v/>
      </c>
      <c r="AD368" s="590" t="str">
        <f t="shared" si="38"/>
        <v/>
      </c>
      <c r="AE368" s="590" t="str">
        <f t="shared" si="38"/>
        <v/>
      </c>
      <c r="AF368" s="590" t="str">
        <f t="shared" si="38"/>
        <v/>
      </c>
      <c r="AG368" s="590" t="str">
        <f t="shared" si="38"/>
        <v/>
      </c>
      <c r="AH368" s="590" t="str">
        <f t="shared" si="38"/>
        <v/>
      </c>
      <c r="AI368" s="590" t="str">
        <f t="shared" si="38"/>
        <v/>
      </c>
      <c r="AJ368" s="590" t="b">
        <f t="shared" si="38"/>
        <v>1</v>
      </c>
      <c r="AK368" s="590" t="str">
        <f t="shared" si="38"/>
        <v/>
      </c>
      <c r="AL368" s="496"/>
      <c r="AM368" s="496"/>
      <c r="AN368" s="30" t="b">
        <f t="shared" si="30"/>
        <v>1</v>
      </c>
      <c r="AO368" s="17"/>
      <c r="AP368" s="9"/>
      <c r="AQ368" s="9"/>
      <c r="AR368" s="9"/>
    </row>
    <row r="369" spans="1:44" customFormat="1" ht="12" customHeight="1" outlineLevel="2" x14ac:dyDescent="0.25">
      <c r="A369" s="7"/>
      <c r="B369" s="8"/>
      <c r="C369" s="18"/>
      <c r="D369" s="18"/>
      <c r="E369" s="18"/>
      <c r="F369" s="24"/>
      <c r="G369" s="551"/>
      <c r="H369" s="25"/>
      <c r="I369" s="514" t="str">
        <f>General!G42</f>
        <v>k</v>
      </c>
      <c r="J369" s="590" t="str">
        <f t="shared" si="33"/>
        <v/>
      </c>
      <c r="K369" s="590" t="str">
        <f t="shared" ref="K369:AK369" si="39">IF(ISBLANK(K331),"",K331)</f>
        <v/>
      </c>
      <c r="L369" s="590" t="str">
        <f t="shared" si="39"/>
        <v/>
      </c>
      <c r="M369" s="590" t="str">
        <f t="shared" si="39"/>
        <v/>
      </c>
      <c r="N369" s="590" t="str">
        <f t="shared" si="39"/>
        <v/>
      </c>
      <c r="O369" s="590" t="str">
        <f t="shared" si="39"/>
        <v/>
      </c>
      <c r="P369" s="590" t="str">
        <f t="shared" si="39"/>
        <v/>
      </c>
      <c r="Q369" s="590" t="str">
        <f t="shared" si="39"/>
        <v/>
      </c>
      <c r="R369" s="590" t="str">
        <f t="shared" si="39"/>
        <v/>
      </c>
      <c r="S369" s="590" t="str">
        <f t="shared" si="39"/>
        <v/>
      </c>
      <c r="T369" s="590" t="str">
        <f t="shared" si="39"/>
        <v/>
      </c>
      <c r="U369" s="590" t="str">
        <f t="shared" si="39"/>
        <v/>
      </c>
      <c r="V369" s="590" t="str">
        <f t="shared" si="39"/>
        <v/>
      </c>
      <c r="W369" s="590" t="str">
        <f t="shared" si="39"/>
        <v/>
      </c>
      <c r="X369" s="590" t="str">
        <f t="shared" si="39"/>
        <v/>
      </c>
      <c r="Y369" s="590" t="str">
        <f t="shared" si="39"/>
        <v/>
      </c>
      <c r="Z369" s="590" t="str">
        <f t="shared" si="39"/>
        <v/>
      </c>
      <c r="AA369" s="590" t="str">
        <f t="shared" si="39"/>
        <v/>
      </c>
      <c r="AB369" s="590" t="str">
        <f t="shared" si="39"/>
        <v/>
      </c>
      <c r="AC369" s="590" t="str">
        <f t="shared" si="39"/>
        <v/>
      </c>
      <c r="AD369" s="590" t="str">
        <f t="shared" si="39"/>
        <v/>
      </c>
      <c r="AE369" s="590" t="str">
        <f t="shared" si="39"/>
        <v/>
      </c>
      <c r="AF369" s="590" t="str">
        <f t="shared" si="39"/>
        <v/>
      </c>
      <c r="AG369" s="590" t="str">
        <f t="shared" si="39"/>
        <v/>
      </c>
      <c r="AH369" s="590" t="str">
        <f t="shared" si="39"/>
        <v/>
      </c>
      <c r="AI369" s="590" t="str">
        <f t="shared" si="39"/>
        <v/>
      </c>
      <c r="AJ369" s="590" t="b">
        <f t="shared" si="39"/>
        <v>1</v>
      </c>
      <c r="AK369" s="590" t="str">
        <f t="shared" si="39"/>
        <v/>
      </c>
      <c r="AL369" s="496"/>
      <c r="AM369" s="496"/>
      <c r="AN369" s="30" t="b">
        <f t="shared" si="30"/>
        <v>1</v>
      </c>
      <c r="AO369" s="17"/>
      <c r="AP369" s="9"/>
      <c r="AQ369" s="9"/>
      <c r="AR369" s="9"/>
    </row>
    <row r="370" spans="1:44" customFormat="1" ht="12" customHeight="1" outlineLevel="2" x14ac:dyDescent="0.25">
      <c r="A370" s="7"/>
      <c r="B370" s="8"/>
      <c r="C370" s="18"/>
      <c r="D370" s="18"/>
      <c r="E370" s="18"/>
      <c r="F370" s="24"/>
      <c r="G370" s="551"/>
      <c r="H370" s="25"/>
      <c r="I370" s="514" t="str">
        <f>General!G43</f>
        <v>l</v>
      </c>
      <c r="J370" s="590" t="str">
        <f t="shared" si="33"/>
        <v/>
      </c>
      <c r="K370" s="590" t="str">
        <f t="shared" ref="K370:AK371" si="40">IF(ISBLANK(K332),"",K332)</f>
        <v/>
      </c>
      <c r="L370" s="590" t="str">
        <f t="shared" si="40"/>
        <v/>
      </c>
      <c r="M370" s="590" t="str">
        <f t="shared" si="40"/>
        <v/>
      </c>
      <c r="N370" s="590" t="str">
        <f t="shared" si="40"/>
        <v/>
      </c>
      <c r="O370" s="590" t="str">
        <f t="shared" si="40"/>
        <v/>
      </c>
      <c r="P370" s="590" t="str">
        <f t="shared" si="40"/>
        <v/>
      </c>
      <c r="Q370" s="590" t="str">
        <f t="shared" si="40"/>
        <v/>
      </c>
      <c r="R370" s="590" t="str">
        <f t="shared" si="40"/>
        <v/>
      </c>
      <c r="S370" s="590" t="str">
        <f t="shared" si="40"/>
        <v/>
      </c>
      <c r="T370" s="590" t="str">
        <f t="shared" si="40"/>
        <v/>
      </c>
      <c r="U370" s="590" t="str">
        <f t="shared" si="40"/>
        <v/>
      </c>
      <c r="V370" s="590" t="str">
        <f t="shared" si="40"/>
        <v/>
      </c>
      <c r="W370" s="590" t="str">
        <f t="shared" si="40"/>
        <v/>
      </c>
      <c r="X370" s="590" t="str">
        <f t="shared" si="40"/>
        <v/>
      </c>
      <c r="Y370" s="590" t="str">
        <f t="shared" si="40"/>
        <v/>
      </c>
      <c r="Z370" s="590" t="str">
        <f t="shared" si="40"/>
        <v/>
      </c>
      <c r="AA370" s="590" t="str">
        <f t="shared" si="40"/>
        <v/>
      </c>
      <c r="AB370" s="590" t="str">
        <f t="shared" si="40"/>
        <v/>
      </c>
      <c r="AC370" s="590" t="str">
        <f t="shared" si="40"/>
        <v/>
      </c>
      <c r="AD370" s="590" t="str">
        <f t="shared" si="40"/>
        <v/>
      </c>
      <c r="AE370" s="590" t="str">
        <f t="shared" si="40"/>
        <v/>
      </c>
      <c r="AF370" s="590" t="str">
        <f t="shared" si="40"/>
        <v/>
      </c>
      <c r="AG370" s="590" t="str">
        <f t="shared" si="40"/>
        <v/>
      </c>
      <c r="AH370" s="590" t="str">
        <f t="shared" si="40"/>
        <v/>
      </c>
      <c r="AI370" s="590" t="str">
        <f t="shared" si="40"/>
        <v/>
      </c>
      <c r="AJ370" s="590" t="b">
        <f t="shared" si="40"/>
        <v>1</v>
      </c>
      <c r="AK370" s="590" t="str">
        <f t="shared" si="40"/>
        <v/>
      </c>
      <c r="AL370" s="496"/>
      <c r="AM370" s="496"/>
      <c r="AN370" s="30" t="b">
        <f t="shared" si="30"/>
        <v>1</v>
      </c>
      <c r="AO370" s="17"/>
      <c r="AP370" s="9"/>
      <c r="AQ370" s="9"/>
      <c r="AR370" s="9"/>
    </row>
    <row r="371" spans="1:44" customFormat="1" ht="12" customHeight="1" outlineLevel="2" x14ac:dyDescent="0.25">
      <c r="A371" s="7"/>
      <c r="B371" s="8"/>
      <c r="C371" s="18"/>
      <c r="D371" s="18"/>
      <c r="E371" s="18"/>
      <c r="F371" s="24"/>
      <c r="G371" s="551"/>
      <c r="H371" s="25"/>
      <c r="I371" s="514" t="str">
        <f>General!G44</f>
        <v>lf</v>
      </c>
      <c r="J371" s="590" t="str">
        <f t="shared" si="33"/>
        <v/>
      </c>
      <c r="K371" s="590" t="str">
        <f t="shared" si="40"/>
        <v/>
      </c>
      <c r="L371" s="590" t="str">
        <f t="shared" si="40"/>
        <v/>
      </c>
      <c r="M371" s="590" t="str">
        <f t="shared" si="40"/>
        <v/>
      </c>
      <c r="N371" s="590" t="str">
        <f t="shared" si="40"/>
        <v/>
      </c>
      <c r="O371" s="590" t="str">
        <f t="shared" si="40"/>
        <v/>
      </c>
      <c r="P371" s="590" t="str">
        <f t="shared" si="40"/>
        <v/>
      </c>
      <c r="Q371" s="590" t="str">
        <f t="shared" si="40"/>
        <v/>
      </c>
      <c r="R371" s="590" t="str">
        <f t="shared" si="40"/>
        <v/>
      </c>
      <c r="S371" s="590" t="str">
        <f t="shared" si="40"/>
        <v/>
      </c>
      <c r="T371" s="590" t="str">
        <f t="shared" si="40"/>
        <v/>
      </c>
      <c r="U371" s="590" t="str">
        <f t="shared" si="40"/>
        <v/>
      </c>
      <c r="V371" s="590" t="str">
        <f t="shared" si="40"/>
        <v/>
      </c>
      <c r="W371" s="590" t="str">
        <f t="shared" si="40"/>
        <v/>
      </c>
      <c r="X371" s="590" t="str">
        <f t="shared" si="40"/>
        <v/>
      </c>
      <c r="Y371" s="590" t="str">
        <f t="shared" si="40"/>
        <v/>
      </c>
      <c r="Z371" s="590" t="str">
        <f t="shared" si="40"/>
        <v/>
      </c>
      <c r="AA371" s="590" t="str">
        <f t="shared" si="40"/>
        <v/>
      </c>
      <c r="AB371" s="590" t="str">
        <f t="shared" si="40"/>
        <v/>
      </c>
      <c r="AC371" s="590" t="str">
        <f t="shared" si="40"/>
        <v/>
      </c>
      <c r="AD371" s="590" t="str">
        <f t="shared" si="40"/>
        <v/>
      </c>
      <c r="AE371" s="590" t="str">
        <f t="shared" si="40"/>
        <v/>
      </c>
      <c r="AF371" s="590" t="str">
        <f t="shared" si="40"/>
        <v/>
      </c>
      <c r="AG371" s="590" t="str">
        <f t="shared" si="40"/>
        <v/>
      </c>
      <c r="AH371" s="590" t="str">
        <f t="shared" si="40"/>
        <v/>
      </c>
      <c r="AI371" s="590" t="str">
        <f t="shared" si="40"/>
        <v/>
      </c>
      <c r="AJ371" s="590" t="b">
        <f t="shared" si="40"/>
        <v>1</v>
      </c>
      <c r="AK371" s="590" t="str">
        <f t="shared" si="40"/>
        <v/>
      </c>
      <c r="AL371" s="496"/>
      <c r="AM371" s="496"/>
      <c r="AN371" s="30" t="b">
        <f t="shared" ref="AN371" si="41">OR(J371:AK371)</f>
        <v>1</v>
      </c>
      <c r="AO371" s="17"/>
      <c r="AP371" s="9"/>
      <c r="AQ371" s="9"/>
      <c r="AR371" s="9"/>
    </row>
    <row r="372" spans="1:44" customFormat="1" ht="12" customHeight="1" outlineLevel="2" x14ac:dyDescent="0.25">
      <c r="A372" s="7"/>
      <c r="B372" s="8"/>
      <c r="C372" s="18"/>
      <c r="D372" s="18"/>
      <c r="E372" s="18"/>
      <c r="F372" s="24"/>
      <c r="G372" s="551"/>
      <c r="H372" s="25"/>
      <c r="I372" s="514" t="str">
        <f>General!G45</f>
        <v>ms</v>
      </c>
      <c r="J372" s="590" t="str">
        <f t="shared" ref="J372" si="42">IF(ISBLANK(J334),"",J334)</f>
        <v/>
      </c>
      <c r="K372" s="590" t="str">
        <f t="shared" ref="K372:AK372" si="43">IF(ISBLANK(K334),"",K334)</f>
        <v/>
      </c>
      <c r="L372" s="590" t="str">
        <f t="shared" si="43"/>
        <v/>
      </c>
      <c r="M372" s="590" t="str">
        <f t="shared" si="43"/>
        <v/>
      </c>
      <c r="N372" s="590" t="str">
        <f t="shared" si="43"/>
        <v/>
      </c>
      <c r="O372" s="590" t="str">
        <f t="shared" si="43"/>
        <v/>
      </c>
      <c r="P372" s="590" t="str">
        <f t="shared" si="43"/>
        <v/>
      </c>
      <c r="Q372" s="590" t="str">
        <f t="shared" si="43"/>
        <v/>
      </c>
      <c r="R372" s="590" t="str">
        <f t="shared" si="43"/>
        <v/>
      </c>
      <c r="S372" s="590" t="b">
        <f t="shared" si="43"/>
        <v>1</v>
      </c>
      <c r="T372" s="590" t="str">
        <f t="shared" si="43"/>
        <v/>
      </c>
      <c r="U372" s="590" t="b">
        <f t="shared" si="43"/>
        <v>1</v>
      </c>
      <c r="V372" s="590" t="str">
        <f t="shared" si="43"/>
        <v/>
      </c>
      <c r="W372" s="590" t="b">
        <f t="shared" si="43"/>
        <v>1</v>
      </c>
      <c r="X372" s="590" t="str">
        <f t="shared" si="43"/>
        <v/>
      </c>
      <c r="Y372" s="590" t="b">
        <f t="shared" si="43"/>
        <v>1</v>
      </c>
      <c r="Z372" s="590" t="str">
        <f t="shared" si="43"/>
        <v/>
      </c>
      <c r="AA372" s="590" t="b">
        <f t="shared" si="43"/>
        <v>1</v>
      </c>
      <c r="AB372" s="590" t="str">
        <f t="shared" si="43"/>
        <v/>
      </c>
      <c r="AC372" s="590" t="b">
        <f t="shared" si="43"/>
        <v>1</v>
      </c>
      <c r="AD372" s="590" t="str">
        <f t="shared" si="43"/>
        <v/>
      </c>
      <c r="AE372" s="590" t="str">
        <f t="shared" si="43"/>
        <v/>
      </c>
      <c r="AF372" s="590" t="str">
        <f t="shared" si="43"/>
        <v/>
      </c>
      <c r="AG372" s="590" t="str">
        <f t="shared" si="43"/>
        <v/>
      </c>
      <c r="AH372" s="590" t="str">
        <f t="shared" si="43"/>
        <v/>
      </c>
      <c r="AI372" s="590" t="str">
        <f t="shared" si="43"/>
        <v/>
      </c>
      <c r="AJ372" s="590" t="b">
        <f t="shared" si="43"/>
        <v>1</v>
      </c>
      <c r="AK372" s="590" t="str">
        <f t="shared" si="43"/>
        <v/>
      </c>
      <c r="AL372" s="496"/>
      <c r="AM372" s="496"/>
      <c r="AN372" s="30"/>
      <c r="AO372" s="17"/>
      <c r="AP372" s="9"/>
      <c r="AQ372" s="9"/>
      <c r="AR372" s="9"/>
    </row>
    <row r="373" spans="1:44" customFormat="1" ht="12" customHeight="1" outlineLevel="2" x14ac:dyDescent="0.25">
      <c r="A373" s="7"/>
      <c r="B373" s="8"/>
      <c r="C373" s="18"/>
      <c r="D373" s="18"/>
      <c r="E373" s="18"/>
      <c r="F373" s="24"/>
      <c r="G373" s="551"/>
      <c r="H373" s="25"/>
      <c r="I373" s="514" t="str">
        <f>General!G46</f>
        <v>o</v>
      </c>
      <c r="J373" s="590" t="str">
        <f t="shared" ref="J373:AK376" si="44">IF(ISBLANK(J335),"",J335)</f>
        <v/>
      </c>
      <c r="K373" s="590" t="str">
        <f t="shared" si="44"/>
        <v/>
      </c>
      <c r="L373" s="590" t="str">
        <f t="shared" si="44"/>
        <v/>
      </c>
      <c r="M373" s="590" t="str">
        <f t="shared" si="44"/>
        <v/>
      </c>
      <c r="N373" s="590" t="str">
        <f t="shared" si="44"/>
        <v/>
      </c>
      <c r="O373" s="590" t="str">
        <f t="shared" si="44"/>
        <v/>
      </c>
      <c r="P373" s="590" t="str">
        <f t="shared" si="44"/>
        <v/>
      </c>
      <c r="Q373" s="590" t="str">
        <f t="shared" si="44"/>
        <v/>
      </c>
      <c r="R373" s="590" t="str">
        <f t="shared" si="44"/>
        <v/>
      </c>
      <c r="S373" s="590" t="b">
        <f t="shared" si="44"/>
        <v>1</v>
      </c>
      <c r="T373" s="590" t="str">
        <f t="shared" si="44"/>
        <v/>
      </c>
      <c r="U373" s="590" t="str">
        <f t="shared" si="44"/>
        <v/>
      </c>
      <c r="V373" s="590" t="str">
        <f t="shared" si="44"/>
        <v/>
      </c>
      <c r="W373" s="590" t="b">
        <f t="shared" si="44"/>
        <v>1</v>
      </c>
      <c r="X373" s="590" t="str">
        <f t="shared" si="44"/>
        <v/>
      </c>
      <c r="Y373" s="590" t="str">
        <f t="shared" si="44"/>
        <v/>
      </c>
      <c r="Z373" s="590" t="str">
        <f t="shared" si="44"/>
        <v/>
      </c>
      <c r="AA373" s="590" t="b">
        <f t="shared" si="44"/>
        <v>1</v>
      </c>
      <c r="AB373" s="590" t="str">
        <f t="shared" si="44"/>
        <v/>
      </c>
      <c r="AC373" s="590" t="b">
        <f t="shared" si="44"/>
        <v>1</v>
      </c>
      <c r="AD373" s="590" t="str">
        <f t="shared" si="44"/>
        <v/>
      </c>
      <c r="AE373" s="590" t="str">
        <f t="shared" si="44"/>
        <v/>
      </c>
      <c r="AF373" s="590" t="str">
        <f t="shared" si="44"/>
        <v/>
      </c>
      <c r="AG373" s="590" t="str">
        <f t="shared" si="44"/>
        <v/>
      </c>
      <c r="AH373" s="590" t="str">
        <f t="shared" si="44"/>
        <v/>
      </c>
      <c r="AI373" s="590" t="str">
        <f t="shared" si="44"/>
        <v/>
      </c>
      <c r="AJ373" s="590" t="str">
        <f t="shared" si="44"/>
        <v/>
      </c>
      <c r="AK373" s="590" t="str">
        <f t="shared" si="44"/>
        <v/>
      </c>
      <c r="AL373" s="496"/>
      <c r="AM373" s="496"/>
      <c r="AN373" s="30" t="b">
        <f t="shared" si="30"/>
        <v>1</v>
      </c>
      <c r="AO373" s="17"/>
      <c r="AP373" s="9"/>
      <c r="AQ373" s="9"/>
      <c r="AR373" s="9"/>
    </row>
    <row r="374" spans="1:44" customFormat="1" ht="12" customHeight="1" outlineLevel="2" x14ac:dyDescent="0.25">
      <c r="A374" s="7"/>
      <c r="B374" s="8"/>
      <c r="C374" s="18"/>
      <c r="D374" s="18"/>
      <c r="E374" s="18"/>
      <c r="F374" s="24"/>
      <c r="G374" s="551"/>
      <c r="H374" s="25"/>
      <c r="I374" s="514" t="str">
        <f>General!G47</f>
        <v>od</v>
      </c>
      <c r="J374" s="590" t="str">
        <f t="shared" si="44"/>
        <v/>
      </c>
      <c r="K374" s="590" t="str">
        <f t="shared" si="44"/>
        <v/>
      </c>
      <c r="L374" s="590" t="str">
        <f t="shared" si="44"/>
        <v/>
      </c>
      <c r="M374" s="590" t="str">
        <f t="shared" si="44"/>
        <v/>
      </c>
      <c r="N374" s="590" t="str">
        <f t="shared" si="44"/>
        <v/>
      </c>
      <c r="O374" s="590" t="str">
        <f t="shared" si="44"/>
        <v/>
      </c>
      <c r="P374" s="590" t="str">
        <f t="shared" si="44"/>
        <v/>
      </c>
      <c r="Q374" s="590" t="str">
        <f t="shared" si="44"/>
        <v/>
      </c>
      <c r="R374" s="590" t="str">
        <f t="shared" si="44"/>
        <v/>
      </c>
      <c r="S374" s="590" t="b">
        <f t="shared" si="44"/>
        <v>1</v>
      </c>
      <c r="T374" s="590" t="str">
        <f t="shared" si="44"/>
        <v/>
      </c>
      <c r="U374" s="590" t="str">
        <f t="shared" si="44"/>
        <v/>
      </c>
      <c r="V374" s="590" t="str">
        <f t="shared" si="44"/>
        <v/>
      </c>
      <c r="W374" s="590" t="b">
        <f t="shared" si="44"/>
        <v>1</v>
      </c>
      <c r="X374" s="590" t="str">
        <f t="shared" si="44"/>
        <v/>
      </c>
      <c r="Y374" s="590" t="str">
        <f t="shared" si="44"/>
        <v/>
      </c>
      <c r="Z374" s="590" t="str">
        <f t="shared" si="44"/>
        <v/>
      </c>
      <c r="AA374" s="590" t="b">
        <f t="shared" si="44"/>
        <v>1</v>
      </c>
      <c r="AB374" s="590" t="str">
        <f t="shared" si="44"/>
        <v/>
      </c>
      <c r="AC374" s="590" t="b">
        <f t="shared" si="44"/>
        <v>1</v>
      </c>
      <c r="AD374" s="590" t="str">
        <f t="shared" si="44"/>
        <v/>
      </c>
      <c r="AE374" s="590" t="str">
        <f t="shared" si="44"/>
        <v/>
      </c>
      <c r="AF374" s="590" t="str">
        <f t="shared" si="44"/>
        <v/>
      </c>
      <c r="AG374" s="590" t="str">
        <f t="shared" si="44"/>
        <v/>
      </c>
      <c r="AH374" s="590" t="str">
        <f t="shared" si="44"/>
        <v/>
      </c>
      <c r="AI374" s="590" t="str">
        <f t="shared" si="44"/>
        <v/>
      </c>
      <c r="AJ374" s="590" t="str">
        <f t="shared" si="44"/>
        <v/>
      </c>
      <c r="AK374" s="590" t="str">
        <f t="shared" si="44"/>
        <v/>
      </c>
      <c r="AL374" s="496"/>
      <c r="AM374" s="496"/>
      <c r="AN374" s="30" t="b">
        <f t="shared" si="30"/>
        <v>1</v>
      </c>
      <c r="AO374" s="17"/>
      <c r="AP374" s="9"/>
      <c r="AQ374" s="9"/>
      <c r="AR374" s="9"/>
    </row>
    <row r="375" spans="1:44" customFormat="1" ht="12" customHeight="1" outlineLevel="2" x14ac:dyDescent="0.25">
      <c r="A375" s="7"/>
      <c r="B375" s="8"/>
      <c r="C375" s="18"/>
      <c r="D375" s="18"/>
      <c r="E375" s="18"/>
      <c r="F375" s="24"/>
      <c r="G375" s="551"/>
      <c r="H375" s="25"/>
      <c r="I375" s="514" t="str">
        <f>General!G48</f>
        <v>of</v>
      </c>
      <c r="J375" s="590" t="str">
        <f t="shared" si="44"/>
        <v/>
      </c>
      <c r="K375" s="590" t="str">
        <f t="shared" si="44"/>
        <v/>
      </c>
      <c r="L375" s="590" t="str">
        <f t="shared" si="44"/>
        <v/>
      </c>
      <c r="M375" s="590" t="str">
        <f t="shared" si="44"/>
        <v/>
      </c>
      <c r="N375" s="590" t="str">
        <f t="shared" si="44"/>
        <v/>
      </c>
      <c r="O375" s="590" t="str">
        <f t="shared" si="44"/>
        <v/>
      </c>
      <c r="P375" s="590" t="str">
        <f t="shared" si="44"/>
        <v/>
      </c>
      <c r="Q375" s="590" t="str">
        <f t="shared" si="44"/>
        <v/>
      </c>
      <c r="R375" s="590" t="str">
        <f t="shared" si="44"/>
        <v/>
      </c>
      <c r="S375" s="590" t="b">
        <f t="shared" si="44"/>
        <v>1</v>
      </c>
      <c r="T375" s="590" t="str">
        <f t="shared" si="44"/>
        <v/>
      </c>
      <c r="U375" s="590" t="str">
        <f t="shared" si="44"/>
        <v/>
      </c>
      <c r="V375" s="590" t="str">
        <f t="shared" si="44"/>
        <v/>
      </c>
      <c r="W375" s="590" t="b">
        <f t="shared" si="44"/>
        <v>1</v>
      </c>
      <c r="X375" s="590" t="str">
        <f t="shared" si="44"/>
        <v/>
      </c>
      <c r="Y375" s="590" t="str">
        <f t="shared" si="44"/>
        <v/>
      </c>
      <c r="Z375" s="590" t="str">
        <f t="shared" si="44"/>
        <v/>
      </c>
      <c r="AA375" s="590" t="b">
        <f t="shared" si="44"/>
        <v>1</v>
      </c>
      <c r="AB375" s="590" t="str">
        <f t="shared" si="44"/>
        <v/>
      </c>
      <c r="AC375" s="590" t="b">
        <f t="shared" si="44"/>
        <v>1</v>
      </c>
      <c r="AD375" s="590" t="str">
        <f t="shared" si="44"/>
        <v/>
      </c>
      <c r="AE375" s="590" t="str">
        <f t="shared" si="44"/>
        <v/>
      </c>
      <c r="AF375" s="590" t="str">
        <f t="shared" si="44"/>
        <v/>
      </c>
      <c r="AG375" s="590" t="str">
        <f t="shared" si="44"/>
        <v/>
      </c>
      <c r="AH375" s="590" t="str">
        <f t="shared" si="44"/>
        <v/>
      </c>
      <c r="AI375" s="590" t="str">
        <f t="shared" si="44"/>
        <v/>
      </c>
      <c r="AJ375" s="590" t="str">
        <f t="shared" si="44"/>
        <v/>
      </c>
      <c r="AK375" s="590" t="str">
        <f t="shared" si="44"/>
        <v/>
      </c>
      <c r="AL375" s="496"/>
      <c r="AM375" s="496"/>
      <c r="AN375" s="30" t="b">
        <f t="shared" si="30"/>
        <v>1</v>
      </c>
      <c r="AO375" s="17"/>
      <c r="AP375" s="9"/>
      <c r="AQ375" s="9"/>
      <c r="AR375" s="9"/>
    </row>
    <row r="376" spans="1:44" customFormat="1" ht="12" customHeight="1" outlineLevel="2" x14ac:dyDescent="0.25">
      <c r="A376" s="7"/>
      <c r="B376" s="8"/>
      <c r="C376" s="18"/>
      <c r="D376" s="18"/>
      <c r="E376" s="18"/>
      <c r="F376" s="24"/>
      <c r="G376" s="551"/>
      <c r="H376" s="25"/>
      <c r="I376" s="514" t="str">
        <f>General!G49</f>
        <v>r</v>
      </c>
      <c r="J376" s="590" t="str">
        <f t="shared" si="44"/>
        <v/>
      </c>
      <c r="K376" s="590" t="str">
        <f t="shared" si="44"/>
        <v/>
      </c>
      <c r="L376" s="590" t="str">
        <f t="shared" si="44"/>
        <v/>
      </c>
      <c r="M376" s="590" t="str">
        <f t="shared" ref="M376:AK376" si="45">IF(ISBLANK(M338),"",M338)</f>
        <v/>
      </c>
      <c r="N376" s="590" t="str">
        <f t="shared" si="45"/>
        <v/>
      </c>
      <c r="O376" s="590" t="str">
        <f t="shared" si="45"/>
        <v/>
      </c>
      <c r="P376" s="590" t="str">
        <f t="shared" si="45"/>
        <v/>
      </c>
      <c r="Q376" s="590" t="str">
        <f t="shared" si="45"/>
        <v/>
      </c>
      <c r="R376" s="590" t="str">
        <f t="shared" si="45"/>
        <v/>
      </c>
      <c r="S376" s="590" t="str">
        <f t="shared" si="45"/>
        <v/>
      </c>
      <c r="T376" s="590" t="str">
        <f t="shared" si="45"/>
        <v/>
      </c>
      <c r="U376" s="590" t="b">
        <f t="shared" si="45"/>
        <v>1</v>
      </c>
      <c r="V376" s="590" t="str">
        <f t="shared" si="45"/>
        <v/>
      </c>
      <c r="W376" s="590" t="str">
        <f t="shared" si="45"/>
        <v/>
      </c>
      <c r="X376" s="590" t="str">
        <f t="shared" si="45"/>
        <v/>
      </c>
      <c r="Y376" s="590" t="b">
        <f t="shared" si="45"/>
        <v>1</v>
      </c>
      <c r="Z376" s="590" t="str">
        <f t="shared" si="45"/>
        <v/>
      </c>
      <c r="AA376" s="590" t="str">
        <f t="shared" si="45"/>
        <v/>
      </c>
      <c r="AB376" s="590" t="str">
        <f t="shared" si="45"/>
        <v/>
      </c>
      <c r="AC376" s="590" t="str">
        <f t="shared" si="45"/>
        <v/>
      </c>
      <c r="AD376" s="590" t="str">
        <f t="shared" si="45"/>
        <v/>
      </c>
      <c r="AE376" s="590" t="str">
        <f t="shared" si="45"/>
        <v/>
      </c>
      <c r="AF376" s="590" t="str">
        <f t="shared" si="45"/>
        <v/>
      </c>
      <c r="AG376" s="590" t="str">
        <f t="shared" si="45"/>
        <v/>
      </c>
      <c r="AH376" s="590" t="str">
        <f t="shared" si="45"/>
        <v/>
      </c>
      <c r="AI376" s="590" t="str">
        <f t="shared" si="45"/>
        <v/>
      </c>
      <c r="AJ376" s="590" t="str">
        <f t="shared" si="45"/>
        <v/>
      </c>
      <c r="AK376" s="590" t="str">
        <f t="shared" si="45"/>
        <v/>
      </c>
      <c r="AL376" s="496"/>
      <c r="AM376" s="496"/>
      <c r="AN376" s="30" t="b">
        <f t="shared" si="30"/>
        <v>1</v>
      </c>
      <c r="AO376" s="17"/>
      <c r="AP376" s="9"/>
      <c r="AQ376" s="9"/>
      <c r="AR376" s="9"/>
    </row>
    <row r="377" spans="1:44" customFormat="1" ht="12" customHeight="1" outlineLevel="2" x14ac:dyDescent="0.25">
      <c r="A377" s="7"/>
      <c r="B377" s="8"/>
      <c r="C377" s="18"/>
      <c r="D377" s="18"/>
      <c r="E377" s="18"/>
      <c r="F377" s="24"/>
      <c r="G377" s="551"/>
      <c r="H377" s="25"/>
      <c r="I377" s="514" t="str">
        <f>General!G50</f>
        <v>rd</v>
      </c>
      <c r="J377" s="590" t="str">
        <f t="shared" ref="J377:AK382" si="46">IF(ISBLANK(J339),"",J339)</f>
        <v/>
      </c>
      <c r="K377" s="590" t="str">
        <f t="shared" si="46"/>
        <v/>
      </c>
      <c r="L377" s="590" t="str">
        <f t="shared" si="46"/>
        <v/>
      </c>
      <c r="M377" s="590" t="str">
        <f t="shared" si="46"/>
        <v/>
      </c>
      <c r="N377" s="590" t="str">
        <f t="shared" si="46"/>
        <v/>
      </c>
      <c r="O377" s="590" t="str">
        <f t="shared" si="46"/>
        <v/>
      </c>
      <c r="P377" s="590" t="str">
        <f t="shared" si="46"/>
        <v/>
      </c>
      <c r="Q377" s="590" t="str">
        <f t="shared" si="46"/>
        <v/>
      </c>
      <c r="R377" s="590" t="str">
        <f t="shared" si="46"/>
        <v/>
      </c>
      <c r="S377" s="590" t="str">
        <f t="shared" si="46"/>
        <v/>
      </c>
      <c r="T377" s="590" t="str">
        <f t="shared" si="46"/>
        <v/>
      </c>
      <c r="U377" s="590" t="b">
        <f t="shared" si="46"/>
        <v>1</v>
      </c>
      <c r="V377" s="590" t="str">
        <f t="shared" si="46"/>
        <v/>
      </c>
      <c r="W377" s="590" t="str">
        <f t="shared" si="46"/>
        <v/>
      </c>
      <c r="X377" s="590" t="str">
        <f t="shared" si="46"/>
        <v/>
      </c>
      <c r="Y377" s="590" t="b">
        <f t="shared" si="46"/>
        <v>1</v>
      </c>
      <c r="Z377" s="590" t="str">
        <f t="shared" si="46"/>
        <v/>
      </c>
      <c r="AA377" s="590" t="str">
        <f t="shared" si="46"/>
        <v/>
      </c>
      <c r="AB377" s="590" t="str">
        <f t="shared" si="46"/>
        <v/>
      </c>
      <c r="AC377" s="590" t="str">
        <f t="shared" si="46"/>
        <v/>
      </c>
      <c r="AD377" s="590" t="str">
        <f t="shared" si="46"/>
        <v/>
      </c>
      <c r="AE377" s="590" t="str">
        <f t="shared" si="46"/>
        <v/>
      </c>
      <c r="AF377" s="590" t="str">
        <f t="shared" si="46"/>
        <v/>
      </c>
      <c r="AG377" s="590" t="str">
        <f t="shared" si="46"/>
        <v/>
      </c>
      <c r="AH377" s="590" t="str">
        <f t="shared" si="46"/>
        <v/>
      </c>
      <c r="AI377" s="590" t="str">
        <f t="shared" si="46"/>
        <v/>
      </c>
      <c r="AJ377" s="590" t="str">
        <f t="shared" si="46"/>
        <v/>
      </c>
      <c r="AK377" s="590" t="str">
        <f t="shared" si="46"/>
        <v/>
      </c>
      <c r="AL377" s="496"/>
      <c r="AM377" s="496"/>
      <c r="AN377" s="30" t="b">
        <f t="shared" si="30"/>
        <v>1</v>
      </c>
      <c r="AO377" s="17"/>
      <c r="AP377" s="9"/>
      <c r="AQ377" s="9"/>
      <c r="AR377" s="9"/>
    </row>
    <row r="378" spans="1:44" customFormat="1" ht="12" customHeight="1" outlineLevel="2" x14ac:dyDescent="0.25">
      <c r="A378" s="7"/>
      <c r="B378" s="8"/>
      <c r="C378" s="18"/>
      <c r="D378" s="18"/>
      <c r="E378" s="18"/>
      <c r="F378" s="24"/>
      <c r="G378" s="551"/>
      <c r="H378" s="25"/>
      <c r="I378" s="514" t="str">
        <f>General!G51</f>
        <v>v</v>
      </c>
      <c r="J378" s="590" t="str">
        <f t="shared" si="46"/>
        <v/>
      </c>
      <c r="K378" s="590" t="str">
        <f t="shared" si="46"/>
        <v/>
      </c>
      <c r="L378" s="590" t="str">
        <f t="shared" si="46"/>
        <v/>
      </c>
      <c r="M378" s="590" t="str">
        <f t="shared" si="46"/>
        <v/>
      </c>
      <c r="N378" s="590" t="str">
        <f t="shared" si="46"/>
        <v/>
      </c>
      <c r="O378" s="590" t="str">
        <f t="shared" si="46"/>
        <v/>
      </c>
      <c r="P378" s="590" t="str">
        <f t="shared" si="46"/>
        <v/>
      </c>
      <c r="Q378" s="590" t="str">
        <f t="shared" si="46"/>
        <v/>
      </c>
      <c r="R378" s="590" t="str">
        <f t="shared" si="46"/>
        <v/>
      </c>
      <c r="S378" s="590" t="str">
        <f t="shared" si="46"/>
        <v/>
      </c>
      <c r="T378" s="590" t="str">
        <f t="shared" si="46"/>
        <v/>
      </c>
      <c r="U378" s="590" t="str">
        <f t="shared" si="46"/>
        <v/>
      </c>
      <c r="V378" s="590" t="str">
        <f t="shared" si="46"/>
        <v/>
      </c>
      <c r="W378" s="590" t="str">
        <f t="shared" si="46"/>
        <v/>
      </c>
      <c r="X378" s="590" t="str">
        <f t="shared" si="46"/>
        <v/>
      </c>
      <c r="Y378" s="590" t="str">
        <f t="shared" si="46"/>
        <v/>
      </c>
      <c r="Z378" s="590" t="str">
        <f t="shared" si="46"/>
        <v/>
      </c>
      <c r="AA378" s="590" t="str">
        <f t="shared" si="46"/>
        <v/>
      </c>
      <c r="AB378" s="590" t="str">
        <f t="shared" si="46"/>
        <v/>
      </c>
      <c r="AC378" s="590" t="str">
        <f t="shared" si="46"/>
        <v/>
      </c>
      <c r="AD378" s="590" t="str">
        <f t="shared" si="46"/>
        <v/>
      </c>
      <c r="AE378" s="590" t="str">
        <f t="shared" si="46"/>
        <v/>
      </c>
      <c r="AF378" s="590" t="str">
        <f t="shared" si="46"/>
        <v/>
      </c>
      <c r="AG378" s="590" t="str">
        <f t="shared" si="46"/>
        <v/>
      </c>
      <c r="AH378" s="590" t="str">
        <f t="shared" si="46"/>
        <v/>
      </c>
      <c r="AI378" s="590" t="str">
        <f t="shared" si="46"/>
        <v/>
      </c>
      <c r="AJ378" s="590" t="b">
        <f t="shared" si="46"/>
        <v>1</v>
      </c>
      <c r="AK378" s="590" t="str">
        <f t="shared" si="46"/>
        <v/>
      </c>
      <c r="AL378" s="496"/>
      <c r="AM378" s="496"/>
      <c r="AN378" s="30" t="b">
        <f t="shared" si="30"/>
        <v>1</v>
      </c>
      <c r="AO378" s="17"/>
      <c r="AP378" s="9"/>
      <c r="AQ378" s="9"/>
      <c r="AR378" s="9"/>
    </row>
    <row r="379" spans="1:44" customFormat="1" ht="12" customHeight="1" outlineLevel="2" x14ac:dyDescent="0.25">
      <c r="A379" s="7"/>
      <c r="B379" s="8"/>
      <c r="C379" s="18"/>
      <c r="D379" s="18"/>
      <c r="E379" s="18"/>
      <c r="F379" s="24"/>
      <c r="G379" s="551"/>
      <c r="H379" s="25"/>
      <c r="I379" s="514" t="str">
        <f>General!G52</f>
        <v>w</v>
      </c>
      <c r="J379" s="590" t="str">
        <f t="shared" si="46"/>
        <v/>
      </c>
      <c r="K379" s="590" t="str">
        <f t="shared" si="46"/>
        <v/>
      </c>
      <c r="L379" s="590" t="str">
        <f t="shared" si="46"/>
        <v/>
      </c>
      <c r="M379" s="590" t="str">
        <f t="shared" si="46"/>
        <v/>
      </c>
      <c r="N379" s="590" t="str">
        <f t="shared" si="46"/>
        <v/>
      </c>
      <c r="O379" s="590" t="str">
        <f t="shared" si="46"/>
        <v/>
      </c>
      <c r="P379" s="590" t="str">
        <f t="shared" si="46"/>
        <v/>
      </c>
      <c r="Q379" s="590" t="str">
        <f t="shared" si="46"/>
        <v/>
      </c>
      <c r="R379" s="590" t="str">
        <f t="shared" si="46"/>
        <v/>
      </c>
      <c r="S379" s="590" t="str">
        <f t="shared" si="46"/>
        <v/>
      </c>
      <c r="T379" s="590" t="str">
        <f t="shared" si="46"/>
        <v/>
      </c>
      <c r="U379" s="590" t="str">
        <f t="shared" si="46"/>
        <v/>
      </c>
      <c r="V379" s="590" t="str">
        <f t="shared" si="46"/>
        <v/>
      </c>
      <c r="W379" s="590" t="b">
        <f t="shared" si="46"/>
        <v>1</v>
      </c>
      <c r="X379" s="590" t="str">
        <f t="shared" si="46"/>
        <v/>
      </c>
      <c r="Y379" s="590" t="str">
        <f t="shared" si="46"/>
        <v/>
      </c>
      <c r="Z379" s="590" t="str">
        <f t="shared" si="46"/>
        <v/>
      </c>
      <c r="AA379" s="590" t="b">
        <f t="shared" si="46"/>
        <v>1</v>
      </c>
      <c r="AB379" s="590" t="str">
        <f t="shared" si="46"/>
        <v/>
      </c>
      <c r="AC379" s="590" t="b">
        <f t="shared" si="46"/>
        <v>1</v>
      </c>
      <c r="AD379" s="590" t="str">
        <f t="shared" si="46"/>
        <v/>
      </c>
      <c r="AE379" s="590" t="str">
        <f t="shared" si="46"/>
        <v/>
      </c>
      <c r="AF379" s="590" t="str">
        <f t="shared" si="46"/>
        <v/>
      </c>
      <c r="AG379" s="590" t="str">
        <f t="shared" si="46"/>
        <v/>
      </c>
      <c r="AH379" s="590" t="str">
        <f t="shared" si="46"/>
        <v/>
      </c>
      <c r="AI379" s="590" t="str">
        <f t="shared" si="46"/>
        <v/>
      </c>
      <c r="AJ379" s="590" t="str">
        <f t="shared" si="46"/>
        <v/>
      </c>
      <c r="AK379" s="590" t="str">
        <f t="shared" si="46"/>
        <v/>
      </c>
      <c r="AL379" s="496"/>
      <c r="AM379" s="496"/>
      <c r="AN379" s="30" t="b">
        <f t="shared" si="30"/>
        <v>1</v>
      </c>
      <c r="AO379" s="17"/>
      <c r="AP379" s="9"/>
      <c r="AQ379" s="9"/>
      <c r="AR379" s="9"/>
    </row>
    <row r="380" spans="1:44" customFormat="1" outlineLevel="2" x14ac:dyDescent="0.25">
      <c r="A380" s="7"/>
      <c r="B380" s="8"/>
      <c r="C380" s="18"/>
      <c r="D380" s="18"/>
      <c r="E380" s="18"/>
      <c r="F380" s="24"/>
      <c r="G380" s="551"/>
      <c r="H380" s="25"/>
      <c r="I380" s="514" t="str">
        <f>General!G53</f>
        <v>wd</v>
      </c>
      <c r="J380" s="590" t="str">
        <f t="shared" si="46"/>
        <v/>
      </c>
      <c r="K380" s="590" t="str">
        <f t="shared" si="46"/>
        <v/>
      </c>
      <c r="L380" s="590" t="str">
        <f t="shared" si="46"/>
        <v/>
      </c>
      <c r="M380" s="590" t="str">
        <f t="shared" si="46"/>
        <v/>
      </c>
      <c r="N380" s="590" t="str">
        <f t="shared" si="46"/>
        <v/>
      </c>
      <c r="O380" s="590" t="str">
        <f t="shared" si="46"/>
        <v/>
      </c>
      <c r="P380" s="590" t="str">
        <f t="shared" si="46"/>
        <v/>
      </c>
      <c r="Q380" s="590" t="str">
        <f t="shared" si="46"/>
        <v/>
      </c>
      <c r="R380" s="590" t="str">
        <f t="shared" si="46"/>
        <v/>
      </c>
      <c r="S380" s="590" t="str">
        <f t="shared" si="46"/>
        <v/>
      </c>
      <c r="T380" s="590" t="str">
        <f t="shared" si="46"/>
        <v/>
      </c>
      <c r="U380" s="590" t="str">
        <f t="shared" si="46"/>
        <v/>
      </c>
      <c r="V380" s="590" t="str">
        <f t="shared" si="46"/>
        <v/>
      </c>
      <c r="W380" s="590" t="b">
        <f t="shared" si="46"/>
        <v>1</v>
      </c>
      <c r="X380" s="590" t="str">
        <f t="shared" si="46"/>
        <v/>
      </c>
      <c r="Y380" s="590" t="str">
        <f t="shared" si="46"/>
        <v/>
      </c>
      <c r="Z380" s="590" t="str">
        <f t="shared" si="46"/>
        <v/>
      </c>
      <c r="AA380" s="590" t="b">
        <f t="shared" si="46"/>
        <v>1</v>
      </c>
      <c r="AB380" s="590" t="str">
        <f t="shared" si="46"/>
        <v/>
      </c>
      <c r="AC380" s="590" t="b">
        <f t="shared" si="46"/>
        <v>1</v>
      </c>
      <c r="AD380" s="590" t="str">
        <f t="shared" si="46"/>
        <v/>
      </c>
      <c r="AE380" s="590" t="str">
        <f t="shared" si="46"/>
        <v/>
      </c>
      <c r="AF380" s="590" t="str">
        <f t="shared" si="46"/>
        <v/>
      </c>
      <c r="AG380" s="590" t="str">
        <f t="shared" si="46"/>
        <v/>
      </c>
      <c r="AH380" s="590" t="str">
        <f t="shared" si="46"/>
        <v/>
      </c>
      <c r="AI380" s="590" t="str">
        <f t="shared" si="46"/>
        <v/>
      </c>
      <c r="AJ380" s="590" t="str">
        <f t="shared" si="46"/>
        <v/>
      </c>
      <c r="AK380" s="590" t="str">
        <f t="shared" si="46"/>
        <v/>
      </c>
      <c r="AL380" s="496"/>
      <c r="AM380" s="496"/>
      <c r="AN380" s="30" t="b">
        <f t="shared" si="30"/>
        <v>1</v>
      </c>
      <c r="AO380" s="17"/>
      <c r="AP380" s="9"/>
      <c r="AQ380" s="9"/>
      <c r="AR380" s="9"/>
    </row>
    <row r="381" spans="1:44" customFormat="1" outlineLevel="2" x14ac:dyDescent="0.25">
      <c r="A381" s="7"/>
      <c r="B381" s="8"/>
      <c r="C381" s="18"/>
      <c r="D381" s="18"/>
      <c r="E381" s="18"/>
      <c r="F381" s="24"/>
      <c r="G381" s="551"/>
      <c r="H381" s="24"/>
      <c r="I381" s="514" t="str">
        <f>General!G54</f>
        <v>z</v>
      </c>
      <c r="J381" s="590" t="str">
        <f t="shared" si="46"/>
        <v/>
      </c>
      <c r="K381" s="590" t="str">
        <f t="shared" si="46"/>
        <v/>
      </c>
      <c r="L381" s="590" t="str">
        <f t="shared" si="46"/>
        <v/>
      </c>
      <c r="M381" s="590" t="str">
        <f t="shared" si="46"/>
        <v/>
      </c>
      <c r="N381" s="590" t="str">
        <f t="shared" si="46"/>
        <v/>
      </c>
      <c r="O381" s="590" t="str">
        <f t="shared" si="46"/>
        <v/>
      </c>
      <c r="P381" s="590" t="str">
        <f t="shared" si="46"/>
        <v/>
      </c>
      <c r="Q381" s="590" t="str">
        <f t="shared" si="46"/>
        <v/>
      </c>
      <c r="R381" s="590" t="str">
        <f t="shared" si="46"/>
        <v/>
      </c>
      <c r="S381" s="590" t="str">
        <f t="shared" si="46"/>
        <v/>
      </c>
      <c r="T381" s="590" t="str">
        <f t="shared" si="46"/>
        <v/>
      </c>
      <c r="U381" s="590" t="b">
        <f t="shared" si="46"/>
        <v>1</v>
      </c>
      <c r="V381" s="590" t="str">
        <f t="shared" si="46"/>
        <v/>
      </c>
      <c r="W381" s="590" t="str">
        <f t="shared" si="46"/>
        <v/>
      </c>
      <c r="X381" s="590" t="str">
        <f t="shared" si="46"/>
        <v/>
      </c>
      <c r="Y381" s="590" t="b">
        <f t="shared" si="46"/>
        <v>1</v>
      </c>
      <c r="Z381" s="590" t="str">
        <f t="shared" si="46"/>
        <v/>
      </c>
      <c r="AA381" s="590" t="str">
        <f t="shared" si="46"/>
        <v/>
      </c>
      <c r="AB381" s="590" t="str">
        <f t="shared" si="46"/>
        <v/>
      </c>
      <c r="AC381" s="590" t="str">
        <f t="shared" si="46"/>
        <v/>
      </c>
      <c r="AD381" s="590" t="str">
        <f t="shared" si="46"/>
        <v/>
      </c>
      <c r="AE381" s="590" t="str">
        <f t="shared" si="46"/>
        <v/>
      </c>
      <c r="AF381" s="590" t="str">
        <f t="shared" si="46"/>
        <v/>
      </c>
      <c r="AG381" s="590" t="str">
        <f t="shared" si="46"/>
        <v/>
      </c>
      <c r="AH381" s="590" t="str">
        <f t="shared" si="46"/>
        <v/>
      </c>
      <c r="AI381" s="590" t="str">
        <f t="shared" si="46"/>
        <v/>
      </c>
      <c r="AJ381" s="590" t="str">
        <f t="shared" si="46"/>
        <v/>
      </c>
      <c r="AK381" s="590" t="str">
        <f t="shared" si="46"/>
        <v/>
      </c>
      <c r="AL381" s="496"/>
      <c r="AM381" s="496"/>
      <c r="AN381" s="30" t="b">
        <f t="shared" si="30"/>
        <v>1</v>
      </c>
      <c r="AO381" s="17"/>
      <c r="AP381" s="9"/>
      <c r="AQ381" s="9"/>
      <c r="AR381" s="9"/>
    </row>
    <row r="382" spans="1:44" customFormat="1" outlineLevel="2" x14ac:dyDescent="0.25">
      <c r="A382" s="7"/>
      <c r="B382" s="8"/>
      <c r="C382" s="18"/>
      <c r="D382" s="18"/>
      <c r="E382" s="18"/>
      <c r="F382" s="24"/>
      <c r="G382" s="551"/>
      <c r="H382" s="24"/>
      <c r="I382" s="514" t="str">
        <f>General!G55</f>
        <v>zd</v>
      </c>
      <c r="J382" s="590" t="str">
        <f t="shared" si="46"/>
        <v/>
      </c>
      <c r="K382" s="590" t="str">
        <f t="shared" si="46"/>
        <v/>
      </c>
      <c r="L382" s="590" t="str">
        <f t="shared" si="46"/>
        <v/>
      </c>
      <c r="M382" s="590" t="str">
        <f t="shared" si="46"/>
        <v/>
      </c>
      <c r="N382" s="590" t="str">
        <f t="shared" si="46"/>
        <v/>
      </c>
      <c r="O382" s="590" t="str">
        <f t="shared" si="46"/>
        <v/>
      </c>
      <c r="P382" s="590" t="str">
        <f t="shared" si="46"/>
        <v/>
      </c>
      <c r="Q382" s="590" t="str">
        <f t="shared" si="46"/>
        <v/>
      </c>
      <c r="R382" s="590" t="str">
        <f t="shared" si="46"/>
        <v/>
      </c>
      <c r="S382" s="590" t="str">
        <f t="shared" si="46"/>
        <v/>
      </c>
      <c r="T382" s="590" t="str">
        <f t="shared" si="46"/>
        <v/>
      </c>
      <c r="U382" s="590" t="b">
        <f t="shared" si="46"/>
        <v>1</v>
      </c>
      <c r="V382" s="590" t="str">
        <f t="shared" si="46"/>
        <v/>
      </c>
      <c r="W382" s="590" t="str">
        <f t="shared" si="46"/>
        <v/>
      </c>
      <c r="X382" s="590" t="str">
        <f t="shared" si="46"/>
        <v/>
      </c>
      <c r="Y382" s="590" t="b">
        <f t="shared" si="46"/>
        <v>1</v>
      </c>
      <c r="Z382" s="590" t="str">
        <f t="shared" si="46"/>
        <v/>
      </c>
      <c r="AA382" s="590" t="str">
        <f t="shared" si="46"/>
        <v/>
      </c>
      <c r="AB382" s="590" t="str">
        <f t="shared" si="46"/>
        <v/>
      </c>
      <c r="AC382" s="590" t="str">
        <f t="shared" si="46"/>
        <v/>
      </c>
      <c r="AD382" s="590" t="str">
        <f t="shared" si="46"/>
        <v/>
      </c>
      <c r="AE382" s="590" t="str">
        <f t="shared" si="46"/>
        <v/>
      </c>
      <c r="AF382" s="590" t="str">
        <f t="shared" si="46"/>
        <v/>
      </c>
      <c r="AG382" s="590" t="str">
        <f t="shared" si="46"/>
        <v/>
      </c>
      <c r="AH382" s="590" t="str">
        <f t="shared" si="46"/>
        <v/>
      </c>
      <c r="AI382" s="590" t="str">
        <f t="shared" si="46"/>
        <v/>
      </c>
      <c r="AJ382" s="590" t="str">
        <f t="shared" si="46"/>
        <v/>
      </c>
      <c r="AK382" s="590" t="str">
        <f t="shared" si="46"/>
        <v/>
      </c>
      <c r="AL382" s="496"/>
      <c r="AM382" s="496"/>
      <c r="AN382" s="30" t="b">
        <f t="shared" si="30"/>
        <v>1</v>
      </c>
      <c r="AO382" s="17"/>
      <c r="AP382" s="9"/>
      <c r="AQ382" s="9"/>
      <c r="AR382" s="9"/>
    </row>
    <row r="383" spans="1:44" customFormat="1" outlineLevel="1" x14ac:dyDescent="0.25">
      <c r="A383" s="7"/>
      <c r="B383" s="8"/>
      <c r="C383" s="18"/>
      <c r="D383" s="18"/>
      <c r="E383" s="18"/>
      <c r="F383" s="24"/>
      <c r="G383" s="24"/>
      <c r="H383" s="28"/>
      <c r="I383" s="34"/>
      <c r="J383" s="591"/>
      <c r="K383" s="591"/>
      <c r="L383" s="591"/>
      <c r="M383" s="591"/>
      <c r="N383" s="591"/>
      <c r="O383" s="591"/>
      <c r="P383" s="591"/>
      <c r="Q383" s="591"/>
      <c r="R383" s="591"/>
      <c r="S383" s="591"/>
      <c r="T383" s="591"/>
      <c r="U383" s="591"/>
      <c r="X383" s="35"/>
      <c r="Y383" s="35"/>
      <c r="Z383" s="35"/>
      <c r="AA383" s="35"/>
      <c r="AB383" s="35"/>
      <c r="AC383" s="35"/>
      <c r="AD383" s="591"/>
      <c r="AE383" s="591"/>
      <c r="AF383" s="591"/>
      <c r="AG383" s="591"/>
      <c r="AH383" s="591"/>
      <c r="AI383" s="591"/>
      <c r="AJ383" s="591"/>
      <c r="AK383" s="35"/>
      <c r="AL383" s="35"/>
      <c r="AM383" s="35"/>
      <c r="AN383" s="27"/>
      <c r="AO383" s="17"/>
      <c r="AP383" s="9"/>
      <c r="AQ383" s="9"/>
      <c r="AR383" s="9"/>
    </row>
    <row r="384" spans="1:44" customFormat="1" outlineLevel="1" x14ac:dyDescent="0.25">
      <c r="A384" s="7"/>
      <c r="B384" s="8"/>
      <c r="C384" s="18"/>
      <c r="D384" s="18"/>
      <c r="E384" s="18"/>
      <c r="F384" s="24"/>
      <c r="G384" s="24"/>
      <c r="H384" s="34"/>
      <c r="I384" s="34"/>
      <c r="J384" s="591"/>
      <c r="K384" s="591"/>
      <c r="L384" s="591"/>
      <c r="M384" s="591"/>
      <c r="N384" s="591"/>
      <c r="O384" s="591"/>
      <c r="P384" s="591"/>
      <c r="Q384" s="591"/>
      <c r="R384" s="591"/>
      <c r="S384" s="591"/>
      <c r="T384" s="591"/>
      <c r="U384" s="591"/>
      <c r="V384" s="35"/>
      <c r="W384" s="35"/>
      <c r="X384" s="35"/>
      <c r="Y384" s="35"/>
      <c r="Z384" s="35"/>
      <c r="AA384" s="35"/>
      <c r="AB384" s="35"/>
      <c r="AC384" s="35"/>
      <c r="AD384" s="35"/>
      <c r="AE384" s="591"/>
      <c r="AF384" s="591"/>
      <c r="AG384" s="591"/>
      <c r="AH384" s="591"/>
      <c r="AI384" s="591"/>
      <c r="AJ384" s="591"/>
      <c r="AK384" s="35"/>
      <c r="AL384" s="35"/>
      <c r="AM384" s="35"/>
      <c r="AN384" s="27"/>
      <c r="AO384" s="17"/>
      <c r="AP384" s="9"/>
      <c r="AQ384" s="9"/>
      <c r="AR384" s="9"/>
    </row>
    <row r="385" spans="1:44" customFormat="1" ht="5.0999999999999996" customHeight="1" outlineLevel="1" x14ac:dyDescent="0.2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35" customHeight="1" outlineLevel="1" x14ac:dyDescent="0.2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2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27" t="s">
        <v>2201</v>
      </c>
      <c r="K11" s="627"/>
      <c r="L11" s="627"/>
      <c r="M11" s="627"/>
      <c r="N11" s="627"/>
      <c r="O11" s="627"/>
      <c r="P11" s="627"/>
      <c r="Q11" s="627"/>
      <c r="R11" s="627"/>
      <c r="S11" s="627"/>
      <c r="T11" s="627"/>
      <c r="U11" s="627"/>
      <c r="V11" s="627"/>
      <c r="W11" s="627"/>
      <c r="X11" s="627"/>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28" t="s">
        <v>2200</v>
      </c>
      <c r="K12" s="629"/>
      <c r="L12" s="629"/>
      <c r="M12" s="629"/>
      <c r="N12" s="629"/>
      <c r="O12" s="629"/>
      <c r="P12" s="629"/>
      <c r="Q12" s="629"/>
      <c r="R12" s="629"/>
      <c r="S12" s="629"/>
      <c r="T12" s="629"/>
      <c r="U12" s="629"/>
      <c r="V12" s="629"/>
      <c r="W12" s="629"/>
      <c r="X12" s="630"/>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2199</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2198</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2197</v>
      </c>
      <c r="I40" s="282" t="str">
        <f>IF(COUNT($J40:$Z40)&gt;1,STDEV($J40:$Z40)=0,"")</f>
        <v/>
      </c>
      <c r="J40" s="76" t="s">
        <v>2202</v>
      </c>
      <c r="K40" s="76" t="s">
        <v>2196</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2195</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2194</v>
      </c>
      <c r="I43" s="282" t="str">
        <f t="shared" si="0"/>
        <v/>
      </c>
      <c r="J43" s="76" t="s">
        <v>2193</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2192</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2191</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2190</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2189</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2188</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2187</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2186</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2185</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2184</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abSelected="1" zoomScale="85" zoomScaleNormal="85" workbookViewId="0">
      <pane ySplit="22" topLeftCell="A166" activePane="bottomLeft" state="frozen"/>
      <selection pane="bottomLeft" activeCell="X186" activeCellId="2" sqref="AC186:AD186 Z186:AA186 X186"/>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3" max="63" width="11.42578125" bestFit="1" customWidth="1"/>
    <col min="66" max="66" width="11.7109375" customWidth="1"/>
  </cols>
  <sheetData>
    <row r="1" spans="1:46" collapsed="1"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41"/>
      <c r="AT1" s="441"/>
    </row>
    <row r="2" spans="1:46"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41"/>
      <c r="AT2" s="441"/>
    </row>
    <row r="3" spans="1:46" ht="5.0999999999999996" customHeight="1" collapsed="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41"/>
      <c r="AT3" s="441"/>
    </row>
    <row r="4" spans="1:46" ht="5.0999999999999996" hidden="1"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41"/>
      <c r="AT4" s="441"/>
    </row>
    <row r="5" spans="1:46" hidden="1"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41"/>
      <c r="AT5" s="441"/>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41"/>
      <c r="AT6" s="441"/>
    </row>
    <row r="7" spans="1:46"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41"/>
      <c r="AT7" s="441"/>
    </row>
    <row r="8" spans="1:46"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41"/>
      <c r="AT8" s="441"/>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41"/>
      <c r="AT9" s="441"/>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41"/>
      <c r="AT10" s="441"/>
    </row>
    <row r="11" spans="1:46" ht="45" customHeight="1" outlineLevel="1" x14ac:dyDescent="0.25">
      <c r="A11" s="45"/>
      <c r="B11" s="54"/>
      <c r="C11" s="47">
        <f>INT($C$6)+1.045</f>
        <v>2.0449999999999999</v>
      </c>
      <c r="D11" s="73"/>
      <c r="E11" s="70"/>
      <c r="F11" s="70"/>
      <c r="G11" s="73"/>
      <c r="H11" s="76" t="s">
        <v>134</v>
      </c>
      <c r="I11" s="279">
        <v>45582.576862152797</v>
      </c>
      <c r="J11" s="631" t="s">
        <v>3308</v>
      </c>
      <c r="K11" s="627"/>
      <c r="L11" s="627"/>
      <c r="M11" s="627"/>
      <c r="N11" s="627"/>
      <c r="O11" s="627"/>
      <c r="P11" s="627"/>
      <c r="Q11" s="627"/>
      <c r="R11" s="627"/>
      <c r="S11" s="627"/>
      <c r="T11" s="627"/>
      <c r="U11" s="627"/>
      <c r="V11" s="627"/>
      <c r="W11" s="627"/>
      <c r="X11" s="627"/>
      <c r="Y11" s="284"/>
      <c r="Z11" s="284"/>
      <c r="AA11" s="284"/>
      <c r="AB11" s="284"/>
      <c r="AC11" s="76"/>
      <c r="AD11" s="76"/>
      <c r="AE11" s="76"/>
      <c r="AF11" s="76"/>
      <c r="AG11" s="76"/>
      <c r="AH11" s="76"/>
      <c r="AI11" s="76"/>
      <c r="AJ11" s="76"/>
      <c r="AK11" s="76"/>
      <c r="AL11" s="76"/>
      <c r="AM11" s="76"/>
      <c r="AN11" s="73"/>
      <c r="AO11" s="57"/>
      <c r="AP11" s="45"/>
      <c r="AQ11" s="45"/>
      <c r="AR11" s="45"/>
      <c r="AS11" s="441"/>
      <c r="AT11" s="441"/>
    </row>
    <row r="12" spans="1:46" ht="45" customHeight="1" outlineLevel="1" collapsed="1" x14ac:dyDescent="0.25">
      <c r="A12" s="45"/>
      <c r="B12" s="54"/>
      <c r="C12" s="47">
        <f>INT($C$6)+1.045</f>
        <v>2.0449999999999999</v>
      </c>
      <c r="D12" s="73"/>
      <c r="E12" s="70"/>
      <c r="F12" s="70"/>
      <c r="G12" s="73"/>
      <c r="H12" s="76" t="s">
        <v>135</v>
      </c>
      <c r="I12" s="271">
        <v>45843.562885416701</v>
      </c>
      <c r="J12" s="628" t="s">
        <v>3527</v>
      </c>
      <c r="K12" s="629"/>
      <c r="L12" s="629"/>
      <c r="M12" s="629"/>
      <c r="N12" s="629"/>
      <c r="O12" s="629"/>
      <c r="P12" s="629"/>
      <c r="Q12" s="629"/>
      <c r="R12" s="629"/>
      <c r="S12" s="629"/>
      <c r="T12" s="629"/>
      <c r="U12" s="629"/>
      <c r="V12" s="629"/>
      <c r="W12" s="629"/>
      <c r="X12" s="630"/>
      <c r="Y12" s="77"/>
      <c r="Z12" s="77"/>
      <c r="AA12" s="77"/>
      <c r="AB12" s="77"/>
      <c r="AC12" s="76"/>
      <c r="AD12" s="76"/>
      <c r="AE12" s="76"/>
      <c r="AF12" s="76"/>
      <c r="AG12" s="76"/>
      <c r="AH12" s="76"/>
      <c r="AI12" s="76"/>
      <c r="AJ12" s="76"/>
      <c r="AK12" s="76"/>
      <c r="AL12" s="76"/>
      <c r="AM12" s="76"/>
      <c r="AN12" s="73"/>
      <c r="AO12" s="57"/>
      <c r="AP12" s="45"/>
      <c r="AQ12" s="45"/>
      <c r="AR12" s="45"/>
      <c r="AS12" s="441"/>
      <c r="AT12" s="441"/>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41"/>
      <c r="AT13" s="441"/>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41"/>
      <c r="AT14" s="441"/>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41"/>
      <c r="AT15" s="441"/>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41"/>
      <c r="AT16" s="441"/>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41"/>
      <c r="AT17" s="441"/>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41"/>
      <c r="AT18" s="441"/>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41"/>
      <c r="AT19" s="441"/>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41"/>
      <c r="AT20" s="441"/>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41"/>
      <c r="AT21" s="441"/>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41"/>
      <c r="AT22" s="441"/>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41"/>
      <c r="AT23" s="441"/>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41"/>
      <c r="AT24" s="441"/>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41"/>
      <c r="AT25" s="441"/>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41"/>
      <c r="AT26" s="441"/>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41"/>
      <c r="AT27" s="441"/>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41"/>
      <c r="AT28" s="441"/>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41"/>
      <c r="AT29" s="441"/>
    </row>
    <row r="30" spans="1:46" ht="20.100000000000001" customHeight="1" outlineLevel="1" x14ac:dyDescent="0.25">
      <c r="A30" s="45"/>
      <c r="B30" s="54"/>
      <c r="C30" s="87">
        <f>INT($C$29)+1.02</f>
        <v>2.02</v>
      </c>
      <c r="D30" s="58"/>
      <c r="E30" s="59" t="s">
        <v>126</v>
      </c>
      <c r="F30" s="65">
        <v>1</v>
      </c>
      <c r="G30" s="66"/>
      <c r="H30" s="67" t="s">
        <v>2301</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41"/>
      <c r="AT30" s="441"/>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41"/>
      <c r="AT31" s="441"/>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41"/>
      <c r="AT32" s="441"/>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41"/>
      <c r="AT33" s="441"/>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41"/>
      <c r="AT34" s="441"/>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41"/>
      <c r="AT35" s="441"/>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41"/>
      <c r="AT36" s="441"/>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41"/>
      <c r="AT37" s="441"/>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41"/>
      <c r="AT38" s="441"/>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41"/>
      <c r="AT39" s="441"/>
    </row>
    <row r="40" spans="1:46" outlineLevel="1" x14ac:dyDescent="0.25">
      <c r="A40" s="45"/>
      <c r="B40" s="54"/>
      <c r="C40" s="87">
        <f>INT($C$29)+1</f>
        <v>2</v>
      </c>
      <c r="D40" s="73"/>
      <c r="E40" s="70"/>
      <c r="F40" s="70"/>
      <c r="G40" s="73"/>
      <c r="H40" s="90" t="s">
        <v>2300</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41"/>
      <c r="AT40" s="441"/>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41"/>
      <c r="AT41" s="441"/>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41"/>
      <c r="AT42" s="441"/>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41"/>
      <c r="AT43" s="441"/>
    </row>
    <row r="44" spans="1:46" outlineLevel="2" x14ac:dyDescent="0.25">
      <c r="A44" s="45"/>
      <c r="B44" s="54"/>
      <c r="C44" s="87">
        <f>INT($C$29)+2</f>
        <v>3</v>
      </c>
      <c r="D44" s="73"/>
      <c r="E44" s="70"/>
      <c r="F44" s="70"/>
      <c r="G44" s="73"/>
      <c r="H44" s="76" t="s">
        <v>2585</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41"/>
      <c r="AT44" s="441"/>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41"/>
      <c r="AT45" s="441"/>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41"/>
      <c r="AT46" s="441"/>
    </row>
    <row r="47" spans="1:46" outlineLevel="2" x14ac:dyDescent="0.25">
      <c r="A47" s="45"/>
      <c r="B47" s="54"/>
      <c r="C47" s="87">
        <f>INT($C$29)+2</f>
        <v>3</v>
      </c>
      <c r="D47" s="73"/>
      <c r="E47" s="70"/>
      <c r="F47" s="70"/>
      <c r="G47" s="73"/>
      <c r="H47" s="76"/>
      <c r="I47" s="76"/>
      <c r="J47" s="95" t="s">
        <v>2741</v>
      </c>
      <c r="K47" s="95"/>
      <c r="L47" s="95"/>
      <c r="M47" s="95"/>
      <c r="N47" s="95"/>
      <c r="O47" s="76"/>
      <c r="P47" s="76"/>
      <c r="Q47" s="76"/>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41"/>
      <c r="AT47" s="441"/>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5" t="s">
        <v>2742</v>
      </c>
      <c r="Q48" s="76"/>
      <c r="R48" s="76"/>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41"/>
      <c r="AT48" s="441"/>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v>2</v>
      </c>
      <c r="Q49" s="76"/>
      <c r="R49" s="76"/>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41"/>
      <c r="AT49" s="441"/>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v>1</v>
      </c>
      <c r="Q50" s="76"/>
      <c r="R50" s="76"/>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41"/>
      <c r="AT50" s="441"/>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P50*0.5</f>
        <v>0.5</v>
      </c>
      <c r="Q51" s="76"/>
      <c r="R51" s="76"/>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41"/>
      <c r="AT51" s="441"/>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P51*0.3</f>
        <v>0.15</v>
      </c>
      <c r="Q52" s="76"/>
      <c r="R52" s="76"/>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41"/>
      <c r="AT52" s="441"/>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41"/>
      <c r="AT53" s="441"/>
    </row>
    <row r="54" spans="1:46" outlineLevel="2" x14ac:dyDescent="0.25">
      <c r="A54" s="45"/>
      <c r="B54" s="54"/>
      <c r="C54" s="87">
        <f>INT($C$29)+2</f>
        <v>3</v>
      </c>
      <c r="D54" s="73"/>
      <c r="E54" s="70"/>
      <c r="F54" s="70"/>
      <c r="G54" s="73"/>
      <c r="H54" s="76" t="s">
        <v>2175</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41"/>
      <c r="AT54" s="441"/>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41"/>
      <c r="AT55" s="441"/>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41"/>
      <c r="AT56" s="441"/>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41"/>
      <c r="AT57" s="441"/>
    </row>
    <row r="58" spans="1:46" outlineLevel="2" x14ac:dyDescent="0.25">
      <c r="A58" s="45"/>
      <c r="B58" s="54"/>
      <c r="C58" s="87">
        <f t="shared" ref="C58:C63" si="0">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41"/>
      <c r="AT58" s="441"/>
    </row>
    <row r="59" spans="1:46" outlineLevel="2" x14ac:dyDescent="0.25">
      <c r="A59" s="45"/>
      <c r="B59" s="54"/>
      <c r="C59" s="87">
        <f t="shared" si="0"/>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41"/>
      <c r="AT59" s="441"/>
    </row>
    <row r="60" spans="1:46" outlineLevel="2" x14ac:dyDescent="0.25">
      <c r="A60" s="45"/>
      <c r="B60" s="54"/>
      <c r="C60" s="87">
        <f t="shared" si="0"/>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41"/>
      <c r="AT60" s="441"/>
    </row>
    <row r="61" spans="1:46" outlineLevel="2" x14ac:dyDescent="0.25">
      <c r="A61" s="45"/>
      <c r="B61" s="54"/>
      <c r="C61" s="87">
        <f t="shared" si="0"/>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41"/>
      <c r="AT61" s="441"/>
    </row>
    <row r="62" spans="1:46" outlineLevel="2" x14ac:dyDescent="0.25">
      <c r="A62" s="45"/>
      <c r="B62" s="54"/>
      <c r="C62" s="87">
        <f t="shared" si="0"/>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41"/>
      <c r="AT62" s="441"/>
    </row>
    <row r="63" spans="1:46" outlineLevel="2" x14ac:dyDescent="0.25">
      <c r="A63" s="45"/>
      <c r="B63" s="54"/>
      <c r="C63" s="87">
        <f t="shared" si="0"/>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41"/>
      <c r="AT63" s="441"/>
    </row>
    <row r="64" spans="1:46" outlineLevel="3" x14ac:dyDescent="0.25">
      <c r="A64" s="45"/>
      <c r="B64" s="54"/>
      <c r="C64" s="87">
        <f t="shared" ref="C64:C69" si="1">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41"/>
      <c r="AT64" s="441"/>
    </row>
    <row r="65" spans="1:46" outlineLevel="3" x14ac:dyDescent="0.25">
      <c r="A65" s="45"/>
      <c r="B65" s="54"/>
      <c r="C65" s="87">
        <f t="shared" si="1"/>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41"/>
      <c r="AT65" s="441"/>
    </row>
    <row r="66" spans="1:46" outlineLevel="3" x14ac:dyDescent="0.25">
      <c r="A66" s="45"/>
      <c r="B66" s="54"/>
      <c r="C66" s="87">
        <f t="shared" si="1"/>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41"/>
      <c r="AT66" s="441"/>
    </row>
    <row r="67" spans="1:46" outlineLevel="3" x14ac:dyDescent="0.25">
      <c r="A67" s="45"/>
      <c r="B67" s="54"/>
      <c r="C67" s="87">
        <f t="shared" si="1"/>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41"/>
      <c r="AT67" s="441"/>
    </row>
    <row r="68" spans="1:46" outlineLevel="3" x14ac:dyDescent="0.25">
      <c r="A68" s="45"/>
      <c r="B68" s="54"/>
      <c r="C68" s="87">
        <f t="shared" si="1"/>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41"/>
      <c r="AT68" s="441"/>
    </row>
    <row r="69" spans="1:46" outlineLevel="3" x14ac:dyDescent="0.25">
      <c r="A69" s="45"/>
      <c r="B69" s="54"/>
      <c r="C69" s="87">
        <f t="shared" si="1"/>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41"/>
      <c r="AT69" s="441"/>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41"/>
      <c r="AT70" s="441"/>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41"/>
      <c r="AT71" s="441"/>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41"/>
      <c r="AT72" s="441"/>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41"/>
      <c r="AT73" s="441"/>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41"/>
      <c r="AT74" s="441"/>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41"/>
      <c r="AT75" s="441"/>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41"/>
      <c r="AT76" s="441"/>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41"/>
      <c r="AT77" s="441"/>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41"/>
      <c r="AT78" s="441"/>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41"/>
      <c r="AT79" s="441"/>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41"/>
      <c r="AT80" s="441"/>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41"/>
      <c r="AT81" s="441"/>
    </row>
    <row r="82" spans="1:65" ht="20.100000000000001" customHeight="1" outlineLevel="1" collapsed="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41"/>
      <c r="AT82" s="441"/>
    </row>
    <row r="83" spans="1:65" ht="5.0999999999999996" hidden="1"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41"/>
      <c r="AT83" s="441"/>
    </row>
    <row r="84" spans="1:65" hidden="1"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41"/>
      <c r="AT84" s="441"/>
    </row>
    <row r="85" spans="1:65" hidden="1"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41"/>
      <c r="AT85" s="441"/>
    </row>
    <row r="86" spans="1:65" hidden="1"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41"/>
      <c r="AT86" s="441"/>
    </row>
    <row r="87" spans="1:65" hidden="1"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41"/>
      <c r="AT87" s="441"/>
    </row>
    <row r="88" spans="1:65" ht="11.45" hidden="1"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41"/>
      <c r="AT88" s="441"/>
    </row>
    <row r="89" spans="1:65" hidden="1"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41"/>
      <c r="AT89" s="441"/>
    </row>
    <row r="90" spans="1:65" hidden="1"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41"/>
      <c r="AT90" s="441"/>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41"/>
      <c r="AT91" s="441"/>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41"/>
      <c r="AT92" s="441"/>
    </row>
    <row r="93" spans="1:65" outlineLevel="2" x14ac:dyDescent="0.25">
      <c r="A93" s="45"/>
      <c r="B93" s="54"/>
      <c r="C93" s="87">
        <f>INT($C$81)+2</f>
        <v>3</v>
      </c>
      <c r="D93" s="73"/>
      <c r="E93" s="70"/>
      <c r="F93" s="70"/>
      <c r="G93" s="73"/>
      <c r="H93" s="105"/>
      <c r="I93" s="106" t="s">
        <v>2227</v>
      </c>
      <c r="J93" s="107"/>
      <c r="K93" s="76"/>
      <c r="L93" s="76"/>
      <c r="M93" s="107"/>
      <c r="N93" s="106" t="s">
        <v>175</v>
      </c>
      <c r="O93" s="107"/>
      <c r="P93" s="107"/>
      <c r="Q93" s="612" t="s">
        <v>176</v>
      </c>
      <c r="R93" s="611"/>
      <c r="S93" s="611"/>
      <c r="T93" s="611"/>
      <c r="U93" s="611" t="s">
        <v>177</v>
      </c>
      <c r="V93" s="611"/>
      <c r="W93" s="611" t="s">
        <v>178</v>
      </c>
      <c r="X93" s="611"/>
      <c r="Y93" s="106" t="s">
        <v>2715</v>
      </c>
      <c r="Z93" s="107"/>
      <c r="AA93" s="107"/>
      <c r="AB93" s="107"/>
      <c r="AC93" s="107"/>
      <c r="AD93" s="107"/>
      <c r="AE93" s="76"/>
      <c r="AF93" s="76" t="s">
        <v>2714</v>
      </c>
      <c r="AG93" s="76"/>
      <c r="AH93" s="76"/>
      <c r="AI93" s="76"/>
      <c r="AJ93" s="76"/>
      <c r="AK93" s="76"/>
      <c r="AL93" s="76"/>
      <c r="AM93" s="76"/>
      <c r="AN93" s="73"/>
      <c r="AO93" s="57"/>
      <c r="AP93" s="45"/>
      <c r="AQ93" s="45"/>
      <c r="AR93" s="45"/>
      <c r="AS93" s="441"/>
      <c r="AT93" s="441"/>
      <c r="AX93" s="429" t="s">
        <v>2203</v>
      </c>
      <c r="BD93" t="s">
        <v>2256</v>
      </c>
    </row>
    <row r="94" spans="1:65" outlineLevel="2" x14ac:dyDescent="0.25">
      <c r="A94" s="45"/>
      <c r="B94" s="54"/>
      <c r="C94" s="87">
        <f>INT($C$81)+2</f>
        <v>3</v>
      </c>
      <c r="D94" s="73"/>
      <c r="E94" s="70"/>
      <c r="F94" s="70"/>
      <c r="G94" s="73"/>
      <c r="H94" s="76"/>
      <c r="I94" s="95" t="s">
        <v>3309</v>
      </c>
      <c r="J94" s="95"/>
      <c r="K94" s="76"/>
      <c r="L94" s="76"/>
      <c r="M94" s="95"/>
      <c r="N94" s="95" t="s">
        <v>179</v>
      </c>
      <c r="O94" s="95"/>
      <c r="P94" s="95"/>
      <c r="Q94" s="610" t="s">
        <v>180</v>
      </c>
      <c r="R94" s="610" t="s">
        <v>181</v>
      </c>
      <c r="S94" s="610" t="s">
        <v>182</v>
      </c>
      <c r="T94" s="610" t="s">
        <v>183</v>
      </c>
      <c r="U94" s="610" t="s">
        <v>180</v>
      </c>
      <c r="V94" s="610" t="s">
        <v>184</v>
      </c>
      <c r="W94" s="610" t="s">
        <v>180</v>
      </c>
      <c r="X94" s="610" t="s">
        <v>184</v>
      </c>
      <c r="Y94" s="95" t="s">
        <v>185</v>
      </c>
      <c r="Z94" s="95"/>
      <c r="AA94" s="95"/>
      <c r="AB94" s="95"/>
      <c r="AC94" s="95"/>
      <c r="AD94" s="95"/>
      <c r="AE94" s="76"/>
      <c r="AF94" s="76" t="s">
        <v>3266</v>
      </c>
      <c r="AG94" s="76"/>
      <c r="AH94" s="76"/>
      <c r="AI94" s="76"/>
      <c r="AJ94" s="76"/>
      <c r="AK94" s="76"/>
      <c r="AL94" s="76"/>
      <c r="AM94" s="76"/>
      <c r="AN94" s="73"/>
      <c r="AO94" s="57"/>
      <c r="AP94" s="45"/>
      <c r="AQ94" s="45"/>
      <c r="AR94" s="45"/>
      <c r="AS94" s="441"/>
      <c r="AT94" s="441"/>
      <c r="AV94" s="76" t="s">
        <v>186</v>
      </c>
      <c r="AX94" s="429" t="str">
        <f>"Calculated from "&amp;$AF$114</f>
        <v>Calculated from Percentiles Finewool Andrew Woods, broad extrapolated from the 20 yr premium (Mecardo Nov 2022 a&amp;b for Merino &amp; XB (XB was quoted relative to 22u Merino))</v>
      </c>
      <c r="BD94" t="s">
        <v>2257</v>
      </c>
    </row>
    <row r="95" spans="1:65" outlineLevel="3" x14ac:dyDescent="0.25">
      <c r="A95" s="45"/>
      <c r="B95" s="54"/>
      <c r="C95" s="87">
        <f t="shared" ref="C95:C112" si="2">INT($C$81)+3</f>
        <v>4</v>
      </c>
      <c r="D95" s="73"/>
      <c r="E95" s="70"/>
      <c r="F95" s="70" t="s">
        <v>187</v>
      </c>
      <c r="G95" s="73"/>
      <c r="H95" s="108" t="s">
        <v>2204</v>
      </c>
      <c r="I95" s="79">
        <v>10</v>
      </c>
      <c r="J95" s="79">
        <v>30</v>
      </c>
      <c r="K95" s="79">
        <v>50</v>
      </c>
      <c r="L95" s="79">
        <v>70</v>
      </c>
      <c r="M95" s="79">
        <v>90</v>
      </c>
      <c r="N95" s="80">
        <v>0.01</v>
      </c>
      <c r="O95" s="80">
        <v>0.02</v>
      </c>
      <c r="P95" s="80">
        <v>0.05</v>
      </c>
      <c r="Q95" s="609">
        <v>40</v>
      </c>
      <c r="R95" s="609">
        <v>60</v>
      </c>
      <c r="S95" s="609">
        <v>80</v>
      </c>
      <c r="T95" s="609">
        <v>95</v>
      </c>
      <c r="U95" s="609">
        <v>0</v>
      </c>
      <c r="V95" s="609">
        <v>100</v>
      </c>
      <c r="W95" s="609">
        <v>0</v>
      </c>
      <c r="X95" s="609">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41"/>
      <c r="AT95" s="441"/>
      <c r="AV95" s="109"/>
      <c r="AX95">
        <f>AG95</f>
        <v>30</v>
      </c>
      <c r="AY95">
        <f t="shared" ref="AY95:AZ95" si="3">AH95</f>
        <v>50</v>
      </c>
      <c r="AZ95">
        <f t="shared" si="3"/>
        <v>70</v>
      </c>
      <c r="BD95" t="s">
        <v>2258</v>
      </c>
      <c r="BE95" s="153">
        <v>50</v>
      </c>
      <c r="BF95">
        <f>IFERROR(MIN(2,MATCH($BE95,i_woolp_mpg_range_w5,1)),1)-1</f>
        <v>1</v>
      </c>
      <c r="BG95" t="s">
        <v>2259</v>
      </c>
      <c r="BH95" s="97">
        <v>50</v>
      </c>
      <c r="BI95">
        <f>IFERROR(MIN(2,MATCH($BH95,i_woolp_fdprem_range_w5,1)),1)-1</f>
        <v>1</v>
      </c>
      <c r="BK95" s="313" t="s">
        <v>2337</v>
      </c>
      <c r="BL95" s="313"/>
      <c r="BM95" s="313"/>
    </row>
    <row r="96" spans="1:65" outlineLevel="3" x14ac:dyDescent="0.25">
      <c r="A96" s="45"/>
      <c r="B96" s="54"/>
      <c r="C96" s="87">
        <f t="shared" si="2"/>
        <v>4</v>
      </c>
      <c r="D96" s="73"/>
      <c r="E96" s="70"/>
      <c r="F96" s="70">
        <f t="shared" ref="F96:F101" si="4">($J99-$J96)/($H99-$H96)</f>
        <v>-3232.0065628113143</v>
      </c>
      <c r="G96" s="73"/>
      <c r="H96" s="79">
        <v>12</v>
      </c>
      <c r="I96" s="604">
        <v>8683.1022294036629</v>
      </c>
      <c r="J96" s="604">
        <v>10165.016407028286</v>
      </c>
      <c r="K96" s="604">
        <v>11506.435536455769</v>
      </c>
      <c r="L96" s="604">
        <v>12777.062587334305</v>
      </c>
      <c r="M96" s="604">
        <v>15594.103265182059</v>
      </c>
      <c r="N96" s="111">
        <f t="shared" ref="N96:W102" si="5">N97</f>
        <v>0</v>
      </c>
      <c r="O96" s="111">
        <f t="shared" si="5"/>
        <v>-1.9178082191780823E-2</v>
      </c>
      <c r="P96" s="111">
        <f t="shared" si="5"/>
        <v>-5.4794520547945202E-2</v>
      </c>
      <c r="Q96" s="608">
        <f t="shared" si="5"/>
        <v>-2.7397260273972601E-2</v>
      </c>
      <c r="R96" s="608">
        <f t="shared" si="5"/>
        <v>-1.0958904109589041E-2</v>
      </c>
      <c r="S96" s="608">
        <f t="shared" si="5"/>
        <v>0</v>
      </c>
      <c r="T96" s="608">
        <f t="shared" si="5"/>
        <v>4.10958904109589E-3</v>
      </c>
      <c r="U96" s="608">
        <f t="shared" si="5"/>
        <v>0</v>
      </c>
      <c r="V96" s="608">
        <f t="shared" si="5"/>
        <v>0</v>
      </c>
      <c r="W96" s="608">
        <f t="shared" si="5"/>
        <v>0</v>
      </c>
      <c r="X96" s="608">
        <f t="shared" ref="X96:AD102" si="6">X97</f>
        <v>0</v>
      </c>
      <c r="Y96" s="111">
        <f t="shared" si="6"/>
        <v>0.94399999999999995</v>
      </c>
      <c r="Z96" s="112">
        <f t="shared" si="6"/>
        <v>0.82499999999999996</v>
      </c>
      <c r="AA96" s="112">
        <f t="shared" si="6"/>
        <v>0.82499999999999996</v>
      </c>
      <c r="AB96" s="112">
        <f t="shared" si="6"/>
        <v>0.57499999999999996</v>
      </c>
      <c r="AC96" s="112">
        <f t="shared" si="6"/>
        <v>0.60499999999999998</v>
      </c>
      <c r="AD96" s="112">
        <f t="shared" si="6"/>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41"/>
      <c r="AT96" s="441"/>
      <c r="AV96" s="285">
        <f ca="1">AV97</f>
        <v>0.96308006535086399</v>
      </c>
      <c r="AX96" s="116"/>
      <c r="AY96" s="116"/>
      <c r="AZ96" s="116"/>
      <c r="BC96" s="321" t="s">
        <v>2260</v>
      </c>
      <c r="BD96" s="321" t="s">
        <v>2261</v>
      </c>
      <c r="BE96" s="321" t="s">
        <v>2259</v>
      </c>
      <c r="BF96" s="330" t="s">
        <v>2265</v>
      </c>
      <c r="BG96" s="419" t="s">
        <v>2700</v>
      </c>
      <c r="BK96" s="319" t="s">
        <v>2336</v>
      </c>
      <c r="BL96" s="319" t="s">
        <v>2258</v>
      </c>
      <c r="BM96" s="319" t="s">
        <v>2259</v>
      </c>
    </row>
    <row r="97" spans="1:65" outlineLevel="3" x14ac:dyDescent="0.25">
      <c r="A97" s="45"/>
      <c r="B97" s="54"/>
      <c r="C97" s="87">
        <f t="shared" si="2"/>
        <v>4</v>
      </c>
      <c r="D97" s="73"/>
      <c r="E97" s="70"/>
      <c r="F97" s="70">
        <f t="shared" si="4"/>
        <v>-824.80555555555577</v>
      </c>
      <c r="G97" s="73"/>
      <c r="H97" s="79">
        <v>13.5</v>
      </c>
      <c r="I97" s="604">
        <v>2803</v>
      </c>
      <c r="J97" s="604">
        <v>3100.1750000000002</v>
      </c>
      <c r="K97" s="604">
        <v>5357</v>
      </c>
      <c r="L97" s="604">
        <v>6282.9</v>
      </c>
      <c r="M97" s="604">
        <v>7260.4</v>
      </c>
      <c r="N97" s="287">
        <f t="shared" si="5"/>
        <v>0</v>
      </c>
      <c r="O97" s="287">
        <f t="shared" si="5"/>
        <v>-1.9178082191780823E-2</v>
      </c>
      <c r="P97" s="287">
        <f t="shared" si="5"/>
        <v>-5.4794520547945202E-2</v>
      </c>
      <c r="Q97" s="607">
        <f t="shared" si="5"/>
        <v>-2.7397260273972601E-2</v>
      </c>
      <c r="R97" s="607">
        <f t="shared" si="5"/>
        <v>-1.0958904109589041E-2</v>
      </c>
      <c r="S97" s="607">
        <f t="shared" si="5"/>
        <v>0</v>
      </c>
      <c r="T97" s="607">
        <f t="shared" si="5"/>
        <v>4.10958904109589E-3</v>
      </c>
      <c r="U97" s="607">
        <f t="shared" si="5"/>
        <v>0</v>
      </c>
      <c r="V97" s="607">
        <f t="shared" si="5"/>
        <v>0</v>
      </c>
      <c r="W97" s="607">
        <f t="shared" si="5"/>
        <v>0</v>
      </c>
      <c r="X97" s="607">
        <f t="shared" si="6"/>
        <v>0</v>
      </c>
      <c r="Y97" s="287">
        <f t="shared" si="6"/>
        <v>0.94399999999999995</v>
      </c>
      <c r="Z97" s="252">
        <f t="shared" si="6"/>
        <v>0.82499999999999996</v>
      </c>
      <c r="AA97" s="252">
        <f t="shared" si="6"/>
        <v>0.82499999999999996</v>
      </c>
      <c r="AB97" s="252">
        <f t="shared" si="6"/>
        <v>0.57499999999999996</v>
      </c>
      <c r="AC97" s="252">
        <f t="shared" si="6"/>
        <v>0.60499999999999998</v>
      </c>
      <c r="AD97" s="252">
        <f t="shared" si="6"/>
        <v>0.9</v>
      </c>
      <c r="AE97" s="76"/>
      <c r="AF97" s="113">
        <v>0.562405428998213</v>
      </c>
      <c r="AG97" s="113">
        <v>1.1288515469898648</v>
      </c>
      <c r="AH97" s="113">
        <v>2.2616895102928671</v>
      </c>
      <c r="AI97" s="113">
        <v>3.2336530674519337</v>
      </c>
      <c r="AJ97" s="113">
        <v>3.6519779980927267</v>
      </c>
      <c r="AK97" s="114"/>
      <c r="AL97" s="76"/>
      <c r="AM97" s="76"/>
      <c r="AN97" s="73"/>
      <c r="AO97" s="57"/>
      <c r="AP97" s="45"/>
      <c r="AQ97" s="425"/>
      <c r="AR97" s="45"/>
      <c r="AS97" s="441"/>
      <c r="AT97" s="441"/>
      <c r="AV97" s="288">
        <f t="shared" ref="AV97:AV108" ca="1" si="7">($J$127*$Y97*(1+FORECAST($H97+$J$128,OFFSET($AF$96:$AJ$112,MATCH($H97+$J$128,i_woolp_fd_range_w4,1)-1,AF$89-1,2,1),OFFSET(i_woolp_fd_range_w4,MATCH($H97+$J$128,i_woolp_fd_range_w4,1)-1,0,2,1)))/(1+INDEX($AF97:$AJ97,1,AF$89)))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8">((1+AG97)/(1+AG98))^(1/($H98-$H97))-1</f>
        <v>1.0877158722142499</v>
      </c>
      <c r="AY97" s="116">
        <f t="shared" ref="AY97:AZ103" si="9">((1+AH97)/(1+AH98))^(1/($H98-$H97))-1</f>
        <v>1.8600002785444074</v>
      </c>
      <c r="AZ97" s="116">
        <f t="shared" si="9"/>
        <v>2.035130669997451</v>
      </c>
      <c r="BC97" s="443">
        <f t="shared" ref="BC97:BC113" si="10">$H97</f>
        <v>13.5</v>
      </c>
      <c r="BD97">
        <f t="shared" ref="BD97:BD113" ca="1" si="11">IF($BC97=i_woolp_fd_std,_xlfn.FORECAST.LINEAR($BE$95,OFFSET($I97:$M97,0,$BF$95,1,2),OFFSET(i_woolp_mpg_range_w5,0,$BF$95,1,2)),0)</f>
        <v>0</v>
      </c>
      <c r="BE97" s="316">
        <f t="shared" ref="BE97:BE113" ca="1" si="12">_xlfn.FORECAST.LINEAR($BH$95,OFFSET($AF97:$AJ97,0,$BI$95,1,2),OFFSET(i_woolp_fdprem_range_w5,0,$BI$95,1,2))</f>
        <v>2.2616895102928676</v>
      </c>
      <c r="BF97" s="317">
        <f t="shared" ref="BF97:BF113" ca="1" si="13">SUM($BD$99:$BD$112)*(1+$BE97)*$Y97</f>
        <v>4879.5005541561704</v>
      </c>
      <c r="BG97" s="317">
        <f t="shared" ref="BG97:BG108" ca="1" si="14">(SUM($BD$99:$BD$112)*(1+$BE97)*$AV97*(1-i_wool_cost_pc)-i_wool_cost_kg*100)*$K$156</f>
        <v>3088.3474203569604</v>
      </c>
      <c r="BK97" s="4">
        <v>44551</v>
      </c>
      <c r="BL97">
        <v>60</v>
      </c>
      <c r="BM97">
        <v>85</v>
      </c>
    </row>
    <row r="98" spans="1:65" outlineLevel="3" x14ac:dyDescent="0.25">
      <c r="A98" s="45"/>
      <c r="B98" s="54"/>
      <c r="C98" s="87">
        <f t="shared" si="2"/>
        <v>4</v>
      </c>
      <c r="D98" s="73"/>
      <c r="E98" s="70"/>
      <c r="F98" s="70">
        <f t="shared" si="4"/>
        <v>-510.12500000000023</v>
      </c>
      <c r="G98" s="73"/>
      <c r="H98" s="79">
        <v>14</v>
      </c>
      <c r="I98" s="604">
        <v>1920.5833333333335</v>
      </c>
      <c r="J98" s="604">
        <v>2623.7500000000005</v>
      </c>
      <c r="K98" s="604">
        <v>3032.5</v>
      </c>
      <c r="L98" s="604">
        <v>3806</v>
      </c>
      <c r="M98" s="604">
        <v>4921</v>
      </c>
      <c r="N98" s="287">
        <f t="shared" si="5"/>
        <v>0</v>
      </c>
      <c r="O98" s="287">
        <f t="shared" si="5"/>
        <v>-1.9178082191780823E-2</v>
      </c>
      <c r="P98" s="287">
        <f t="shared" si="5"/>
        <v>-5.4794520547945202E-2</v>
      </c>
      <c r="Q98" s="607">
        <f t="shared" si="5"/>
        <v>-2.7397260273972601E-2</v>
      </c>
      <c r="R98" s="607">
        <f t="shared" si="5"/>
        <v>-1.0958904109589041E-2</v>
      </c>
      <c r="S98" s="607">
        <f t="shared" si="5"/>
        <v>0</v>
      </c>
      <c r="T98" s="607">
        <f t="shared" si="5"/>
        <v>4.10958904109589E-3</v>
      </c>
      <c r="U98" s="607">
        <f t="shared" si="5"/>
        <v>0</v>
      </c>
      <c r="V98" s="607">
        <f t="shared" si="5"/>
        <v>0</v>
      </c>
      <c r="W98" s="607">
        <f t="shared" si="5"/>
        <v>0</v>
      </c>
      <c r="X98" s="607">
        <f t="shared" si="6"/>
        <v>0</v>
      </c>
      <c r="Y98" s="287">
        <f t="shared" si="6"/>
        <v>0.94399999999999995</v>
      </c>
      <c r="Z98" s="252">
        <f t="shared" si="6"/>
        <v>0.82499999999999996</v>
      </c>
      <c r="AA98" s="252">
        <f t="shared" si="6"/>
        <v>0.82499999999999996</v>
      </c>
      <c r="AB98" s="252">
        <f t="shared" si="6"/>
        <v>0.57499999999999996</v>
      </c>
      <c r="AC98" s="252">
        <f t="shared" si="6"/>
        <v>0.60499999999999998</v>
      </c>
      <c r="AD98" s="252">
        <f t="shared" si="6"/>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5"/>
      <c r="AR98" s="45"/>
      <c r="AS98" s="441"/>
      <c r="AT98" s="441"/>
      <c r="AV98" s="288">
        <f t="shared" ca="1" si="7"/>
        <v>1.017871563475772</v>
      </c>
      <c r="AX98" s="116">
        <f t="shared" si="8"/>
        <v>0.23011496340245774</v>
      </c>
      <c r="AY98" s="116">
        <f t="shared" si="9"/>
        <v>0.59462404032405769</v>
      </c>
      <c r="AZ98" s="116">
        <f t="shared" si="9"/>
        <v>0.40501545452978349</v>
      </c>
      <c r="BC98" s="443">
        <f t="shared" si="10"/>
        <v>14</v>
      </c>
      <c r="BD98">
        <f t="shared" ca="1" si="11"/>
        <v>0</v>
      </c>
      <c r="BE98" s="316">
        <f t="shared" ca="1" si="12"/>
        <v>0.92867734538375468</v>
      </c>
      <c r="BF98" s="317">
        <f t="shared" ca="1" si="13"/>
        <v>2885.3090234034785</v>
      </c>
      <c r="BG98" s="317">
        <f t="shared" ca="1" si="14"/>
        <v>1913.3167238914818</v>
      </c>
      <c r="BK98" s="4">
        <v>44551</v>
      </c>
      <c r="BL98">
        <v>60</v>
      </c>
      <c r="BM98">
        <v>85</v>
      </c>
    </row>
    <row r="99" spans="1:65" outlineLevel="3" x14ac:dyDescent="0.25">
      <c r="A99" s="45"/>
      <c r="B99" s="54"/>
      <c r="C99" s="87">
        <f t="shared" si="2"/>
        <v>4</v>
      </c>
      <c r="D99" s="73"/>
      <c r="E99" s="70"/>
      <c r="F99" s="70">
        <f t="shared" si="4"/>
        <v>-213.73999999999987</v>
      </c>
      <c r="G99" s="73"/>
      <c r="H99" s="79">
        <v>14.5</v>
      </c>
      <c r="I99" s="604">
        <v>1726.9924999999998</v>
      </c>
      <c r="J99" s="604">
        <v>2085</v>
      </c>
      <c r="K99" s="604">
        <v>2570.75</v>
      </c>
      <c r="L99" s="604">
        <v>3416.6</v>
      </c>
      <c r="M99" s="604">
        <v>4062.8249999999998</v>
      </c>
      <c r="N99" s="287">
        <f t="shared" si="5"/>
        <v>0</v>
      </c>
      <c r="O99" s="287">
        <f t="shared" si="5"/>
        <v>-1.9178082191780823E-2</v>
      </c>
      <c r="P99" s="287">
        <f t="shared" si="5"/>
        <v>-5.4794520547945202E-2</v>
      </c>
      <c r="Q99" s="607">
        <f t="shared" si="5"/>
        <v>-2.7397260273972601E-2</v>
      </c>
      <c r="R99" s="607">
        <f t="shared" si="5"/>
        <v>-1.0958904109589041E-2</v>
      </c>
      <c r="S99" s="607">
        <f t="shared" si="5"/>
        <v>0</v>
      </c>
      <c r="T99" s="607">
        <f t="shared" si="5"/>
        <v>4.10958904109589E-3</v>
      </c>
      <c r="U99" s="607">
        <f t="shared" si="5"/>
        <v>0</v>
      </c>
      <c r="V99" s="607">
        <f t="shared" si="5"/>
        <v>0</v>
      </c>
      <c r="W99" s="607">
        <f t="shared" si="5"/>
        <v>0</v>
      </c>
      <c r="X99" s="607">
        <f t="shared" si="6"/>
        <v>0</v>
      </c>
      <c r="Y99" s="287">
        <f t="shared" si="6"/>
        <v>0.94399999999999995</v>
      </c>
      <c r="Z99" s="252">
        <f t="shared" si="6"/>
        <v>0.82499999999999996</v>
      </c>
      <c r="AA99" s="252">
        <f t="shared" si="6"/>
        <v>0.82499999999999996</v>
      </c>
      <c r="AB99" s="252">
        <f t="shared" si="6"/>
        <v>0.57499999999999996</v>
      </c>
      <c r="AC99" s="252">
        <f t="shared" si="6"/>
        <v>0.60499999999999998</v>
      </c>
      <c r="AD99" s="252">
        <f t="shared" si="6"/>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5"/>
      <c r="AR99" s="45"/>
      <c r="AS99" s="441"/>
      <c r="AT99" s="441"/>
      <c r="AV99" s="288">
        <f t="shared" ca="1" si="7"/>
        <v>1.0027069468640681</v>
      </c>
      <c r="AX99" s="116">
        <f t="shared" si="8"/>
        <v>9.7042383005294219E-2</v>
      </c>
      <c r="AY99" s="116">
        <f t="shared" si="9"/>
        <v>0.16002820534436513</v>
      </c>
      <c r="AZ99" s="116">
        <f t="shared" si="9"/>
        <v>0.43702152766096458</v>
      </c>
      <c r="BC99" s="443">
        <f t="shared" si="10"/>
        <v>14.5</v>
      </c>
      <c r="BD99">
        <f t="shared" ca="1" si="11"/>
        <v>0</v>
      </c>
      <c r="BE99" s="316">
        <f t="shared" ca="1" si="12"/>
        <v>0.52732136033626298</v>
      </c>
      <c r="BF99" s="317">
        <f t="shared" ca="1" si="13"/>
        <v>2284.8788643484909</v>
      </c>
      <c r="BG99" s="317">
        <f t="shared" ca="1" si="14"/>
        <v>1482.7594769175148</v>
      </c>
      <c r="BK99" s="4">
        <v>44551</v>
      </c>
      <c r="BL99">
        <v>60</v>
      </c>
      <c r="BM99">
        <v>85</v>
      </c>
    </row>
    <row r="100" spans="1:65" outlineLevel="3" x14ac:dyDescent="0.25">
      <c r="A100" s="45"/>
      <c r="B100" s="54"/>
      <c r="C100" s="87">
        <f t="shared" si="2"/>
        <v>4</v>
      </c>
      <c r="D100" s="73"/>
      <c r="E100" s="70"/>
      <c r="F100" s="70">
        <f t="shared" si="4"/>
        <v>-122.36222222222212</v>
      </c>
      <c r="G100" s="73"/>
      <c r="H100" s="79">
        <v>15</v>
      </c>
      <c r="I100" s="604">
        <v>1604.875</v>
      </c>
      <c r="J100" s="604">
        <v>1862.9666666666665</v>
      </c>
      <c r="K100" s="604">
        <v>2423.25</v>
      </c>
      <c r="L100" s="604">
        <v>2865.4</v>
      </c>
      <c r="M100" s="604">
        <v>3540.4458333333328</v>
      </c>
      <c r="N100" s="287">
        <f t="shared" si="5"/>
        <v>0</v>
      </c>
      <c r="O100" s="287">
        <f t="shared" si="5"/>
        <v>-1.9178082191780823E-2</v>
      </c>
      <c r="P100" s="287">
        <f t="shared" si="5"/>
        <v>-5.4794520547945202E-2</v>
      </c>
      <c r="Q100" s="607">
        <f t="shared" si="5"/>
        <v>-2.7397260273972601E-2</v>
      </c>
      <c r="R100" s="607">
        <f t="shared" si="5"/>
        <v>-1.0958904109589041E-2</v>
      </c>
      <c r="S100" s="607">
        <f t="shared" si="5"/>
        <v>0</v>
      </c>
      <c r="T100" s="607">
        <f t="shared" si="5"/>
        <v>4.10958904109589E-3</v>
      </c>
      <c r="U100" s="607">
        <f t="shared" si="5"/>
        <v>0</v>
      </c>
      <c r="V100" s="607">
        <f t="shared" si="5"/>
        <v>0</v>
      </c>
      <c r="W100" s="607">
        <f t="shared" si="5"/>
        <v>0</v>
      </c>
      <c r="X100" s="607">
        <f t="shared" si="6"/>
        <v>0</v>
      </c>
      <c r="Y100" s="287">
        <f t="shared" si="6"/>
        <v>0.94399999999999995</v>
      </c>
      <c r="Z100" s="252">
        <f t="shared" si="6"/>
        <v>0.82499999999999996</v>
      </c>
      <c r="AA100" s="252">
        <f t="shared" si="6"/>
        <v>0.82499999999999996</v>
      </c>
      <c r="AB100" s="252">
        <f t="shared" si="6"/>
        <v>0.57499999999999996</v>
      </c>
      <c r="AC100" s="252">
        <f t="shared" si="6"/>
        <v>0.60499999999999998</v>
      </c>
      <c r="AD100" s="252">
        <f t="shared" si="6"/>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5"/>
      <c r="AR100" s="45"/>
      <c r="AS100" s="441"/>
      <c r="AT100" s="441"/>
      <c r="AV100" s="288">
        <f t="shared" ca="1" si="7"/>
        <v>0.93949365734816614</v>
      </c>
      <c r="AX100" s="116">
        <f t="shared" si="8"/>
        <v>9.1156279973532373E-2</v>
      </c>
      <c r="AY100" s="116">
        <f t="shared" si="9"/>
        <v>0.11097133833206674</v>
      </c>
      <c r="AZ100" s="116">
        <f t="shared" si="9"/>
        <v>0.14393230565930515</v>
      </c>
      <c r="BC100" s="443">
        <f t="shared" si="10"/>
        <v>15</v>
      </c>
      <c r="BD100">
        <f t="shared" ca="1" si="11"/>
        <v>0</v>
      </c>
      <c r="BE100" s="316">
        <f t="shared" ca="1" si="12"/>
        <v>0.41806504257643384</v>
      </c>
      <c r="BF100" s="317">
        <f t="shared" ca="1" si="13"/>
        <v>2121.4309759545154</v>
      </c>
      <c r="BG100" s="317">
        <f t="shared" ca="1" si="14"/>
        <v>1284.0895727469003</v>
      </c>
      <c r="BH100">
        <f ca="1">BG100/$K$156</f>
        <v>1999.5088368554195</v>
      </c>
      <c r="BK100" s="4">
        <v>44551</v>
      </c>
      <c r="BL100">
        <v>60</v>
      </c>
      <c r="BM100">
        <v>85</v>
      </c>
    </row>
    <row r="101" spans="1:65" outlineLevel="3" x14ac:dyDescent="0.25">
      <c r="A101" s="45"/>
      <c r="B101" s="54"/>
      <c r="C101" s="87">
        <f t="shared" si="2"/>
        <v>4</v>
      </c>
      <c r="D101" s="73"/>
      <c r="E101" s="70"/>
      <c r="F101" s="70">
        <f t="shared" si="4"/>
        <v>-67.833333333333329</v>
      </c>
      <c r="G101" s="73"/>
      <c r="H101" s="79">
        <v>16</v>
      </c>
      <c r="I101" s="604">
        <v>1446.56</v>
      </c>
      <c r="J101" s="604">
        <v>1603.5</v>
      </c>
      <c r="K101" s="604">
        <v>2149.0666666666666</v>
      </c>
      <c r="L101" s="604">
        <v>2524.7666666666669</v>
      </c>
      <c r="M101" s="604">
        <v>3081.2125000000001</v>
      </c>
      <c r="N101" s="287">
        <f t="shared" si="5"/>
        <v>0</v>
      </c>
      <c r="O101" s="287">
        <f t="shared" si="5"/>
        <v>-1.9178082191780823E-2</v>
      </c>
      <c r="P101" s="287">
        <f t="shared" si="5"/>
        <v>-5.4794520547945202E-2</v>
      </c>
      <c r="Q101" s="607">
        <f t="shared" si="5"/>
        <v>-2.7397260273972601E-2</v>
      </c>
      <c r="R101" s="607">
        <f t="shared" si="5"/>
        <v>-1.0958904109589041E-2</v>
      </c>
      <c r="S101" s="607">
        <f t="shared" si="5"/>
        <v>0</v>
      </c>
      <c r="T101" s="607">
        <f t="shared" si="5"/>
        <v>4.10958904109589E-3</v>
      </c>
      <c r="U101" s="607">
        <f t="shared" si="5"/>
        <v>0</v>
      </c>
      <c r="V101" s="607">
        <f t="shared" si="5"/>
        <v>0</v>
      </c>
      <c r="W101" s="607">
        <f t="shared" si="5"/>
        <v>0</v>
      </c>
      <c r="X101" s="607">
        <f t="shared" si="6"/>
        <v>0</v>
      </c>
      <c r="Y101" s="287">
        <f t="shared" si="6"/>
        <v>0.94399999999999995</v>
      </c>
      <c r="Z101" s="252">
        <f t="shared" si="6"/>
        <v>0.82499999999999996</v>
      </c>
      <c r="AA101" s="252">
        <f t="shared" si="6"/>
        <v>0.82499999999999996</v>
      </c>
      <c r="AB101" s="252">
        <f t="shared" si="6"/>
        <v>0.57499999999999996</v>
      </c>
      <c r="AC101" s="252">
        <f t="shared" si="6"/>
        <v>0.60499999999999998</v>
      </c>
      <c r="AD101" s="252">
        <f t="shared" si="6"/>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5"/>
      <c r="AR101" s="45"/>
      <c r="AS101" s="441"/>
      <c r="AT101" s="441"/>
      <c r="AV101" s="288">
        <f t="shared" ca="1" si="7"/>
        <v>0.91903604629666935</v>
      </c>
      <c r="AX101" s="116">
        <f t="shared" si="8"/>
        <v>6.2136367248459834E-2</v>
      </c>
      <c r="AY101" s="116">
        <f t="shared" si="9"/>
        <v>0.10618782566853691</v>
      </c>
      <c r="AZ101" s="116">
        <f t="shared" si="9"/>
        <v>0.17937782516923373</v>
      </c>
      <c r="BC101" s="315">
        <f t="shared" si="10"/>
        <v>16</v>
      </c>
      <c r="BD101">
        <f t="shared" ca="1" si="11"/>
        <v>0</v>
      </c>
      <c r="BE101" s="316">
        <f t="shared" ca="1" si="12"/>
        <v>0.27641910609990683</v>
      </c>
      <c r="BF101" s="317">
        <f t="shared" ca="1" si="13"/>
        <v>1909.528088401885</v>
      </c>
      <c r="BG101" s="317">
        <f t="shared" ca="1" si="14"/>
        <v>1125.3193687820235</v>
      </c>
      <c r="BK101" s="4">
        <v>44551</v>
      </c>
      <c r="BL101">
        <v>60</v>
      </c>
      <c r="BM101">
        <v>85</v>
      </c>
    </row>
    <row r="102" spans="1:65" outlineLevel="3" x14ac:dyDescent="0.25">
      <c r="A102" s="45"/>
      <c r="B102" s="54"/>
      <c r="C102" s="87">
        <f t="shared" si="2"/>
        <v>4</v>
      </c>
      <c r="D102" s="73"/>
      <c r="E102" s="70"/>
      <c r="F102" s="70">
        <f t="shared" ref="F102:F109" si="15">($J103-$J102)/($H103-$H102)</f>
        <v>-54.770000000000209</v>
      </c>
      <c r="G102" s="73"/>
      <c r="H102" s="79">
        <v>17</v>
      </c>
      <c r="I102" s="604">
        <v>1313.1</v>
      </c>
      <c r="J102" s="604">
        <v>1550.6500000000003</v>
      </c>
      <c r="K102" s="604">
        <v>1959.2</v>
      </c>
      <c r="L102" s="604">
        <v>2343.35</v>
      </c>
      <c r="M102" s="604">
        <v>2671.9333333333329</v>
      </c>
      <c r="N102" s="287">
        <f t="shared" si="5"/>
        <v>0</v>
      </c>
      <c r="O102" s="287">
        <f t="shared" si="5"/>
        <v>-1.9178082191780823E-2</v>
      </c>
      <c r="P102" s="287">
        <f t="shared" si="5"/>
        <v>-5.4794520547945202E-2</v>
      </c>
      <c r="Q102" s="607">
        <f t="shared" si="5"/>
        <v>-2.7397260273972601E-2</v>
      </c>
      <c r="R102" s="607">
        <f t="shared" si="5"/>
        <v>-1.0958904109589041E-2</v>
      </c>
      <c r="S102" s="607">
        <f t="shared" si="5"/>
        <v>0</v>
      </c>
      <c r="T102" s="607">
        <f t="shared" si="5"/>
        <v>4.10958904109589E-3</v>
      </c>
      <c r="U102" s="607">
        <f t="shared" si="5"/>
        <v>0</v>
      </c>
      <c r="V102" s="607">
        <f t="shared" si="5"/>
        <v>0</v>
      </c>
      <c r="W102" s="607">
        <f t="shared" si="5"/>
        <v>0</v>
      </c>
      <c r="X102" s="607">
        <f t="shared" si="6"/>
        <v>0</v>
      </c>
      <c r="Y102" s="287">
        <f t="shared" si="6"/>
        <v>0.94399999999999995</v>
      </c>
      <c r="Z102" s="252">
        <f t="shared" si="6"/>
        <v>0.82499999999999996</v>
      </c>
      <c r="AA102" s="252">
        <f t="shared" si="6"/>
        <v>0.82499999999999996</v>
      </c>
      <c r="AB102" s="252">
        <f t="shared" si="6"/>
        <v>0.57499999999999996</v>
      </c>
      <c r="AC102" s="252">
        <f t="shared" si="6"/>
        <v>0.60499999999999998</v>
      </c>
      <c r="AD102" s="252">
        <f t="shared" si="6"/>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5"/>
      <c r="AR102" s="45"/>
      <c r="AS102" s="441"/>
      <c r="AT102" s="441"/>
      <c r="AV102" s="288">
        <f t="shared" ca="1" si="7"/>
        <v>0.91938902333683425</v>
      </c>
      <c r="AX102" s="116">
        <f t="shared" si="8"/>
        <v>3.7926519294462002E-2</v>
      </c>
      <c r="AY102" s="116">
        <f t="shared" si="9"/>
        <v>6.940513518653324E-2</v>
      </c>
      <c r="AZ102" s="116">
        <f t="shared" si="9"/>
        <v>0.11468803426729779</v>
      </c>
      <c r="BC102" s="315">
        <f t="shared" si="10"/>
        <v>17</v>
      </c>
      <c r="BD102">
        <f t="shared" ca="1" si="11"/>
        <v>0</v>
      </c>
      <c r="BE102" s="316">
        <f t="shared" ca="1" si="12"/>
        <v>0.15389003248927358</v>
      </c>
      <c r="BF102" s="317">
        <f t="shared" ca="1" si="13"/>
        <v>1726.2241041640832</v>
      </c>
      <c r="BG102" s="317">
        <f t="shared" ca="1" si="14"/>
        <v>1013.4124685395192</v>
      </c>
    </row>
    <row r="103" spans="1:65" outlineLevel="3" x14ac:dyDescent="0.25">
      <c r="A103" s="45"/>
      <c r="B103" s="54"/>
      <c r="C103" s="87">
        <f t="shared" si="2"/>
        <v>4</v>
      </c>
      <c r="D103" s="73"/>
      <c r="E103" s="70"/>
      <c r="F103" s="70">
        <f t="shared" si="15"/>
        <v>-95.880000000000109</v>
      </c>
      <c r="G103" s="73"/>
      <c r="H103" s="79">
        <v>18</v>
      </c>
      <c r="I103" s="604">
        <v>1267.5</v>
      </c>
      <c r="J103" s="604">
        <v>1495.88</v>
      </c>
      <c r="K103" s="604">
        <v>1825</v>
      </c>
      <c r="L103" s="604">
        <v>2119.4800000000005</v>
      </c>
      <c r="M103" s="604">
        <v>2355</v>
      </c>
      <c r="N103" s="117">
        <v>0</v>
      </c>
      <c r="O103" s="117">
        <f>-35/$K103</f>
        <v>-1.9178082191780823E-2</v>
      </c>
      <c r="P103" s="117">
        <f>-100/$K103</f>
        <v>-5.4794520547945202E-2</v>
      </c>
      <c r="Q103" s="606">
        <f>R103+1.5*(Q$95-R$95)/$K103</f>
        <v>-2.7397260273972601E-2</v>
      </c>
      <c r="R103" s="606">
        <f>S103+1*(R$95-S$95)/$K103</f>
        <v>-1.0958904109589041E-2</v>
      </c>
      <c r="S103" s="606">
        <v>0</v>
      </c>
      <c r="T103" s="606">
        <f>S103+0.5*(T$95-S$95)/$K103</f>
        <v>4.10958904109589E-3</v>
      </c>
      <c r="U103" s="606">
        <v>0</v>
      </c>
      <c r="V103" s="606">
        <v>0</v>
      </c>
      <c r="W103" s="606">
        <v>0</v>
      </c>
      <c r="X103" s="606">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41"/>
      <c r="AT103" s="441"/>
      <c r="AV103" s="288">
        <f t="shared" ca="1" si="7"/>
        <v>0.91615448304455405</v>
      </c>
      <c r="AX103" s="116">
        <f t="shared" si="8"/>
        <v>5.4365733113673764E-2</v>
      </c>
      <c r="AY103" s="116">
        <f t="shared" si="9"/>
        <v>7.9001768855358812E-2</v>
      </c>
      <c r="AZ103" s="116">
        <f t="shared" si="9"/>
        <v>0.13722856503246028</v>
      </c>
      <c r="BC103" s="315">
        <f t="shared" si="10"/>
        <v>18</v>
      </c>
      <c r="BD103">
        <f t="shared" ca="1" si="11"/>
        <v>0</v>
      </c>
      <c r="BE103" s="316">
        <f t="shared" ca="1" si="12"/>
        <v>7.9001768855358812E-2</v>
      </c>
      <c r="BF103" s="317">
        <f t="shared" ca="1" si="13"/>
        <v>1614.190962214692</v>
      </c>
      <c r="BG103" s="317">
        <f t="shared" ca="1" si="14"/>
        <v>941.26078469971606</v>
      </c>
    </row>
    <row r="104" spans="1:65" outlineLevel="3" x14ac:dyDescent="0.25">
      <c r="A104" s="45"/>
      <c r="B104" s="54"/>
      <c r="C104" s="87">
        <f t="shared" si="2"/>
        <v>4</v>
      </c>
      <c r="D104" s="73"/>
      <c r="E104" s="70"/>
      <c r="F104" s="70">
        <f t="shared" si="15"/>
        <v>-58</v>
      </c>
      <c r="G104" s="73"/>
      <c r="H104" s="79">
        <v>19</v>
      </c>
      <c r="I104" s="262">
        <v>1195.9000000000001</v>
      </c>
      <c r="J104" s="262">
        <v>1400</v>
      </c>
      <c r="K104" s="262">
        <v>1584.75</v>
      </c>
      <c r="L104" s="262">
        <v>1759.75</v>
      </c>
      <c r="M104" s="262">
        <v>2147.7333333333331</v>
      </c>
      <c r="N104" s="289">
        <f t="shared" ref="N104:W108" si="16">N103</f>
        <v>0</v>
      </c>
      <c r="O104" s="289">
        <f t="shared" si="16"/>
        <v>-1.9178082191780823E-2</v>
      </c>
      <c r="P104" s="289">
        <f t="shared" si="16"/>
        <v>-5.4794520547945202E-2</v>
      </c>
      <c r="Q104" s="605">
        <f t="shared" si="16"/>
        <v>-2.7397260273972601E-2</v>
      </c>
      <c r="R104" s="605">
        <f t="shared" si="16"/>
        <v>-1.0958904109589041E-2</v>
      </c>
      <c r="S104" s="605">
        <f t="shared" si="16"/>
        <v>0</v>
      </c>
      <c r="T104" s="605">
        <f t="shared" si="16"/>
        <v>4.10958904109589E-3</v>
      </c>
      <c r="U104" s="605">
        <f t="shared" si="16"/>
        <v>0</v>
      </c>
      <c r="V104" s="605">
        <f t="shared" si="16"/>
        <v>0</v>
      </c>
      <c r="W104" s="605">
        <f t="shared" si="16"/>
        <v>0</v>
      </c>
      <c r="X104" s="605">
        <f t="shared" ref="X104:AD108" si="17">X103</f>
        <v>0</v>
      </c>
      <c r="Y104" s="289">
        <f t="shared" si="17"/>
        <v>0.94399999999999995</v>
      </c>
      <c r="Z104" s="290">
        <f t="shared" si="17"/>
        <v>0.82499999999999996</v>
      </c>
      <c r="AA104" s="290">
        <f t="shared" si="17"/>
        <v>0.82499999999999996</v>
      </c>
      <c r="AB104" s="290">
        <f t="shared" si="17"/>
        <v>0.57499999999999996</v>
      </c>
      <c r="AC104" s="290">
        <f t="shared" si="17"/>
        <v>0.60499999999999998</v>
      </c>
      <c r="AD104" s="290">
        <f t="shared" si="17"/>
        <v>0.9</v>
      </c>
      <c r="AE104" s="76"/>
      <c r="AF104" s="113">
        <v>0</v>
      </c>
      <c r="AG104" s="113">
        <v>0</v>
      </c>
      <c r="AH104" s="113">
        <v>0</v>
      </c>
      <c r="AI104" s="113">
        <v>0</v>
      </c>
      <c r="AJ104" s="113">
        <v>0</v>
      </c>
      <c r="AK104" s="114"/>
      <c r="AL104" s="76"/>
      <c r="AM104" s="76"/>
      <c r="AN104" s="73"/>
      <c r="AO104" s="57"/>
      <c r="AP104" s="45"/>
      <c r="AQ104" s="286"/>
      <c r="AR104" s="45"/>
      <c r="AS104" s="441"/>
      <c r="AT104" s="441"/>
      <c r="AV104" s="288">
        <f t="shared" ca="1" si="7"/>
        <v>0.9165104831288633</v>
      </c>
      <c r="AX104" s="116"/>
      <c r="AY104" s="116"/>
      <c r="AZ104" s="116"/>
      <c r="BC104" s="315">
        <f t="shared" si="10"/>
        <v>19</v>
      </c>
      <c r="BD104">
        <f t="shared" ca="1" si="11"/>
        <v>1584.75</v>
      </c>
      <c r="BE104" s="316">
        <f t="shared" ca="1" si="12"/>
        <v>0</v>
      </c>
      <c r="BF104" s="317">
        <f t="shared" ca="1" si="13"/>
        <v>1496.0039999999999</v>
      </c>
      <c r="BG104" s="317">
        <f t="shared" ca="1" si="14"/>
        <v>869.42795954787675</v>
      </c>
      <c r="BH104">
        <f ca="1">BG104/$K$156</f>
        <v>1353.8221359483057</v>
      </c>
    </row>
    <row r="105" spans="1:65" outlineLevel="3" x14ac:dyDescent="0.25">
      <c r="A105" s="45"/>
      <c r="B105" s="54"/>
      <c r="C105" s="87">
        <f t="shared" si="2"/>
        <v>4</v>
      </c>
      <c r="D105" s="73"/>
      <c r="E105" s="70"/>
      <c r="F105" s="70">
        <f t="shared" si="15"/>
        <v>-42</v>
      </c>
      <c r="G105" s="73"/>
      <c r="H105" s="79">
        <v>20</v>
      </c>
      <c r="I105" s="604">
        <v>1165</v>
      </c>
      <c r="J105" s="604">
        <v>1342</v>
      </c>
      <c r="K105" s="604">
        <v>1440</v>
      </c>
      <c r="L105" s="604">
        <v>1627</v>
      </c>
      <c r="M105" s="604">
        <v>2188</v>
      </c>
      <c r="N105" s="289">
        <f t="shared" si="16"/>
        <v>0</v>
      </c>
      <c r="O105" s="289">
        <f t="shared" si="16"/>
        <v>-1.9178082191780823E-2</v>
      </c>
      <c r="P105" s="289">
        <f t="shared" si="16"/>
        <v>-5.4794520547945202E-2</v>
      </c>
      <c r="Q105" s="605">
        <f t="shared" si="16"/>
        <v>-2.7397260273972601E-2</v>
      </c>
      <c r="R105" s="605">
        <f t="shared" si="16"/>
        <v>-1.0958904109589041E-2</v>
      </c>
      <c r="S105" s="605">
        <f t="shared" si="16"/>
        <v>0</v>
      </c>
      <c r="T105" s="605">
        <f t="shared" si="16"/>
        <v>4.10958904109589E-3</v>
      </c>
      <c r="U105" s="605">
        <f t="shared" si="16"/>
        <v>0</v>
      </c>
      <c r="V105" s="605">
        <f t="shared" si="16"/>
        <v>0</v>
      </c>
      <c r="W105" s="605">
        <f t="shared" si="16"/>
        <v>0</v>
      </c>
      <c r="X105" s="605">
        <f t="shared" si="17"/>
        <v>0</v>
      </c>
      <c r="Y105" s="289">
        <f t="shared" si="17"/>
        <v>0.94399999999999995</v>
      </c>
      <c r="Z105" s="290">
        <f t="shared" si="17"/>
        <v>0.82499999999999996</v>
      </c>
      <c r="AA105" s="290">
        <f t="shared" si="17"/>
        <v>0.82499999999999996</v>
      </c>
      <c r="AB105" s="290">
        <f t="shared" si="17"/>
        <v>0.57499999999999996</v>
      </c>
      <c r="AC105" s="290">
        <f t="shared" si="17"/>
        <v>0.60499999999999998</v>
      </c>
      <c r="AD105" s="290">
        <f t="shared" si="17"/>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41"/>
      <c r="AT105" s="441"/>
      <c r="AV105" s="288">
        <f t="shared" ca="1" si="7"/>
        <v>0.91981407986111097</v>
      </c>
      <c r="AX105" s="116">
        <f t="shared" ref="AX105:AX106" si="18">1-((1+AG105)/(1+AG104))^(1/($H104-$H105))</f>
        <v>-4.2312962455467229E-2</v>
      </c>
      <c r="AY105" s="116">
        <f t="shared" ref="AY105:AY106" si="19">1-((1+AH105)/(1+AH104))^(1/($H104-$H105))</f>
        <v>-0.10052083333333339</v>
      </c>
      <c r="AZ105" s="116">
        <f t="shared" ref="AZ105:AZ106" si="20">1-((1+AI105)/(1+AI104))^(1/($H104-$H105))</f>
        <v>-0.13867433087839065</v>
      </c>
      <c r="BC105" s="315">
        <f t="shared" si="10"/>
        <v>20</v>
      </c>
      <c r="BD105">
        <f t="shared" ca="1" si="11"/>
        <v>0</v>
      </c>
      <c r="BE105" s="316">
        <f t="shared" ca="1" si="12"/>
        <v>-9.1339327969711337E-2</v>
      </c>
      <c r="BF105" s="317">
        <f t="shared" ca="1" si="13"/>
        <v>1359.36</v>
      </c>
      <c r="BG105" s="317">
        <f t="shared" ca="1" si="14"/>
        <v>788.92815953006618</v>
      </c>
    </row>
    <row r="106" spans="1:65" outlineLevel="3" x14ac:dyDescent="0.25">
      <c r="A106" s="45"/>
      <c r="B106" s="54"/>
      <c r="C106" s="87">
        <f t="shared" si="2"/>
        <v>4</v>
      </c>
      <c r="D106" s="73"/>
      <c r="E106" s="70"/>
      <c r="F106" s="70">
        <f t="shared" si="15"/>
        <v>-28</v>
      </c>
      <c r="G106" s="73"/>
      <c r="H106" s="79">
        <v>21</v>
      </c>
      <c r="I106" s="604">
        <v>1157</v>
      </c>
      <c r="J106" s="604">
        <v>1300</v>
      </c>
      <c r="K106" s="604">
        <v>1400</v>
      </c>
      <c r="L106" s="604">
        <v>1548</v>
      </c>
      <c r="M106" s="604">
        <v>2178</v>
      </c>
      <c r="N106" s="289">
        <f t="shared" si="16"/>
        <v>0</v>
      </c>
      <c r="O106" s="289">
        <f t="shared" si="16"/>
        <v>-1.9178082191780823E-2</v>
      </c>
      <c r="P106" s="289">
        <f t="shared" si="16"/>
        <v>-5.4794520547945202E-2</v>
      </c>
      <c r="Q106" s="605">
        <f t="shared" si="16"/>
        <v>-2.7397260273972601E-2</v>
      </c>
      <c r="R106" s="605">
        <f t="shared" si="16"/>
        <v>-1.0958904109589041E-2</v>
      </c>
      <c r="S106" s="605">
        <f t="shared" si="16"/>
        <v>0</v>
      </c>
      <c r="T106" s="605">
        <f t="shared" si="16"/>
        <v>4.10958904109589E-3</v>
      </c>
      <c r="U106" s="605">
        <f t="shared" si="16"/>
        <v>0</v>
      </c>
      <c r="V106" s="605">
        <f t="shared" si="16"/>
        <v>0</v>
      </c>
      <c r="W106" s="605">
        <f t="shared" si="16"/>
        <v>0</v>
      </c>
      <c r="X106" s="605">
        <f t="shared" si="17"/>
        <v>0</v>
      </c>
      <c r="Y106" s="289">
        <f t="shared" si="17"/>
        <v>0.94399999999999995</v>
      </c>
      <c r="Z106" s="290">
        <f t="shared" si="17"/>
        <v>0.82499999999999996</v>
      </c>
      <c r="AA106" s="290">
        <f t="shared" si="17"/>
        <v>0.82499999999999996</v>
      </c>
      <c r="AB106" s="290">
        <f t="shared" si="17"/>
        <v>0.57499999999999996</v>
      </c>
      <c r="AC106" s="290">
        <f t="shared" si="17"/>
        <v>0.60499999999999998</v>
      </c>
      <c r="AD106" s="290">
        <f t="shared" si="17"/>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41"/>
      <c r="AT106" s="441"/>
      <c r="AV106" s="291">
        <f t="shared" ca="1" si="7"/>
        <v>0.91411678571428556</v>
      </c>
      <c r="AX106" s="116">
        <f t="shared" si="18"/>
        <v>-1.3962097991184974E-2</v>
      </c>
      <c r="AY106" s="116">
        <f t="shared" si="19"/>
        <v>-2.8571428571428692E-2</v>
      </c>
      <c r="AZ106" s="116">
        <f t="shared" si="20"/>
        <v>-3.6180631120783513E-2</v>
      </c>
      <c r="BC106" s="315">
        <f t="shared" si="10"/>
        <v>21</v>
      </c>
      <c r="BD106">
        <f t="shared" ca="1" si="11"/>
        <v>0</v>
      </c>
      <c r="BE106" s="316">
        <f t="shared" ca="1" si="12"/>
        <v>-0.11657990219277492</v>
      </c>
      <c r="BF106" s="317">
        <f t="shared" ca="1" si="13"/>
        <v>1321.6</v>
      </c>
      <c r="BG106" s="317">
        <f t="shared" ca="1" si="14"/>
        <v>760.75255271078879</v>
      </c>
    </row>
    <row r="107" spans="1:65" outlineLevel="3" x14ac:dyDescent="0.25">
      <c r="A107" s="45"/>
      <c r="B107" s="54"/>
      <c r="C107" s="87">
        <f t="shared" si="2"/>
        <v>4</v>
      </c>
      <c r="D107" s="73"/>
      <c r="E107" s="70"/>
      <c r="F107" s="70">
        <f t="shared" si="15"/>
        <v>-65</v>
      </c>
      <c r="G107" s="73"/>
      <c r="H107" s="79">
        <v>22</v>
      </c>
      <c r="I107" s="604">
        <v>1141</v>
      </c>
      <c r="J107" s="604">
        <v>1272</v>
      </c>
      <c r="K107" s="604">
        <v>1375</v>
      </c>
      <c r="L107" s="604">
        <v>1498</v>
      </c>
      <c r="M107" s="604">
        <v>2182</v>
      </c>
      <c r="N107" s="289">
        <f t="shared" si="16"/>
        <v>0</v>
      </c>
      <c r="O107" s="289">
        <f t="shared" si="16"/>
        <v>-1.9178082191780823E-2</v>
      </c>
      <c r="P107" s="289">
        <f t="shared" si="16"/>
        <v>-5.4794520547945202E-2</v>
      </c>
      <c r="Q107" s="605">
        <f t="shared" si="16"/>
        <v>-2.7397260273972601E-2</v>
      </c>
      <c r="R107" s="605">
        <f t="shared" si="16"/>
        <v>-1.0958904109589041E-2</v>
      </c>
      <c r="S107" s="605">
        <f t="shared" si="16"/>
        <v>0</v>
      </c>
      <c r="T107" s="605">
        <f t="shared" si="16"/>
        <v>4.10958904109589E-3</v>
      </c>
      <c r="U107" s="605">
        <f t="shared" si="16"/>
        <v>0</v>
      </c>
      <c r="V107" s="605">
        <f t="shared" si="16"/>
        <v>0</v>
      </c>
      <c r="W107" s="605">
        <f t="shared" si="16"/>
        <v>0</v>
      </c>
      <c r="X107" s="605">
        <f t="shared" si="17"/>
        <v>0</v>
      </c>
      <c r="Y107" s="289">
        <f t="shared" si="17"/>
        <v>0.94399999999999995</v>
      </c>
      <c r="Z107" s="290">
        <f t="shared" si="17"/>
        <v>0.82499999999999996</v>
      </c>
      <c r="AA107" s="290">
        <f t="shared" si="17"/>
        <v>0.82499999999999996</v>
      </c>
      <c r="AB107" s="290">
        <f t="shared" si="17"/>
        <v>0.57499999999999996</v>
      </c>
      <c r="AC107" s="290">
        <f t="shared" si="17"/>
        <v>0.60499999999999998</v>
      </c>
      <c r="AD107" s="290">
        <f t="shared" si="17"/>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41"/>
      <c r="AT107" s="441"/>
      <c r="AV107" s="291">
        <f t="shared" ca="1" si="7"/>
        <v>0.91175673672727264</v>
      </c>
      <c r="AX107" s="116">
        <f t="shared" ref="AX107:AX113" si="21">1-((1+AG107)/(1+AG106))^(1/($H106-$H107))</f>
        <v>-8.4836810501518478E-3</v>
      </c>
      <c r="AY107" s="116">
        <f t="shared" ref="AY107:AZ113" si="22">1-((1+AH107)/(1+AH106))^(1/($H106-$H107))</f>
        <v>-1.8181818181818077E-2</v>
      </c>
      <c r="AZ107" s="116">
        <f t="shared" si="22"/>
        <v>-2.9170943991198017E-2</v>
      </c>
      <c r="BC107" s="315">
        <f t="shared" si="10"/>
        <v>22</v>
      </c>
      <c r="BD107">
        <f t="shared" ca="1" si="11"/>
        <v>0</v>
      </c>
      <c r="BE107" s="316">
        <f t="shared" ca="1" si="12"/>
        <v>-0.13235526108218965</v>
      </c>
      <c r="BF107" s="317">
        <f t="shared" ca="1" si="13"/>
        <v>1298</v>
      </c>
      <c r="BG107" s="317">
        <f t="shared" ca="1" si="14"/>
        <v>744.32756407782733</v>
      </c>
    </row>
    <row r="108" spans="1:65" outlineLevel="3" x14ac:dyDescent="0.25">
      <c r="A108" s="45"/>
      <c r="B108" s="54"/>
      <c r="C108" s="87">
        <f t="shared" si="2"/>
        <v>4</v>
      </c>
      <c r="D108" s="73"/>
      <c r="E108" s="70"/>
      <c r="F108" s="70">
        <f t="shared" si="15"/>
        <v>-122.75</v>
      </c>
      <c r="G108" s="73"/>
      <c r="H108" s="79">
        <v>23</v>
      </c>
      <c r="I108" s="604">
        <v>1100.5</v>
      </c>
      <c r="J108" s="604">
        <v>1207</v>
      </c>
      <c r="K108" s="604">
        <v>1264.5</v>
      </c>
      <c r="L108" s="604">
        <v>1419</v>
      </c>
      <c r="M108" s="604">
        <v>2069.5</v>
      </c>
      <c r="N108" s="289">
        <f t="shared" si="16"/>
        <v>0</v>
      </c>
      <c r="O108" s="289">
        <f t="shared" si="16"/>
        <v>-1.9178082191780823E-2</v>
      </c>
      <c r="P108" s="289">
        <f t="shared" si="16"/>
        <v>-5.4794520547945202E-2</v>
      </c>
      <c r="Q108" s="605">
        <f t="shared" si="16"/>
        <v>-2.7397260273972601E-2</v>
      </c>
      <c r="R108" s="605">
        <f t="shared" si="16"/>
        <v>-1.0958904109589041E-2</v>
      </c>
      <c r="S108" s="605">
        <f t="shared" si="16"/>
        <v>0</v>
      </c>
      <c r="T108" s="605">
        <f t="shared" si="16"/>
        <v>4.10958904109589E-3</v>
      </c>
      <c r="U108" s="605">
        <f t="shared" si="16"/>
        <v>0</v>
      </c>
      <c r="V108" s="605">
        <f t="shared" si="16"/>
        <v>0</v>
      </c>
      <c r="W108" s="605">
        <f t="shared" si="16"/>
        <v>0</v>
      </c>
      <c r="X108" s="605">
        <f t="shared" si="17"/>
        <v>0</v>
      </c>
      <c r="Y108" s="289">
        <f t="shared" si="17"/>
        <v>0.94399999999999995</v>
      </c>
      <c r="Z108" s="290">
        <f t="shared" si="17"/>
        <v>0.82499999999999996</v>
      </c>
      <c r="AA108" s="290">
        <f t="shared" si="17"/>
        <v>0.82499999999999996</v>
      </c>
      <c r="AB108" s="290">
        <f t="shared" si="17"/>
        <v>0.57499999999999996</v>
      </c>
      <c r="AC108" s="290">
        <f t="shared" si="17"/>
        <v>0.60499999999999998</v>
      </c>
      <c r="AD108" s="290">
        <f t="shared" si="17"/>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41"/>
      <c r="AT108" s="441"/>
      <c r="AV108" s="291">
        <f t="shared" ca="1" si="7"/>
        <v>0.9174422412020562</v>
      </c>
      <c r="AX108" s="116">
        <f t="shared" si="21"/>
        <v>-5.6888994195000597E-2</v>
      </c>
      <c r="AY108" s="116">
        <f t="shared" si="22"/>
        <v>-8.7386318703044585E-2</v>
      </c>
      <c r="AZ108" s="116">
        <f t="shared" si="22"/>
        <v>-0.11019742671817934</v>
      </c>
      <c r="BC108" s="315">
        <f t="shared" si="10"/>
        <v>23</v>
      </c>
      <c r="BD108">
        <f t="shared" ca="1" si="11"/>
        <v>0</v>
      </c>
      <c r="BE108" s="316">
        <f t="shared" ca="1" si="12"/>
        <v>-0.20208234737340267</v>
      </c>
      <c r="BF108" s="317">
        <f t="shared" ca="1" si="13"/>
        <v>1193.6879999999999</v>
      </c>
      <c r="BG108" s="317">
        <f t="shared" ca="1" si="14"/>
        <v>685.44491404519579</v>
      </c>
    </row>
    <row r="109" spans="1:65" outlineLevel="3" x14ac:dyDescent="0.25">
      <c r="A109" s="45"/>
      <c r="B109" s="54"/>
      <c r="C109" s="87">
        <f t="shared" si="2"/>
        <v>4</v>
      </c>
      <c r="D109" s="73"/>
      <c r="E109" s="70"/>
      <c r="F109" s="70">
        <f t="shared" si="15"/>
        <v>-93.5</v>
      </c>
      <c r="G109" s="73"/>
      <c r="H109" s="79">
        <v>25</v>
      </c>
      <c r="I109" s="604">
        <v>832.5</v>
      </c>
      <c r="J109" s="604">
        <v>961.5</v>
      </c>
      <c r="K109" s="604">
        <v>1054.5</v>
      </c>
      <c r="L109" s="604">
        <v>1206.5</v>
      </c>
      <c r="M109" s="604">
        <v>1581.5</v>
      </c>
      <c r="N109" s="289">
        <f t="shared" ref="N109:X110" si="23">N108</f>
        <v>0</v>
      </c>
      <c r="O109" s="289">
        <f t="shared" si="23"/>
        <v>-1.9178082191780823E-2</v>
      </c>
      <c r="P109" s="289">
        <f t="shared" si="23"/>
        <v>-5.4794520547945202E-2</v>
      </c>
      <c r="Q109" s="605">
        <f t="shared" si="23"/>
        <v>-2.7397260273972601E-2</v>
      </c>
      <c r="R109" s="605">
        <f t="shared" si="23"/>
        <v>-1.0958904109589041E-2</v>
      </c>
      <c r="S109" s="605">
        <f t="shared" si="23"/>
        <v>0</v>
      </c>
      <c r="T109" s="605">
        <f t="shared" si="23"/>
        <v>4.10958904109589E-3</v>
      </c>
      <c r="U109" s="605">
        <f t="shared" si="23"/>
        <v>0</v>
      </c>
      <c r="V109" s="605">
        <f t="shared" si="23"/>
        <v>0</v>
      </c>
      <c r="W109" s="605">
        <f t="shared" si="23"/>
        <v>0</v>
      </c>
      <c r="X109" s="605">
        <f t="shared" si="23"/>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41"/>
      <c r="AT109" s="441"/>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1"/>
        <v>-8.0793695872952043E-2</v>
      </c>
      <c r="AY109" s="116">
        <f t="shared" si="22"/>
        <v>-9.2855406624080983E-2</v>
      </c>
      <c r="AZ109" s="116">
        <f t="shared" si="22"/>
        <v>-0.10327564701683589</v>
      </c>
      <c r="BC109" s="315">
        <f t="shared" si="10"/>
        <v>25</v>
      </c>
      <c r="BD109">
        <f t="shared" ca="1" si="11"/>
        <v>0</v>
      </c>
      <c r="BE109" s="316">
        <f t="shared" ca="1" si="12"/>
        <v>-0.33191355103328601</v>
      </c>
      <c r="BF109" s="317">
        <f t="shared" ca="1" si="13"/>
        <v>911.58375000000001</v>
      </c>
      <c r="BG109" s="417">
        <f ca="1">(SUM($BD$99:$BD$112)*(1+$BE109)*$AV109*(1-i_wool_cost_pc)-i_wool_cost_kg*100)*$N$156</f>
        <v>510.82267339850625</v>
      </c>
    </row>
    <row r="110" spans="1:65" outlineLevel="3" x14ac:dyDescent="0.25">
      <c r="A110" s="45"/>
      <c r="B110" s="54"/>
      <c r="C110" s="87">
        <f t="shared" si="2"/>
        <v>4</v>
      </c>
      <c r="D110" s="73"/>
      <c r="E110" s="70"/>
      <c r="F110" s="70">
        <f>($J112-$J110)/($H112-$H110)</f>
        <v>-41.756450994974429</v>
      </c>
      <c r="G110" s="73"/>
      <c r="H110" s="79">
        <v>28</v>
      </c>
      <c r="I110" s="604">
        <v>498</v>
      </c>
      <c r="J110" s="604">
        <v>681</v>
      </c>
      <c r="K110" s="604">
        <v>781</v>
      </c>
      <c r="L110" s="604">
        <v>850</v>
      </c>
      <c r="M110" s="604">
        <v>1191</v>
      </c>
      <c r="N110" s="289">
        <f t="shared" si="23"/>
        <v>0</v>
      </c>
      <c r="O110" s="289">
        <f t="shared" si="23"/>
        <v>-1.9178082191780823E-2</v>
      </c>
      <c r="P110" s="289">
        <f t="shared" si="23"/>
        <v>-5.4794520547945202E-2</v>
      </c>
      <c r="Q110" s="605">
        <f t="shared" si="23"/>
        <v>-2.7397260273972601E-2</v>
      </c>
      <c r="R110" s="605">
        <f t="shared" si="23"/>
        <v>-1.0958904109589041E-2</v>
      </c>
      <c r="S110" s="605">
        <f t="shared" si="23"/>
        <v>0</v>
      </c>
      <c r="T110" s="605">
        <f t="shared" si="23"/>
        <v>4.10958904109589E-3</v>
      </c>
      <c r="U110" s="605">
        <f t="shared" si="23"/>
        <v>0</v>
      </c>
      <c r="V110" s="605">
        <f t="shared" si="23"/>
        <v>0</v>
      </c>
      <c r="W110" s="605">
        <f t="shared" si="23"/>
        <v>0</v>
      </c>
      <c r="X110" s="605">
        <f t="shared" si="23"/>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41"/>
      <c r="AT110" s="441"/>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1"/>
        <v>-8.6795350029972962E-2</v>
      </c>
      <c r="AY110" s="116">
        <f t="shared" si="22"/>
        <v>-0.10674473123186012</v>
      </c>
      <c r="AZ110" s="116">
        <f t="shared" si="22"/>
        <v>-0.10948836182573651</v>
      </c>
      <c r="BC110" s="315">
        <f t="shared" si="10"/>
        <v>28</v>
      </c>
      <c r="BD110">
        <f t="shared" ca="1" si="11"/>
        <v>0</v>
      </c>
      <c r="BE110" s="316">
        <f t="shared" ca="1" si="12"/>
        <v>-0.50717778829468374</v>
      </c>
      <c r="BF110" s="317">
        <f t="shared" ca="1" si="13"/>
        <v>672.44099999999992</v>
      </c>
      <c r="BG110" s="417">
        <f ca="1">(SUM($BD$99:$BD$112)*(1+$BE110)*$AV110*(1-i_wool_cost_pc)-i_wool_cost_kg*100)*$N$156</f>
        <v>366.16806357600194</v>
      </c>
    </row>
    <row r="111" spans="1:65" outlineLevel="3" x14ac:dyDescent="0.25">
      <c r="A111" s="45"/>
      <c r="B111" s="54"/>
      <c r="C111" s="87">
        <f t="shared" si="2"/>
        <v>4</v>
      </c>
      <c r="D111" s="73"/>
      <c r="E111" s="70"/>
      <c r="F111" s="70"/>
      <c r="G111" s="73"/>
      <c r="H111" s="79">
        <v>32</v>
      </c>
      <c r="I111" s="604">
        <v>425.42270074144187</v>
      </c>
      <c r="J111" s="604">
        <v>498.02808013882316</v>
      </c>
      <c r="K111" s="604">
        <v>563.75</v>
      </c>
      <c r="L111" s="604">
        <v>626.00351001735282</v>
      </c>
      <c r="M111" s="604">
        <v>764.02250617868208</v>
      </c>
      <c r="N111" s="289">
        <f t="shared" ref="N111:AD111" si="24">N109</f>
        <v>0</v>
      </c>
      <c r="O111" s="289">
        <f t="shared" si="24"/>
        <v>-1.9178082191780823E-2</v>
      </c>
      <c r="P111" s="289">
        <f t="shared" si="24"/>
        <v>-5.4794520547945202E-2</v>
      </c>
      <c r="Q111" s="605">
        <f t="shared" si="24"/>
        <v>-2.7397260273972601E-2</v>
      </c>
      <c r="R111" s="605">
        <f t="shared" si="24"/>
        <v>-1.0958904109589041E-2</v>
      </c>
      <c r="S111" s="605">
        <f t="shared" si="24"/>
        <v>0</v>
      </c>
      <c r="T111" s="605">
        <f t="shared" si="24"/>
        <v>4.10958904109589E-3</v>
      </c>
      <c r="U111" s="605">
        <f t="shared" si="24"/>
        <v>0</v>
      </c>
      <c r="V111" s="605">
        <f t="shared" si="24"/>
        <v>0</v>
      </c>
      <c r="W111" s="605">
        <f t="shared" si="24"/>
        <v>0</v>
      </c>
      <c r="X111" s="605">
        <f t="shared" si="24"/>
        <v>0</v>
      </c>
      <c r="Y111" s="289">
        <f t="shared" si="24"/>
        <v>0.86099999999999999</v>
      </c>
      <c r="Z111" s="290">
        <f t="shared" si="24"/>
        <v>0.61299999999999999</v>
      </c>
      <c r="AA111" s="290">
        <f t="shared" si="24"/>
        <v>0.59399999999999997</v>
      </c>
      <c r="AB111" s="290">
        <f t="shared" si="24"/>
        <v>0.42599999999999999</v>
      </c>
      <c r="AC111" s="290">
        <f t="shared" si="24"/>
        <v>0.41499999999999998</v>
      </c>
      <c r="AD111" s="290">
        <f t="shared" si="24"/>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41"/>
      <c r="AT111" s="441"/>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1"/>
        <v>-7.077966923229817E-2</v>
      </c>
      <c r="AY111" s="116">
        <f t="shared" si="22"/>
        <v>-8.4903523662664515E-2</v>
      </c>
      <c r="AZ111" s="116">
        <f t="shared" si="22"/>
        <v>-0.12355965850943984</v>
      </c>
      <c r="BC111" s="315">
        <f t="shared" si="10"/>
        <v>32</v>
      </c>
      <c r="BD111">
        <f t="shared" ca="1" si="11"/>
        <v>0</v>
      </c>
      <c r="BE111" s="316">
        <f t="shared" ca="1" si="12"/>
        <v>-0.64426565704369776</v>
      </c>
      <c r="BF111" s="317">
        <f t="shared" ca="1" si="13"/>
        <v>485.38875000000002</v>
      </c>
      <c r="BG111" s="417">
        <f ca="1">(SUM($BD$99:$BD$112)*(1+$BE111)*$AV111*(1-i_wool_cost_pc)-i_wool_cost_kg*100)*$N$156</f>
        <v>250.89478706389966</v>
      </c>
    </row>
    <row r="112" spans="1:65" outlineLevel="3" x14ac:dyDescent="0.25">
      <c r="A112" s="45"/>
      <c r="B112" s="54"/>
      <c r="C112" s="87">
        <f t="shared" si="2"/>
        <v>4</v>
      </c>
      <c r="D112" s="73"/>
      <c r="E112" s="70"/>
      <c r="F112" s="70"/>
      <c r="G112" s="73"/>
      <c r="H112" s="79">
        <v>35</v>
      </c>
      <c r="I112" s="604">
        <v>332.03722984697902</v>
      </c>
      <c r="J112" s="604">
        <v>388.70484303517901</v>
      </c>
      <c r="K112" s="604">
        <v>440</v>
      </c>
      <c r="L112" s="604">
        <v>488.58810537939735</v>
      </c>
      <c r="M112" s="604">
        <v>596.3102487248251</v>
      </c>
      <c r="N112" s="289">
        <f t="shared" ref="N112:AD112" si="25">N110</f>
        <v>0</v>
      </c>
      <c r="O112" s="289">
        <f t="shared" si="25"/>
        <v>-1.9178082191780823E-2</v>
      </c>
      <c r="P112" s="289">
        <f t="shared" si="25"/>
        <v>-5.4794520547945202E-2</v>
      </c>
      <c r="Q112" s="605">
        <f t="shared" si="25"/>
        <v>-2.7397260273972601E-2</v>
      </c>
      <c r="R112" s="605">
        <f t="shared" si="25"/>
        <v>-1.0958904109589041E-2</v>
      </c>
      <c r="S112" s="605">
        <f t="shared" si="25"/>
        <v>0</v>
      </c>
      <c r="T112" s="605">
        <f t="shared" si="25"/>
        <v>4.10958904109589E-3</v>
      </c>
      <c r="U112" s="605">
        <f t="shared" si="25"/>
        <v>0</v>
      </c>
      <c r="V112" s="605">
        <f t="shared" si="25"/>
        <v>0</v>
      </c>
      <c r="W112" s="605">
        <f t="shared" si="25"/>
        <v>0</v>
      </c>
      <c r="X112" s="605">
        <f t="shared" si="25"/>
        <v>0</v>
      </c>
      <c r="Y112" s="289">
        <f t="shared" si="25"/>
        <v>0.86099999999999999</v>
      </c>
      <c r="Z112" s="290">
        <f t="shared" si="25"/>
        <v>0.61299999999999999</v>
      </c>
      <c r="AA112" s="290">
        <f t="shared" si="25"/>
        <v>0.59399999999999997</v>
      </c>
      <c r="AB112" s="290">
        <f t="shared" si="25"/>
        <v>0.42599999999999999</v>
      </c>
      <c r="AC112" s="290">
        <f t="shared" si="25"/>
        <v>0.41499999999999998</v>
      </c>
      <c r="AD112" s="290">
        <f t="shared" si="25"/>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41"/>
      <c r="AT112" s="441"/>
      <c r="AV112" s="427">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1"/>
        <v>-8.0983869874452274E-2</v>
      </c>
      <c r="AY112" s="116">
        <f t="shared" si="22"/>
        <v>-8.612037144215301E-2</v>
      </c>
      <c r="AZ112" s="116">
        <f t="shared" si="22"/>
        <v>-0.23614325642206291</v>
      </c>
      <c r="BC112" s="315">
        <f t="shared" si="10"/>
        <v>35</v>
      </c>
      <c r="BD112">
        <f t="shared" ca="1" si="11"/>
        <v>0</v>
      </c>
      <c r="BE112" s="316">
        <f t="shared" ca="1" si="12"/>
        <v>-0.7223536835463007</v>
      </c>
      <c r="BF112" s="317">
        <f t="shared" ca="1" si="13"/>
        <v>378.84</v>
      </c>
      <c r="BG112" s="417">
        <f ca="1">(SUM($BD$99:$BD$112)*(1+$BE112)*$AV112*(1-i_wool_cost_pc)-i_wool_cost_kg*100)*$N$156</f>
        <v>185.84791428672199</v>
      </c>
    </row>
    <row r="113" spans="1:59" outlineLevel="3" x14ac:dyDescent="0.25">
      <c r="A113" s="45"/>
      <c r="B113" s="54"/>
      <c r="C113" s="87"/>
      <c r="D113" s="73"/>
      <c r="E113" s="70"/>
      <c r="F113" s="70"/>
      <c r="G113" s="73"/>
      <c r="H113" s="79">
        <v>38</v>
      </c>
      <c r="I113" s="604">
        <v>238.65175895251616</v>
      </c>
      <c r="J113" s="604">
        <v>279.38160593153492</v>
      </c>
      <c r="K113" s="604">
        <v>316.24999999999994</v>
      </c>
      <c r="L113" s="604">
        <v>351.17270074144182</v>
      </c>
      <c r="M113" s="604">
        <v>428.59799127096801</v>
      </c>
      <c r="N113" s="293">
        <f t="shared" ref="N113:AD113" si="26">N111</f>
        <v>0</v>
      </c>
      <c r="O113" s="293">
        <f t="shared" si="26"/>
        <v>-1.9178082191780823E-2</v>
      </c>
      <c r="P113" s="293">
        <f t="shared" si="26"/>
        <v>-5.4794520547945202E-2</v>
      </c>
      <c r="Q113" s="603">
        <f t="shared" si="26"/>
        <v>-2.7397260273972601E-2</v>
      </c>
      <c r="R113" s="603">
        <f t="shared" si="26"/>
        <v>-1.0958904109589041E-2</v>
      </c>
      <c r="S113" s="603">
        <f t="shared" si="26"/>
        <v>0</v>
      </c>
      <c r="T113" s="603">
        <f t="shared" si="26"/>
        <v>4.10958904109589E-3</v>
      </c>
      <c r="U113" s="603">
        <f t="shared" si="26"/>
        <v>0</v>
      </c>
      <c r="V113" s="603">
        <f t="shared" si="26"/>
        <v>0</v>
      </c>
      <c r="W113" s="603">
        <f t="shared" si="26"/>
        <v>0</v>
      </c>
      <c r="X113" s="603">
        <f t="shared" si="26"/>
        <v>0</v>
      </c>
      <c r="Y113" s="293">
        <f t="shared" si="26"/>
        <v>0.86099999999999999</v>
      </c>
      <c r="Z113" s="294">
        <f t="shared" si="26"/>
        <v>0.61299999999999999</v>
      </c>
      <c r="AA113" s="294">
        <f t="shared" si="26"/>
        <v>0.59399999999999997</v>
      </c>
      <c r="AB113" s="294">
        <f t="shared" si="26"/>
        <v>0.42599999999999999</v>
      </c>
      <c r="AC113" s="294">
        <f t="shared" si="26"/>
        <v>0.41499999999999998</v>
      </c>
      <c r="AD113" s="294">
        <f t="shared" si="26"/>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41"/>
      <c r="AT113" s="441"/>
      <c r="AV113" s="428">
        <f ca="1">AV112</f>
        <v>0.82670906249999998</v>
      </c>
      <c r="AX113" s="116">
        <f t="shared" si="21"/>
        <v>-0.1071552448938502</v>
      </c>
      <c r="AY113" s="116">
        <f t="shared" si="22"/>
        <v>-0.11636800399929625</v>
      </c>
      <c r="AZ113" s="116">
        <f t="shared" si="22"/>
        <v>-0.43656956499391408</v>
      </c>
      <c r="BC113" s="318">
        <f t="shared" si="10"/>
        <v>38</v>
      </c>
      <c r="BD113" s="319">
        <f t="shared" ca="1" si="11"/>
        <v>0</v>
      </c>
      <c r="BE113" s="320">
        <f t="shared" ca="1" si="12"/>
        <v>-0.80044171004890363</v>
      </c>
      <c r="BF113" s="426">
        <f t="shared" ca="1" si="13"/>
        <v>272.29124999999993</v>
      </c>
      <c r="BG113" s="418">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5" t="s">
        <v>3265</v>
      </c>
      <c r="J114" s="119"/>
      <c r="K114" s="119"/>
      <c r="L114" s="119"/>
      <c r="M114" s="119"/>
      <c r="N114" s="119" t="s">
        <v>197</v>
      </c>
      <c r="O114" s="119"/>
      <c r="P114" s="119"/>
      <c r="Q114" s="602" t="s">
        <v>3264</v>
      </c>
      <c r="R114" s="602"/>
      <c r="S114" s="602"/>
      <c r="T114" s="602"/>
      <c r="U114" s="602"/>
      <c r="V114" s="602"/>
      <c r="W114" s="602"/>
      <c r="X114" s="602"/>
      <c r="Y114" s="119" t="s">
        <v>2205</v>
      </c>
      <c r="Z114" s="119"/>
      <c r="AA114" s="119"/>
      <c r="AB114" s="119"/>
      <c r="AC114" s="119"/>
      <c r="AD114" s="119"/>
      <c r="AE114" s="76"/>
      <c r="AF114" s="119" t="s">
        <v>3263</v>
      </c>
      <c r="AG114" s="119"/>
      <c r="AH114" s="119"/>
      <c r="AI114" s="119"/>
      <c r="AJ114" s="119"/>
      <c r="AK114" s="76"/>
      <c r="AL114" s="76"/>
      <c r="AM114" s="76"/>
      <c r="AN114" s="73"/>
      <c r="AO114" s="57"/>
      <c r="AP114" s="45"/>
      <c r="AQ114" s="45"/>
      <c r="AR114" s="45"/>
      <c r="AS114" s="441"/>
      <c r="AT114" s="441"/>
    </row>
    <row r="115" spans="1:59" ht="16.5" outlineLevel="3" thickTop="1" thickBot="1" x14ac:dyDescent="0.3">
      <c r="A115" s="45"/>
      <c r="B115" s="54"/>
      <c r="C115" s="87">
        <f>INT($C$81+3)</f>
        <v>4</v>
      </c>
      <c r="D115" s="73"/>
      <c r="E115" s="70"/>
      <c r="F115" s="70"/>
      <c r="G115" s="73"/>
      <c r="H115" s="174" t="s">
        <v>198</v>
      </c>
      <c r="I115" s="601">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41"/>
      <c r="AT115" s="441"/>
      <c r="AV115" t="s">
        <v>2716</v>
      </c>
    </row>
    <row r="116" spans="1:59" ht="15.75" outlineLevel="3" thickTop="1" x14ac:dyDescent="0.25">
      <c r="A116" s="45"/>
      <c r="B116" s="54"/>
      <c r="C116" s="87">
        <f>INT($C$81+3)</f>
        <v>4</v>
      </c>
      <c r="D116" s="73"/>
      <c r="E116" s="70"/>
      <c r="F116" s="70"/>
      <c r="G116" s="73"/>
      <c r="H116" s="76" t="s">
        <v>199</v>
      </c>
      <c r="I116" s="600">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41"/>
      <c r="AT116" s="441"/>
      <c r="AV116" t="s">
        <v>2718</v>
      </c>
    </row>
    <row r="117" spans="1:59" outlineLevel="3" x14ac:dyDescent="0.25">
      <c r="A117" s="45"/>
      <c r="B117" s="54"/>
      <c r="C117" s="87">
        <f>INT($C$81+3)</f>
        <v>4</v>
      </c>
      <c r="D117" s="73"/>
      <c r="E117" s="70"/>
      <c r="F117" s="70"/>
      <c r="G117" s="73"/>
      <c r="H117" s="76" t="s">
        <v>201</v>
      </c>
      <c r="I117" s="97">
        <v>50</v>
      </c>
      <c r="J117" s="76" t="s">
        <v>2226</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41"/>
      <c r="AT117" s="441"/>
      <c r="AV117" t="s">
        <v>2717</v>
      </c>
    </row>
    <row r="118" spans="1:59" outlineLevel="3" x14ac:dyDescent="0.25">
      <c r="A118" s="45"/>
      <c r="B118" s="54"/>
      <c r="C118" s="87">
        <f>INT($C$81+3)</f>
        <v>4</v>
      </c>
      <c r="D118" s="73"/>
      <c r="E118" s="70"/>
      <c r="F118" s="70"/>
      <c r="G118" s="73"/>
      <c r="H118" s="76" t="s">
        <v>202</v>
      </c>
      <c r="I118" s="97">
        <v>50</v>
      </c>
      <c r="J118" s="76" t="s">
        <v>2706</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41"/>
      <c r="AT118" s="441"/>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41"/>
      <c r="AT119" s="441"/>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41"/>
      <c r="AT120" s="441"/>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41"/>
      <c r="AT121" s="441"/>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41"/>
      <c r="AT122" s="441"/>
    </row>
    <row r="123" spans="1:59" outlineLevel="2" x14ac:dyDescent="0.25">
      <c r="A123" s="45"/>
      <c r="B123" s="54"/>
      <c r="C123" s="87">
        <f>INT($C$81)+2</f>
        <v>3</v>
      </c>
      <c r="D123" s="73"/>
      <c r="E123" s="70"/>
      <c r="F123" s="70"/>
      <c r="G123" s="73"/>
      <c r="H123" s="76" t="s">
        <v>2206</v>
      </c>
      <c r="I123" s="76"/>
      <c r="J123" s="76" t="str">
        <f t="shared" ref="J123:O123" si="27">Y95</f>
        <v>Fleece</v>
      </c>
      <c r="K123" s="76" t="str">
        <f t="shared" si="27"/>
        <v>Pieces</v>
      </c>
      <c r="L123" s="76" t="str">
        <f t="shared" si="27"/>
        <v>Bellies</v>
      </c>
      <c r="M123" s="76" t="str">
        <f t="shared" si="27"/>
        <v>Locks</v>
      </c>
      <c r="N123" s="76" t="str">
        <f t="shared" si="27"/>
        <v>Stains</v>
      </c>
      <c r="O123" s="76" t="str">
        <f t="shared" si="27"/>
        <v>Off types</v>
      </c>
      <c r="P123" s="76" t="s">
        <v>2207</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41"/>
      <c r="AT123" s="441"/>
    </row>
    <row r="124" spans="1:59" outlineLevel="3" x14ac:dyDescent="0.25">
      <c r="A124" s="45"/>
      <c r="B124" s="54"/>
      <c r="C124" s="87">
        <f>INT($C$81+3)</f>
        <v>4</v>
      </c>
      <c r="D124" s="73"/>
      <c r="E124" s="70"/>
      <c r="F124" s="70"/>
      <c r="G124" s="73"/>
      <c r="H124" s="76"/>
      <c r="I124" s="78" t="s">
        <v>2208</v>
      </c>
      <c r="J124" s="113">
        <v>0.68</v>
      </c>
      <c r="K124" s="113">
        <v>0.55000000000000004</v>
      </c>
      <c r="L124" s="113">
        <v>0.5</v>
      </c>
      <c r="M124" s="113">
        <v>0.65</v>
      </c>
      <c r="N124" s="113">
        <v>0.65</v>
      </c>
      <c r="O124" s="124">
        <f>J124</f>
        <v>0.68</v>
      </c>
      <c r="P124" s="124">
        <v>0.4</v>
      </c>
      <c r="Q124" s="97" t="s">
        <v>2209</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41"/>
      <c r="AT124" s="441"/>
    </row>
    <row r="125" spans="1:59" outlineLevel="3" x14ac:dyDescent="0.25">
      <c r="A125" s="45"/>
      <c r="B125" s="54"/>
      <c r="C125" s="87">
        <f>INT($C$81+3)</f>
        <v>4</v>
      </c>
      <c r="D125" s="73"/>
      <c r="E125" s="70"/>
      <c r="F125" s="70"/>
      <c r="G125" s="73"/>
      <c r="H125" s="76"/>
      <c r="I125" s="78" t="s">
        <v>2210</v>
      </c>
      <c r="J125" s="309">
        <f t="shared" ref="J125:P125" si="28">(J126/J$124)/SUMPRODUCT($J126:$P126,(1/$J$124:$P$124))</f>
        <v>0.750407617373261</v>
      </c>
      <c r="K125" s="295">
        <f t="shared" si="28"/>
        <v>0.1131434988500704</v>
      </c>
      <c r="L125" s="295">
        <f t="shared" si="28"/>
        <v>4.1071090082575555E-2</v>
      </c>
      <c r="M125" s="295">
        <f t="shared" si="28"/>
        <v>1.2445784873507741E-2</v>
      </c>
      <c r="N125" s="295">
        <f t="shared" si="28"/>
        <v>3.1593146217365808E-2</v>
      </c>
      <c r="O125" s="295">
        <f t="shared" si="28"/>
        <v>0</v>
      </c>
      <c r="P125" s="295">
        <f t="shared" si="28"/>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41"/>
      <c r="AT125" s="441"/>
    </row>
    <row r="126" spans="1:59" outlineLevel="3" x14ac:dyDescent="0.25">
      <c r="A126" s="45"/>
      <c r="B126" s="54"/>
      <c r="C126" s="87">
        <f>INT($C$81+3)</f>
        <v>4</v>
      </c>
      <c r="D126" s="73"/>
      <c r="E126" s="70"/>
      <c r="F126" s="70"/>
      <c r="G126" s="73"/>
      <c r="H126" s="76"/>
      <c r="I126" s="78" t="s">
        <v>2211</v>
      </c>
      <c r="J126" s="124">
        <v>0.82</v>
      </c>
      <c r="K126" s="124">
        <v>0.1</v>
      </c>
      <c r="L126" s="124">
        <v>3.3000000000000002E-2</v>
      </c>
      <c r="M126" s="124">
        <v>1.2999999999999999E-2</v>
      </c>
      <c r="N126" s="124">
        <v>3.3000000000000002E-2</v>
      </c>
      <c r="O126" s="124">
        <v>0</v>
      </c>
      <c r="P126" s="124">
        <v>3.3000000000000002E-2</v>
      </c>
      <c r="Q126" s="97" t="s">
        <v>2212</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41"/>
      <c r="AT126" s="441"/>
    </row>
    <row r="127" spans="1:59" outlineLevel="3" x14ac:dyDescent="0.25">
      <c r="A127" s="45"/>
      <c r="B127" s="54"/>
      <c r="C127" s="87">
        <f>INT($C$81+3)</f>
        <v>4</v>
      </c>
      <c r="D127" s="73"/>
      <c r="E127" s="70"/>
      <c r="F127" s="70"/>
      <c r="G127" s="73"/>
      <c r="H127" s="76"/>
      <c r="I127" s="78" t="s">
        <v>2213</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2214</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41"/>
      <c r="AT127" s="441"/>
    </row>
    <row r="128" spans="1:59" outlineLevel="3" x14ac:dyDescent="0.25">
      <c r="A128" s="45"/>
      <c r="B128" s="54"/>
      <c r="C128" s="87">
        <f>INT($C$81+3)</f>
        <v>4</v>
      </c>
      <c r="D128" s="73"/>
      <c r="E128" s="70"/>
      <c r="F128" s="70"/>
      <c r="G128" s="73"/>
      <c r="H128" s="76"/>
      <c r="I128" s="121" t="s">
        <v>2215</v>
      </c>
      <c r="J128" s="430">
        <v>0</v>
      </c>
      <c r="K128" s="99">
        <v>-1</v>
      </c>
      <c r="L128" s="99">
        <v>0.7</v>
      </c>
      <c r="M128" s="99">
        <v>0.4</v>
      </c>
      <c r="N128" s="99">
        <v>0.1</v>
      </c>
      <c r="O128" s="430">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41"/>
      <c r="AT128" s="441"/>
    </row>
    <row r="129" spans="1:83" outlineLevel="2" x14ac:dyDescent="0.25">
      <c r="A129" s="45"/>
      <c r="B129" s="54"/>
      <c r="C129" s="87">
        <f>INT($C$81)+2</f>
        <v>3</v>
      </c>
      <c r="D129" s="73"/>
      <c r="E129" s="70"/>
      <c r="F129" s="70"/>
      <c r="G129" s="73"/>
      <c r="H129" s="76" t="s">
        <v>2216</v>
      </c>
      <c r="I129" s="76"/>
      <c r="J129" s="76" t="str">
        <f t="shared" ref="J129:P129" si="29">J123</f>
        <v>Fleece</v>
      </c>
      <c r="K129" s="76" t="str">
        <f t="shared" si="29"/>
        <v>Pieces</v>
      </c>
      <c r="L129" s="76" t="str">
        <f t="shared" si="29"/>
        <v>Bellies</v>
      </c>
      <c r="M129" s="76" t="str">
        <f t="shared" si="29"/>
        <v>Locks</v>
      </c>
      <c r="N129" s="76" t="str">
        <f t="shared" si="29"/>
        <v>Stains</v>
      </c>
      <c r="O129" s="76" t="str">
        <f t="shared" si="29"/>
        <v>Off types</v>
      </c>
      <c r="P129" s="76" t="str">
        <f t="shared" si="29"/>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41"/>
      <c r="AT129" s="441"/>
    </row>
    <row r="130" spans="1:83" outlineLevel="3" x14ac:dyDescent="0.25">
      <c r="A130" s="45"/>
      <c r="B130" s="54"/>
      <c r="C130" s="87">
        <f>INT($C$81+3)</f>
        <v>4</v>
      </c>
      <c r="D130" s="73"/>
      <c r="E130" s="70"/>
      <c r="F130" s="70"/>
      <c r="G130" s="73"/>
      <c r="H130" s="76"/>
      <c r="I130" s="78" t="s">
        <v>2210</v>
      </c>
      <c r="J130" s="309">
        <f t="shared" ref="J130:P130" si="30">(J131/J$124)/SUMPRODUCT($J131:$P131,(1/$J$124:$P$124))</f>
        <v>0.78918322295805732</v>
      </c>
      <c r="K130" s="295">
        <f t="shared" si="30"/>
        <v>9.1832229580573951E-2</v>
      </c>
      <c r="L130" s="295">
        <f t="shared" si="30"/>
        <v>3.7880794701986756E-2</v>
      </c>
      <c r="M130" s="295">
        <f t="shared" si="30"/>
        <v>9.7130242825607064E-3</v>
      </c>
      <c r="N130" s="295">
        <f t="shared" si="30"/>
        <v>2.7196467991169981E-2</v>
      </c>
      <c r="O130" s="295">
        <f t="shared" si="30"/>
        <v>0</v>
      </c>
      <c r="P130" s="295">
        <f t="shared" si="30"/>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41"/>
      <c r="AT130" s="441"/>
    </row>
    <row r="131" spans="1:83" outlineLevel="3" x14ac:dyDescent="0.25">
      <c r="A131" s="45"/>
      <c r="B131" s="54"/>
      <c r="C131" s="87">
        <f>INT($C$81+3)</f>
        <v>4</v>
      </c>
      <c r="D131" s="73"/>
      <c r="E131" s="70"/>
      <c r="F131" s="70"/>
      <c r="G131" s="73"/>
      <c r="H131" s="76"/>
      <c r="I131" s="78" t="s">
        <v>2211</v>
      </c>
      <c r="J131" s="124">
        <v>0.85</v>
      </c>
      <c r="K131" s="124">
        <v>0.08</v>
      </c>
      <c r="L131" s="124">
        <v>0.03</v>
      </c>
      <c r="M131" s="124">
        <v>0.01</v>
      </c>
      <c r="N131" s="124">
        <v>2.8000000000000001E-2</v>
      </c>
      <c r="O131" s="124">
        <v>0</v>
      </c>
      <c r="P131" s="124">
        <v>2.8000000000000001E-2</v>
      </c>
      <c r="Q131" s="97" t="s">
        <v>2217</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41"/>
      <c r="AT131" s="441"/>
    </row>
    <row r="132" spans="1:83" outlineLevel="3" x14ac:dyDescent="0.25">
      <c r="A132" s="45"/>
      <c r="B132" s="54"/>
      <c r="C132" s="87">
        <f>INT($C$81+3)</f>
        <v>4</v>
      </c>
      <c r="D132" s="73"/>
      <c r="E132" s="70"/>
      <c r="F132" s="70"/>
      <c r="G132" s="73"/>
      <c r="H132" s="76"/>
      <c r="I132" s="78" t="s">
        <v>2213</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2214</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41"/>
      <c r="AT132" s="441"/>
    </row>
    <row r="133" spans="1:83" outlineLevel="3" x14ac:dyDescent="0.25">
      <c r="A133" s="45"/>
      <c r="B133" s="54"/>
      <c r="C133" s="87">
        <f>INT($C$81+3)</f>
        <v>4</v>
      </c>
      <c r="D133" s="73"/>
      <c r="E133" s="70"/>
      <c r="F133" s="70"/>
      <c r="G133" s="73"/>
      <c r="H133" s="76"/>
      <c r="I133" s="121" t="s">
        <v>2215</v>
      </c>
      <c r="J133" s="430">
        <v>0</v>
      </c>
      <c r="K133" s="99">
        <v>-2</v>
      </c>
      <c r="L133" s="99">
        <v>-0.6</v>
      </c>
      <c r="M133" s="99">
        <v>-0.5</v>
      </c>
      <c r="N133" s="99">
        <v>0</v>
      </c>
      <c r="O133" s="430">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41"/>
      <c r="AT133" s="441"/>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41"/>
      <c r="AT134" s="441"/>
      <c r="AU134" s="441"/>
      <c r="AV134" s="441"/>
      <c r="AW134" s="441"/>
      <c r="AX134" s="441"/>
      <c r="AY134" s="441"/>
      <c r="AZ134" s="441"/>
      <c r="BA134" s="441"/>
      <c r="BB134" s="441"/>
      <c r="BC134" s="441"/>
      <c r="BD134" s="441"/>
      <c r="BE134" s="441"/>
      <c r="BF134" s="441"/>
      <c r="BG134" s="441"/>
      <c r="BH134" s="441"/>
      <c r="BI134" s="441"/>
      <c r="BJ134" s="441"/>
      <c r="BK134" s="441"/>
      <c r="BL134" s="441"/>
      <c r="BM134" s="441"/>
      <c r="BN134" s="441"/>
      <c r="BO134" s="441"/>
      <c r="BP134" s="441"/>
      <c r="BQ134" s="441"/>
      <c r="BR134" s="441"/>
      <c r="BS134" s="441"/>
      <c r="BT134" s="441"/>
      <c r="BU134" s="441"/>
      <c r="BV134" s="441"/>
      <c r="BW134" s="441"/>
      <c r="BX134" s="441"/>
      <c r="BY134" s="441"/>
      <c r="BZ134" s="441"/>
      <c r="CA134" s="441"/>
      <c r="CB134" s="441"/>
      <c r="CC134" s="441"/>
      <c r="CD134" s="441"/>
      <c r="CE134" s="441"/>
    </row>
    <row r="135" spans="1:83" ht="15" customHeight="1" outlineLevel="1" x14ac:dyDescent="0.25">
      <c r="A135" s="45"/>
      <c r="B135" s="54"/>
      <c r="C135" s="87">
        <f>INT($C$81)+1</f>
        <v>2</v>
      </c>
      <c r="D135" s="73"/>
      <c r="E135" s="70"/>
      <c r="F135" s="70"/>
      <c r="G135" s="73"/>
      <c r="H135" s="90" t="s">
        <v>3262</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41"/>
      <c r="AT135" s="441"/>
      <c r="AU135" s="441"/>
      <c r="AV135" s="441"/>
      <c r="AW135" s="441"/>
      <c r="AX135" s="441"/>
      <c r="AY135" s="441"/>
      <c r="AZ135" s="441"/>
      <c r="BA135" s="441"/>
      <c r="BB135" s="441"/>
      <c r="BC135" s="441"/>
      <c r="BD135" s="441"/>
      <c r="BE135" s="441"/>
      <c r="BF135" s="441"/>
      <c r="BG135" s="441"/>
      <c r="BH135" s="441"/>
      <c r="BI135" s="441"/>
      <c r="BJ135" s="441"/>
      <c r="BK135" s="441"/>
      <c r="BL135" s="441"/>
      <c r="BM135" s="441"/>
      <c r="BN135" s="441"/>
      <c r="BO135" s="441"/>
      <c r="BP135" s="441"/>
      <c r="BQ135" s="441"/>
      <c r="BR135" s="441"/>
      <c r="BS135" s="441"/>
      <c r="BT135" s="441"/>
      <c r="BU135" s="441"/>
      <c r="BV135" s="441"/>
      <c r="BW135" s="441"/>
      <c r="BX135" s="441"/>
      <c r="BY135" s="441"/>
      <c r="BZ135" s="441"/>
      <c r="CA135" s="441"/>
      <c r="CB135" s="441"/>
      <c r="CC135" s="441"/>
      <c r="CD135" s="441"/>
      <c r="CE135" s="441"/>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41"/>
      <c r="AT136" s="441"/>
      <c r="AU136" s="441"/>
      <c r="AV136" s="441"/>
      <c r="AW136" s="441"/>
      <c r="AX136" s="441"/>
      <c r="AY136" s="441"/>
      <c r="AZ136" s="441"/>
      <c r="BA136" s="441"/>
      <c r="BB136" s="441"/>
      <c r="BC136" s="441"/>
      <c r="BD136" s="441"/>
      <c r="BE136" s="441"/>
      <c r="BF136" s="441"/>
      <c r="BG136" s="441"/>
      <c r="BH136" s="441"/>
      <c r="BI136" s="441"/>
      <c r="BJ136" s="441"/>
      <c r="BK136" s="441"/>
      <c r="BL136" s="441"/>
      <c r="BM136" s="441"/>
      <c r="BN136" s="441"/>
      <c r="BO136" s="441"/>
      <c r="BP136" s="441"/>
      <c r="BQ136" s="441"/>
      <c r="BR136" s="441"/>
      <c r="BS136" s="441"/>
      <c r="BT136" s="441"/>
      <c r="BU136" s="441"/>
      <c r="BV136" s="441"/>
      <c r="BW136" s="441"/>
      <c r="BX136" s="441"/>
      <c r="BY136" s="441"/>
      <c r="BZ136" s="441"/>
      <c r="CA136" s="441"/>
      <c r="CB136" s="441"/>
      <c r="CC136" s="441"/>
      <c r="CD136" s="441"/>
      <c r="CE136" s="441"/>
    </row>
    <row r="137" spans="1:83" ht="15" customHeight="1" outlineLevel="3" x14ac:dyDescent="0.25">
      <c r="A137" s="45"/>
      <c r="B137" s="54"/>
      <c r="C137" s="87">
        <f t="shared" ref="C137:C146" si="31">INT($C$81+3)</f>
        <v>4</v>
      </c>
      <c r="D137" s="73"/>
      <c r="E137" s="70"/>
      <c r="F137" s="70"/>
      <c r="G137" s="73"/>
      <c r="H137" s="246" t="s">
        <v>3261</v>
      </c>
      <c r="I137" s="76" t="s">
        <v>2805</v>
      </c>
      <c r="J137" s="76" t="s">
        <v>2806</v>
      </c>
      <c r="K137" s="76" t="s">
        <v>3260</v>
      </c>
      <c r="L137" s="76"/>
      <c r="M137" s="76"/>
      <c r="N137" s="76"/>
      <c r="O137" s="76"/>
      <c r="P137" s="246" t="s">
        <v>3259</v>
      </c>
      <c r="Q137" s="76"/>
      <c r="R137" s="76" t="s">
        <v>3258</v>
      </c>
      <c r="S137" s="76" t="s">
        <v>3257</v>
      </c>
      <c r="T137" s="76" t="s">
        <v>3256</v>
      </c>
      <c r="U137" s="76" t="s">
        <v>3255</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41"/>
      <c r="AT137" s="441"/>
      <c r="AU137" s="441"/>
      <c r="AV137" s="441"/>
      <c r="AW137" s="441"/>
      <c r="AX137" s="441"/>
      <c r="AY137" s="441"/>
      <c r="AZ137" s="441"/>
      <c r="BA137" s="441"/>
      <c r="BB137" s="441"/>
      <c r="BC137" s="441"/>
      <c r="BD137" s="441"/>
      <c r="BE137" s="441"/>
      <c r="BF137" s="441"/>
      <c r="BG137" s="441"/>
      <c r="BH137" s="441"/>
      <c r="BI137" s="441"/>
      <c r="BJ137" s="441"/>
      <c r="BK137" s="441"/>
      <c r="BL137" s="441"/>
      <c r="BM137" s="441"/>
      <c r="BN137" s="441"/>
      <c r="BO137" s="441"/>
      <c r="BP137" s="441"/>
      <c r="BQ137" s="441"/>
      <c r="BR137" s="441"/>
      <c r="BS137" s="441"/>
      <c r="BT137" s="441"/>
      <c r="BU137" s="441"/>
      <c r="BV137" s="441"/>
      <c r="BW137" s="441"/>
      <c r="BX137" s="441"/>
      <c r="BY137" s="441"/>
      <c r="BZ137" s="441"/>
      <c r="CA137" s="441"/>
      <c r="CB137" s="441"/>
      <c r="CC137" s="441"/>
      <c r="CD137" s="441"/>
      <c r="CE137" s="441"/>
    </row>
    <row r="138" spans="1:83" ht="15" customHeight="1" outlineLevel="3" x14ac:dyDescent="0.25">
      <c r="A138" s="45"/>
      <c r="B138" s="54"/>
      <c r="C138" s="87">
        <f t="shared" si="31"/>
        <v>4</v>
      </c>
      <c r="D138" s="73"/>
      <c r="E138" s="70"/>
      <c r="F138" s="70"/>
      <c r="G138" s="73"/>
      <c r="H138" s="76" t="s">
        <v>3254</v>
      </c>
      <c r="I138" s="599">
        <v>-0.10100000000000001</v>
      </c>
      <c r="J138" s="599">
        <v>0</v>
      </c>
      <c r="K138" s="598">
        <v>0</v>
      </c>
      <c r="L138" s="76"/>
      <c r="M138" s="76"/>
      <c r="N138" s="76"/>
      <c r="O138" s="76"/>
      <c r="P138" s="76" t="s">
        <v>3254</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41"/>
      <c r="AT138" s="441"/>
      <c r="AU138" s="441"/>
      <c r="AV138" s="441"/>
      <c r="AW138" s="441"/>
      <c r="AX138" s="441"/>
      <c r="AY138" s="441"/>
      <c r="AZ138" s="441"/>
      <c r="BA138" s="441"/>
      <c r="BB138" s="441"/>
      <c r="BC138" s="441"/>
      <c r="BD138" s="441"/>
      <c r="BE138" s="441"/>
      <c r="BF138" s="441"/>
      <c r="BG138" s="441"/>
      <c r="BH138" s="441"/>
      <c r="BI138" s="441"/>
      <c r="BJ138" s="441"/>
      <c r="BK138" s="441"/>
      <c r="BL138" s="441"/>
      <c r="BM138" s="441"/>
      <c r="BN138" s="441"/>
      <c r="BO138" s="441"/>
      <c r="BP138" s="441"/>
      <c r="BQ138" s="441"/>
      <c r="BR138" s="441"/>
      <c r="BS138" s="441"/>
      <c r="BT138" s="441"/>
      <c r="BU138" s="441"/>
      <c r="BV138" s="441"/>
      <c r="BW138" s="441"/>
      <c r="BX138" s="441"/>
      <c r="BY138" s="441"/>
      <c r="BZ138" s="441"/>
      <c r="CA138" s="441"/>
      <c r="CB138" s="441"/>
      <c r="CC138" s="441"/>
      <c r="CD138" s="441"/>
      <c r="CE138" s="441"/>
    </row>
    <row r="139" spans="1:83" ht="15" customHeight="1" outlineLevel="3" x14ac:dyDescent="0.25">
      <c r="A139" s="45"/>
      <c r="B139" s="54"/>
      <c r="C139" s="87">
        <f t="shared" si="31"/>
        <v>4</v>
      </c>
      <c r="D139" s="73"/>
      <c r="E139" s="70"/>
      <c r="F139" s="70"/>
      <c r="G139" s="73"/>
      <c r="H139" s="76" t="s">
        <v>3253</v>
      </c>
      <c r="I139" s="599">
        <v>0</v>
      </c>
      <c r="J139" s="599">
        <v>0.113</v>
      </c>
      <c r="K139" s="598">
        <v>5.9005989731888203E-3</v>
      </c>
      <c r="L139" s="76"/>
      <c r="M139" s="76"/>
      <c r="N139" s="76"/>
      <c r="O139" s="76"/>
      <c r="P139" s="76" t="s">
        <v>3253</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41"/>
      <c r="AT139" s="441"/>
      <c r="AU139" s="441"/>
      <c r="AV139" s="441"/>
      <c r="AW139" s="441"/>
      <c r="AX139" s="441"/>
      <c r="AY139" s="441"/>
      <c r="AZ139" s="441"/>
      <c r="BA139" s="441"/>
      <c r="BB139" s="441"/>
      <c r="BC139" s="441"/>
      <c r="BD139" s="441"/>
      <c r="BE139" s="441"/>
      <c r="BF139" s="441"/>
      <c r="BG139" s="441"/>
      <c r="BH139" s="441"/>
      <c r="BI139" s="441"/>
      <c r="BJ139" s="441"/>
      <c r="BK139" s="441"/>
      <c r="BL139" s="441"/>
      <c r="BM139" s="441"/>
      <c r="BN139" s="441"/>
      <c r="BO139" s="441"/>
      <c r="BP139" s="441"/>
      <c r="BQ139" s="441"/>
      <c r="BR139" s="441"/>
      <c r="BS139" s="441"/>
      <c r="BT139" s="441"/>
      <c r="BU139" s="441"/>
      <c r="BV139" s="441"/>
      <c r="BW139" s="441"/>
      <c r="BX139" s="441"/>
      <c r="BY139" s="441"/>
      <c r="BZ139" s="441"/>
      <c r="CA139" s="441"/>
      <c r="CB139" s="441"/>
      <c r="CC139" s="441"/>
      <c r="CD139" s="441"/>
      <c r="CE139" s="441"/>
    </row>
    <row r="140" spans="1:83" ht="15" customHeight="1" outlineLevel="3" x14ac:dyDescent="0.25">
      <c r="A140" s="45"/>
      <c r="B140" s="54"/>
      <c r="C140" s="87">
        <f t="shared" si="31"/>
        <v>4</v>
      </c>
      <c r="D140" s="73"/>
      <c r="E140" s="70"/>
      <c r="F140" s="70"/>
      <c r="G140" s="73"/>
      <c r="H140" s="76" t="s">
        <v>3252</v>
      </c>
      <c r="I140" s="599">
        <v>-6.0999999999999999E-2</v>
      </c>
      <c r="J140" s="599">
        <v>5.1999999999999998E-2</v>
      </c>
      <c r="K140" s="598">
        <v>3.5107296137339059E-3</v>
      </c>
      <c r="L140" s="76"/>
      <c r="M140" s="76"/>
      <c r="N140" s="76"/>
      <c r="O140" s="76"/>
      <c r="P140" s="76" t="s">
        <v>3252</v>
      </c>
      <c r="Q140" s="76"/>
      <c r="R140" s="76">
        <v>90</v>
      </c>
      <c r="S140" s="114">
        <v>4.0000000000000001E-3</v>
      </c>
      <c r="T140" s="114">
        <v>-2E-3</v>
      </c>
      <c r="U140" s="597">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41"/>
      <c r="AT140" s="441"/>
      <c r="AU140" s="441"/>
      <c r="AV140" s="441"/>
      <c r="AW140" s="441"/>
      <c r="AX140" s="441"/>
      <c r="AY140" s="441"/>
      <c r="AZ140" s="441"/>
      <c r="BA140" s="441"/>
      <c r="BB140" s="441"/>
      <c r="BC140" s="441"/>
      <c r="BD140" s="441"/>
      <c r="BE140" s="441"/>
      <c r="BF140" s="441"/>
      <c r="BG140" s="441"/>
      <c r="BH140" s="441"/>
      <c r="BI140" s="441"/>
      <c r="BJ140" s="441"/>
      <c r="BK140" s="441"/>
      <c r="BL140" s="441"/>
      <c r="BM140" s="441"/>
      <c r="BN140" s="441"/>
      <c r="BO140" s="441"/>
      <c r="BP140" s="441"/>
      <c r="BQ140" s="441"/>
      <c r="BR140" s="441"/>
      <c r="BS140" s="441"/>
      <c r="BT140" s="441"/>
      <c r="BU140" s="441"/>
      <c r="BV140" s="441"/>
      <c r="BW140" s="441"/>
      <c r="BX140" s="441"/>
      <c r="BY140" s="441"/>
      <c r="BZ140" s="441"/>
      <c r="CA140" s="441"/>
      <c r="CB140" s="441"/>
      <c r="CC140" s="441"/>
      <c r="CD140" s="441"/>
      <c r="CE140" s="441"/>
    </row>
    <row r="141" spans="1:83" ht="15" customHeight="1" outlineLevel="3" x14ac:dyDescent="0.25">
      <c r="A141" s="45"/>
      <c r="B141" s="54"/>
      <c r="C141" s="87">
        <f t="shared" si="31"/>
        <v>4</v>
      </c>
      <c r="D141" s="73"/>
      <c r="E141" s="70"/>
      <c r="F141" s="70"/>
      <c r="G141" s="73"/>
      <c r="H141" s="76" t="s">
        <v>3251</v>
      </c>
      <c r="I141" s="356">
        <v>47.809731093905945</v>
      </c>
      <c r="J141" s="365">
        <v>4566.4973039173738</v>
      </c>
      <c r="K141" s="356">
        <v>45.892351332455597</v>
      </c>
      <c r="L141" s="76"/>
      <c r="M141" s="76"/>
      <c r="N141" s="76"/>
      <c r="O141" s="76"/>
      <c r="P141" s="76" t="s">
        <v>3251</v>
      </c>
      <c r="Q141" s="76"/>
      <c r="R141" s="442">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41"/>
      <c r="AT141" s="441"/>
      <c r="AU141" s="441"/>
      <c r="AV141" s="441"/>
      <c r="AW141" s="441"/>
      <c r="AX141" s="441"/>
      <c r="AY141" s="441"/>
      <c r="AZ141" s="441"/>
      <c r="BA141" s="441"/>
      <c r="BB141" s="441"/>
      <c r="BC141" s="441"/>
      <c r="BD141" s="441"/>
      <c r="BE141" s="441"/>
      <c r="BF141" s="441"/>
      <c r="BG141" s="441"/>
      <c r="BH141" s="441"/>
      <c r="BI141" s="441"/>
      <c r="BJ141" s="441"/>
      <c r="BK141" s="441"/>
      <c r="BL141" s="441"/>
      <c r="BM141" s="441"/>
      <c r="BN141" s="441"/>
      <c r="BO141" s="441"/>
      <c r="BP141" s="441"/>
      <c r="BQ141" s="441"/>
      <c r="BR141" s="441"/>
      <c r="BS141" s="441"/>
      <c r="BT141" s="441"/>
      <c r="BU141" s="441"/>
      <c r="BV141" s="441"/>
      <c r="BW141" s="441"/>
      <c r="BX141" s="441"/>
      <c r="BY141" s="441"/>
      <c r="BZ141" s="441"/>
      <c r="CA141" s="441"/>
      <c r="CB141" s="441"/>
      <c r="CC141" s="441"/>
      <c r="CD141" s="441"/>
      <c r="CE141" s="441"/>
    </row>
    <row r="142" spans="1:83" ht="15" customHeight="1" outlineLevel="3" x14ac:dyDescent="0.25">
      <c r="A142" s="45"/>
      <c r="B142" s="54"/>
      <c r="C142" s="87">
        <f t="shared" si="31"/>
        <v>4</v>
      </c>
      <c r="D142" s="73"/>
      <c r="E142" s="70"/>
      <c r="F142" s="70"/>
      <c r="G142" s="73"/>
      <c r="H142" s="76" t="s">
        <v>3250</v>
      </c>
      <c r="I142" s="442">
        <v>-0.22538711253423788</v>
      </c>
      <c r="J142" s="596">
        <v>-0.50483440440253269</v>
      </c>
      <c r="K142" s="596">
        <v>-0.22213692403040283</v>
      </c>
      <c r="L142" s="76"/>
      <c r="M142" s="76"/>
      <c r="N142" s="76"/>
      <c r="O142" s="76"/>
      <c r="P142" s="76" t="s">
        <v>3250</v>
      </c>
      <c r="Q142" s="76"/>
      <c r="R142" s="442">
        <v>4.06297323744437E-2</v>
      </c>
      <c r="S142" s="596">
        <v>-0.22213692403040283</v>
      </c>
      <c r="T142" s="596">
        <v>-0.22213692403040283</v>
      </c>
      <c r="U142" s="596">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41"/>
      <c r="AT142" s="441"/>
      <c r="AU142" s="441"/>
      <c r="AV142" s="441"/>
      <c r="AW142" s="441"/>
      <c r="AX142" s="441"/>
      <c r="AY142" s="441"/>
      <c r="AZ142" s="441"/>
      <c r="BA142" s="441"/>
      <c r="BB142" s="441"/>
      <c r="BC142" s="441"/>
      <c r="BD142" s="441"/>
      <c r="BE142" s="441"/>
      <c r="BF142" s="441"/>
      <c r="BG142" s="441"/>
      <c r="BH142" s="441"/>
      <c r="BI142" s="441"/>
      <c r="BJ142" s="441"/>
      <c r="BK142" s="441"/>
      <c r="BL142" s="441"/>
      <c r="BM142" s="441"/>
      <c r="BN142" s="441"/>
      <c r="BO142" s="441"/>
      <c r="BP142" s="441"/>
      <c r="BQ142" s="441"/>
      <c r="BR142" s="441"/>
      <c r="BS142" s="441"/>
      <c r="BT142" s="441"/>
      <c r="BU142" s="441"/>
      <c r="BV142" s="441"/>
      <c r="BW142" s="441"/>
      <c r="BX142" s="441"/>
      <c r="BY142" s="441"/>
      <c r="BZ142" s="441"/>
      <c r="CA142" s="441"/>
      <c r="CB142" s="441"/>
      <c r="CC142" s="441"/>
      <c r="CD142" s="441"/>
      <c r="CE142" s="441"/>
    </row>
    <row r="143" spans="1:83" ht="15" customHeight="1" outlineLevel="3" x14ac:dyDescent="0.25">
      <c r="A143" s="45"/>
      <c r="B143" s="54"/>
      <c r="C143" s="87">
        <f t="shared" si="31"/>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41"/>
      <c r="AT143" s="441"/>
      <c r="AU143" s="441"/>
      <c r="AV143" s="441"/>
      <c r="AW143" s="441"/>
      <c r="AX143" s="441"/>
      <c r="AY143" s="441"/>
      <c r="AZ143" s="441"/>
      <c r="BA143" s="441"/>
      <c r="BB143" s="441"/>
      <c r="BC143" s="441"/>
      <c r="BD143" s="441"/>
      <c r="BE143" s="441"/>
      <c r="BF143" s="441"/>
      <c r="BG143" s="441"/>
      <c r="BH143" s="441"/>
      <c r="BI143" s="441"/>
      <c r="BJ143" s="441"/>
      <c r="BK143" s="441"/>
      <c r="BL143" s="441"/>
      <c r="BM143" s="441"/>
      <c r="BN143" s="441"/>
      <c r="BO143" s="441"/>
      <c r="BP143" s="441"/>
      <c r="BQ143" s="441"/>
      <c r="BR143" s="441"/>
      <c r="BS143" s="441"/>
      <c r="BT143" s="441"/>
      <c r="BU143" s="441"/>
      <c r="BV143" s="441"/>
      <c r="BW143" s="441"/>
      <c r="BX143" s="441"/>
      <c r="BY143" s="441"/>
      <c r="BZ143" s="441"/>
      <c r="CA143" s="441"/>
      <c r="CB143" s="441"/>
      <c r="CC143" s="441"/>
      <c r="CD143" s="441"/>
      <c r="CE143" s="441"/>
    </row>
    <row r="144" spans="1:83" ht="15" customHeight="1" outlineLevel="3" x14ac:dyDescent="0.25">
      <c r="A144" s="45"/>
      <c r="B144" s="54"/>
      <c r="C144" s="87">
        <f t="shared" si="31"/>
        <v>4</v>
      </c>
      <c r="D144" s="73"/>
      <c r="E144" s="70"/>
      <c r="F144" s="70"/>
      <c r="G144" s="73"/>
      <c r="H144" s="76" t="s">
        <v>3249</v>
      </c>
      <c r="I144" s="76">
        <v>35</v>
      </c>
      <c r="J144" s="76"/>
      <c r="K144" s="76"/>
      <c r="L144" s="76"/>
      <c r="M144" s="76"/>
      <c r="N144" s="76"/>
      <c r="O144" s="76"/>
      <c r="P144" s="76" t="s">
        <v>3248</v>
      </c>
      <c r="Q144" s="76"/>
      <c r="R144" s="97">
        <v>50</v>
      </c>
      <c r="S144" s="76" t="s">
        <v>2150</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41"/>
      <c r="AT144" s="441"/>
      <c r="AU144" s="441"/>
      <c r="AV144" s="441"/>
      <c r="AW144" s="441"/>
      <c r="AX144" s="441"/>
      <c r="AY144" s="441"/>
      <c r="AZ144" s="441"/>
      <c r="BA144" s="441"/>
      <c r="BB144" s="441"/>
      <c r="BC144" s="441"/>
      <c r="BD144" s="441"/>
      <c r="BE144" s="441"/>
      <c r="BF144" s="441"/>
      <c r="BG144" s="441"/>
      <c r="BH144" s="441"/>
      <c r="BI144" s="441"/>
      <c r="BJ144" s="441"/>
      <c r="BK144" s="441"/>
      <c r="BL144" s="441"/>
      <c r="BM144" s="441"/>
      <c r="BN144" s="441"/>
      <c r="BO144" s="441"/>
      <c r="BP144" s="441"/>
      <c r="BQ144" s="441"/>
      <c r="BR144" s="441"/>
      <c r="BS144" s="441"/>
      <c r="BT144" s="441"/>
      <c r="BU144" s="441"/>
      <c r="BV144" s="441"/>
      <c r="BW144" s="441"/>
      <c r="BX144" s="441"/>
      <c r="BY144" s="441"/>
      <c r="BZ144" s="441"/>
      <c r="CA144" s="441"/>
      <c r="CB144" s="441"/>
      <c r="CC144" s="441"/>
      <c r="CD144" s="441"/>
      <c r="CE144" s="441"/>
    </row>
    <row r="145" spans="1:83" ht="15" customHeight="1" outlineLevel="3" x14ac:dyDescent="0.25">
      <c r="A145" s="45"/>
      <c r="B145" s="54"/>
      <c r="C145" s="87">
        <f t="shared" si="31"/>
        <v>4</v>
      </c>
      <c r="D145" s="73"/>
      <c r="E145" s="70"/>
      <c r="F145" s="70"/>
      <c r="G145" s="73"/>
      <c r="H145" s="76"/>
      <c r="I145" s="76"/>
      <c r="J145" s="76"/>
      <c r="K145" s="76"/>
      <c r="L145" s="76"/>
      <c r="M145" s="76"/>
      <c r="N145" s="76"/>
      <c r="O145" s="76"/>
      <c r="P145" s="76" t="s">
        <v>3247</v>
      </c>
      <c r="Q145" s="76"/>
      <c r="R145" s="97">
        <v>17</v>
      </c>
      <c r="S145" s="76" t="s">
        <v>2150</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41"/>
      <c r="AT145" s="441"/>
      <c r="AU145" s="441"/>
      <c r="AV145" s="441"/>
      <c r="AW145" s="441"/>
      <c r="AX145" s="441"/>
      <c r="AY145" s="441"/>
      <c r="AZ145" s="441"/>
      <c r="BA145" s="441"/>
      <c r="BB145" s="441"/>
      <c r="BC145" s="441"/>
      <c r="BD145" s="441"/>
      <c r="BE145" s="441"/>
      <c r="BF145" s="441"/>
      <c r="BG145" s="441"/>
      <c r="BH145" s="441"/>
      <c r="BI145" s="441"/>
      <c r="BJ145" s="441"/>
      <c r="BK145" s="441"/>
      <c r="BL145" s="441"/>
      <c r="BM145" s="441"/>
      <c r="BN145" s="441"/>
      <c r="BO145" s="441"/>
      <c r="BP145" s="441"/>
      <c r="BQ145" s="441"/>
      <c r="BR145" s="441"/>
      <c r="BS145" s="441"/>
      <c r="BT145" s="441"/>
      <c r="BU145" s="441"/>
      <c r="BV145" s="441"/>
      <c r="BW145" s="441"/>
      <c r="BX145" s="441"/>
      <c r="BY145" s="441"/>
      <c r="BZ145" s="441"/>
      <c r="CA145" s="441"/>
      <c r="CB145" s="441"/>
      <c r="CC145" s="441"/>
      <c r="CD145" s="441"/>
      <c r="CE145" s="441"/>
    </row>
    <row r="146" spans="1:83" ht="15" customHeight="1" outlineLevel="2" x14ac:dyDescent="0.25">
      <c r="A146" s="45"/>
      <c r="B146" s="54"/>
      <c r="C146" s="87">
        <f t="shared" si="31"/>
        <v>4</v>
      </c>
      <c r="D146" s="73"/>
      <c r="E146" s="70"/>
      <c r="F146" s="70"/>
      <c r="G146" s="73"/>
      <c r="H146" s="76" t="s">
        <v>196</v>
      </c>
      <c r="I146" s="595" t="s">
        <v>3246</v>
      </c>
      <c r="J146" s="119"/>
      <c r="K146" s="119"/>
      <c r="L146" s="119"/>
      <c r="M146" s="119"/>
      <c r="N146" s="119"/>
      <c r="O146" s="76"/>
      <c r="P146" s="76" t="s">
        <v>196</v>
      </c>
      <c r="Q146" s="76"/>
      <c r="R146" s="595" t="s">
        <v>3245</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41"/>
      <c r="AT146" s="441"/>
      <c r="AU146" s="441"/>
      <c r="AV146" s="441"/>
      <c r="AW146" s="441"/>
      <c r="AX146" s="441"/>
      <c r="AY146" s="441"/>
      <c r="AZ146" s="441"/>
      <c r="BA146" s="441"/>
      <c r="BB146" s="441"/>
      <c r="BC146" s="441"/>
      <c r="BD146" s="441"/>
      <c r="BE146" s="441"/>
      <c r="BF146" s="441"/>
      <c r="BG146" s="441"/>
      <c r="BH146" s="441"/>
      <c r="BI146" s="441"/>
      <c r="BJ146" s="441"/>
      <c r="BK146" s="441"/>
      <c r="BL146" s="441"/>
      <c r="BM146" s="441"/>
      <c r="BN146" s="441"/>
      <c r="BO146" s="441"/>
      <c r="BP146" s="441"/>
      <c r="BQ146" s="441"/>
      <c r="BR146" s="441"/>
      <c r="BS146" s="441"/>
      <c r="BT146" s="441"/>
      <c r="BU146" s="441"/>
      <c r="BV146" s="441"/>
      <c r="BW146" s="441"/>
      <c r="BX146" s="441"/>
      <c r="BY146" s="441"/>
      <c r="BZ146" s="441"/>
      <c r="CA146" s="441"/>
      <c r="CB146" s="441"/>
      <c r="CC146" s="441"/>
      <c r="CD146" s="441"/>
      <c r="CE146" s="441"/>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41"/>
      <c r="AT147" s="441"/>
      <c r="AU147" s="441"/>
      <c r="AV147" s="441"/>
      <c r="AW147" s="441"/>
      <c r="AX147" s="441"/>
      <c r="AY147" s="441"/>
      <c r="AZ147" s="441"/>
      <c r="BA147" s="441"/>
      <c r="BB147" s="441"/>
      <c r="BC147" s="441"/>
      <c r="BD147" s="441"/>
      <c r="BE147" s="441"/>
      <c r="BF147" s="441"/>
      <c r="BG147" s="441"/>
      <c r="BH147" s="441"/>
      <c r="BI147" s="441"/>
      <c r="BJ147" s="441"/>
      <c r="BK147" s="441"/>
      <c r="BL147" s="441"/>
      <c r="BM147" s="441"/>
      <c r="BN147" s="441"/>
      <c r="BO147" s="441"/>
      <c r="BP147" s="441"/>
      <c r="BQ147" s="441"/>
      <c r="BR147" s="441"/>
      <c r="BS147" s="441"/>
      <c r="BT147" s="441"/>
      <c r="BU147" s="441"/>
      <c r="BV147" s="441"/>
      <c r="BW147" s="441"/>
      <c r="BX147" s="441"/>
      <c r="BY147" s="441"/>
      <c r="BZ147" s="441"/>
      <c r="CA147" s="441"/>
      <c r="CB147" s="441"/>
      <c r="CC147" s="441"/>
      <c r="CD147" s="441"/>
      <c r="CE147" s="441"/>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41"/>
      <c r="AT148" s="441"/>
      <c r="AU148" s="441"/>
      <c r="AV148" s="441"/>
      <c r="AW148" s="441"/>
      <c r="AX148" s="441"/>
      <c r="AY148" s="441"/>
      <c r="AZ148" s="441"/>
      <c r="BA148" s="441"/>
      <c r="BB148" s="441"/>
      <c r="BC148" s="441"/>
      <c r="BD148" s="441"/>
      <c r="BE148" s="441"/>
      <c r="BF148" s="441"/>
      <c r="BG148" s="441"/>
      <c r="BH148" s="441"/>
      <c r="BI148" s="441"/>
      <c r="BJ148" s="441"/>
      <c r="BK148" s="441"/>
      <c r="BL148" s="441"/>
      <c r="BM148" s="441"/>
      <c r="BN148" s="441"/>
      <c r="BO148" s="441"/>
      <c r="BP148" s="441"/>
      <c r="BQ148" s="441"/>
      <c r="BR148" s="441"/>
      <c r="BS148" s="441"/>
      <c r="BT148" s="441"/>
      <c r="BU148" s="441"/>
      <c r="BV148" s="441"/>
      <c r="BW148" s="441"/>
      <c r="BX148" s="441"/>
      <c r="BY148" s="441"/>
      <c r="BZ148" s="441"/>
      <c r="CA148" s="441"/>
      <c r="CB148" s="441"/>
      <c r="CC148" s="441"/>
      <c r="CD148" s="441"/>
      <c r="CE148" s="441"/>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41"/>
      <c r="AT149" s="441"/>
      <c r="AU149" s="441"/>
      <c r="AV149" s="441"/>
      <c r="AW149" s="441"/>
      <c r="AX149" s="441"/>
      <c r="AY149" s="441"/>
      <c r="AZ149" s="441"/>
      <c r="BA149" s="441"/>
      <c r="BB149" s="441"/>
      <c r="BC149" s="441"/>
      <c r="BD149" s="441"/>
      <c r="BE149" s="441"/>
      <c r="BF149" s="441"/>
      <c r="BG149" s="441"/>
      <c r="BH149" s="441"/>
      <c r="BI149" s="441"/>
      <c r="BJ149" s="441"/>
      <c r="BK149" s="441"/>
      <c r="BL149" s="441"/>
      <c r="BM149" s="441"/>
      <c r="BN149" s="441"/>
      <c r="BO149" s="441"/>
      <c r="BP149" s="441"/>
      <c r="BQ149" s="441"/>
      <c r="BR149" s="441"/>
      <c r="BS149" s="441"/>
      <c r="BT149" s="441"/>
      <c r="BU149" s="441"/>
      <c r="BV149" s="441"/>
      <c r="BW149" s="441"/>
      <c r="BX149" s="441"/>
      <c r="BY149" s="441"/>
      <c r="BZ149" s="441"/>
      <c r="CA149" s="441"/>
      <c r="CB149" s="441"/>
      <c r="CC149" s="441"/>
      <c r="CD149" s="441"/>
      <c r="CE149" s="441"/>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41"/>
      <c r="AT150" s="441"/>
    </row>
    <row r="151" spans="1:83" outlineLevel="3" x14ac:dyDescent="0.25">
      <c r="A151" s="45"/>
      <c r="B151" s="54"/>
      <c r="C151" s="87">
        <f t="shared" ref="C151:C157" si="32">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41"/>
      <c r="AT151" s="441"/>
    </row>
    <row r="152" spans="1:83" outlineLevel="3" x14ac:dyDescent="0.25">
      <c r="A152" s="45"/>
      <c r="B152" s="54"/>
      <c r="C152" s="87">
        <f t="shared" si="32"/>
        <v>4</v>
      </c>
      <c r="D152" s="73"/>
      <c r="E152" s="70"/>
      <c r="F152" s="70"/>
      <c r="G152" s="73"/>
      <c r="H152" s="76" t="s">
        <v>2218</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41"/>
      <c r="AT152" s="441"/>
    </row>
    <row r="153" spans="1:83" outlineLevel="3" x14ac:dyDescent="0.25">
      <c r="A153" s="45"/>
      <c r="B153" s="54"/>
      <c r="C153" s="87">
        <f t="shared" si="32"/>
        <v>4</v>
      </c>
      <c r="D153" s="73"/>
      <c r="E153" s="70"/>
      <c r="F153" s="70"/>
      <c r="G153" s="73"/>
      <c r="H153" s="76" t="s">
        <v>2219</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41"/>
      <c r="AT153" s="441"/>
    </row>
    <row r="154" spans="1:83" outlineLevel="3" x14ac:dyDescent="0.25">
      <c r="A154" s="45"/>
      <c r="B154" s="54"/>
      <c r="C154" s="87">
        <f t="shared" si="32"/>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41"/>
      <c r="AT154" s="441"/>
    </row>
    <row r="155" spans="1:83" outlineLevel="3" x14ac:dyDescent="0.25">
      <c r="A155" s="45"/>
      <c r="B155" s="54"/>
      <c r="C155" s="87">
        <f t="shared" si="32"/>
        <v>4</v>
      </c>
      <c r="D155" s="73"/>
      <c r="E155" s="70"/>
      <c r="F155" s="70"/>
      <c r="G155" s="73"/>
      <c r="H155" s="125" t="s">
        <v>2220</v>
      </c>
      <c r="I155" s="126"/>
      <c r="J155" s="126"/>
      <c r="K155" s="298">
        <f>SUM(K151:K154)</f>
        <v>0.4467741935483871</v>
      </c>
      <c r="L155" s="127"/>
      <c r="M155" s="76"/>
      <c r="N155" s="76" t="s">
        <v>2701</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41"/>
      <c r="AT155" s="441"/>
    </row>
    <row r="156" spans="1:83" outlineLevel="3" x14ac:dyDescent="0.25">
      <c r="A156" s="45"/>
      <c r="B156" s="54"/>
      <c r="C156" s="87">
        <f t="shared" si="32"/>
        <v>4</v>
      </c>
      <c r="D156" s="73"/>
      <c r="E156" s="70"/>
      <c r="F156" s="70"/>
      <c r="G156" s="73"/>
      <c r="H156" s="76" t="s">
        <v>2221</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41"/>
      <c r="AT156" s="441"/>
    </row>
    <row r="157" spans="1:83" outlineLevel="3" x14ac:dyDescent="0.25">
      <c r="A157" s="45"/>
      <c r="B157" s="54"/>
      <c r="C157" s="87">
        <f t="shared" si="32"/>
        <v>4</v>
      </c>
      <c r="D157" s="73"/>
      <c r="E157" s="70"/>
      <c r="F157" s="70"/>
      <c r="G157" s="73"/>
      <c r="H157" s="125" t="s">
        <v>2222</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41"/>
      <c r="AT157" s="441"/>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41"/>
      <c r="AT158" s="441"/>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41"/>
      <c r="AT159" s="441"/>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41"/>
      <c r="AT160" s="441"/>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41"/>
      <c r="AT161" s="441"/>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41"/>
      <c r="AT162" s="441"/>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41"/>
      <c r="AT163" s="441"/>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41"/>
      <c r="AT164" s="441"/>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41"/>
      <c r="AT165" s="441"/>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41"/>
      <c r="AT166" s="441"/>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41"/>
      <c r="AT167" s="441"/>
    </row>
    <row r="168" spans="1:46" ht="20.100000000000001" customHeight="1" outlineLevel="1" collapsed="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41"/>
      <c r="AT168" s="441"/>
    </row>
    <row r="169" spans="1:46" ht="5.0999999999999996" hidden="1"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41"/>
      <c r="AT169" s="441"/>
    </row>
    <row r="170" spans="1:46" hidden="1"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41"/>
      <c r="AT170" s="441"/>
    </row>
    <row r="171" spans="1:46" hidden="1"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41"/>
      <c r="AT171" s="441"/>
    </row>
    <row r="172" spans="1:46" hidden="1"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41"/>
      <c r="AT172" s="441"/>
    </row>
    <row r="173" spans="1:46" hidden="1"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41"/>
      <c r="AT173" s="441"/>
    </row>
    <row r="174" spans="1:46" ht="11.45" hidden="1"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41"/>
      <c r="AT174" s="441"/>
    </row>
    <row r="175" spans="1:46" ht="24" hidden="1"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41"/>
      <c r="AT175" s="441"/>
    </row>
    <row r="176" spans="1:46" ht="24" hidden="1"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41"/>
      <c r="AT176" s="441"/>
    </row>
    <row r="177" spans="1:58" hidden="1"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41"/>
      <c r="AT177" s="441"/>
    </row>
    <row r="178" spans="1:58"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41"/>
      <c r="AT178" s="441"/>
    </row>
    <row r="179" spans="1:58"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41"/>
      <c r="AT179" s="441"/>
    </row>
    <row r="180" spans="1:58"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41"/>
      <c r="AT180" s="441"/>
      <c r="AV180" t="s">
        <v>2262</v>
      </c>
    </row>
    <row r="181" spans="1:58" outlineLevel="2" x14ac:dyDescent="0.25">
      <c r="A181" s="45"/>
      <c r="B181" s="54"/>
      <c r="C181" s="87">
        <f>INT($C$167)+2</f>
        <v>3</v>
      </c>
      <c r="D181" s="73"/>
      <c r="E181" s="70"/>
      <c r="F181" s="70"/>
      <c r="G181" s="73"/>
      <c r="H181" s="130"/>
      <c r="I181" s="95" t="s">
        <v>219</v>
      </c>
      <c r="J181" s="107"/>
      <c r="K181" s="107"/>
      <c r="L181" s="76"/>
      <c r="M181" s="76"/>
      <c r="N181" s="76" t="s">
        <v>220</v>
      </c>
      <c r="O181" s="76" t="s">
        <v>2804</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2573</v>
      </c>
      <c r="AM181" s="95"/>
      <c r="AN181" s="73"/>
      <c r="AO181" s="57"/>
      <c r="AP181" s="45"/>
      <c r="AQ181" s="45"/>
      <c r="AR181" s="45"/>
      <c r="AS181" s="441"/>
      <c r="AT181" s="441"/>
      <c r="AV181" t="s">
        <v>2705</v>
      </c>
    </row>
    <row r="182" spans="1:58"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2805</v>
      </c>
      <c r="P182" s="134" t="s">
        <v>2806</v>
      </c>
      <c r="Q182" s="134" t="s">
        <v>2807</v>
      </c>
      <c r="R182" s="134" t="s">
        <v>2808</v>
      </c>
      <c r="S182" s="134" t="s">
        <v>2809</v>
      </c>
      <c r="T182" s="134" t="s">
        <v>2810</v>
      </c>
      <c r="U182" s="132" t="s">
        <v>232</v>
      </c>
      <c r="V182" s="132" t="s">
        <v>233</v>
      </c>
      <c r="W182" s="133" t="s">
        <v>234</v>
      </c>
      <c r="X182" s="133" t="s">
        <v>2702</v>
      </c>
      <c r="Y182" s="133" t="s">
        <v>2703</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41"/>
      <c r="AT182" s="441"/>
      <c r="AV182" t="s">
        <v>251</v>
      </c>
      <c r="AW182" t="s">
        <v>2263</v>
      </c>
      <c r="AX182" t="s">
        <v>2264</v>
      </c>
      <c r="AY182" t="s">
        <v>1173</v>
      </c>
      <c r="AZ182" s="5" t="s">
        <v>2704</v>
      </c>
      <c r="BA182" s="423" t="s">
        <v>272</v>
      </c>
      <c r="BD182" t="s">
        <v>2308</v>
      </c>
    </row>
    <row r="183" spans="1:58" outlineLevel="3" x14ac:dyDescent="0.25">
      <c r="A183" s="45"/>
      <c r="B183" s="54"/>
      <c r="C183" s="87">
        <f>INT($C$167+3)</f>
        <v>4</v>
      </c>
      <c r="D183" s="73"/>
      <c r="E183" s="70">
        <v>0</v>
      </c>
      <c r="F183" s="70"/>
      <c r="G183" s="73"/>
      <c r="H183" s="135" t="s">
        <v>2800</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90">
        <v>6.26</v>
      </c>
      <c r="Y183" s="420">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3">SUMIFS($AF183:$AK183,$AF$182:$AK$182,AL$182)</f>
        <v>3.17</v>
      </c>
      <c r="AM183" s="144">
        <f t="shared" si="33"/>
        <v>7.4500000000000011E-2</v>
      </c>
      <c r="AN183" s="73"/>
      <c r="AO183" s="57"/>
      <c r="AP183" s="45"/>
      <c r="AQ183" s="45"/>
      <c r="AR183" s="45"/>
      <c r="AS183" s="441"/>
      <c r="AT183" s="441"/>
      <c r="AV183" s="322" t="str">
        <f t="shared" ref="AV183:AV190" si="34">$H183</f>
        <v>Lamb grid (0)</v>
      </c>
      <c r="AW183" s="323">
        <v>50</v>
      </c>
      <c r="AX183" s="313">
        <f>IFERROR(MIN(COUNT(i_salep_percentile_range_s4)-1,MATCH($AW183,i_salep_percentile_range_s4,1)),1)-1</f>
        <v>2</v>
      </c>
      <c r="AY183" s="314">
        <f t="shared" ref="AY183:AY190" ca="1" si="35">_xlfn.FORECAST.LINEAR($AW$183,OFFSET($Z183:$AD183,0,$AX$183,1,2),OFFSET(i_salep_percentile_range_s4,0,$AX$183,1,2))</f>
        <v>1</v>
      </c>
      <c r="AZ183" s="324">
        <f t="shared" ref="AZ183:AZ190" ca="1" si="36">$Y183*$AY183</f>
        <v>5.7692035986889678</v>
      </c>
      <c r="BA183" s="324">
        <f t="shared" ref="BA183:BA190" ca="1" si="37">AZ183*(1+INDEX(i_salep_months_priceadj_s7s9p4,1+$E183*2,MATCH(BA$182,$J$267:$U$267,0)))</f>
        <v>5.7692035986889678</v>
      </c>
    </row>
    <row r="184" spans="1:58" outlineLevel="3" x14ac:dyDescent="0.25">
      <c r="A184" s="45"/>
      <c r="B184" s="54"/>
      <c r="C184" s="87">
        <f t="shared" ref="C184:C191" si="38">INT($C$167)+3</f>
        <v>4</v>
      </c>
      <c r="D184" s="73"/>
      <c r="E184" s="70">
        <v>1</v>
      </c>
      <c r="F184" s="70"/>
      <c r="G184" s="73"/>
      <c r="H184" s="76" t="s">
        <v>2801</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93">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3"/>
        <v>3.17</v>
      </c>
      <c r="AM184" s="152">
        <f t="shared" si="33"/>
        <v>7.4500000000000011E-2</v>
      </c>
      <c r="AN184" s="73"/>
      <c r="AO184" s="57"/>
      <c r="AP184" s="45"/>
      <c r="AQ184" s="45"/>
      <c r="AR184" s="45"/>
      <c r="AS184" s="441"/>
      <c r="AT184" s="441"/>
      <c r="AV184" s="325" t="str">
        <f t="shared" si="34"/>
        <v>empty grid (1)</v>
      </c>
      <c r="AY184" s="316">
        <f t="shared" ca="1" si="35"/>
        <v>1</v>
      </c>
      <c r="AZ184" s="326">
        <f t="shared" ca="1" si="36"/>
        <v>0</v>
      </c>
      <c r="BA184" s="326">
        <f t="shared" ca="1" si="37"/>
        <v>0</v>
      </c>
    </row>
    <row r="185" spans="1:58" outlineLevel="3" x14ac:dyDescent="0.25">
      <c r="A185" s="45"/>
      <c r="B185" s="54"/>
      <c r="C185" s="87">
        <f t="shared" si="38"/>
        <v>4</v>
      </c>
      <c r="D185" s="73"/>
      <c r="E185" s="70">
        <v>2</v>
      </c>
      <c r="F185" s="70"/>
      <c r="G185" s="73"/>
      <c r="H185" s="76" t="s">
        <v>2802</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93">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3"/>
        <v>3.17</v>
      </c>
      <c r="AM185" s="152">
        <f t="shared" si="33"/>
        <v>7.4500000000000011E-2</v>
      </c>
      <c r="AN185" s="73"/>
      <c r="AO185" s="57"/>
      <c r="AP185" s="45"/>
      <c r="AQ185" s="45"/>
      <c r="AR185" s="45"/>
      <c r="AS185" s="441"/>
      <c r="AT185" s="441"/>
      <c r="AV185" s="325" t="str">
        <f t="shared" si="34"/>
        <v>empty grid (2)</v>
      </c>
      <c r="AY185" s="316">
        <f t="shared" ca="1" si="35"/>
        <v>1</v>
      </c>
      <c r="AZ185" s="326">
        <f t="shared" ca="1" si="36"/>
        <v>0</v>
      </c>
      <c r="BA185" s="326">
        <f t="shared" ca="1" si="37"/>
        <v>0</v>
      </c>
    </row>
    <row r="186" spans="1:58" outlineLevel="3" x14ac:dyDescent="0.25">
      <c r="A186" s="45"/>
      <c r="B186" s="54"/>
      <c r="C186" s="87">
        <f t="shared" si="38"/>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93">
        <f>X$189</f>
        <v>3.99</v>
      </c>
      <c r="Y186" s="122">
        <f>X186/(1+AVERAGEIF(INDEX(i_salep_months_priceadj_s7s9p4,1+$E186*2,0),"&lt;&gt;-1"))</f>
        <v>3.6661218629701886</v>
      </c>
      <c r="Z186" s="593">
        <f t="shared" ref="Z186:AD186" si="39">Z$189</f>
        <v>0.63909774436090228</v>
      </c>
      <c r="AA186" s="593">
        <f t="shared" si="39"/>
        <v>0.85964912280701755</v>
      </c>
      <c r="AB186" s="96">
        <v>1</v>
      </c>
      <c r="AC186" s="593">
        <f t="shared" si="39"/>
        <v>1.2656641604010026</v>
      </c>
      <c r="AD186" s="593">
        <f t="shared" si="39"/>
        <v>1.5563909774436091</v>
      </c>
      <c r="AE186" s="147" t="s">
        <v>238</v>
      </c>
      <c r="AF186" s="148">
        <v>3</v>
      </c>
      <c r="AG186" s="149">
        <v>0.05</v>
      </c>
      <c r="AH186" s="148">
        <v>0.17</v>
      </c>
      <c r="AI186" s="148">
        <v>0.2</v>
      </c>
      <c r="AJ186" s="148"/>
      <c r="AK186" s="150">
        <v>4.4999999999999997E-3</v>
      </c>
      <c r="AL186" s="151">
        <f t="shared" si="33"/>
        <v>3.37</v>
      </c>
      <c r="AM186" s="152">
        <f t="shared" si="33"/>
        <v>5.45E-2</v>
      </c>
      <c r="AN186" s="73"/>
      <c r="AO186" s="57"/>
      <c r="AP186" s="45"/>
      <c r="AQ186" s="45"/>
      <c r="AR186" s="45"/>
      <c r="AS186" s="441"/>
      <c r="AT186" s="441"/>
      <c r="AV186" s="325" t="str">
        <f t="shared" si="34"/>
        <v>Yearling grid (3)</v>
      </c>
      <c r="AY186" s="316">
        <f t="shared" ca="1" si="35"/>
        <v>1</v>
      </c>
      <c r="AZ186" s="326">
        <f t="shared" ca="1" si="36"/>
        <v>3.6661218629701886</v>
      </c>
      <c r="BA186" s="326">
        <f t="shared" ca="1" si="37"/>
        <v>3.6661218629701886</v>
      </c>
      <c r="BD186" s="326">
        <f ca="1">50*0.44*AZ186</f>
        <v>80.654680985344143</v>
      </c>
      <c r="BE186" t="s">
        <v>2309</v>
      </c>
    </row>
    <row r="187" spans="1:58" outlineLevel="3" x14ac:dyDescent="0.25">
      <c r="A187" s="45"/>
      <c r="B187" s="54"/>
      <c r="C187" s="87">
        <f t="shared" si="38"/>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93">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3"/>
        <v>5.37</v>
      </c>
      <c r="AM187" s="152">
        <f t="shared" si="33"/>
        <v>5.45E-2</v>
      </c>
      <c r="AN187" s="73"/>
      <c r="AO187" s="57"/>
      <c r="AP187" s="45"/>
      <c r="AQ187" s="45"/>
      <c r="AR187" s="45"/>
      <c r="AS187" s="441"/>
      <c r="AT187" s="441"/>
      <c r="AV187" s="325" t="str">
        <f t="shared" si="34"/>
        <v>Export wether grid (4)</v>
      </c>
      <c r="AY187" s="316">
        <f t="shared" ca="1" si="35"/>
        <v>1</v>
      </c>
      <c r="AZ187" s="326">
        <f t="shared" ca="1" si="36"/>
        <v>103.34061503440209</v>
      </c>
      <c r="BA187" s="326">
        <f t="shared" ca="1" si="37"/>
        <v>103.34061503440209</v>
      </c>
    </row>
    <row r="188" spans="1:58" outlineLevel="3" x14ac:dyDescent="0.25">
      <c r="A188" s="45"/>
      <c r="B188" s="54"/>
      <c r="C188" s="87">
        <f t="shared" si="38"/>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93"/>
      <c r="Y188" s="594">
        <f>MROUND(1.33*26.5*Y$189,5)</f>
        <v>130</v>
      </c>
      <c r="Z188" s="593">
        <f>AVERAGE(Z$183,Z$189)</f>
        <v>0.7077277859184703</v>
      </c>
      <c r="AA188" s="593">
        <f>AVERAGE(AA$183,AA$189)</f>
        <v>0.87631018440670361</v>
      </c>
      <c r="AB188" s="96">
        <v>1</v>
      </c>
      <c r="AC188" s="593">
        <f>AVERAGE(AC$183,AC$189)</f>
        <v>1.2127042846733449</v>
      </c>
      <c r="AD188" s="593">
        <f>AVERAGE(AD$183,AD$189)</f>
        <v>1.4387386197122198</v>
      </c>
      <c r="AE188" s="147" t="s">
        <v>244</v>
      </c>
      <c r="AF188" s="148">
        <v>3</v>
      </c>
      <c r="AG188" s="149">
        <v>0.05</v>
      </c>
      <c r="AH188" s="148">
        <f>0.17+0.79</f>
        <v>0.96000000000000008</v>
      </c>
      <c r="AI188" s="148">
        <v>0.2</v>
      </c>
      <c r="AJ188" s="148"/>
      <c r="AK188" s="150">
        <v>4.4999999999999997E-3</v>
      </c>
      <c r="AL188" s="151">
        <f t="shared" si="33"/>
        <v>4.16</v>
      </c>
      <c r="AM188" s="152">
        <f t="shared" si="33"/>
        <v>5.45E-2</v>
      </c>
      <c r="AN188" s="73"/>
      <c r="AO188" s="57"/>
      <c r="AP188" s="45"/>
      <c r="AQ188" s="45"/>
      <c r="AR188" s="45"/>
      <c r="AS188" s="441"/>
      <c r="AT188" s="441"/>
      <c r="AV188" s="325" t="str">
        <f t="shared" si="34"/>
        <v>Breeder grid (5)</v>
      </c>
      <c r="AY188" s="316">
        <f t="shared" ca="1" si="35"/>
        <v>1</v>
      </c>
      <c r="AZ188" s="326">
        <f t="shared" ca="1" si="36"/>
        <v>130</v>
      </c>
      <c r="BA188" s="326">
        <f t="shared" ca="1" si="37"/>
        <v>130</v>
      </c>
      <c r="BD188" s="326">
        <f ca="1">AZ188*(1+AVERAGE($J$279:$U$279))*($M$238/$N$238)</f>
        <v>109.45161290322579</v>
      </c>
      <c r="BE188" t="s">
        <v>2310</v>
      </c>
    </row>
    <row r="189" spans="1:58" outlineLevel="3" x14ac:dyDescent="0.25">
      <c r="A189" s="45"/>
      <c r="B189" s="54"/>
      <c r="C189" s="87">
        <f t="shared" si="38"/>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93">
        <v>3.99</v>
      </c>
      <c r="Y189" s="421">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3"/>
        <v>4.16</v>
      </c>
      <c r="AM189" s="161">
        <f t="shared" si="33"/>
        <v>5.45E-2</v>
      </c>
      <c r="AN189" s="73"/>
      <c r="AO189" s="57"/>
      <c r="AP189" s="45"/>
      <c r="AQ189" s="45"/>
      <c r="AR189" s="45"/>
      <c r="AS189" s="441"/>
      <c r="AT189" s="441"/>
      <c r="AV189" s="325" t="str">
        <f t="shared" si="34"/>
        <v>Mutton grid (6)</v>
      </c>
      <c r="AY189" s="316">
        <f t="shared" ca="1" si="35"/>
        <v>1</v>
      </c>
      <c r="AZ189" s="326">
        <f t="shared" ca="1" si="36"/>
        <v>3.6661218629701886</v>
      </c>
      <c r="BA189" s="326">
        <f t="shared" ca="1" si="37"/>
        <v>3.6661218629701886</v>
      </c>
      <c r="BD189" s="326">
        <f ca="1">BE189*0.42*BA189</f>
        <v>76.988559122373957</v>
      </c>
      <c r="BE189">
        <v>50</v>
      </c>
      <c r="BF189" t="s">
        <v>2798</v>
      </c>
    </row>
    <row r="190" spans="1:58" outlineLevel="3" x14ac:dyDescent="0.25">
      <c r="A190" s="45"/>
      <c r="B190" s="54"/>
      <c r="C190" s="87">
        <f t="shared" si="38"/>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93">
        <f>0.5*X189</f>
        <v>1.9950000000000001</v>
      </c>
      <c r="Y190" s="422">
        <f>X190/(1+AVERAGEIF(INDEX(i_salep_months_priceadj_s7s9p4,1+$E190*2,0),"&lt;&gt;-1"))</f>
        <v>1.9950000000000001</v>
      </c>
      <c r="Z190" s="592">
        <f>AVERAGE(Z$183,Z$189)</f>
        <v>0.7077277859184703</v>
      </c>
      <c r="AA190" s="592">
        <f>AVERAGE(AA$183,AA$189)</f>
        <v>0.87631018440670361</v>
      </c>
      <c r="AB190" s="166">
        <v>1</v>
      </c>
      <c r="AC190" s="592">
        <f>AVERAGE(AC$183,AC$189)</f>
        <v>1.2127042846733449</v>
      </c>
      <c r="AD190" s="592">
        <f>AVERAGE(AD$183,AD$189)</f>
        <v>1.4387386197122198</v>
      </c>
      <c r="AE190" s="167" t="s">
        <v>244</v>
      </c>
      <c r="AF190" s="164">
        <v>3</v>
      </c>
      <c r="AG190" s="168">
        <v>0.05</v>
      </c>
      <c r="AH190" s="164">
        <f>0.17+0.79</f>
        <v>0.96000000000000008</v>
      </c>
      <c r="AI190" s="164">
        <v>0.2</v>
      </c>
      <c r="AJ190" s="164"/>
      <c r="AK190" s="169">
        <v>4.4999999999999997E-3</v>
      </c>
      <c r="AL190" s="166">
        <f t="shared" si="33"/>
        <v>4.16</v>
      </c>
      <c r="AM190" s="170">
        <f t="shared" si="33"/>
        <v>5.45E-2</v>
      </c>
      <c r="AN190" s="73"/>
      <c r="AO190" s="57"/>
      <c r="AP190" s="45"/>
      <c r="AQ190" s="45"/>
      <c r="AR190" s="45"/>
      <c r="AS190" s="441"/>
      <c r="AT190" s="441"/>
      <c r="AV190" s="327" t="str">
        <f t="shared" si="34"/>
        <v>Ram grid (7)</v>
      </c>
      <c r="AW190" s="319"/>
      <c r="AX190" s="319"/>
      <c r="AY190" s="320">
        <f t="shared" ca="1" si="35"/>
        <v>1</v>
      </c>
      <c r="AZ190" s="328">
        <f t="shared" ca="1" si="36"/>
        <v>1.9950000000000001</v>
      </c>
      <c r="BA190" s="328">
        <f t="shared" ca="1" si="37"/>
        <v>1.9950000000000001</v>
      </c>
    </row>
    <row r="191" spans="1:58" outlineLevel="3" x14ac:dyDescent="0.25">
      <c r="A191" s="45"/>
      <c r="B191" s="54"/>
      <c r="C191" s="87">
        <f t="shared" si="38"/>
        <v>4</v>
      </c>
      <c r="D191" s="73"/>
      <c r="E191" s="70"/>
      <c r="F191" s="70"/>
      <c r="G191" s="73"/>
      <c r="H191" s="105"/>
      <c r="I191" s="105"/>
      <c r="J191" s="76"/>
      <c r="K191" s="76"/>
      <c r="L191" s="105"/>
      <c r="M191" s="105"/>
      <c r="N191" s="105"/>
      <c r="O191" s="105"/>
      <c r="P191" s="105"/>
      <c r="Q191" s="105"/>
      <c r="R191" s="105"/>
      <c r="S191" s="105"/>
      <c r="T191" s="105"/>
      <c r="U191" s="105"/>
      <c r="V191" s="105"/>
      <c r="W191" s="105"/>
      <c r="X191" s="97" t="s">
        <v>3244</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41"/>
      <c r="AT191" s="441"/>
    </row>
    <row r="192" spans="1:58"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41"/>
      <c r="AT192" s="441"/>
      <c r="AW192" t="s">
        <v>233</v>
      </c>
      <c r="AX192" s="438">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41"/>
      <c r="AT193" s="441"/>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41"/>
      <c r="AT194" s="441" t="s">
        <v>2803</v>
      </c>
      <c r="AW194" s="439" t="str">
        <f t="array" ref="AW194:BD194">TRANSPOSE(AV183:AV190)</f>
        <v>Lamb grid (0)</v>
      </c>
      <c r="AX194" s="439" t="str">
        <v>empty grid (1)</v>
      </c>
      <c r="AY194" s="439" t="str">
        <v>empty grid (2)</v>
      </c>
      <c r="AZ194" s="439" t="str">
        <v>Yearling grid (3)</v>
      </c>
      <c r="BA194" s="439" t="str">
        <v>Export wether grid (4)</v>
      </c>
      <c r="BB194" s="440" t="str">
        <v>Breeder grid (5)</v>
      </c>
      <c r="BC194" s="440" t="str">
        <v>Mutton grid (6)</v>
      </c>
      <c r="BD194" s="440"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2574</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41"/>
      <c r="AT195" s="441"/>
      <c r="AW195" s="437">
        <v>0.44</v>
      </c>
      <c r="AX195" s="437">
        <v>0.42</v>
      </c>
      <c r="AY195" s="437">
        <v>0.42</v>
      </c>
      <c r="AZ195" s="437">
        <v>0.42</v>
      </c>
      <c r="BA195" s="437">
        <v>1</v>
      </c>
      <c r="BB195" s="437">
        <v>1</v>
      </c>
      <c r="BC195" s="437">
        <v>0.42</v>
      </c>
      <c r="BD195" s="437">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2230</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41"/>
      <c r="AT196" s="441"/>
      <c r="AV196" s="173">
        <v>25</v>
      </c>
      <c r="AW196" s="443">
        <f t="array" aca="1" ref="AW196" ca="1">AW210*AW223*INDEX($BA$183:$BA$190,AW$207,1)*$AV196*AW$195</f>
        <v>44.936697642048117</v>
      </c>
      <c r="AX196" s="443">
        <f t="array" aca="1" ref="AX196" ca="1">AX210*AX223*INDEX($BA$183:$BA$190,AX$207,1)*$AV196*AX$195</f>
        <v>0</v>
      </c>
      <c r="AY196" s="443">
        <f t="array" aca="1" ref="AY196" ca="1">AY210*AY223*INDEX($BA$183:$BA$190,AY$207,1)*$AV196*AY$195</f>
        <v>0</v>
      </c>
      <c r="AZ196" s="443">
        <f t="array" aca="1" ref="AZ196" ca="1">AZ210*AZ223*INDEX($BA$183:$BA$190,AZ$207,1)*$AV196*AZ$195</f>
        <v>22.2082382083771</v>
      </c>
      <c r="BA196" s="443">
        <f t="array" aca="1" ref="BA196" ca="1">BA210*BA223*INDEX($BA$183:$BA$190,BA$207,1)</f>
        <v>22.558022989939918</v>
      </c>
      <c r="BB196" s="443">
        <f t="array" aca="1" ref="BB196" ca="1">BB210*BB223*INDEX($BA$183:$BA$190,BB$207,1)</f>
        <v>121.61290322580645</v>
      </c>
      <c r="BC196" s="443">
        <f t="array" aca="1" ref="BC196" ca="1">BC210*BC223*INDEX($BA$183:$BA$190,BC$207,1)*$AV196*BC$195</f>
        <v>22.2082382083771</v>
      </c>
      <c r="BD196" s="443">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71"/>
      <c r="AI197" s="471"/>
      <c r="AJ197" s="471"/>
      <c r="AK197" s="471"/>
      <c r="AL197" s="471"/>
      <c r="AM197" s="471"/>
      <c r="AN197" s="73"/>
      <c r="AO197" s="57"/>
      <c r="AP197" s="45"/>
      <c r="AQ197" s="45"/>
      <c r="AR197" s="45"/>
      <c r="AS197" s="441"/>
      <c r="AT197" s="441"/>
      <c r="AV197" s="173">
        <v>35</v>
      </c>
      <c r="AW197" s="443">
        <f t="array" aca="1" ref="AW197" ca="1">AW211*AW224*INDEX($BA$183:$BA$190,AW$207,1)*$AV197*AW$195</f>
        <v>62.911376698867358</v>
      </c>
      <c r="AX197" s="443">
        <f t="array" aca="1" ref="AX197" ca="1">AX211*AX224*INDEX($BA$183:$BA$190,AX$207,1)*$AV197*AX$195</f>
        <v>0</v>
      </c>
      <c r="AY197" s="443">
        <f t="array" aca="1" ref="AY197" ca="1">AY211*AY224*INDEX($BA$183:$BA$190,AY$207,1)*$AV197*AY$195</f>
        <v>0</v>
      </c>
      <c r="AZ197" s="443">
        <f t="array" aca="1" ref="AZ197" ca="1">AZ211*AZ224*INDEX($BA$183:$BA$190,AZ$207,1)*$AV197*AZ$195</f>
        <v>45.600915787867656</v>
      </c>
      <c r="BA197" s="443">
        <f t="array" aca="1" ref="BA197" ca="1">BA211*BA224*INDEX($BA$183:$BA$190,BA$207,1)</f>
        <v>72.33843052408146</v>
      </c>
      <c r="BB197" s="443">
        <f t="array" aca="1" ref="BB197" ca="1">BB211*BB224*INDEX($BA$183:$BA$190,BB$207,1)</f>
        <v>121.61290322580645</v>
      </c>
      <c r="BC197" s="443">
        <f t="array" aca="1" ref="BC197" ca="1">BC211*BC224*INDEX($BA$183:$BA$190,BC$207,1)*$AV197*BC$195</f>
        <v>45.600915787867656</v>
      </c>
      <c r="BD197" s="443">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4">
        <v>3.6</v>
      </c>
      <c r="K198" s="445">
        <v>5</v>
      </c>
      <c r="L198" s="445">
        <v>5</v>
      </c>
      <c r="M198" s="445">
        <v>5</v>
      </c>
      <c r="N198" s="446">
        <v>3.6</v>
      </c>
      <c r="O198" s="447">
        <v>0</v>
      </c>
      <c r="P198" s="174"/>
      <c r="Q198" s="389">
        <v>0.85133333333333328</v>
      </c>
      <c r="R198" s="390">
        <v>0.70809675221439938</v>
      </c>
      <c r="S198" s="390">
        <v>0.70809675221439938</v>
      </c>
      <c r="T198" s="390">
        <v>0.70809675221439938</v>
      </c>
      <c r="U198" s="391">
        <v>0.95133819951338194</v>
      </c>
      <c r="V198" s="175">
        <v>0</v>
      </c>
      <c r="W198" s="174"/>
      <c r="X198" s="389">
        <v>0.88462809917355367</v>
      </c>
      <c r="Y198" s="390">
        <v>1</v>
      </c>
      <c r="Z198" s="390">
        <v>1</v>
      </c>
      <c r="AA198" s="390">
        <v>1</v>
      </c>
      <c r="AB198" s="391">
        <v>0.89564738292011015</v>
      </c>
      <c r="AC198" s="175">
        <v>0</v>
      </c>
      <c r="AD198" s="76"/>
      <c r="AE198" s="442"/>
      <c r="AF198" s="442"/>
      <c r="AG198" s="76"/>
      <c r="AH198" s="76"/>
      <c r="AI198" s="76"/>
      <c r="AJ198" s="76"/>
      <c r="AK198" s="76"/>
      <c r="AL198" s="76"/>
      <c r="AM198" s="76"/>
      <c r="AN198" s="73"/>
      <c r="AO198" s="57"/>
      <c r="AP198" s="45"/>
      <c r="AQ198" s="45"/>
      <c r="AR198" s="45"/>
      <c r="AS198" s="441"/>
      <c r="AT198" s="441"/>
      <c r="AV198" s="173">
        <v>40</v>
      </c>
      <c r="AW198" s="443">
        <f t="array" aca="1" ref="AW198" ca="1">AW212*AW225*INDEX($BA$183:$BA$190,AW$207,1)*$AV198*AW$195</f>
        <v>91.384185003233256</v>
      </c>
      <c r="AX198" s="443">
        <f t="array" aca="1" ref="AX198" ca="1">AX212*AX225*INDEX($BA$183:$BA$190,AX$207,1)*$AV198*AX$195</f>
        <v>0</v>
      </c>
      <c r="AY198" s="443">
        <f t="array" aca="1" ref="AY198" ca="1">AY212*AY225*INDEX($BA$183:$BA$190,AY$207,1)*$AV198*AY$195</f>
        <v>0</v>
      </c>
      <c r="AZ198" s="443">
        <f t="array" aca="1" ref="AZ198" ca="1">AZ212*AZ225*INDEX($BA$183:$BA$190,AZ$207,1)*$AV198*AZ$195</f>
        <v>52.115332328991606</v>
      </c>
      <c r="BA198" s="443">
        <f t="array" aca="1" ref="BA198" ca="1">BA212*BA225*INDEX($BA$183:$BA$190,BA$207,1)</f>
        <v>79.227804859708257</v>
      </c>
      <c r="BB198" s="443">
        <f t="array" aca="1" ref="BB198" ca="1">BB212*BB225*INDEX($BA$183:$BA$190,BB$207,1)</f>
        <v>121.61290322580645</v>
      </c>
      <c r="BC198" s="443">
        <f t="array" aca="1" ref="BC198" ca="1">BC212*BC225*INDEX($BA$183:$BA$190,BC$207,1)*$AV198*BC$195</f>
        <v>52.115332328991606</v>
      </c>
      <c r="BD198" s="443">
        <f t="array" aca="1" ref="BD198" ca="1">BD212*BD225*INDEX($BA$183:$BA$190,BD$207,1)*$AV198*BD$195</f>
        <v>16.758000000000003</v>
      </c>
    </row>
    <row r="199" spans="1:56" outlineLevel="3" x14ac:dyDescent="0.25">
      <c r="A199" s="45"/>
      <c r="B199" s="54"/>
      <c r="C199" s="87">
        <f t="shared" ref="C199:C205" si="40">INT($C$167)+3</f>
        <v>4</v>
      </c>
      <c r="D199" s="73"/>
      <c r="E199" s="70">
        <f t="shared" ref="E199:F205" si="41">E198</f>
        <v>0</v>
      </c>
      <c r="F199" s="70">
        <f t="shared" si="41"/>
        <v>0</v>
      </c>
      <c r="G199" s="73"/>
      <c r="H199" s="176" t="str">
        <f>INDEX($M$175:$M$177,INDEX(i_salep_price_type_s7,$F199+1,1)+1,1)&amp;INDEX($L$175:$L$177,INDEX(ia_s8_s7,$F199+1,1)+1,1)</f>
        <v>$/kg DW, DW - Fat score</v>
      </c>
      <c r="I199" s="173">
        <v>16.100000000000001</v>
      </c>
      <c r="J199" s="448">
        <v>4.4000000000000004</v>
      </c>
      <c r="K199" s="449">
        <v>5.6</v>
      </c>
      <c r="L199" s="449">
        <v>5.6</v>
      </c>
      <c r="M199" s="449">
        <v>5.6</v>
      </c>
      <c r="N199" s="450">
        <v>3.6</v>
      </c>
      <c r="O199" s="447">
        <v>0</v>
      </c>
      <c r="P199" s="174"/>
      <c r="Q199" s="392">
        <f>Q200*0.9</f>
        <v>0.86159999999999992</v>
      </c>
      <c r="R199" s="393">
        <f>R200*0.9</f>
        <v>0.9</v>
      </c>
      <c r="S199" s="393">
        <f>S200*0.9</f>
        <v>0.9</v>
      </c>
      <c r="T199" s="393">
        <f>T200*0.9</f>
        <v>0.9</v>
      </c>
      <c r="U199" s="394">
        <f>U200*0.9</f>
        <v>0.85620437956204376</v>
      </c>
      <c r="V199" s="175">
        <v>0</v>
      </c>
      <c r="W199" s="174"/>
      <c r="X199" s="392">
        <v>0.8040891961755271</v>
      </c>
      <c r="Y199" s="393">
        <v>1</v>
      </c>
      <c r="Z199" s="393">
        <v>1</v>
      </c>
      <c r="AA199" s="393">
        <v>1</v>
      </c>
      <c r="AB199" s="394">
        <v>0.76100470273132148</v>
      </c>
      <c r="AC199" s="175">
        <v>0</v>
      </c>
      <c r="AD199" s="76"/>
      <c r="AE199" s="442"/>
      <c r="AF199" s="442"/>
      <c r="AG199" s="76"/>
      <c r="AH199" s="76"/>
      <c r="AI199" s="76"/>
      <c r="AJ199" s="76"/>
      <c r="AK199" s="76"/>
      <c r="AL199" s="76"/>
      <c r="AM199" s="76"/>
      <c r="AN199" s="73"/>
      <c r="AO199" s="57"/>
      <c r="AP199" s="45"/>
      <c r="AQ199" s="45"/>
      <c r="AR199" s="45"/>
      <c r="AS199" s="441"/>
      <c r="AT199" s="441"/>
      <c r="AV199" s="173">
        <v>45</v>
      </c>
      <c r="AW199" s="443">
        <f t="array" aca="1" ref="AW199" ca="1">AW213*AW226*INDEX($BA$183:$BA$190,AW$207,1)*$AV199*AW$195</f>
        <v>114.23023125404156</v>
      </c>
      <c r="AX199" s="443">
        <f t="array" aca="1" ref="AX199" ca="1">AX213*AX226*INDEX($BA$183:$BA$190,AX$207,1)*$AV199*AX$195</f>
        <v>0</v>
      </c>
      <c r="AY199" s="443">
        <f t="array" aca="1" ref="AY199" ca="1">AY213*AY226*INDEX($BA$183:$BA$190,AY$207,1)*$AV199*AY$195</f>
        <v>0</v>
      </c>
      <c r="AZ199" s="443">
        <f t="array" aca="1" ref="AZ199" ca="1">AZ213*AZ226*INDEX($BA$183:$BA$190,AZ$207,1)*$AV199*AZ$195</f>
        <v>69.289703210136565</v>
      </c>
      <c r="BA199" s="443">
        <f t="array" aca="1" ref="BA199" ca="1">BA213*BA226*INDEX($BA$183:$BA$190,BA$207,1)</f>
        <v>85.256007403381744</v>
      </c>
      <c r="BB199" s="443">
        <f t="array" aca="1" ref="BB199" ca="1">BB213*BB226*INDEX($BA$183:$BA$190,BB$207,1)</f>
        <v>121.61290322580645</v>
      </c>
      <c r="BC199" s="443">
        <f t="array" aca="1" ref="BC199" ca="1">BC213*BC226*INDEX($BA$183:$BA$190,BC$207,1)*$AV199*BC$195</f>
        <v>69.289703210136565</v>
      </c>
      <c r="BD199" s="443">
        <f t="array" aca="1" ref="BD199" ca="1">BD213*BD226*INDEX($BA$183:$BA$190,BD$207,1)*$AV199*BD$195</f>
        <v>18.85275</v>
      </c>
    </row>
    <row r="200" spans="1:56" outlineLevel="3" x14ac:dyDescent="0.25">
      <c r="A200" s="45"/>
      <c r="B200" s="54"/>
      <c r="C200" s="87">
        <f t="shared" si="40"/>
        <v>4</v>
      </c>
      <c r="D200" s="73"/>
      <c r="E200" s="70">
        <f t="shared" si="41"/>
        <v>0</v>
      </c>
      <c r="F200" s="70">
        <f t="shared" si="41"/>
        <v>0</v>
      </c>
      <c r="G200" s="73"/>
      <c r="H200" s="97" t="s">
        <v>2575</v>
      </c>
      <c r="I200" s="173">
        <v>18.100000000000001</v>
      </c>
      <c r="J200" s="448">
        <v>4.8</v>
      </c>
      <c r="K200" s="449">
        <v>6.8</v>
      </c>
      <c r="L200" s="449">
        <v>6.8</v>
      </c>
      <c r="M200" s="449">
        <v>6.8</v>
      </c>
      <c r="N200" s="450">
        <v>3.6</v>
      </c>
      <c r="O200" s="447">
        <v>0</v>
      </c>
      <c r="P200" s="174"/>
      <c r="Q200" s="392">
        <v>0.95733333333333326</v>
      </c>
      <c r="R200" s="393">
        <v>1</v>
      </c>
      <c r="S200" s="393">
        <v>1</v>
      </c>
      <c r="T200" s="393">
        <v>1</v>
      </c>
      <c r="U200" s="394">
        <v>0.95133819951338194</v>
      </c>
      <c r="V200" s="175">
        <v>0</v>
      </c>
      <c r="W200" s="174"/>
      <c r="X200" s="392">
        <v>0.69242982478276593</v>
      </c>
      <c r="Y200" s="393">
        <v>1</v>
      </c>
      <c r="Z200" s="393">
        <v>1</v>
      </c>
      <c r="AA200" s="393">
        <v>1</v>
      </c>
      <c r="AB200" s="394">
        <v>0.63046029222499811</v>
      </c>
      <c r="AC200" s="175">
        <v>0</v>
      </c>
      <c r="AD200" s="76"/>
      <c r="AE200" s="442"/>
      <c r="AF200" s="442"/>
      <c r="AG200" s="76"/>
      <c r="AH200" s="76"/>
      <c r="AI200" s="76"/>
      <c r="AJ200" s="76"/>
      <c r="AK200" s="76"/>
      <c r="AL200" s="76"/>
      <c r="AM200" s="76"/>
      <c r="AN200" s="73"/>
      <c r="AO200" s="57"/>
      <c r="AP200" s="45"/>
      <c r="AQ200" s="45"/>
      <c r="AR200" s="45"/>
      <c r="AS200" s="441"/>
      <c r="AT200" s="441"/>
      <c r="AV200" s="173">
        <v>50</v>
      </c>
      <c r="AW200" s="443">
        <f t="array" aca="1" ref="AW200" ca="1">AW214*AW227*INDEX($BA$183:$BA$190,AW$207,1)*$AV200*AW$195</f>
        <v>126.92247917115729</v>
      </c>
      <c r="AX200" s="443">
        <f t="array" aca="1" ref="AX200" ca="1">AX214*AX227*INDEX($BA$183:$BA$190,AX$207,1)*$AV200*AX$195</f>
        <v>0</v>
      </c>
      <c r="AY200" s="443">
        <f t="array" aca="1" ref="AY200" ca="1">AY214*AY227*INDEX($BA$183:$BA$190,AY$207,1)*$AV200*AY$195</f>
        <v>0</v>
      </c>
      <c r="AZ200" s="443">
        <f t="array" aca="1" ref="AZ200" ca="1">AZ214*AZ227*INDEX($BA$183:$BA$190,AZ$207,1)*$AV200*AZ$195</f>
        <v>76.988559122373957</v>
      </c>
      <c r="BA200" s="443">
        <f t="array" aca="1" ref="BA200" ca="1">BA214*BA227*INDEX($BA$183:$BA$190,BA$207,1)</f>
        <v>90.423038155101835</v>
      </c>
      <c r="BB200" s="443">
        <f t="array" aca="1" ref="BB200" ca="1">BB214*BB227*INDEX($BA$183:$BA$190,BB$207,1)</f>
        <v>121.61290322580645</v>
      </c>
      <c r="BC200" s="443">
        <f t="array" aca="1" ref="BC200" ca="1">BC214*BC227*INDEX($BA$183:$BA$190,BC$207,1)*$AV200*BC$195</f>
        <v>76.988559122373957</v>
      </c>
      <c r="BD200" s="443">
        <f t="array" aca="1" ref="BD200" ca="1">BD214*BD227*INDEX($BA$183:$BA$190,BD$207,1)*$AV200*BD$195</f>
        <v>20.947499999999998</v>
      </c>
    </row>
    <row r="201" spans="1:56" outlineLevel="3" x14ac:dyDescent="0.25">
      <c r="A201" s="45"/>
      <c r="B201" s="54"/>
      <c r="C201" s="87">
        <f t="shared" si="40"/>
        <v>4</v>
      </c>
      <c r="D201" s="73"/>
      <c r="E201" s="70">
        <f t="shared" si="41"/>
        <v>0</v>
      </c>
      <c r="F201" s="70">
        <f t="shared" si="41"/>
        <v>0</v>
      </c>
      <c r="G201" s="73"/>
      <c r="H201" s="97" t="s">
        <v>255</v>
      </c>
      <c r="I201" s="173">
        <v>28.1</v>
      </c>
      <c r="J201" s="448">
        <v>4.3</v>
      </c>
      <c r="K201" s="449">
        <v>5.3</v>
      </c>
      <c r="L201" s="449">
        <v>5.3</v>
      </c>
      <c r="M201" s="449">
        <v>5.3</v>
      </c>
      <c r="N201" s="450">
        <v>3.6</v>
      </c>
      <c r="O201" s="447">
        <v>0</v>
      </c>
      <c r="P201" s="174"/>
      <c r="Q201" s="392">
        <v>0.92261111111111116</v>
      </c>
      <c r="R201" s="393">
        <v>0.87592003768474347</v>
      </c>
      <c r="S201" s="393">
        <v>0.87592003768474347</v>
      </c>
      <c r="T201" s="393">
        <v>0.87592003768474347</v>
      </c>
      <c r="U201" s="394">
        <v>0.95133819951338194</v>
      </c>
      <c r="V201" s="175">
        <v>0</v>
      </c>
      <c r="W201" s="174"/>
      <c r="X201" s="392">
        <v>0.76440403426850423</v>
      </c>
      <c r="Y201" s="393">
        <v>1</v>
      </c>
      <c r="Z201" s="393">
        <v>1</v>
      </c>
      <c r="AA201" s="393">
        <v>1</v>
      </c>
      <c r="AB201" s="394">
        <v>0.71534869594928063</v>
      </c>
      <c r="AC201" s="175">
        <v>0</v>
      </c>
      <c r="AD201" s="76"/>
      <c r="AE201" s="442"/>
      <c r="AF201" s="442"/>
      <c r="AG201" s="76"/>
      <c r="AH201" s="76"/>
      <c r="AI201" s="76"/>
      <c r="AJ201" s="76"/>
      <c r="AK201" s="76"/>
      <c r="AL201" s="76"/>
      <c r="AM201" s="76"/>
      <c r="AN201" s="73"/>
      <c r="AO201" s="57"/>
      <c r="AP201" s="45"/>
      <c r="AQ201" s="45"/>
      <c r="AR201" s="45"/>
      <c r="AS201" s="441"/>
      <c r="AT201" s="441"/>
      <c r="AV201" s="173">
        <v>55</v>
      </c>
      <c r="AW201" s="443">
        <f t="array" aca="1" ref="AW201" ca="1">AW215*AW228*INDEX($BA$183:$BA$190,AW$207,1)*$AV201*AW$195</f>
        <v>139.61472708827301</v>
      </c>
      <c r="AX201" s="443">
        <f t="array" aca="1" ref="AX201" ca="1">AX215*AX228*INDEX($BA$183:$BA$190,AX$207,1)*$AV201*AX$195</f>
        <v>0</v>
      </c>
      <c r="AY201" s="443">
        <f t="array" aca="1" ref="AY201" ca="1">AY215*AY228*INDEX($BA$183:$BA$190,AY$207,1)*$AV201*AY$195</f>
        <v>0</v>
      </c>
      <c r="AZ201" s="443">
        <f t="array" aca="1" ref="AZ201" ca="1">AZ215*AZ228*INDEX($BA$183:$BA$190,AZ$207,1)*$AV201*AZ$195</f>
        <v>84.687415034611348</v>
      </c>
      <c r="BA201" s="443">
        <f t="array" aca="1" ref="BA201" ca="1">BA215*BA228*INDEX($BA$183:$BA$190,BA$207,1)</f>
        <v>94.728897114868573</v>
      </c>
      <c r="BB201" s="443">
        <f t="array" aca="1" ref="BB201" ca="1">BB215*BB228*INDEX($BA$183:$BA$190,BB$207,1)</f>
        <v>121.61290322580645</v>
      </c>
      <c r="BC201" s="443">
        <f t="array" aca="1" ref="BC201" ca="1">BC215*BC228*INDEX($BA$183:$BA$190,BC$207,1)*$AV201*BC$195</f>
        <v>84.687415034611348</v>
      </c>
      <c r="BD201" s="443">
        <f t="array" aca="1" ref="BD201" ca="1">BD215*BD228*INDEX($BA$183:$BA$190,BD$207,1)*$AV201*BD$195</f>
        <v>23.042249999999999</v>
      </c>
    </row>
    <row r="202" spans="1:56" outlineLevel="3" x14ac:dyDescent="0.25">
      <c r="A202" s="45"/>
      <c r="B202" s="54"/>
      <c r="C202" s="87">
        <f t="shared" si="40"/>
        <v>4</v>
      </c>
      <c r="D202" s="73"/>
      <c r="E202" s="70">
        <f t="shared" si="41"/>
        <v>0</v>
      </c>
      <c r="F202" s="70">
        <f t="shared" si="41"/>
        <v>0</v>
      </c>
      <c r="G202" s="73"/>
      <c r="H202" s="76"/>
      <c r="I202" s="173">
        <v>31.1</v>
      </c>
      <c r="J202" s="448">
        <v>4</v>
      </c>
      <c r="K202" s="449">
        <v>5</v>
      </c>
      <c r="L202" s="449">
        <v>5</v>
      </c>
      <c r="M202" s="449">
        <v>5</v>
      </c>
      <c r="N202" s="450">
        <v>3.6</v>
      </c>
      <c r="O202" s="447">
        <v>0</v>
      </c>
      <c r="P202" s="174"/>
      <c r="Q202" s="392">
        <v>0.87644444444444447</v>
      </c>
      <c r="R202" s="393">
        <v>0.75088954500719218</v>
      </c>
      <c r="S202" s="393">
        <v>0.75088954500719218</v>
      </c>
      <c r="T202" s="393">
        <v>0.75088954500719218</v>
      </c>
      <c r="U202" s="394">
        <v>0.94890510948905105</v>
      </c>
      <c r="V202" s="175">
        <v>0</v>
      </c>
      <c r="W202" s="174"/>
      <c r="X202" s="392">
        <v>0.8666666666666667</v>
      </c>
      <c r="Y202" s="393">
        <v>1</v>
      </c>
      <c r="Z202" s="393">
        <v>1</v>
      </c>
      <c r="AA202" s="393">
        <v>1</v>
      </c>
      <c r="AB202" s="394">
        <v>0.84952380952380946</v>
      </c>
      <c r="AC202" s="175">
        <v>0</v>
      </c>
      <c r="AD202" s="76"/>
      <c r="AE202" s="442"/>
      <c r="AF202" s="442"/>
      <c r="AG202" s="76"/>
      <c r="AH202" s="76"/>
      <c r="AI202" s="76"/>
      <c r="AJ202" s="76"/>
      <c r="AK202" s="76"/>
      <c r="AL202" s="76"/>
      <c r="AM202" s="76"/>
      <c r="AN202" s="73"/>
      <c r="AO202" s="57"/>
      <c r="AP202" s="45"/>
      <c r="AQ202" s="45"/>
      <c r="AR202" s="45"/>
      <c r="AS202" s="441"/>
      <c r="AT202" s="441"/>
      <c r="AV202" s="173">
        <v>60</v>
      </c>
      <c r="AW202" s="443">
        <f t="array" aca="1" ref="AW202" ca="1">AW216*AW229*INDEX($BA$183:$BA$190,AW$207,1)*$AV202*AW$195</f>
        <v>152.30697500538875</v>
      </c>
      <c r="AX202" s="443">
        <f t="array" aca="1" ref="AX202" ca="1">AX216*AX229*INDEX($BA$183:$BA$190,AX$207,1)*$AV202*AX$195</f>
        <v>0</v>
      </c>
      <c r="AY202" s="443">
        <f t="array" aca="1" ref="AY202" ca="1">AY216*AY229*INDEX($BA$183:$BA$190,AY$207,1)*$AV202*AY$195</f>
        <v>0</v>
      </c>
      <c r="AZ202" s="443">
        <f t="array" aca="1" ref="AZ202" ca="1">AZ216*AZ229*INDEX($BA$183:$BA$190,AZ$207,1)*$AV202*AZ$195</f>
        <v>92.386270946848754</v>
      </c>
      <c r="BA202" s="443">
        <f t="array" aca="1" ref="BA202" ca="1">BA216*BA229*INDEX($BA$183:$BA$190,BA$207,1)</f>
        <v>103.34061503440209</v>
      </c>
      <c r="BB202" s="443">
        <f t="array" aca="1" ref="BB202" ca="1">BB216*BB229*INDEX($BA$183:$BA$190,BB$207,1)</f>
        <v>121.61290322580645</v>
      </c>
      <c r="BC202" s="443">
        <f t="array" aca="1" ref="BC202" ca="1">BC216*BC229*INDEX($BA$183:$BA$190,BC$207,1)*$AV202*BC$195</f>
        <v>92.386270946848754</v>
      </c>
      <c r="BD202" s="443">
        <f t="array" aca="1" ref="BD202" ca="1">BD216*BD229*INDEX($BA$183:$BA$190,BD$207,1)*$AV202*BD$195</f>
        <v>25.137</v>
      </c>
    </row>
    <row r="203" spans="1:56" outlineLevel="3" x14ac:dyDescent="0.25">
      <c r="A203" s="45"/>
      <c r="B203" s="54"/>
      <c r="C203" s="87">
        <f t="shared" si="40"/>
        <v>4</v>
      </c>
      <c r="D203" s="73"/>
      <c r="E203" s="70">
        <f t="shared" si="41"/>
        <v>0</v>
      </c>
      <c r="F203" s="70">
        <f t="shared" si="41"/>
        <v>0</v>
      </c>
      <c r="G203" s="73"/>
      <c r="H203" s="76"/>
      <c r="I203" s="173">
        <f t="shared" ref="I203:N204" si="42">I202</f>
        <v>31.1</v>
      </c>
      <c r="J203" s="448">
        <f t="shared" si="42"/>
        <v>4</v>
      </c>
      <c r="K203" s="449">
        <f t="shared" si="42"/>
        <v>5</v>
      </c>
      <c r="L203" s="449">
        <f t="shared" si="42"/>
        <v>5</v>
      </c>
      <c r="M203" s="449">
        <f t="shared" si="42"/>
        <v>5</v>
      </c>
      <c r="N203" s="450">
        <f t="shared" si="42"/>
        <v>3.6</v>
      </c>
      <c r="O203" s="447">
        <v>0</v>
      </c>
      <c r="P203" s="174"/>
      <c r="Q203" s="392">
        <f t="shared" ref="Q203:U204" si="43">Q202</f>
        <v>0.87644444444444447</v>
      </c>
      <c r="R203" s="393">
        <f t="shared" si="43"/>
        <v>0.75088954500719218</v>
      </c>
      <c r="S203" s="393">
        <f t="shared" si="43"/>
        <v>0.75088954500719218</v>
      </c>
      <c r="T203" s="393">
        <f t="shared" si="43"/>
        <v>0.75088954500719218</v>
      </c>
      <c r="U203" s="394">
        <f t="shared" si="43"/>
        <v>0.94890510948905105</v>
      </c>
      <c r="V203" s="175">
        <v>0</v>
      </c>
      <c r="W203" s="174"/>
      <c r="X203" s="392">
        <f t="shared" ref="X203:AB204" si="44">X202</f>
        <v>0.8666666666666667</v>
      </c>
      <c r="Y203" s="393">
        <f t="shared" si="44"/>
        <v>1</v>
      </c>
      <c r="Z203" s="393">
        <f t="shared" si="44"/>
        <v>1</v>
      </c>
      <c r="AA203" s="393">
        <f t="shared" si="44"/>
        <v>1</v>
      </c>
      <c r="AB203" s="394">
        <f t="shared" si="44"/>
        <v>0.84952380952380946</v>
      </c>
      <c r="AC203" s="175">
        <v>0</v>
      </c>
      <c r="AD203" s="76"/>
      <c r="AE203" s="442"/>
      <c r="AF203" s="442"/>
      <c r="AG203" s="76"/>
      <c r="AH203" s="76"/>
      <c r="AI203" s="76"/>
      <c r="AJ203" s="76"/>
      <c r="AK203" s="76"/>
      <c r="AL203" s="76"/>
      <c r="AM203" s="76"/>
      <c r="AN203" s="73"/>
      <c r="AO203" s="57"/>
      <c r="AP203" s="45"/>
      <c r="AQ203" s="45"/>
      <c r="AR203" s="45"/>
      <c r="AS203" s="441"/>
      <c r="AT203" s="441"/>
      <c r="AV203" s="173">
        <v>65</v>
      </c>
      <c r="AW203" s="443">
        <f t="array" aca="1" ref="AW203" ca="1">AW217*AW230*INDEX($BA$183:$BA$190,AW$207,1)*$AV203*AW$195</f>
        <v>144.52612556023351</v>
      </c>
      <c r="AX203" s="443">
        <f t="array" aca="1" ref="AX203" ca="1">AX217*AX230*INDEX($BA$183:$BA$190,AX$207,1)*$AV203*AX$195</f>
        <v>0</v>
      </c>
      <c r="AY203" s="443">
        <f t="array" aca="1" ref="AY203" ca="1">AY217*AY230*INDEX($BA$183:$BA$190,AY$207,1)*$AV203*AY$195</f>
        <v>0</v>
      </c>
      <c r="AZ203" s="443">
        <f t="array" aca="1" ref="AZ203" ca="1">AZ217*AZ230*INDEX($BA$183:$BA$190,AZ$207,1)*$AV203*AZ$195</f>
        <v>100.08512685908615</v>
      </c>
      <c r="BA203" s="443">
        <f t="array" aca="1" ref="BA203" ca="1">BA217*BA230*INDEX($BA$183:$BA$190,BA$207,1)</f>
        <v>103.34061503440209</v>
      </c>
      <c r="BB203" s="443">
        <f t="array" aca="1" ref="BB203" ca="1">BB217*BB230*INDEX($BA$183:$BA$190,BB$207,1)</f>
        <v>121.61290322580645</v>
      </c>
      <c r="BC203" s="443">
        <f t="array" aca="1" ref="BC203" ca="1">BC217*BC230*INDEX($BA$183:$BA$190,BC$207,1)*$AV203*BC$195</f>
        <v>100.08512685908615</v>
      </c>
      <c r="BD203" s="443">
        <f t="array" aca="1" ref="BD203" ca="1">BD217*BD230*INDEX($BA$183:$BA$190,BD$207,1)*$AV203*BD$195</f>
        <v>27.231750000000002</v>
      </c>
    </row>
    <row r="204" spans="1:56" outlineLevel="3" x14ac:dyDescent="0.25">
      <c r="A204" s="45"/>
      <c r="B204" s="54"/>
      <c r="C204" s="87">
        <f t="shared" si="40"/>
        <v>4</v>
      </c>
      <c r="D204" s="73"/>
      <c r="E204" s="70">
        <f t="shared" si="41"/>
        <v>0</v>
      </c>
      <c r="F204" s="70">
        <f t="shared" si="41"/>
        <v>0</v>
      </c>
      <c r="G204" s="73"/>
      <c r="H204" s="76"/>
      <c r="I204" s="173">
        <f t="shared" si="42"/>
        <v>31.1</v>
      </c>
      <c r="J204" s="451">
        <f t="shared" si="42"/>
        <v>4</v>
      </c>
      <c r="K204" s="452">
        <f t="shared" si="42"/>
        <v>5</v>
      </c>
      <c r="L204" s="452">
        <f t="shared" si="42"/>
        <v>5</v>
      </c>
      <c r="M204" s="452">
        <f t="shared" si="42"/>
        <v>5</v>
      </c>
      <c r="N204" s="453">
        <f t="shared" si="42"/>
        <v>3.6</v>
      </c>
      <c r="O204" s="447">
        <v>0</v>
      </c>
      <c r="P204" s="174"/>
      <c r="Q204" s="395">
        <f t="shared" si="43"/>
        <v>0.87644444444444447</v>
      </c>
      <c r="R204" s="396">
        <f t="shared" si="43"/>
        <v>0.75088954500719218</v>
      </c>
      <c r="S204" s="396">
        <f t="shared" si="43"/>
        <v>0.75088954500719218</v>
      </c>
      <c r="T204" s="396">
        <f t="shared" si="43"/>
        <v>0.75088954500719218</v>
      </c>
      <c r="U204" s="397">
        <f t="shared" si="43"/>
        <v>0.94890510948905105</v>
      </c>
      <c r="V204" s="175">
        <v>0</v>
      </c>
      <c r="W204" s="174"/>
      <c r="X204" s="395">
        <f t="shared" si="44"/>
        <v>0.8666666666666667</v>
      </c>
      <c r="Y204" s="396">
        <f t="shared" si="44"/>
        <v>1</v>
      </c>
      <c r="Z204" s="396">
        <f t="shared" si="44"/>
        <v>1</v>
      </c>
      <c r="AA204" s="396">
        <f t="shared" si="44"/>
        <v>1</v>
      </c>
      <c r="AB204" s="397">
        <f t="shared" si="44"/>
        <v>0.84952380952380946</v>
      </c>
      <c r="AC204" s="175">
        <v>0</v>
      </c>
      <c r="AD204" s="76"/>
      <c r="AE204" s="442"/>
      <c r="AF204" s="442"/>
      <c r="AG204" s="76"/>
      <c r="AH204" s="76"/>
      <c r="AI204" s="76"/>
      <c r="AJ204" s="76"/>
      <c r="AK204" s="76"/>
      <c r="AL204" s="76"/>
      <c r="AM204" s="76"/>
      <c r="AN204" s="73"/>
      <c r="AO204" s="57"/>
      <c r="AP204" s="45"/>
      <c r="AQ204" s="45"/>
      <c r="AR204" s="45"/>
      <c r="AS204" s="441"/>
      <c r="AT204" s="441"/>
      <c r="AV204" s="173">
        <v>70</v>
      </c>
      <c r="AW204" s="443">
        <f t="array" aca="1" ref="AW204" ca="1">AW218*AW231*INDEX($BA$183:$BA$190,AW$207,1)*$AV204*AW$195</f>
        <v>155.64351983409762</v>
      </c>
      <c r="AX204" s="443">
        <f t="array" aca="1" ref="AX204" ca="1">AX218*AX231*INDEX($BA$183:$BA$190,AX$207,1)*$AV204*AX$195</f>
        <v>0</v>
      </c>
      <c r="AY204" s="443">
        <f t="array" aca="1" ref="AY204" ca="1">AY218*AY231*INDEX($BA$183:$BA$190,AY$207,1)*$AV204*AY$195</f>
        <v>0</v>
      </c>
      <c r="AZ204" s="443">
        <f t="array" aca="1" ref="AZ204" ca="1">AZ218*AZ231*INDEX($BA$183:$BA$190,AZ$207,1)*$AV204*AZ$195</f>
        <v>107.78398277132355</v>
      </c>
      <c r="BA204" s="443">
        <f t="array" aca="1" ref="BA204" ca="1">BA218*BA231*INDEX($BA$183:$BA$190,BA$207,1)</f>
        <v>103.34061503440209</v>
      </c>
      <c r="BB204" s="443">
        <f t="array" aca="1" ref="BB204" ca="1">BB218*BB231*INDEX($BA$183:$BA$190,BB$207,1)</f>
        <v>121.61290322580645</v>
      </c>
      <c r="BC204" s="443">
        <f t="array" aca="1" ref="BC204" ca="1">BC218*BC231*INDEX($BA$183:$BA$190,BC$207,1)*$AV204*BC$195</f>
        <v>107.78398277132355</v>
      </c>
      <c r="BD204" s="443">
        <f t="array" aca="1" ref="BD204" ca="1">BD218*BD231*INDEX($BA$183:$BA$190,BD$207,1)*$AV204*BD$195</f>
        <v>29.326499999999999</v>
      </c>
    </row>
    <row r="205" spans="1:56" outlineLevel="3" x14ac:dyDescent="0.25">
      <c r="A205" s="45"/>
      <c r="B205" s="54"/>
      <c r="C205" s="87">
        <f t="shared" si="40"/>
        <v>4</v>
      </c>
      <c r="D205" s="73"/>
      <c r="E205" s="70">
        <f t="shared" si="41"/>
        <v>0</v>
      </c>
      <c r="F205" s="70">
        <f t="shared" si="41"/>
        <v>0</v>
      </c>
      <c r="G205" s="73"/>
      <c r="H205" s="76"/>
      <c r="I205" s="96">
        <v>1000</v>
      </c>
      <c r="J205" s="454">
        <v>0</v>
      </c>
      <c r="K205" s="454">
        <v>0</v>
      </c>
      <c r="L205" s="454">
        <v>0</v>
      </c>
      <c r="M205" s="454">
        <v>0</v>
      </c>
      <c r="N205" s="454">
        <v>0</v>
      </c>
      <c r="O205" s="455">
        <v>0</v>
      </c>
      <c r="P205" s="76"/>
      <c r="Q205" s="388">
        <v>0</v>
      </c>
      <c r="R205" s="388">
        <v>0</v>
      </c>
      <c r="S205" s="388">
        <v>0</v>
      </c>
      <c r="T205" s="388">
        <v>0</v>
      </c>
      <c r="U205" s="388">
        <v>0</v>
      </c>
      <c r="V205" s="79">
        <v>0</v>
      </c>
      <c r="W205" s="76"/>
      <c r="X205" s="388">
        <v>0</v>
      </c>
      <c r="Y205" s="388">
        <v>0</v>
      </c>
      <c r="Z205" s="388">
        <v>0</v>
      </c>
      <c r="AA205" s="388">
        <v>0</v>
      </c>
      <c r="AB205" s="388">
        <v>0</v>
      </c>
      <c r="AC205" s="79">
        <v>0</v>
      </c>
      <c r="AD205" s="76"/>
      <c r="AE205" s="76"/>
      <c r="AF205" s="76"/>
      <c r="AG205" s="76"/>
      <c r="AH205" s="76"/>
      <c r="AI205" s="76"/>
      <c r="AJ205" s="76"/>
      <c r="AK205" s="76"/>
      <c r="AL205" s="76"/>
      <c r="AM205" s="76"/>
      <c r="AN205" s="73"/>
      <c r="AO205" s="57"/>
      <c r="AP205" s="45"/>
      <c r="AQ205" s="45"/>
      <c r="AR205" s="45"/>
      <c r="AS205" s="441"/>
      <c r="AT205" s="441"/>
    </row>
    <row r="206" spans="1:56" outlineLevel="2" x14ac:dyDescent="0.25">
      <c r="A206" s="45"/>
      <c r="B206" s="54"/>
      <c r="C206" s="87">
        <f>INT($C$167)+2</f>
        <v>3</v>
      </c>
      <c r="D206" s="73"/>
      <c r="E206" s="70">
        <v>1</v>
      </c>
      <c r="F206" s="70">
        <f>E206</f>
        <v>1</v>
      </c>
      <c r="G206" s="73"/>
      <c r="H206" s="96" t="str">
        <f>INDEX($H$183:$H$190,$E206+1,1)</f>
        <v>empty grid (1)</v>
      </c>
      <c r="I206" s="173">
        <v>10</v>
      </c>
      <c r="J206" s="444">
        <v>1</v>
      </c>
      <c r="K206" s="445">
        <v>2</v>
      </c>
      <c r="L206" s="445">
        <v>2</v>
      </c>
      <c r="M206" s="445">
        <v>2</v>
      </c>
      <c r="N206" s="446">
        <v>1</v>
      </c>
      <c r="O206" s="447">
        <v>0</v>
      </c>
      <c r="P206" s="174"/>
      <c r="Q206" s="389">
        <v>0.85133333333333328</v>
      </c>
      <c r="R206" s="390">
        <v>0.70809675221439938</v>
      </c>
      <c r="S206" s="390">
        <v>0.70809675221439938</v>
      </c>
      <c r="T206" s="390">
        <v>0.70809675221439938</v>
      </c>
      <c r="U206" s="391">
        <v>0.95133819951338194</v>
      </c>
      <c r="V206" s="175">
        <v>0</v>
      </c>
      <c r="W206" s="174"/>
      <c r="X206" s="389">
        <v>0.88462809917355367</v>
      </c>
      <c r="Y206" s="390">
        <v>1</v>
      </c>
      <c r="Z206" s="390">
        <v>1</v>
      </c>
      <c r="AA206" s="390">
        <v>1</v>
      </c>
      <c r="AB206" s="391">
        <v>0.89564738292011015</v>
      </c>
      <c r="AC206" s="175">
        <v>0</v>
      </c>
      <c r="AD206" s="76"/>
      <c r="AE206" s="76"/>
      <c r="AF206" s="76"/>
      <c r="AG206" s="76"/>
      <c r="AH206" s="76"/>
      <c r="AI206" s="76"/>
      <c r="AJ206" s="76"/>
      <c r="AK206" s="76"/>
      <c r="AL206" s="76"/>
      <c r="AM206" s="76"/>
      <c r="AN206" s="73"/>
      <c r="AO206" s="57"/>
      <c r="AP206" s="45"/>
      <c r="AQ206" s="45"/>
      <c r="AR206" s="45"/>
      <c r="AS206" s="441"/>
      <c r="AT206" s="441"/>
    </row>
    <row r="207" spans="1:56" outlineLevel="3" x14ac:dyDescent="0.25">
      <c r="A207" s="45"/>
      <c r="B207" s="54"/>
      <c r="C207" s="87">
        <f t="shared" ref="C207:C213" si="45">INT($C$167)+3</f>
        <v>4</v>
      </c>
      <c r="D207" s="73"/>
      <c r="E207" s="70"/>
      <c r="F207" s="70">
        <f t="shared" ref="F207:F213" si="46">F206</f>
        <v>1</v>
      </c>
      <c r="G207" s="73"/>
      <c r="H207" s="176" t="str">
        <f>INDEX($M$175:$M$177,INDEX(i_salep_price_type_s7,$F207+1,1)+1,1)&amp;INDEX($L$175:$L$177,INDEX(ia_s8_s7,$F207+1,1)+1,1)</f>
        <v>$/kg DW, DW - Fat score</v>
      </c>
      <c r="I207" s="173">
        <v>16.100000000000001</v>
      </c>
      <c r="J207" s="448">
        <v>3</v>
      </c>
      <c r="K207" s="449">
        <v>5.5</v>
      </c>
      <c r="L207" s="449">
        <v>5.5</v>
      </c>
      <c r="M207" s="449">
        <v>5.5</v>
      </c>
      <c r="N207" s="450">
        <v>3</v>
      </c>
      <c r="O207" s="447">
        <v>0</v>
      </c>
      <c r="P207" s="174"/>
      <c r="Q207" s="392">
        <v>0.95733333333333326</v>
      </c>
      <c r="R207" s="393">
        <v>1</v>
      </c>
      <c r="S207" s="393">
        <v>1</v>
      </c>
      <c r="T207" s="393">
        <v>1</v>
      </c>
      <c r="U207" s="394">
        <v>0.95133819951338194</v>
      </c>
      <c r="V207" s="175">
        <v>0</v>
      </c>
      <c r="W207" s="174"/>
      <c r="X207" s="392">
        <v>0.8040891961755271</v>
      </c>
      <c r="Y207" s="393">
        <v>1</v>
      </c>
      <c r="Z207" s="393">
        <v>1</v>
      </c>
      <c r="AA207" s="393">
        <v>1</v>
      </c>
      <c r="AB207" s="394">
        <v>0.76100470273132148</v>
      </c>
      <c r="AC207" s="175">
        <v>0</v>
      </c>
      <c r="AD207" s="76"/>
      <c r="AE207" s="76"/>
      <c r="AF207" s="76"/>
      <c r="AG207" s="76"/>
      <c r="AH207" s="76"/>
      <c r="AI207" s="76"/>
      <c r="AJ207" s="76"/>
      <c r="AK207" s="76"/>
      <c r="AL207" s="76"/>
      <c r="AM207" s="76"/>
      <c r="AN207" s="73"/>
      <c r="AO207" s="57"/>
      <c r="AP207" s="45"/>
      <c r="AQ207" s="45"/>
      <c r="AR207" s="45"/>
      <c r="AS207" s="441"/>
      <c r="AT207" s="441"/>
      <c r="AW207">
        <v>1</v>
      </c>
      <c r="AX207">
        <v>2</v>
      </c>
      <c r="AY207">
        <v>3</v>
      </c>
      <c r="AZ207">
        <v>4</v>
      </c>
      <c r="BA207">
        <v>5</v>
      </c>
      <c r="BB207">
        <v>6</v>
      </c>
      <c r="BC207">
        <v>7</v>
      </c>
      <c r="BD207">
        <v>8</v>
      </c>
    </row>
    <row r="208" spans="1:56" outlineLevel="3" x14ac:dyDescent="0.25">
      <c r="A208" s="45"/>
      <c r="B208" s="54"/>
      <c r="C208" s="87">
        <f t="shared" si="45"/>
        <v>4</v>
      </c>
      <c r="D208" s="73"/>
      <c r="E208" s="70"/>
      <c r="F208" s="70">
        <f t="shared" si="46"/>
        <v>1</v>
      </c>
      <c r="G208" s="73"/>
      <c r="H208" s="97" t="s">
        <v>2576</v>
      </c>
      <c r="I208" s="173">
        <v>18.100000000000001</v>
      </c>
      <c r="J208" s="448">
        <v>5</v>
      </c>
      <c r="K208" s="449">
        <v>6</v>
      </c>
      <c r="L208" s="449">
        <v>6</v>
      </c>
      <c r="M208" s="449">
        <v>6</v>
      </c>
      <c r="N208" s="450">
        <v>5</v>
      </c>
      <c r="O208" s="447">
        <v>0</v>
      </c>
      <c r="P208" s="174"/>
      <c r="Q208" s="392">
        <v>0.92261111111111116</v>
      </c>
      <c r="R208" s="393">
        <v>0.87592003768474347</v>
      </c>
      <c r="S208" s="393">
        <v>0.87592003768474347</v>
      </c>
      <c r="T208" s="393">
        <v>0.87592003768474347</v>
      </c>
      <c r="U208" s="394">
        <v>0.95133819951338194</v>
      </c>
      <c r="V208" s="175">
        <v>0</v>
      </c>
      <c r="W208" s="174"/>
      <c r="X208" s="392">
        <v>0.69242982478276593</v>
      </c>
      <c r="Y208" s="393">
        <v>1</v>
      </c>
      <c r="Z208" s="393">
        <v>1</v>
      </c>
      <c r="AA208" s="393">
        <v>1</v>
      </c>
      <c r="AB208" s="394">
        <v>0.63046029222499811</v>
      </c>
      <c r="AC208" s="175">
        <v>0</v>
      </c>
      <c r="AD208" s="76"/>
      <c r="AE208" s="76"/>
      <c r="AF208" s="76"/>
      <c r="AG208" s="76"/>
      <c r="AH208" s="76"/>
      <c r="AI208" s="76"/>
      <c r="AJ208" s="76"/>
      <c r="AK208" s="76"/>
      <c r="AL208" s="76"/>
      <c r="AM208" s="76"/>
      <c r="AN208" s="73"/>
      <c r="AO208" s="57"/>
      <c r="AP208" s="45"/>
      <c r="AQ208" s="45"/>
      <c r="AR208" s="45"/>
      <c r="AS208" s="441"/>
      <c r="AT208" s="441" t="s">
        <v>2799</v>
      </c>
      <c r="AW208" s="439" t="str">
        <f t="array" ref="AW208:BD208">TRANSPOSE(AV183:AV190)</f>
        <v>Lamb grid (0)</v>
      </c>
      <c r="AX208" s="439" t="str">
        <v>empty grid (1)</v>
      </c>
      <c r="AY208" s="439" t="str">
        <v>empty grid (2)</v>
      </c>
      <c r="AZ208" s="439" t="str">
        <v>Yearling grid (3)</v>
      </c>
      <c r="BA208" s="439" t="str">
        <v>Export wether grid (4)</v>
      </c>
      <c r="BB208" s="440" t="str">
        <v>Breeder grid (5)</v>
      </c>
      <c r="BC208" s="440" t="str">
        <v>Mutton grid (6)</v>
      </c>
      <c r="BD208" s="440" t="str">
        <v>Ram grid (7)</v>
      </c>
    </row>
    <row r="209" spans="1:56" outlineLevel="3" x14ac:dyDescent="0.25">
      <c r="A209" s="45"/>
      <c r="B209" s="54"/>
      <c r="C209" s="87">
        <f t="shared" si="45"/>
        <v>4</v>
      </c>
      <c r="D209" s="73"/>
      <c r="E209" s="70"/>
      <c r="F209" s="70">
        <f t="shared" si="46"/>
        <v>1</v>
      </c>
      <c r="G209" s="73"/>
      <c r="H209" s="76"/>
      <c r="I209" s="173">
        <v>28.1</v>
      </c>
      <c r="J209" s="448">
        <v>5.2</v>
      </c>
      <c r="K209" s="449">
        <v>6.8</v>
      </c>
      <c r="L209" s="449">
        <v>6.8</v>
      </c>
      <c r="M209" s="449">
        <v>6.8</v>
      </c>
      <c r="N209" s="450">
        <v>5.2</v>
      </c>
      <c r="O209" s="447">
        <v>0</v>
      </c>
      <c r="P209" s="174"/>
      <c r="Q209" s="392">
        <v>0.92261111111111116</v>
      </c>
      <c r="R209" s="393">
        <v>0.87592003768474347</v>
      </c>
      <c r="S209" s="393">
        <v>0.87592003768474347</v>
      </c>
      <c r="T209" s="393">
        <v>0.87592003768474347</v>
      </c>
      <c r="U209" s="394">
        <v>0.95133819951338194</v>
      </c>
      <c r="V209" s="175">
        <v>0</v>
      </c>
      <c r="W209" s="174"/>
      <c r="X209" s="392">
        <v>0.76440403426850423</v>
      </c>
      <c r="Y209" s="393">
        <v>1</v>
      </c>
      <c r="Z209" s="393">
        <v>1</v>
      </c>
      <c r="AA209" s="393">
        <v>1</v>
      </c>
      <c r="AB209" s="394">
        <v>0.71534869594928063</v>
      </c>
      <c r="AC209" s="175">
        <v>0</v>
      </c>
      <c r="AD209" s="76"/>
      <c r="AE209" s="76"/>
      <c r="AF209" s="76"/>
      <c r="AG209" s="76"/>
      <c r="AH209" s="76"/>
      <c r="AI209" s="76"/>
      <c r="AJ209" s="76"/>
      <c r="AK209" s="76"/>
      <c r="AL209" s="76"/>
      <c r="AM209" s="76"/>
      <c r="AN209" s="73"/>
      <c r="AO209" s="57"/>
      <c r="AP209" s="45"/>
      <c r="AQ209" s="45"/>
      <c r="AR209" s="45"/>
      <c r="AS209" s="441"/>
      <c r="AT209" s="441"/>
      <c r="AW209" s="437">
        <v>0.44</v>
      </c>
      <c r="AX209" s="437">
        <v>0.42</v>
      </c>
      <c r="AY209" s="437">
        <v>0.42</v>
      </c>
      <c r="AZ209" s="437">
        <v>0.42</v>
      </c>
      <c r="BA209" s="437">
        <v>1</v>
      </c>
      <c r="BB209" s="437">
        <v>1</v>
      </c>
      <c r="BC209" s="437">
        <v>0.42</v>
      </c>
      <c r="BD209" s="437">
        <v>0.42</v>
      </c>
    </row>
    <row r="210" spans="1:56" outlineLevel="3" x14ac:dyDescent="0.25">
      <c r="A210" s="45"/>
      <c r="B210" s="54"/>
      <c r="C210" s="87">
        <f t="shared" si="45"/>
        <v>4</v>
      </c>
      <c r="D210" s="73"/>
      <c r="E210" s="70"/>
      <c r="F210" s="70">
        <f t="shared" si="46"/>
        <v>1</v>
      </c>
      <c r="G210" s="73"/>
      <c r="H210" s="76"/>
      <c r="I210" s="173">
        <v>31.1</v>
      </c>
      <c r="J210" s="448">
        <v>5</v>
      </c>
      <c r="K210" s="449">
        <v>6.6</v>
      </c>
      <c r="L210" s="449">
        <v>6.6</v>
      </c>
      <c r="M210" s="449">
        <v>6.6</v>
      </c>
      <c r="N210" s="450">
        <v>5</v>
      </c>
      <c r="O210" s="447">
        <v>0</v>
      </c>
      <c r="P210" s="174"/>
      <c r="Q210" s="392">
        <v>0.87644444444444447</v>
      </c>
      <c r="R210" s="393">
        <v>0.75088954500719218</v>
      </c>
      <c r="S210" s="393">
        <v>0.75088954500719218</v>
      </c>
      <c r="T210" s="393">
        <v>0.75088954500719218</v>
      </c>
      <c r="U210" s="394">
        <v>0.94890510948905105</v>
      </c>
      <c r="V210" s="175">
        <v>0</v>
      </c>
      <c r="W210" s="174"/>
      <c r="X210" s="392">
        <v>0.8666666666666667</v>
      </c>
      <c r="Y210" s="393">
        <v>1</v>
      </c>
      <c r="Z210" s="393">
        <v>1</v>
      </c>
      <c r="AA210" s="393">
        <v>1</v>
      </c>
      <c r="AB210" s="394">
        <v>0.84952380952380946</v>
      </c>
      <c r="AC210" s="175">
        <v>0</v>
      </c>
      <c r="AD210" s="76"/>
      <c r="AE210" s="76"/>
      <c r="AF210" s="76"/>
      <c r="AG210" s="76"/>
      <c r="AH210" s="76"/>
      <c r="AI210" s="76"/>
      <c r="AJ210" s="76"/>
      <c r="AK210" s="76"/>
      <c r="AL210" s="76"/>
      <c r="AM210" s="76"/>
      <c r="AN210" s="73"/>
      <c r="AO210" s="57"/>
      <c r="AP210" s="45"/>
      <c r="AQ210" s="45"/>
      <c r="AR210" s="45"/>
      <c r="AS210" s="441"/>
      <c r="AT210" s="441"/>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45"/>
        <v>4</v>
      </c>
      <c r="D211" s="73"/>
      <c r="E211" s="70"/>
      <c r="F211" s="70">
        <f t="shared" si="46"/>
        <v>1</v>
      </c>
      <c r="G211" s="73"/>
      <c r="H211" s="76"/>
      <c r="I211" s="173">
        <f>I210</f>
        <v>31.1</v>
      </c>
      <c r="J211" s="448">
        <v>5</v>
      </c>
      <c r="K211" s="449">
        <v>6</v>
      </c>
      <c r="L211" s="449">
        <v>6</v>
      </c>
      <c r="M211" s="449">
        <v>6</v>
      </c>
      <c r="N211" s="450">
        <v>5</v>
      </c>
      <c r="O211" s="447">
        <v>0</v>
      </c>
      <c r="P211" s="174"/>
      <c r="Q211" s="392">
        <v>0.87644444444444447</v>
      </c>
      <c r="R211" s="393">
        <v>0.75088954500719218</v>
      </c>
      <c r="S211" s="393">
        <v>0.75088954500719218</v>
      </c>
      <c r="T211" s="393">
        <v>0.75088954500719218</v>
      </c>
      <c r="U211" s="394">
        <v>0.94890510948905105</v>
      </c>
      <c r="V211" s="175">
        <v>0</v>
      </c>
      <c r="W211" s="174"/>
      <c r="X211" s="392">
        <v>0.8666666666666667</v>
      </c>
      <c r="Y211" s="393">
        <v>1</v>
      </c>
      <c r="Z211" s="393">
        <v>1</v>
      </c>
      <c r="AA211" s="393">
        <v>1</v>
      </c>
      <c r="AB211" s="394">
        <v>0.84952380952380946</v>
      </c>
      <c r="AC211" s="175">
        <v>0</v>
      </c>
      <c r="AD211" s="76"/>
      <c r="AE211" s="76"/>
      <c r="AF211" s="76"/>
      <c r="AG211" s="76"/>
      <c r="AH211" s="76"/>
      <c r="AI211" s="76"/>
      <c r="AJ211" s="76"/>
      <c r="AK211" s="76"/>
      <c r="AL211" s="76"/>
      <c r="AM211" s="76"/>
      <c r="AN211" s="73"/>
      <c r="AO211" s="57"/>
      <c r="AP211" s="45"/>
      <c r="AQ211" s="45"/>
      <c r="AR211" s="45"/>
      <c r="AS211" s="441"/>
      <c r="AT211" s="441"/>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45"/>
        <v>4</v>
      </c>
      <c r="D212" s="73"/>
      <c r="E212" s="70"/>
      <c r="F212" s="70">
        <f t="shared" si="46"/>
        <v>1</v>
      </c>
      <c r="G212" s="73"/>
      <c r="H212" s="76"/>
      <c r="I212" s="173">
        <f>I211</f>
        <v>31.1</v>
      </c>
      <c r="J212" s="451">
        <v>4.8</v>
      </c>
      <c r="K212" s="452">
        <v>5.8</v>
      </c>
      <c r="L212" s="452">
        <v>5.8</v>
      </c>
      <c r="M212" s="452">
        <v>5.8</v>
      </c>
      <c r="N212" s="453">
        <v>4.8</v>
      </c>
      <c r="O212" s="447">
        <v>0</v>
      </c>
      <c r="P212" s="174"/>
      <c r="Q212" s="395">
        <v>0.87644444444444447</v>
      </c>
      <c r="R212" s="396">
        <v>0.75088954500719218</v>
      </c>
      <c r="S212" s="396">
        <v>0.75088954500719218</v>
      </c>
      <c r="T212" s="396">
        <v>0.75088954500719218</v>
      </c>
      <c r="U212" s="397">
        <v>0.94890510948905105</v>
      </c>
      <c r="V212" s="175">
        <v>0</v>
      </c>
      <c r="W212" s="174"/>
      <c r="X212" s="395">
        <v>0.8666666666666667</v>
      </c>
      <c r="Y212" s="396">
        <v>1</v>
      </c>
      <c r="Z212" s="396">
        <v>1</v>
      </c>
      <c r="AA212" s="396">
        <v>1</v>
      </c>
      <c r="AB212" s="397">
        <v>0.84952380952380946</v>
      </c>
      <c r="AC212" s="175">
        <v>0</v>
      </c>
      <c r="AD212" s="76"/>
      <c r="AE212" s="76"/>
      <c r="AF212" s="76"/>
      <c r="AG212" s="76"/>
      <c r="AH212" s="76"/>
      <c r="AI212" s="76"/>
      <c r="AJ212" s="76"/>
      <c r="AK212" s="76"/>
      <c r="AL212" s="76"/>
      <c r="AM212" s="76"/>
      <c r="AN212" s="73"/>
      <c r="AO212" s="57"/>
      <c r="AP212" s="45"/>
      <c r="AQ212" s="45"/>
      <c r="AR212" s="45"/>
      <c r="AS212" s="441"/>
      <c r="AT212" s="441"/>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45"/>
        <v>4</v>
      </c>
      <c r="D213" s="73"/>
      <c r="E213" s="70"/>
      <c r="F213" s="70">
        <f t="shared" si="46"/>
        <v>1</v>
      </c>
      <c r="G213" s="73"/>
      <c r="H213" s="76"/>
      <c r="I213" s="96">
        <v>1000</v>
      </c>
      <c r="J213" s="454">
        <v>0</v>
      </c>
      <c r="K213" s="454">
        <v>0</v>
      </c>
      <c r="L213" s="454">
        <v>0</v>
      </c>
      <c r="M213" s="454">
        <v>0</v>
      </c>
      <c r="N213" s="454">
        <v>0</v>
      </c>
      <c r="O213" s="455">
        <v>0</v>
      </c>
      <c r="P213" s="76"/>
      <c r="Q213" s="388">
        <v>0</v>
      </c>
      <c r="R213" s="388">
        <v>0</v>
      </c>
      <c r="S213" s="388">
        <v>0</v>
      </c>
      <c r="T213" s="388">
        <v>0</v>
      </c>
      <c r="U213" s="388">
        <v>0</v>
      </c>
      <c r="V213" s="79">
        <v>0</v>
      </c>
      <c r="W213" s="76"/>
      <c r="X213" s="388">
        <v>0</v>
      </c>
      <c r="Y213" s="388">
        <v>0</v>
      </c>
      <c r="Z213" s="388">
        <v>0</v>
      </c>
      <c r="AA213" s="388">
        <v>0</v>
      </c>
      <c r="AB213" s="388">
        <v>0</v>
      </c>
      <c r="AC213" s="79">
        <v>0</v>
      </c>
      <c r="AD213" s="76"/>
      <c r="AE213" s="76"/>
      <c r="AF213" s="76"/>
      <c r="AG213" s="76"/>
      <c r="AH213" s="76"/>
      <c r="AI213" s="76"/>
      <c r="AJ213" s="76"/>
      <c r="AK213" s="76"/>
      <c r="AL213" s="76"/>
      <c r="AM213" s="76"/>
      <c r="AN213" s="73"/>
      <c r="AO213" s="57"/>
      <c r="AP213" s="45"/>
      <c r="AQ213" s="45"/>
      <c r="AR213" s="45"/>
      <c r="AS213" s="441"/>
      <c r="AT213" s="441"/>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4">
        <v>1</v>
      </c>
      <c r="K214" s="445">
        <v>2</v>
      </c>
      <c r="L214" s="445">
        <v>2</v>
      </c>
      <c r="M214" s="445">
        <v>2</v>
      </c>
      <c r="N214" s="446">
        <v>1</v>
      </c>
      <c r="O214" s="447">
        <v>0</v>
      </c>
      <c r="P214" s="174"/>
      <c r="Q214" s="389">
        <v>0.95733333333333326</v>
      </c>
      <c r="R214" s="390">
        <v>1</v>
      </c>
      <c r="S214" s="390">
        <v>1</v>
      </c>
      <c r="T214" s="390">
        <v>1</v>
      </c>
      <c r="U214" s="391">
        <v>0.95133819951338194</v>
      </c>
      <c r="V214" s="175">
        <v>0</v>
      </c>
      <c r="W214" s="174"/>
      <c r="X214" s="389">
        <v>0.88462809917355367</v>
      </c>
      <c r="Y214" s="390">
        <v>1</v>
      </c>
      <c r="Z214" s="390">
        <v>1</v>
      </c>
      <c r="AA214" s="390">
        <v>1</v>
      </c>
      <c r="AB214" s="391">
        <v>0.89564738292011015</v>
      </c>
      <c r="AC214" s="175">
        <v>0</v>
      </c>
      <c r="AD214" s="76"/>
      <c r="AE214" s="76"/>
      <c r="AF214" s="76"/>
      <c r="AG214" s="76"/>
      <c r="AH214" s="76"/>
      <c r="AI214" s="76"/>
      <c r="AJ214" s="76"/>
      <c r="AK214" s="76"/>
      <c r="AL214" s="76"/>
      <c r="AM214" s="76"/>
      <c r="AN214" s="73"/>
      <c r="AO214" s="57"/>
      <c r="AP214" s="45"/>
      <c r="AQ214" s="45"/>
      <c r="AR214" s="45"/>
      <c r="AS214" s="441"/>
      <c r="AT214" s="441"/>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47">INT($C$167)+3</f>
        <v>4</v>
      </c>
      <c r="D215" s="73"/>
      <c r="E215" s="70"/>
      <c r="F215" s="70">
        <f t="shared" ref="F215:F221" si="48">F214</f>
        <v>2</v>
      </c>
      <c r="G215" s="73"/>
      <c r="H215" s="176" t="str">
        <f>INDEX($M$175:$M$177,INDEX(i_salep_price_type_s7,$F215+1,1)+1,1)&amp;INDEX($L$175:$L$177,INDEX(ia_s8_s7,$F215+1,1)+1,1)</f>
        <v>$/kg DW, DW - Fat score</v>
      </c>
      <c r="I215" s="173">
        <v>16.100000000000001</v>
      </c>
      <c r="J215" s="448">
        <v>3</v>
      </c>
      <c r="K215" s="449">
        <v>5</v>
      </c>
      <c r="L215" s="449">
        <v>5</v>
      </c>
      <c r="M215" s="449">
        <v>5</v>
      </c>
      <c r="N215" s="450">
        <v>3</v>
      </c>
      <c r="O215" s="447">
        <v>0</v>
      </c>
      <c r="P215" s="174"/>
      <c r="Q215" s="392">
        <v>0.95733333333333326</v>
      </c>
      <c r="R215" s="393">
        <v>1</v>
      </c>
      <c r="S215" s="393">
        <v>1</v>
      </c>
      <c r="T215" s="393">
        <v>1</v>
      </c>
      <c r="U215" s="394">
        <v>0.95133819951338194</v>
      </c>
      <c r="V215" s="175">
        <v>0</v>
      </c>
      <c r="W215" s="174"/>
      <c r="X215" s="392">
        <v>0.8040891961755271</v>
      </c>
      <c r="Y215" s="393">
        <v>1</v>
      </c>
      <c r="Z215" s="393">
        <v>1</v>
      </c>
      <c r="AA215" s="393">
        <v>1</v>
      </c>
      <c r="AB215" s="394">
        <v>0.76100470273132148</v>
      </c>
      <c r="AC215" s="175">
        <v>0</v>
      </c>
      <c r="AD215" s="76"/>
      <c r="AE215" s="76"/>
      <c r="AF215" s="76"/>
      <c r="AG215" s="76"/>
      <c r="AH215" s="76"/>
      <c r="AI215" s="76"/>
      <c r="AJ215" s="76"/>
      <c r="AK215" s="76"/>
      <c r="AL215" s="76"/>
      <c r="AM215" s="76"/>
      <c r="AN215" s="73"/>
      <c r="AO215" s="57"/>
      <c r="AP215" s="45"/>
      <c r="AQ215" s="45"/>
      <c r="AR215" s="45"/>
      <c r="AS215" s="441"/>
      <c r="AT215" s="441"/>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47"/>
        <v>4</v>
      </c>
      <c r="D216" s="73"/>
      <c r="E216" s="70"/>
      <c r="F216" s="70">
        <f t="shared" si="48"/>
        <v>2</v>
      </c>
      <c r="G216" s="73"/>
      <c r="H216" s="97" t="s">
        <v>2576</v>
      </c>
      <c r="I216" s="173">
        <v>18.100000000000001</v>
      </c>
      <c r="J216" s="448">
        <v>4.5</v>
      </c>
      <c r="K216" s="449">
        <v>5.6</v>
      </c>
      <c r="L216" s="449">
        <v>5.6</v>
      </c>
      <c r="M216" s="449">
        <v>5.6</v>
      </c>
      <c r="N216" s="450">
        <v>4.5</v>
      </c>
      <c r="O216" s="447">
        <v>0</v>
      </c>
      <c r="P216" s="174"/>
      <c r="Q216" s="392">
        <v>0.95733333333333326</v>
      </c>
      <c r="R216" s="393">
        <v>1</v>
      </c>
      <c r="S216" s="393">
        <v>1</v>
      </c>
      <c r="T216" s="393">
        <v>1</v>
      </c>
      <c r="U216" s="394">
        <v>0.95133819951338194</v>
      </c>
      <c r="V216" s="175">
        <v>0</v>
      </c>
      <c r="W216" s="174"/>
      <c r="X216" s="392">
        <v>0.69242982478276593</v>
      </c>
      <c r="Y216" s="393">
        <v>1</v>
      </c>
      <c r="Z216" s="393">
        <v>1</v>
      </c>
      <c r="AA216" s="393">
        <v>1</v>
      </c>
      <c r="AB216" s="394">
        <v>0.63046029222499811</v>
      </c>
      <c r="AC216" s="175">
        <v>0</v>
      </c>
      <c r="AD216" s="76"/>
      <c r="AE216" s="76"/>
      <c r="AF216" s="76"/>
      <c r="AG216" s="76"/>
      <c r="AH216" s="76"/>
      <c r="AI216" s="76"/>
      <c r="AJ216" s="76"/>
      <c r="AK216" s="76"/>
      <c r="AL216" s="76"/>
      <c r="AM216" s="76"/>
      <c r="AN216" s="73"/>
      <c r="AO216" s="57"/>
      <c r="AP216" s="45"/>
      <c r="AQ216" s="45"/>
      <c r="AR216" s="45"/>
      <c r="AS216" s="441"/>
      <c r="AT216" s="441"/>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47"/>
        <v>4</v>
      </c>
      <c r="D217" s="73"/>
      <c r="E217" s="70"/>
      <c r="F217" s="70">
        <f t="shared" si="48"/>
        <v>2</v>
      </c>
      <c r="G217" s="73"/>
      <c r="H217" s="76"/>
      <c r="I217" s="173">
        <v>28.1</v>
      </c>
      <c r="J217" s="448">
        <v>5</v>
      </c>
      <c r="K217" s="449">
        <v>6.4</v>
      </c>
      <c r="L217" s="449">
        <v>6.4</v>
      </c>
      <c r="M217" s="449">
        <v>6.4</v>
      </c>
      <c r="N217" s="450">
        <v>5</v>
      </c>
      <c r="O217" s="447">
        <v>0</v>
      </c>
      <c r="P217" s="174"/>
      <c r="Q217" s="392">
        <v>0.92261111111111116</v>
      </c>
      <c r="R217" s="393">
        <v>0.87592003768474347</v>
      </c>
      <c r="S217" s="393">
        <v>0.87592003768474347</v>
      </c>
      <c r="T217" s="393">
        <v>0.87592003768474347</v>
      </c>
      <c r="U217" s="394">
        <v>0.95133819951338194</v>
      </c>
      <c r="V217" s="175">
        <v>0</v>
      </c>
      <c r="W217" s="174"/>
      <c r="X217" s="392">
        <v>0.76440403426850423</v>
      </c>
      <c r="Y217" s="393">
        <v>1</v>
      </c>
      <c r="Z217" s="393">
        <v>1</v>
      </c>
      <c r="AA217" s="393">
        <v>1</v>
      </c>
      <c r="AB217" s="394">
        <v>0.71534869594928063</v>
      </c>
      <c r="AC217" s="175">
        <v>0</v>
      </c>
      <c r="AD217" s="76"/>
      <c r="AE217" s="76"/>
      <c r="AF217" s="76"/>
      <c r="AG217" s="76"/>
      <c r="AH217" s="76"/>
      <c r="AI217" s="76"/>
      <c r="AJ217" s="76"/>
      <c r="AK217" s="76"/>
      <c r="AL217" s="76"/>
      <c r="AM217" s="76"/>
      <c r="AN217" s="73"/>
      <c r="AO217" s="57"/>
      <c r="AP217" s="45"/>
      <c r="AQ217" s="45"/>
      <c r="AR217" s="45"/>
      <c r="AS217" s="441"/>
      <c r="AT217" s="441"/>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47"/>
        <v>4</v>
      </c>
      <c r="D218" s="73"/>
      <c r="E218" s="70"/>
      <c r="F218" s="70">
        <f t="shared" si="48"/>
        <v>2</v>
      </c>
      <c r="G218" s="73"/>
      <c r="H218" s="76"/>
      <c r="I218" s="173">
        <v>31.1</v>
      </c>
      <c r="J218" s="448">
        <v>4.5999999999999996</v>
      </c>
      <c r="K218" s="449">
        <v>6.2</v>
      </c>
      <c r="L218" s="449">
        <v>6.2</v>
      </c>
      <c r="M218" s="449">
        <v>6.2</v>
      </c>
      <c r="N218" s="450">
        <v>4.5999999999999996</v>
      </c>
      <c r="O218" s="447">
        <v>0</v>
      </c>
      <c r="P218" s="174"/>
      <c r="Q218" s="392">
        <v>0.87644444444444447</v>
      </c>
      <c r="R218" s="393">
        <v>0.75088954500719218</v>
      </c>
      <c r="S218" s="393">
        <v>0.75088954500719218</v>
      </c>
      <c r="T218" s="393">
        <v>0.75088954500719218</v>
      </c>
      <c r="U218" s="394">
        <v>0.94890510948905105</v>
      </c>
      <c r="V218" s="175">
        <v>0</v>
      </c>
      <c r="W218" s="174"/>
      <c r="X218" s="392">
        <v>0.8666666666666667</v>
      </c>
      <c r="Y218" s="393">
        <v>1</v>
      </c>
      <c r="Z218" s="393">
        <v>1</v>
      </c>
      <c r="AA218" s="393">
        <v>1</v>
      </c>
      <c r="AB218" s="394">
        <v>0.84952380952380946</v>
      </c>
      <c r="AC218" s="175">
        <v>0</v>
      </c>
      <c r="AD218" s="76"/>
      <c r="AE218" s="76"/>
      <c r="AF218" s="76"/>
      <c r="AG218" s="76"/>
      <c r="AH218" s="76"/>
      <c r="AI218" s="76"/>
      <c r="AJ218" s="76"/>
      <c r="AK218" s="76"/>
      <c r="AL218" s="76"/>
      <c r="AM218" s="76"/>
      <c r="AN218" s="73"/>
      <c r="AO218" s="57"/>
      <c r="AP218" s="45"/>
      <c r="AQ218" s="45"/>
      <c r="AR218" s="45"/>
      <c r="AS218" s="441"/>
      <c r="AT218" s="441"/>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47"/>
        <v>4</v>
      </c>
      <c r="D219" s="73"/>
      <c r="E219" s="70"/>
      <c r="F219" s="70">
        <f t="shared" si="48"/>
        <v>2</v>
      </c>
      <c r="G219" s="73"/>
      <c r="H219" s="76"/>
      <c r="I219" s="173">
        <f>I218</f>
        <v>31.1</v>
      </c>
      <c r="J219" s="448">
        <v>4</v>
      </c>
      <c r="K219" s="449">
        <v>5.8</v>
      </c>
      <c r="L219" s="449">
        <v>5.8</v>
      </c>
      <c r="M219" s="449">
        <v>5.8</v>
      </c>
      <c r="N219" s="450">
        <v>4</v>
      </c>
      <c r="O219" s="447">
        <v>0</v>
      </c>
      <c r="P219" s="174"/>
      <c r="Q219" s="392">
        <v>0.87644444444444447</v>
      </c>
      <c r="R219" s="393">
        <v>0.75088954500719218</v>
      </c>
      <c r="S219" s="393">
        <v>0.75088954500719218</v>
      </c>
      <c r="T219" s="393">
        <v>0.75088954500719218</v>
      </c>
      <c r="U219" s="394">
        <v>0.94890510948905105</v>
      </c>
      <c r="V219" s="175">
        <v>0</v>
      </c>
      <c r="W219" s="174"/>
      <c r="X219" s="392">
        <v>0.8666666666666667</v>
      </c>
      <c r="Y219" s="393">
        <v>1</v>
      </c>
      <c r="Z219" s="393">
        <v>1</v>
      </c>
      <c r="AA219" s="393">
        <v>1</v>
      </c>
      <c r="AB219" s="394">
        <v>0.84952380952380946</v>
      </c>
      <c r="AC219" s="175">
        <v>0</v>
      </c>
      <c r="AD219" s="76"/>
      <c r="AE219" s="76"/>
      <c r="AF219" s="76"/>
      <c r="AG219" s="76"/>
      <c r="AH219" s="76"/>
      <c r="AI219" s="76"/>
      <c r="AJ219" s="76"/>
      <c r="AK219" s="76"/>
      <c r="AL219" s="76"/>
      <c r="AM219" s="76"/>
      <c r="AN219" s="73"/>
      <c r="AO219" s="57"/>
      <c r="AP219" s="45"/>
      <c r="AQ219" s="45"/>
      <c r="AR219" s="45"/>
      <c r="AS219" s="441"/>
      <c r="AT219" s="441"/>
    </row>
    <row r="220" spans="1:56" outlineLevel="3" x14ac:dyDescent="0.25">
      <c r="A220" s="45"/>
      <c r="B220" s="54"/>
      <c r="C220" s="87">
        <f t="shared" si="47"/>
        <v>4</v>
      </c>
      <c r="D220" s="73"/>
      <c r="E220" s="70"/>
      <c r="F220" s="70">
        <f t="shared" si="48"/>
        <v>2</v>
      </c>
      <c r="G220" s="73"/>
      <c r="H220" s="76"/>
      <c r="I220" s="173">
        <f>I219</f>
        <v>31.1</v>
      </c>
      <c r="J220" s="451">
        <v>4</v>
      </c>
      <c r="K220" s="452">
        <v>5.4</v>
      </c>
      <c r="L220" s="452">
        <v>5.4</v>
      </c>
      <c r="M220" s="452">
        <v>5.4</v>
      </c>
      <c r="N220" s="453">
        <v>4</v>
      </c>
      <c r="O220" s="447">
        <v>0</v>
      </c>
      <c r="P220" s="174"/>
      <c r="Q220" s="395">
        <v>0.87644444444444447</v>
      </c>
      <c r="R220" s="396">
        <v>0.75088954500719218</v>
      </c>
      <c r="S220" s="396">
        <v>0.75088954500719218</v>
      </c>
      <c r="T220" s="396">
        <v>0.75088954500719218</v>
      </c>
      <c r="U220" s="397">
        <v>0.94890510948905105</v>
      </c>
      <c r="V220" s="175">
        <v>0</v>
      </c>
      <c r="W220" s="174"/>
      <c r="X220" s="395">
        <v>0.8666666666666667</v>
      </c>
      <c r="Y220" s="396">
        <v>1</v>
      </c>
      <c r="Z220" s="396">
        <v>1</v>
      </c>
      <c r="AA220" s="396">
        <v>1</v>
      </c>
      <c r="AB220" s="397">
        <v>0.84952380952380946</v>
      </c>
      <c r="AC220" s="175">
        <v>0</v>
      </c>
      <c r="AD220" s="76"/>
      <c r="AE220" s="76"/>
      <c r="AF220" s="76"/>
      <c r="AG220" s="76"/>
      <c r="AH220" s="76"/>
      <c r="AI220" s="76"/>
      <c r="AJ220" s="76"/>
      <c r="AK220" s="76"/>
      <c r="AL220" s="76"/>
      <c r="AM220" s="76"/>
      <c r="AN220" s="73"/>
      <c r="AO220" s="57"/>
      <c r="AP220" s="45"/>
      <c r="AQ220" s="45"/>
      <c r="AR220" s="45"/>
      <c r="AS220" s="441"/>
      <c r="AT220" s="441"/>
      <c r="AW220">
        <v>1</v>
      </c>
      <c r="AX220">
        <v>2</v>
      </c>
      <c r="AY220">
        <v>3</v>
      </c>
      <c r="AZ220">
        <v>4</v>
      </c>
      <c r="BA220">
        <v>5</v>
      </c>
      <c r="BB220">
        <v>6</v>
      </c>
      <c r="BC220">
        <v>7</v>
      </c>
      <c r="BD220">
        <v>8</v>
      </c>
    </row>
    <row r="221" spans="1:56" outlineLevel="3" x14ac:dyDescent="0.25">
      <c r="A221" s="45"/>
      <c r="B221" s="54"/>
      <c r="C221" s="87">
        <f t="shared" si="47"/>
        <v>4</v>
      </c>
      <c r="D221" s="73"/>
      <c r="E221" s="70"/>
      <c r="F221" s="70">
        <f t="shared" si="48"/>
        <v>2</v>
      </c>
      <c r="G221" s="73"/>
      <c r="H221" s="76"/>
      <c r="I221" s="96">
        <v>1000</v>
      </c>
      <c r="J221" s="454">
        <v>0</v>
      </c>
      <c r="K221" s="454">
        <v>0</v>
      </c>
      <c r="L221" s="454">
        <v>0</v>
      </c>
      <c r="M221" s="454">
        <v>0</v>
      </c>
      <c r="N221" s="454">
        <v>0</v>
      </c>
      <c r="O221" s="455">
        <v>0</v>
      </c>
      <c r="P221" s="76"/>
      <c r="Q221" s="388">
        <v>0</v>
      </c>
      <c r="R221" s="388">
        <v>0</v>
      </c>
      <c r="S221" s="388">
        <v>0</v>
      </c>
      <c r="T221" s="388">
        <v>0</v>
      </c>
      <c r="U221" s="388">
        <v>0</v>
      </c>
      <c r="V221" s="79">
        <v>0</v>
      </c>
      <c r="W221" s="76"/>
      <c r="X221" s="388">
        <v>0</v>
      </c>
      <c r="Y221" s="388">
        <v>0</v>
      </c>
      <c r="Z221" s="388">
        <v>0</v>
      </c>
      <c r="AA221" s="388">
        <v>0</v>
      </c>
      <c r="AB221" s="388">
        <v>0</v>
      </c>
      <c r="AC221" s="79">
        <v>0</v>
      </c>
      <c r="AD221" s="76"/>
      <c r="AE221" s="76"/>
      <c r="AF221" s="76"/>
      <c r="AG221" s="76"/>
      <c r="AH221" s="76"/>
      <c r="AI221" s="76"/>
      <c r="AJ221" s="76"/>
      <c r="AK221" s="76"/>
      <c r="AL221" s="76"/>
      <c r="AM221" s="76"/>
      <c r="AN221" s="73"/>
      <c r="AO221" s="57"/>
      <c r="AP221" s="45"/>
      <c r="AQ221" s="45"/>
      <c r="AR221" s="45"/>
      <c r="AS221" s="441"/>
      <c r="AT221" s="441" t="s">
        <v>254</v>
      </c>
      <c r="AW221" s="439" t="str">
        <f t="array" ref="AW221:BD221">TRANSPOSE(AV183:AV190)</f>
        <v>Lamb grid (0)</v>
      </c>
      <c r="AX221" s="439" t="str">
        <v>empty grid (1)</v>
      </c>
      <c r="AY221" s="439" t="str">
        <v>empty grid (2)</v>
      </c>
      <c r="AZ221" s="439" t="str">
        <v>Yearling grid (3)</v>
      </c>
      <c r="BA221" s="439" t="str">
        <v>Export wether grid (4)</v>
      </c>
      <c r="BB221" s="440" t="str">
        <v>Breeder grid (5)</v>
      </c>
      <c r="BC221" s="440" t="str">
        <v>Mutton grid (6)</v>
      </c>
      <c r="BD221" s="440"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49">I246</f>
        <v>10.1</v>
      </c>
      <c r="J222" s="444">
        <f t="shared" si="49"/>
        <v>3</v>
      </c>
      <c r="K222" s="445">
        <f t="shared" si="49"/>
        <v>3</v>
      </c>
      <c r="L222" s="445">
        <f t="shared" si="49"/>
        <v>3</v>
      </c>
      <c r="M222" s="445">
        <f t="shared" si="49"/>
        <v>3</v>
      </c>
      <c r="N222" s="446">
        <f t="shared" si="49"/>
        <v>2</v>
      </c>
      <c r="O222" s="447">
        <v>0</v>
      </c>
      <c r="P222" s="174"/>
      <c r="Q222" s="389">
        <v>0.58834840541455213</v>
      </c>
      <c r="R222" s="390">
        <v>0.57692307692307687</v>
      </c>
      <c r="S222" s="390">
        <v>0.57692307692307687</v>
      </c>
      <c r="T222" s="390">
        <v>0.57692307692307687</v>
      </c>
      <c r="U222" s="391">
        <v>0.53708615552957462</v>
      </c>
      <c r="V222" s="175">
        <v>0</v>
      </c>
      <c r="W222" s="174"/>
      <c r="X222" s="389">
        <v>0.98058067569092011</v>
      </c>
      <c r="Y222" s="390">
        <v>1</v>
      </c>
      <c r="Z222" s="390">
        <v>1</v>
      </c>
      <c r="AA222" s="390">
        <v>1</v>
      </c>
      <c r="AB222" s="391">
        <v>0.71611487403943286</v>
      </c>
      <c r="AC222" s="175">
        <v>0</v>
      </c>
      <c r="AD222" s="76"/>
      <c r="AE222" s="76"/>
      <c r="AF222" s="76"/>
      <c r="AG222" s="76"/>
      <c r="AH222" s="76"/>
      <c r="AI222" s="76"/>
      <c r="AJ222" s="76"/>
      <c r="AK222" s="76"/>
      <c r="AL222" s="76"/>
      <c r="AM222" s="76"/>
      <c r="AN222" s="73"/>
      <c r="AO222" s="57"/>
      <c r="AP222" s="45"/>
      <c r="AQ222" s="45"/>
      <c r="AR222" s="45"/>
      <c r="AS222" s="441"/>
      <c r="AT222" s="441"/>
      <c r="AW222" s="437">
        <v>0.44</v>
      </c>
      <c r="AX222" s="437">
        <v>0.42</v>
      </c>
      <c r="AY222" s="437">
        <v>0.42</v>
      </c>
      <c r="AZ222" s="437">
        <v>0.42</v>
      </c>
      <c r="BA222" s="437">
        <v>1</v>
      </c>
      <c r="BB222" s="437">
        <v>1</v>
      </c>
      <c r="BC222" s="437">
        <v>0.42</v>
      </c>
      <c r="BD222" s="437">
        <v>0.42</v>
      </c>
    </row>
    <row r="223" spans="1:56" outlineLevel="3" x14ac:dyDescent="0.25">
      <c r="A223" s="45"/>
      <c r="B223" s="54"/>
      <c r="C223" s="87">
        <f t="shared" ref="C223:C229" si="50">INT($C$167)+3</f>
        <v>4</v>
      </c>
      <c r="D223" s="73"/>
      <c r="E223" s="70"/>
      <c r="F223" s="70">
        <f t="shared" ref="F223:F229" si="51">F222</f>
        <v>3</v>
      </c>
      <c r="G223" s="73"/>
      <c r="H223" s="176" t="str">
        <f>INDEX($M$175:$M$177,INDEX(i_salep_price_type_s7,$F223+1,1)+1,1)&amp;INDEX($L$175:$L$177,INDEX(ia_s8_s7,$F223+1,1)+1,1)</f>
        <v>$/kg DW, DW - Fat score</v>
      </c>
      <c r="I223" s="173">
        <f t="shared" si="49"/>
        <v>14.1</v>
      </c>
      <c r="J223" s="448">
        <f t="shared" si="49"/>
        <v>4.4000000000000004</v>
      </c>
      <c r="K223" s="449">
        <f t="shared" si="49"/>
        <v>4.4000000000000004</v>
      </c>
      <c r="L223" s="449">
        <f t="shared" si="49"/>
        <v>4.4000000000000004</v>
      </c>
      <c r="M223" s="449">
        <f t="shared" si="49"/>
        <v>4.4000000000000004</v>
      </c>
      <c r="N223" s="450">
        <f t="shared" si="49"/>
        <v>2</v>
      </c>
      <c r="O223" s="447">
        <v>0</v>
      </c>
      <c r="P223" s="174"/>
      <c r="Q223" s="392">
        <v>0.8629109946080098</v>
      </c>
      <c r="R223" s="393">
        <v>0.84615384615384615</v>
      </c>
      <c r="S223" s="393">
        <v>0.84615384615384615</v>
      </c>
      <c r="T223" s="393">
        <v>0.84615384615384615</v>
      </c>
      <c r="U223" s="394">
        <v>0.6504436355879909</v>
      </c>
      <c r="V223" s="175">
        <v>0</v>
      </c>
      <c r="W223" s="174"/>
      <c r="X223" s="392">
        <v>0.98058067569092011</v>
      </c>
      <c r="Y223" s="393">
        <v>1</v>
      </c>
      <c r="Z223" s="393">
        <v>1</v>
      </c>
      <c r="AA223" s="393">
        <v>1</v>
      </c>
      <c r="AB223" s="394">
        <v>0.59131239598908258</v>
      </c>
      <c r="AC223" s="175">
        <v>0</v>
      </c>
      <c r="AD223" s="76"/>
      <c r="AE223" s="76"/>
      <c r="AF223" s="76"/>
      <c r="AG223" s="76"/>
      <c r="AH223" s="76"/>
      <c r="AI223" s="76"/>
      <c r="AJ223" s="76"/>
      <c r="AK223" s="76"/>
      <c r="AL223" s="76"/>
      <c r="AM223" s="76"/>
      <c r="AN223" s="73"/>
      <c r="AO223" s="57"/>
      <c r="AP223" s="45"/>
      <c r="AQ223" s="45"/>
      <c r="AR223" s="45"/>
      <c r="AS223" s="441"/>
      <c r="AT223" s="441"/>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50"/>
        <v>4</v>
      </c>
      <c r="D224" s="73"/>
      <c r="E224" s="70"/>
      <c r="F224" s="70">
        <f t="shared" si="51"/>
        <v>3</v>
      </c>
      <c r="G224" s="73"/>
      <c r="H224" s="179" t="s">
        <v>256</v>
      </c>
      <c r="I224" s="173">
        <f t="shared" si="49"/>
        <v>18.100000000000001</v>
      </c>
      <c r="J224" s="448">
        <f t="shared" si="49"/>
        <v>5</v>
      </c>
      <c r="K224" s="449">
        <f t="shared" si="49"/>
        <v>5.2</v>
      </c>
      <c r="L224" s="449">
        <f t="shared" si="49"/>
        <v>5.2</v>
      </c>
      <c r="M224" s="449">
        <f t="shared" si="49"/>
        <v>5.2</v>
      </c>
      <c r="N224" s="450">
        <f t="shared" si="49"/>
        <v>4</v>
      </c>
      <c r="O224" s="447">
        <v>0</v>
      </c>
      <c r="P224" s="174"/>
      <c r="Q224" s="392">
        <v>1</v>
      </c>
      <c r="R224" s="393">
        <v>1</v>
      </c>
      <c r="S224" s="393">
        <v>1</v>
      </c>
      <c r="T224" s="393">
        <v>1</v>
      </c>
      <c r="U224" s="394">
        <v>1</v>
      </c>
      <c r="V224" s="175">
        <v>0</v>
      </c>
      <c r="W224" s="174"/>
      <c r="X224" s="392">
        <v>0.96153846153846145</v>
      </c>
      <c r="Y224" s="393">
        <v>1</v>
      </c>
      <c r="Z224" s="393">
        <v>1</v>
      </c>
      <c r="AA224" s="393">
        <v>1</v>
      </c>
      <c r="AB224" s="394">
        <v>0.76923076923076916</v>
      </c>
      <c r="AC224" s="175">
        <v>0</v>
      </c>
      <c r="AD224" s="76"/>
      <c r="AE224" s="76"/>
      <c r="AF224" s="76"/>
      <c r="AG224" s="76"/>
      <c r="AH224" s="76"/>
      <c r="AI224" s="76"/>
      <c r="AJ224" s="76"/>
      <c r="AK224" s="76"/>
      <c r="AL224" s="76"/>
      <c r="AM224" s="76"/>
      <c r="AN224" s="73"/>
      <c r="AO224" s="57"/>
      <c r="AP224" s="45"/>
      <c r="AQ224" s="45"/>
      <c r="AR224" s="45"/>
      <c r="AS224" s="441"/>
      <c r="AT224" s="441"/>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50"/>
        <v>4</v>
      </c>
      <c r="D225" s="73"/>
      <c r="E225" s="70"/>
      <c r="F225" s="70">
        <f t="shared" si="51"/>
        <v>3</v>
      </c>
      <c r="G225" s="73"/>
      <c r="H225" s="76"/>
      <c r="I225" s="173">
        <f t="shared" si="49"/>
        <v>35.1</v>
      </c>
      <c r="J225" s="448">
        <f t="shared" si="49"/>
        <v>4.5</v>
      </c>
      <c r="K225" s="449">
        <f t="shared" si="49"/>
        <v>4.9000000000000004</v>
      </c>
      <c r="L225" s="449">
        <f t="shared" si="49"/>
        <v>4.9000000000000004</v>
      </c>
      <c r="M225" s="449">
        <f t="shared" si="49"/>
        <v>4.9000000000000004</v>
      </c>
      <c r="N225" s="450">
        <f t="shared" si="49"/>
        <v>4</v>
      </c>
      <c r="O225" s="447">
        <v>0</v>
      </c>
      <c r="P225" s="174"/>
      <c r="Q225" s="392">
        <v>0.92091092027238064</v>
      </c>
      <c r="R225" s="393">
        <v>0.9423076923076924</v>
      </c>
      <c r="S225" s="393">
        <v>0.9423076923076924</v>
      </c>
      <c r="T225" s="393">
        <v>0.9423076923076924</v>
      </c>
      <c r="U225" s="394">
        <v>0.97072534339415095</v>
      </c>
      <c r="V225" s="175">
        <v>0</v>
      </c>
      <c r="W225" s="174"/>
      <c r="X225" s="392">
        <v>0.93970502068610262</v>
      </c>
      <c r="Y225" s="393">
        <v>1</v>
      </c>
      <c r="Z225" s="393">
        <v>1</v>
      </c>
      <c r="AA225" s="393">
        <v>1</v>
      </c>
      <c r="AB225" s="394">
        <v>0.79242885175032729</v>
      </c>
      <c r="AC225" s="175">
        <v>0</v>
      </c>
      <c r="AD225" s="76"/>
      <c r="AE225" s="76"/>
      <c r="AF225" s="76"/>
      <c r="AG225" s="76"/>
      <c r="AH225" s="76"/>
      <c r="AI225" s="76"/>
      <c r="AJ225" s="76"/>
      <c r="AK225" s="76"/>
      <c r="AL225" s="76"/>
      <c r="AM225" s="76"/>
      <c r="AN225" s="73"/>
      <c r="AO225" s="57"/>
      <c r="AP225" s="45"/>
      <c r="AQ225" s="45"/>
      <c r="AR225" s="45"/>
      <c r="AS225" s="441"/>
      <c r="AT225" s="441"/>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50"/>
        <v>4</v>
      </c>
      <c r="D226" s="73"/>
      <c r="E226" s="70"/>
      <c r="F226" s="70">
        <f t="shared" si="51"/>
        <v>3</v>
      </c>
      <c r="G226" s="73"/>
      <c r="H226" s="76"/>
      <c r="I226" s="173">
        <f t="shared" si="49"/>
        <v>40.1</v>
      </c>
      <c r="J226" s="448">
        <f t="shared" si="49"/>
        <v>4.4000000000000004</v>
      </c>
      <c r="K226" s="449">
        <f t="shared" si="49"/>
        <v>4.5999999999999996</v>
      </c>
      <c r="L226" s="449">
        <f t="shared" si="49"/>
        <v>4.5999999999999996</v>
      </c>
      <c r="M226" s="449">
        <f t="shared" si="49"/>
        <v>4.5999999999999996</v>
      </c>
      <c r="N226" s="450">
        <f t="shared" si="49"/>
        <v>4</v>
      </c>
      <c r="O226" s="447">
        <v>0</v>
      </c>
      <c r="P226" s="174"/>
      <c r="Q226" s="392">
        <v>0.88230467439628724</v>
      </c>
      <c r="R226" s="393">
        <v>0.88461538461538447</v>
      </c>
      <c r="S226" s="393">
        <v>0.88461538461538447</v>
      </c>
      <c r="T226" s="393">
        <v>0.88461538461538447</v>
      </c>
      <c r="U226" s="394">
        <v>0.94053994312596023</v>
      </c>
      <c r="V226" s="175">
        <v>0</v>
      </c>
      <c r="W226" s="174"/>
      <c r="X226" s="392">
        <v>0.9590268199959644</v>
      </c>
      <c r="Y226" s="393">
        <v>1</v>
      </c>
      <c r="Z226" s="393">
        <v>1</v>
      </c>
      <c r="AA226" s="393">
        <v>1</v>
      </c>
      <c r="AB226" s="394">
        <v>0.81786082010953065</v>
      </c>
      <c r="AC226" s="175">
        <v>0</v>
      </c>
      <c r="AD226" s="76"/>
      <c r="AE226" s="76"/>
      <c r="AF226" s="76"/>
      <c r="AG226" s="76"/>
      <c r="AH226" s="76"/>
      <c r="AI226" s="76"/>
      <c r="AJ226" s="76"/>
      <c r="AK226" s="76"/>
      <c r="AL226" s="76"/>
      <c r="AM226" s="76"/>
      <c r="AN226" s="73"/>
      <c r="AO226" s="57"/>
      <c r="AP226" s="45"/>
      <c r="AQ226" s="45"/>
      <c r="AR226" s="45"/>
      <c r="AS226" s="441"/>
      <c r="AT226" s="441"/>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50"/>
        <v>4</v>
      </c>
      <c r="D227" s="73"/>
      <c r="E227" s="70"/>
      <c r="F227" s="70">
        <f t="shared" si="51"/>
        <v>3</v>
      </c>
      <c r="G227" s="73"/>
      <c r="H227" s="76"/>
      <c r="I227" s="173">
        <f t="shared" si="49"/>
        <v>45.1</v>
      </c>
      <c r="J227" s="448">
        <f t="shared" si="49"/>
        <v>4</v>
      </c>
      <c r="K227" s="449">
        <f t="shared" si="49"/>
        <v>4</v>
      </c>
      <c r="L227" s="449">
        <f t="shared" si="49"/>
        <v>4</v>
      </c>
      <c r="M227" s="449">
        <f t="shared" si="49"/>
        <v>4</v>
      </c>
      <c r="N227" s="450">
        <f t="shared" si="49"/>
        <v>4</v>
      </c>
      <c r="O227" s="447">
        <v>0</v>
      </c>
      <c r="P227" s="174"/>
      <c r="Q227" s="392">
        <v>0.78446454055273618</v>
      </c>
      <c r="R227" s="393">
        <v>0.76923076923076916</v>
      </c>
      <c r="S227" s="393">
        <v>0.76923076923076916</v>
      </c>
      <c r="T227" s="393">
        <v>0.76923076923076916</v>
      </c>
      <c r="U227" s="394">
        <v>0.8770580193070292</v>
      </c>
      <c r="V227" s="175">
        <v>0</v>
      </c>
      <c r="W227" s="174"/>
      <c r="X227" s="392">
        <v>0.98058067569092011</v>
      </c>
      <c r="Y227" s="393">
        <v>1</v>
      </c>
      <c r="Z227" s="393">
        <v>1</v>
      </c>
      <c r="AA227" s="393">
        <v>1</v>
      </c>
      <c r="AB227" s="394">
        <v>0.8770580193070292</v>
      </c>
      <c r="AC227" s="175">
        <v>0</v>
      </c>
      <c r="AD227" s="76"/>
      <c r="AE227" s="76"/>
      <c r="AF227" s="76"/>
      <c r="AG227" s="76"/>
      <c r="AH227" s="76"/>
      <c r="AI227" s="76"/>
      <c r="AJ227" s="76"/>
      <c r="AK227" s="76"/>
      <c r="AL227" s="76"/>
      <c r="AM227" s="76"/>
      <c r="AN227" s="73"/>
      <c r="AO227" s="57"/>
      <c r="AP227" s="45"/>
      <c r="AQ227" s="45"/>
      <c r="AR227" s="45"/>
      <c r="AS227" s="441"/>
      <c r="AT227" s="441"/>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50"/>
        <v>4</v>
      </c>
      <c r="D228" s="73"/>
      <c r="E228" s="70"/>
      <c r="F228" s="70">
        <f t="shared" si="51"/>
        <v>3</v>
      </c>
      <c r="G228" s="73"/>
      <c r="H228" s="76"/>
      <c r="I228" s="173">
        <f t="shared" si="49"/>
        <v>45.1</v>
      </c>
      <c r="J228" s="451">
        <f t="shared" si="49"/>
        <v>4</v>
      </c>
      <c r="K228" s="452">
        <f t="shared" si="49"/>
        <v>4</v>
      </c>
      <c r="L228" s="452">
        <f t="shared" si="49"/>
        <v>4</v>
      </c>
      <c r="M228" s="452">
        <f t="shared" si="49"/>
        <v>4</v>
      </c>
      <c r="N228" s="453">
        <f t="shared" si="49"/>
        <v>4</v>
      </c>
      <c r="O228" s="447">
        <v>0</v>
      </c>
      <c r="P228" s="174"/>
      <c r="Q228" s="395">
        <v>0.78446454055273618</v>
      </c>
      <c r="R228" s="396">
        <v>0.76923076923076916</v>
      </c>
      <c r="S228" s="396">
        <v>0.76923076923076916</v>
      </c>
      <c r="T228" s="396">
        <v>0.76923076923076916</v>
      </c>
      <c r="U228" s="397">
        <v>0.8770580193070292</v>
      </c>
      <c r="V228" s="175">
        <v>0</v>
      </c>
      <c r="W228" s="174"/>
      <c r="X228" s="395">
        <v>0.98058067569092011</v>
      </c>
      <c r="Y228" s="396">
        <v>1</v>
      </c>
      <c r="Z228" s="396">
        <v>1</v>
      </c>
      <c r="AA228" s="396">
        <v>1</v>
      </c>
      <c r="AB228" s="397">
        <v>0.8770580193070292</v>
      </c>
      <c r="AC228" s="175">
        <v>0</v>
      </c>
      <c r="AD228" s="76"/>
      <c r="AE228" s="76"/>
      <c r="AF228" s="76"/>
      <c r="AG228" s="76"/>
      <c r="AH228" s="76"/>
      <c r="AI228" s="76"/>
      <c r="AJ228" s="76"/>
      <c r="AK228" s="76"/>
      <c r="AL228" s="76"/>
      <c r="AM228" s="76"/>
      <c r="AN228" s="73"/>
      <c r="AO228" s="57"/>
      <c r="AP228" s="45"/>
      <c r="AQ228" s="45"/>
      <c r="AR228" s="45"/>
      <c r="AS228" s="441"/>
      <c r="AT228" s="441"/>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50"/>
        <v>4</v>
      </c>
      <c r="D229" s="73"/>
      <c r="E229" s="70"/>
      <c r="F229" s="70">
        <f t="shared" si="51"/>
        <v>3</v>
      </c>
      <c r="G229" s="73"/>
      <c r="H229" s="76"/>
      <c r="I229" s="96">
        <v>1000</v>
      </c>
      <c r="J229" s="454">
        <v>0</v>
      </c>
      <c r="K229" s="454">
        <v>0</v>
      </c>
      <c r="L229" s="454">
        <v>0</v>
      </c>
      <c r="M229" s="454">
        <v>0</v>
      </c>
      <c r="N229" s="454">
        <v>0</v>
      </c>
      <c r="O229" s="455">
        <v>0</v>
      </c>
      <c r="P229" s="76"/>
      <c r="Q229" s="388">
        <v>0</v>
      </c>
      <c r="R229" s="388">
        <v>0</v>
      </c>
      <c r="S229" s="388">
        <v>0</v>
      </c>
      <c r="T229" s="388">
        <v>0</v>
      </c>
      <c r="U229" s="388">
        <v>0</v>
      </c>
      <c r="V229" s="79">
        <v>0</v>
      </c>
      <c r="W229" s="76"/>
      <c r="X229" s="388">
        <v>0</v>
      </c>
      <c r="Y229" s="388">
        <v>0</v>
      </c>
      <c r="Z229" s="388">
        <v>0</v>
      </c>
      <c r="AA229" s="388">
        <v>0</v>
      </c>
      <c r="AB229" s="388">
        <v>0</v>
      </c>
      <c r="AC229" s="79">
        <v>0</v>
      </c>
      <c r="AD229" s="76"/>
      <c r="AE229" s="76"/>
      <c r="AF229" s="76"/>
      <c r="AG229" s="76"/>
      <c r="AH229" s="76"/>
      <c r="AI229" s="76"/>
      <c r="AJ229" s="76"/>
      <c r="AK229" s="76"/>
      <c r="AL229" s="76"/>
      <c r="AM229" s="76"/>
      <c r="AN229" s="73"/>
      <c r="AO229" s="57"/>
      <c r="AP229" s="45"/>
      <c r="AQ229" s="45"/>
      <c r="AR229" s="45"/>
      <c r="AS229" s="441"/>
      <c r="AT229" s="441"/>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6">
        <v>26.194567913996277</v>
      </c>
      <c r="K230" s="457">
        <v>26.194567913996277</v>
      </c>
      <c r="L230" s="457">
        <v>26.194567913996277</v>
      </c>
      <c r="M230" s="457">
        <v>26.194567913996277</v>
      </c>
      <c r="N230" s="458">
        <v>17.463045275997519</v>
      </c>
      <c r="O230" s="447">
        <v>0</v>
      </c>
      <c r="P230" s="174"/>
      <c r="Q230" s="389">
        <v>0.233606542047718</v>
      </c>
      <c r="R230" s="390">
        <v>0.22907006084697065</v>
      </c>
      <c r="S230" s="390">
        <v>0.22907006084697065</v>
      </c>
      <c r="T230" s="390">
        <v>0.21828806594996897</v>
      </c>
      <c r="U230" s="391">
        <v>0.17823145950547564</v>
      </c>
      <c r="V230" s="175">
        <v>0</v>
      </c>
      <c r="W230" s="174"/>
      <c r="X230" s="389">
        <v>0.93442616819087199</v>
      </c>
      <c r="Y230" s="390">
        <v>0.95293145312339811</v>
      </c>
      <c r="Z230" s="390">
        <f t="shared" ref="Z230:Z236" si="52">AVERAGE(Y230,AA230)</f>
        <v>0.97646572656169905</v>
      </c>
      <c r="AA230" s="390">
        <v>1</v>
      </c>
      <c r="AB230" s="391">
        <v>0.81649658092772603</v>
      </c>
      <c r="AC230" s="175">
        <v>0</v>
      </c>
      <c r="AD230" s="76"/>
      <c r="AE230" s="76"/>
      <c r="AF230" s="76"/>
      <c r="AG230" s="76"/>
      <c r="AH230" s="76"/>
      <c r="AI230" s="76"/>
      <c r="AJ230" s="76"/>
      <c r="AK230" s="76"/>
      <c r="AL230" s="76"/>
      <c r="AM230" s="76"/>
      <c r="AN230" s="73"/>
      <c r="AO230" s="57"/>
      <c r="AP230" s="45"/>
      <c r="AQ230" s="45"/>
      <c r="AR230" s="45"/>
      <c r="AS230" s="441"/>
      <c r="AT230" s="441"/>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53">INT($C$167)+3</f>
        <v>4</v>
      </c>
      <c r="D231" s="73"/>
      <c r="E231" s="70"/>
      <c r="F231" s="70">
        <f t="shared" ref="F231:F237" si="54">F230</f>
        <v>4</v>
      </c>
      <c r="G231" s="73"/>
      <c r="H231" s="176" t="str">
        <f>INDEX($M$175:$M$177,INDEX(i_salep_price_type_s7,$F231+1,1)+1,1)&amp;INDEX($L$175:$L$177,INDEX(ia_s8_s7,$F231+1,1)+1,1)</f>
        <v>$/hd, LW - Condition score</v>
      </c>
      <c r="I231" s="173">
        <v>35</v>
      </c>
      <c r="J231" s="459">
        <v>53.786179450072368</v>
      </c>
      <c r="K231" s="460">
        <v>53.786179450072368</v>
      </c>
      <c r="L231" s="460">
        <v>53.786179450072368</v>
      </c>
      <c r="M231" s="449">
        <v>84</v>
      </c>
      <c r="N231" s="450">
        <v>84</v>
      </c>
      <c r="O231" s="447">
        <v>0</v>
      </c>
      <c r="P231" s="174"/>
      <c r="Q231" s="392">
        <v>0.59944418700437274</v>
      </c>
      <c r="R231" s="393">
        <v>0.58780338593174208</v>
      </c>
      <c r="S231" s="393">
        <v>0.58780338593174208</v>
      </c>
      <c r="T231" s="393">
        <v>0.7</v>
      </c>
      <c r="U231" s="394">
        <v>0.7</v>
      </c>
      <c r="V231" s="175">
        <v>0</v>
      </c>
      <c r="W231" s="174"/>
      <c r="X231" s="392">
        <v>0.74772292700649168</v>
      </c>
      <c r="Y231" s="393">
        <v>0.7625307591133631</v>
      </c>
      <c r="Z231" s="393">
        <f t="shared" si="52"/>
        <v>0.88126537955668161</v>
      </c>
      <c r="AA231" s="393">
        <v>1</v>
      </c>
      <c r="AB231" s="394">
        <v>1</v>
      </c>
      <c r="AC231" s="175">
        <v>0</v>
      </c>
      <c r="AD231" s="76"/>
      <c r="AE231" s="76"/>
      <c r="AF231" s="76"/>
      <c r="AG231" s="76"/>
      <c r="AH231" s="76"/>
      <c r="AI231" s="76"/>
      <c r="AJ231" s="76"/>
      <c r="AK231" s="76"/>
      <c r="AL231" s="76"/>
      <c r="AM231" s="76"/>
      <c r="AN231" s="73"/>
      <c r="AO231" s="57"/>
      <c r="AP231" s="45"/>
      <c r="AQ231" s="45"/>
      <c r="AR231" s="45"/>
      <c r="AS231" s="441"/>
      <c r="AT231" s="441"/>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53"/>
        <v>4</v>
      </c>
      <c r="D232" s="73"/>
      <c r="E232" s="70"/>
      <c r="F232" s="70">
        <f t="shared" si="54"/>
        <v>4</v>
      </c>
      <c r="G232" s="73"/>
      <c r="H232" s="97" t="s">
        <v>257</v>
      </c>
      <c r="I232" s="173">
        <v>40</v>
      </c>
      <c r="J232" s="461">
        <v>69.852181103990077</v>
      </c>
      <c r="K232" s="462">
        <v>72.64626834814969</v>
      </c>
      <c r="L232" s="462">
        <v>72.64626834814969</v>
      </c>
      <c r="M232" s="449">
        <v>92</v>
      </c>
      <c r="N232" s="450">
        <v>92</v>
      </c>
      <c r="O232" s="447">
        <v>0</v>
      </c>
      <c r="P232" s="174"/>
      <c r="Q232" s="392">
        <v>0.7149203529842405</v>
      </c>
      <c r="R232" s="393">
        <v>0.71492035298424061</v>
      </c>
      <c r="S232" s="393">
        <v>0.71492035298424061</v>
      </c>
      <c r="T232" s="393">
        <v>0.76666666666666661</v>
      </c>
      <c r="U232" s="394">
        <v>0.76666666666666661</v>
      </c>
      <c r="V232" s="175">
        <v>0</v>
      </c>
      <c r="W232" s="174"/>
      <c r="X232" s="392">
        <v>0.81421868431929911</v>
      </c>
      <c r="Y232" s="393">
        <v>0.84678743169207127</v>
      </c>
      <c r="Z232" s="393">
        <f t="shared" si="52"/>
        <v>0.92339371584603569</v>
      </c>
      <c r="AA232" s="393">
        <v>1</v>
      </c>
      <c r="AB232" s="394">
        <v>1</v>
      </c>
      <c r="AC232" s="175">
        <v>0</v>
      </c>
      <c r="AD232" s="76"/>
      <c r="AE232" s="76"/>
      <c r="AF232" s="76"/>
      <c r="AG232" s="76"/>
      <c r="AH232" s="76"/>
      <c r="AI232" s="76"/>
      <c r="AJ232" s="76"/>
      <c r="AK232" s="76"/>
      <c r="AL232" s="76"/>
      <c r="AM232" s="76"/>
      <c r="AN232" s="73"/>
      <c r="AO232" s="57"/>
      <c r="AP232" s="45"/>
      <c r="AQ232" s="45"/>
      <c r="AR232" s="45"/>
      <c r="AS232" s="441"/>
      <c r="AT232" s="441"/>
    </row>
    <row r="233" spans="1:56" outlineLevel="3" x14ac:dyDescent="0.25">
      <c r="A233" s="45"/>
      <c r="B233" s="54"/>
      <c r="C233" s="87">
        <f t="shared" si="53"/>
        <v>4</v>
      </c>
      <c r="D233" s="73"/>
      <c r="E233" s="70"/>
      <c r="F233" s="70">
        <f t="shared" si="54"/>
        <v>4</v>
      </c>
      <c r="G233" s="73"/>
      <c r="H233" s="97" t="s">
        <v>2577</v>
      </c>
      <c r="I233" s="173">
        <v>45</v>
      </c>
      <c r="J233" s="461">
        <v>78.583703741988842</v>
      </c>
      <c r="K233" s="462">
        <v>81.727051891668395</v>
      </c>
      <c r="L233" s="462">
        <v>81.727051891668395</v>
      </c>
      <c r="M233" s="449">
        <v>99.000000000000014</v>
      </c>
      <c r="N233" s="450">
        <v>99.000000000000014</v>
      </c>
      <c r="O233" s="447">
        <v>0</v>
      </c>
      <c r="P233" s="174"/>
      <c r="Q233" s="392">
        <v>0.78660663612761372</v>
      </c>
      <c r="R233" s="393">
        <v>0.78660663612761372</v>
      </c>
      <c r="S233" s="393">
        <v>0.78660663612761372</v>
      </c>
      <c r="T233" s="393">
        <v>0.82500000000000018</v>
      </c>
      <c r="U233" s="394">
        <v>0.82500000000000018</v>
      </c>
      <c r="V233" s="175">
        <v>0</v>
      </c>
      <c r="W233" s="174"/>
      <c r="X233" s="392">
        <v>0.83251801824828009</v>
      </c>
      <c r="Y233" s="393">
        <v>0.86581873897821138</v>
      </c>
      <c r="Z233" s="393">
        <f t="shared" si="52"/>
        <v>0.93290936948910574</v>
      </c>
      <c r="AA233" s="393">
        <v>1</v>
      </c>
      <c r="AB233" s="394">
        <v>1</v>
      </c>
      <c r="AC233" s="175">
        <v>0</v>
      </c>
      <c r="AD233" s="76"/>
      <c r="AE233" s="76"/>
      <c r="AF233" s="76"/>
      <c r="AG233" s="76"/>
      <c r="AH233" s="76"/>
      <c r="AI233" s="76"/>
      <c r="AJ233" s="76"/>
      <c r="AK233" s="76"/>
      <c r="AL233" s="76"/>
      <c r="AM233" s="76"/>
      <c r="AN233" s="73"/>
      <c r="AO233" s="57"/>
      <c r="AP233" s="45"/>
      <c r="AQ233" s="45"/>
      <c r="AR233" s="45"/>
      <c r="AS233" s="441"/>
      <c r="AT233" s="441"/>
    </row>
    <row r="234" spans="1:56" outlineLevel="3" x14ac:dyDescent="0.25">
      <c r="A234" s="45"/>
      <c r="B234" s="54"/>
      <c r="C234" s="87">
        <f t="shared" si="53"/>
        <v>4</v>
      </c>
      <c r="D234" s="73"/>
      <c r="E234" s="70"/>
      <c r="F234" s="70">
        <f t="shared" si="54"/>
        <v>4</v>
      </c>
      <c r="G234" s="73"/>
      <c r="H234" s="76"/>
      <c r="I234" s="173">
        <v>50</v>
      </c>
      <c r="J234" s="461">
        <v>87.315226379987593</v>
      </c>
      <c r="K234" s="462">
        <v>90.807835435187116</v>
      </c>
      <c r="L234" s="462">
        <v>90.807835435187116</v>
      </c>
      <c r="M234" s="449">
        <v>105</v>
      </c>
      <c r="N234" s="450">
        <v>105</v>
      </c>
      <c r="O234" s="447">
        <v>0</v>
      </c>
      <c r="P234" s="174"/>
      <c r="Q234" s="392">
        <v>0.8539125638299665</v>
      </c>
      <c r="R234" s="393">
        <v>0.85391256382996661</v>
      </c>
      <c r="S234" s="393">
        <v>0.85391256382996661</v>
      </c>
      <c r="T234" s="393">
        <v>0.875</v>
      </c>
      <c r="U234" s="394">
        <v>0.875</v>
      </c>
      <c r="V234" s="175">
        <v>0</v>
      </c>
      <c r="W234" s="174"/>
      <c r="X234" s="392">
        <v>0.85210935793747578</v>
      </c>
      <c r="Y234" s="393">
        <v>0.886193732254975</v>
      </c>
      <c r="Z234" s="393">
        <f t="shared" si="52"/>
        <v>0.94309686612748744</v>
      </c>
      <c r="AA234" s="393">
        <v>1</v>
      </c>
      <c r="AB234" s="394">
        <v>1</v>
      </c>
      <c r="AC234" s="175">
        <v>0</v>
      </c>
      <c r="AD234" s="76"/>
      <c r="AE234" s="76"/>
      <c r="AF234" s="76"/>
      <c r="AG234" s="76"/>
      <c r="AH234" s="76"/>
      <c r="AI234" s="76"/>
      <c r="AJ234" s="76"/>
      <c r="AK234" s="76"/>
      <c r="AL234" s="76"/>
      <c r="AM234" s="76"/>
      <c r="AN234" s="73"/>
      <c r="AO234" s="57"/>
      <c r="AP234" s="45"/>
      <c r="AQ234" s="45"/>
      <c r="AR234" s="45"/>
      <c r="AS234" s="441"/>
      <c r="AT234" s="441"/>
    </row>
    <row r="235" spans="1:56" outlineLevel="3" x14ac:dyDescent="0.25">
      <c r="A235" s="45"/>
      <c r="B235" s="54"/>
      <c r="C235" s="87">
        <f t="shared" si="53"/>
        <v>4</v>
      </c>
      <c r="D235" s="73"/>
      <c r="E235" s="70"/>
      <c r="F235" s="70">
        <f t="shared" si="54"/>
        <v>4</v>
      </c>
      <c r="G235" s="73"/>
      <c r="H235" s="76"/>
      <c r="I235" s="173">
        <v>55</v>
      </c>
      <c r="J235" s="461">
        <v>96.046749017986357</v>
      </c>
      <c r="K235" s="462">
        <v>99.888618978705821</v>
      </c>
      <c r="L235" s="462">
        <v>99.888618978705821</v>
      </c>
      <c r="M235" s="449">
        <v>110</v>
      </c>
      <c r="N235" s="450">
        <v>110</v>
      </c>
      <c r="O235" s="447">
        <v>0</v>
      </c>
      <c r="P235" s="174"/>
      <c r="Q235" s="392">
        <v>0.91666666666666663</v>
      </c>
      <c r="R235" s="393">
        <v>0.91666666666666674</v>
      </c>
      <c r="S235" s="393">
        <v>0.91666666666666674</v>
      </c>
      <c r="T235" s="393">
        <v>0.91666666666666663</v>
      </c>
      <c r="U235" s="394">
        <v>0.91666666666666663</v>
      </c>
      <c r="V235" s="175">
        <v>0</v>
      </c>
      <c r="W235" s="174"/>
      <c r="X235" s="392">
        <v>0.87315226379987598</v>
      </c>
      <c r="Y235" s="393">
        <v>0.90807835435187101</v>
      </c>
      <c r="Z235" s="393">
        <f t="shared" si="52"/>
        <v>0.95403917717593556</v>
      </c>
      <c r="AA235" s="393">
        <v>1</v>
      </c>
      <c r="AB235" s="394">
        <v>1</v>
      </c>
      <c r="AC235" s="175">
        <v>0</v>
      </c>
      <c r="AD235" s="76"/>
      <c r="AE235" s="76"/>
      <c r="AF235" s="76"/>
      <c r="AG235" s="76"/>
      <c r="AH235" s="76"/>
      <c r="AI235" s="76"/>
      <c r="AJ235" s="76"/>
      <c r="AK235" s="76"/>
      <c r="AL235" s="76"/>
      <c r="AM235" s="76"/>
      <c r="AN235" s="73"/>
      <c r="AO235" s="57"/>
      <c r="AP235" s="45"/>
      <c r="AQ235" s="45"/>
      <c r="AR235" s="45"/>
      <c r="AS235" s="441"/>
      <c r="AT235" s="441"/>
    </row>
    <row r="236" spans="1:56" outlineLevel="3" x14ac:dyDescent="0.25">
      <c r="A236" s="45"/>
      <c r="B236" s="54"/>
      <c r="C236" s="87">
        <f t="shared" si="53"/>
        <v>4</v>
      </c>
      <c r="D236" s="73"/>
      <c r="E236" s="70"/>
      <c r="F236" s="70">
        <f t="shared" si="54"/>
        <v>4</v>
      </c>
      <c r="G236" s="73"/>
      <c r="H236" s="76"/>
      <c r="I236" s="173">
        <v>60</v>
      </c>
      <c r="J236" s="463">
        <v>104.77827165598511</v>
      </c>
      <c r="K236" s="464">
        <v>108.96940252222453</v>
      </c>
      <c r="L236" s="464">
        <v>108.96940252222453</v>
      </c>
      <c r="M236" s="452">
        <v>120</v>
      </c>
      <c r="N236" s="453">
        <v>120</v>
      </c>
      <c r="O236" s="447">
        <v>0</v>
      </c>
      <c r="P236" s="174"/>
      <c r="Q236" s="395">
        <v>1</v>
      </c>
      <c r="R236" s="396">
        <v>1</v>
      </c>
      <c r="S236" s="396">
        <v>1</v>
      </c>
      <c r="T236" s="396">
        <v>1</v>
      </c>
      <c r="U236" s="397">
        <v>1</v>
      </c>
      <c r="V236" s="175">
        <v>0</v>
      </c>
      <c r="W236" s="174"/>
      <c r="X236" s="395">
        <v>0.87315226379987587</v>
      </c>
      <c r="Y236" s="396">
        <v>0.90807835435187101</v>
      </c>
      <c r="Z236" s="396">
        <f t="shared" si="52"/>
        <v>0.95403917717593556</v>
      </c>
      <c r="AA236" s="396">
        <v>1</v>
      </c>
      <c r="AB236" s="397">
        <v>1</v>
      </c>
      <c r="AC236" s="175">
        <v>0</v>
      </c>
      <c r="AD236" s="76"/>
      <c r="AE236" s="76"/>
      <c r="AF236" s="76"/>
      <c r="AG236" s="76"/>
      <c r="AH236" s="76"/>
      <c r="AI236" s="76"/>
      <c r="AJ236" s="76"/>
      <c r="AK236" s="76"/>
      <c r="AL236" s="76"/>
      <c r="AM236" s="76"/>
      <c r="AN236" s="73"/>
      <c r="AO236" s="57"/>
      <c r="AP236" s="45"/>
      <c r="AQ236" s="45"/>
      <c r="AR236" s="45"/>
      <c r="AS236" s="441"/>
      <c r="AT236" s="441"/>
    </row>
    <row r="237" spans="1:56" outlineLevel="3" x14ac:dyDescent="0.25">
      <c r="A237" s="45"/>
      <c r="B237" s="54"/>
      <c r="C237" s="87">
        <f t="shared" si="53"/>
        <v>4</v>
      </c>
      <c r="D237" s="73"/>
      <c r="E237" s="70"/>
      <c r="F237" s="70">
        <f t="shared" si="54"/>
        <v>4</v>
      </c>
      <c r="G237" s="73"/>
      <c r="H237" s="76"/>
      <c r="I237" s="96">
        <v>1000</v>
      </c>
      <c r="J237" s="454">
        <v>0</v>
      </c>
      <c r="K237" s="454">
        <v>0</v>
      </c>
      <c r="L237" s="454">
        <v>0</v>
      </c>
      <c r="M237" s="454">
        <v>0</v>
      </c>
      <c r="N237" s="454">
        <v>0</v>
      </c>
      <c r="O237" s="455">
        <v>0</v>
      </c>
      <c r="P237" s="76"/>
      <c r="Q237" s="388">
        <v>0</v>
      </c>
      <c r="R237" s="388">
        <v>0</v>
      </c>
      <c r="S237" s="388">
        <v>0</v>
      </c>
      <c r="T237" s="388">
        <v>0</v>
      </c>
      <c r="U237" s="388">
        <v>0</v>
      </c>
      <c r="V237" s="79">
        <v>0</v>
      </c>
      <c r="W237" s="76"/>
      <c r="X237" s="388">
        <v>0</v>
      </c>
      <c r="Y237" s="388">
        <v>0</v>
      </c>
      <c r="Z237" s="388">
        <v>0</v>
      </c>
      <c r="AA237" s="388">
        <v>0</v>
      </c>
      <c r="AB237" s="388">
        <v>0</v>
      </c>
      <c r="AC237" s="79">
        <v>0</v>
      </c>
      <c r="AD237" s="76"/>
      <c r="AE237" s="76"/>
      <c r="AF237" s="76"/>
      <c r="AG237" s="76"/>
      <c r="AH237" s="76"/>
      <c r="AI237" s="76"/>
      <c r="AJ237" s="76"/>
      <c r="AK237" s="76"/>
      <c r="AL237" s="76"/>
      <c r="AM237" s="76"/>
      <c r="AN237" s="73"/>
      <c r="AO237" s="57"/>
      <c r="AP237" s="45"/>
      <c r="AQ237" s="45"/>
      <c r="AR237" s="45"/>
      <c r="AS237" s="441"/>
      <c r="AT237" s="441"/>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6">
        <v>23.516900971676659</v>
      </c>
      <c r="K238" s="457">
        <v>23.516900971676659</v>
      </c>
      <c r="L238" s="445">
        <v>130</v>
      </c>
      <c r="M238" s="445">
        <v>145</v>
      </c>
      <c r="N238" s="446">
        <v>155</v>
      </c>
      <c r="O238" s="447">
        <v>0</v>
      </c>
      <c r="P238" s="174"/>
      <c r="Q238" s="389">
        <v>0.59357019921433796</v>
      </c>
      <c r="R238" s="390">
        <v>0.58204346701558951</v>
      </c>
      <c r="S238" s="390">
        <v>1</v>
      </c>
      <c r="T238" s="390">
        <v>1</v>
      </c>
      <c r="U238" s="391">
        <v>1</v>
      </c>
      <c r="V238" s="175">
        <v>0</v>
      </c>
      <c r="W238" s="174"/>
      <c r="X238" s="389">
        <v>0.25560909552665378</v>
      </c>
      <c r="Y238" s="390">
        <v>0.26067115318844203</v>
      </c>
      <c r="Z238" s="390">
        <v>0.83870967741935487</v>
      </c>
      <c r="AA238" s="390">
        <v>0.93548387096774188</v>
      </c>
      <c r="AB238" s="391">
        <v>1</v>
      </c>
      <c r="AC238" s="175">
        <v>0</v>
      </c>
      <c r="AD238" s="76"/>
      <c r="AE238" s="76"/>
      <c r="AF238" s="76"/>
      <c r="AG238" s="76"/>
      <c r="AH238" s="76"/>
      <c r="AI238" s="76"/>
      <c r="AJ238" s="76"/>
      <c r="AK238" s="76"/>
      <c r="AL238" s="76"/>
      <c r="AM238" s="76"/>
      <c r="AN238" s="73"/>
      <c r="AO238" s="57"/>
      <c r="AP238" s="45"/>
      <c r="AQ238" s="45"/>
      <c r="AR238" s="45"/>
      <c r="AS238" s="441"/>
      <c r="AT238" s="441"/>
    </row>
    <row r="239" spans="1:56" outlineLevel="3" x14ac:dyDescent="0.25">
      <c r="A239" s="45"/>
      <c r="B239" s="54"/>
      <c r="C239" s="87">
        <f t="shared" ref="C239:C245" si="55">INT($C$167)+3</f>
        <v>4</v>
      </c>
      <c r="D239" s="73"/>
      <c r="E239" s="70"/>
      <c r="F239" s="70">
        <f t="shared" ref="F239:F245" si="56">F238</f>
        <v>5</v>
      </c>
      <c r="G239" s="73"/>
      <c r="H239" s="176" t="str">
        <f>INDEX($M$175:$M$177,INDEX(i_salep_price_type_s7,$F239+1,1)+1,1)&amp;INDEX($L$175:$L$177,INDEX(ia_s8_s7,$F239+1,1)+1,1)</f>
        <v>$/hd, LW - Condition score</v>
      </c>
      <c r="I239" s="173">
        <f>I247/0.43</f>
        <v>32.790697674418603</v>
      </c>
      <c r="J239" s="459">
        <v>48.151436841017158</v>
      </c>
      <c r="K239" s="460">
        <v>48.151436841017158</v>
      </c>
      <c r="L239" s="449">
        <v>130</v>
      </c>
      <c r="M239" s="449">
        <v>145</v>
      </c>
      <c r="N239" s="450">
        <v>155</v>
      </c>
      <c r="O239" s="447">
        <v>0</v>
      </c>
      <c r="P239" s="174"/>
      <c r="Q239" s="392">
        <v>0.84934995663578461</v>
      </c>
      <c r="R239" s="393">
        <v>0.83285615437597138</v>
      </c>
      <c r="S239" s="393">
        <v>1</v>
      </c>
      <c r="T239" s="393">
        <v>1</v>
      </c>
      <c r="U239" s="394">
        <v>1</v>
      </c>
      <c r="V239" s="175">
        <v>0</v>
      </c>
      <c r="W239" s="174"/>
      <c r="X239" s="392">
        <v>0.3657555155037025</v>
      </c>
      <c r="Y239" s="393">
        <v>0.37299890215151349</v>
      </c>
      <c r="Z239" s="393">
        <v>0.83870967741935487</v>
      </c>
      <c r="AA239" s="393">
        <v>0.93548387096774188</v>
      </c>
      <c r="AB239" s="394">
        <v>1</v>
      </c>
      <c r="AC239" s="175">
        <v>0</v>
      </c>
      <c r="AD239" s="76"/>
      <c r="AE239" s="76"/>
      <c r="AF239" s="76"/>
      <c r="AG239" s="76"/>
      <c r="AH239" s="76"/>
      <c r="AI239" s="76"/>
      <c r="AJ239" s="76"/>
      <c r="AK239" s="76"/>
      <c r="AL239" s="76"/>
      <c r="AM239" s="76"/>
      <c r="AN239" s="73"/>
      <c r="AO239" s="57"/>
      <c r="AP239" s="45"/>
      <c r="AQ239" s="45"/>
      <c r="AR239" s="45"/>
      <c r="AS239" s="441"/>
      <c r="AT239" s="441"/>
    </row>
    <row r="240" spans="1:56" outlineLevel="3" x14ac:dyDescent="0.25">
      <c r="A240" s="45"/>
      <c r="B240" s="54"/>
      <c r="C240" s="87">
        <f t="shared" si="55"/>
        <v>4</v>
      </c>
      <c r="D240" s="73"/>
      <c r="E240" s="70"/>
      <c r="F240" s="70">
        <f t="shared" si="56"/>
        <v>5</v>
      </c>
      <c r="G240" s="73"/>
      <c r="H240" s="97" t="s">
        <v>258</v>
      </c>
      <c r="I240" s="173">
        <v>40</v>
      </c>
      <c r="J240" s="461">
        <v>66.747639721590517</v>
      </c>
      <c r="K240" s="462">
        <v>69.417545310454145</v>
      </c>
      <c r="L240" s="449">
        <v>130</v>
      </c>
      <c r="M240" s="449">
        <v>145</v>
      </c>
      <c r="N240" s="450">
        <v>155</v>
      </c>
      <c r="O240" s="447">
        <v>0</v>
      </c>
      <c r="P240" s="174"/>
      <c r="Q240" s="392">
        <v>1</v>
      </c>
      <c r="R240" s="393">
        <v>1</v>
      </c>
      <c r="S240" s="393">
        <v>1</v>
      </c>
      <c r="T240" s="393">
        <v>1</v>
      </c>
      <c r="U240" s="394">
        <v>1</v>
      </c>
      <c r="V240" s="175">
        <v>0</v>
      </c>
      <c r="W240" s="174"/>
      <c r="X240" s="392">
        <v>0.43062993368768077</v>
      </c>
      <c r="Y240" s="393">
        <v>0.44785513103518804</v>
      </c>
      <c r="Z240" s="393">
        <v>0.83870967741935487</v>
      </c>
      <c r="AA240" s="393">
        <v>0.93548387096774188</v>
      </c>
      <c r="AB240" s="394">
        <v>1</v>
      </c>
      <c r="AC240" s="175">
        <v>0</v>
      </c>
      <c r="AD240" s="76"/>
      <c r="AE240" s="76"/>
      <c r="AF240" s="76"/>
      <c r="AG240" s="76"/>
      <c r="AH240" s="76"/>
      <c r="AI240" s="76"/>
      <c r="AJ240" s="76"/>
      <c r="AK240" s="76"/>
      <c r="AL240" s="76"/>
      <c r="AM240" s="76"/>
      <c r="AN240" s="73"/>
      <c r="AO240" s="57"/>
      <c r="AP240" s="45"/>
      <c r="AQ240" s="45"/>
      <c r="AR240" s="45"/>
      <c r="AS240" s="441"/>
      <c r="AT240" s="441"/>
    </row>
    <row r="241" spans="1:46" outlineLevel="3" x14ac:dyDescent="0.25">
      <c r="A241" s="45"/>
      <c r="B241" s="54"/>
      <c r="C241" s="87">
        <f t="shared" si="55"/>
        <v>4</v>
      </c>
      <c r="D241" s="73"/>
      <c r="E241" s="70"/>
      <c r="F241" s="70">
        <f t="shared" si="56"/>
        <v>5</v>
      </c>
      <c r="G241" s="73"/>
      <c r="H241" s="97" t="s">
        <v>2578</v>
      </c>
      <c r="I241" s="173">
        <f>I240</f>
        <v>40</v>
      </c>
      <c r="J241" s="461">
        <v>66.747639721590517</v>
      </c>
      <c r="K241" s="462">
        <v>69.417545310454145</v>
      </c>
      <c r="L241" s="449">
        <v>130</v>
      </c>
      <c r="M241" s="449">
        <v>145</v>
      </c>
      <c r="N241" s="450">
        <v>155</v>
      </c>
      <c r="O241" s="447">
        <v>0</v>
      </c>
      <c r="P241" s="174"/>
      <c r="Q241" s="392">
        <v>1</v>
      </c>
      <c r="R241" s="393">
        <v>1</v>
      </c>
      <c r="S241" s="393">
        <v>1</v>
      </c>
      <c r="T241" s="393">
        <v>1</v>
      </c>
      <c r="U241" s="394">
        <v>1</v>
      </c>
      <c r="V241" s="175">
        <v>0</v>
      </c>
      <c r="W241" s="174"/>
      <c r="X241" s="392">
        <v>0.43062993368768077</v>
      </c>
      <c r="Y241" s="393">
        <v>0.44785513103518804</v>
      </c>
      <c r="Z241" s="393">
        <v>0.83870967741935487</v>
      </c>
      <c r="AA241" s="393">
        <v>0.93548387096774188</v>
      </c>
      <c r="AB241" s="394">
        <v>1</v>
      </c>
      <c r="AC241" s="175">
        <v>0</v>
      </c>
      <c r="AD241" s="76"/>
      <c r="AE241" s="76"/>
      <c r="AF241" s="76"/>
      <c r="AG241" s="76"/>
      <c r="AH241" s="76"/>
      <c r="AI241" s="76"/>
      <c r="AJ241" s="76"/>
      <c r="AK241" s="76"/>
      <c r="AL241" s="76"/>
      <c r="AM241" s="76"/>
      <c r="AN241" s="73"/>
      <c r="AO241" s="57"/>
      <c r="AP241" s="45"/>
      <c r="AQ241" s="45"/>
      <c r="AR241" s="45"/>
      <c r="AS241" s="441"/>
      <c r="AT241" s="441"/>
    </row>
    <row r="242" spans="1:46" outlineLevel="3" x14ac:dyDescent="0.25">
      <c r="A242" s="45"/>
      <c r="B242" s="54"/>
      <c r="C242" s="87">
        <f t="shared" si="55"/>
        <v>4</v>
      </c>
      <c r="D242" s="73"/>
      <c r="E242" s="70"/>
      <c r="F242" s="70">
        <f t="shared" si="56"/>
        <v>5</v>
      </c>
      <c r="G242" s="73"/>
      <c r="H242" s="76"/>
      <c r="I242" s="173">
        <f>I241</f>
        <v>40</v>
      </c>
      <c r="J242" s="461">
        <v>66.747639721590517</v>
      </c>
      <c r="K242" s="462">
        <v>69.417545310454145</v>
      </c>
      <c r="L242" s="449">
        <v>130</v>
      </c>
      <c r="M242" s="449">
        <v>145</v>
      </c>
      <c r="N242" s="450">
        <v>155</v>
      </c>
      <c r="O242" s="447">
        <v>0</v>
      </c>
      <c r="P242" s="174"/>
      <c r="Q242" s="392">
        <v>1</v>
      </c>
      <c r="R242" s="393">
        <v>1</v>
      </c>
      <c r="S242" s="393">
        <v>1</v>
      </c>
      <c r="T242" s="393">
        <v>1</v>
      </c>
      <c r="U242" s="394">
        <v>1</v>
      </c>
      <c r="V242" s="175">
        <v>0</v>
      </c>
      <c r="W242" s="174"/>
      <c r="X242" s="392">
        <v>0.43062993368768077</v>
      </c>
      <c r="Y242" s="393">
        <v>0.44785513103518804</v>
      </c>
      <c r="Z242" s="393">
        <v>0.83870967741935487</v>
      </c>
      <c r="AA242" s="393">
        <v>0.93548387096774188</v>
      </c>
      <c r="AB242" s="394">
        <v>1</v>
      </c>
      <c r="AC242" s="175">
        <v>0</v>
      </c>
      <c r="AD242" s="76"/>
      <c r="AE242" s="76"/>
      <c r="AF242" s="76"/>
      <c r="AG242" s="76"/>
      <c r="AH242" s="76"/>
      <c r="AI242" s="76"/>
      <c r="AJ242" s="76"/>
      <c r="AK242" s="76"/>
      <c r="AL242" s="76"/>
      <c r="AM242" s="76"/>
      <c r="AN242" s="73"/>
      <c r="AO242" s="57"/>
      <c r="AP242" s="45"/>
      <c r="AQ242" s="45"/>
      <c r="AR242" s="45"/>
      <c r="AS242" s="441"/>
      <c r="AT242" s="441"/>
    </row>
    <row r="243" spans="1:46" outlineLevel="3" x14ac:dyDescent="0.25">
      <c r="A243" s="45"/>
      <c r="B243" s="54"/>
      <c r="C243" s="87">
        <f t="shared" si="55"/>
        <v>4</v>
      </c>
      <c r="D243" s="73"/>
      <c r="E243" s="70"/>
      <c r="F243" s="70">
        <f t="shared" si="56"/>
        <v>5</v>
      </c>
      <c r="G243" s="73"/>
      <c r="H243" s="76"/>
      <c r="I243" s="173">
        <f>I242</f>
        <v>40</v>
      </c>
      <c r="J243" s="461">
        <v>66.747639721590517</v>
      </c>
      <c r="K243" s="462">
        <v>69.417545310454145</v>
      </c>
      <c r="L243" s="449">
        <v>130</v>
      </c>
      <c r="M243" s="449">
        <v>145</v>
      </c>
      <c r="N243" s="450">
        <v>155</v>
      </c>
      <c r="O243" s="447">
        <v>0</v>
      </c>
      <c r="P243" s="174"/>
      <c r="Q243" s="392">
        <v>1</v>
      </c>
      <c r="R243" s="393">
        <v>1</v>
      </c>
      <c r="S243" s="393">
        <v>1</v>
      </c>
      <c r="T243" s="393">
        <v>1</v>
      </c>
      <c r="U243" s="394">
        <v>1</v>
      </c>
      <c r="V243" s="175">
        <v>0</v>
      </c>
      <c r="W243" s="174"/>
      <c r="X243" s="392">
        <v>0.43062993368768077</v>
      </c>
      <c r="Y243" s="393">
        <v>0.44785513103518804</v>
      </c>
      <c r="Z243" s="393">
        <v>0.83870967741935487</v>
      </c>
      <c r="AA243" s="393">
        <v>0.93548387096774188</v>
      </c>
      <c r="AB243" s="394">
        <v>1</v>
      </c>
      <c r="AC243" s="175">
        <v>0</v>
      </c>
      <c r="AD243" s="76"/>
      <c r="AE243" s="76"/>
      <c r="AF243" s="76"/>
      <c r="AG243" s="76"/>
      <c r="AH243" s="76"/>
      <c r="AI243" s="76"/>
      <c r="AJ243" s="76"/>
      <c r="AK243" s="76"/>
      <c r="AL243" s="76"/>
      <c r="AM243" s="76"/>
      <c r="AN243" s="73"/>
      <c r="AO243" s="57"/>
      <c r="AP243" s="45"/>
      <c r="AQ243" s="45"/>
      <c r="AR243" s="45"/>
      <c r="AS243" s="441"/>
      <c r="AT243" s="441"/>
    </row>
    <row r="244" spans="1:46" outlineLevel="3" x14ac:dyDescent="0.25">
      <c r="A244" s="45"/>
      <c r="B244" s="54"/>
      <c r="C244" s="87">
        <f t="shared" si="55"/>
        <v>4</v>
      </c>
      <c r="D244" s="73"/>
      <c r="E244" s="70"/>
      <c r="F244" s="70">
        <f t="shared" si="56"/>
        <v>5</v>
      </c>
      <c r="G244" s="73"/>
      <c r="H244" s="76"/>
      <c r="I244" s="173">
        <f>I243</f>
        <v>40</v>
      </c>
      <c r="J244" s="463">
        <v>66.747639721590517</v>
      </c>
      <c r="K244" s="464">
        <v>69.417545310454145</v>
      </c>
      <c r="L244" s="452">
        <v>130</v>
      </c>
      <c r="M244" s="452">
        <v>145</v>
      </c>
      <c r="N244" s="453">
        <v>155</v>
      </c>
      <c r="O244" s="447">
        <v>0</v>
      </c>
      <c r="P244" s="174"/>
      <c r="Q244" s="395">
        <v>1</v>
      </c>
      <c r="R244" s="396">
        <v>1</v>
      </c>
      <c r="S244" s="396">
        <v>1</v>
      </c>
      <c r="T244" s="396">
        <v>1</v>
      </c>
      <c r="U244" s="397">
        <v>1</v>
      </c>
      <c r="V244" s="175">
        <v>0</v>
      </c>
      <c r="W244" s="174"/>
      <c r="X244" s="395">
        <v>0.43062993368768077</v>
      </c>
      <c r="Y244" s="396">
        <v>0.44785513103518804</v>
      </c>
      <c r="Z244" s="396">
        <v>0.83870967741935487</v>
      </c>
      <c r="AA244" s="396">
        <v>0.93548387096774188</v>
      </c>
      <c r="AB244" s="397">
        <v>1</v>
      </c>
      <c r="AC244" s="175">
        <v>0</v>
      </c>
      <c r="AD244" s="76"/>
      <c r="AE244" s="76"/>
      <c r="AF244" s="76"/>
      <c r="AG244" s="76"/>
      <c r="AH244" s="76"/>
      <c r="AI244" s="76"/>
      <c r="AJ244" s="76"/>
      <c r="AK244" s="76"/>
      <c r="AL244" s="76"/>
      <c r="AM244" s="76"/>
      <c r="AN244" s="73"/>
      <c r="AO244" s="57"/>
      <c r="AP244" s="45"/>
      <c r="AQ244" s="45"/>
      <c r="AR244" s="45"/>
      <c r="AS244" s="441"/>
      <c r="AT244" s="441"/>
    </row>
    <row r="245" spans="1:46" outlineLevel="3" x14ac:dyDescent="0.25">
      <c r="A245" s="45"/>
      <c r="B245" s="54"/>
      <c r="C245" s="87">
        <f t="shared" si="55"/>
        <v>4</v>
      </c>
      <c r="D245" s="73"/>
      <c r="E245" s="70"/>
      <c r="F245" s="70">
        <f t="shared" si="56"/>
        <v>5</v>
      </c>
      <c r="G245" s="73"/>
      <c r="H245" s="76"/>
      <c r="I245" s="96">
        <v>1000</v>
      </c>
      <c r="J245" s="454">
        <v>0</v>
      </c>
      <c r="K245" s="454">
        <v>0</v>
      </c>
      <c r="L245" s="454">
        <v>0</v>
      </c>
      <c r="M245" s="454">
        <v>0</v>
      </c>
      <c r="N245" s="454">
        <v>0</v>
      </c>
      <c r="O245" s="455">
        <v>0</v>
      </c>
      <c r="P245" s="76"/>
      <c r="Q245" s="388">
        <v>0</v>
      </c>
      <c r="R245" s="388">
        <v>0</v>
      </c>
      <c r="S245" s="388">
        <v>0</v>
      </c>
      <c r="T245" s="388">
        <v>0</v>
      </c>
      <c r="U245" s="388">
        <v>0</v>
      </c>
      <c r="V245" s="79">
        <v>0</v>
      </c>
      <c r="W245" s="76"/>
      <c r="X245" s="388">
        <v>0</v>
      </c>
      <c r="Y245" s="388">
        <v>0</v>
      </c>
      <c r="Z245" s="388">
        <v>0</v>
      </c>
      <c r="AA245" s="388">
        <v>0</v>
      </c>
      <c r="AB245" s="388">
        <v>0</v>
      </c>
      <c r="AC245" s="79">
        <v>0</v>
      </c>
      <c r="AD245" s="76"/>
      <c r="AE245" s="76"/>
      <c r="AF245" s="76"/>
      <c r="AG245" s="76"/>
      <c r="AH245" s="76"/>
      <c r="AI245" s="76"/>
      <c r="AJ245" s="76"/>
      <c r="AK245" s="76"/>
      <c r="AL245" s="76"/>
      <c r="AM245" s="76"/>
      <c r="AN245" s="73"/>
      <c r="AO245" s="57"/>
      <c r="AP245" s="45"/>
      <c r="AQ245" s="45"/>
      <c r="AR245" s="45"/>
      <c r="AS245" s="441"/>
      <c r="AT245" s="441"/>
    </row>
    <row r="246" spans="1:46" outlineLevel="2" x14ac:dyDescent="0.25">
      <c r="A246" s="45"/>
      <c r="B246" s="54"/>
      <c r="C246" s="87">
        <f>INT($C$167)+2</f>
        <v>3</v>
      </c>
      <c r="D246" s="73"/>
      <c r="E246" s="70">
        <v>6</v>
      </c>
      <c r="F246" s="70">
        <f>E246</f>
        <v>6</v>
      </c>
      <c r="G246" s="73"/>
      <c r="H246" s="96" t="str">
        <f>INDEX($H$183:$H$190,$E246+1,1)</f>
        <v>Mutton grid (6)</v>
      </c>
      <c r="I246" s="173">
        <v>10.1</v>
      </c>
      <c r="J246" s="444">
        <v>3</v>
      </c>
      <c r="K246" s="445">
        <v>3</v>
      </c>
      <c r="L246" s="445">
        <v>3</v>
      </c>
      <c r="M246" s="445">
        <v>3</v>
      </c>
      <c r="N246" s="446">
        <v>2</v>
      </c>
      <c r="O246" s="447">
        <v>0</v>
      </c>
      <c r="P246" s="174"/>
      <c r="Q246" s="389">
        <v>0.58834840541455213</v>
      </c>
      <c r="R246" s="390">
        <v>0.57692307692307687</v>
      </c>
      <c r="S246" s="390">
        <v>0.57692307692307687</v>
      </c>
      <c r="T246" s="390">
        <v>0.57692307692307687</v>
      </c>
      <c r="U246" s="391">
        <v>0.53708615552957462</v>
      </c>
      <c r="V246" s="175">
        <v>0</v>
      </c>
      <c r="W246" s="174"/>
      <c r="X246" s="389">
        <v>0.98058067569092011</v>
      </c>
      <c r="Y246" s="390">
        <v>1</v>
      </c>
      <c r="Z246" s="390">
        <v>1</v>
      </c>
      <c r="AA246" s="390">
        <v>1</v>
      </c>
      <c r="AB246" s="391">
        <v>0.71611487403943286</v>
      </c>
      <c r="AC246" s="175">
        <v>0</v>
      </c>
      <c r="AD246" s="76"/>
      <c r="AE246" s="76"/>
      <c r="AF246" s="76"/>
      <c r="AG246" s="76"/>
      <c r="AH246" s="76"/>
      <c r="AI246" s="76"/>
      <c r="AJ246" s="76"/>
      <c r="AK246" s="76"/>
      <c r="AL246" s="76"/>
      <c r="AM246" s="76"/>
      <c r="AN246" s="73"/>
      <c r="AO246" s="57"/>
      <c r="AP246" s="45"/>
      <c r="AQ246" s="45"/>
      <c r="AR246" s="45"/>
      <c r="AS246" s="441"/>
      <c r="AT246" s="441"/>
    </row>
    <row r="247" spans="1:46" outlineLevel="3" x14ac:dyDescent="0.25">
      <c r="A247" s="45"/>
      <c r="B247" s="54"/>
      <c r="C247" s="87">
        <f t="shared" ref="C247:C253" si="57">INT($C$167)+3</f>
        <v>4</v>
      </c>
      <c r="D247" s="73"/>
      <c r="E247" s="70"/>
      <c r="F247" s="70">
        <f t="shared" ref="F247:F253" si="58">F246</f>
        <v>6</v>
      </c>
      <c r="G247" s="73"/>
      <c r="H247" s="176" t="str">
        <f>INDEX($M$175:$M$177,INDEX(i_salep_price_type_s7,$F247+1,1)+1,1)&amp;INDEX($L$175:$L$177,INDEX(ia_s8_s7,$F247+1,1)+1,1)</f>
        <v>$/kg DW, DW - Fat score</v>
      </c>
      <c r="I247" s="173">
        <v>14.1</v>
      </c>
      <c r="J247" s="448">
        <v>4.4000000000000004</v>
      </c>
      <c r="K247" s="449">
        <v>4.4000000000000004</v>
      </c>
      <c r="L247" s="449">
        <v>4.4000000000000004</v>
      </c>
      <c r="M247" s="449">
        <v>4.4000000000000004</v>
      </c>
      <c r="N247" s="450">
        <v>2</v>
      </c>
      <c r="O247" s="447">
        <v>0</v>
      </c>
      <c r="P247" s="174"/>
      <c r="Q247" s="392">
        <v>0.8629109946080098</v>
      </c>
      <c r="R247" s="393">
        <v>0.84615384615384615</v>
      </c>
      <c r="S247" s="393">
        <v>0.84615384615384615</v>
      </c>
      <c r="T247" s="393">
        <v>0.84615384615384615</v>
      </c>
      <c r="U247" s="394">
        <v>0.6504436355879909</v>
      </c>
      <c r="V247" s="175">
        <v>0</v>
      </c>
      <c r="W247" s="174"/>
      <c r="X247" s="392">
        <v>0.98058067569092011</v>
      </c>
      <c r="Y247" s="393">
        <v>1</v>
      </c>
      <c r="Z247" s="393">
        <v>1</v>
      </c>
      <c r="AA247" s="393">
        <v>1</v>
      </c>
      <c r="AB247" s="394">
        <v>0.59131239598908258</v>
      </c>
      <c r="AC247" s="175">
        <v>0</v>
      </c>
      <c r="AD247" s="76"/>
      <c r="AE247" s="76"/>
      <c r="AF247" s="76"/>
      <c r="AG247" s="76"/>
      <c r="AH247" s="76"/>
      <c r="AI247" s="76"/>
      <c r="AJ247" s="76"/>
      <c r="AK247" s="76"/>
      <c r="AL247" s="76"/>
      <c r="AM247" s="76"/>
      <c r="AN247" s="73"/>
      <c r="AO247" s="57"/>
      <c r="AP247" s="45"/>
      <c r="AQ247" s="45"/>
      <c r="AR247" s="45"/>
      <c r="AS247" s="441"/>
      <c r="AT247" s="441"/>
    </row>
    <row r="248" spans="1:46" outlineLevel="3" x14ac:dyDescent="0.25">
      <c r="A248" s="45"/>
      <c r="B248" s="54"/>
      <c r="C248" s="87">
        <f t="shared" si="57"/>
        <v>4</v>
      </c>
      <c r="D248" s="73"/>
      <c r="E248" s="70"/>
      <c r="F248" s="70">
        <f t="shared" si="58"/>
        <v>6</v>
      </c>
      <c r="G248" s="73"/>
      <c r="H248" s="97" t="s">
        <v>259</v>
      </c>
      <c r="I248" s="173">
        <v>18.100000000000001</v>
      </c>
      <c r="J248" s="448">
        <v>5</v>
      </c>
      <c r="K248" s="449">
        <v>5.2</v>
      </c>
      <c r="L248" s="449">
        <v>5.2</v>
      </c>
      <c r="M248" s="449">
        <v>5.2</v>
      </c>
      <c r="N248" s="450">
        <v>4</v>
      </c>
      <c r="O248" s="447">
        <v>0</v>
      </c>
      <c r="P248" s="174"/>
      <c r="Q248" s="392">
        <v>1</v>
      </c>
      <c r="R248" s="393">
        <v>1</v>
      </c>
      <c r="S248" s="393">
        <v>1</v>
      </c>
      <c r="T248" s="393">
        <v>1</v>
      </c>
      <c r="U248" s="394">
        <v>1</v>
      </c>
      <c r="V248" s="175">
        <v>0</v>
      </c>
      <c r="W248" s="174"/>
      <c r="X248" s="392">
        <v>0.96153846153846145</v>
      </c>
      <c r="Y248" s="393">
        <v>1</v>
      </c>
      <c r="Z248" s="393">
        <v>1</v>
      </c>
      <c r="AA248" s="393">
        <v>1</v>
      </c>
      <c r="AB248" s="394">
        <v>0.76923076923076916</v>
      </c>
      <c r="AC248" s="175">
        <v>0</v>
      </c>
      <c r="AD248" s="76"/>
      <c r="AE248" s="76"/>
      <c r="AF248" s="76"/>
      <c r="AG248" s="76"/>
      <c r="AH248" s="76"/>
      <c r="AI248" s="76"/>
      <c r="AJ248" s="76"/>
      <c r="AK248" s="76"/>
      <c r="AL248" s="76"/>
      <c r="AM248" s="76"/>
      <c r="AN248" s="73"/>
      <c r="AO248" s="57"/>
      <c r="AP248" s="45"/>
      <c r="AQ248" s="45"/>
      <c r="AR248" s="45"/>
      <c r="AS248" s="441"/>
      <c r="AT248" s="441"/>
    </row>
    <row r="249" spans="1:46" outlineLevel="3" x14ac:dyDescent="0.25">
      <c r="A249" s="45"/>
      <c r="B249" s="54"/>
      <c r="C249" s="87">
        <f t="shared" si="57"/>
        <v>4</v>
      </c>
      <c r="D249" s="73"/>
      <c r="E249" s="70"/>
      <c r="F249" s="70">
        <f t="shared" si="58"/>
        <v>6</v>
      </c>
      <c r="G249" s="73"/>
      <c r="H249" s="76"/>
      <c r="I249" s="173">
        <v>35.1</v>
      </c>
      <c r="J249" s="448">
        <v>4.5</v>
      </c>
      <c r="K249" s="449">
        <v>4.9000000000000004</v>
      </c>
      <c r="L249" s="449">
        <v>4.9000000000000004</v>
      </c>
      <c r="M249" s="449">
        <v>4.9000000000000004</v>
      </c>
      <c r="N249" s="450">
        <v>4</v>
      </c>
      <c r="O249" s="447">
        <v>0</v>
      </c>
      <c r="P249" s="174"/>
      <c r="Q249" s="392">
        <v>0.92091092027238064</v>
      </c>
      <c r="R249" s="393">
        <v>0.9423076923076924</v>
      </c>
      <c r="S249" s="393">
        <v>0.9423076923076924</v>
      </c>
      <c r="T249" s="393">
        <v>0.9423076923076924</v>
      </c>
      <c r="U249" s="394">
        <v>0.97072534339415095</v>
      </c>
      <c r="V249" s="175">
        <v>0</v>
      </c>
      <c r="W249" s="174"/>
      <c r="X249" s="392">
        <v>0.93970502068610262</v>
      </c>
      <c r="Y249" s="393">
        <v>1</v>
      </c>
      <c r="Z249" s="393">
        <v>1</v>
      </c>
      <c r="AA249" s="393">
        <v>1</v>
      </c>
      <c r="AB249" s="394">
        <v>0.79242885175032729</v>
      </c>
      <c r="AC249" s="175">
        <v>0</v>
      </c>
      <c r="AD249" s="76"/>
      <c r="AE249" s="76"/>
      <c r="AF249" s="76"/>
      <c r="AG249" s="76"/>
      <c r="AH249" s="76"/>
      <c r="AI249" s="76"/>
      <c r="AJ249" s="76"/>
      <c r="AK249" s="76"/>
      <c r="AL249" s="76"/>
      <c r="AM249" s="76"/>
      <c r="AN249" s="73"/>
      <c r="AO249" s="57"/>
      <c r="AP249" s="45"/>
      <c r="AQ249" s="45"/>
      <c r="AR249" s="45"/>
      <c r="AS249" s="441"/>
      <c r="AT249" s="441"/>
    </row>
    <row r="250" spans="1:46" outlineLevel="3" x14ac:dyDescent="0.25">
      <c r="A250" s="45"/>
      <c r="B250" s="54"/>
      <c r="C250" s="87">
        <f t="shared" si="57"/>
        <v>4</v>
      </c>
      <c r="D250" s="73"/>
      <c r="E250" s="70"/>
      <c r="F250" s="70">
        <f t="shared" si="58"/>
        <v>6</v>
      </c>
      <c r="G250" s="73"/>
      <c r="H250" s="76"/>
      <c r="I250" s="173">
        <v>40.1</v>
      </c>
      <c r="J250" s="448">
        <v>4.4000000000000004</v>
      </c>
      <c r="K250" s="449">
        <v>4.5999999999999996</v>
      </c>
      <c r="L250" s="449">
        <v>4.5999999999999996</v>
      </c>
      <c r="M250" s="449">
        <v>4.5999999999999996</v>
      </c>
      <c r="N250" s="450">
        <v>4</v>
      </c>
      <c r="O250" s="447">
        <v>0</v>
      </c>
      <c r="P250" s="174"/>
      <c r="Q250" s="392">
        <v>0.88230467439628724</v>
      </c>
      <c r="R250" s="393">
        <v>0.88461538461538447</v>
      </c>
      <c r="S250" s="393">
        <v>0.88461538461538447</v>
      </c>
      <c r="T250" s="393">
        <v>0.88461538461538447</v>
      </c>
      <c r="U250" s="394">
        <v>0.94053994312596023</v>
      </c>
      <c r="V250" s="175">
        <v>0</v>
      </c>
      <c r="W250" s="174"/>
      <c r="X250" s="392">
        <v>0.9590268199959644</v>
      </c>
      <c r="Y250" s="393">
        <v>1</v>
      </c>
      <c r="Z250" s="393">
        <v>1</v>
      </c>
      <c r="AA250" s="393">
        <v>1</v>
      </c>
      <c r="AB250" s="394">
        <v>0.81786082010953065</v>
      </c>
      <c r="AC250" s="175">
        <v>0</v>
      </c>
      <c r="AD250" s="76"/>
      <c r="AE250" s="76"/>
      <c r="AF250" s="76"/>
      <c r="AG250" s="76"/>
      <c r="AH250" s="76"/>
      <c r="AI250" s="76"/>
      <c r="AJ250" s="76"/>
      <c r="AK250" s="76"/>
      <c r="AL250" s="76"/>
      <c r="AM250" s="76"/>
      <c r="AN250" s="73"/>
      <c r="AO250" s="57"/>
      <c r="AP250" s="45"/>
      <c r="AQ250" s="45"/>
      <c r="AR250" s="45"/>
      <c r="AS250" s="441"/>
      <c r="AT250" s="441"/>
    </row>
    <row r="251" spans="1:46" outlineLevel="3" x14ac:dyDescent="0.25">
      <c r="A251" s="45"/>
      <c r="B251" s="54"/>
      <c r="C251" s="87">
        <f t="shared" si="57"/>
        <v>4</v>
      </c>
      <c r="D251" s="73"/>
      <c r="E251" s="70"/>
      <c r="F251" s="70">
        <f t="shared" si="58"/>
        <v>6</v>
      </c>
      <c r="G251" s="73"/>
      <c r="H251" s="76"/>
      <c r="I251" s="173">
        <v>45.1</v>
      </c>
      <c r="J251" s="448">
        <v>4</v>
      </c>
      <c r="K251" s="449">
        <v>4</v>
      </c>
      <c r="L251" s="449">
        <v>4</v>
      </c>
      <c r="M251" s="449">
        <v>4</v>
      </c>
      <c r="N251" s="450">
        <v>4</v>
      </c>
      <c r="O251" s="447">
        <v>0</v>
      </c>
      <c r="P251" s="174"/>
      <c r="Q251" s="392">
        <v>0.78446454055273618</v>
      </c>
      <c r="R251" s="393">
        <v>0.76923076923076916</v>
      </c>
      <c r="S251" s="393">
        <v>0.76923076923076916</v>
      </c>
      <c r="T251" s="393">
        <v>0.76923076923076916</v>
      </c>
      <c r="U251" s="394">
        <v>0.8770580193070292</v>
      </c>
      <c r="V251" s="175">
        <v>0</v>
      </c>
      <c r="W251" s="174"/>
      <c r="X251" s="392">
        <v>0.98058067569092011</v>
      </c>
      <c r="Y251" s="393">
        <v>1</v>
      </c>
      <c r="Z251" s="393">
        <v>1</v>
      </c>
      <c r="AA251" s="393">
        <v>1</v>
      </c>
      <c r="AB251" s="394">
        <v>0.8770580193070292</v>
      </c>
      <c r="AC251" s="175">
        <v>0</v>
      </c>
      <c r="AD251" s="76"/>
      <c r="AE251" s="76"/>
      <c r="AF251" s="76"/>
      <c r="AG251" s="76"/>
      <c r="AH251" s="76"/>
      <c r="AI251" s="76"/>
      <c r="AJ251" s="76"/>
      <c r="AK251" s="76"/>
      <c r="AL251" s="76"/>
      <c r="AM251" s="76"/>
      <c r="AN251" s="73"/>
      <c r="AO251" s="57"/>
      <c r="AP251" s="45"/>
      <c r="AQ251" s="45"/>
      <c r="AR251" s="45"/>
      <c r="AS251" s="441"/>
      <c r="AT251" s="441"/>
    </row>
    <row r="252" spans="1:46" outlineLevel="3" x14ac:dyDescent="0.25">
      <c r="A252" s="45"/>
      <c r="B252" s="54"/>
      <c r="C252" s="87">
        <f t="shared" si="57"/>
        <v>4</v>
      </c>
      <c r="D252" s="73"/>
      <c r="E252" s="70"/>
      <c r="F252" s="70">
        <f t="shared" si="58"/>
        <v>6</v>
      </c>
      <c r="G252" s="73"/>
      <c r="H252" s="76"/>
      <c r="I252" s="173">
        <f t="shared" ref="I252:N252" si="59">I251</f>
        <v>45.1</v>
      </c>
      <c r="J252" s="465">
        <f t="shared" si="59"/>
        <v>4</v>
      </c>
      <c r="K252" s="466">
        <f t="shared" si="59"/>
        <v>4</v>
      </c>
      <c r="L252" s="466">
        <f t="shared" si="59"/>
        <v>4</v>
      </c>
      <c r="M252" s="466">
        <f t="shared" si="59"/>
        <v>4</v>
      </c>
      <c r="N252" s="467">
        <f t="shared" si="59"/>
        <v>4</v>
      </c>
      <c r="O252" s="447">
        <v>0</v>
      </c>
      <c r="P252" s="174"/>
      <c r="Q252" s="395">
        <v>0.78446454055273618</v>
      </c>
      <c r="R252" s="396">
        <v>0.76923076923076916</v>
      </c>
      <c r="S252" s="396">
        <v>0.76923076923076916</v>
      </c>
      <c r="T252" s="396">
        <v>0.76923076923076916</v>
      </c>
      <c r="U252" s="397">
        <v>0.8770580193070292</v>
      </c>
      <c r="V252" s="175">
        <v>0</v>
      </c>
      <c r="W252" s="174"/>
      <c r="X252" s="395">
        <v>0.98058067569092011</v>
      </c>
      <c r="Y252" s="396">
        <v>1</v>
      </c>
      <c r="Z252" s="396">
        <v>1</v>
      </c>
      <c r="AA252" s="396">
        <v>1</v>
      </c>
      <c r="AB252" s="397">
        <v>0.8770580193070292</v>
      </c>
      <c r="AC252" s="175">
        <v>0</v>
      </c>
      <c r="AD252" s="76"/>
      <c r="AE252" s="76"/>
      <c r="AF252" s="76"/>
      <c r="AG252" s="76"/>
      <c r="AH252" s="76"/>
      <c r="AI252" s="76"/>
      <c r="AJ252" s="76"/>
      <c r="AK252" s="76"/>
      <c r="AL252" s="76"/>
      <c r="AM252" s="76"/>
      <c r="AN252" s="73"/>
      <c r="AO252" s="57"/>
      <c r="AP252" s="45"/>
      <c r="AQ252" s="45"/>
      <c r="AR252" s="45"/>
      <c r="AS252" s="441"/>
      <c r="AT252" s="441"/>
    </row>
    <row r="253" spans="1:46" outlineLevel="3" x14ac:dyDescent="0.25">
      <c r="A253" s="45"/>
      <c r="B253" s="54"/>
      <c r="C253" s="87">
        <f t="shared" si="57"/>
        <v>4</v>
      </c>
      <c r="D253" s="73"/>
      <c r="E253" s="70"/>
      <c r="F253" s="70">
        <f t="shared" si="58"/>
        <v>6</v>
      </c>
      <c r="G253" s="73"/>
      <c r="H253" s="76"/>
      <c r="I253" s="96">
        <v>1000</v>
      </c>
      <c r="J253" s="454">
        <v>0</v>
      </c>
      <c r="K253" s="454">
        <v>0</v>
      </c>
      <c r="L253" s="454">
        <v>0</v>
      </c>
      <c r="M253" s="454">
        <v>0</v>
      </c>
      <c r="N253" s="454">
        <v>0</v>
      </c>
      <c r="O253" s="455">
        <v>0</v>
      </c>
      <c r="P253" s="76"/>
      <c r="Q253" s="388">
        <v>0</v>
      </c>
      <c r="R253" s="388">
        <v>0</v>
      </c>
      <c r="S253" s="388">
        <v>0</v>
      </c>
      <c r="T253" s="388">
        <v>0</v>
      </c>
      <c r="U253" s="388">
        <v>0</v>
      </c>
      <c r="V253" s="79">
        <v>0</v>
      </c>
      <c r="W253" s="76"/>
      <c r="X253" s="388">
        <v>0</v>
      </c>
      <c r="Y253" s="388">
        <v>0</v>
      </c>
      <c r="Z253" s="388">
        <v>0</v>
      </c>
      <c r="AA253" s="388">
        <v>0</v>
      </c>
      <c r="AB253" s="388">
        <v>0</v>
      </c>
      <c r="AC253" s="79">
        <v>0</v>
      </c>
      <c r="AD253" s="76"/>
      <c r="AE253" s="76"/>
      <c r="AF253" s="76"/>
      <c r="AG253" s="76"/>
      <c r="AH253" s="76"/>
      <c r="AI253" s="76"/>
      <c r="AJ253" s="76"/>
      <c r="AK253" s="76"/>
      <c r="AL253" s="76"/>
      <c r="AM253" s="76"/>
      <c r="AN253" s="73"/>
      <c r="AO253" s="57"/>
      <c r="AP253" s="45"/>
      <c r="AQ253" s="45"/>
      <c r="AR253" s="45"/>
      <c r="AS253" s="441"/>
      <c r="AT253" s="441"/>
    </row>
    <row r="254" spans="1:46" outlineLevel="2" x14ac:dyDescent="0.25">
      <c r="A254" s="45"/>
      <c r="B254" s="54"/>
      <c r="C254" s="87">
        <f>INT($C$167)+2</f>
        <v>3</v>
      </c>
      <c r="D254" s="73"/>
      <c r="E254" s="70">
        <v>7</v>
      </c>
      <c r="F254" s="70">
        <f>E254</f>
        <v>7</v>
      </c>
      <c r="G254" s="73"/>
      <c r="H254" s="96" t="str">
        <f>INDEX($H$183:$H$190,$E254+1,1)</f>
        <v>Ram grid (7)</v>
      </c>
      <c r="I254" s="173">
        <v>10</v>
      </c>
      <c r="J254" s="444">
        <v>1</v>
      </c>
      <c r="K254" s="445">
        <v>1</v>
      </c>
      <c r="L254" s="445">
        <v>1</v>
      </c>
      <c r="M254" s="445">
        <v>1</v>
      </c>
      <c r="N254" s="446">
        <v>1</v>
      </c>
      <c r="O254" s="447">
        <v>0</v>
      </c>
      <c r="P254" s="174"/>
      <c r="Q254" s="389">
        <v>0.5</v>
      </c>
      <c r="R254" s="390">
        <v>0.5</v>
      </c>
      <c r="S254" s="390">
        <v>0.70710678118654757</v>
      </c>
      <c r="T254" s="390">
        <v>0.70710678118654757</v>
      </c>
      <c r="U254" s="391">
        <v>0.70710678118654757</v>
      </c>
      <c r="V254" s="175">
        <v>0</v>
      </c>
      <c r="W254" s="174"/>
      <c r="X254" s="389">
        <v>1</v>
      </c>
      <c r="Y254" s="390">
        <v>1</v>
      </c>
      <c r="Z254" s="390">
        <v>0.70710678118654757</v>
      </c>
      <c r="AA254" s="390">
        <v>0.70710678118654757</v>
      </c>
      <c r="AB254" s="391">
        <v>0.70710678118654757</v>
      </c>
      <c r="AC254" s="175">
        <v>0</v>
      </c>
      <c r="AD254" s="76"/>
      <c r="AE254" s="76"/>
      <c r="AF254" s="76"/>
      <c r="AG254" s="76"/>
      <c r="AH254" s="76"/>
      <c r="AI254" s="76"/>
      <c r="AJ254" s="76"/>
      <c r="AK254" s="76"/>
      <c r="AL254" s="76"/>
      <c r="AM254" s="76"/>
      <c r="AN254" s="73"/>
      <c r="AO254" s="57"/>
      <c r="AP254" s="45"/>
      <c r="AQ254" s="45"/>
      <c r="AR254" s="45"/>
      <c r="AS254" s="441"/>
      <c r="AT254" s="441"/>
    </row>
    <row r="255" spans="1:46" outlineLevel="3" x14ac:dyDescent="0.25">
      <c r="A255" s="45"/>
      <c r="B255" s="54"/>
      <c r="C255" s="87">
        <f t="shared" ref="C255:C261" si="60">INT($C$167)+3</f>
        <v>4</v>
      </c>
      <c r="D255" s="73"/>
      <c r="E255" s="70"/>
      <c r="F255" s="70">
        <f t="shared" ref="F255:F261" si="61">F254</f>
        <v>7</v>
      </c>
      <c r="G255" s="73"/>
      <c r="H255" s="176" t="str">
        <f>INDEX($M$175:$M$177,INDEX(i_salep_price_type_s7,$F255+1,1)+1,1)&amp;INDEX($L$175:$L$177,INDEX(ia_s8_s7,$F255+1,1)+1,1)</f>
        <v>$/kg DW, DW - Fat score</v>
      </c>
      <c r="I255" s="173">
        <v>16.100000000000001</v>
      </c>
      <c r="J255" s="448">
        <v>2</v>
      </c>
      <c r="K255" s="449">
        <v>2</v>
      </c>
      <c r="L255" s="449">
        <v>1</v>
      </c>
      <c r="M255" s="449">
        <v>1</v>
      </c>
      <c r="N255" s="450">
        <v>1</v>
      </c>
      <c r="O255" s="447">
        <v>0</v>
      </c>
      <c r="P255" s="174"/>
      <c r="Q255" s="392">
        <v>1</v>
      </c>
      <c r="R255" s="393">
        <v>1</v>
      </c>
      <c r="S255" s="393">
        <v>1</v>
      </c>
      <c r="T255" s="393">
        <v>1</v>
      </c>
      <c r="U255" s="394">
        <v>1</v>
      </c>
      <c r="V255" s="175">
        <v>0</v>
      </c>
      <c r="W255" s="174"/>
      <c r="X255" s="392">
        <v>1</v>
      </c>
      <c r="Y255" s="393">
        <v>1</v>
      </c>
      <c r="Z255" s="393">
        <v>0.5</v>
      </c>
      <c r="AA255" s="393">
        <v>0.5</v>
      </c>
      <c r="AB255" s="394">
        <v>0.5</v>
      </c>
      <c r="AC255" s="175">
        <v>0</v>
      </c>
      <c r="AD255" s="76"/>
      <c r="AE255" s="76"/>
      <c r="AF255" s="76"/>
      <c r="AG255" s="76"/>
      <c r="AH255" s="76"/>
      <c r="AI255" s="76"/>
      <c r="AJ255" s="76"/>
      <c r="AK255" s="76"/>
      <c r="AL255" s="76"/>
      <c r="AM255" s="76"/>
      <c r="AN255" s="73"/>
      <c r="AO255" s="57"/>
      <c r="AP255" s="45"/>
      <c r="AQ255" s="45"/>
      <c r="AR255" s="45"/>
      <c r="AS255" s="441"/>
      <c r="AT255" s="441"/>
    </row>
    <row r="256" spans="1:46" outlineLevel="3" x14ac:dyDescent="0.25">
      <c r="A256" s="45"/>
      <c r="B256" s="54"/>
      <c r="C256" s="87">
        <f t="shared" si="60"/>
        <v>4</v>
      </c>
      <c r="D256" s="73"/>
      <c r="E256" s="70"/>
      <c r="F256" s="70">
        <f t="shared" si="61"/>
        <v>7</v>
      </c>
      <c r="G256" s="73"/>
      <c r="H256" s="97" t="s">
        <v>260</v>
      </c>
      <c r="I256" s="173">
        <v>30</v>
      </c>
      <c r="J256" s="448">
        <v>1</v>
      </c>
      <c r="K256" s="449">
        <v>1</v>
      </c>
      <c r="L256" s="449">
        <v>1</v>
      </c>
      <c r="M256" s="449">
        <v>1</v>
      </c>
      <c r="N256" s="450">
        <v>1</v>
      </c>
      <c r="O256" s="447">
        <v>0</v>
      </c>
      <c r="P256" s="174"/>
      <c r="Q256" s="392">
        <v>0.5</v>
      </c>
      <c r="R256" s="393">
        <v>0.5</v>
      </c>
      <c r="S256" s="393">
        <v>0.70710678118654757</v>
      </c>
      <c r="T256" s="393">
        <v>0.70710678118654757</v>
      </c>
      <c r="U256" s="394">
        <v>0.70710678118654757</v>
      </c>
      <c r="V256" s="175">
        <v>0</v>
      </c>
      <c r="W256" s="174"/>
      <c r="X256" s="392">
        <v>1</v>
      </c>
      <c r="Y256" s="393">
        <v>1</v>
      </c>
      <c r="Z256" s="393">
        <v>0.70710678118654757</v>
      </c>
      <c r="AA256" s="393">
        <v>0.70710678118654757</v>
      </c>
      <c r="AB256" s="394">
        <v>0.70710678118654757</v>
      </c>
      <c r="AC256" s="175">
        <v>0</v>
      </c>
      <c r="AD256" s="76"/>
      <c r="AE256" s="76"/>
      <c r="AF256" s="76"/>
      <c r="AG256" s="76"/>
      <c r="AH256" s="76"/>
      <c r="AI256" s="76"/>
      <c r="AJ256" s="76"/>
      <c r="AK256" s="76"/>
      <c r="AL256" s="76"/>
      <c r="AM256" s="76"/>
      <c r="AN256" s="73"/>
      <c r="AO256" s="57"/>
      <c r="AP256" s="45"/>
      <c r="AQ256" s="45"/>
      <c r="AR256" s="45"/>
      <c r="AS256" s="441"/>
      <c r="AT256" s="441"/>
    </row>
    <row r="257" spans="1:46" outlineLevel="3" x14ac:dyDescent="0.25">
      <c r="A257" s="45"/>
      <c r="B257" s="54"/>
      <c r="C257" s="87">
        <f t="shared" si="60"/>
        <v>4</v>
      </c>
      <c r="D257" s="73"/>
      <c r="E257" s="70"/>
      <c r="F257" s="70">
        <f t="shared" si="61"/>
        <v>7</v>
      </c>
      <c r="G257" s="73"/>
      <c r="H257" s="76"/>
      <c r="I257" s="173">
        <f t="shared" ref="I257:N260" si="62">I256</f>
        <v>30</v>
      </c>
      <c r="J257" s="468">
        <f t="shared" si="62"/>
        <v>1</v>
      </c>
      <c r="K257" s="469">
        <f t="shared" si="62"/>
        <v>1</v>
      </c>
      <c r="L257" s="469">
        <f t="shared" si="62"/>
        <v>1</v>
      </c>
      <c r="M257" s="469">
        <f t="shared" si="62"/>
        <v>1</v>
      </c>
      <c r="N257" s="470">
        <f t="shared" si="62"/>
        <v>1</v>
      </c>
      <c r="O257" s="447">
        <v>0</v>
      </c>
      <c r="P257" s="174"/>
      <c r="Q257" s="392">
        <v>0.5</v>
      </c>
      <c r="R257" s="393">
        <v>0.5</v>
      </c>
      <c r="S257" s="393">
        <v>0.70710678118654757</v>
      </c>
      <c r="T257" s="393">
        <v>0.70710678118654757</v>
      </c>
      <c r="U257" s="394">
        <v>0.70710678118654757</v>
      </c>
      <c r="V257" s="175">
        <v>0</v>
      </c>
      <c r="W257" s="174"/>
      <c r="X257" s="392">
        <v>1</v>
      </c>
      <c r="Y257" s="393">
        <v>1</v>
      </c>
      <c r="Z257" s="393">
        <v>0.70710678118654757</v>
      </c>
      <c r="AA257" s="393">
        <v>0.70710678118654757</v>
      </c>
      <c r="AB257" s="394">
        <v>0.70710678118654757</v>
      </c>
      <c r="AC257" s="175">
        <v>0</v>
      </c>
      <c r="AD257" s="76"/>
      <c r="AE257" s="76"/>
      <c r="AF257" s="76"/>
      <c r="AG257" s="76"/>
      <c r="AH257" s="76"/>
      <c r="AI257" s="76"/>
      <c r="AJ257" s="76"/>
      <c r="AK257" s="76"/>
      <c r="AL257" s="76"/>
      <c r="AM257" s="76"/>
      <c r="AN257" s="73"/>
      <c r="AO257" s="57"/>
      <c r="AP257" s="45"/>
      <c r="AQ257" s="45"/>
      <c r="AR257" s="45"/>
      <c r="AS257" s="441"/>
      <c r="AT257" s="441"/>
    </row>
    <row r="258" spans="1:46" outlineLevel="3" x14ac:dyDescent="0.25">
      <c r="A258" s="45"/>
      <c r="B258" s="54"/>
      <c r="C258" s="87">
        <f t="shared" si="60"/>
        <v>4</v>
      </c>
      <c r="D258" s="73"/>
      <c r="E258" s="70"/>
      <c r="F258" s="70">
        <f t="shared" si="61"/>
        <v>7</v>
      </c>
      <c r="G258" s="73"/>
      <c r="H258" s="76"/>
      <c r="I258" s="173">
        <f t="shared" si="62"/>
        <v>30</v>
      </c>
      <c r="J258" s="468">
        <f t="shared" si="62"/>
        <v>1</v>
      </c>
      <c r="K258" s="469">
        <f t="shared" si="62"/>
        <v>1</v>
      </c>
      <c r="L258" s="469">
        <f t="shared" si="62"/>
        <v>1</v>
      </c>
      <c r="M258" s="469">
        <f t="shared" si="62"/>
        <v>1</v>
      </c>
      <c r="N258" s="470">
        <f t="shared" si="62"/>
        <v>1</v>
      </c>
      <c r="O258" s="447">
        <v>0</v>
      </c>
      <c r="P258" s="174"/>
      <c r="Q258" s="392">
        <v>0.5</v>
      </c>
      <c r="R258" s="393">
        <v>0.5</v>
      </c>
      <c r="S258" s="393">
        <v>0.70710678118654757</v>
      </c>
      <c r="T258" s="393">
        <v>0.70710678118654757</v>
      </c>
      <c r="U258" s="394">
        <v>0.70710678118654757</v>
      </c>
      <c r="V258" s="175">
        <v>0</v>
      </c>
      <c r="W258" s="174"/>
      <c r="X258" s="392">
        <v>1</v>
      </c>
      <c r="Y258" s="393">
        <v>1</v>
      </c>
      <c r="Z258" s="393">
        <v>0.70710678118654757</v>
      </c>
      <c r="AA258" s="393">
        <v>0.70710678118654757</v>
      </c>
      <c r="AB258" s="394">
        <v>0.70710678118654757</v>
      </c>
      <c r="AC258" s="175">
        <v>0</v>
      </c>
      <c r="AD258" s="76"/>
      <c r="AE258" s="76"/>
      <c r="AF258" s="76"/>
      <c r="AG258" s="76"/>
      <c r="AH258" s="76"/>
      <c r="AI258" s="76"/>
      <c r="AJ258" s="76"/>
      <c r="AK258" s="76"/>
      <c r="AL258" s="76"/>
      <c r="AM258" s="76"/>
      <c r="AN258" s="73"/>
      <c r="AO258" s="57"/>
      <c r="AP258" s="45"/>
      <c r="AQ258" s="45"/>
      <c r="AR258" s="45"/>
      <c r="AS258" s="441"/>
      <c r="AT258" s="441"/>
    </row>
    <row r="259" spans="1:46" outlineLevel="3" x14ac:dyDescent="0.25">
      <c r="A259" s="45"/>
      <c r="B259" s="54"/>
      <c r="C259" s="87">
        <f t="shared" si="60"/>
        <v>4</v>
      </c>
      <c r="D259" s="73"/>
      <c r="E259" s="70"/>
      <c r="F259" s="70">
        <f t="shared" si="61"/>
        <v>7</v>
      </c>
      <c r="G259" s="73"/>
      <c r="H259" s="76"/>
      <c r="I259" s="173">
        <f t="shared" si="62"/>
        <v>30</v>
      </c>
      <c r="J259" s="468">
        <f t="shared" si="62"/>
        <v>1</v>
      </c>
      <c r="K259" s="469">
        <f t="shared" si="62"/>
        <v>1</v>
      </c>
      <c r="L259" s="469">
        <f t="shared" si="62"/>
        <v>1</v>
      </c>
      <c r="M259" s="469">
        <f t="shared" si="62"/>
        <v>1</v>
      </c>
      <c r="N259" s="470">
        <f t="shared" si="62"/>
        <v>1</v>
      </c>
      <c r="O259" s="447">
        <v>0</v>
      </c>
      <c r="P259" s="174"/>
      <c r="Q259" s="392">
        <v>0.5</v>
      </c>
      <c r="R259" s="393">
        <v>0.5</v>
      </c>
      <c r="S259" s="393">
        <v>0.70710678118654757</v>
      </c>
      <c r="T259" s="393">
        <v>0.70710678118654757</v>
      </c>
      <c r="U259" s="394">
        <v>0.70710678118654757</v>
      </c>
      <c r="V259" s="175">
        <v>0</v>
      </c>
      <c r="W259" s="174"/>
      <c r="X259" s="392">
        <v>1</v>
      </c>
      <c r="Y259" s="393">
        <v>1</v>
      </c>
      <c r="Z259" s="393">
        <v>0.70710678118654757</v>
      </c>
      <c r="AA259" s="393">
        <v>0.70710678118654757</v>
      </c>
      <c r="AB259" s="394">
        <v>0.70710678118654757</v>
      </c>
      <c r="AC259" s="175">
        <v>0</v>
      </c>
      <c r="AD259" s="76"/>
      <c r="AE259" s="76"/>
      <c r="AF259" s="76"/>
      <c r="AG259" s="76"/>
      <c r="AH259" s="76"/>
      <c r="AI259" s="76"/>
      <c r="AJ259" s="76"/>
      <c r="AK259" s="76"/>
      <c r="AL259" s="76"/>
      <c r="AM259" s="76"/>
      <c r="AN259" s="73"/>
      <c r="AO259" s="57"/>
      <c r="AP259" s="45"/>
      <c r="AQ259" s="45"/>
      <c r="AR259" s="45"/>
      <c r="AS259" s="441"/>
      <c r="AT259" s="441"/>
    </row>
    <row r="260" spans="1:46" outlineLevel="3" x14ac:dyDescent="0.25">
      <c r="A260" s="45"/>
      <c r="B260" s="54"/>
      <c r="C260" s="87">
        <f t="shared" si="60"/>
        <v>4</v>
      </c>
      <c r="D260" s="73"/>
      <c r="E260" s="70"/>
      <c r="F260" s="70">
        <f t="shared" si="61"/>
        <v>7</v>
      </c>
      <c r="G260" s="73"/>
      <c r="H260" s="76"/>
      <c r="I260" s="173">
        <f t="shared" si="62"/>
        <v>30</v>
      </c>
      <c r="J260" s="465">
        <f t="shared" si="62"/>
        <v>1</v>
      </c>
      <c r="K260" s="466">
        <f t="shared" si="62"/>
        <v>1</v>
      </c>
      <c r="L260" s="466">
        <f t="shared" si="62"/>
        <v>1</v>
      </c>
      <c r="M260" s="466">
        <f t="shared" si="62"/>
        <v>1</v>
      </c>
      <c r="N260" s="467">
        <f t="shared" si="62"/>
        <v>1</v>
      </c>
      <c r="O260" s="447">
        <v>0</v>
      </c>
      <c r="P260" s="174"/>
      <c r="Q260" s="395">
        <v>0.5</v>
      </c>
      <c r="R260" s="396">
        <v>0.5</v>
      </c>
      <c r="S260" s="396">
        <v>0.70710678118654757</v>
      </c>
      <c r="T260" s="396">
        <v>0.70710678118654757</v>
      </c>
      <c r="U260" s="397">
        <v>0.70710678118654757</v>
      </c>
      <c r="V260" s="175">
        <v>0</v>
      </c>
      <c r="W260" s="174"/>
      <c r="X260" s="395">
        <v>1</v>
      </c>
      <c r="Y260" s="396">
        <v>1</v>
      </c>
      <c r="Z260" s="396">
        <v>0.70710678118654757</v>
      </c>
      <c r="AA260" s="396">
        <v>0.70710678118654757</v>
      </c>
      <c r="AB260" s="397">
        <v>0.70710678118654757</v>
      </c>
      <c r="AC260" s="175">
        <v>0</v>
      </c>
      <c r="AD260" s="76"/>
      <c r="AE260" s="76"/>
      <c r="AF260" s="76"/>
      <c r="AG260" s="76"/>
      <c r="AH260" s="76"/>
      <c r="AI260" s="76"/>
      <c r="AJ260" s="76"/>
      <c r="AK260" s="76"/>
      <c r="AL260" s="76"/>
      <c r="AM260" s="76"/>
      <c r="AN260" s="73"/>
      <c r="AO260" s="57"/>
      <c r="AP260" s="45"/>
      <c r="AQ260" s="45"/>
      <c r="AR260" s="45"/>
      <c r="AS260" s="441"/>
      <c r="AT260" s="441"/>
    </row>
    <row r="261" spans="1:46" outlineLevel="3" x14ac:dyDescent="0.25">
      <c r="A261" s="45"/>
      <c r="B261" s="54"/>
      <c r="C261" s="87">
        <f t="shared" si="60"/>
        <v>4</v>
      </c>
      <c r="D261" s="73"/>
      <c r="E261" s="70"/>
      <c r="F261" s="70">
        <f t="shared" si="61"/>
        <v>7</v>
      </c>
      <c r="G261" s="73"/>
      <c r="H261" s="76"/>
      <c r="I261" s="96">
        <v>1000</v>
      </c>
      <c r="J261" s="454">
        <v>0</v>
      </c>
      <c r="K261" s="454">
        <v>0</v>
      </c>
      <c r="L261" s="454">
        <v>0</v>
      </c>
      <c r="M261" s="454">
        <v>0</v>
      </c>
      <c r="N261" s="454">
        <v>0</v>
      </c>
      <c r="O261" s="455">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41"/>
      <c r="AT261" s="441"/>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41"/>
      <c r="AT262" s="441"/>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41"/>
      <c r="AT263" s="441"/>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41"/>
      <c r="AT264" s="441"/>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41"/>
      <c r="AT265" s="441"/>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41"/>
      <c r="AT266" s="441"/>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41"/>
      <c r="AT267" s="441"/>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41"/>
      <c r="AT268" s="441"/>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41"/>
      <c r="AT269" s="441"/>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41"/>
      <c r="AT270" s="441"/>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41"/>
      <c r="AT271" s="441"/>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41"/>
      <c r="AT272" s="441"/>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41"/>
      <c r="AT273" s="441"/>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41"/>
      <c r="AT274" s="441"/>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41"/>
      <c r="AT275" s="441"/>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41"/>
      <c r="AT276" s="441"/>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41"/>
      <c r="AT277" s="441"/>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41"/>
      <c r="AT278" s="441"/>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41"/>
      <c r="AT279" s="441"/>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41"/>
      <c r="AT280" s="441"/>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41"/>
      <c r="AT281" s="441"/>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41"/>
      <c r="AT282" s="441"/>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41"/>
      <c r="AT283" s="441"/>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41"/>
      <c r="AT284" s="441"/>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41"/>
      <c r="AT285" s="441"/>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41"/>
      <c r="AT286" s="441"/>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41"/>
      <c r="AT287" s="441"/>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41"/>
      <c r="AT288" s="441"/>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41"/>
      <c r="AT289" s="441"/>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41"/>
      <c r="AT290" s="441"/>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41"/>
      <c r="AT291" s="441"/>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41"/>
      <c r="AT292" s="441"/>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41"/>
      <c r="AT293" s="441"/>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41"/>
      <c r="AT294" s="441"/>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41"/>
      <c r="AT295" s="441"/>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41"/>
      <c r="AT296" s="441"/>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41"/>
      <c r="AT297" s="441"/>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41"/>
      <c r="AT298" s="441"/>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41"/>
      <c r="AT299" s="441"/>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41"/>
      <c r="AT300" s="441"/>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41"/>
      <c r="AT301" s="441"/>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41"/>
      <c r="AT302" s="441"/>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41"/>
      <c r="AT303" s="441"/>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41"/>
      <c r="AT304" s="441"/>
    </row>
    <row r="305" spans="1:46" outlineLevel="3" x14ac:dyDescent="0.25">
      <c r="A305" s="45"/>
      <c r="B305" s="54"/>
      <c r="C305" s="87">
        <f t="shared" ref="C305:C313" si="63">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41"/>
      <c r="AT305" s="441"/>
    </row>
    <row r="306" spans="1:46" outlineLevel="3" x14ac:dyDescent="0.25">
      <c r="A306" s="45"/>
      <c r="B306" s="54"/>
      <c r="C306" s="87">
        <f t="shared" si="63"/>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41"/>
      <c r="AT306" s="441"/>
    </row>
    <row r="307" spans="1:46" outlineLevel="3" x14ac:dyDescent="0.25">
      <c r="A307" s="45"/>
      <c r="B307" s="54"/>
      <c r="C307" s="87">
        <f t="shared" si="63"/>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41"/>
      <c r="AT307" s="441"/>
    </row>
    <row r="308" spans="1:46" outlineLevel="3" x14ac:dyDescent="0.25">
      <c r="A308" s="45"/>
      <c r="B308" s="54"/>
      <c r="C308" s="87">
        <f t="shared" si="63"/>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41"/>
      <c r="AT308" s="441"/>
    </row>
    <row r="309" spans="1:46" outlineLevel="3" x14ac:dyDescent="0.25">
      <c r="A309" s="45"/>
      <c r="B309" s="54"/>
      <c r="C309" s="87">
        <f t="shared" si="63"/>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41"/>
      <c r="AT309" s="441"/>
    </row>
    <row r="310" spans="1:46" outlineLevel="3" x14ac:dyDescent="0.25">
      <c r="A310" s="45"/>
      <c r="B310" s="54"/>
      <c r="C310" s="87">
        <f t="shared" si="63"/>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41"/>
      <c r="AT310" s="441"/>
    </row>
    <row r="311" spans="1:46" outlineLevel="3" x14ac:dyDescent="0.25">
      <c r="A311" s="45"/>
      <c r="B311" s="54"/>
      <c r="C311" s="87">
        <f t="shared" si="63"/>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41"/>
      <c r="AT311" s="441"/>
    </row>
    <row r="312" spans="1:46" outlineLevel="3" x14ac:dyDescent="0.25">
      <c r="A312" s="45"/>
      <c r="B312" s="54"/>
      <c r="C312" s="87">
        <f t="shared" si="63"/>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41"/>
      <c r="AT312" s="441"/>
    </row>
    <row r="313" spans="1:46" outlineLevel="3" x14ac:dyDescent="0.25">
      <c r="A313" s="45"/>
      <c r="B313" s="54"/>
      <c r="C313" s="87">
        <f t="shared" si="63"/>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41"/>
      <c r="AT313" s="441"/>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41"/>
      <c r="AT314" s="441"/>
    </row>
    <row r="315" spans="1:46" outlineLevel="1" x14ac:dyDescent="0.25">
      <c r="A315" s="45"/>
      <c r="B315" s="54"/>
      <c r="C315" s="87">
        <f>INT($C$293)+1</f>
        <v>2</v>
      </c>
      <c r="D315" s="73"/>
      <c r="E315" s="70"/>
      <c r="F315" s="70"/>
      <c r="G315" s="73"/>
      <c r="H315" s="90" t="s">
        <v>2157</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41"/>
      <c r="AT315" s="441"/>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41"/>
      <c r="AT316" s="441"/>
    </row>
    <row r="317" spans="1:46" ht="45" outlineLevel="3" x14ac:dyDescent="0.25">
      <c r="A317" s="45"/>
      <c r="B317" s="54"/>
      <c r="C317" s="87">
        <f t="shared" ref="C317:C322" si="64">INT($C$293)+3</f>
        <v>4</v>
      </c>
      <c r="D317" s="73"/>
      <c r="E317" s="70"/>
      <c r="F317" s="70"/>
      <c r="G317" s="73"/>
      <c r="H317" s="187"/>
      <c r="I317" s="76"/>
      <c r="J317" s="270" t="s">
        <v>2162</v>
      </c>
      <c r="K317" s="270" t="s">
        <v>2158</v>
      </c>
      <c r="L317" s="270" t="s">
        <v>2159</v>
      </c>
      <c r="M317" s="270" t="s">
        <v>2980</v>
      </c>
      <c r="N317" s="270" t="s">
        <v>2979</v>
      </c>
      <c r="O317" s="76" t="s">
        <v>2166</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41"/>
      <c r="AT317" s="441"/>
    </row>
    <row r="318" spans="1:46" outlineLevel="3" x14ac:dyDescent="0.25">
      <c r="A318" s="45"/>
      <c r="B318" s="54"/>
      <c r="C318" s="87">
        <f t="shared" si="64"/>
        <v>4</v>
      </c>
      <c r="D318" s="73"/>
      <c r="E318" s="70"/>
      <c r="F318" s="70"/>
      <c r="G318" s="73"/>
      <c r="H318" s="76"/>
      <c r="I318" s="76"/>
      <c r="J318" s="96" t="s">
        <v>2163</v>
      </c>
      <c r="K318" s="96" t="s">
        <v>2160</v>
      </c>
      <c r="L318" s="96" t="s">
        <v>2161</v>
      </c>
      <c r="M318" s="96" t="s">
        <v>2977</v>
      </c>
      <c r="N318" s="96" t="s">
        <v>2978</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41"/>
      <c r="AT318" s="441"/>
    </row>
    <row r="319" spans="1:46" outlineLevel="3" x14ac:dyDescent="0.25">
      <c r="A319" s="45"/>
      <c r="B319" s="54"/>
      <c r="C319" s="87">
        <f t="shared" si="64"/>
        <v>4</v>
      </c>
      <c r="D319" s="73"/>
      <c r="E319" s="70"/>
      <c r="F319" s="70">
        <v>0</v>
      </c>
      <c r="G319" s="73"/>
      <c r="H319" s="188" t="s">
        <v>2164</v>
      </c>
      <c r="I319" s="76"/>
      <c r="J319" s="97">
        <v>100000</v>
      </c>
      <c r="K319" s="97">
        <v>1000</v>
      </c>
      <c r="L319" s="334">
        <v>2.5000000000000001E-2</v>
      </c>
      <c r="M319" s="97">
        <f>K319/(40*1.15)/0.85</f>
        <v>25.575447570332482</v>
      </c>
      <c r="N319" s="482">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41"/>
      <c r="AT319" s="441"/>
    </row>
    <row r="320" spans="1:46" outlineLevel="3" x14ac:dyDescent="0.25">
      <c r="A320" s="45"/>
      <c r="B320" s="54"/>
      <c r="C320" s="87">
        <f t="shared" si="64"/>
        <v>4</v>
      </c>
      <c r="D320" s="73"/>
      <c r="E320" s="70"/>
      <c r="F320" s="70">
        <v>1</v>
      </c>
      <c r="G320" s="73"/>
      <c r="H320" s="188" t="s">
        <v>2156</v>
      </c>
      <c r="I320" s="76"/>
      <c r="J320" s="97">
        <v>100000</v>
      </c>
      <c r="K320" s="97">
        <v>1000</v>
      </c>
      <c r="L320" s="334">
        <v>7.4999999999999997E-2</v>
      </c>
      <c r="M320" s="97">
        <f>K320/(40*1.15)/0.85</f>
        <v>25.575447570332482</v>
      </c>
      <c r="N320" s="482">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41"/>
      <c r="AT320" s="441"/>
    </row>
    <row r="321" spans="1:46" outlineLevel="3" x14ac:dyDescent="0.25">
      <c r="A321" s="45"/>
      <c r="B321" s="54"/>
      <c r="C321" s="87">
        <f t="shared" si="64"/>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41"/>
      <c r="AT321" s="441"/>
    </row>
    <row r="322" spans="1:46" outlineLevel="3" x14ac:dyDescent="0.25">
      <c r="A322" s="45"/>
      <c r="B322" s="54"/>
      <c r="C322" s="87">
        <f t="shared" si="64"/>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41"/>
      <c r="AT322" s="441"/>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41"/>
      <c r="AT323" s="441"/>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41"/>
      <c r="AT324" s="441"/>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41"/>
      <c r="AT325" s="441"/>
    </row>
    <row r="326" spans="1:46" ht="22.5" outlineLevel="2" x14ac:dyDescent="0.25">
      <c r="A326" s="45"/>
      <c r="B326" s="54"/>
      <c r="C326" s="87">
        <f>INT($C$293)+2</f>
        <v>3</v>
      </c>
      <c r="D326" s="73"/>
      <c r="E326" s="70"/>
      <c r="F326" s="70"/>
      <c r="G326" s="73"/>
      <c r="H326" s="109"/>
      <c r="I326" s="109"/>
      <c r="J326" s="109"/>
      <c r="K326" s="109"/>
      <c r="L326" s="109" t="s">
        <v>3041</v>
      </c>
      <c r="M326" s="490">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72"/>
      <c r="AI326" s="472"/>
      <c r="AJ326" s="472"/>
      <c r="AK326" s="472"/>
      <c r="AL326" s="472"/>
      <c r="AM326" s="472"/>
      <c r="AN326" s="73"/>
      <c r="AO326" s="57"/>
      <c r="AP326" s="45"/>
      <c r="AQ326" s="45"/>
      <c r="AR326" s="45"/>
      <c r="AS326" s="441"/>
      <c r="AT326" s="441"/>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2998</v>
      </c>
      <c r="U327" s="190" t="s">
        <v>316</v>
      </c>
      <c r="V327" s="190"/>
      <c r="W327" s="190"/>
      <c r="X327" s="190" t="s">
        <v>317</v>
      </c>
      <c r="Y327" s="190" t="s">
        <v>318</v>
      </c>
      <c r="Z327" s="190" t="s">
        <v>319</v>
      </c>
      <c r="AA327" s="190"/>
      <c r="AB327" s="190" t="s">
        <v>320</v>
      </c>
      <c r="AC327" s="190" t="s">
        <v>321</v>
      </c>
      <c r="AD327" s="190" t="s">
        <v>322</v>
      </c>
      <c r="AE327" s="190"/>
      <c r="AF327" s="190"/>
      <c r="AG327" s="190" t="s">
        <v>323</v>
      </c>
      <c r="AH327" s="473"/>
      <c r="AI327" s="473"/>
      <c r="AJ327" s="473"/>
      <c r="AK327" s="473"/>
      <c r="AL327" s="473"/>
      <c r="AM327" s="473"/>
      <c r="AN327" s="73"/>
      <c r="AO327" s="57"/>
      <c r="AP327" s="45"/>
      <c r="AQ327" s="45"/>
      <c r="AR327" s="45"/>
      <c r="AS327" s="441"/>
      <c r="AT327" s="441"/>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2999</v>
      </c>
      <c r="U328" s="191" t="s">
        <v>2997</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41"/>
      <c r="AT328" s="441"/>
    </row>
    <row r="329" spans="1:46" outlineLevel="3" x14ac:dyDescent="0.25">
      <c r="A329" s="45"/>
      <c r="B329" s="54"/>
      <c r="C329" s="87">
        <f>INT($C$293)+3</f>
        <v>4</v>
      </c>
      <c r="D329" s="73"/>
      <c r="E329" s="70"/>
      <c r="F329" s="70"/>
      <c r="G329" s="73"/>
      <c r="H329" s="76" t="s">
        <v>2996</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41"/>
      <c r="AT329" s="441"/>
    </row>
    <row r="330" spans="1:46" outlineLevel="3" x14ac:dyDescent="0.25">
      <c r="A330" s="45"/>
      <c r="B330" s="54"/>
      <c r="C330" s="87">
        <f t="shared" ref="C330:C336" si="65">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41"/>
      <c r="AT330" s="441"/>
    </row>
    <row r="331" spans="1:46" outlineLevel="3" x14ac:dyDescent="0.25">
      <c r="A331" s="45"/>
      <c r="B331" s="54"/>
      <c r="C331" s="87">
        <f t="shared" si="65"/>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41"/>
      <c r="AT331" s="441"/>
    </row>
    <row r="332" spans="1:46" outlineLevel="3" x14ac:dyDescent="0.25">
      <c r="A332" s="45"/>
      <c r="B332" s="54"/>
      <c r="C332" s="87">
        <f t="shared" si="65"/>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41"/>
      <c r="AT332" s="441"/>
    </row>
    <row r="333" spans="1:46" outlineLevel="3" x14ac:dyDescent="0.25">
      <c r="A333" s="45"/>
      <c r="B333" s="54"/>
      <c r="C333" s="87">
        <f t="shared" si="65"/>
        <v>4</v>
      </c>
      <c r="D333" s="73"/>
      <c r="E333" s="70"/>
      <c r="F333" s="70"/>
      <c r="G333" s="73"/>
      <c r="H333" s="76"/>
      <c r="I333" s="76"/>
      <c r="J333" s="76"/>
      <c r="K333" s="76"/>
      <c r="L333" s="76"/>
      <c r="M333" s="76"/>
      <c r="N333" s="76"/>
      <c r="O333" s="76"/>
      <c r="P333" s="76"/>
      <c r="Q333" s="76"/>
      <c r="R333" s="76"/>
      <c r="S333" s="76"/>
      <c r="T333" s="96" t="str">
        <f t="shared" ref="T333:AG333" si="66">INDEX($H$306:$H$314,T332+1,1)</f>
        <v>LW</v>
      </c>
      <c r="U333" s="96" t="str">
        <f t="shared" si="66"/>
        <v>LW</v>
      </c>
      <c r="V333" s="96" t="str">
        <f t="shared" si="66"/>
        <v>head</v>
      </c>
      <c r="W333" s="96" t="str">
        <f t="shared" si="66"/>
        <v>head</v>
      </c>
      <c r="X333" s="96" t="str">
        <f t="shared" si="66"/>
        <v>head</v>
      </c>
      <c r="Y333" s="96" t="str">
        <f t="shared" si="66"/>
        <v>head</v>
      </c>
      <c r="Z333" s="96" t="str">
        <f t="shared" si="66"/>
        <v>head</v>
      </c>
      <c r="AA333" s="96" t="str">
        <f t="shared" si="66"/>
        <v>nyatf</v>
      </c>
      <c r="AB333" s="96" t="str">
        <f t="shared" si="66"/>
        <v>nyatf</v>
      </c>
      <c r="AC333" s="96" t="str">
        <f t="shared" si="66"/>
        <v>head</v>
      </c>
      <c r="AD333" s="96" t="str">
        <f t="shared" si="66"/>
        <v>head</v>
      </c>
      <c r="AE333" s="96" t="str">
        <f t="shared" si="66"/>
        <v>head</v>
      </c>
      <c r="AF333" s="96" t="str">
        <f t="shared" si="66"/>
        <v>CFW</v>
      </c>
      <c r="AG333" s="96" t="str">
        <f t="shared" si="66"/>
        <v>mob</v>
      </c>
      <c r="AH333" s="96"/>
      <c r="AI333" s="96"/>
      <c r="AJ333" s="96"/>
      <c r="AK333" s="96"/>
      <c r="AL333" s="96"/>
      <c r="AM333" s="96"/>
      <c r="AN333" s="73"/>
      <c r="AO333" s="57"/>
      <c r="AP333" s="45"/>
      <c r="AQ333" s="45"/>
      <c r="AR333" s="45"/>
      <c r="AS333" s="441"/>
      <c r="AT333" s="441"/>
    </row>
    <row r="334" spans="1:46" outlineLevel="3" x14ac:dyDescent="0.25">
      <c r="A334" s="45"/>
      <c r="B334" s="54"/>
      <c r="C334" s="87">
        <f t="shared" si="65"/>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41"/>
      <c r="AT334" s="441"/>
    </row>
    <row r="335" spans="1:46" outlineLevel="3" x14ac:dyDescent="0.25">
      <c r="A335" s="45"/>
      <c r="B335" s="54"/>
      <c r="C335" s="87">
        <f t="shared" si="65"/>
        <v>4</v>
      </c>
      <c r="D335" s="73"/>
      <c r="E335" s="70"/>
      <c r="F335" s="70"/>
      <c r="G335" s="73"/>
      <c r="H335" s="76" t="s">
        <v>344</v>
      </c>
      <c r="I335" s="76"/>
      <c r="J335" s="76"/>
      <c r="K335" s="76"/>
      <c r="L335" s="76"/>
      <c r="M335" s="76"/>
      <c r="N335" s="76"/>
      <c r="O335" s="76"/>
      <c r="P335" s="76"/>
      <c r="Q335" s="76"/>
      <c r="R335" s="76"/>
      <c r="S335" s="76"/>
      <c r="T335" s="193">
        <f t="shared" ref="T335:AF335" si="67">T$331*T$334</f>
        <v>7.909090909090909E-3</v>
      </c>
      <c r="U335" s="193">
        <f t="shared" si="67"/>
        <v>1.0454545454545452E-2</v>
      </c>
      <c r="V335" s="193">
        <f t="shared" si="67"/>
        <v>0.4</v>
      </c>
      <c r="W335" s="193">
        <f t="shared" si="67"/>
        <v>0.4</v>
      </c>
      <c r="X335" s="193">
        <f t="shared" si="67"/>
        <v>0.68909090909090898</v>
      </c>
      <c r="Y335" s="193">
        <f t="shared" si="67"/>
        <v>2.56</v>
      </c>
      <c r="Z335" s="193">
        <f t="shared" si="67"/>
        <v>0.40454545454545454</v>
      </c>
      <c r="AA335" s="193">
        <f t="shared" si="67"/>
        <v>4.9090909090909095E-2</v>
      </c>
      <c r="AB335" s="193">
        <f t="shared" si="67"/>
        <v>1.9454545454545453</v>
      </c>
      <c r="AC335" s="193">
        <f t="shared" si="67"/>
        <v>0.97424999999999995</v>
      </c>
      <c r="AD335" s="193">
        <f t="shared" si="67"/>
        <v>0.625</v>
      </c>
      <c r="AE335" s="193">
        <f t="shared" si="67"/>
        <v>0</v>
      </c>
      <c r="AF335" s="193">
        <f t="shared" si="67"/>
        <v>5.6451612903225812E-2</v>
      </c>
      <c r="AG335" s="193">
        <f>AG331</f>
        <v>14.2</v>
      </c>
      <c r="AH335" s="193"/>
      <c r="AI335" s="193"/>
      <c r="AJ335" s="193"/>
      <c r="AK335" s="193"/>
      <c r="AL335" s="193"/>
      <c r="AM335" s="193"/>
      <c r="AN335" s="73"/>
      <c r="AO335" s="57"/>
      <c r="AP335" s="45"/>
      <c r="AQ335" s="45"/>
      <c r="AR335" s="45"/>
      <c r="AS335" s="441"/>
      <c r="AT335" s="441"/>
    </row>
    <row r="336" spans="1:46" ht="33.75" outlineLevel="3" x14ac:dyDescent="0.25">
      <c r="A336" s="45"/>
      <c r="B336" s="54"/>
      <c r="C336" s="87">
        <f t="shared" si="65"/>
        <v>4</v>
      </c>
      <c r="D336" s="73"/>
      <c r="E336" s="70"/>
      <c r="F336" s="70"/>
      <c r="G336" s="73"/>
      <c r="H336" s="162" t="s">
        <v>345</v>
      </c>
      <c r="I336" s="162"/>
      <c r="J336" s="162"/>
      <c r="K336" s="162"/>
      <c r="L336" s="162"/>
      <c r="M336" s="162"/>
      <c r="N336" s="162"/>
      <c r="O336" s="162"/>
      <c r="P336" s="162"/>
      <c r="Q336" s="162"/>
      <c r="R336" s="162"/>
      <c r="S336" s="162"/>
      <c r="T336" s="194" t="s">
        <v>3000</v>
      </c>
      <c r="U336" s="194" t="s">
        <v>3000</v>
      </c>
      <c r="V336" s="194"/>
      <c r="W336" s="194"/>
      <c r="X336" s="194" t="s">
        <v>3002</v>
      </c>
      <c r="Y336" s="194" t="s">
        <v>346</v>
      </c>
      <c r="Z336" s="194" t="s">
        <v>347</v>
      </c>
      <c r="AA336" s="194" t="s">
        <v>3002</v>
      </c>
      <c r="AB336" s="194" t="s">
        <v>3001</v>
      </c>
      <c r="AC336" s="194"/>
      <c r="AD336" s="194"/>
      <c r="AE336" s="194"/>
      <c r="AF336" s="194" t="s">
        <v>3003</v>
      </c>
      <c r="AG336" s="194"/>
      <c r="AH336" s="474"/>
      <c r="AI336" s="474"/>
      <c r="AJ336" s="474"/>
      <c r="AK336" s="474"/>
      <c r="AL336" s="474"/>
      <c r="AM336" s="474"/>
      <c r="AN336" s="73"/>
      <c r="AO336" s="57"/>
      <c r="AP336" s="45"/>
      <c r="AQ336" s="45"/>
      <c r="AR336" s="45"/>
      <c r="AS336" s="441"/>
      <c r="AT336" s="441"/>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41"/>
      <c r="AT337" s="441"/>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41"/>
      <c r="AT338" s="441"/>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41"/>
      <c r="AT339" s="441"/>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41"/>
      <c r="AT340" s="441"/>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41"/>
      <c r="AT341" s="441"/>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8">IF(T$327&lt;&gt;"",T$327,T$326)</f>
        <v>Triguard</v>
      </c>
      <c r="U342" s="196" t="str">
        <f t="shared" si="68"/>
        <v>Q Drench</v>
      </c>
      <c r="V342" s="196" t="str">
        <f t="shared" si="68"/>
        <v>Se bullet</v>
      </c>
      <c r="W342" s="196" t="str">
        <f t="shared" si="68"/>
        <v>Co bullet</v>
      </c>
      <c r="X342" s="196" t="str">
        <f t="shared" si="68"/>
        <v>Glanvac 6S</v>
      </c>
      <c r="Y342" s="196" t="str">
        <f t="shared" si="68"/>
        <v>Gudair</v>
      </c>
      <c r="Z342" s="196" t="str">
        <f t="shared" si="68"/>
        <v>Sidney SP</v>
      </c>
      <c r="AA342" s="196" t="str">
        <f t="shared" si="68"/>
        <v>Rings</v>
      </c>
      <c r="AB342" s="196" t="str">
        <f t="shared" si="68"/>
        <v>Meloxicam</v>
      </c>
      <c r="AC342" s="196" t="str">
        <f t="shared" si="68"/>
        <v>Click</v>
      </c>
      <c r="AD342" s="196" t="str">
        <f t="shared" si="68"/>
        <v>Vetrazin</v>
      </c>
      <c r="AE342" s="196" t="str">
        <f t="shared" si="68"/>
        <v>Footrot treatment</v>
      </c>
      <c r="AF342" s="196" t="str">
        <f t="shared" si="68"/>
        <v>Wool packs</v>
      </c>
      <c r="AG342" s="196" t="str">
        <f t="shared" si="68"/>
        <v>Diesel</v>
      </c>
      <c r="AH342" s="196"/>
      <c r="AI342" s="196"/>
      <c r="AJ342" s="196"/>
      <c r="AK342" s="196"/>
      <c r="AL342" s="196"/>
      <c r="AM342" s="196"/>
      <c r="AN342" s="73"/>
      <c r="AO342" s="57"/>
      <c r="AP342" s="45"/>
      <c r="AQ342" s="45"/>
      <c r="AR342" s="45"/>
      <c r="AS342" s="441"/>
      <c r="AT342" s="441"/>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2225</v>
      </c>
      <c r="R343" s="99" t="s">
        <v>368</v>
      </c>
      <c r="S343" s="198"/>
      <c r="T343" s="166" t="str">
        <f t="shared" ref="T343:AG343" si="69">T333</f>
        <v>LW</v>
      </c>
      <c r="U343" s="166" t="str">
        <f t="shared" si="69"/>
        <v>LW</v>
      </c>
      <c r="V343" s="166" t="str">
        <f t="shared" si="69"/>
        <v>head</v>
      </c>
      <c r="W343" s="166" t="str">
        <f t="shared" si="69"/>
        <v>head</v>
      </c>
      <c r="X343" s="166" t="str">
        <f t="shared" si="69"/>
        <v>head</v>
      </c>
      <c r="Y343" s="166" t="str">
        <f t="shared" si="69"/>
        <v>head</v>
      </c>
      <c r="Z343" s="166" t="str">
        <f t="shared" si="69"/>
        <v>head</v>
      </c>
      <c r="AA343" s="166" t="str">
        <f t="shared" si="69"/>
        <v>nyatf</v>
      </c>
      <c r="AB343" s="166" t="str">
        <f t="shared" si="69"/>
        <v>nyatf</v>
      </c>
      <c r="AC343" s="166" t="str">
        <f t="shared" si="69"/>
        <v>head</v>
      </c>
      <c r="AD343" s="166" t="str">
        <f t="shared" si="69"/>
        <v>head</v>
      </c>
      <c r="AE343" s="166" t="str">
        <f t="shared" si="69"/>
        <v>head</v>
      </c>
      <c r="AF343" s="166" t="str">
        <f t="shared" si="69"/>
        <v>CFW</v>
      </c>
      <c r="AG343" s="166" t="str">
        <f t="shared" si="69"/>
        <v>mob</v>
      </c>
      <c r="AH343" s="475"/>
      <c r="AI343" s="475"/>
      <c r="AJ343" s="475"/>
      <c r="AK343" s="475"/>
      <c r="AL343" s="475"/>
      <c r="AM343" s="475"/>
      <c r="AN343" s="73"/>
      <c r="AO343" s="57"/>
      <c r="AP343" s="45"/>
      <c r="AQ343" s="45"/>
      <c r="AR343" s="45"/>
      <c r="AS343" s="441"/>
      <c r="AT343" s="441"/>
    </row>
    <row r="344" spans="1:46" outlineLevel="3" x14ac:dyDescent="0.25">
      <c r="A344" s="45"/>
      <c r="B344" s="54"/>
      <c r="C344" s="87">
        <f t="shared" ref="C344:C370" si="70">INT($C$293+3)</f>
        <v>4</v>
      </c>
      <c r="D344" s="73"/>
      <c r="E344" s="70"/>
      <c r="F344" s="70"/>
      <c r="G344" s="73"/>
      <c r="H344" s="105" t="s">
        <v>369</v>
      </c>
      <c r="I344" s="99">
        <v>1</v>
      </c>
      <c r="J344" s="177" t="str">
        <f t="shared" ref="J344:J370" si="71">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41"/>
      <c r="AT344" s="441"/>
    </row>
    <row r="345" spans="1:46" outlineLevel="3" x14ac:dyDescent="0.25">
      <c r="A345" s="45"/>
      <c r="B345" s="54"/>
      <c r="C345" s="87">
        <f t="shared" si="70"/>
        <v>4</v>
      </c>
      <c r="D345" s="73"/>
      <c r="E345" s="70"/>
      <c r="F345" s="70"/>
      <c r="G345" s="73"/>
      <c r="H345" s="76" t="s">
        <v>370</v>
      </c>
      <c r="I345" s="99">
        <v>1</v>
      </c>
      <c r="J345" s="96" t="str">
        <f t="shared" si="71"/>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41"/>
      <c r="AT345" s="441"/>
    </row>
    <row r="346" spans="1:46" outlineLevel="3" x14ac:dyDescent="0.25">
      <c r="A346" s="45"/>
      <c r="B346" s="54"/>
      <c r="C346" s="87">
        <f t="shared" si="70"/>
        <v>4</v>
      </c>
      <c r="D346" s="73"/>
      <c r="E346" s="70"/>
      <c r="F346" s="70"/>
      <c r="G346" s="73"/>
      <c r="H346" s="76" t="s">
        <v>371</v>
      </c>
      <c r="I346" s="99">
        <v>0</v>
      </c>
      <c r="J346" s="96" t="str">
        <f t="shared" si="71"/>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41"/>
      <c r="AT346" s="441"/>
    </row>
    <row r="347" spans="1:46" outlineLevel="3" x14ac:dyDescent="0.25">
      <c r="A347" s="45"/>
      <c r="B347" s="54"/>
      <c r="C347" s="87">
        <f t="shared" si="70"/>
        <v>4</v>
      </c>
      <c r="D347" s="73"/>
      <c r="E347" s="70"/>
      <c r="F347" s="70"/>
      <c r="G347" s="73"/>
      <c r="H347" s="76" t="s">
        <v>372</v>
      </c>
      <c r="I347" s="99">
        <v>1</v>
      </c>
      <c r="J347" s="96" t="str">
        <f t="shared" si="71"/>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41"/>
      <c r="AT347" s="441"/>
    </row>
    <row r="348" spans="1:46" outlineLevel="3" x14ac:dyDescent="0.25">
      <c r="A348" s="45"/>
      <c r="B348" s="54"/>
      <c r="C348" s="87">
        <f t="shared" si="70"/>
        <v>4</v>
      </c>
      <c r="D348" s="73"/>
      <c r="E348" s="70"/>
      <c r="F348" s="70"/>
      <c r="G348" s="73"/>
      <c r="H348" s="76" t="s">
        <v>373</v>
      </c>
      <c r="I348" s="99">
        <v>1</v>
      </c>
      <c r="J348" s="96" t="str">
        <f t="shared" si="71"/>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41"/>
      <c r="AT348" s="441"/>
    </row>
    <row r="349" spans="1:46" outlineLevel="3" x14ac:dyDescent="0.25">
      <c r="A349" s="45"/>
      <c r="B349" s="54"/>
      <c r="C349" s="87">
        <f t="shared" si="70"/>
        <v>4</v>
      </c>
      <c r="D349" s="73"/>
      <c r="E349" s="70"/>
      <c r="F349" s="70"/>
      <c r="G349" s="73"/>
      <c r="H349" s="76" t="s">
        <v>374</v>
      </c>
      <c r="I349" s="99">
        <v>1</v>
      </c>
      <c r="J349" s="96" t="str">
        <f t="shared" si="71"/>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41"/>
      <c r="AT349" s="441"/>
    </row>
    <row r="350" spans="1:46" outlineLevel="3" x14ac:dyDescent="0.25">
      <c r="A350" s="45"/>
      <c r="B350" s="54"/>
      <c r="C350" s="87">
        <f t="shared" si="70"/>
        <v>4</v>
      </c>
      <c r="D350" s="73"/>
      <c r="E350" s="70"/>
      <c r="F350" s="70"/>
      <c r="G350" s="73"/>
      <c r="H350" s="76" t="s">
        <v>375</v>
      </c>
      <c r="I350" s="99">
        <v>0</v>
      </c>
      <c r="J350" s="96" t="str">
        <f t="shared" si="71"/>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41"/>
      <c r="AT350" s="441"/>
    </row>
    <row r="351" spans="1:46" outlineLevel="3" x14ac:dyDescent="0.25">
      <c r="A351" s="45"/>
      <c r="B351" s="54"/>
      <c r="C351" s="87">
        <f t="shared" si="70"/>
        <v>4</v>
      </c>
      <c r="D351" s="73"/>
      <c r="E351" s="70"/>
      <c r="F351" s="70"/>
      <c r="G351" s="73"/>
      <c r="H351" s="76" t="s">
        <v>376</v>
      </c>
      <c r="I351" s="99">
        <v>0</v>
      </c>
      <c r="J351" s="96" t="str">
        <f t="shared" si="71"/>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41"/>
      <c r="AT351" s="441"/>
    </row>
    <row r="352" spans="1:46" outlineLevel="3" x14ac:dyDescent="0.25">
      <c r="A352" s="45"/>
      <c r="B352" s="54"/>
      <c r="C352" s="87">
        <f t="shared" si="70"/>
        <v>4</v>
      </c>
      <c r="D352" s="73"/>
      <c r="E352" s="70"/>
      <c r="F352" s="70"/>
      <c r="G352" s="73"/>
      <c r="H352" s="76" t="s">
        <v>377</v>
      </c>
      <c r="I352" s="99">
        <v>0</v>
      </c>
      <c r="J352" s="96" t="str">
        <f t="shared" si="71"/>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41"/>
      <c r="AT352" s="441"/>
    </row>
    <row r="353" spans="1:46" outlineLevel="3" x14ac:dyDescent="0.25">
      <c r="A353" s="45"/>
      <c r="B353" s="54"/>
      <c r="C353" s="87">
        <f t="shared" si="70"/>
        <v>4</v>
      </c>
      <c r="D353" s="73"/>
      <c r="E353" s="70"/>
      <c r="F353" s="70"/>
      <c r="G353" s="73"/>
      <c r="H353" s="76" t="s">
        <v>378</v>
      </c>
      <c r="I353" s="99">
        <v>0</v>
      </c>
      <c r="J353" s="96" t="str">
        <f t="shared" si="71"/>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41"/>
      <c r="AT353" s="441"/>
    </row>
    <row r="354" spans="1:46" outlineLevel="3" x14ac:dyDescent="0.25">
      <c r="A354" s="45"/>
      <c r="B354" s="54"/>
      <c r="C354" s="87">
        <f t="shared" si="70"/>
        <v>4</v>
      </c>
      <c r="D354" s="73"/>
      <c r="E354" s="70"/>
      <c r="F354" s="70"/>
      <c r="G354" s="73"/>
      <c r="H354" s="76" t="s">
        <v>379</v>
      </c>
      <c r="I354" s="99">
        <v>0</v>
      </c>
      <c r="J354" s="96" t="str">
        <f t="shared" si="71"/>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41"/>
      <c r="AT354" s="441"/>
    </row>
    <row r="355" spans="1:46" outlineLevel="3" x14ac:dyDescent="0.25">
      <c r="A355" s="45"/>
      <c r="B355" s="54"/>
      <c r="C355" s="87">
        <f t="shared" si="70"/>
        <v>4</v>
      </c>
      <c r="D355" s="73"/>
      <c r="E355" s="70"/>
      <c r="F355" s="70"/>
      <c r="G355" s="73"/>
      <c r="H355" s="76" t="s">
        <v>380</v>
      </c>
      <c r="I355" s="99">
        <v>0</v>
      </c>
      <c r="J355" s="96" t="str">
        <f t="shared" si="71"/>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41"/>
      <c r="AT355" s="441"/>
    </row>
    <row r="356" spans="1:46" outlineLevel="3" x14ac:dyDescent="0.25">
      <c r="A356" s="45"/>
      <c r="B356" s="54"/>
      <c r="C356" s="87">
        <f t="shared" si="70"/>
        <v>4</v>
      </c>
      <c r="D356" s="73"/>
      <c r="E356" s="70"/>
      <c r="F356" s="70"/>
      <c r="G356" s="73"/>
      <c r="H356" s="76" t="s">
        <v>381</v>
      </c>
      <c r="I356" s="99">
        <v>0</v>
      </c>
      <c r="J356" s="96" t="str">
        <f t="shared" si="71"/>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41"/>
      <c r="AT356" s="441"/>
    </row>
    <row r="357" spans="1:46" outlineLevel="3" x14ac:dyDescent="0.25">
      <c r="A357" s="45"/>
      <c r="B357" s="54"/>
      <c r="C357" s="87">
        <f t="shared" si="70"/>
        <v>4</v>
      </c>
      <c r="D357" s="73"/>
      <c r="E357" s="70"/>
      <c r="F357" s="70"/>
      <c r="G357" s="73"/>
      <c r="H357" s="76" t="s">
        <v>382</v>
      </c>
      <c r="I357" s="99">
        <v>0</v>
      </c>
      <c r="J357" s="96" t="str">
        <f t="shared" si="71"/>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41"/>
      <c r="AT357" s="441"/>
    </row>
    <row r="358" spans="1:46" outlineLevel="3" x14ac:dyDescent="0.25">
      <c r="A358" s="45"/>
      <c r="B358" s="54"/>
      <c r="C358" s="87">
        <f t="shared" si="70"/>
        <v>4</v>
      </c>
      <c r="D358" s="73"/>
      <c r="E358" s="70"/>
      <c r="F358" s="70"/>
      <c r="G358" s="73"/>
      <c r="H358" s="76" t="s">
        <v>383</v>
      </c>
      <c r="I358" s="99">
        <v>5</v>
      </c>
      <c r="J358" s="96" t="str">
        <f t="shared" si="71"/>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41"/>
      <c r="AT358" s="441"/>
    </row>
    <row r="359" spans="1:46" outlineLevel="3" x14ac:dyDescent="0.25">
      <c r="A359" s="45"/>
      <c r="B359" s="54"/>
      <c r="C359" s="87">
        <f t="shared" si="70"/>
        <v>4</v>
      </c>
      <c r="D359" s="73"/>
      <c r="E359" s="70"/>
      <c r="F359" s="70"/>
      <c r="G359" s="73"/>
      <c r="H359" s="76" t="s">
        <v>384</v>
      </c>
      <c r="I359" s="99">
        <v>5</v>
      </c>
      <c r="J359" s="96" t="str">
        <f t="shared" si="71"/>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41"/>
      <c r="AT359" s="441"/>
    </row>
    <row r="360" spans="1:46" outlineLevel="3" x14ac:dyDescent="0.25">
      <c r="A360" s="45"/>
      <c r="B360" s="54"/>
      <c r="C360" s="87">
        <f t="shared" si="70"/>
        <v>4</v>
      </c>
      <c r="D360" s="73"/>
      <c r="E360" s="70"/>
      <c r="F360" s="70"/>
      <c r="G360" s="73"/>
      <c r="H360" s="76" t="s">
        <v>385</v>
      </c>
      <c r="I360" s="99">
        <v>0</v>
      </c>
      <c r="J360" s="96" t="str">
        <f t="shared" si="71"/>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41"/>
      <c r="AT360" s="441"/>
    </row>
    <row r="361" spans="1:46" outlineLevel="3" x14ac:dyDescent="0.25">
      <c r="A361" s="45"/>
      <c r="B361" s="54"/>
      <c r="C361" s="87">
        <f t="shared" si="70"/>
        <v>4</v>
      </c>
      <c r="D361" s="73"/>
      <c r="E361" s="70"/>
      <c r="F361" s="70"/>
      <c r="G361" s="73"/>
      <c r="H361" s="76" t="s">
        <v>386</v>
      </c>
      <c r="I361" s="99">
        <v>0</v>
      </c>
      <c r="J361" s="96" t="str">
        <f t="shared" si="71"/>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41"/>
      <c r="AT361" s="441"/>
    </row>
    <row r="362" spans="1:46" outlineLevel="3" x14ac:dyDescent="0.25">
      <c r="A362" s="45"/>
      <c r="B362" s="54"/>
      <c r="C362" s="87">
        <f t="shared" si="70"/>
        <v>4</v>
      </c>
      <c r="D362" s="73"/>
      <c r="E362" s="70"/>
      <c r="F362" s="70"/>
      <c r="G362" s="73"/>
      <c r="H362" s="76" t="s">
        <v>387</v>
      </c>
      <c r="I362" s="99">
        <v>0</v>
      </c>
      <c r="J362" s="96" t="str">
        <f t="shared" si="71"/>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41"/>
      <c r="AT362" s="441"/>
    </row>
    <row r="363" spans="1:46" outlineLevel="3" x14ac:dyDescent="0.25">
      <c r="A363" s="45"/>
      <c r="B363" s="54"/>
      <c r="C363" s="87">
        <f t="shared" si="70"/>
        <v>4</v>
      </c>
      <c r="D363" s="73"/>
      <c r="E363" s="70"/>
      <c r="F363" s="70"/>
      <c r="G363" s="73"/>
      <c r="H363" s="76" t="s">
        <v>388</v>
      </c>
      <c r="I363" s="99">
        <v>1</v>
      </c>
      <c r="J363" s="96" t="str">
        <f t="shared" si="71"/>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41"/>
      <c r="AT363" s="441"/>
    </row>
    <row r="364" spans="1:46" outlineLevel="3" x14ac:dyDescent="0.25">
      <c r="A364" s="45"/>
      <c r="B364" s="54"/>
      <c r="C364" s="87">
        <f t="shared" si="70"/>
        <v>4</v>
      </c>
      <c r="D364" s="73"/>
      <c r="E364" s="70"/>
      <c r="F364" s="70"/>
      <c r="G364" s="73"/>
      <c r="H364" s="76" t="s">
        <v>389</v>
      </c>
      <c r="I364" s="99">
        <v>1</v>
      </c>
      <c r="J364" s="96" t="str">
        <f t="shared" si="71"/>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41"/>
      <c r="AT364" s="441"/>
    </row>
    <row r="365" spans="1:46" outlineLevel="3" x14ac:dyDescent="0.25">
      <c r="A365" s="45"/>
      <c r="B365" s="54"/>
      <c r="C365" s="87">
        <f t="shared" si="70"/>
        <v>4</v>
      </c>
      <c r="D365" s="73"/>
      <c r="E365" s="70"/>
      <c r="F365" s="70"/>
      <c r="G365" s="73"/>
      <c r="H365" s="76" t="s">
        <v>390</v>
      </c>
      <c r="I365" s="99">
        <v>0</v>
      </c>
      <c r="J365" s="96" t="str">
        <f t="shared" si="71"/>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41"/>
      <c r="AT365" s="441"/>
    </row>
    <row r="366" spans="1:46" outlineLevel="3" x14ac:dyDescent="0.25">
      <c r="A366" s="45"/>
      <c r="B366" s="54"/>
      <c r="C366" s="87">
        <f t="shared" si="70"/>
        <v>4</v>
      </c>
      <c r="D366" s="73"/>
      <c r="E366" s="70"/>
      <c r="F366" s="70"/>
      <c r="G366" s="73"/>
      <c r="H366" s="76" t="s">
        <v>391</v>
      </c>
      <c r="I366" s="99">
        <v>1</v>
      </c>
      <c r="J366" s="96" t="str">
        <f t="shared" si="71"/>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41"/>
      <c r="AT366" s="441"/>
    </row>
    <row r="367" spans="1:46" outlineLevel="3" x14ac:dyDescent="0.25">
      <c r="A367" s="45"/>
      <c r="B367" s="54"/>
      <c r="C367" s="87">
        <f t="shared" si="70"/>
        <v>4</v>
      </c>
      <c r="D367" s="73"/>
      <c r="E367" s="70"/>
      <c r="F367" s="70"/>
      <c r="G367" s="73"/>
      <c r="H367" s="76" t="s">
        <v>392</v>
      </c>
      <c r="I367" s="99">
        <v>0</v>
      </c>
      <c r="J367" s="96" t="str">
        <f t="shared" si="71"/>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41"/>
      <c r="AT367" s="441"/>
    </row>
    <row r="368" spans="1:46" outlineLevel="3" x14ac:dyDescent="0.25">
      <c r="A368" s="45"/>
      <c r="B368" s="54"/>
      <c r="C368" s="87">
        <f t="shared" si="70"/>
        <v>4</v>
      </c>
      <c r="D368" s="73"/>
      <c r="E368" s="70"/>
      <c r="F368" s="70"/>
      <c r="G368" s="73"/>
      <c r="H368" s="76" t="s">
        <v>393</v>
      </c>
      <c r="I368" s="99">
        <v>2</v>
      </c>
      <c r="J368" s="96" t="str">
        <f t="shared" si="71"/>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41"/>
      <c r="AT368" s="441"/>
    </row>
    <row r="369" spans="1:46" outlineLevel="3" x14ac:dyDescent="0.25">
      <c r="A369" s="45"/>
      <c r="B369" s="54"/>
      <c r="C369" s="87">
        <f t="shared" si="70"/>
        <v>4</v>
      </c>
      <c r="D369" s="73"/>
      <c r="E369" s="70"/>
      <c r="F369" s="70"/>
      <c r="G369" s="73"/>
      <c r="H369" s="76" t="s">
        <v>2352</v>
      </c>
      <c r="I369" s="99">
        <v>2</v>
      </c>
      <c r="J369" s="96" t="str">
        <f t="shared" si="71"/>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41"/>
      <c r="AT369" s="441"/>
    </row>
    <row r="370" spans="1:46" outlineLevel="3" x14ac:dyDescent="0.25">
      <c r="A370" s="45"/>
      <c r="B370" s="54"/>
      <c r="C370" s="87">
        <f t="shared" si="70"/>
        <v>4</v>
      </c>
      <c r="D370" s="73"/>
      <c r="E370" s="70"/>
      <c r="F370" s="70"/>
      <c r="G370" s="73"/>
      <c r="H370" s="76" t="s">
        <v>2353</v>
      </c>
      <c r="I370" s="99">
        <v>2</v>
      </c>
      <c r="J370" s="96" t="str">
        <f t="shared" si="71"/>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41"/>
      <c r="AT370" s="441"/>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41"/>
      <c r="AT371" s="441"/>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71"/>
      <c r="AI372" s="471"/>
      <c r="AJ372" s="471"/>
      <c r="AK372" s="471"/>
      <c r="AL372" s="471"/>
      <c r="AM372" s="471"/>
      <c r="AN372" s="73"/>
      <c r="AO372" s="57"/>
      <c r="AP372" s="45"/>
      <c r="AQ372" s="45"/>
      <c r="AR372" s="45"/>
      <c r="AS372" s="441"/>
      <c r="AT372" s="441"/>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6"/>
      <c r="AI373" s="476"/>
      <c r="AJ373" s="476"/>
      <c r="AK373" s="476"/>
      <c r="AL373" s="476"/>
      <c r="AM373" s="476"/>
      <c r="AN373" s="73"/>
      <c r="AO373" s="57"/>
      <c r="AP373" s="45"/>
      <c r="AQ373" s="45"/>
      <c r="AR373" s="45"/>
      <c r="AS373" s="441"/>
      <c r="AT373" s="441"/>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41"/>
      <c r="AT374" s="441"/>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6"/>
      <c r="AI375" s="476"/>
      <c r="AJ375" s="476"/>
      <c r="AK375" s="476"/>
      <c r="AL375" s="476"/>
      <c r="AM375" s="476"/>
      <c r="AN375" s="73"/>
      <c r="AO375" s="57"/>
      <c r="AP375" s="45"/>
      <c r="AQ375" s="45"/>
      <c r="AR375" s="45"/>
      <c r="AS375" s="441"/>
      <c r="AT375" s="441"/>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41"/>
      <c r="AT376" s="441"/>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6"/>
      <c r="AI377" s="476"/>
      <c r="AJ377" s="476"/>
      <c r="AK377" s="476"/>
      <c r="AL377" s="476"/>
      <c r="AM377" s="476"/>
      <c r="AN377" s="73"/>
      <c r="AO377" s="57"/>
      <c r="AP377" s="45"/>
      <c r="AQ377" s="45"/>
      <c r="AR377" s="45"/>
      <c r="AS377" s="441"/>
      <c r="AT377" s="441"/>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41"/>
      <c r="AT378" s="441"/>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41"/>
      <c r="AT379" s="441"/>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41"/>
      <c r="AT380" s="441"/>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41"/>
      <c r="AT381" s="441"/>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41"/>
      <c r="AT382" s="441"/>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41"/>
      <c r="AT383" s="441"/>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41"/>
      <c r="AT384" s="441"/>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41"/>
      <c r="AT385" s="441"/>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41"/>
      <c r="AT386" s="441"/>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41"/>
      <c r="AT387" s="441"/>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41"/>
      <c r="AT388" s="441"/>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41"/>
      <c r="AT389" s="441"/>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41"/>
      <c r="AT390" s="441"/>
    </row>
    <row r="391" spans="1:46" ht="15" customHeight="1" outlineLevel="2" x14ac:dyDescent="0.25">
      <c r="A391" s="45"/>
      <c r="B391" s="54"/>
      <c r="C391" s="87">
        <f>INT($C$387)+2</f>
        <v>3</v>
      </c>
      <c r="D391" s="55"/>
      <c r="E391" s="70"/>
      <c r="F391" s="70"/>
      <c r="G391" s="55"/>
      <c r="H391" s="72"/>
      <c r="I391" s="72"/>
      <c r="J391" s="228" t="s">
        <v>2168</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41"/>
      <c r="AT391" s="441"/>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41"/>
      <c r="AT392" s="441"/>
    </row>
    <row r="393" spans="1:46" outlineLevel="2" x14ac:dyDescent="0.25">
      <c r="A393" s="45"/>
      <c r="B393" s="54"/>
      <c r="C393" s="87">
        <f>INT($C$387)+2</f>
        <v>3</v>
      </c>
      <c r="D393" s="55"/>
      <c r="E393" s="70"/>
      <c r="F393" s="70"/>
      <c r="G393" s="55"/>
      <c r="H393" s="72" t="s">
        <v>2167</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41"/>
      <c r="AT393" s="441"/>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41"/>
      <c r="AT394" s="441"/>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41"/>
      <c r="AT395" s="441"/>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41"/>
      <c r="AT396" s="441"/>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41"/>
      <c r="AT397" s="441"/>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41"/>
      <c r="AT398" s="441"/>
    </row>
    <row r="399" spans="1:46" outlineLevel="2" x14ac:dyDescent="0.25">
      <c r="A399" s="45"/>
      <c r="B399" s="54"/>
      <c r="C399" s="87">
        <f>INT($C$387)+2</f>
        <v>3</v>
      </c>
      <c r="D399" s="73"/>
      <c r="E399" s="70"/>
      <c r="F399" s="70"/>
      <c r="G399" s="73"/>
      <c r="H399" s="76" t="s">
        <v>406</v>
      </c>
      <c r="I399" s="97" t="b">
        <v>0</v>
      </c>
      <c r="J399" s="76"/>
      <c r="K399" s="76"/>
      <c r="L399" s="76"/>
      <c r="M399" s="76"/>
      <c r="N399" s="230" t="s">
        <v>2698</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41"/>
      <c r="AT399" s="441"/>
    </row>
    <row r="400" spans="1:46" outlineLevel="2" x14ac:dyDescent="0.25">
      <c r="A400" s="45"/>
      <c r="B400" s="54"/>
      <c r="C400" s="87">
        <f>INT($C$387)+2</f>
        <v>3</v>
      </c>
      <c r="D400" s="73"/>
      <c r="E400" s="70"/>
      <c r="F400" s="70"/>
      <c r="G400" s="73"/>
      <c r="H400" s="76"/>
      <c r="I400" s="231" t="s">
        <v>128</v>
      </c>
      <c r="J400" s="230" t="s">
        <v>407</v>
      </c>
      <c r="K400" s="95"/>
      <c r="L400" s="95"/>
      <c r="M400" s="96" t="s">
        <v>2839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41"/>
      <c r="AT400" s="441"/>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71"/>
      <c r="AI401" s="471"/>
      <c r="AJ401" s="471"/>
      <c r="AK401" s="471"/>
      <c r="AL401" s="471"/>
      <c r="AM401" s="471"/>
      <c r="AN401" s="73"/>
      <c r="AO401" s="57"/>
      <c r="AP401" s="45"/>
      <c r="AQ401" s="45"/>
      <c r="AR401" s="45"/>
      <c r="AS401" s="441"/>
      <c r="AT401" s="441"/>
    </row>
    <row r="402" spans="1:46" outlineLevel="2" x14ac:dyDescent="0.25">
      <c r="A402" s="45"/>
      <c r="B402" s="54"/>
      <c r="C402" s="87">
        <f>INT($C$387)+2</f>
        <v>3</v>
      </c>
      <c r="D402" s="73"/>
      <c r="E402" s="70"/>
      <c r="F402" s="70"/>
      <c r="G402" s="73"/>
      <c r="H402" s="284" t="s">
        <v>411</v>
      </c>
      <c r="I402" s="96">
        <v>1</v>
      </c>
      <c r="J402" s="79" t="b">
        <v>1</v>
      </c>
      <c r="K402" s="79" t="b">
        <v>1</v>
      </c>
      <c r="L402" s="79" t="b">
        <v>0</v>
      </c>
      <c r="M402" s="79">
        <v>2</v>
      </c>
      <c r="N402" s="300">
        <v>0</v>
      </c>
      <c r="O402" s="300">
        <v>0</v>
      </c>
      <c r="P402" s="300">
        <v>0</v>
      </c>
      <c r="Q402" s="300">
        <v>0</v>
      </c>
      <c r="R402" s="301">
        <v>1</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41"/>
      <c r="AT402" s="441"/>
    </row>
    <row r="403" spans="1:46" outlineLevel="3" x14ac:dyDescent="0.25">
      <c r="A403" s="45"/>
      <c r="B403" s="54"/>
      <c r="C403" s="87">
        <f t="shared" ref="C403:C421" si="72">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41"/>
      <c r="AT403" s="441"/>
    </row>
    <row r="404" spans="1:46" outlineLevel="3" x14ac:dyDescent="0.25">
      <c r="A404" s="45"/>
      <c r="B404" s="54"/>
      <c r="C404" s="87">
        <f t="shared" si="72"/>
        <v>4</v>
      </c>
      <c r="D404" s="73"/>
      <c r="E404" s="70"/>
      <c r="F404" s="70"/>
      <c r="G404" s="73"/>
      <c r="H404" s="284" t="s">
        <v>2282</v>
      </c>
      <c r="I404" s="96">
        <v>3</v>
      </c>
      <c r="J404" s="79" t="b">
        <v>1</v>
      </c>
      <c r="K404" s="79" t="b">
        <v>1</v>
      </c>
      <c r="L404" s="79" t="b">
        <v>1</v>
      </c>
      <c r="M404" s="79">
        <v>1</v>
      </c>
      <c r="N404" s="300">
        <v>0</v>
      </c>
      <c r="O404" s="300">
        <v>0</v>
      </c>
      <c r="P404" s="301">
        <v>2</v>
      </c>
      <c r="Q404" s="301">
        <v>2</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41"/>
      <c r="AT404" s="441"/>
    </row>
    <row r="405" spans="1:46" outlineLevel="3" x14ac:dyDescent="0.25">
      <c r="A405" s="45"/>
      <c r="B405" s="54"/>
      <c r="C405" s="87">
        <f t="shared" si="72"/>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41"/>
      <c r="AT405" s="441"/>
    </row>
    <row r="406" spans="1:46" outlineLevel="3" x14ac:dyDescent="0.25">
      <c r="A406" s="45"/>
      <c r="B406" s="54"/>
      <c r="C406" s="87">
        <f t="shared" si="72"/>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41"/>
      <c r="AT406" s="441"/>
    </row>
    <row r="407" spans="1:46" outlineLevel="3" x14ac:dyDescent="0.25">
      <c r="A407" s="45"/>
      <c r="B407" s="54"/>
      <c r="C407" s="87">
        <f t="shared" si="72"/>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41"/>
      <c r="AT407" s="441"/>
    </row>
    <row r="408" spans="1:46" outlineLevel="3" x14ac:dyDescent="0.25">
      <c r="A408" s="45"/>
      <c r="B408" s="54"/>
      <c r="C408" s="87">
        <f t="shared" si="72"/>
        <v>4</v>
      </c>
      <c r="D408" s="73"/>
      <c r="E408" s="70"/>
      <c r="F408" s="70"/>
      <c r="G408" s="73"/>
      <c r="H408" s="284" t="s">
        <v>3279</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41"/>
      <c r="AT408" s="441"/>
    </row>
    <row r="409" spans="1:46" outlineLevel="3" x14ac:dyDescent="0.25">
      <c r="A409" s="45"/>
      <c r="B409" s="54"/>
      <c r="C409" s="87">
        <f t="shared" si="72"/>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41"/>
      <c r="AT409" s="441"/>
    </row>
    <row r="410" spans="1:46" outlineLevel="3" x14ac:dyDescent="0.25">
      <c r="A410" s="45"/>
      <c r="B410" s="54"/>
      <c r="C410" s="87">
        <f t="shared" si="72"/>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41"/>
      <c r="AT410" s="441"/>
    </row>
    <row r="411" spans="1:46" outlineLevel="3" x14ac:dyDescent="0.25">
      <c r="A411" s="45"/>
      <c r="B411" s="54"/>
      <c r="C411" s="87">
        <f t="shared" si="72"/>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41"/>
      <c r="AT411" s="441"/>
    </row>
    <row r="412" spans="1:46" outlineLevel="3" x14ac:dyDescent="0.25">
      <c r="A412" s="45"/>
      <c r="B412" s="54"/>
      <c r="C412" s="87">
        <f t="shared" si="72"/>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41"/>
      <c r="AT412" s="441"/>
    </row>
    <row r="413" spans="1:46" outlineLevel="3" x14ac:dyDescent="0.25">
      <c r="A413" s="45"/>
      <c r="B413" s="54"/>
      <c r="C413" s="87">
        <f t="shared" si="72"/>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41"/>
      <c r="AT413" s="441"/>
    </row>
    <row r="414" spans="1:46" outlineLevel="3" x14ac:dyDescent="0.25">
      <c r="A414" s="45"/>
      <c r="B414" s="54"/>
      <c r="C414" s="87">
        <f t="shared" si="72"/>
        <v>4</v>
      </c>
      <c r="D414" s="73"/>
      <c r="E414" s="70"/>
      <c r="F414" s="70"/>
      <c r="G414" s="73"/>
      <c r="H414" s="284" t="s">
        <v>2903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41"/>
      <c r="AT414" s="441"/>
    </row>
    <row r="415" spans="1:46" outlineLevel="3" x14ac:dyDescent="0.25">
      <c r="A415" s="45"/>
      <c r="B415" s="54"/>
      <c r="C415" s="87">
        <f t="shared" si="72"/>
        <v>4</v>
      </c>
      <c r="D415" s="73"/>
      <c r="E415" s="70"/>
      <c r="F415" s="70"/>
      <c r="G415" s="73"/>
      <c r="H415" s="284" t="s">
        <v>2170</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41"/>
      <c r="AT415" s="441"/>
    </row>
    <row r="416" spans="1:46" outlineLevel="3" x14ac:dyDescent="0.25">
      <c r="A416" s="45"/>
      <c r="B416" s="54"/>
      <c r="C416" s="87">
        <f t="shared" si="72"/>
        <v>4</v>
      </c>
      <c r="D416" s="73"/>
      <c r="E416" s="70"/>
      <c r="F416" s="70"/>
      <c r="G416" s="73"/>
      <c r="H416" s="284" t="s">
        <v>2243</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41"/>
      <c r="AT416" s="441"/>
    </row>
    <row r="417" spans="1:46" outlineLevel="3" x14ac:dyDescent="0.25">
      <c r="A417" s="45"/>
      <c r="B417" s="54"/>
      <c r="C417" s="87">
        <f t="shared" si="72"/>
        <v>4</v>
      </c>
      <c r="D417" s="73"/>
      <c r="E417" s="70"/>
      <c r="F417" s="70"/>
      <c r="G417" s="73"/>
      <c r="H417" s="284" t="s">
        <v>2283</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41"/>
      <c r="AT417" s="441"/>
    </row>
    <row r="418" spans="1:46" outlineLevel="3" x14ac:dyDescent="0.25">
      <c r="A418" s="45"/>
      <c r="B418" s="54"/>
      <c r="C418" s="87">
        <f t="shared" si="72"/>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41"/>
      <c r="AT418" s="441"/>
    </row>
    <row r="419" spans="1:46" outlineLevel="3" x14ac:dyDescent="0.25">
      <c r="A419" s="45"/>
      <c r="B419" s="54"/>
      <c r="C419" s="87">
        <f t="shared" si="72"/>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41"/>
      <c r="AT419" s="441"/>
    </row>
    <row r="420" spans="1:46" outlineLevel="3" x14ac:dyDescent="0.25">
      <c r="A420" s="45"/>
      <c r="B420" s="54"/>
      <c r="C420" s="87">
        <f t="shared" si="72"/>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41"/>
      <c r="AT420" s="441"/>
    </row>
    <row r="421" spans="1:46" outlineLevel="3" x14ac:dyDescent="0.25">
      <c r="A421" s="45"/>
      <c r="B421" s="54"/>
      <c r="C421" s="87">
        <f t="shared" si="72"/>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41"/>
      <c r="AT421" s="441"/>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41"/>
      <c r="AT422" s="441"/>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41"/>
      <c r="AT423" s="441"/>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41"/>
      <c r="AT424" s="441"/>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41"/>
      <c r="AT425" s="441"/>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41"/>
      <c r="AT426" s="441"/>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5"/>
  <sheetViews>
    <sheetView topLeftCell="A71" workbookViewId="0">
      <selection activeCell="A74" sqref="A74:XFD74"/>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2907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2904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2908</v>
      </c>
      <c r="J10" s="18"/>
      <c r="K10" s="18" t="s">
        <v>2909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2910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9">
        <v>28</v>
      </c>
      <c r="J13" s="24"/>
      <c r="K13" s="477">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80"/>
      <c r="J14" s="24"/>
      <c r="K14" s="480"/>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2905</v>
      </c>
      <c r="I15" s="479">
        <v>265</v>
      </c>
      <c r="J15" s="24"/>
      <c r="K15" s="477">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80"/>
      <c r="J16" s="24"/>
      <c r="K16" s="480"/>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2906</v>
      </c>
      <c r="I17" s="479">
        <v>1</v>
      </c>
      <c r="J17" s="24"/>
      <c r="K17" s="477">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3017</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83" t="s">
        <v>3018</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2911</v>
      </c>
      <c r="J33" s="24"/>
      <c r="L33" s="478">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4" t="s">
        <v>2912</v>
      </c>
      <c r="J34" s="24"/>
      <c r="L34" s="384">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4" t="s">
        <v>2913</v>
      </c>
      <c r="J35" s="24"/>
      <c r="L35" s="384">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5" t="s">
        <v>3007</v>
      </c>
      <c r="J36" s="24"/>
      <c r="L36" s="384">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5" t="s">
        <v>3006</v>
      </c>
      <c r="J37" s="24"/>
      <c r="L37" s="384">
        <v>2E-3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3019</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4" t="s">
        <v>3020</v>
      </c>
      <c r="J40" s="24"/>
      <c r="L40" s="384">
        <v>0.01</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4" t="s">
        <v>3022</v>
      </c>
      <c r="J41" s="24"/>
      <c r="L41" s="384">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4" t="s">
        <v>3021</v>
      </c>
      <c r="J42" s="24"/>
      <c r="L42" s="384">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9"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4" t="s">
        <v>3038</v>
      </c>
      <c r="J45" s="24"/>
      <c r="L45" s="384">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4" t="s">
        <v>3039</v>
      </c>
      <c r="J46" s="24"/>
      <c r="L46" s="384">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4" t="s">
        <v>3040</v>
      </c>
      <c r="J47" s="24"/>
      <c r="L47" s="384">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2727</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4" t="s">
        <v>3043</v>
      </c>
      <c r="J50" s="24"/>
      <c r="L50" s="384">
        <v>5.0000000000000001E-4</v>
      </c>
      <c r="M50" s="24"/>
      <c r="N50" s="24"/>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4" t="s">
        <v>3044</v>
      </c>
      <c r="J51" s="24"/>
      <c r="L51" s="384">
        <v>0.2</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4" t="s">
        <v>3045</v>
      </c>
      <c r="J52" s="24"/>
      <c r="L52" s="384">
        <v>0.12</v>
      </c>
      <c r="M52" s="24"/>
      <c r="N52" s="24"/>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4" t="s">
        <v>3046</v>
      </c>
      <c r="J53" s="24"/>
      <c r="L53" s="384">
        <v>0.13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8"/>
      <c r="H54" s="28"/>
      <c r="I54" s="31"/>
      <c r="J54" s="32"/>
      <c r="K54" s="32"/>
      <c r="L54" s="32"/>
      <c r="M54" s="32"/>
      <c r="N54" s="32"/>
      <c r="O54" s="32"/>
      <c r="P54" s="32"/>
      <c r="Q54" s="30"/>
      <c r="R54" s="30"/>
      <c r="S54" s="30"/>
      <c r="T54" s="30"/>
      <c r="U54" s="30"/>
      <c r="V54" s="30"/>
      <c r="W54" s="30"/>
      <c r="X54" s="30"/>
      <c r="Y54" s="27"/>
      <c r="Z54" s="27"/>
      <c r="AA54" s="27"/>
      <c r="AB54" s="27"/>
      <c r="AC54" s="27"/>
      <c r="AD54" s="27"/>
      <c r="AE54" s="17"/>
      <c r="AF54" s="9"/>
      <c r="AG54" s="9"/>
      <c r="AH54" s="9"/>
    </row>
    <row r="55" spans="1:34" ht="5.0999999999999996" customHeight="1" x14ac:dyDescent="0.25">
      <c r="A55" s="7"/>
      <c r="B55" s="8"/>
      <c r="C55" s="18"/>
      <c r="D55" s="18"/>
      <c r="E55" s="18"/>
      <c r="F55" s="33"/>
      <c r="G55" s="34"/>
      <c r="H55" s="34"/>
      <c r="I55" s="34"/>
      <c r="J55" s="35"/>
      <c r="K55" s="35"/>
      <c r="L55" s="35"/>
      <c r="M55" s="35"/>
      <c r="N55" s="35"/>
      <c r="O55" s="35"/>
      <c r="P55" s="35"/>
      <c r="Q55" s="35"/>
      <c r="R55" s="35"/>
      <c r="S55" s="35"/>
      <c r="T55" s="35"/>
      <c r="U55" s="35"/>
      <c r="V55" s="35"/>
      <c r="W55" s="35"/>
      <c r="X55" s="35"/>
      <c r="Y55" s="27"/>
      <c r="Z55" s="27"/>
      <c r="AA55" s="27"/>
      <c r="AB55" s="27"/>
      <c r="AC55" s="27"/>
      <c r="AD55" s="27"/>
      <c r="AE55" s="17"/>
      <c r="AF55" s="9"/>
      <c r="AG55" s="9"/>
      <c r="AH55" s="9"/>
    </row>
    <row r="56" spans="1:34" ht="24.95" customHeight="1" x14ac:dyDescent="0.25">
      <c r="A56" s="7"/>
      <c r="B56" s="8"/>
      <c r="C56" s="36"/>
      <c r="D56" s="36"/>
      <c r="E56" s="36"/>
      <c r="F56" s="36"/>
      <c r="G56" s="37" t="str">
        <f>G26</f>
        <v>Emission Factors - National Inventory Report (NIR)</v>
      </c>
      <c r="H56" s="36"/>
      <c r="I56" s="36"/>
      <c r="J56" s="36"/>
      <c r="K56" s="36"/>
      <c r="L56" s="36"/>
      <c r="M56" s="36"/>
      <c r="N56" s="36"/>
      <c r="O56" s="36"/>
      <c r="P56" s="36"/>
      <c r="Q56" s="36"/>
      <c r="R56" s="36"/>
      <c r="S56" s="36"/>
      <c r="T56" s="36"/>
      <c r="U56" s="36"/>
      <c r="V56" s="36"/>
      <c r="W56" s="36"/>
      <c r="X56" s="36"/>
      <c r="Y56" s="36"/>
      <c r="Z56" s="36"/>
      <c r="AA56" s="36"/>
      <c r="AB56" s="36"/>
      <c r="AC56" s="36"/>
      <c r="AD56" s="36"/>
      <c r="AE56" s="38" t="s">
        <v>91</v>
      </c>
      <c r="AF56" s="9"/>
      <c r="AG56" s="9"/>
      <c r="AH56" s="9"/>
    </row>
    <row r="57" spans="1:34" ht="12" customHeight="1" x14ac:dyDescent="0.25">
      <c r="A57" s="7"/>
      <c r="B57" s="8"/>
      <c r="C57" s="8"/>
      <c r="D57" s="8"/>
      <c r="E57" s="8"/>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row>
    <row r="58" spans="1:34" ht="12" customHeight="1" x14ac:dyDescent="0.25">
      <c r="A58" s="7"/>
      <c r="B58" s="8"/>
      <c r="C58" s="8"/>
      <c r="D58" s="8"/>
      <c r="E58" s="8"/>
      <c r="F58" s="8"/>
      <c r="G58" s="8"/>
      <c r="H58" s="9"/>
      <c r="I58" s="9"/>
      <c r="J58" s="9"/>
      <c r="K58" s="9"/>
      <c r="L58" s="9"/>
      <c r="M58" s="9"/>
      <c r="N58" s="9"/>
      <c r="O58" s="9"/>
      <c r="P58" s="9"/>
      <c r="Q58" s="9"/>
      <c r="R58" s="9"/>
      <c r="S58" s="9"/>
      <c r="T58" s="9"/>
      <c r="U58" s="9"/>
      <c r="V58" s="9"/>
      <c r="W58" s="9"/>
      <c r="X58" s="9"/>
      <c r="Y58" s="9"/>
      <c r="Z58" s="9"/>
      <c r="AA58" s="9"/>
      <c r="AB58" s="9"/>
      <c r="AC58" s="9"/>
      <c r="AD58" s="9"/>
      <c r="AE58" s="9"/>
      <c r="AF58" s="8"/>
      <c r="AG58" s="8"/>
      <c r="AH58" s="8"/>
    </row>
    <row r="59" spans="1:34" ht="5.0999999999999996" customHeight="1" thickBot="1" x14ac:dyDescent="0.3">
      <c r="A59" s="7"/>
      <c r="B59" s="8"/>
      <c r="C59" s="8"/>
      <c r="D59" s="8"/>
      <c r="E59" s="8"/>
      <c r="F59" s="8"/>
      <c r="G59" s="8"/>
      <c r="H59" s="9"/>
      <c r="I59" s="9"/>
      <c r="J59" s="9"/>
      <c r="K59" s="9"/>
      <c r="L59" s="9"/>
      <c r="M59" s="9"/>
      <c r="N59" s="9"/>
      <c r="O59" s="9"/>
      <c r="P59" s="9"/>
      <c r="Q59" s="9"/>
      <c r="R59" s="9"/>
      <c r="S59" s="9"/>
      <c r="T59" s="9"/>
      <c r="U59" s="9"/>
      <c r="V59" s="9"/>
      <c r="W59" s="9"/>
      <c r="X59" s="9"/>
      <c r="Y59" s="9"/>
      <c r="Z59" s="9"/>
      <c r="AA59" s="9"/>
      <c r="AB59" s="9"/>
      <c r="AC59" s="9"/>
      <c r="AD59" s="9"/>
      <c r="AE59" s="9"/>
      <c r="AF59" s="8"/>
      <c r="AG59" s="8"/>
      <c r="AH59" s="8"/>
    </row>
    <row r="60" spans="1:34" ht="5.0999999999999996" customHeight="1" x14ac:dyDescent="0.25">
      <c r="A60" s="7"/>
      <c r="B60" s="8"/>
      <c r="C60" s="10" t="s">
        <v>86</v>
      </c>
      <c r="D60" s="10"/>
      <c r="E60" s="10"/>
      <c r="F60" s="10"/>
      <c r="G60" s="10"/>
      <c r="H60" s="10"/>
      <c r="I60" s="10"/>
      <c r="J60" s="10"/>
      <c r="K60" s="10"/>
      <c r="L60" s="11"/>
      <c r="M60" s="11"/>
      <c r="N60" s="11"/>
      <c r="O60" s="11"/>
      <c r="P60" s="11"/>
      <c r="Q60" s="11"/>
      <c r="R60" s="11"/>
      <c r="S60" s="11"/>
      <c r="T60" s="11"/>
      <c r="U60" s="11"/>
      <c r="V60" s="11"/>
      <c r="W60" s="11"/>
      <c r="X60" s="11"/>
      <c r="Y60" s="11"/>
      <c r="Z60" s="11"/>
      <c r="AA60" s="11"/>
      <c r="AB60" s="11"/>
      <c r="AC60" s="11"/>
      <c r="AD60" s="11"/>
      <c r="AE60" s="12"/>
      <c r="AF60" s="9"/>
      <c r="AG60" s="9"/>
      <c r="AH60" s="9"/>
    </row>
    <row r="61" spans="1:34" ht="12" customHeight="1" x14ac:dyDescent="0.25">
      <c r="A61" s="7"/>
      <c r="B61" s="8"/>
      <c r="C61" s="13"/>
      <c r="D61" s="13"/>
      <c r="E61" s="13" t="s">
        <v>87</v>
      </c>
      <c r="F61" s="14"/>
      <c r="G61" s="15" t="s">
        <v>3028</v>
      </c>
      <c r="H61" s="14"/>
      <c r="I61" s="14"/>
      <c r="J61" s="14"/>
      <c r="K61" s="14"/>
      <c r="L61" s="14"/>
      <c r="M61" s="14"/>
      <c r="N61" s="14"/>
      <c r="O61" s="14"/>
      <c r="P61" s="14"/>
      <c r="Q61" s="14"/>
      <c r="R61" s="14"/>
      <c r="S61" s="14"/>
      <c r="T61" s="14"/>
      <c r="U61" s="14"/>
      <c r="V61" s="16"/>
      <c r="W61" s="14"/>
      <c r="X61" s="16"/>
      <c r="Y61" s="16"/>
      <c r="Z61" s="16"/>
      <c r="AA61" s="16"/>
      <c r="AB61" s="16"/>
      <c r="AC61" s="16"/>
      <c r="AD61" s="16"/>
      <c r="AE61" s="17"/>
      <c r="AF61" s="9"/>
      <c r="AG61" s="9"/>
      <c r="AH61" s="9"/>
    </row>
    <row r="62" spans="1:34" ht="12" customHeight="1" x14ac:dyDescent="0.25">
      <c r="A62" s="7"/>
      <c r="B62" s="8"/>
      <c r="C62" s="13"/>
      <c r="D62" s="13"/>
      <c r="E62" s="18"/>
      <c r="F62" s="14"/>
      <c r="G62" s="14"/>
      <c r="H62" s="14"/>
      <c r="I62" s="14"/>
      <c r="J62" s="14"/>
      <c r="K62" s="14"/>
      <c r="L62" s="14"/>
      <c r="M62" s="14"/>
      <c r="N62" s="14"/>
      <c r="O62" s="14"/>
      <c r="P62" s="14"/>
      <c r="Q62" s="14"/>
      <c r="R62" s="14"/>
      <c r="S62" s="14"/>
      <c r="T62" s="14"/>
      <c r="U62" s="14"/>
      <c r="V62" s="16"/>
      <c r="W62" s="19"/>
      <c r="X62" s="16"/>
      <c r="Y62" s="16"/>
      <c r="Z62" s="16"/>
      <c r="AA62" s="16"/>
      <c r="AB62" s="16"/>
      <c r="AC62" s="16"/>
      <c r="AD62" s="16"/>
      <c r="AE62" s="17"/>
      <c r="AF62" s="9"/>
      <c r="AG62" s="9"/>
      <c r="AH62" s="9"/>
    </row>
    <row r="63" spans="1:34" ht="12" customHeight="1" x14ac:dyDescent="0.25">
      <c r="A63" s="7"/>
      <c r="B63" s="8"/>
      <c r="C63" s="18"/>
      <c r="D63" s="13"/>
      <c r="E63" s="18"/>
      <c r="F63" s="14"/>
      <c r="G63" s="20">
        <v>2023</v>
      </c>
      <c r="H63" s="14"/>
      <c r="I63" s="14"/>
      <c r="J63" s="14"/>
      <c r="K63" s="14"/>
      <c r="L63" s="14"/>
      <c r="M63" s="14"/>
      <c r="N63" s="14"/>
      <c r="O63" s="14"/>
      <c r="P63" s="14"/>
      <c r="Q63" s="14"/>
      <c r="R63" s="14"/>
      <c r="S63" s="14"/>
      <c r="T63" s="14"/>
      <c r="U63" s="14"/>
      <c r="V63" s="16"/>
      <c r="W63" s="19"/>
      <c r="X63" s="16"/>
      <c r="Y63" s="16"/>
      <c r="Z63" s="16"/>
      <c r="AA63" s="16"/>
      <c r="AB63" s="16"/>
      <c r="AC63" s="16"/>
      <c r="AD63" s="16"/>
      <c r="AE63" s="17"/>
      <c r="AF63" s="9"/>
      <c r="AG63" s="9"/>
      <c r="AH63" s="9"/>
    </row>
    <row r="64" spans="1:34" ht="12" customHeight="1" x14ac:dyDescent="0.25">
      <c r="A64" s="7"/>
      <c r="B64" s="8"/>
      <c r="C64" s="18"/>
      <c r="D64" s="18"/>
      <c r="E64" s="18"/>
      <c r="F64" s="18"/>
      <c r="G64" s="18"/>
      <c r="H64" s="18"/>
      <c r="I64" s="18"/>
      <c r="J64" s="21"/>
      <c r="K64" s="21"/>
      <c r="L64" s="21"/>
      <c r="M64" s="21"/>
      <c r="N64" s="21"/>
      <c r="O64" s="21"/>
      <c r="P64" s="21"/>
      <c r="Q64" s="21"/>
      <c r="R64" s="21"/>
      <c r="S64" s="21"/>
      <c r="T64" s="21"/>
      <c r="U64" s="21"/>
      <c r="V64" s="21"/>
      <c r="W64" s="21"/>
      <c r="X64" s="21"/>
      <c r="Y64" s="21"/>
      <c r="Z64" s="21"/>
      <c r="AA64" s="21"/>
      <c r="AB64" s="21"/>
      <c r="AC64" s="21"/>
      <c r="AD64" s="21"/>
      <c r="AE64" s="17"/>
      <c r="AF64" s="9"/>
      <c r="AG64" s="9"/>
      <c r="AH64" s="9"/>
    </row>
    <row r="65" spans="1:34" ht="12" customHeight="1" x14ac:dyDescent="0.25">
      <c r="A65" s="7"/>
      <c r="B65" s="8"/>
      <c r="C65" s="18"/>
      <c r="D65" s="18"/>
      <c r="E65" s="18"/>
      <c r="F65" s="18"/>
      <c r="G65" s="18"/>
      <c r="H65" s="18"/>
      <c r="I65" s="18"/>
      <c r="J65" s="18"/>
      <c r="K65" s="18"/>
      <c r="L65" s="18"/>
      <c r="M65" s="18"/>
      <c r="N65" s="18"/>
      <c r="O65" s="18"/>
      <c r="P65" s="18"/>
      <c r="Q65" s="18"/>
      <c r="R65" s="18"/>
      <c r="S65" s="18"/>
      <c r="T65" s="18"/>
      <c r="U65" s="18"/>
      <c r="V65" s="21"/>
      <c r="W65" s="18" t="s">
        <v>3033</v>
      </c>
      <c r="X65" s="21"/>
      <c r="Y65" s="18" t="s">
        <v>3033</v>
      </c>
      <c r="Z65" s="18"/>
      <c r="AA65" s="18"/>
      <c r="AB65" s="21"/>
      <c r="AC65" s="21"/>
      <c r="AD65" s="21"/>
      <c r="AE65" s="17"/>
      <c r="AF65" s="9"/>
      <c r="AG65" s="9"/>
      <c r="AH65" s="9"/>
    </row>
    <row r="66" spans="1:34" ht="12" customHeight="1" x14ac:dyDescent="0.25">
      <c r="A66" s="7"/>
      <c r="B66" s="8"/>
      <c r="C66" s="18"/>
      <c r="D66" s="18"/>
      <c r="E66" s="18"/>
      <c r="F66" s="18"/>
      <c r="G66" s="18" t="s">
        <v>3025</v>
      </c>
      <c r="H66" s="18"/>
      <c r="I66" s="18" t="s">
        <v>3027</v>
      </c>
      <c r="J66" s="18"/>
      <c r="K66" s="18"/>
      <c r="L66" s="18" t="s">
        <v>3026</v>
      </c>
      <c r="M66" s="18"/>
      <c r="N66" s="18" t="s">
        <v>3023</v>
      </c>
      <c r="O66" s="18"/>
      <c r="P66" s="18" t="s">
        <v>3024</v>
      </c>
      <c r="Q66" s="18"/>
      <c r="R66" s="18"/>
      <c r="S66" s="18"/>
      <c r="T66" s="18"/>
      <c r="U66" s="18" t="s">
        <v>3030</v>
      </c>
      <c r="V66" s="21"/>
      <c r="W66" s="18" t="s">
        <v>3031</v>
      </c>
      <c r="X66" s="21"/>
      <c r="Y66" s="18" t="s">
        <v>3032</v>
      </c>
      <c r="Z66" s="18"/>
      <c r="AA66" s="18" t="s">
        <v>3029</v>
      </c>
      <c r="AB66" s="21"/>
      <c r="AC66" s="21"/>
      <c r="AD66" s="21"/>
      <c r="AE66" s="17"/>
      <c r="AF66" s="9"/>
      <c r="AG66" s="9"/>
      <c r="AH66" s="9"/>
    </row>
    <row r="67" spans="1:34" ht="12" customHeight="1" x14ac:dyDescent="0.25">
      <c r="A67" s="7"/>
      <c r="B67" s="8"/>
      <c r="C67" s="18"/>
      <c r="D67" s="18"/>
      <c r="E67" s="18"/>
      <c r="F67" s="24"/>
      <c r="G67" s="384">
        <v>0.01</v>
      </c>
      <c r="H67" s="24"/>
      <c r="I67" s="384">
        <v>6.0000000000000001E-3</v>
      </c>
      <c r="J67" s="24"/>
      <c r="K67" s="24"/>
      <c r="L67" s="384">
        <v>0.4</v>
      </c>
      <c r="N67" s="384">
        <v>0.96</v>
      </c>
      <c r="O67" s="24"/>
      <c r="P67" s="514" t="str">
        <f>General!G37</f>
        <v>b</v>
      </c>
      <c r="Q67" s="384">
        <v>0.32</v>
      </c>
      <c r="R67" s="24"/>
      <c r="S67" s="24"/>
      <c r="T67" t="s">
        <v>3034</v>
      </c>
      <c r="U67" s="477">
        <v>0.4</v>
      </c>
      <c r="V67" s="24"/>
      <c r="W67" s="478">
        <v>1.4999999999999999E-2</v>
      </c>
      <c r="X67" s="488"/>
      <c r="Y67" s="478">
        <v>1.2E-2</v>
      </c>
      <c r="Z67" s="24"/>
      <c r="AA67" s="384">
        <v>0.1</v>
      </c>
      <c r="AB67" s="27"/>
      <c r="AC67" s="27"/>
      <c r="AD67" s="27"/>
      <c r="AE67" s="17"/>
      <c r="AF67" s="9"/>
      <c r="AG67" s="9"/>
      <c r="AH67" s="9"/>
    </row>
    <row r="68" spans="1:34" ht="12" customHeight="1" x14ac:dyDescent="0.25">
      <c r="A68" s="7"/>
      <c r="B68" s="8"/>
      <c r="C68" s="18"/>
      <c r="D68" s="18"/>
      <c r="E68" s="18"/>
      <c r="F68" s="24"/>
      <c r="G68" s="24"/>
      <c r="H68" s="24"/>
      <c r="I68" s="24"/>
      <c r="J68" s="24"/>
      <c r="K68" s="24"/>
      <c r="N68" s="24"/>
      <c r="O68" s="24"/>
      <c r="P68" s="514" t="str">
        <f>General!G38</f>
        <v>bd</v>
      </c>
      <c r="Q68" s="384">
        <v>0.32</v>
      </c>
      <c r="R68" s="24"/>
      <c r="S68" s="24"/>
      <c r="T68" t="s">
        <v>3035</v>
      </c>
      <c r="U68" s="477">
        <v>0.4</v>
      </c>
      <c r="V68" s="24"/>
      <c r="W68" s="478">
        <v>2.7E-2</v>
      </c>
      <c r="X68" s="488"/>
      <c r="Y68" s="478">
        <v>1.9E-2</v>
      </c>
      <c r="Z68" s="24"/>
      <c r="AA68" s="24"/>
      <c r="AB68" s="27"/>
      <c r="AC68" s="27"/>
      <c r="AD68" s="27"/>
      <c r="AE68" s="17"/>
      <c r="AF68" s="9"/>
      <c r="AG68" s="9"/>
      <c r="AH68" s="9"/>
    </row>
    <row r="69" spans="1:34" ht="12" customHeight="1" x14ac:dyDescent="0.25">
      <c r="A69" s="7"/>
      <c r="B69" s="8"/>
      <c r="C69" s="18"/>
      <c r="D69" s="18"/>
      <c r="E69" s="18"/>
      <c r="F69" s="24"/>
      <c r="G69" s="24"/>
      <c r="H69" s="24"/>
      <c r="I69" s="24"/>
      <c r="J69" s="24"/>
      <c r="K69" s="24"/>
      <c r="N69" s="24"/>
      <c r="O69" s="24"/>
      <c r="P69" s="514" t="str">
        <f>General!G39</f>
        <v>f</v>
      </c>
      <c r="Q69" s="384">
        <v>0.51</v>
      </c>
      <c r="R69" s="24"/>
      <c r="S69" s="24"/>
      <c r="T69" t="s">
        <v>3036</v>
      </c>
      <c r="U69" s="477">
        <v>0.8</v>
      </c>
      <c r="V69" s="24"/>
      <c r="W69" s="478">
        <v>1.4999999999999999E-2</v>
      </c>
      <c r="X69" s="488"/>
      <c r="Y69" s="478">
        <v>1.2E-2</v>
      </c>
      <c r="Z69" s="24"/>
      <c r="AA69" s="24"/>
      <c r="AB69" s="27"/>
      <c r="AC69" s="27"/>
      <c r="AD69" s="27"/>
      <c r="AE69" s="17"/>
      <c r="AF69" s="9"/>
      <c r="AG69" s="9"/>
      <c r="AH69" s="9"/>
    </row>
    <row r="70" spans="1:34" ht="12" customHeight="1" x14ac:dyDescent="0.25">
      <c r="A70" s="7"/>
      <c r="B70" s="8"/>
      <c r="C70" s="18"/>
      <c r="D70" s="18"/>
      <c r="E70" s="18"/>
      <c r="F70" s="24"/>
      <c r="G70" s="24"/>
      <c r="H70" s="24"/>
      <c r="I70" s="24"/>
      <c r="J70" s="24"/>
      <c r="K70" s="24"/>
      <c r="N70" s="24"/>
      <c r="O70" s="24"/>
      <c r="P70" s="514" t="str">
        <f>General!G40</f>
        <v>h</v>
      </c>
      <c r="Q70" s="384">
        <v>0.43</v>
      </c>
      <c r="R70" s="24"/>
      <c r="S70" s="24"/>
      <c r="T70" t="s">
        <v>3037</v>
      </c>
      <c r="U70" s="477">
        <v>0.4</v>
      </c>
      <c r="V70" s="24"/>
      <c r="W70" s="478">
        <v>1.4999999999999999E-2</v>
      </c>
      <c r="X70" s="488"/>
      <c r="Y70" s="478">
        <v>1.2E-2</v>
      </c>
      <c r="Z70" s="24"/>
      <c r="AA70" s="24"/>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4" t="str">
        <f>General!G41</f>
        <v>i</v>
      </c>
      <c r="Q71" s="384">
        <v>0.51</v>
      </c>
      <c r="R71" s="24"/>
      <c r="S71" s="24"/>
      <c r="T71" s="24"/>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4" t="str">
        <f>General!G42</f>
        <v>k</v>
      </c>
      <c r="Q72" s="384">
        <v>0.51</v>
      </c>
      <c r="R72" s="24"/>
      <c r="S72" s="24"/>
      <c r="T72" s="24"/>
      <c r="U72" s="24"/>
      <c r="V72" s="24"/>
      <c r="W72" s="24"/>
      <c r="X72" s="24"/>
      <c r="Y72" s="24"/>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4" t="str">
        <f>General!G43</f>
        <v>l</v>
      </c>
      <c r="Q73" s="384">
        <v>0.51</v>
      </c>
      <c r="R73" s="24"/>
      <c r="S73" s="24"/>
      <c r="T73" s="24"/>
      <c r="U73" s="24"/>
      <c r="V73" s="24"/>
      <c r="W73" s="24"/>
      <c r="X73" s="24"/>
      <c r="Y73" s="24"/>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4" t="str">
        <f>General!G44</f>
        <v>lf</v>
      </c>
      <c r="Q74" s="384">
        <v>0.51</v>
      </c>
      <c r="R74" s="24"/>
      <c r="S74" s="24"/>
      <c r="T74" s="24"/>
      <c r="U74" s="24"/>
      <c r="V74" s="24"/>
      <c r="W74" s="24"/>
      <c r="X74" s="24"/>
      <c r="Y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4" t="str">
        <f>General!G45</f>
        <v>ms</v>
      </c>
      <c r="Q75" s="528">
        <f>0.65*Q67+0.35*Q73</f>
        <v>0.38650000000000001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4" t="str">
        <f>General!G46</f>
        <v>o</v>
      </c>
      <c r="Q76" s="384">
        <v>0.43</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4" t="str">
        <f>General!G47</f>
        <v>od</v>
      </c>
      <c r="Q77" s="384">
        <v>0.43</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4" t="str">
        <f>General!G48</f>
        <v>of</v>
      </c>
      <c r="Q78" s="384">
        <v>0.43</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4" t="str">
        <f>General!G49</f>
        <v>r</v>
      </c>
      <c r="Q79" s="384">
        <v>0.33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4" t="str">
        <f>General!G50</f>
        <v>rd</v>
      </c>
      <c r="Q80" s="384">
        <v>0.33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4" t="str">
        <f>General!G51</f>
        <v>v</v>
      </c>
      <c r="Q81" s="384">
        <v>0.51</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4" t="str">
        <f>General!G52</f>
        <v>w</v>
      </c>
      <c r="Q82" s="384">
        <v>0.28999999999999998</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4" t="str">
        <f>General!G53</f>
        <v>wd</v>
      </c>
      <c r="Q83" s="384">
        <v>0.28999999999999998</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4" t="str">
        <f>General!G54</f>
        <v>z</v>
      </c>
      <c r="Q84" s="384">
        <v>0.33</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484"/>
      <c r="I85" s="484"/>
      <c r="J85" s="24"/>
      <c r="K85" s="484"/>
      <c r="N85" s="484"/>
      <c r="O85" s="24"/>
      <c r="P85" s="514" t="str">
        <f>General!G55</f>
        <v>zd</v>
      </c>
      <c r="Q85" s="384">
        <v>0.33</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8"/>
      <c r="H86" s="28"/>
      <c r="I86" s="487"/>
      <c r="J86" s="32"/>
      <c r="K86" s="32"/>
      <c r="L86" s="32"/>
      <c r="M86" s="32"/>
      <c r="N86" s="32"/>
      <c r="O86" s="32"/>
      <c r="P86" s="32"/>
      <c r="Q86" s="30"/>
      <c r="R86" s="30"/>
      <c r="S86" s="30"/>
      <c r="T86" s="30"/>
      <c r="U86" s="30"/>
      <c r="V86" s="30"/>
      <c r="W86" s="30"/>
      <c r="X86" s="30"/>
      <c r="Y86" s="27"/>
      <c r="Z86" s="27"/>
      <c r="AA86" s="27"/>
      <c r="AB86" s="27"/>
      <c r="AC86" s="27"/>
      <c r="AD86" s="27"/>
      <c r="AE86" s="17"/>
      <c r="AF86" s="9"/>
      <c r="AG86" s="9"/>
      <c r="AH86" s="9"/>
    </row>
    <row r="87" spans="1:34" ht="5.0999999999999996" customHeight="1" x14ac:dyDescent="0.25">
      <c r="A87" s="7"/>
      <c r="B87" s="8"/>
      <c r="C87" s="18"/>
      <c r="D87" s="18"/>
      <c r="E87" s="18"/>
      <c r="F87" s="33"/>
      <c r="G87" s="34"/>
      <c r="H87" s="34"/>
      <c r="I87" s="34"/>
      <c r="J87" s="35"/>
      <c r="K87" s="35"/>
      <c r="L87" s="35"/>
      <c r="M87" s="35"/>
      <c r="N87" s="35"/>
      <c r="O87" s="35"/>
      <c r="P87" s="35"/>
      <c r="Q87" s="35"/>
      <c r="R87" s="35"/>
      <c r="S87" s="35"/>
      <c r="T87" s="35"/>
      <c r="U87" s="35"/>
      <c r="V87" s="35"/>
      <c r="W87" s="35"/>
      <c r="X87" s="35"/>
      <c r="Y87" s="27"/>
      <c r="Z87" s="27"/>
      <c r="AA87" s="27"/>
      <c r="AB87" s="27"/>
      <c r="AC87" s="27"/>
      <c r="AD87" s="27"/>
      <c r="AE87" s="17"/>
      <c r="AF87" s="9"/>
      <c r="AG87" s="9"/>
      <c r="AH87" s="9"/>
    </row>
    <row r="88" spans="1:34" ht="24.95" customHeight="1" x14ac:dyDescent="0.25">
      <c r="A88" s="7"/>
      <c r="B88" s="8"/>
      <c r="C88" s="36"/>
      <c r="D88" s="36"/>
      <c r="E88" s="36"/>
      <c r="F88" s="36"/>
      <c r="G88" s="37" t="str">
        <f>G61</f>
        <v>Crop &amp; Pasture Residues &amp; Burning</v>
      </c>
      <c r="H88" s="36"/>
      <c r="I88" s="36"/>
      <c r="J88" s="36"/>
      <c r="K88" s="36"/>
      <c r="L88" s="36"/>
      <c r="M88" s="36"/>
      <c r="N88" s="36"/>
      <c r="O88" s="36"/>
      <c r="P88" s="36"/>
      <c r="Q88" s="36"/>
      <c r="R88" s="36"/>
      <c r="S88" s="36"/>
      <c r="T88" s="36"/>
      <c r="U88" s="36"/>
      <c r="V88" s="36"/>
      <c r="W88" s="36"/>
      <c r="X88" s="36"/>
      <c r="Y88" s="36"/>
      <c r="Z88" s="36"/>
      <c r="AA88" s="36"/>
      <c r="AB88" s="36"/>
      <c r="AC88" s="36"/>
      <c r="AD88" s="36"/>
      <c r="AE88" s="38" t="s">
        <v>91</v>
      </c>
      <c r="AF88" s="9"/>
      <c r="AG88" s="9"/>
      <c r="AH88" s="9"/>
    </row>
    <row r="89" spans="1:34" ht="12" customHeight="1" x14ac:dyDescent="0.25">
      <c r="A89" s="7"/>
      <c r="B89" s="8"/>
      <c r="C89" s="8"/>
      <c r="D89" s="8"/>
      <c r="E89" s="8"/>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row>
    <row r="90" spans="1:34" ht="12" customHeight="1" x14ac:dyDescent="0.25">
      <c r="A90" s="7"/>
      <c r="B90" s="8"/>
      <c r="C90" s="8"/>
      <c r="D90" s="8"/>
      <c r="E90" s="8"/>
      <c r="F90" s="8"/>
      <c r="G90" s="8"/>
      <c r="H90" s="9"/>
      <c r="I90" s="9"/>
      <c r="J90" s="9"/>
      <c r="K90" s="9"/>
      <c r="L90" s="9"/>
      <c r="M90" s="9"/>
      <c r="N90" s="9"/>
      <c r="O90" s="9"/>
      <c r="P90" s="9"/>
      <c r="Q90" s="9"/>
      <c r="R90" s="9"/>
      <c r="S90" s="9"/>
      <c r="T90" s="9"/>
      <c r="U90" s="9"/>
      <c r="V90" s="9"/>
      <c r="W90" s="9"/>
      <c r="X90" s="9"/>
      <c r="Y90" s="9"/>
      <c r="Z90" s="9"/>
      <c r="AA90" s="9"/>
      <c r="AB90" s="9"/>
      <c r="AC90" s="9"/>
      <c r="AD90" s="9"/>
      <c r="AE90" s="9"/>
      <c r="AF90" s="8"/>
      <c r="AG90" s="8"/>
      <c r="AH90" s="8"/>
    </row>
    <row r="91" spans="1:34" ht="5.0999999999999996" customHeight="1" thickBot="1" x14ac:dyDescent="0.3">
      <c r="A91" s="7"/>
      <c r="B91" s="8"/>
      <c r="C91" s="8"/>
      <c r="D91" s="8"/>
      <c r="E91" s="8"/>
      <c r="F91" s="8"/>
      <c r="G91" s="8"/>
      <c r="H91" s="9"/>
      <c r="I91" s="9"/>
      <c r="J91" s="9"/>
      <c r="K91" s="9"/>
      <c r="L91" s="9"/>
      <c r="M91" s="9"/>
      <c r="N91" s="9"/>
      <c r="O91" s="9"/>
      <c r="P91" s="9"/>
      <c r="Q91" s="9"/>
      <c r="R91" s="9"/>
      <c r="S91" s="9"/>
      <c r="T91" s="9"/>
      <c r="U91" s="9"/>
      <c r="V91" s="9"/>
      <c r="W91" s="9"/>
      <c r="X91" s="9"/>
      <c r="Y91" s="9"/>
      <c r="Z91" s="9"/>
      <c r="AA91" s="9"/>
      <c r="AB91" s="9"/>
      <c r="AC91" s="9"/>
      <c r="AD91" s="9"/>
      <c r="AE91" s="9"/>
      <c r="AF91" s="8"/>
      <c r="AG91" s="8"/>
      <c r="AH91" s="8"/>
    </row>
    <row r="92" spans="1:34" ht="5.0999999999999996" customHeight="1" x14ac:dyDescent="0.25">
      <c r="A92" s="7"/>
      <c r="B92" s="8"/>
      <c r="C92" s="10" t="s">
        <v>86</v>
      </c>
      <c r="D92" s="10"/>
      <c r="E92" s="10"/>
      <c r="F92" s="10"/>
      <c r="G92" s="10"/>
      <c r="H92" s="10"/>
      <c r="I92" s="10"/>
      <c r="J92" s="10"/>
      <c r="K92" s="10"/>
      <c r="L92" s="11"/>
      <c r="M92" s="11"/>
      <c r="N92" s="11"/>
      <c r="O92" s="11"/>
      <c r="P92" s="11"/>
      <c r="Q92" s="11"/>
      <c r="R92" s="11"/>
      <c r="S92" s="11"/>
      <c r="T92" s="11"/>
      <c r="U92" s="11"/>
      <c r="V92" s="11"/>
      <c r="W92" s="11"/>
      <c r="X92" s="11"/>
      <c r="Y92" s="11"/>
      <c r="Z92" s="11"/>
      <c r="AA92" s="11"/>
      <c r="AB92" s="11"/>
      <c r="AC92" s="11"/>
      <c r="AD92" s="11"/>
      <c r="AE92" s="12"/>
      <c r="AF92" s="9"/>
      <c r="AG92" s="9"/>
      <c r="AH92" s="9"/>
    </row>
    <row r="93" spans="1:34" ht="12" customHeight="1" x14ac:dyDescent="0.25">
      <c r="A93" s="7"/>
      <c r="B93" s="8"/>
      <c r="C93" s="13"/>
      <c r="D93" s="13"/>
      <c r="E93" s="13" t="s">
        <v>87</v>
      </c>
      <c r="F93" s="14"/>
      <c r="G93" s="15" t="s">
        <v>3008</v>
      </c>
      <c r="H93" s="14"/>
      <c r="I93" s="14"/>
      <c r="J93" s="14"/>
      <c r="K93" s="14"/>
      <c r="L93" s="14"/>
      <c r="M93" s="14"/>
      <c r="N93" s="14"/>
      <c r="O93" s="14"/>
      <c r="P93" s="14"/>
      <c r="Q93" s="14"/>
      <c r="R93" s="14"/>
      <c r="S93" s="14"/>
      <c r="T93" s="14"/>
      <c r="U93" s="14"/>
      <c r="V93" s="16"/>
      <c r="W93" s="14"/>
      <c r="X93" s="16"/>
      <c r="Y93" s="16"/>
      <c r="Z93" s="16"/>
      <c r="AA93" s="16"/>
      <c r="AB93" s="16"/>
      <c r="AC93" s="16"/>
      <c r="AD93" s="16"/>
      <c r="AE93" s="17"/>
      <c r="AF93" s="9"/>
      <c r="AG93" s="9"/>
      <c r="AH93" s="9"/>
    </row>
    <row r="94" spans="1:34" ht="12" customHeight="1" x14ac:dyDescent="0.25">
      <c r="A94" s="7"/>
      <c r="B94" s="8"/>
      <c r="C94" s="13"/>
      <c r="D94" s="13"/>
      <c r="E94" s="18"/>
      <c r="F94" s="14"/>
      <c r="G94" s="14"/>
      <c r="H94" s="14"/>
      <c r="I94" s="14"/>
      <c r="J94" s="14"/>
      <c r="K94" s="14"/>
      <c r="L94" s="14"/>
      <c r="M94" s="14"/>
      <c r="N94" s="14"/>
      <c r="O94" s="14"/>
      <c r="P94" s="14"/>
      <c r="Q94" s="14"/>
      <c r="R94" s="14"/>
      <c r="S94" s="14"/>
      <c r="T94" s="14"/>
      <c r="U94" s="14"/>
      <c r="V94" s="16"/>
      <c r="W94" s="19"/>
      <c r="X94" s="16"/>
      <c r="Y94" s="16"/>
      <c r="Z94" s="16"/>
      <c r="AA94" s="16"/>
      <c r="AB94" s="16"/>
      <c r="AC94" s="16"/>
      <c r="AD94" s="16"/>
      <c r="AE94" s="17"/>
      <c r="AF94" s="9"/>
      <c r="AG94" s="9"/>
      <c r="AH94" s="9"/>
    </row>
    <row r="95" spans="1:34" ht="12" customHeight="1" x14ac:dyDescent="0.25">
      <c r="A95" s="7"/>
      <c r="B95" s="8"/>
      <c r="C95" s="18"/>
      <c r="D95" s="13"/>
      <c r="E95" s="18"/>
      <c r="F95" s="14"/>
      <c r="G95" s="20">
        <v>2023</v>
      </c>
      <c r="H95" s="14"/>
      <c r="I95" s="14"/>
      <c r="J95" s="14"/>
      <c r="K95" s="14"/>
      <c r="L95" s="14"/>
      <c r="M95" s="14"/>
      <c r="N95" s="14"/>
      <c r="O95" s="14"/>
      <c r="P95" s="14"/>
      <c r="Q95" s="14"/>
      <c r="R95" s="14"/>
      <c r="S95" s="14"/>
      <c r="T95" s="14"/>
      <c r="U95" s="14"/>
      <c r="V95" s="16"/>
      <c r="W95" s="19"/>
      <c r="X95" s="16"/>
      <c r="Y95" s="16"/>
      <c r="Z95" s="16"/>
      <c r="AA95" s="16"/>
      <c r="AB95" s="16"/>
      <c r="AC95" s="16"/>
      <c r="AD95" s="16"/>
      <c r="AE95" s="17"/>
      <c r="AF95" s="9"/>
      <c r="AG95" s="9"/>
      <c r="AH95" s="9"/>
    </row>
    <row r="96" spans="1:34" ht="12" customHeight="1" x14ac:dyDescent="0.25">
      <c r="A96" s="7"/>
      <c r="B96" s="8"/>
      <c r="C96" s="18"/>
      <c r="D96" s="18"/>
      <c r="E96" s="18"/>
      <c r="F96" s="18"/>
      <c r="G96" s="18"/>
      <c r="H96" s="18"/>
      <c r="I96" s="18"/>
      <c r="J96" s="21"/>
      <c r="K96" s="21"/>
      <c r="L96" s="21"/>
      <c r="M96" s="21"/>
      <c r="N96" s="21"/>
      <c r="O96" s="21"/>
      <c r="P96" s="21"/>
      <c r="Q96" s="21"/>
      <c r="R96" s="21"/>
      <c r="S96" s="21"/>
      <c r="T96" s="21"/>
      <c r="U96" s="21"/>
      <c r="V96" s="21"/>
      <c r="W96" s="21"/>
      <c r="X96" s="21"/>
      <c r="Y96" s="21"/>
      <c r="Z96" s="21"/>
      <c r="AA96" s="21"/>
      <c r="AB96" s="21"/>
      <c r="AC96" s="21"/>
      <c r="AD96" s="21"/>
      <c r="AE96" s="17"/>
      <c r="AF96" s="9"/>
      <c r="AG96" s="9"/>
      <c r="AH96" s="9"/>
    </row>
    <row r="97" spans="1:34" ht="12" customHeight="1" x14ac:dyDescent="0.25">
      <c r="A97" s="7"/>
      <c r="B97" s="8"/>
      <c r="C97" s="18"/>
      <c r="D97" s="18"/>
      <c r="E97" s="18"/>
      <c r="F97" s="18"/>
      <c r="G97" s="18"/>
      <c r="H97" s="18"/>
      <c r="I97" s="18"/>
      <c r="J97" s="18"/>
      <c r="K97" s="18"/>
      <c r="L97" s="18"/>
      <c r="M97" s="18"/>
      <c r="N97" s="18"/>
      <c r="O97" s="18"/>
      <c r="P97" s="18"/>
      <c r="Q97" s="18"/>
      <c r="R97" s="18"/>
      <c r="S97" s="18"/>
      <c r="T97" s="18"/>
      <c r="U97" s="18"/>
      <c r="V97" s="18"/>
      <c r="W97" s="18"/>
      <c r="X97" s="18"/>
      <c r="Y97" s="18"/>
      <c r="Z97" s="18"/>
      <c r="AA97" s="18"/>
      <c r="AB97" s="21"/>
      <c r="AC97" s="21"/>
      <c r="AD97" s="21"/>
      <c r="AE97" s="17"/>
      <c r="AF97" s="9"/>
      <c r="AG97" s="9"/>
      <c r="AH97" s="9"/>
    </row>
    <row r="98" spans="1:34" ht="12" customHeight="1" x14ac:dyDescent="0.25">
      <c r="A98" s="7"/>
      <c r="B98" s="8"/>
      <c r="C98" s="18"/>
      <c r="D98" s="18"/>
      <c r="E98" s="18"/>
      <c r="F98" s="18"/>
      <c r="G98" s="18"/>
      <c r="H98" s="18"/>
      <c r="I98" s="18"/>
      <c r="J98" s="18"/>
      <c r="K98" s="18"/>
      <c r="L98" s="18" t="s">
        <v>3015</v>
      </c>
      <c r="M98" s="18"/>
      <c r="N98" s="18" t="s">
        <v>3014</v>
      </c>
      <c r="O98" s="18"/>
      <c r="P98" s="18" t="s">
        <v>3016</v>
      </c>
      <c r="Q98" s="18"/>
      <c r="R98" s="18"/>
      <c r="S98" s="18"/>
      <c r="T98" s="18"/>
      <c r="U98" s="18"/>
      <c r="V98" s="18"/>
      <c r="W98" s="18"/>
      <c r="X98" s="18"/>
      <c r="Y98" s="18"/>
      <c r="Z98" s="18"/>
      <c r="AA98" s="18"/>
      <c r="AB98" s="21"/>
      <c r="AC98" s="21"/>
      <c r="AD98" s="21"/>
      <c r="AE98" s="17"/>
      <c r="AF98" s="9"/>
      <c r="AG98" s="9"/>
      <c r="AH98" s="9"/>
    </row>
    <row r="99" spans="1:34" ht="12" customHeight="1" x14ac:dyDescent="0.25">
      <c r="A99" s="7"/>
      <c r="B99" s="8"/>
      <c r="C99" s="18"/>
      <c r="D99" s="18"/>
      <c r="E99" s="18"/>
      <c r="F99" s="24"/>
      <c r="G99" s="24"/>
      <c r="H99" s="483" t="s">
        <v>3010</v>
      </c>
      <c r="I99" s="484"/>
      <c r="J99" s="24"/>
      <c r="K99" s="484"/>
      <c r="L99" s="484"/>
      <c r="M99" s="24"/>
      <c r="N99" s="24"/>
      <c r="O99" s="24"/>
      <c r="P99" s="24"/>
      <c r="Q99" s="24"/>
      <c r="R99" s="24"/>
      <c r="S99" s="24"/>
      <c r="T99" s="24"/>
      <c r="U99" s="24"/>
      <c r="V99" s="24"/>
      <c r="W99" s="24"/>
      <c r="X99" s="24"/>
      <c r="Y99" s="24"/>
      <c r="Z99" s="24"/>
      <c r="AA99" s="24"/>
      <c r="AB99" s="27"/>
      <c r="AC99" s="27"/>
      <c r="AD99" s="27"/>
      <c r="AE99" s="17"/>
      <c r="AF99" s="9"/>
      <c r="AG99" s="9"/>
      <c r="AH99" s="9"/>
    </row>
    <row r="100" spans="1:34" ht="12" customHeight="1" x14ac:dyDescent="0.25">
      <c r="A100" s="7"/>
      <c r="B100" s="8"/>
      <c r="C100" s="18"/>
      <c r="D100" s="18"/>
      <c r="E100" s="18"/>
      <c r="F100" s="24"/>
      <c r="G100" s="24"/>
      <c r="H100" s="24"/>
      <c r="I100" s="484" t="s">
        <v>3011</v>
      </c>
      <c r="J100" s="24"/>
      <c r="K100" s="484"/>
      <c r="L100" s="478">
        <v>0.21</v>
      </c>
      <c r="M100" s="24"/>
      <c r="N100" s="478">
        <v>0.11</v>
      </c>
      <c r="O100" s="24"/>
      <c r="P100" s="24"/>
      <c r="Q100" s="24"/>
      <c r="R100" s="24"/>
      <c r="S100" s="24"/>
      <c r="T100" s="24"/>
      <c r="U100" s="24"/>
      <c r="V100" s="24"/>
      <c r="W100" s="24"/>
      <c r="X100" s="24"/>
      <c r="Y100" s="24"/>
      <c r="Z100" s="24"/>
      <c r="AA100" s="24"/>
      <c r="AB100" s="27"/>
      <c r="AC100" s="27"/>
      <c r="AD100" s="27"/>
      <c r="AE100" s="17"/>
      <c r="AF100" s="9"/>
      <c r="AG100" s="9"/>
      <c r="AH100" s="9"/>
    </row>
    <row r="101" spans="1:34" ht="12" customHeight="1" x14ac:dyDescent="0.25">
      <c r="A101" s="7"/>
      <c r="B101" s="8"/>
      <c r="C101" s="18"/>
      <c r="D101" s="18"/>
      <c r="E101" s="18"/>
      <c r="F101" s="24"/>
      <c r="G101" s="24"/>
      <c r="H101" s="24"/>
      <c r="I101" s="484"/>
      <c r="J101" s="24"/>
      <c r="K101" s="484"/>
      <c r="L101" s="484"/>
      <c r="M101" s="24"/>
      <c r="N101" s="24"/>
      <c r="O101" s="24"/>
      <c r="P101" s="24"/>
      <c r="Q101" s="24"/>
      <c r="R101" s="24"/>
      <c r="S101" s="24"/>
      <c r="T101" s="24"/>
      <c r="U101" s="24"/>
      <c r="V101" s="24"/>
      <c r="W101" s="24"/>
      <c r="X101" s="24"/>
      <c r="Y101" s="24"/>
      <c r="Z101" s="24"/>
      <c r="AA101" s="24"/>
      <c r="AB101" s="27"/>
      <c r="AC101" s="27"/>
      <c r="AD101" s="27"/>
      <c r="AE101" s="17"/>
      <c r="AF101" s="9"/>
      <c r="AG101" s="9"/>
      <c r="AH101" s="9"/>
    </row>
    <row r="102" spans="1:34" ht="12" customHeight="1" x14ac:dyDescent="0.25">
      <c r="A102" s="7"/>
      <c r="B102" s="8"/>
      <c r="C102" s="18"/>
      <c r="D102" s="18"/>
      <c r="E102" s="18"/>
      <c r="F102" s="24"/>
      <c r="G102" s="24"/>
      <c r="H102" s="483" t="s">
        <v>3009</v>
      </c>
      <c r="I102" s="484"/>
      <c r="J102" s="24"/>
      <c r="K102" s="484"/>
      <c r="L102" s="484"/>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484"/>
      <c r="I103" s="484" t="s">
        <v>3012</v>
      </c>
      <c r="J103" s="24"/>
      <c r="K103" s="484"/>
      <c r="L103" s="384">
        <v>1</v>
      </c>
      <c r="M103" s="24"/>
      <c r="N103" s="384">
        <v>0.223</v>
      </c>
      <c r="O103" s="24"/>
      <c r="P103" s="384">
        <v>1</v>
      </c>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484"/>
      <c r="I104" s="484" t="s">
        <v>3013</v>
      </c>
      <c r="J104" s="24"/>
      <c r="K104" s="484"/>
      <c r="L104" s="384">
        <v>0.24</v>
      </c>
      <c r="M104" s="24"/>
      <c r="N104" s="384">
        <v>0.24</v>
      </c>
      <c r="O104" s="24"/>
      <c r="P104" s="384">
        <v>0.24</v>
      </c>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85"/>
      <c r="I105" s="485"/>
      <c r="J105" s="24"/>
      <c r="K105" s="484"/>
      <c r="L105" s="484"/>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6"/>
      <c r="I106" s="485"/>
      <c r="J106" s="24"/>
      <c r="K106" s="484"/>
      <c r="L106" s="484"/>
      <c r="M106" s="24"/>
      <c r="N106" s="24"/>
      <c r="O106" s="24"/>
      <c r="P106" s="24"/>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4"/>
      <c r="I107" s="345" t="s">
        <v>3047</v>
      </c>
      <c r="J107" s="24"/>
      <c r="K107" s="484"/>
      <c r="L107" s="484"/>
      <c r="M107" s="24"/>
      <c r="N107" s="24"/>
      <c r="O107" s="24"/>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4"/>
      <c r="I108" s="325" t="s">
        <v>3048</v>
      </c>
      <c r="J108" s="24"/>
      <c r="K108" s="484"/>
      <c r="L108" s="484"/>
      <c r="M108" s="24"/>
      <c r="N108" s="384">
        <v>1</v>
      </c>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4"/>
      <c r="I109" s="325" t="s">
        <v>3049</v>
      </c>
      <c r="J109" s="24"/>
      <c r="K109" s="484"/>
      <c r="L109" s="484"/>
      <c r="M109" s="24"/>
      <c r="N109" s="384">
        <v>0.9</v>
      </c>
      <c r="O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4"/>
      <c r="I110" s="325" t="s">
        <v>3050</v>
      </c>
      <c r="J110" s="24"/>
      <c r="K110" s="484"/>
      <c r="L110" s="484"/>
      <c r="M110" s="24"/>
      <c r="N110" s="384">
        <v>0.95</v>
      </c>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4"/>
      <c r="I111" s="484"/>
      <c r="J111" s="24"/>
      <c r="K111" s="484"/>
      <c r="L111" s="484"/>
      <c r="M111" s="24"/>
      <c r="N111" s="24"/>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8"/>
      <c r="H112" s="28"/>
      <c r="I112" s="487"/>
      <c r="J112" s="32"/>
      <c r="K112" s="32"/>
      <c r="L112" s="32"/>
      <c r="M112" s="32"/>
      <c r="N112" s="32"/>
      <c r="O112" s="32"/>
      <c r="P112" s="32"/>
      <c r="Q112" s="30"/>
      <c r="R112" s="30"/>
      <c r="S112" s="30"/>
      <c r="T112" s="30"/>
      <c r="U112" s="30"/>
      <c r="V112" s="30"/>
      <c r="W112" s="30"/>
      <c r="X112" s="30"/>
      <c r="Y112" s="27"/>
      <c r="Z112" s="27"/>
      <c r="AA112" s="27"/>
      <c r="AB112" s="27"/>
      <c r="AC112" s="27"/>
      <c r="AD112" s="27"/>
      <c r="AE112" s="17"/>
      <c r="AF112" s="9"/>
      <c r="AG112" s="9"/>
      <c r="AH112" s="9"/>
    </row>
    <row r="113" spans="1:34" ht="5.0999999999999996" customHeight="1" x14ac:dyDescent="0.25">
      <c r="A113" s="7"/>
      <c r="B113" s="8"/>
      <c r="C113" s="18"/>
      <c r="D113" s="18"/>
      <c r="E113" s="18"/>
      <c r="F113" s="33"/>
      <c r="G113" s="34"/>
      <c r="H113" s="34"/>
      <c r="I113" s="34"/>
      <c r="J113" s="35"/>
      <c r="K113" s="35"/>
      <c r="L113" s="35"/>
      <c r="M113" s="35"/>
      <c r="N113" s="35"/>
      <c r="O113" s="35"/>
      <c r="P113" s="35"/>
      <c r="Q113" s="35"/>
      <c r="R113" s="35"/>
      <c r="S113" s="35"/>
      <c r="T113" s="35"/>
      <c r="U113" s="35"/>
      <c r="V113" s="35"/>
      <c r="W113" s="35"/>
      <c r="X113" s="35"/>
      <c r="Y113" s="27"/>
      <c r="Z113" s="27"/>
      <c r="AA113" s="27"/>
      <c r="AB113" s="27"/>
      <c r="AC113" s="27"/>
      <c r="AD113" s="27"/>
      <c r="AE113" s="17"/>
      <c r="AF113" s="9"/>
      <c r="AG113" s="9"/>
      <c r="AH113" s="9"/>
    </row>
    <row r="114" spans="1:34" ht="24.95" customHeight="1" x14ac:dyDescent="0.25">
      <c r="A114" s="7"/>
      <c r="B114" s="8"/>
      <c r="C114" s="36"/>
      <c r="D114" s="36"/>
      <c r="E114" s="36"/>
      <c r="F114" s="36"/>
      <c r="G114" s="37" t="str">
        <f>G93</f>
        <v>Other Factors</v>
      </c>
      <c r="H114" s="36"/>
      <c r="I114" s="36"/>
      <c r="J114" s="36"/>
      <c r="K114" s="36"/>
      <c r="L114" s="36"/>
      <c r="M114" s="36"/>
      <c r="N114" s="36"/>
      <c r="O114" s="36"/>
      <c r="P114" s="36"/>
      <c r="Q114" s="36"/>
      <c r="R114" s="36"/>
      <c r="S114" s="36"/>
      <c r="T114" s="36"/>
      <c r="U114" s="36"/>
      <c r="V114" s="36"/>
      <c r="W114" s="36"/>
      <c r="X114" s="36"/>
      <c r="Y114" s="36"/>
      <c r="Z114" s="36"/>
      <c r="AA114" s="36"/>
      <c r="AB114" s="36"/>
      <c r="AC114" s="36"/>
      <c r="AD114" s="36"/>
      <c r="AE114" s="38" t="s">
        <v>91</v>
      </c>
      <c r="AF114" s="9"/>
      <c r="AG114" s="9"/>
      <c r="AH114" s="9"/>
    </row>
    <row r="115" spans="1:34" ht="12" customHeight="1" x14ac:dyDescent="0.25">
      <c r="A115" s="7"/>
      <c r="B115" s="8"/>
      <c r="C115" s="8"/>
      <c r="D115" s="8"/>
      <c r="E115" s="8"/>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1733"/>
  <sheetViews>
    <sheetView topLeftCell="A3" zoomScale="80" zoomScaleNormal="80" workbookViewId="0">
      <pane xSplit="9" ySplit="36" topLeftCell="J40" activePane="bottomRight" state="frozen"/>
      <selection activeCell="A3" sqref="A3"/>
      <selection pane="topRight" activeCell="J3" sqref="J3"/>
      <selection pane="bottomLeft" activeCell="A39" sqref="A39"/>
      <selection pane="bottomRight" activeCell="I12" sqref="I12"/>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45836.919256828704</v>
      </c>
      <c r="J11" s="621" t="s">
        <v>3379</v>
      </c>
      <c r="K11" s="622"/>
      <c r="L11" s="622"/>
      <c r="M11" s="622"/>
      <c r="N11" s="622"/>
      <c r="O11" s="622"/>
      <c r="P11" s="622"/>
      <c r="Q11" s="622"/>
      <c r="R11" s="622"/>
      <c r="S11" s="622"/>
      <c r="T11" s="622"/>
      <c r="U11" s="622"/>
      <c r="V11" s="622"/>
      <c r="W11" s="622"/>
      <c r="X11" s="622"/>
      <c r="Y11" s="622"/>
      <c r="Z11" s="622"/>
      <c r="AA11" s="622"/>
      <c r="AB11" s="373"/>
      <c r="AC11" s="373"/>
      <c r="AD11" s="374"/>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45836.919191088004</v>
      </c>
      <c r="J12" s="632" t="s">
        <v>3526</v>
      </c>
      <c r="K12" s="633"/>
      <c r="L12" s="633"/>
      <c r="M12" s="633"/>
      <c r="N12" s="633"/>
      <c r="O12" s="633"/>
      <c r="P12" s="633"/>
      <c r="Q12" s="633"/>
      <c r="R12" s="633"/>
      <c r="S12" s="633"/>
      <c r="T12" s="633"/>
      <c r="U12" s="633"/>
      <c r="V12" s="633"/>
      <c r="W12" s="633"/>
      <c r="X12" s="633"/>
      <c r="Y12" s="633"/>
      <c r="Z12" s="633"/>
      <c r="AA12" s="633"/>
      <c r="AB12" s="375"/>
      <c r="AC12" s="375"/>
      <c r="AD12" s="376"/>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INT(MAX($C$39:$C$1722))+1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2974</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3337</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7" t="s">
        <v>3319</v>
      </c>
      <c r="X35" s="617" t="s">
        <v>3320</v>
      </c>
      <c r="Y35" s="72" t="s">
        <v>3318</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INT(MAX($C$39:$C$1722))+1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INT(MAX($C$39:$C$1722))+1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3330</v>
      </c>
      <c r="G44" s="73"/>
      <c r="H44" s="129" t="s">
        <v>2994</v>
      </c>
      <c r="I44" s="96" t="s">
        <v>692</v>
      </c>
      <c r="J44" s="96"/>
      <c r="K44" s="76"/>
      <c r="L44" s="76"/>
      <c r="M44" s="76"/>
      <c r="N44" s="76"/>
      <c r="O44" s="76"/>
      <c r="P44" s="76"/>
      <c r="Q44" s="76"/>
      <c r="R44" s="76"/>
      <c r="S44" s="76"/>
      <c r="T44" s="76" t="s">
        <v>3327</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2976</v>
      </c>
      <c r="I45" s="96" t="s">
        <v>692</v>
      </c>
      <c r="J45" s="96"/>
      <c r="K45" s="76"/>
      <c r="L45" s="76"/>
      <c r="M45" s="76"/>
      <c r="N45" s="76"/>
      <c r="O45" s="76"/>
      <c r="P45" s="76"/>
      <c r="Q45" s="76"/>
      <c r="R45" s="76"/>
      <c r="S45" s="76"/>
      <c r="T45" s="76"/>
      <c r="U45" s="616">
        <f t="shared" ref="U45:AD45" si="1">3.058*U44/(U$377*U$383)</f>
        <v>27.53301320528211</v>
      </c>
      <c r="V45" s="616">
        <f t="shared" si="1"/>
        <v>36.710684273709482</v>
      </c>
      <c r="W45" s="616">
        <f t="shared" si="1"/>
        <v>37.985046730692275</v>
      </c>
      <c r="X45" s="616">
        <f t="shared" si="1"/>
        <v>36.710684273709482</v>
      </c>
      <c r="Y45" s="616">
        <f t="shared" si="1"/>
        <v>46.242001600640258</v>
      </c>
      <c r="Z45" s="616">
        <f t="shared" si="1"/>
        <v>36.710684273709482</v>
      </c>
      <c r="AA45" s="616">
        <f t="shared" si="1"/>
        <v>44.052821128451377</v>
      </c>
      <c r="AB45" s="616">
        <f t="shared" si="1"/>
        <v>42.829131652661061</v>
      </c>
      <c r="AC45" s="616">
        <f t="shared" si="1"/>
        <v>42.829131652661061</v>
      </c>
      <c r="AD45" s="616">
        <f t="shared" si="1"/>
        <v>48.947579031612641</v>
      </c>
      <c r="AE45" s="76"/>
      <c r="AF45" s="97" t="s">
        <v>2993</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t="s">
        <v>3329</v>
      </c>
      <c r="G50" s="73"/>
      <c r="H50" s="129" t="s">
        <v>464</v>
      </c>
      <c r="I50" s="96" t="s">
        <v>465</v>
      </c>
      <c r="J50" s="96"/>
      <c r="K50" s="76"/>
      <c r="L50" s="76"/>
      <c r="M50" s="76"/>
      <c r="N50" s="76"/>
      <c r="O50" s="76"/>
      <c r="P50" s="76"/>
      <c r="Q50" s="76"/>
      <c r="R50" s="76"/>
      <c r="S50" s="76"/>
      <c r="T50" s="76" t="s">
        <v>3327</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25">
      <c r="A51" s="45"/>
      <c r="B51" s="54"/>
      <c r="C51" s="47">
        <f t="shared" si="0"/>
        <v>3</v>
      </c>
      <c r="D51" s="73"/>
      <c r="E51" s="70"/>
      <c r="F51" s="70" t="s">
        <v>3328</v>
      </c>
      <c r="G51" s="73"/>
      <c r="H51" s="129" t="s">
        <v>466</v>
      </c>
      <c r="I51" s="96" t="s">
        <v>1419</v>
      </c>
      <c r="J51" s="96"/>
      <c r="K51" s="76"/>
      <c r="L51" s="76"/>
      <c r="M51" s="76"/>
      <c r="N51" s="76"/>
      <c r="O51" s="76"/>
      <c r="P51" s="76"/>
      <c r="Q51" s="76"/>
      <c r="R51" s="76"/>
      <c r="S51" s="76"/>
      <c r="T51" s="76" t="s">
        <v>3327</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2984</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2985</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2986</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2987</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2988</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2989</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2544</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2305</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2570</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2571</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2746</v>
      </c>
      <c r="I60" s="96" t="s">
        <v>2388</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2541</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2287</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2278</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2745</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2744</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2745</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2280</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2745</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2279</v>
      </c>
      <c r="I67" s="96" t="s">
        <v>2242</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2764</v>
      </c>
      <c r="AG67" s="76"/>
      <c r="AH67" s="97">
        <v>1</v>
      </c>
      <c r="AI67" s="97">
        <v>1</v>
      </c>
      <c r="AJ67" s="73"/>
      <c r="AK67" s="57"/>
      <c r="AL67" s="45"/>
      <c r="AM67" s="45"/>
      <c r="AN67" s="45"/>
    </row>
    <row r="68" spans="1:40"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2229</v>
      </c>
      <c r="I69" s="96" t="s">
        <v>90</v>
      </c>
      <c r="J69" s="372" t="s">
        <v>2286</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2593</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2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2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25">
      <c r="A77" s="45"/>
      <c r="B77" s="54"/>
      <c r="C77" s="47">
        <f t="shared" si="11"/>
        <v>3</v>
      </c>
      <c r="D77" s="73"/>
      <c r="E77" s="70"/>
      <c r="F77" s="70"/>
      <c r="G77" s="73"/>
      <c r="H77" s="246" t="s">
        <v>2975</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2299</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2311</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2299</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2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1"/>
        <v>3</v>
      </c>
      <c r="D97" s="73"/>
      <c r="E97" s="70"/>
      <c r="F97" s="70"/>
      <c r="G97" s="73"/>
      <c r="H97" s="129" t="s">
        <v>487</v>
      </c>
      <c r="I97" s="96" t="s">
        <v>2245</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25">
      <c r="A98" s="45"/>
      <c r="B98" s="54"/>
      <c r="C98" s="47">
        <f t="shared" si="11"/>
        <v>3</v>
      </c>
      <c r="D98" s="73"/>
      <c r="E98" s="70"/>
      <c r="F98" s="70"/>
      <c r="G98" s="73"/>
      <c r="H98" s="129" t="s">
        <v>488</v>
      </c>
      <c r="I98" s="96" t="s">
        <v>2246</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2787</v>
      </c>
      <c r="I108" s="96" t="s">
        <v>1725</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2281</v>
      </c>
      <c r="AG108" s="76"/>
      <c r="AH108" s="97">
        <v>1</v>
      </c>
      <c r="AI108" s="97">
        <v>1</v>
      </c>
      <c r="AJ108" s="73"/>
      <c r="AK108" s="57"/>
      <c r="AL108" s="45"/>
      <c r="AM108" s="45"/>
      <c r="AN108" s="45"/>
    </row>
    <row r="109" spans="1:40" hidden="1" outlineLevel="3" x14ac:dyDescent="0.2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7"/>
        <v>4</v>
      </c>
      <c r="D110" s="73"/>
      <c r="E110" s="70"/>
      <c r="F110" s="70" t="s">
        <v>515</v>
      </c>
      <c r="G110" s="73"/>
      <c r="H110" s="76" t="s">
        <v>516</v>
      </c>
      <c r="I110" s="96" t="s">
        <v>2242</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7"/>
        <v>4</v>
      </c>
      <c r="D111" s="73"/>
      <c r="E111" s="70"/>
      <c r="F111" s="70" t="s">
        <v>2938</v>
      </c>
      <c r="G111" s="73"/>
      <c r="H111" s="76" t="s">
        <v>2939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2940</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2941</v>
      </c>
      <c r="G112" s="73" t="s">
        <v>131</v>
      </c>
      <c r="H112" s="76" t="s">
        <v>2942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2940</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2943</v>
      </c>
      <c r="G113" s="73" t="s">
        <v>131</v>
      </c>
      <c r="H113" s="76" t="s">
        <v>2944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2945</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2946</v>
      </c>
      <c r="G114" s="73" t="s">
        <v>131</v>
      </c>
      <c r="H114" s="76" t="s">
        <v>2947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7"/>
        <v>4</v>
      </c>
      <c r="D115" s="73"/>
      <c r="E115" s="70"/>
      <c r="F115" s="70" t="s">
        <v>2948</v>
      </c>
      <c r="G115" s="73" t="s">
        <v>131</v>
      </c>
      <c r="H115" s="76" t="s">
        <v>2949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2950</v>
      </c>
      <c r="G116" s="73" t="s">
        <v>131</v>
      </c>
      <c r="H116" s="76" t="s">
        <v>2951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2952</v>
      </c>
      <c r="G117" s="73" t="s">
        <v>131</v>
      </c>
      <c r="H117" s="76" t="s">
        <v>2953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2954</v>
      </c>
      <c r="G118" s="73" t="s">
        <v>131</v>
      </c>
      <c r="H118" s="76" t="s">
        <v>2955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2956</v>
      </c>
      <c r="G119" s="73" t="s">
        <v>131</v>
      </c>
      <c r="H119" s="76" t="s">
        <v>2957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2958</v>
      </c>
      <c r="G120" s="73" t="s">
        <v>131</v>
      </c>
      <c r="H120" s="76" t="s">
        <v>2959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2960</v>
      </c>
      <c r="G121" s="73" t="s">
        <v>131</v>
      </c>
      <c r="H121" s="76" t="s">
        <v>2961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2962</v>
      </c>
      <c r="G122" s="73" t="s">
        <v>131</v>
      </c>
      <c r="H122" s="76" t="s">
        <v>2963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2964</v>
      </c>
      <c r="G123" s="73" t="s">
        <v>131</v>
      </c>
      <c r="H123" s="76" t="s">
        <v>2965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2966</v>
      </c>
      <c r="G124" s="73" t="s">
        <v>131</v>
      </c>
      <c r="H124" s="76" t="s">
        <v>2967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2968</v>
      </c>
      <c r="G125" s="73" t="s">
        <v>131</v>
      </c>
      <c r="H125" s="76" t="s">
        <v>2969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2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2306</v>
      </c>
      <c r="S128" s="76" t="s">
        <v>512</v>
      </c>
      <c r="T128" s="76" t="s">
        <v>3327</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2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2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2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2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2307</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2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2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2858</v>
      </c>
      <c r="S175" s="76" t="s">
        <v>2858</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2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2858</v>
      </c>
      <c r="S176" s="76" t="s">
        <v>2858</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628</v>
      </c>
      <c r="G177" s="73"/>
      <c r="H177" s="76" t="s">
        <v>2857</v>
      </c>
      <c r="I177" s="96" t="s">
        <v>502</v>
      </c>
      <c r="J177" s="96"/>
      <c r="K177" s="97">
        <v>0.85</v>
      </c>
      <c r="L177" s="97">
        <v>0.85</v>
      </c>
      <c r="M177" s="97">
        <v>0.85</v>
      </c>
      <c r="N177" s="97">
        <v>0.85</v>
      </c>
      <c r="O177" s="97">
        <v>0.85</v>
      </c>
      <c r="P177" s="97">
        <v>0.85</v>
      </c>
      <c r="Q177" s="76"/>
      <c r="R177" s="76" t="s">
        <v>2858</v>
      </c>
      <c r="S177" s="76" t="s">
        <v>2858</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2860</v>
      </c>
      <c r="S178" s="76" t="s">
        <v>2860</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2858</v>
      </c>
      <c r="S179" s="76" t="s">
        <v>2858</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2858</v>
      </c>
      <c r="S180" s="76" t="s">
        <v>2858</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2861</v>
      </c>
      <c r="S181" s="76" t="s">
        <v>2861</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2858</v>
      </c>
      <c r="S182" s="76" t="s">
        <v>2858</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2858</v>
      </c>
      <c r="S183" s="76" t="s">
        <v>2858</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2858</v>
      </c>
      <c r="S184" s="76" t="s">
        <v>2858</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2858</v>
      </c>
      <c r="S185" s="76" t="s">
        <v>2858</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645</v>
      </c>
      <c r="G186" s="73"/>
      <c r="H186" s="76" t="s">
        <v>2859</v>
      </c>
      <c r="I186" s="96" t="s">
        <v>502</v>
      </c>
      <c r="J186" s="96"/>
      <c r="K186" s="97">
        <v>0.7</v>
      </c>
      <c r="L186" s="97">
        <v>0.7</v>
      </c>
      <c r="M186" s="97">
        <v>0.7</v>
      </c>
      <c r="N186" s="97">
        <v>0.7</v>
      </c>
      <c r="O186" s="97">
        <v>0.7</v>
      </c>
      <c r="P186" s="97">
        <v>0.7</v>
      </c>
      <c r="Q186" s="76"/>
      <c r="R186" s="76" t="s">
        <v>2858</v>
      </c>
      <c r="S186" s="76" t="s">
        <v>2858</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2858</v>
      </c>
      <c r="S187" s="76" t="s">
        <v>2858</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2858</v>
      </c>
      <c r="S188" s="76" t="s">
        <v>2858</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2858</v>
      </c>
      <c r="S189" s="76" t="s">
        <v>2858</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2858</v>
      </c>
      <c r="S190" s="76" t="s">
        <v>2858</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653</v>
      </c>
      <c r="G191" s="73"/>
      <c r="H191" s="76" t="s">
        <v>3280</v>
      </c>
      <c r="I191" s="96" t="s">
        <v>626</v>
      </c>
      <c r="J191" s="96"/>
      <c r="K191" s="97">
        <v>0.43</v>
      </c>
      <c r="L191" s="97">
        <v>0.43</v>
      </c>
      <c r="M191" s="76"/>
      <c r="N191" s="76"/>
      <c r="O191" s="76"/>
      <c r="P191" s="76"/>
      <c r="Q191" s="76"/>
      <c r="R191" s="76" t="s">
        <v>2858</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2844</v>
      </c>
      <c r="G192" s="73"/>
      <c r="H192" s="76" t="s">
        <v>3228</v>
      </c>
      <c r="I192" s="96" t="s">
        <v>2856</v>
      </c>
      <c r="J192" s="96"/>
      <c r="K192" s="97">
        <v>8.9999999999999993E-3</v>
      </c>
      <c r="L192" s="97">
        <v>8.9999999999999993E-3</v>
      </c>
      <c r="M192" s="97">
        <v>8.9999999999999993E-3</v>
      </c>
      <c r="N192" s="97">
        <v>8.9999999999999993E-3</v>
      </c>
      <c r="O192" s="97">
        <v>8.9999999999999993E-3</v>
      </c>
      <c r="P192" s="97">
        <v>8.9999999999999993E-3</v>
      </c>
      <c r="Q192" s="76"/>
      <c r="R192" s="76" t="s">
        <v>3225</v>
      </c>
      <c r="S192" s="76" t="s">
        <v>3225</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2845</v>
      </c>
      <c r="G193" s="73"/>
      <c r="H193" s="76" t="s">
        <v>3229</v>
      </c>
      <c r="I193" s="96" t="s">
        <v>2856</v>
      </c>
      <c r="J193" s="96"/>
      <c r="K193" s="97">
        <v>7.6536</v>
      </c>
      <c r="L193" s="97">
        <v>7.6536</v>
      </c>
      <c r="M193" s="97">
        <v>7.6536</v>
      </c>
      <c r="N193" s="97">
        <v>7.6536</v>
      </c>
      <c r="O193" s="97">
        <v>7.6536</v>
      </c>
      <c r="P193" s="97">
        <v>7.6536</v>
      </c>
      <c r="Q193" s="76"/>
      <c r="R193" s="76" t="s">
        <v>3225</v>
      </c>
      <c r="S193" s="76" t="s">
        <v>3225</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2849</v>
      </c>
      <c r="G194" s="73"/>
      <c r="H194" s="76" t="s">
        <v>2896</v>
      </c>
      <c r="I194" s="96" t="s">
        <v>2856</v>
      </c>
      <c r="J194" s="96"/>
      <c r="K194" s="97">
        <v>0.43</v>
      </c>
      <c r="L194" s="97">
        <v>0.43</v>
      </c>
      <c r="M194" s="97">
        <v>0.43</v>
      </c>
      <c r="N194" s="97">
        <v>0.43</v>
      </c>
      <c r="O194" s="97">
        <v>0.43</v>
      </c>
      <c r="P194" s="97">
        <v>0.43</v>
      </c>
      <c r="Q194" s="76"/>
      <c r="R194" s="76" t="s">
        <v>2855</v>
      </c>
      <c r="S194" s="76" t="s">
        <v>2855</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2850</v>
      </c>
      <c r="G195" s="73"/>
      <c r="H195" s="76" t="s">
        <v>2897</v>
      </c>
      <c r="I195" s="96" t="s">
        <v>2856</v>
      </c>
      <c r="J195" s="96"/>
      <c r="K195" s="97">
        <f>1/0.4-1</f>
        <v>1.5</v>
      </c>
      <c r="L195" s="97">
        <f t="shared" ref="L195:P196" si="31">K195</f>
        <v>1.5</v>
      </c>
      <c r="M195" s="97">
        <f t="shared" si="31"/>
        <v>1.5</v>
      </c>
      <c r="N195" s="97">
        <f t="shared" si="31"/>
        <v>1.5</v>
      </c>
      <c r="O195" s="97">
        <f t="shared" si="31"/>
        <v>1.5</v>
      </c>
      <c r="P195" s="97">
        <f t="shared" si="31"/>
        <v>1.5</v>
      </c>
      <c r="Q195" s="76"/>
      <c r="R195" s="76" t="s">
        <v>2855</v>
      </c>
      <c r="S195" s="76" t="s">
        <v>2855</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2846</v>
      </c>
      <c r="G196" s="73"/>
      <c r="H196" s="76" t="s">
        <v>2898</v>
      </c>
      <c r="I196" s="96" t="s">
        <v>2856</v>
      </c>
      <c r="J196" s="96"/>
      <c r="K196" s="97">
        <f>1/0.4-1</f>
        <v>1.5</v>
      </c>
      <c r="L196" s="97">
        <f t="shared" si="31"/>
        <v>1.5</v>
      </c>
      <c r="M196" s="97">
        <f t="shared" si="31"/>
        <v>1.5</v>
      </c>
      <c r="N196" s="97">
        <f t="shared" si="31"/>
        <v>1.5</v>
      </c>
      <c r="O196" s="97">
        <f t="shared" si="31"/>
        <v>1.5</v>
      </c>
      <c r="P196" s="97">
        <f t="shared" si="31"/>
        <v>1.5</v>
      </c>
      <c r="Q196" s="76"/>
      <c r="R196" s="76" t="s">
        <v>2855</v>
      </c>
      <c r="S196" s="76" t="s">
        <v>2855</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2847</v>
      </c>
      <c r="G197" s="73"/>
      <c r="H197" s="76" t="s">
        <v>2899</v>
      </c>
      <c r="I197" s="96" t="s">
        <v>2856</v>
      </c>
      <c r="J197" s="96"/>
      <c r="K197" s="97">
        <f>1/0.4-1</f>
        <v>1.5</v>
      </c>
      <c r="L197" s="334">
        <f>K197</f>
        <v>1.5</v>
      </c>
      <c r="M197" s="76"/>
      <c r="N197" s="76"/>
      <c r="O197" s="76"/>
      <c r="P197" s="76"/>
      <c r="Q197" s="76"/>
      <c r="R197" s="76" t="s">
        <v>2855</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2848</v>
      </c>
      <c r="G198" s="73"/>
      <c r="H198" s="76" t="s">
        <v>3226</v>
      </c>
      <c r="I198" s="96" t="s">
        <v>2856</v>
      </c>
      <c r="J198" s="96"/>
      <c r="K198" s="97">
        <f t="shared" ref="K198:P198" si="33">1/0.2-1</f>
        <v>4</v>
      </c>
      <c r="L198" s="97">
        <f t="shared" si="33"/>
        <v>4</v>
      </c>
      <c r="M198" s="97">
        <f t="shared" si="33"/>
        <v>4</v>
      </c>
      <c r="N198" s="97">
        <f t="shared" si="33"/>
        <v>4</v>
      </c>
      <c r="O198" s="97">
        <f t="shared" si="33"/>
        <v>4</v>
      </c>
      <c r="P198" s="97">
        <f t="shared" si="33"/>
        <v>4</v>
      </c>
      <c r="Q198" s="76"/>
      <c r="R198" s="76" t="s">
        <v>3225</v>
      </c>
      <c r="S198" s="76" t="s">
        <v>3225</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2851</v>
      </c>
      <c r="G199" s="73"/>
      <c r="H199" s="76" t="s">
        <v>3227</v>
      </c>
      <c r="I199" s="96" t="s">
        <v>2856</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3225</v>
      </c>
      <c r="S199" s="76" t="s">
        <v>3225</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2852</v>
      </c>
      <c r="G200" s="73"/>
      <c r="H200" s="76" t="s">
        <v>2900</v>
      </c>
      <c r="I200" s="96" t="s">
        <v>2856</v>
      </c>
      <c r="J200" s="96"/>
      <c r="K200" s="97">
        <v>0</v>
      </c>
      <c r="L200" s="97">
        <v>0</v>
      </c>
      <c r="M200" s="97">
        <v>0</v>
      </c>
      <c r="N200" s="97">
        <v>0</v>
      </c>
      <c r="O200" s="97">
        <v>0</v>
      </c>
      <c r="P200" s="97">
        <v>0</v>
      </c>
      <c r="Q200" s="76"/>
      <c r="R200" s="76" t="s">
        <v>2855</v>
      </c>
      <c r="S200" s="76" t="s">
        <v>2855</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2853</v>
      </c>
      <c r="G201" s="73"/>
      <c r="H201" s="76" t="s">
        <v>2901</v>
      </c>
      <c r="I201" s="96" t="s">
        <v>2856</v>
      </c>
      <c r="J201" s="96"/>
      <c r="K201" s="97">
        <v>0</v>
      </c>
      <c r="L201" s="97">
        <v>0</v>
      </c>
      <c r="M201" s="97">
        <v>0</v>
      </c>
      <c r="N201" s="97">
        <v>0</v>
      </c>
      <c r="O201" s="97">
        <v>0</v>
      </c>
      <c r="P201" s="97">
        <v>0</v>
      </c>
      <c r="Q201" s="76"/>
      <c r="R201" s="76" t="s">
        <v>2855</v>
      </c>
      <c r="S201" s="76" t="s">
        <v>2855</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2854</v>
      </c>
      <c r="G202" s="73"/>
      <c r="H202" s="76" t="s">
        <v>2902</v>
      </c>
      <c r="I202" s="96" t="s">
        <v>2856</v>
      </c>
      <c r="J202" s="96"/>
      <c r="K202" s="97">
        <v>0</v>
      </c>
      <c r="L202" s="97">
        <v>0</v>
      </c>
      <c r="M202" s="97">
        <v>0</v>
      </c>
      <c r="N202" s="97">
        <v>0</v>
      </c>
      <c r="O202" s="97">
        <v>0</v>
      </c>
      <c r="P202" s="97">
        <v>0</v>
      </c>
      <c r="Q202" s="76"/>
      <c r="R202" s="76" t="s">
        <v>2855</v>
      </c>
      <c r="S202" s="76" t="s">
        <v>2855</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3281</v>
      </c>
      <c r="G203" s="73"/>
      <c r="H203" s="76" t="s">
        <v>3289</v>
      </c>
      <c r="I203" s="96" t="s">
        <v>626</v>
      </c>
      <c r="J203" s="96"/>
      <c r="K203" s="281">
        <f>K$179 / 0.7</f>
        <v>0.57142857142857151</v>
      </c>
      <c r="L203" s="281">
        <f t="shared" ref="L203:L209" si="35">K203</f>
        <v>0.57142857142857151</v>
      </c>
      <c r="M203" s="76"/>
      <c r="N203" s="76"/>
      <c r="O203" s="76"/>
      <c r="P203" s="76"/>
      <c r="Q203" s="76"/>
      <c r="R203" s="76" t="s">
        <v>2858</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3282</v>
      </c>
      <c r="G204" s="73"/>
      <c r="H204" s="76" t="s">
        <v>3290</v>
      </c>
      <c r="I204" s="96" t="s">
        <v>626</v>
      </c>
      <c r="J204" s="96"/>
      <c r="K204" s="281">
        <f>K$180 / 0.7</f>
        <v>2.8571428571428574E-2</v>
      </c>
      <c r="L204" s="281">
        <f t="shared" si="35"/>
        <v>2.8571428571428574E-2</v>
      </c>
      <c r="M204" s="76"/>
      <c r="N204" s="76"/>
      <c r="O204" s="76"/>
      <c r="P204" s="76"/>
      <c r="Q204" s="76"/>
      <c r="R204" s="76" t="s">
        <v>2858</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3283</v>
      </c>
      <c r="G205" s="73"/>
      <c r="H205" s="76" t="s">
        <v>3291</v>
      </c>
      <c r="I205" s="96" t="s">
        <v>626</v>
      </c>
      <c r="J205" s="96"/>
      <c r="K205" s="281">
        <f>K$182 / 0.7</f>
        <v>0.19000000000000003</v>
      </c>
      <c r="L205" s="281">
        <f t="shared" si="35"/>
        <v>0.19000000000000003</v>
      </c>
      <c r="M205" s="76"/>
      <c r="N205" s="76"/>
      <c r="O205" s="76"/>
      <c r="P205" s="76"/>
      <c r="Q205" s="76"/>
      <c r="R205" s="76" t="s">
        <v>2858</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3284</v>
      </c>
      <c r="G206" s="73"/>
      <c r="H206" s="76" t="s">
        <v>3292</v>
      </c>
      <c r="I206" s="96" t="s">
        <v>626</v>
      </c>
      <c r="J206" s="96"/>
      <c r="K206" s="281">
        <f>1/(1+K$194)</f>
        <v>0.69930069930069938</v>
      </c>
      <c r="L206" s="281">
        <f t="shared" si="35"/>
        <v>0.69930069930069938</v>
      </c>
      <c r="M206" s="76"/>
      <c r="N206" s="76"/>
      <c r="O206" s="76"/>
      <c r="P206" s="76"/>
      <c r="Q206" s="76"/>
      <c r="R206" s="76" t="s">
        <v>3296</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3286</v>
      </c>
      <c r="G207" s="73"/>
      <c r="H207" s="76" t="s">
        <v>3293</v>
      </c>
      <c r="I207" s="96" t="s">
        <v>626</v>
      </c>
      <c r="J207" s="96"/>
      <c r="K207" s="258">
        <v>1</v>
      </c>
      <c r="L207" s="258">
        <f t="shared" si="35"/>
        <v>1</v>
      </c>
      <c r="M207" s="76"/>
      <c r="N207" s="76"/>
      <c r="O207" s="76"/>
      <c r="P207" s="76"/>
      <c r="Q207" s="76"/>
      <c r="R207" s="76" t="s">
        <v>3296</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3285</v>
      </c>
      <c r="G208" s="73"/>
      <c r="H208" s="76" t="s">
        <v>3294</v>
      </c>
      <c r="I208" s="96" t="s">
        <v>626</v>
      </c>
      <c r="J208" s="96"/>
      <c r="K208" s="281">
        <f>1/(1+K$195)</f>
        <v>0.4</v>
      </c>
      <c r="L208" s="281">
        <f t="shared" si="35"/>
        <v>0.4</v>
      </c>
      <c r="M208" s="76"/>
      <c r="N208" s="76"/>
      <c r="O208" s="76"/>
      <c r="P208" s="76"/>
      <c r="Q208" s="76"/>
      <c r="R208" s="76" t="s">
        <v>3296</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3287</v>
      </c>
      <c r="G209" s="73"/>
      <c r="H209" s="76" t="s">
        <v>3295</v>
      </c>
      <c r="I209" s="96" t="s">
        <v>626</v>
      </c>
      <c r="J209" s="96"/>
      <c r="K209" s="258">
        <v>1</v>
      </c>
      <c r="L209" s="258">
        <f t="shared" si="35"/>
        <v>1</v>
      </c>
      <c r="M209" s="76"/>
      <c r="N209" s="76"/>
      <c r="O209" s="76"/>
      <c r="P209" s="76"/>
      <c r="Q209" s="76"/>
      <c r="R209" s="76" t="s">
        <v>3296</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3288</v>
      </c>
      <c r="G210" s="73"/>
      <c r="H210" s="76" t="s">
        <v>3298</v>
      </c>
      <c r="I210" s="96" t="s">
        <v>502</v>
      </c>
      <c r="J210" s="96"/>
      <c r="K210" s="97">
        <v>0.7</v>
      </c>
      <c r="L210" s="97">
        <v>0.7</v>
      </c>
      <c r="M210" s="97">
        <v>0.7</v>
      </c>
      <c r="N210" s="97">
        <v>0.7</v>
      </c>
      <c r="O210" s="97">
        <v>0.7</v>
      </c>
      <c r="P210" s="97">
        <v>0.7</v>
      </c>
      <c r="Q210" s="76"/>
      <c r="R210" s="76" t="s">
        <v>2858</v>
      </c>
      <c r="S210" s="76" t="s">
        <v>2858</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3297</v>
      </c>
      <c r="G211" s="73"/>
      <c r="H211" s="76" t="s">
        <v>3315</v>
      </c>
      <c r="I211" s="96" t="s">
        <v>626</v>
      </c>
      <c r="J211" s="96"/>
      <c r="K211" s="281">
        <f>0.448*K$175</f>
        <v>0.224</v>
      </c>
      <c r="L211" s="281">
        <f>K211</f>
        <v>0.224</v>
      </c>
      <c r="M211" s="76"/>
      <c r="N211" s="76"/>
      <c r="O211" s="76"/>
      <c r="P211" s="76"/>
      <c r="Q211" s="76"/>
      <c r="R211" s="76" t="s">
        <v>3317</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3314</v>
      </c>
      <c r="G212" s="73"/>
      <c r="H212" s="76" t="s">
        <v>3316</v>
      </c>
      <c r="I212" s="96" t="s">
        <v>626</v>
      </c>
      <c r="J212" s="96"/>
      <c r="K212" s="281">
        <f>0.448*K$176</f>
        <v>8.9600000000000009E-3</v>
      </c>
      <c r="L212" s="281">
        <f>K212</f>
        <v>8.9600000000000009E-3</v>
      </c>
      <c r="M212" s="76"/>
      <c r="N212" s="76"/>
      <c r="O212" s="76"/>
      <c r="P212" s="76"/>
      <c r="Q212" s="76"/>
      <c r="R212" s="76" t="s">
        <v>3317</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2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2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2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2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2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2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2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25">
      <c r="A222" s="45"/>
      <c r="B222" s="54"/>
      <c r="C222" s="47">
        <f t="shared" si="37"/>
        <v>3</v>
      </c>
      <c r="D222" s="73"/>
      <c r="E222" s="70"/>
      <c r="F222" s="70" t="s">
        <v>679</v>
      </c>
      <c r="G222" s="73"/>
      <c r="H222" s="76" t="s">
        <v>680</v>
      </c>
      <c r="I222" s="96" t="s">
        <v>2255</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2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2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2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2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2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2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9">INT($C$29)+2</f>
        <v>3</v>
      </c>
      <c r="D230" s="73"/>
      <c r="E230" s="70"/>
      <c r="F230" s="70" t="s">
        <v>698</v>
      </c>
      <c r="G230" s="73"/>
      <c r="H230" s="76" t="s">
        <v>699</v>
      </c>
      <c r="I230" s="96" t="s">
        <v>2254</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2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2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2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25">
      <c r="A234" s="45"/>
      <c r="B234" s="54"/>
      <c r="C234" s="47">
        <f t="shared" si="39"/>
        <v>3</v>
      </c>
      <c r="D234" s="73"/>
      <c r="E234" s="70"/>
      <c r="F234" s="70" t="s">
        <v>2862</v>
      </c>
      <c r="G234" s="73"/>
      <c r="H234" s="76" t="s">
        <v>3230</v>
      </c>
      <c r="I234" s="96" t="s">
        <v>2865</v>
      </c>
      <c r="J234" s="96"/>
      <c r="K234" s="97">
        <v>0</v>
      </c>
      <c r="L234" s="97">
        <v>0</v>
      </c>
      <c r="M234" s="97">
        <v>0</v>
      </c>
      <c r="N234" s="97">
        <v>0</v>
      </c>
      <c r="O234" s="97">
        <v>0</v>
      </c>
      <c r="P234" s="97">
        <v>0</v>
      </c>
      <c r="Q234" s="76"/>
      <c r="R234" s="76" t="s">
        <v>3236</v>
      </c>
      <c r="S234" s="76" t="s">
        <v>3236</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25">
      <c r="A235" s="45"/>
      <c r="B235" s="54"/>
      <c r="C235" s="47">
        <f t="shared" si="39"/>
        <v>3</v>
      </c>
      <c r="D235" s="73"/>
      <c r="E235" s="70"/>
      <c r="F235" s="70" t="s">
        <v>2863</v>
      </c>
      <c r="G235" s="73"/>
      <c r="H235" s="76" t="s">
        <v>2866</v>
      </c>
      <c r="I235" s="96" t="s">
        <v>2865</v>
      </c>
      <c r="J235" s="96"/>
      <c r="K235" s="97">
        <v>1.9E-2</v>
      </c>
      <c r="L235" s="97">
        <v>1.9E-2</v>
      </c>
      <c r="M235" s="97">
        <v>1.9E-2</v>
      </c>
      <c r="N235" s="97">
        <v>1.9E-2</v>
      </c>
      <c r="O235" s="97">
        <v>1.9E-2</v>
      </c>
      <c r="P235" s="97">
        <v>1.9E-2</v>
      </c>
      <c r="Q235" s="76"/>
      <c r="R235" s="76" t="s">
        <v>3236</v>
      </c>
      <c r="S235" s="76" t="s">
        <v>3236</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25">
      <c r="A236" s="45"/>
      <c r="B236" s="54"/>
      <c r="C236" s="47">
        <f t="shared" si="39"/>
        <v>3</v>
      </c>
      <c r="D236" s="73"/>
      <c r="E236" s="70"/>
      <c r="F236" s="70" t="s">
        <v>2864</v>
      </c>
      <c r="G236" s="73"/>
      <c r="H236" s="76" t="s">
        <v>2867</v>
      </c>
      <c r="I236" s="96" t="s">
        <v>2865</v>
      </c>
      <c r="J236" s="96"/>
      <c r="K236" s="97">
        <v>0.185</v>
      </c>
      <c r="L236" s="97">
        <v>0.185</v>
      </c>
      <c r="M236" s="97">
        <v>0.185</v>
      </c>
      <c r="N236" s="97">
        <v>0.185</v>
      </c>
      <c r="O236" s="97">
        <v>0.185</v>
      </c>
      <c r="P236" s="97">
        <v>0.185</v>
      </c>
      <c r="Q236" s="76"/>
      <c r="R236" s="76" t="s">
        <v>3236</v>
      </c>
      <c r="S236" s="76" t="s">
        <v>3236</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25">
      <c r="A237" s="45"/>
      <c r="B237" s="54"/>
      <c r="C237" s="47">
        <f t="shared" si="39"/>
        <v>3</v>
      </c>
      <c r="D237" s="73"/>
      <c r="E237" s="70"/>
      <c r="F237" s="70" t="s">
        <v>3231</v>
      </c>
      <c r="G237" s="73"/>
      <c r="H237" s="76" t="s">
        <v>662</v>
      </c>
      <c r="I237" s="96" t="s">
        <v>502</v>
      </c>
      <c r="J237" s="96"/>
      <c r="K237" s="97">
        <v>0.106</v>
      </c>
      <c r="L237" s="97">
        <v>0.106</v>
      </c>
      <c r="M237" s="97">
        <v>0.106</v>
      </c>
      <c r="N237" s="97">
        <v>0.106</v>
      </c>
      <c r="O237" s="97">
        <v>0.106</v>
      </c>
      <c r="P237" s="97">
        <v>0.106</v>
      </c>
      <c r="Q237" s="76"/>
      <c r="R237" s="76" t="s">
        <v>3235</v>
      </c>
      <c r="S237" s="76" t="s">
        <v>3235</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25">
      <c r="A238" s="45"/>
      <c r="B238" s="54"/>
      <c r="C238" s="47">
        <f t="shared" si="39"/>
        <v>3</v>
      </c>
      <c r="D238" s="73"/>
      <c r="E238" s="70"/>
      <c r="F238" s="70" t="s">
        <v>3232</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3235</v>
      </c>
      <c r="S238" s="76" t="s">
        <v>3235</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25">
      <c r="A239" s="45"/>
      <c r="B239" s="54"/>
      <c r="C239" s="47">
        <f t="shared" si="39"/>
        <v>3</v>
      </c>
      <c r="D239" s="73"/>
      <c r="E239" s="70"/>
      <c r="F239" s="70" t="s">
        <v>3234</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3235</v>
      </c>
      <c r="S239" s="76" t="s">
        <v>3235</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25">
      <c r="A240" s="45"/>
      <c r="B240" s="54"/>
      <c r="C240" s="47">
        <f t="shared" si="39"/>
        <v>3</v>
      </c>
      <c r="D240" s="73"/>
      <c r="E240" s="70"/>
      <c r="F240" s="70" t="s">
        <v>3233</v>
      </c>
      <c r="G240" s="73"/>
      <c r="H240" s="76" t="s">
        <v>671</v>
      </c>
      <c r="I240" s="96" t="s">
        <v>502</v>
      </c>
      <c r="J240" s="96"/>
      <c r="K240" s="97">
        <v>0.39</v>
      </c>
      <c r="L240" s="97">
        <v>0.39</v>
      </c>
      <c r="M240" s="97">
        <v>0.39</v>
      </c>
      <c r="N240" s="97">
        <v>0.39</v>
      </c>
      <c r="O240" s="97">
        <v>0.39</v>
      </c>
      <c r="P240" s="97">
        <v>0.39</v>
      </c>
      <c r="Q240" s="76"/>
      <c r="R240" s="76" t="s">
        <v>3235</v>
      </c>
      <c r="S240" s="76" t="s">
        <v>3235</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2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2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2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2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2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8"/>
        <v>4</v>
      </c>
      <c r="D277" s="73"/>
      <c r="E277" s="70" t="s">
        <v>787</v>
      </c>
      <c r="F277" s="70" t="s">
        <v>3310</v>
      </c>
      <c r="G277" s="73"/>
      <c r="H277" s="76" t="s">
        <v>3311</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3312</v>
      </c>
      <c r="AG277" s="76"/>
      <c r="AH277" s="76">
        <v>1</v>
      </c>
      <c r="AI277" s="76">
        <v>1</v>
      </c>
      <c r="AJ277" s="73"/>
      <c r="AK277" s="57"/>
      <c r="AL277" s="45"/>
      <c r="AM277" s="45"/>
      <c r="AN277" s="45"/>
    </row>
    <row r="278" spans="1:40" hidden="1" outlineLevel="2" x14ac:dyDescent="0.25">
      <c r="A278" s="45"/>
      <c r="B278" s="54"/>
      <c r="C278" s="47">
        <f t="shared" si="48"/>
        <v>4</v>
      </c>
      <c r="D278" s="73"/>
      <c r="E278" s="70"/>
      <c r="F278" s="70" t="s">
        <v>2883</v>
      </c>
      <c r="G278" s="73"/>
      <c r="H278" s="76" t="s">
        <v>2886</v>
      </c>
      <c r="I278" s="96"/>
      <c r="J278" s="96"/>
      <c r="K278" s="97">
        <v>5.9630000000000001</v>
      </c>
      <c r="L278" s="97">
        <v>5.9630000000000001</v>
      </c>
      <c r="M278" s="97"/>
      <c r="N278" s="97"/>
      <c r="O278" s="97"/>
      <c r="P278" s="97"/>
      <c r="Q278" s="76"/>
      <c r="R278" s="76" t="s">
        <v>2889</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25">
      <c r="A279" s="45"/>
      <c r="B279" s="54"/>
      <c r="C279" s="47">
        <f t="shared" si="48"/>
        <v>4</v>
      </c>
      <c r="D279" s="73"/>
      <c r="E279" s="70"/>
      <c r="F279" s="70" t="s">
        <v>2884</v>
      </c>
      <c r="G279" s="73"/>
      <c r="H279" s="76" t="s">
        <v>2887</v>
      </c>
      <c r="I279" s="96"/>
      <c r="J279" s="96"/>
      <c r="K279" s="97">
        <v>11.2</v>
      </c>
      <c r="L279" s="97">
        <v>11.2</v>
      </c>
      <c r="M279" s="97"/>
      <c r="N279" s="97"/>
      <c r="O279" s="97"/>
      <c r="P279" s="97"/>
      <c r="Q279" s="76"/>
      <c r="R279" s="76" t="s">
        <v>2889</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2885</v>
      </c>
      <c r="G280" s="73"/>
      <c r="H280" s="76" t="s">
        <v>2888</v>
      </c>
      <c r="I280" s="96"/>
      <c r="J280" s="96"/>
      <c r="K280" s="97">
        <v>9.4500000000000001E-3</v>
      </c>
      <c r="L280" s="97">
        <v>9.4500000000000001E-3</v>
      </c>
      <c r="M280" s="97"/>
      <c r="N280" s="97"/>
      <c r="O280" s="97"/>
      <c r="P280" s="97"/>
      <c r="Q280" s="76"/>
      <c r="R280" s="76" t="s">
        <v>2889</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2890</v>
      </c>
      <c r="G281" s="73"/>
      <c r="H281" s="76" t="s">
        <v>2891</v>
      </c>
      <c r="I281" s="96"/>
      <c r="J281" s="96"/>
      <c r="K281" s="97">
        <v>0</v>
      </c>
      <c r="L281" s="97">
        <v>0</v>
      </c>
      <c r="M281" s="97"/>
      <c r="N281" s="97"/>
      <c r="O281" s="97"/>
      <c r="P281" s="97"/>
      <c r="Q281" s="76"/>
      <c r="R281" s="76" t="s">
        <v>2889</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25">
      <c r="A283" s="45"/>
      <c r="B283" s="54"/>
      <c r="C283" s="47">
        <f>INT($C$29)+3</f>
        <v>4</v>
      </c>
      <c r="D283" s="73"/>
      <c r="E283" s="70" t="s">
        <v>790</v>
      </c>
      <c r="F283" s="70" t="s">
        <v>2599</v>
      </c>
      <c r="G283" s="73"/>
      <c r="H283" s="76" t="s">
        <v>791</v>
      </c>
      <c r="I283" s="96" t="s">
        <v>665</v>
      </c>
      <c r="J283" s="96"/>
      <c r="K283" s="76"/>
      <c r="L283" s="76"/>
      <c r="M283" s="76"/>
      <c r="N283" s="76"/>
      <c r="O283" s="76"/>
      <c r="P283" s="76"/>
      <c r="Q283" s="76"/>
      <c r="R283" s="76"/>
      <c r="S283" s="76"/>
      <c r="T283" s="76" t="s">
        <v>3327</v>
      </c>
      <c r="U283" s="97">
        <v>1</v>
      </c>
      <c r="V283" s="97">
        <v>1</v>
      </c>
      <c r="W283" s="97">
        <v>0.92001599999999994</v>
      </c>
      <c r="X283" s="97">
        <v>1.06843</v>
      </c>
      <c r="Y283" s="97">
        <v>1</v>
      </c>
      <c r="Z283" s="97">
        <v>1.25</v>
      </c>
      <c r="AA283" s="97">
        <v>1.25</v>
      </c>
      <c r="AB283" s="97">
        <v>1.25</v>
      </c>
      <c r="AC283" s="97">
        <v>1.25</v>
      </c>
      <c r="AD283" s="97">
        <v>1.25</v>
      </c>
      <c r="AE283" s="76"/>
      <c r="AF283" s="97" t="s">
        <v>2598</v>
      </c>
      <c r="AG283" s="76"/>
      <c r="AH283" s="97">
        <v>1</v>
      </c>
      <c r="AI283" s="97">
        <v>1</v>
      </c>
      <c r="AJ283" s="73"/>
      <c r="AK283" s="57"/>
      <c r="AL283" s="45"/>
      <c r="AM283" s="45"/>
      <c r="AN283" s="45"/>
    </row>
    <row r="284" spans="1:40" hidden="1" outlineLevel="2" x14ac:dyDescent="0.2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2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2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2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2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3267</v>
      </c>
      <c r="I310" s="96" t="s">
        <v>3269</v>
      </c>
      <c r="J310" s="96"/>
      <c r="K310" s="97">
        <v>31.7</v>
      </c>
      <c r="L310" s="97">
        <v>31.7</v>
      </c>
      <c r="M310" s="76"/>
      <c r="N310" s="76"/>
      <c r="O310" s="76"/>
      <c r="P310" s="76"/>
      <c r="Q310" s="76"/>
      <c r="R310" s="76" t="s">
        <v>3268</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25">
      <c r="A311" s="45"/>
      <c r="B311" s="54"/>
      <c r="C311" s="47">
        <f t="shared" ref="C311:C336" si="54">INT($C$29)+2</f>
        <v>3</v>
      </c>
      <c r="D311" s="73"/>
      <c r="E311" s="70"/>
      <c r="F311" s="70" t="s">
        <v>844</v>
      </c>
      <c r="G311" s="73"/>
      <c r="H311" s="76" t="s">
        <v>2252</v>
      </c>
      <c r="I311" s="96" t="s">
        <v>845</v>
      </c>
      <c r="J311" s="96"/>
      <c r="K311" s="97">
        <v>24</v>
      </c>
      <c r="L311" s="97">
        <v>24</v>
      </c>
      <c r="M311" s="76"/>
      <c r="N311" s="76"/>
      <c r="O311" s="76"/>
      <c r="P311" s="76"/>
      <c r="Q311" s="76"/>
      <c r="R311" s="76" t="s">
        <v>2858</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2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849</v>
      </c>
      <c r="G313" s="73"/>
      <c r="H313" s="76" t="s">
        <v>2253</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2228</v>
      </c>
      <c r="AG313" s="76"/>
      <c r="AH313" s="97">
        <v>1</v>
      </c>
      <c r="AI313" s="97">
        <v>1</v>
      </c>
      <c r="AJ313" s="73"/>
      <c r="AK313" s="57"/>
      <c r="AL313" s="45"/>
      <c r="AM313" s="45"/>
      <c r="AN313" s="45"/>
    </row>
    <row r="314" spans="1:40" hidden="1" outlineLevel="2" x14ac:dyDescent="0.2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2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2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2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3327</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4"/>
        <v>3</v>
      </c>
      <c r="D322" s="73"/>
      <c r="E322" s="70"/>
      <c r="F322" s="70" t="s">
        <v>874</v>
      </c>
      <c r="G322" s="73"/>
      <c r="H322" s="76" t="s">
        <v>2338</v>
      </c>
      <c r="I322" s="96" t="s">
        <v>2893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2339</v>
      </c>
      <c r="AG322" s="76"/>
      <c r="AH322" s="97">
        <v>1</v>
      </c>
      <c r="AI322" s="97">
        <v>1</v>
      </c>
      <c r="AJ322" s="73"/>
      <c r="AK322" s="57"/>
      <c r="AL322" s="45"/>
      <c r="AM322" s="45"/>
      <c r="AN322" s="45"/>
    </row>
    <row r="323" spans="1:40" hidden="1" outlineLevel="2" x14ac:dyDescent="0.2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2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2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3327</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2292</v>
      </c>
      <c r="G327" s="73"/>
      <c r="H327" s="76" t="s">
        <v>2296</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2295</v>
      </c>
      <c r="AG327" s="76"/>
      <c r="AH327" s="97">
        <v>1</v>
      </c>
      <c r="AI327" s="97">
        <v>1</v>
      </c>
      <c r="AJ327" s="73"/>
      <c r="AK327" s="57"/>
      <c r="AL327" s="45"/>
      <c r="AM327" s="45"/>
      <c r="AN327" s="45"/>
    </row>
    <row r="328" spans="1:40" hidden="1" outlineLevel="2" x14ac:dyDescent="0.25">
      <c r="A328" s="45"/>
      <c r="B328" s="54"/>
      <c r="C328" s="47">
        <f t="shared" si="54"/>
        <v>3</v>
      </c>
      <c r="D328" s="73"/>
      <c r="E328" s="70"/>
      <c r="F328" s="70" t="s">
        <v>2293</v>
      </c>
      <c r="G328" s="73"/>
      <c r="H328" s="76" t="s">
        <v>2294</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2295</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2297</v>
      </c>
      <c r="G329" s="73"/>
      <c r="H329" s="76" t="s">
        <v>2298</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25">
      <c r="A330" s="45"/>
      <c r="B330" s="54"/>
      <c r="C330" s="47">
        <f t="shared" si="54"/>
        <v>3</v>
      </c>
      <c r="D330" s="73"/>
      <c r="E330" s="70"/>
      <c r="F330" s="70" t="s">
        <v>2882</v>
      </c>
      <c r="G330" s="73"/>
      <c r="H330" s="76" t="s">
        <v>2992</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2892</v>
      </c>
      <c r="G331" s="73"/>
      <c r="H331" s="76" t="s">
        <v>2338</v>
      </c>
      <c r="I331" s="96" t="s">
        <v>2893</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2894</v>
      </c>
      <c r="AG331" s="76"/>
      <c r="AH331" s="97">
        <v>1</v>
      </c>
      <c r="AI331" s="97">
        <v>1</v>
      </c>
      <c r="AJ331" s="73"/>
      <c r="AK331" s="57"/>
      <c r="AL331" s="45"/>
      <c r="AM331" s="45"/>
      <c r="AN331" s="45"/>
    </row>
    <row r="332" spans="1:40" hidden="1" outlineLevel="2" x14ac:dyDescent="0.25">
      <c r="A332" s="45"/>
      <c r="B332" s="54"/>
      <c r="C332" s="47">
        <f t="shared" si="54"/>
        <v>3</v>
      </c>
      <c r="D332" s="73"/>
      <c r="E332" s="70"/>
      <c r="F332" s="70" t="s">
        <v>3270</v>
      </c>
      <c r="G332" s="73"/>
      <c r="H332" s="76" t="s">
        <v>3271</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3272</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3331</v>
      </c>
      <c r="G333" s="73"/>
      <c r="H333" s="76" t="s">
        <v>3334</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3333</v>
      </c>
      <c r="G334" s="73"/>
      <c r="H334" s="76" t="s">
        <v>3336</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25">
      <c r="A335" s="45"/>
      <c r="B335" s="54"/>
      <c r="C335" s="47">
        <f t="shared" si="54"/>
        <v>3</v>
      </c>
      <c r="D335" s="73"/>
      <c r="E335" s="70"/>
      <c r="F335" s="70" t="s">
        <v>3335</v>
      </c>
      <c r="G335" s="73"/>
      <c r="H335" s="76" t="s">
        <v>3339</v>
      </c>
      <c r="I335" s="96"/>
      <c r="J335" s="96"/>
      <c r="K335" s="76"/>
      <c r="L335" s="76"/>
      <c r="M335" s="76"/>
      <c r="N335" s="76"/>
      <c r="O335" s="76"/>
      <c r="P335" s="76"/>
      <c r="Q335" s="76"/>
      <c r="R335" s="76"/>
      <c r="S335" s="76"/>
      <c r="T335" s="76" t="s">
        <v>3327</v>
      </c>
      <c r="U335" s="97">
        <v>0.85</v>
      </c>
      <c r="V335" s="97">
        <v>0.85</v>
      </c>
      <c r="W335" s="97">
        <v>0.85</v>
      </c>
      <c r="X335" s="97">
        <v>0.85</v>
      </c>
      <c r="Y335" s="97">
        <v>0.85</v>
      </c>
      <c r="Z335" s="97">
        <v>0.85</v>
      </c>
      <c r="AA335" s="97">
        <v>0.85</v>
      </c>
      <c r="AB335" s="97">
        <v>0.85</v>
      </c>
      <c r="AC335" s="97">
        <v>0.85</v>
      </c>
      <c r="AD335" s="97">
        <v>0.85</v>
      </c>
      <c r="AE335" s="76"/>
      <c r="AF335" s="97" t="s">
        <v>3332</v>
      </c>
      <c r="AG335" s="76"/>
      <c r="AH335" s="97">
        <v>1</v>
      </c>
      <c r="AI335" s="97">
        <v>1</v>
      </c>
      <c r="AJ335" s="73"/>
      <c r="AK335" s="57"/>
      <c r="AL335" s="45"/>
      <c r="AM335" s="45"/>
      <c r="AN335" s="45"/>
    </row>
    <row r="336" spans="1:40" hidden="1" outlineLevel="2" x14ac:dyDescent="0.25">
      <c r="A336" s="45"/>
      <c r="B336" s="54"/>
      <c r="C336" s="47">
        <f t="shared" si="54"/>
        <v>3</v>
      </c>
      <c r="D336" s="73"/>
      <c r="E336" s="70"/>
      <c r="F336" s="70" t="s">
        <v>3338</v>
      </c>
      <c r="G336" s="73"/>
      <c r="H336" s="76" t="s">
        <v>3340</v>
      </c>
      <c r="I336" s="96"/>
      <c r="J336" s="96"/>
      <c r="K336" s="76"/>
      <c r="L336" s="76"/>
      <c r="M336" s="76"/>
      <c r="N336" s="76"/>
      <c r="O336" s="76"/>
      <c r="P336" s="76"/>
      <c r="Q336" s="76"/>
      <c r="R336" s="76"/>
      <c r="S336" s="76"/>
      <c r="T336" s="76" t="s">
        <v>3327</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2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917</v>
      </c>
      <c r="G350" s="73"/>
      <c r="H350" s="76" t="s">
        <v>2895</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2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2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3327</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2379</v>
      </c>
      <c r="AG364" s="76"/>
      <c r="AH364" s="97">
        <v>1</v>
      </c>
      <c r="AI364" s="97">
        <v>1</v>
      </c>
      <c r="AJ364" s="73"/>
      <c r="AK364" s="57"/>
      <c r="AL364" s="45"/>
      <c r="AM364" s="45"/>
      <c r="AN364" s="45"/>
    </row>
    <row r="365" spans="1:40" hidden="1" outlineLevel="2" x14ac:dyDescent="0.2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3327</v>
      </c>
      <c r="U365" s="253">
        <f t="shared" si="68"/>
        <v>20.3</v>
      </c>
      <c r="V365" s="253">
        <f t="shared" si="68"/>
        <v>20.3</v>
      </c>
      <c r="W365" s="619">
        <f>INDEX($K365:$Q365,1,W$43)-(INDEX($K364:$Q364,1,W$43)-W364)</f>
        <v>16.3</v>
      </c>
      <c r="X365" s="619">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2379</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2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2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4"/>
        <v>3</v>
      </c>
      <c r="D376" s="73"/>
      <c r="E376" s="70"/>
      <c r="F376" s="70" t="s">
        <v>970</v>
      </c>
      <c r="G376" s="73"/>
      <c r="H376" s="76" t="s">
        <v>974</v>
      </c>
      <c r="I376" s="96" t="s">
        <v>2995</v>
      </c>
      <c r="J376" s="96"/>
      <c r="K376" s="97">
        <v>39.6</v>
      </c>
      <c r="L376" s="97">
        <v>39.6</v>
      </c>
      <c r="M376" s="97">
        <v>39.6</v>
      </c>
      <c r="N376" s="97">
        <v>39.6</v>
      </c>
      <c r="O376" s="97">
        <v>39.6</v>
      </c>
      <c r="P376" s="97">
        <v>39.6</v>
      </c>
      <c r="Q376" s="76"/>
      <c r="R376" s="76" t="s">
        <v>2244</v>
      </c>
      <c r="S376" s="76" t="s">
        <v>2244</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25">
      <c r="A377" s="45"/>
      <c r="B377" s="54"/>
      <c r="C377" s="47">
        <f t="shared" si="74"/>
        <v>3</v>
      </c>
      <c r="D377" s="73"/>
      <c r="E377" s="70"/>
      <c r="F377" s="70" t="s">
        <v>972</v>
      </c>
      <c r="G377" s="73"/>
      <c r="H377" s="76" t="s">
        <v>2833</v>
      </c>
      <c r="I377" s="96" t="s">
        <v>2995</v>
      </c>
      <c r="J377" s="96"/>
      <c r="K377" s="97">
        <v>23.8</v>
      </c>
      <c r="L377" s="97">
        <v>23.8</v>
      </c>
      <c r="M377" s="97">
        <v>23.8</v>
      </c>
      <c r="N377" s="97">
        <v>23.8</v>
      </c>
      <c r="O377" s="97">
        <v>23.8</v>
      </c>
      <c r="P377" s="97">
        <v>23.8</v>
      </c>
      <c r="Q377" s="76"/>
      <c r="R377" s="76" t="s">
        <v>2244</v>
      </c>
      <c r="S377" s="76" t="s">
        <v>2244</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25">
      <c r="A378" s="45"/>
      <c r="B378" s="54"/>
      <c r="C378" s="47">
        <f t="shared" si="74"/>
        <v>3</v>
      </c>
      <c r="D378" s="73"/>
      <c r="E378" s="70"/>
      <c r="F378" s="70" t="s">
        <v>973</v>
      </c>
      <c r="G378" s="73"/>
      <c r="H378" s="76" t="s">
        <v>2834</v>
      </c>
      <c r="I378" s="96" t="s">
        <v>2995</v>
      </c>
      <c r="J378" s="96"/>
      <c r="K378" s="97">
        <v>23.8</v>
      </c>
      <c r="L378" s="97">
        <v>23.8</v>
      </c>
      <c r="M378" s="97">
        <v>23.8</v>
      </c>
      <c r="N378" s="97">
        <v>23.8</v>
      </c>
      <c r="O378" s="97">
        <v>23.8</v>
      </c>
      <c r="P378" s="97">
        <v>23.8</v>
      </c>
      <c r="Q378" s="76"/>
      <c r="R378" s="76" t="s">
        <v>2244</v>
      </c>
      <c r="S378" s="76" t="s">
        <v>2244</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25">
      <c r="A379" s="45"/>
      <c r="B379" s="54"/>
      <c r="C379" s="47">
        <f t="shared" si="74"/>
        <v>3</v>
      </c>
      <c r="D379" s="73"/>
      <c r="E379" s="70"/>
      <c r="F379" s="70" t="s">
        <v>2827</v>
      </c>
      <c r="G379" s="73"/>
      <c r="H379" s="76" t="s">
        <v>2835</v>
      </c>
      <c r="I379" s="96" t="s">
        <v>2995</v>
      </c>
      <c r="J379" s="96"/>
      <c r="K379" s="97">
        <v>23.8</v>
      </c>
      <c r="L379" s="97">
        <v>23.8</v>
      </c>
      <c r="M379" s="97"/>
      <c r="N379" s="97"/>
      <c r="O379" s="97"/>
      <c r="P379" s="97"/>
      <c r="Q379" s="76"/>
      <c r="R379" s="76" t="s">
        <v>2244</v>
      </c>
      <c r="S379" s="76" t="s">
        <v>2244</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25">
      <c r="A380" s="45"/>
      <c r="B380" s="54"/>
      <c r="C380" s="47">
        <f t="shared" si="74"/>
        <v>3</v>
      </c>
      <c r="D380" s="73"/>
      <c r="E380" s="70"/>
      <c r="F380" s="70" t="s">
        <v>2828</v>
      </c>
      <c r="G380" s="73"/>
      <c r="H380" s="76" t="s">
        <v>2842</v>
      </c>
      <c r="I380" s="96" t="s">
        <v>2995</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25">
      <c r="A381" s="45"/>
      <c r="B381" s="54"/>
      <c r="C381" s="47">
        <f t="shared" si="74"/>
        <v>3</v>
      </c>
      <c r="D381" s="73"/>
      <c r="E381" s="70"/>
      <c r="F381" s="70" t="s">
        <v>2829</v>
      </c>
      <c r="G381" s="73"/>
      <c r="H381" s="76" t="s">
        <v>2843</v>
      </c>
      <c r="I381" s="96" t="s">
        <v>2995</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25">
      <c r="A382" s="45"/>
      <c r="B382" s="54"/>
      <c r="C382" s="47">
        <f t="shared" si="74"/>
        <v>3</v>
      </c>
      <c r="D382" s="73"/>
      <c r="E382" s="70"/>
      <c r="F382" s="70" t="s">
        <v>2830</v>
      </c>
      <c r="G382" s="73"/>
      <c r="H382" s="76" t="s">
        <v>971</v>
      </c>
      <c r="I382" s="96" t="s">
        <v>502</v>
      </c>
      <c r="J382" s="96"/>
      <c r="K382" s="97">
        <v>1</v>
      </c>
      <c r="L382" s="97">
        <v>1</v>
      </c>
      <c r="M382" s="97">
        <v>1</v>
      </c>
      <c r="N382" s="97">
        <v>1</v>
      </c>
      <c r="O382" s="97">
        <v>1</v>
      </c>
      <c r="P382" s="97">
        <v>1</v>
      </c>
      <c r="Q382" s="76"/>
      <c r="R382" s="76" t="s">
        <v>2990</v>
      </c>
      <c r="S382" s="76" t="s">
        <v>2991</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25">
      <c r="A383" s="45"/>
      <c r="B383" s="54"/>
      <c r="C383" s="47">
        <f t="shared" si="74"/>
        <v>3</v>
      </c>
      <c r="D383" s="73"/>
      <c r="E383" s="70"/>
      <c r="F383" s="70" t="s">
        <v>2831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25">
      <c r="A384" s="45"/>
      <c r="B384" s="54"/>
      <c r="C384" s="47">
        <f t="shared" si="74"/>
        <v>3</v>
      </c>
      <c r="D384" s="73"/>
      <c r="E384" s="70"/>
      <c r="F384" s="70" t="s">
        <v>2832</v>
      </c>
      <c r="G384" s="73"/>
      <c r="H384" s="76" t="s">
        <v>2837</v>
      </c>
      <c r="I384" s="96" t="s">
        <v>502</v>
      </c>
      <c r="J384" s="96"/>
      <c r="K384" s="97">
        <v>0.157</v>
      </c>
      <c r="L384" s="97">
        <v>0.157</v>
      </c>
      <c r="M384" s="97">
        <v>0.157</v>
      </c>
      <c r="N384" s="97">
        <v>0.157</v>
      </c>
      <c r="O384" s="97">
        <v>0.157</v>
      </c>
      <c r="P384" s="97">
        <v>0.157</v>
      </c>
      <c r="Q384" s="76"/>
      <c r="R384" s="76" t="s">
        <v>2838</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25">
      <c r="A385" s="45"/>
      <c r="B385" s="54"/>
      <c r="C385" s="47">
        <f t="shared" si="74"/>
        <v>3</v>
      </c>
      <c r="D385" s="73"/>
      <c r="E385" s="70"/>
      <c r="F385" s="70" t="s">
        <v>2841</v>
      </c>
      <c r="G385" s="73"/>
      <c r="H385" s="76" t="s">
        <v>2836</v>
      </c>
      <c r="I385" s="96" t="s">
        <v>502</v>
      </c>
      <c r="J385" s="96"/>
      <c r="K385" s="97">
        <v>0.85</v>
      </c>
      <c r="L385" s="97">
        <v>0.85</v>
      </c>
      <c r="M385" s="97"/>
      <c r="N385" s="97"/>
      <c r="O385" s="97"/>
      <c r="P385" s="97"/>
      <c r="Q385" s="76"/>
      <c r="R385" s="76" t="s">
        <v>2840</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25">
      <c r="A386" s="45"/>
      <c r="B386" s="54"/>
      <c r="C386" s="47">
        <f t="shared" si="74"/>
        <v>3</v>
      </c>
      <c r="D386" s="73"/>
      <c r="E386" s="70"/>
      <c r="F386" s="70" t="s">
        <v>2868</v>
      </c>
      <c r="G386" s="73"/>
      <c r="H386" s="76" t="s">
        <v>2842</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25">
      <c r="A387" s="45"/>
      <c r="B387" s="54"/>
      <c r="C387" s="47">
        <f t="shared" si="74"/>
        <v>3</v>
      </c>
      <c r="D387" s="73"/>
      <c r="E387" s="70"/>
      <c r="F387" s="70" t="s">
        <v>2869</v>
      </c>
      <c r="G387" s="73"/>
      <c r="H387" s="76" t="s">
        <v>2843</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25">
      <c r="A388" s="45"/>
      <c r="B388" s="54"/>
      <c r="C388" s="47">
        <f t="shared" si="74"/>
        <v>3</v>
      </c>
      <c r="D388" s="73"/>
      <c r="E388" s="70"/>
      <c r="F388" s="70" t="s">
        <v>2870</v>
      </c>
      <c r="G388" s="73"/>
      <c r="H388" s="76" t="s">
        <v>2878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2855</v>
      </c>
      <c r="S388" s="76" t="s">
        <v>2855</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25">
      <c r="A389" s="45"/>
      <c r="B389" s="54"/>
      <c r="C389" s="47">
        <f t="shared" si="74"/>
        <v>3</v>
      </c>
      <c r="D389" s="73"/>
      <c r="E389" s="70"/>
      <c r="F389" s="70" t="s">
        <v>2871</v>
      </c>
      <c r="G389" s="73"/>
      <c r="H389" s="76" t="s">
        <v>2876</v>
      </c>
      <c r="I389" s="96" t="s">
        <v>502</v>
      </c>
      <c r="J389" s="96"/>
      <c r="K389" s="97">
        <v>0.05</v>
      </c>
      <c r="L389" s="97">
        <v>0.05</v>
      </c>
      <c r="M389" s="97">
        <v>0.05</v>
      </c>
      <c r="N389" s="97">
        <v>0.05</v>
      </c>
      <c r="O389" s="97">
        <v>0.05</v>
      </c>
      <c r="P389" s="97">
        <v>0.05</v>
      </c>
      <c r="Q389" s="76"/>
      <c r="R389" s="76" t="s">
        <v>2855</v>
      </c>
      <c r="S389" s="76" t="s">
        <v>2855</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25">
      <c r="A390" s="45"/>
      <c r="B390" s="54"/>
      <c r="C390" s="47">
        <f t="shared" si="74"/>
        <v>3</v>
      </c>
      <c r="D390" s="73"/>
      <c r="E390" s="70"/>
      <c r="F390" s="70" t="s">
        <v>2872</v>
      </c>
      <c r="G390" s="73"/>
      <c r="H390" s="76" t="s">
        <v>2877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2855</v>
      </c>
      <c r="S390" s="76" t="s">
        <v>2855</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25">
      <c r="A391" s="45"/>
      <c r="B391" s="54"/>
      <c r="C391" s="47">
        <f t="shared" si="74"/>
        <v>3</v>
      </c>
      <c r="D391" s="73"/>
      <c r="E391" s="70"/>
      <c r="F391" s="70" t="s">
        <v>2873</v>
      </c>
      <c r="G391" s="73"/>
      <c r="H391" s="76" t="s">
        <v>2879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2855</v>
      </c>
      <c r="S391" s="76" t="s">
        <v>2855</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25">
      <c r="A392" s="45"/>
      <c r="B392" s="54"/>
      <c r="C392" s="47">
        <f t="shared" si="74"/>
        <v>3</v>
      </c>
      <c r="D392" s="73"/>
      <c r="E392" s="70"/>
      <c r="F392" s="70" t="s">
        <v>2874</v>
      </c>
      <c r="G392" s="73"/>
      <c r="H392" s="76" t="s">
        <v>2880</v>
      </c>
      <c r="I392" s="96" t="s">
        <v>502</v>
      </c>
      <c r="J392" s="96"/>
      <c r="K392" s="97">
        <v>2.0609999999999999</v>
      </c>
      <c r="L392" s="97">
        <v>2.0609999999999999</v>
      </c>
      <c r="M392" s="97">
        <v>2.0609999999999999</v>
      </c>
      <c r="N392" s="97">
        <v>2.0609999999999999</v>
      </c>
      <c r="O392" s="97">
        <v>2.0609999999999999</v>
      </c>
      <c r="P392" s="97">
        <v>2.0609999999999999</v>
      </c>
      <c r="Q392" s="76"/>
      <c r="R392" s="76" t="s">
        <v>2855</v>
      </c>
      <c r="S392" s="76" t="s">
        <v>2855</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25">
      <c r="A393" s="45"/>
      <c r="B393" s="54"/>
      <c r="C393" s="47">
        <f t="shared" si="74"/>
        <v>3</v>
      </c>
      <c r="D393" s="73"/>
      <c r="E393" s="70"/>
      <c r="F393" s="70" t="s">
        <v>2875</v>
      </c>
      <c r="G393" s="73"/>
      <c r="H393" s="76" t="s">
        <v>2881</v>
      </c>
      <c r="I393" s="96" t="s">
        <v>502</v>
      </c>
      <c r="J393" s="96"/>
      <c r="K393" s="97">
        <v>-0.53</v>
      </c>
      <c r="L393" s="97">
        <v>-0.53</v>
      </c>
      <c r="M393" s="97">
        <v>-0.53</v>
      </c>
      <c r="N393" s="97">
        <v>-0.53</v>
      </c>
      <c r="O393" s="97">
        <v>-0.53</v>
      </c>
      <c r="P393" s="97">
        <v>-0.53</v>
      </c>
      <c r="Q393" s="76"/>
      <c r="R393" s="76" t="s">
        <v>2855</v>
      </c>
      <c r="S393" s="76" t="s">
        <v>2855</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25">
      <c r="A394" s="45"/>
      <c r="B394" s="54"/>
      <c r="C394" s="47">
        <f t="shared" si="74"/>
        <v>3</v>
      </c>
      <c r="D394" s="73"/>
      <c r="E394" s="70"/>
      <c r="F394" s="70" t="s">
        <v>3277</v>
      </c>
      <c r="G394" s="73"/>
      <c r="H394" s="76" t="s">
        <v>3300</v>
      </c>
      <c r="I394" s="96" t="s">
        <v>502</v>
      </c>
      <c r="J394" s="96"/>
      <c r="K394" s="281">
        <v>0.1</v>
      </c>
      <c r="L394" s="281">
        <v>0.1</v>
      </c>
      <c r="M394" s="281">
        <v>0.1</v>
      </c>
      <c r="N394" s="281">
        <v>0.1</v>
      </c>
      <c r="O394" s="281">
        <v>0.1</v>
      </c>
      <c r="P394" s="281">
        <v>0.1</v>
      </c>
      <c r="Q394" s="76"/>
      <c r="R394" s="76" t="s">
        <v>3278</v>
      </c>
      <c r="S394" s="76" t="s">
        <v>3278</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25">
      <c r="A395" s="45"/>
      <c r="B395" s="54"/>
      <c r="C395" s="47">
        <f t="shared" si="74"/>
        <v>3</v>
      </c>
      <c r="D395" s="73"/>
      <c r="E395" s="70"/>
      <c r="F395" s="70" t="s">
        <v>3302</v>
      </c>
      <c r="G395" s="73"/>
      <c r="H395" s="76" t="s">
        <v>3299</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3301</v>
      </c>
      <c r="S395" s="76" t="s">
        <v>3278</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2380</v>
      </c>
      <c r="I398" s="96" t="s">
        <v>3005</v>
      </c>
      <c r="J398" s="96"/>
      <c r="K398" s="97">
        <v>1.84E-2</v>
      </c>
      <c r="L398" s="97">
        <v>1.84E-2</v>
      </c>
      <c r="M398" s="97">
        <v>1.84E-2</v>
      </c>
      <c r="N398" s="97">
        <v>1.84E-2</v>
      </c>
      <c r="O398" s="97">
        <v>1.84E-2</v>
      </c>
      <c r="P398" s="97">
        <v>1.84E-2</v>
      </c>
      <c r="Q398" s="76"/>
      <c r="R398" s="76" t="s">
        <v>3004</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2384</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2381</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2382</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2383</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25">
      <c r="A405" s="45"/>
      <c r="B405" s="54"/>
      <c r="C405" s="47">
        <f>INT($C$29)+3</f>
        <v>4</v>
      </c>
      <c r="D405" s="73"/>
      <c r="E405" s="70"/>
      <c r="F405" s="70" t="s">
        <v>2597</v>
      </c>
      <c r="G405" s="73"/>
      <c r="H405" s="76" t="s">
        <v>2387</v>
      </c>
      <c r="I405" s="96" t="s">
        <v>502</v>
      </c>
      <c r="J405" s="96"/>
      <c r="K405" s="97">
        <v>9.375E-2</v>
      </c>
      <c r="L405" s="97">
        <v>0.20499999999999999</v>
      </c>
      <c r="M405" s="97">
        <v>0</v>
      </c>
      <c r="N405" s="97">
        <v>0</v>
      </c>
      <c r="O405" s="97">
        <v>0</v>
      </c>
      <c r="P405" s="97">
        <v>0</v>
      </c>
      <c r="Q405" s="76"/>
      <c r="R405" s="97" t="s">
        <v>2591</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2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2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25">
      <c r="A412" s="45"/>
      <c r="B412" s="54"/>
      <c r="C412" s="47">
        <f>INT($C$29)+2</f>
        <v>3</v>
      </c>
      <c r="D412" s="73"/>
      <c r="E412" s="70"/>
      <c r="F412" s="70" t="s">
        <v>999</v>
      </c>
      <c r="G412" s="73"/>
      <c r="H412" s="76" t="s">
        <v>1000</v>
      </c>
      <c r="I412" s="96" t="s">
        <v>2239</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2762</v>
      </c>
      <c r="S412" s="76" t="s">
        <v>550</v>
      </c>
      <c r="T412" s="76" t="s">
        <v>3327</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2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2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2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2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2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2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2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2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2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25">
      <c r="A424" s="45"/>
      <c r="B424" s="54"/>
      <c r="C424" s="47">
        <f t="shared" si="84"/>
        <v>3</v>
      </c>
      <c r="D424" s="73"/>
      <c r="E424" s="70"/>
      <c r="F424" s="70" t="s">
        <v>1025</v>
      </c>
      <c r="G424" s="73"/>
      <c r="H424" s="378" t="s">
        <v>2763</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2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2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2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2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2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2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2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2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25">
      <c r="A433" s="45"/>
      <c r="B433" s="54"/>
      <c r="C433" s="47">
        <f t="shared" si="84"/>
        <v>3</v>
      </c>
      <c r="D433" s="73"/>
      <c r="E433" s="70"/>
      <c r="F433" s="70" t="s">
        <v>2231</v>
      </c>
      <c r="G433" s="73"/>
      <c r="H433" s="76" t="s">
        <v>2236</v>
      </c>
      <c r="I433" s="96" t="s">
        <v>2239</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25">
      <c r="A434" s="45"/>
      <c r="B434" s="54"/>
      <c r="C434" s="47">
        <f t="shared" si="84"/>
        <v>3</v>
      </c>
      <c r="D434" s="73"/>
      <c r="E434" s="70"/>
      <c r="F434" s="70" t="s">
        <v>2232</v>
      </c>
      <c r="G434" s="73"/>
      <c r="H434" s="76" t="s">
        <v>2240</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25">
      <c r="A435" s="45"/>
      <c r="B435" s="54"/>
      <c r="C435" s="47">
        <f t="shared" si="84"/>
        <v>3</v>
      </c>
      <c r="D435" s="73"/>
      <c r="E435" s="70"/>
      <c r="F435" s="70" t="s">
        <v>2233</v>
      </c>
      <c r="G435" s="73"/>
      <c r="H435" s="76" t="s">
        <v>2237</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25">
      <c r="A436" s="45"/>
      <c r="B436" s="54"/>
      <c r="C436" s="47">
        <f t="shared" si="84"/>
        <v>3</v>
      </c>
      <c r="D436" s="73"/>
      <c r="E436" s="70"/>
      <c r="F436" s="70" t="s">
        <v>2234</v>
      </c>
      <c r="G436" s="73"/>
      <c r="H436" s="76" t="s">
        <v>2241</v>
      </c>
      <c r="I436" s="96" t="s">
        <v>2242</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25">
      <c r="A437" s="45"/>
      <c r="B437" s="54"/>
      <c r="C437" s="47">
        <f t="shared" si="84"/>
        <v>3</v>
      </c>
      <c r="D437" s="73"/>
      <c r="E437" s="70"/>
      <c r="F437" s="70" t="s">
        <v>2235</v>
      </c>
      <c r="G437" s="73"/>
      <c r="H437" s="76" t="s">
        <v>2238</v>
      </c>
      <c r="I437" s="96" t="s">
        <v>2242</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2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3" x14ac:dyDescent="0.25">
      <c r="A439" s="45"/>
      <c r="B439" s="54"/>
      <c r="C439" s="47">
        <f t="shared" ref="C439:C470" si="89">INT($C$29)+2</f>
        <v>3</v>
      </c>
      <c r="D439" s="73"/>
      <c r="E439" s="70"/>
      <c r="F439" s="70" t="s">
        <v>1046</v>
      </c>
      <c r="G439" s="73"/>
      <c r="H439" s="76" t="s">
        <v>604</v>
      </c>
      <c r="I439" s="96"/>
      <c r="J439" s="9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v>1</v>
      </c>
      <c r="AI439" s="76">
        <v>1</v>
      </c>
      <c r="AJ439" s="73"/>
      <c r="AK439" s="57"/>
      <c r="AL439" s="45"/>
      <c r="AM439" s="45"/>
      <c r="AN439" s="45"/>
    </row>
    <row r="440" spans="1:40" hidden="1" outlineLevel="3" x14ac:dyDescent="0.25">
      <c r="A440" s="45"/>
      <c r="B440" s="54"/>
      <c r="C440" s="47">
        <f t="shared" si="89"/>
        <v>3</v>
      </c>
      <c r="D440" s="73"/>
      <c r="E440" s="70"/>
      <c r="F440" s="70" t="s">
        <v>1047</v>
      </c>
      <c r="G440" s="73"/>
      <c r="H440" s="76"/>
      <c r="I440" s="96"/>
      <c r="J440" s="9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v>1</v>
      </c>
      <c r="AI440" s="76">
        <v>1</v>
      </c>
      <c r="AJ440" s="73"/>
      <c r="AK440" s="57"/>
      <c r="AL440" s="45"/>
      <c r="AM440" s="45"/>
      <c r="AN440" s="45"/>
    </row>
    <row r="441" spans="1:40" hidden="1" outlineLevel="3" x14ac:dyDescent="0.25">
      <c r="A441" s="45"/>
      <c r="B441" s="54"/>
      <c r="C441" s="47">
        <f t="shared" si="89"/>
        <v>3</v>
      </c>
      <c r="D441" s="73"/>
      <c r="E441" s="70"/>
      <c r="F441" s="70" t="s">
        <v>1048</v>
      </c>
      <c r="G441" s="73"/>
      <c r="H441" s="76"/>
      <c r="I441" s="96"/>
      <c r="J441" s="9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v>1</v>
      </c>
      <c r="AI441" s="76">
        <v>1</v>
      </c>
      <c r="AJ441" s="73"/>
      <c r="AK441" s="57"/>
      <c r="AL441" s="45"/>
      <c r="AM441" s="45"/>
      <c r="AN441" s="45"/>
    </row>
    <row r="442" spans="1:40" hidden="1" outlineLevel="3" x14ac:dyDescent="0.25">
      <c r="A442" s="45"/>
      <c r="B442" s="54"/>
      <c r="C442" s="47">
        <f t="shared" si="89"/>
        <v>3</v>
      </c>
      <c r="D442" s="73"/>
      <c r="E442" s="70"/>
      <c r="F442" s="70" t="s">
        <v>1049</v>
      </c>
      <c r="G442" s="73"/>
      <c r="H442" s="76"/>
      <c r="I442" s="96"/>
      <c r="J442" s="9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v>1</v>
      </c>
      <c r="AI442" s="76">
        <v>1</v>
      </c>
      <c r="AJ442" s="73"/>
      <c r="AK442" s="57"/>
      <c r="AL442" s="45"/>
      <c r="AM442" s="45"/>
      <c r="AN442" s="45"/>
    </row>
    <row r="443" spans="1:40" hidden="1" outlineLevel="3" x14ac:dyDescent="0.25">
      <c r="A443" s="45"/>
      <c r="B443" s="54"/>
      <c r="C443" s="47">
        <f t="shared" si="89"/>
        <v>3</v>
      </c>
      <c r="D443" s="73"/>
      <c r="E443" s="70"/>
      <c r="F443" s="70" t="s">
        <v>1050</v>
      </c>
      <c r="G443" s="73"/>
      <c r="H443" s="76"/>
      <c r="I443" s="96"/>
      <c r="J443" s="9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v>1</v>
      </c>
      <c r="AI443" s="76">
        <v>1</v>
      </c>
      <c r="AJ443" s="73"/>
      <c r="AK443" s="57"/>
      <c r="AL443" s="45"/>
      <c r="AM443" s="45"/>
      <c r="AN443" s="45"/>
    </row>
    <row r="444" spans="1:40" hidden="1" outlineLevel="3" x14ac:dyDescent="0.25">
      <c r="A444" s="45"/>
      <c r="B444" s="54"/>
      <c r="C444" s="47">
        <f t="shared" si="89"/>
        <v>3</v>
      </c>
      <c r="D444" s="73"/>
      <c r="E444" s="70"/>
      <c r="F444" s="70" t="s">
        <v>1051</v>
      </c>
      <c r="G444" s="73"/>
      <c r="H444" s="76"/>
      <c r="I444" s="96"/>
      <c r="J444" s="9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v>1</v>
      </c>
      <c r="AI444" s="76">
        <v>1</v>
      </c>
      <c r="AJ444" s="73"/>
      <c r="AK444" s="57"/>
      <c r="AL444" s="45"/>
      <c r="AM444" s="45"/>
      <c r="AN444" s="45"/>
    </row>
    <row r="445" spans="1:40" hidden="1" outlineLevel="3" x14ac:dyDescent="0.25">
      <c r="A445" s="45"/>
      <c r="B445" s="54"/>
      <c r="C445" s="47">
        <f t="shared" si="89"/>
        <v>3</v>
      </c>
      <c r="D445" s="73"/>
      <c r="E445" s="70"/>
      <c r="F445" s="70" t="s">
        <v>1052</v>
      </c>
      <c r="G445" s="73"/>
      <c r="H445" s="76"/>
      <c r="I445" s="96"/>
      <c r="J445" s="9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v>1</v>
      </c>
      <c r="AI445" s="76">
        <v>1</v>
      </c>
      <c r="AJ445" s="73"/>
      <c r="AK445" s="57"/>
      <c r="AL445" s="45"/>
      <c r="AM445" s="45"/>
      <c r="AN445" s="45"/>
    </row>
    <row r="446" spans="1:40" hidden="1" outlineLevel="3" x14ac:dyDescent="0.25">
      <c r="A446" s="45"/>
      <c r="B446" s="54"/>
      <c r="C446" s="47">
        <f t="shared" si="89"/>
        <v>3</v>
      </c>
      <c r="D446" s="73"/>
      <c r="E446" s="70"/>
      <c r="F446" s="70" t="s">
        <v>1053</v>
      </c>
      <c r="G446" s="73"/>
      <c r="H446" s="76"/>
      <c r="I446" s="96"/>
      <c r="J446" s="9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v>1</v>
      </c>
      <c r="AI446" s="76">
        <v>1</v>
      </c>
      <c r="AJ446" s="73"/>
      <c r="AK446" s="57"/>
      <c r="AL446" s="45"/>
      <c r="AM446" s="45"/>
      <c r="AN446" s="45"/>
    </row>
    <row r="447" spans="1:40" hidden="1" outlineLevel="3" x14ac:dyDescent="0.25">
      <c r="A447" s="45"/>
      <c r="B447" s="54"/>
      <c r="C447" s="47">
        <f t="shared" si="89"/>
        <v>3</v>
      </c>
      <c r="D447" s="73"/>
      <c r="E447" s="70"/>
      <c r="F447" s="70" t="s">
        <v>1054</v>
      </c>
      <c r="G447" s="73"/>
      <c r="H447" s="76" t="s">
        <v>604</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25">
      <c r="A448" s="45"/>
      <c r="B448" s="54"/>
      <c r="C448" s="47">
        <f t="shared" si="89"/>
        <v>3</v>
      </c>
      <c r="D448" s="73"/>
      <c r="E448" s="70"/>
      <c r="F448" s="70" t="s">
        <v>1055</v>
      </c>
      <c r="G448" s="73"/>
      <c r="H448" s="76"/>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89"/>
        <v>3</v>
      </c>
      <c r="D449" s="73"/>
      <c r="E449" s="70"/>
      <c r="F449" s="70" t="s">
        <v>1056</v>
      </c>
      <c r="G449" s="73"/>
      <c r="H449" s="76"/>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89"/>
        <v>3</v>
      </c>
      <c r="D450" s="73"/>
      <c r="E450" s="70"/>
      <c r="F450" s="70" t="s">
        <v>1057</v>
      </c>
      <c r="G450" s="73"/>
      <c r="H450" s="76"/>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89"/>
        <v>3</v>
      </c>
      <c r="D451" s="73"/>
      <c r="E451" s="70"/>
      <c r="F451" s="70" t="s">
        <v>1058</v>
      </c>
      <c r="G451" s="73"/>
      <c r="H451" s="76"/>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89"/>
        <v>3</v>
      </c>
      <c r="D452" s="73"/>
      <c r="E452" s="70"/>
      <c r="F452" s="70" t="s">
        <v>1059</v>
      </c>
      <c r="G452" s="73"/>
      <c r="H452" s="76"/>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89"/>
        <v>3</v>
      </c>
      <c r="D453" s="73"/>
      <c r="E453" s="70"/>
      <c r="F453" s="70" t="s">
        <v>1060</v>
      </c>
      <c r="G453" s="73"/>
      <c r="H453" s="76"/>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89"/>
        <v>3</v>
      </c>
      <c r="D454" s="73"/>
      <c r="E454" s="70"/>
      <c r="F454" s="70" t="s">
        <v>1061</v>
      </c>
      <c r="G454" s="73"/>
      <c r="H454" s="76"/>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2" x14ac:dyDescent="0.25">
      <c r="A455" s="45"/>
      <c r="B455" s="54"/>
      <c r="C455" s="47">
        <f t="shared" si="89"/>
        <v>3</v>
      </c>
      <c r="D455" s="73"/>
      <c r="E455" s="70"/>
      <c r="F455" s="70" t="s">
        <v>1062</v>
      </c>
      <c r="G455" s="73"/>
      <c r="H455" s="76" t="s">
        <v>2266</v>
      </c>
      <c r="I455" s="96"/>
      <c r="J455" s="96"/>
      <c r="K455" s="76"/>
      <c r="L455" s="76"/>
      <c r="M455" s="76"/>
      <c r="N455" s="76"/>
      <c r="O455" s="76"/>
      <c r="P455" s="76"/>
      <c r="Q455" s="76"/>
      <c r="R455" s="76"/>
      <c r="S455" s="76"/>
      <c r="T455" s="76"/>
      <c r="U455" s="331">
        <v>0</v>
      </c>
      <c r="V455" s="331">
        <v>0</v>
      </c>
      <c r="W455" s="331">
        <v>0</v>
      </c>
      <c r="X455" s="331">
        <v>0</v>
      </c>
      <c r="Y455" s="331">
        <v>0</v>
      </c>
      <c r="Z455" s="331">
        <v>0</v>
      </c>
      <c r="AA455" s="331">
        <v>0</v>
      </c>
      <c r="AB455" s="331">
        <v>0</v>
      </c>
      <c r="AC455" s="331">
        <v>0</v>
      </c>
      <c r="AD455" s="331">
        <v>0</v>
      </c>
      <c r="AE455" s="76"/>
      <c r="AF455" s="76"/>
      <c r="AG455" s="76"/>
      <c r="AH455" s="76">
        <v>1</v>
      </c>
      <c r="AI455" s="76">
        <v>1</v>
      </c>
      <c r="AJ455" s="73"/>
      <c r="AK455" s="57"/>
      <c r="AL455" s="45"/>
      <c r="AM455" s="45"/>
      <c r="AN455" s="45"/>
    </row>
    <row r="456" spans="1:40" hidden="1" outlineLevel="2" x14ac:dyDescent="0.25">
      <c r="A456" s="45"/>
      <c r="B456" s="54"/>
      <c r="C456" s="47">
        <f t="shared" si="89"/>
        <v>3</v>
      </c>
      <c r="D456" s="73"/>
      <c r="E456" s="70"/>
      <c r="F456" s="70" t="s">
        <v>1063</v>
      </c>
      <c r="G456" s="73"/>
      <c r="H456" s="76" t="s">
        <v>2594</v>
      </c>
      <c r="I456" s="96"/>
      <c r="J456" s="96"/>
      <c r="K456" s="76"/>
      <c r="L456" s="76"/>
      <c r="M456" s="76"/>
      <c r="N456" s="76"/>
      <c r="O456" s="76"/>
      <c r="P456" s="76"/>
      <c r="Q456" s="76"/>
      <c r="R456" s="76"/>
      <c r="S456" s="76"/>
      <c r="T456" s="76"/>
      <c r="U456" s="118">
        <v>0.33</v>
      </c>
      <c r="V456" s="118">
        <v>0.33</v>
      </c>
      <c r="W456" s="118">
        <v>0.33</v>
      </c>
      <c r="X456" s="118">
        <v>0.33</v>
      </c>
      <c r="Y456" s="118">
        <v>0.33</v>
      </c>
      <c r="Z456" s="118">
        <v>0.33</v>
      </c>
      <c r="AA456" s="118">
        <v>0.33</v>
      </c>
      <c r="AB456" s="118">
        <v>0.33</v>
      </c>
      <c r="AC456" s="118">
        <v>0.33</v>
      </c>
      <c r="AD456" s="118">
        <v>0.33</v>
      </c>
      <c r="AE456" s="76"/>
      <c r="AF456" s="97" t="s">
        <v>2273</v>
      </c>
      <c r="AG456" s="76"/>
      <c r="AH456" s="97">
        <v>1</v>
      </c>
      <c r="AI456" s="97">
        <v>1</v>
      </c>
      <c r="AJ456" s="73"/>
      <c r="AK456" s="57"/>
      <c r="AL456" s="45"/>
      <c r="AM456" s="45"/>
      <c r="AN456" s="45"/>
    </row>
    <row r="457" spans="1:40" hidden="1" outlineLevel="2" x14ac:dyDescent="0.25">
      <c r="A457" s="45"/>
      <c r="B457" s="54"/>
      <c r="C457" s="47">
        <f t="shared" si="89"/>
        <v>3</v>
      </c>
      <c r="D457" s="73"/>
      <c r="E457" s="70"/>
      <c r="F457" s="70" t="s">
        <v>1064</v>
      </c>
      <c r="G457" s="73"/>
      <c r="H457" s="76" t="s">
        <v>2267</v>
      </c>
      <c r="I457" s="96"/>
      <c r="J457" s="96"/>
      <c r="K457" s="76"/>
      <c r="L457" s="76"/>
      <c r="M457" s="76"/>
      <c r="N457" s="76"/>
      <c r="O457" s="76"/>
      <c r="P457" s="76"/>
      <c r="Q457" s="76"/>
      <c r="R457" s="76"/>
      <c r="S457" s="76"/>
      <c r="T457" s="76"/>
      <c r="U457" s="118">
        <v>0.33</v>
      </c>
      <c r="V457" s="118">
        <v>0.33</v>
      </c>
      <c r="W457" s="118">
        <v>0.33</v>
      </c>
      <c r="X457" s="118">
        <v>0.33</v>
      </c>
      <c r="Y457" s="118">
        <v>0.33</v>
      </c>
      <c r="Z457" s="118">
        <v>0.33</v>
      </c>
      <c r="AA457" s="118">
        <v>0.33</v>
      </c>
      <c r="AB457" s="118">
        <v>0.33</v>
      </c>
      <c r="AC457" s="118">
        <v>0.33</v>
      </c>
      <c r="AD457" s="118">
        <v>0.33</v>
      </c>
      <c r="AE457" s="76"/>
      <c r="AF457" s="76"/>
      <c r="AG457" s="76"/>
      <c r="AH457" s="97">
        <v>1</v>
      </c>
      <c r="AI457" s="97">
        <v>1</v>
      </c>
      <c r="AJ457" s="73"/>
      <c r="AK457" s="57"/>
      <c r="AL457" s="45"/>
      <c r="AM457" s="45"/>
      <c r="AN457" s="45"/>
    </row>
    <row r="458" spans="1:40" hidden="1" outlineLevel="2" x14ac:dyDescent="0.25">
      <c r="A458" s="45"/>
      <c r="B458" s="54"/>
      <c r="C458" s="47">
        <f t="shared" si="89"/>
        <v>3</v>
      </c>
      <c r="D458" s="73"/>
      <c r="E458" s="70"/>
      <c r="F458" s="70" t="s">
        <v>1065</v>
      </c>
      <c r="G458" s="73"/>
      <c r="H458" s="76" t="s">
        <v>2268</v>
      </c>
      <c r="I458" s="96"/>
      <c r="J458" s="96"/>
      <c r="K458" s="76"/>
      <c r="L458" s="76"/>
      <c r="M458" s="76"/>
      <c r="N458" s="76"/>
      <c r="O458" s="76"/>
      <c r="P458" s="76"/>
      <c r="Q458" s="76"/>
      <c r="R458" s="76"/>
      <c r="S458" s="76"/>
      <c r="T458" s="76"/>
      <c r="U458" s="118">
        <v>0.33</v>
      </c>
      <c r="V458" s="118">
        <v>0.33</v>
      </c>
      <c r="W458" s="118">
        <v>0.33</v>
      </c>
      <c r="X458" s="118">
        <v>0.33</v>
      </c>
      <c r="Y458" s="118">
        <v>0.33</v>
      </c>
      <c r="Z458" s="118">
        <v>0.33</v>
      </c>
      <c r="AA458" s="118">
        <v>0.33</v>
      </c>
      <c r="AB458" s="118">
        <v>0.33</v>
      </c>
      <c r="AC458" s="118">
        <v>0.33</v>
      </c>
      <c r="AD458" s="118">
        <v>0.33</v>
      </c>
      <c r="AE458" s="76"/>
      <c r="AF458" s="76"/>
      <c r="AG458" s="76"/>
      <c r="AH458" s="97">
        <v>1</v>
      </c>
      <c r="AI458" s="97">
        <v>1</v>
      </c>
      <c r="AJ458" s="73"/>
      <c r="AK458" s="57"/>
      <c r="AL458" s="45"/>
      <c r="AM458" s="45"/>
      <c r="AN458" s="45"/>
    </row>
    <row r="459" spans="1:40" hidden="1" outlineLevel="2" x14ac:dyDescent="0.25">
      <c r="A459" s="45"/>
      <c r="B459" s="54"/>
      <c r="C459" s="47">
        <f t="shared" si="89"/>
        <v>3</v>
      </c>
      <c r="D459" s="73"/>
      <c r="E459" s="70"/>
      <c r="F459" s="70" t="s">
        <v>1066</v>
      </c>
      <c r="G459" s="73"/>
      <c r="H459" s="76" t="s">
        <v>2269</v>
      </c>
      <c r="I459" s="96"/>
      <c r="J459" s="96"/>
      <c r="K459" s="76"/>
      <c r="L459" s="76"/>
      <c r="M459" s="76"/>
      <c r="N459" s="76"/>
      <c r="O459" s="76"/>
      <c r="P459" s="76"/>
      <c r="Q459" s="76"/>
      <c r="R459" s="76"/>
      <c r="S459" s="76"/>
      <c r="T459" s="76"/>
      <c r="U459" s="118">
        <v>0.33</v>
      </c>
      <c r="V459" s="118">
        <v>0.33</v>
      </c>
      <c r="W459" s="118">
        <v>0.33</v>
      </c>
      <c r="X459" s="118">
        <v>0.33</v>
      </c>
      <c r="Y459" s="118">
        <v>0.33</v>
      </c>
      <c r="Z459" s="118">
        <v>0.33</v>
      </c>
      <c r="AA459" s="118">
        <v>0.33</v>
      </c>
      <c r="AB459" s="118">
        <v>0.33</v>
      </c>
      <c r="AC459" s="118">
        <v>0.33</v>
      </c>
      <c r="AD459" s="118">
        <v>0.33</v>
      </c>
      <c r="AE459" s="76"/>
      <c r="AF459" s="76"/>
      <c r="AG459" s="76"/>
      <c r="AH459" s="97">
        <v>1</v>
      </c>
      <c r="AI459" s="97">
        <v>1</v>
      </c>
      <c r="AJ459" s="73"/>
      <c r="AK459" s="57"/>
      <c r="AL459" s="45"/>
      <c r="AM459" s="45"/>
      <c r="AN459" s="45"/>
    </row>
    <row r="460" spans="1:40" hidden="1" outlineLevel="2" x14ac:dyDescent="0.25">
      <c r="A460" s="45"/>
      <c r="B460" s="54"/>
      <c r="C460" s="47">
        <f t="shared" si="89"/>
        <v>3</v>
      </c>
      <c r="D460" s="73"/>
      <c r="E460" s="70"/>
      <c r="F460" s="70" t="s">
        <v>1067</v>
      </c>
      <c r="G460" s="73"/>
      <c r="H460" s="76" t="s">
        <v>2270</v>
      </c>
      <c r="I460" s="96"/>
      <c r="J460" s="96"/>
      <c r="K460" s="76"/>
      <c r="L460" s="76"/>
      <c r="M460" s="76"/>
      <c r="N460" s="76"/>
      <c r="O460" s="76"/>
      <c r="P460" s="76"/>
      <c r="Q460" s="76"/>
      <c r="R460" s="76"/>
      <c r="S460" s="76"/>
      <c r="T460" s="76"/>
      <c r="U460" s="261">
        <f t="shared" ref="U460:AD462" si="90">U459</f>
        <v>0.33</v>
      </c>
      <c r="V460" s="261">
        <f t="shared" si="90"/>
        <v>0.33</v>
      </c>
      <c r="W460" s="261">
        <f t="shared" si="90"/>
        <v>0.33</v>
      </c>
      <c r="X460" s="261">
        <f t="shared" si="90"/>
        <v>0.33</v>
      </c>
      <c r="Y460" s="261">
        <f t="shared" si="90"/>
        <v>0.33</v>
      </c>
      <c r="Z460" s="261">
        <f t="shared" si="90"/>
        <v>0.33</v>
      </c>
      <c r="AA460" s="261">
        <f t="shared" si="90"/>
        <v>0.33</v>
      </c>
      <c r="AB460" s="261">
        <f t="shared" si="90"/>
        <v>0.33</v>
      </c>
      <c r="AC460" s="261">
        <f t="shared" si="90"/>
        <v>0.33</v>
      </c>
      <c r="AD460" s="261">
        <f t="shared" si="90"/>
        <v>0.33</v>
      </c>
      <c r="AE460" s="76"/>
      <c r="AF460" s="76"/>
      <c r="AG460" s="76"/>
      <c r="AH460" s="76">
        <v>1</v>
      </c>
      <c r="AI460" s="76">
        <v>1</v>
      </c>
      <c r="AJ460" s="73"/>
      <c r="AK460" s="57"/>
      <c r="AL460" s="45"/>
      <c r="AM460" s="45"/>
      <c r="AN460" s="45"/>
    </row>
    <row r="461" spans="1:40" hidden="1" outlineLevel="2" x14ac:dyDescent="0.25">
      <c r="A461" s="45"/>
      <c r="B461" s="54"/>
      <c r="C461" s="47">
        <f t="shared" si="89"/>
        <v>3</v>
      </c>
      <c r="D461" s="73"/>
      <c r="E461" s="70"/>
      <c r="F461" s="70" t="s">
        <v>1068</v>
      </c>
      <c r="G461" s="73"/>
      <c r="H461" s="76" t="s">
        <v>2271</v>
      </c>
      <c r="I461" s="96"/>
      <c r="J461" s="96"/>
      <c r="K461" s="76"/>
      <c r="L461" s="76"/>
      <c r="M461" s="76"/>
      <c r="N461" s="76"/>
      <c r="O461" s="76"/>
      <c r="P461" s="76"/>
      <c r="Q461" s="76"/>
      <c r="R461" s="76"/>
      <c r="S461" s="76"/>
      <c r="T461" s="76"/>
      <c r="U461" s="261">
        <f t="shared" si="90"/>
        <v>0.33</v>
      </c>
      <c r="V461" s="261">
        <f t="shared" si="90"/>
        <v>0.33</v>
      </c>
      <c r="W461" s="261">
        <f t="shared" si="90"/>
        <v>0.33</v>
      </c>
      <c r="X461" s="261">
        <f t="shared" si="90"/>
        <v>0.33</v>
      </c>
      <c r="Y461" s="261">
        <f t="shared" si="90"/>
        <v>0.33</v>
      </c>
      <c r="Z461" s="261">
        <f t="shared" si="90"/>
        <v>0.33</v>
      </c>
      <c r="AA461" s="261">
        <f t="shared" si="90"/>
        <v>0.33</v>
      </c>
      <c r="AB461" s="261">
        <f t="shared" si="90"/>
        <v>0.33</v>
      </c>
      <c r="AC461" s="261">
        <f t="shared" si="90"/>
        <v>0.33</v>
      </c>
      <c r="AD461" s="261">
        <f t="shared" si="90"/>
        <v>0.33</v>
      </c>
      <c r="AE461" s="76"/>
      <c r="AF461" s="76"/>
      <c r="AG461" s="76"/>
      <c r="AH461" s="76">
        <v>1</v>
      </c>
      <c r="AI461" s="76">
        <v>1</v>
      </c>
      <c r="AJ461" s="73"/>
      <c r="AK461" s="57"/>
      <c r="AL461" s="45"/>
      <c r="AM461" s="45"/>
      <c r="AN461" s="45"/>
    </row>
    <row r="462" spans="1:40" hidden="1" outlineLevel="2" collapsed="1" x14ac:dyDescent="0.25">
      <c r="A462" s="45"/>
      <c r="B462" s="54"/>
      <c r="C462" s="47">
        <f t="shared" si="89"/>
        <v>3</v>
      </c>
      <c r="D462" s="73"/>
      <c r="E462" s="70"/>
      <c r="F462" s="70" t="s">
        <v>1069</v>
      </c>
      <c r="G462" s="73"/>
      <c r="H462" s="76" t="s">
        <v>2272</v>
      </c>
      <c r="I462" s="96"/>
      <c r="J462" s="96"/>
      <c r="K462" s="76"/>
      <c r="L462" s="76"/>
      <c r="M462" s="76"/>
      <c r="N462" s="76"/>
      <c r="O462" s="76"/>
      <c r="P462" s="76"/>
      <c r="Q462" s="76"/>
      <c r="R462" s="76"/>
      <c r="S462" s="76"/>
      <c r="T462" s="76"/>
      <c r="U462" s="261">
        <f t="shared" si="90"/>
        <v>0.33</v>
      </c>
      <c r="V462" s="261">
        <f t="shared" si="90"/>
        <v>0.33</v>
      </c>
      <c r="W462" s="261">
        <f t="shared" si="90"/>
        <v>0.33</v>
      </c>
      <c r="X462" s="261">
        <f t="shared" si="90"/>
        <v>0.33</v>
      </c>
      <c r="Y462" s="261">
        <f t="shared" si="90"/>
        <v>0.33</v>
      </c>
      <c r="Z462" s="261">
        <f t="shared" si="90"/>
        <v>0.33</v>
      </c>
      <c r="AA462" s="261">
        <f t="shared" si="90"/>
        <v>0.33</v>
      </c>
      <c r="AB462" s="261">
        <f t="shared" si="90"/>
        <v>0.33</v>
      </c>
      <c r="AC462" s="261">
        <f t="shared" si="90"/>
        <v>0.33</v>
      </c>
      <c r="AD462" s="261">
        <f t="shared" si="90"/>
        <v>0.33</v>
      </c>
      <c r="AE462" s="76"/>
      <c r="AF462" s="76"/>
      <c r="AG462" s="76"/>
      <c r="AH462" s="76">
        <v>1</v>
      </c>
      <c r="AI462" s="76">
        <v>1</v>
      </c>
      <c r="AJ462" s="73"/>
      <c r="AK462" s="57"/>
      <c r="AL462" s="45"/>
      <c r="AM462" s="45"/>
      <c r="AN462" s="45"/>
    </row>
    <row r="463" spans="1:40" hidden="1" outlineLevel="3" x14ac:dyDescent="0.25">
      <c r="A463" s="45"/>
      <c r="B463" s="54"/>
      <c r="C463" s="47">
        <f t="shared" si="89"/>
        <v>3</v>
      </c>
      <c r="D463" s="73"/>
      <c r="E463" s="70"/>
      <c r="F463" s="70" t="s">
        <v>1070</v>
      </c>
      <c r="G463" s="73"/>
      <c r="H463" s="76" t="s">
        <v>604</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89"/>
        <v>3</v>
      </c>
      <c r="D464" s="73"/>
      <c r="E464" s="70"/>
      <c r="F464" s="70" t="s">
        <v>1071</v>
      </c>
      <c r="G464" s="73"/>
      <c r="H464" s="76"/>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89"/>
        <v>3</v>
      </c>
      <c r="D465" s="73"/>
      <c r="E465" s="70"/>
      <c r="F465" s="70" t="s">
        <v>1072</v>
      </c>
      <c r="G465" s="73"/>
      <c r="H465" s="76"/>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89"/>
        <v>3</v>
      </c>
      <c r="D466" s="73"/>
      <c r="E466" s="70"/>
      <c r="F466" s="70" t="s">
        <v>1073</v>
      </c>
      <c r="G466" s="73"/>
      <c r="H466" s="76"/>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89"/>
        <v>3</v>
      </c>
      <c r="D467" s="73"/>
      <c r="E467" s="70"/>
      <c r="F467" s="70" t="s">
        <v>1074</v>
      </c>
      <c r="G467" s="73"/>
      <c r="H467" s="76"/>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89"/>
        <v>3</v>
      </c>
      <c r="D468" s="73"/>
      <c r="E468" s="70"/>
      <c r="F468" s="70" t="s">
        <v>1075</v>
      </c>
      <c r="G468" s="73"/>
      <c r="H468" s="76"/>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89"/>
        <v>3</v>
      </c>
      <c r="D469" s="73"/>
      <c r="E469" s="70"/>
      <c r="F469" s="70" t="s">
        <v>1076</v>
      </c>
      <c r="G469" s="73"/>
      <c r="H469" s="76"/>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89"/>
        <v>3</v>
      </c>
      <c r="D470" s="73"/>
      <c r="E470" s="70"/>
      <c r="F470" s="70" t="s">
        <v>1077</v>
      </c>
      <c r="G470" s="73"/>
      <c r="H470" s="76"/>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ref="C471:C502" si="91">INT($C$29)+2</f>
        <v>3</v>
      </c>
      <c r="D471" s="73"/>
      <c r="E471" s="70"/>
      <c r="F471" s="70" t="s">
        <v>1078</v>
      </c>
      <c r="G471" s="73"/>
      <c r="H471" s="76" t="s">
        <v>604</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91"/>
        <v>3</v>
      </c>
      <c r="D472" s="73"/>
      <c r="E472" s="70"/>
      <c r="F472" s="70" t="s">
        <v>1079</v>
      </c>
      <c r="G472" s="73"/>
      <c r="H472" s="76"/>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91"/>
        <v>3</v>
      </c>
      <c r="D473" s="73"/>
      <c r="E473" s="70"/>
      <c r="F473" s="70" t="s">
        <v>1080</v>
      </c>
      <c r="G473" s="73"/>
      <c r="H473" s="76"/>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91"/>
        <v>3</v>
      </c>
      <c r="D474" s="73"/>
      <c r="E474" s="70"/>
      <c r="F474" s="70" t="s">
        <v>1081</v>
      </c>
      <c r="G474" s="73"/>
      <c r="H474" s="76"/>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91"/>
        <v>3</v>
      </c>
      <c r="D475" s="73"/>
      <c r="E475" s="70"/>
      <c r="F475" s="70" t="s">
        <v>1082</v>
      </c>
      <c r="G475" s="73"/>
      <c r="H475" s="76"/>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91"/>
        <v>3</v>
      </c>
      <c r="D476" s="73"/>
      <c r="E476" s="70"/>
      <c r="F476" s="70" t="s">
        <v>1083</v>
      </c>
      <c r="G476" s="73"/>
      <c r="H476" s="76"/>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91"/>
        <v>3</v>
      </c>
      <c r="D477" s="73"/>
      <c r="E477" s="70"/>
      <c r="F477" s="70" t="s">
        <v>1084</v>
      </c>
      <c r="G477" s="73"/>
      <c r="H477" s="76"/>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91"/>
        <v>3</v>
      </c>
      <c r="D478" s="73"/>
      <c r="E478" s="70"/>
      <c r="F478" s="70" t="s">
        <v>1085</v>
      </c>
      <c r="G478" s="73"/>
      <c r="H478" s="76"/>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91"/>
        <v>3</v>
      </c>
      <c r="D479" s="73"/>
      <c r="E479" s="70"/>
      <c r="F479" s="70" t="s">
        <v>1086</v>
      </c>
      <c r="G479" s="73"/>
      <c r="H479" s="76" t="s">
        <v>604</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91"/>
        <v>3</v>
      </c>
      <c r="D480" s="73"/>
      <c r="E480" s="70"/>
      <c r="F480" s="70" t="s">
        <v>1087</v>
      </c>
      <c r="G480" s="73"/>
      <c r="H480" s="76"/>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91"/>
        <v>3</v>
      </c>
      <c r="D481" s="73"/>
      <c r="E481" s="70"/>
      <c r="F481" s="70" t="s">
        <v>1088</v>
      </c>
      <c r="G481" s="73"/>
      <c r="H481" s="76"/>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91"/>
        <v>3</v>
      </c>
      <c r="D482" s="73"/>
      <c r="E482" s="70"/>
      <c r="F482" s="70" t="s">
        <v>1089</v>
      </c>
      <c r="G482" s="73"/>
      <c r="H482" s="76"/>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91"/>
        <v>3</v>
      </c>
      <c r="D483" s="73"/>
      <c r="E483" s="70"/>
      <c r="F483" s="70" t="s">
        <v>1090</v>
      </c>
      <c r="G483" s="73"/>
      <c r="H483" s="76"/>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91"/>
        <v>3</v>
      </c>
      <c r="D484" s="73"/>
      <c r="E484" s="70"/>
      <c r="F484" s="70" t="s">
        <v>1091</v>
      </c>
      <c r="G484" s="73"/>
      <c r="H484" s="76"/>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91"/>
        <v>3</v>
      </c>
      <c r="D485" s="73"/>
      <c r="E485" s="70"/>
      <c r="F485" s="70" t="s">
        <v>1092</v>
      </c>
      <c r="G485" s="73"/>
      <c r="H485" s="76"/>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91"/>
        <v>3</v>
      </c>
      <c r="D486" s="73"/>
      <c r="E486" s="70"/>
      <c r="F486" s="70" t="s">
        <v>1093</v>
      </c>
      <c r="G486" s="73"/>
      <c r="H486" s="76"/>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91"/>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91"/>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91"/>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91"/>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91"/>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91"/>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91"/>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91"/>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91"/>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91"/>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91"/>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91"/>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91"/>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91"/>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91"/>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91"/>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25">
      <c r="A503" s="45"/>
      <c r="B503" s="54"/>
      <c r="C503" s="47">
        <f t="shared" ref="C503:C534" si="92">INT($C$29)+2</f>
        <v>3</v>
      </c>
      <c r="D503" s="73"/>
      <c r="E503" s="70"/>
      <c r="F503" s="70" t="s">
        <v>1110</v>
      </c>
      <c r="G503" s="73"/>
      <c r="H503" s="76" t="s">
        <v>2176</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2590</v>
      </c>
      <c r="AG503" s="76"/>
      <c r="AH503" s="97">
        <v>1</v>
      </c>
      <c r="AI503" s="97">
        <v>1</v>
      </c>
      <c r="AJ503" s="73"/>
      <c r="AK503" s="57"/>
      <c r="AL503" s="45"/>
      <c r="AM503" s="45"/>
      <c r="AN503" s="45"/>
    </row>
    <row r="504" spans="1:40" hidden="1" outlineLevel="2" x14ac:dyDescent="0.25">
      <c r="A504" s="45"/>
      <c r="B504" s="54"/>
      <c r="C504" s="47">
        <f t="shared" si="92"/>
        <v>3</v>
      </c>
      <c r="D504" s="73"/>
      <c r="E504" s="70"/>
      <c r="F504" s="70" t="s">
        <v>1111</v>
      </c>
      <c r="G504" s="73"/>
      <c r="H504" s="76" t="s">
        <v>2600</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25">
      <c r="A505" s="45"/>
      <c r="B505" s="54"/>
      <c r="C505" s="47">
        <f t="shared" si="92"/>
        <v>3</v>
      </c>
      <c r="D505" s="73"/>
      <c r="E505" s="70"/>
      <c r="F505" s="70" t="s">
        <v>1112</v>
      </c>
      <c r="G505" s="73"/>
      <c r="H505" s="76" t="s">
        <v>2601</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25">
      <c r="A506" s="45"/>
      <c r="B506" s="54"/>
      <c r="C506" s="47">
        <f t="shared" si="92"/>
        <v>3</v>
      </c>
      <c r="D506" s="73"/>
      <c r="E506" s="70"/>
      <c r="F506" s="70" t="s">
        <v>1113</v>
      </c>
      <c r="G506" s="73"/>
      <c r="H506" s="76" t="s">
        <v>2602</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25">
      <c r="A507" s="45"/>
      <c r="B507" s="54"/>
      <c r="C507" s="47">
        <f t="shared" si="92"/>
        <v>3</v>
      </c>
      <c r="D507" s="73"/>
      <c r="E507" s="70"/>
      <c r="F507" s="70" t="s">
        <v>1114</v>
      </c>
      <c r="G507" s="73"/>
      <c r="H507" s="76" t="s">
        <v>2603</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92"/>
        <v>3</v>
      </c>
      <c r="D508" s="73"/>
      <c r="E508" s="70"/>
      <c r="F508" s="70" t="s">
        <v>1115</v>
      </c>
      <c r="G508" s="73"/>
      <c r="H508" s="76" t="s">
        <v>2604</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2"/>
        <v>3</v>
      </c>
      <c r="D509" s="73"/>
      <c r="E509" s="70"/>
      <c r="F509" s="70" t="s">
        <v>1116</v>
      </c>
      <c r="G509" s="73"/>
      <c r="H509" s="76" t="s">
        <v>2605</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25">
      <c r="A510" s="45"/>
      <c r="B510" s="54"/>
      <c r="C510" s="47">
        <f t="shared" si="92"/>
        <v>3</v>
      </c>
      <c r="D510" s="73"/>
      <c r="E510" s="70"/>
      <c r="F510" s="70" t="s">
        <v>1117</v>
      </c>
      <c r="G510" s="73"/>
      <c r="H510" s="76" t="s">
        <v>2606</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92"/>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92"/>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2"/>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2"/>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2"/>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2"/>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2"/>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2"/>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2"/>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2"/>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2"/>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2"/>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2"/>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2"/>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2"/>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2"/>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2"/>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2"/>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2"/>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2"/>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2"/>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2"/>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2"/>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2"/>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25">
      <c r="A535" s="45"/>
      <c r="B535" s="54"/>
      <c r="C535" s="47">
        <f t="shared" ref="C535:C566" si="93">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4">Y535</f>
        <v>-0.2</v>
      </c>
      <c r="AA535" s="255">
        <f t="shared" si="94"/>
        <v>-0.2</v>
      </c>
      <c r="AB535" s="255">
        <f t="shared" si="94"/>
        <v>-0.2</v>
      </c>
      <c r="AC535" s="255">
        <f t="shared" si="94"/>
        <v>-0.2</v>
      </c>
      <c r="AD535" s="255">
        <f t="shared" si="94"/>
        <v>-0.2</v>
      </c>
      <c r="AE535" s="76"/>
      <c r="AF535" s="97" t="s">
        <v>1146</v>
      </c>
      <c r="AG535" s="76"/>
      <c r="AH535" s="97">
        <v>1</v>
      </c>
      <c r="AI535" s="97">
        <v>1</v>
      </c>
      <c r="AJ535" s="73"/>
      <c r="AK535" s="57"/>
      <c r="AL535" s="45"/>
      <c r="AM535" s="45"/>
      <c r="AN535" s="45"/>
    </row>
    <row r="536" spans="1:40" hidden="1" outlineLevel="2" x14ac:dyDescent="0.25">
      <c r="A536" s="45"/>
      <c r="B536" s="54"/>
      <c r="C536" s="47">
        <f t="shared" si="93"/>
        <v>3</v>
      </c>
      <c r="D536" s="73"/>
      <c r="E536" s="70"/>
      <c r="F536" s="70" t="s">
        <v>1147</v>
      </c>
      <c r="G536" s="73"/>
      <c r="H536" s="76" t="s">
        <v>2607</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4"/>
        <v>-0.1</v>
      </c>
      <c r="AA536" s="255">
        <f t="shared" si="94"/>
        <v>-0.1</v>
      </c>
      <c r="AB536" s="255">
        <f t="shared" si="94"/>
        <v>-0.1</v>
      </c>
      <c r="AC536" s="255">
        <f t="shared" si="94"/>
        <v>-0.1</v>
      </c>
      <c r="AD536" s="255">
        <f t="shared" si="94"/>
        <v>-0.1</v>
      </c>
      <c r="AE536" s="76"/>
      <c r="AF536" s="97" t="s">
        <v>2595</v>
      </c>
      <c r="AG536" s="76"/>
      <c r="AH536" s="97">
        <v>1</v>
      </c>
      <c r="AI536" s="97">
        <v>1</v>
      </c>
      <c r="AJ536" s="73"/>
      <c r="AK536" s="57"/>
      <c r="AL536" s="45"/>
      <c r="AM536" s="45"/>
      <c r="AN536" s="45"/>
    </row>
    <row r="537" spans="1:40" hidden="1" outlineLevel="2" x14ac:dyDescent="0.25">
      <c r="A537" s="45"/>
      <c r="B537" s="54"/>
      <c r="C537" s="47">
        <f t="shared" si="93"/>
        <v>3</v>
      </c>
      <c r="D537" s="73"/>
      <c r="E537" s="70"/>
      <c r="F537" s="70" t="s">
        <v>1148</v>
      </c>
      <c r="G537" s="73"/>
      <c r="H537" s="76" t="s">
        <v>2608</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4"/>
        <v>0</v>
      </c>
      <c r="AA537" s="255">
        <f t="shared" si="94"/>
        <v>0</v>
      </c>
      <c r="AB537" s="255">
        <f t="shared" si="94"/>
        <v>0</v>
      </c>
      <c r="AC537" s="255">
        <f t="shared" si="94"/>
        <v>0</v>
      </c>
      <c r="AD537" s="255">
        <f t="shared" si="94"/>
        <v>0</v>
      </c>
      <c r="AE537" s="76"/>
      <c r="AF537" s="97"/>
      <c r="AG537" s="76"/>
      <c r="AH537" s="97">
        <v>1</v>
      </c>
      <c r="AI537" s="97">
        <v>1</v>
      </c>
      <c r="AJ537" s="73"/>
      <c r="AK537" s="57"/>
      <c r="AL537" s="45"/>
      <c r="AM537" s="45"/>
      <c r="AN537" s="45"/>
    </row>
    <row r="538" spans="1:40" hidden="1" outlineLevel="2" x14ac:dyDescent="0.25">
      <c r="A538" s="45"/>
      <c r="B538" s="54"/>
      <c r="C538" s="47">
        <f t="shared" si="93"/>
        <v>3</v>
      </c>
      <c r="D538" s="73"/>
      <c r="E538" s="70"/>
      <c r="F538" s="70" t="s">
        <v>1149</v>
      </c>
      <c r="G538" s="73"/>
      <c r="H538" s="76" t="s">
        <v>2609</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4"/>
        <v>0</v>
      </c>
      <c r="AA538" s="255">
        <f t="shared" si="94"/>
        <v>0</v>
      </c>
      <c r="AB538" s="255">
        <f t="shared" si="94"/>
        <v>0</v>
      </c>
      <c r="AC538" s="255">
        <f t="shared" si="94"/>
        <v>0</v>
      </c>
      <c r="AD538" s="255">
        <f t="shared" si="94"/>
        <v>0</v>
      </c>
      <c r="AE538" s="76"/>
      <c r="AF538" s="97"/>
      <c r="AG538" s="76"/>
      <c r="AH538" s="97">
        <v>1</v>
      </c>
      <c r="AI538" s="97">
        <v>1</v>
      </c>
      <c r="AJ538" s="73"/>
      <c r="AK538" s="57"/>
      <c r="AL538" s="45"/>
      <c r="AM538" s="45"/>
      <c r="AN538" s="45"/>
    </row>
    <row r="539" spans="1:40" hidden="1" outlineLevel="2" collapsed="1" x14ac:dyDescent="0.25">
      <c r="A539" s="45"/>
      <c r="B539" s="54"/>
      <c r="C539" s="47">
        <f t="shared" si="93"/>
        <v>3</v>
      </c>
      <c r="D539" s="73"/>
      <c r="E539" s="70"/>
      <c r="F539" s="70" t="s">
        <v>1150</v>
      </c>
      <c r="G539" s="73"/>
      <c r="H539" s="76" t="s">
        <v>2610</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4"/>
        <v>0</v>
      </c>
      <c r="AA539" s="255">
        <f t="shared" si="94"/>
        <v>0</v>
      </c>
      <c r="AB539" s="255">
        <f t="shared" si="94"/>
        <v>0</v>
      </c>
      <c r="AC539" s="255">
        <f t="shared" si="94"/>
        <v>0</v>
      </c>
      <c r="AD539" s="255">
        <f t="shared" si="94"/>
        <v>0</v>
      </c>
      <c r="AE539" s="76"/>
      <c r="AF539" s="97"/>
      <c r="AG539" s="76"/>
      <c r="AH539" s="97">
        <v>1</v>
      </c>
      <c r="AI539" s="97">
        <v>1</v>
      </c>
      <c r="AJ539" s="73"/>
      <c r="AK539" s="57"/>
      <c r="AL539" s="45"/>
      <c r="AM539" s="45"/>
      <c r="AN539" s="45"/>
    </row>
    <row r="540" spans="1:40" hidden="1" outlineLevel="3" x14ac:dyDescent="0.25">
      <c r="A540" s="45"/>
      <c r="B540" s="54"/>
      <c r="C540" s="47">
        <f t="shared" si="93"/>
        <v>3</v>
      </c>
      <c r="D540" s="73"/>
      <c r="E540" s="70"/>
      <c r="F540" s="70" t="s">
        <v>1151</v>
      </c>
      <c r="G540" s="73"/>
      <c r="H540" s="76" t="s">
        <v>2611</v>
      </c>
      <c r="I540" s="96" t="s">
        <v>502</v>
      </c>
      <c r="J540" s="96" t="s">
        <v>1145</v>
      </c>
      <c r="K540" s="76"/>
      <c r="L540" s="76"/>
      <c r="M540" s="76"/>
      <c r="N540" s="76"/>
      <c r="O540" s="76"/>
      <c r="P540" s="76"/>
      <c r="Q540" s="76"/>
      <c r="R540" s="76"/>
      <c r="S540" s="76"/>
      <c r="T540" s="76">
        <v>-0.32100000000000001</v>
      </c>
      <c r="U540" s="261">
        <f t="shared" ref="U540:AD542" si="95">U539</f>
        <v>0</v>
      </c>
      <c r="V540" s="261">
        <f t="shared" si="95"/>
        <v>0</v>
      </c>
      <c r="W540" s="261">
        <f t="shared" si="95"/>
        <v>0</v>
      </c>
      <c r="X540" s="261">
        <f t="shared" si="95"/>
        <v>0</v>
      </c>
      <c r="Y540" s="261">
        <f t="shared" si="95"/>
        <v>0</v>
      </c>
      <c r="Z540" s="261">
        <f t="shared" si="95"/>
        <v>0</v>
      </c>
      <c r="AA540" s="261">
        <f t="shared" si="95"/>
        <v>0</v>
      </c>
      <c r="AB540" s="261">
        <f t="shared" si="95"/>
        <v>0</v>
      </c>
      <c r="AC540" s="261">
        <f t="shared" si="95"/>
        <v>0</v>
      </c>
      <c r="AD540" s="261">
        <f t="shared" si="95"/>
        <v>0</v>
      </c>
      <c r="AE540" s="76"/>
      <c r="AF540" s="97"/>
      <c r="AG540" s="76"/>
      <c r="AH540" s="97">
        <v>1</v>
      </c>
      <c r="AI540" s="97">
        <v>1</v>
      </c>
      <c r="AJ540" s="73"/>
      <c r="AK540" s="57"/>
      <c r="AL540" s="45"/>
      <c r="AM540" s="45"/>
      <c r="AN540" s="45"/>
    </row>
    <row r="541" spans="1:40" hidden="1" outlineLevel="3" x14ac:dyDescent="0.25">
      <c r="A541" s="45"/>
      <c r="B541" s="54"/>
      <c r="C541" s="47">
        <f t="shared" si="93"/>
        <v>3</v>
      </c>
      <c r="D541" s="73"/>
      <c r="E541" s="70"/>
      <c r="F541" s="70" t="s">
        <v>1152</v>
      </c>
      <c r="G541" s="73"/>
      <c r="H541" s="76" t="s">
        <v>2612</v>
      </c>
      <c r="I541" s="96" t="s">
        <v>502</v>
      </c>
      <c r="J541" s="96" t="s">
        <v>1145</v>
      </c>
      <c r="K541" s="76"/>
      <c r="L541" s="76"/>
      <c r="M541" s="76"/>
      <c r="N541" s="76"/>
      <c r="O541" s="76"/>
      <c r="P541" s="76"/>
      <c r="Q541" s="76"/>
      <c r="R541" s="76"/>
      <c r="S541" s="76"/>
      <c r="T541" s="76">
        <v>-0.32100000000000001</v>
      </c>
      <c r="U541" s="261">
        <f t="shared" si="95"/>
        <v>0</v>
      </c>
      <c r="V541" s="261">
        <f t="shared" si="95"/>
        <v>0</v>
      </c>
      <c r="W541" s="261">
        <f t="shared" si="95"/>
        <v>0</v>
      </c>
      <c r="X541" s="261">
        <f t="shared" si="95"/>
        <v>0</v>
      </c>
      <c r="Y541" s="261">
        <f t="shared" si="95"/>
        <v>0</v>
      </c>
      <c r="Z541" s="261">
        <f t="shared" si="95"/>
        <v>0</v>
      </c>
      <c r="AA541" s="261">
        <f t="shared" si="95"/>
        <v>0</v>
      </c>
      <c r="AB541" s="261">
        <f t="shared" si="95"/>
        <v>0</v>
      </c>
      <c r="AC541" s="261">
        <f t="shared" si="95"/>
        <v>0</v>
      </c>
      <c r="AD541" s="261">
        <f t="shared" si="95"/>
        <v>0</v>
      </c>
      <c r="AE541" s="76"/>
      <c r="AF541" s="97"/>
      <c r="AG541" s="76"/>
      <c r="AH541" s="97">
        <v>1</v>
      </c>
      <c r="AI541" s="97">
        <v>1</v>
      </c>
      <c r="AJ541" s="73"/>
      <c r="AK541" s="57"/>
      <c r="AL541" s="45"/>
      <c r="AM541" s="45"/>
      <c r="AN541" s="45"/>
    </row>
    <row r="542" spans="1:40" hidden="1" outlineLevel="3" x14ac:dyDescent="0.25">
      <c r="A542" s="45"/>
      <c r="B542" s="54"/>
      <c r="C542" s="47">
        <f t="shared" si="93"/>
        <v>3</v>
      </c>
      <c r="D542" s="73"/>
      <c r="E542" s="70"/>
      <c r="F542" s="70" t="s">
        <v>1153</v>
      </c>
      <c r="G542" s="73"/>
      <c r="H542" s="76" t="s">
        <v>2613</v>
      </c>
      <c r="I542" s="96" t="s">
        <v>502</v>
      </c>
      <c r="J542" s="96" t="s">
        <v>1145</v>
      </c>
      <c r="K542" s="76"/>
      <c r="L542" s="76"/>
      <c r="M542" s="76"/>
      <c r="N542" s="76"/>
      <c r="O542" s="76"/>
      <c r="P542" s="76"/>
      <c r="Q542" s="76"/>
      <c r="R542" s="76"/>
      <c r="S542" s="76"/>
      <c r="T542" s="76">
        <v>-0.32100000000000001</v>
      </c>
      <c r="U542" s="261">
        <f t="shared" si="95"/>
        <v>0</v>
      </c>
      <c r="V542" s="261">
        <f t="shared" si="95"/>
        <v>0</v>
      </c>
      <c r="W542" s="261">
        <f t="shared" si="95"/>
        <v>0</v>
      </c>
      <c r="X542" s="261">
        <f t="shared" si="95"/>
        <v>0</v>
      </c>
      <c r="Y542" s="261">
        <f t="shared" si="95"/>
        <v>0</v>
      </c>
      <c r="Z542" s="261">
        <f t="shared" si="95"/>
        <v>0</v>
      </c>
      <c r="AA542" s="261">
        <f t="shared" si="95"/>
        <v>0</v>
      </c>
      <c r="AB542" s="261">
        <f t="shared" si="95"/>
        <v>0</v>
      </c>
      <c r="AC542" s="261">
        <f t="shared" si="95"/>
        <v>0</v>
      </c>
      <c r="AD542" s="261">
        <f t="shared" si="95"/>
        <v>0</v>
      </c>
      <c r="AE542" s="76"/>
      <c r="AF542" s="97"/>
      <c r="AG542" s="76"/>
      <c r="AH542" s="97">
        <v>1</v>
      </c>
      <c r="AI542" s="97">
        <v>1</v>
      </c>
      <c r="AJ542" s="73"/>
      <c r="AK542" s="57"/>
      <c r="AL542" s="45"/>
      <c r="AM542" s="45"/>
      <c r="AN542" s="45"/>
    </row>
    <row r="543" spans="1:40" hidden="1" outlineLevel="2" x14ac:dyDescent="0.25">
      <c r="A543" s="45"/>
      <c r="B543" s="54"/>
      <c r="C543" s="47">
        <f t="shared" si="93"/>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96">Y543</f>
        <v>0</v>
      </c>
      <c r="AA543" s="255">
        <f t="shared" si="96"/>
        <v>0</v>
      </c>
      <c r="AB543" s="255">
        <f t="shared" si="96"/>
        <v>0</v>
      </c>
      <c r="AC543" s="255">
        <f t="shared" si="96"/>
        <v>0</v>
      </c>
      <c r="AD543" s="255">
        <f t="shared" si="96"/>
        <v>0</v>
      </c>
      <c r="AE543" s="76"/>
      <c r="AF543" s="97"/>
      <c r="AG543" s="76"/>
      <c r="AH543" s="97">
        <v>1</v>
      </c>
      <c r="AI543" s="97">
        <v>1</v>
      </c>
      <c r="AJ543" s="73"/>
      <c r="AK543" s="57"/>
      <c r="AL543" s="45"/>
      <c r="AM543" s="45"/>
      <c r="AN543" s="45"/>
    </row>
    <row r="544" spans="1:40" hidden="1" outlineLevel="2" x14ac:dyDescent="0.25">
      <c r="A544" s="45"/>
      <c r="B544" s="54"/>
      <c r="C544" s="47">
        <f t="shared" si="93"/>
        <v>3</v>
      </c>
      <c r="D544" s="73"/>
      <c r="E544" s="70"/>
      <c r="F544" s="70" t="s">
        <v>1156</v>
      </c>
      <c r="G544" s="73"/>
      <c r="H544" s="76" t="s">
        <v>2614</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96"/>
        <v>0</v>
      </c>
      <c r="AA544" s="255">
        <f t="shared" si="96"/>
        <v>0</v>
      </c>
      <c r="AB544" s="255">
        <f t="shared" si="96"/>
        <v>0</v>
      </c>
      <c r="AC544" s="255">
        <f t="shared" si="96"/>
        <v>0</v>
      </c>
      <c r="AD544" s="255">
        <f t="shared" si="96"/>
        <v>0</v>
      </c>
      <c r="AE544" s="76"/>
      <c r="AF544" s="97"/>
      <c r="AG544" s="76"/>
      <c r="AH544" s="97">
        <v>1</v>
      </c>
      <c r="AI544" s="97">
        <v>1</v>
      </c>
      <c r="AJ544" s="73"/>
      <c r="AK544" s="57"/>
      <c r="AL544" s="45"/>
      <c r="AM544" s="45"/>
      <c r="AN544" s="45"/>
    </row>
    <row r="545" spans="1:40" hidden="1" outlineLevel="2" x14ac:dyDescent="0.25">
      <c r="A545" s="45"/>
      <c r="B545" s="54"/>
      <c r="C545" s="47">
        <f t="shared" si="93"/>
        <v>3</v>
      </c>
      <c r="D545" s="73"/>
      <c r="E545" s="70"/>
      <c r="F545" s="70" t="s">
        <v>1157</v>
      </c>
      <c r="G545" s="73"/>
      <c r="H545" s="76" t="s">
        <v>2615</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96"/>
        <v>0</v>
      </c>
      <c r="AA545" s="255">
        <f t="shared" si="96"/>
        <v>0</v>
      </c>
      <c r="AB545" s="255">
        <f t="shared" si="96"/>
        <v>0</v>
      </c>
      <c r="AC545" s="255">
        <f t="shared" si="96"/>
        <v>0</v>
      </c>
      <c r="AD545" s="255">
        <f t="shared" si="96"/>
        <v>0</v>
      </c>
      <c r="AE545" s="76"/>
      <c r="AF545" s="97"/>
      <c r="AG545" s="76"/>
      <c r="AH545" s="97">
        <v>1</v>
      </c>
      <c r="AI545" s="97">
        <v>1</v>
      </c>
      <c r="AJ545" s="73"/>
      <c r="AK545" s="57"/>
      <c r="AL545" s="45"/>
      <c r="AM545" s="45"/>
      <c r="AN545" s="45"/>
    </row>
    <row r="546" spans="1:40" hidden="1" outlineLevel="2" x14ac:dyDescent="0.25">
      <c r="A546" s="45"/>
      <c r="B546" s="54"/>
      <c r="C546" s="47">
        <f t="shared" si="93"/>
        <v>3</v>
      </c>
      <c r="D546" s="73"/>
      <c r="E546" s="70"/>
      <c r="F546" s="70" t="s">
        <v>1158</v>
      </c>
      <c r="G546" s="73"/>
      <c r="H546" s="76" t="s">
        <v>2616</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96"/>
        <v>0</v>
      </c>
      <c r="AA546" s="255">
        <f t="shared" si="96"/>
        <v>0</v>
      </c>
      <c r="AB546" s="255">
        <f t="shared" si="96"/>
        <v>0</v>
      </c>
      <c r="AC546" s="255">
        <f t="shared" si="96"/>
        <v>0</v>
      </c>
      <c r="AD546" s="255">
        <f t="shared" si="96"/>
        <v>0</v>
      </c>
      <c r="AE546" s="76"/>
      <c r="AF546" s="97"/>
      <c r="AG546" s="76"/>
      <c r="AH546" s="97">
        <v>1</v>
      </c>
      <c r="AI546" s="97">
        <v>1</v>
      </c>
      <c r="AJ546" s="73"/>
      <c r="AK546" s="57"/>
      <c r="AL546" s="45"/>
      <c r="AM546" s="45"/>
      <c r="AN546" s="45"/>
    </row>
    <row r="547" spans="1:40" hidden="1" outlineLevel="2" collapsed="1" x14ac:dyDescent="0.25">
      <c r="A547" s="45"/>
      <c r="B547" s="54"/>
      <c r="C547" s="47">
        <f t="shared" si="93"/>
        <v>3</v>
      </c>
      <c r="D547" s="73"/>
      <c r="E547" s="70"/>
      <c r="F547" s="70" t="s">
        <v>1159</v>
      </c>
      <c r="G547" s="73"/>
      <c r="H547" s="76" t="s">
        <v>2617</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96"/>
        <v>0</v>
      </c>
      <c r="AA547" s="255">
        <f t="shared" si="96"/>
        <v>0</v>
      </c>
      <c r="AB547" s="255">
        <f t="shared" si="96"/>
        <v>0</v>
      </c>
      <c r="AC547" s="255">
        <f t="shared" si="96"/>
        <v>0</v>
      </c>
      <c r="AD547" s="255">
        <f t="shared" si="96"/>
        <v>0</v>
      </c>
      <c r="AE547" s="76"/>
      <c r="AF547" s="97"/>
      <c r="AG547" s="76"/>
      <c r="AH547" s="97">
        <v>1</v>
      </c>
      <c r="AI547" s="97">
        <v>1</v>
      </c>
      <c r="AJ547" s="73"/>
      <c r="AK547" s="57"/>
      <c r="AL547" s="45"/>
      <c r="AM547" s="45"/>
      <c r="AN547" s="45"/>
    </row>
    <row r="548" spans="1:40" hidden="1" outlineLevel="3" x14ac:dyDescent="0.25">
      <c r="A548" s="45"/>
      <c r="B548" s="54"/>
      <c r="C548" s="47">
        <f t="shared" si="93"/>
        <v>3</v>
      </c>
      <c r="D548" s="73"/>
      <c r="E548" s="70"/>
      <c r="F548" s="70" t="s">
        <v>1160</v>
      </c>
      <c r="G548" s="73"/>
      <c r="H548" s="76" t="s">
        <v>2618</v>
      </c>
      <c r="I548" s="96" t="s">
        <v>502</v>
      </c>
      <c r="J548" s="96" t="s">
        <v>1145</v>
      </c>
      <c r="K548" s="76"/>
      <c r="L548" s="76"/>
      <c r="M548" s="76"/>
      <c r="N548" s="76"/>
      <c r="O548" s="76"/>
      <c r="P548" s="76"/>
      <c r="Q548" s="76"/>
      <c r="R548" s="76"/>
      <c r="S548" s="76"/>
      <c r="T548" s="76">
        <v>-0.74199999999999999</v>
      </c>
      <c r="U548" s="261">
        <f t="shared" ref="U548:AD550" si="97">U547</f>
        <v>0</v>
      </c>
      <c r="V548" s="261">
        <f t="shared" si="97"/>
        <v>0</v>
      </c>
      <c r="W548" s="261">
        <f t="shared" si="97"/>
        <v>0</v>
      </c>
      <c r="X548" s="261">
        <f t="shared" si="97"/>
        <v>0</v>
      </c>
      <c r="Y548" s="261">
        <f t="shared" si="97"/>
        <v>0</v>
      </c>
      <c r="Z548" s="261">
        <f t="shared" si="97"/>
        <v>0</v>
      </c>
      <c r="AA548" s="261">
        <f t="shared" si="97"/>
        <v>0</v>
      </c>
      <c r="AB548" s="261">
        <f t="shared" si="97"/>
        <v>0</v>
      </c>
      <c r="AC548" s="261">
        <f t="shared" si="97"/>
        <v>0</v>
      </c>
      <c r="AD548" s="261">
        <f t="shared" si="97"/>
        <v>0</v>
      </c>
      <c r="AE548" s="76"/>
      <c r="AF548" s="97"/>
      <c r="AG548" s="76"/>
      <c r="AH548" s="97">
        <v>1</v>
      </c>
      <c r="AI548" s="97">
        <v>1</v>
      </c>
      <c r="AJ548" s="73"/>
      <c r="AK548" s="57"/>
      <c r="AL548" s="45"/>
      <c r="AM548" s="45"/>
      <c r="AN548" s="45"/>
    </row>
    <row r="549" spans="1:40" hidden="1" outlineLevel="3" x14ac:dyDescent="0.25">
      <c r="A549" s="45"/>
      <c r="B549" s="54"/>
      <c r="C549" s="47">
        <f t="shared" si="93"/>
        <v>3</v>
      </c>
      <c r="D549" s="73"/>
      <c r="E549" s="70"/>
      <c r="F549" s="70" t="s">
        <v>1161</v>
      </c>
      <c r="G549" s="73"/>
      <c r="H549" s="76" t="s">
        <v>2619</v>
      </c>
      <c r="I549" s="96" t="s">
        <v>502</v>
      </c>
      <c r="J549" s="96" t="s">
        <v>1145</v>
      </c>
      <c r="K549" s="76"/>
      <c r="L549" s="76"/>
      <c r="M549" s="76"/>
      <c r="N549" s="76"/>
      <c r="O549" s="76"/>
      <c r="P549" s="76"/>
      <c r="Q549" s="76"/>
      <c r="R549" s="76"/>
      <c r="S549" s="76"/>
      <c r="T549" s="76">
        <v>-0.74199999999999999</v>
      </c>
      <c r="U549" s="261">
        <f t="shared" si="97"/>
        <v>0</v>
      </c>
      <c r="V549" s="261">
        <f t="shared" si="97"/>
        <v>0</v>
      </c>
      <c r="W549" s="261">
        <f t="shared" si="97"/>
        <v>0</v>
      </c>
      <c r="X549" s="261">
        <f t="shared" si="97"/>
        <v>0</v>
      </c>
      <c r="Y549" s="261">
        <f t="shared" si="97"/>
        <v>0</v>
      </c>
      <c r="Z549" s="261">
        <f t="shared" si="97"/>
        <v>0</v>
      </c>
      <c r="AA549" s="261">
        <f t="shared" si="97"/>
        <v>0</v>
      </c>
      <c r="AB549" s="261">
        <f t="shared" si="97"/>
        <v>0</v>
      </c>
      <c r="AC549" s="261">
        <f t="shared" si="97"/>
        <v>0</v>
      </c>
      <c r="AD549" s="261">
        <f t="shared" si="97"/>
        <v>0</v>
      </c>
      <c r="AE549" s="76"/>
      <c r="AF549" s="97"/>
      <c r="AG549" s="76"/>
      <c r="AH549" s="97">
        <v>1</v>
      </c>
      <c r="AI549" s="97">
        <v>1</v>
      </c>
      <c r="AJ549" s="73"/>
      <c r="AK549" s="57"/>
      <c r="AL549" s="45"/>
      <c r="AM549" s="45"/>
      <c r="AN549" s="45"/>
    </row>
    <row r="550" spans="1:40" hidden="1" outlineLevel="3" collapsed="1" x14ac:dyDescent="0.25">
      <c r="A550" s="45"/>
      <c r="B550" s="54"/>
      <c r="C550" s="47">
        <f t="shared" si="93"/>
        <v>3</v>
      </c>
      <c r="D550" s="73"/>
      <c r="E550" s="70"/>
      <c r="F550" s="70" t="s">
        <v>1162</v>
      </c>
      <c r="G550" s="73"/>
      <c r="H550" s="76" t="s">
        <v>2620</v>
      </c>
      <c r="I550" s="96" t="s">
        <v>502</v>
      </c>
      <c r="J550" s="96" t="s">
        <v>1145</v>
      </c>
      <c r="K550" s="76"/>
      <c r="L550" s="76"/>
      <c r="M550" s="76"/>
      <c r="N550" s="76"/>
      <c r="O550" s="76"/>
      <c r="P550" s="76"/>
      <c r="Q550" s="76"/>
      <c r="R550" s="76"/>
      <c r="S550" s="76"/>
      <c r="T550" s="76">
        <v>-0.74199999999999999</v>
      </c>
      <c r="U550" s="261">
        <f t="shared" si="97"/>
        <v>0</v>
      </c>
      <c r="V550" s="261">
        <f t="shared" si="97"/>
        <v>0</v>
      </c>
      <c r="W550" s="261">
        <f t="shared" si="97"/>
        <v>0</v>
      </c>
      <c r="X550" s="261">
        <f t="shared" si="97"/>
        <v>0</v>
      </c>
      <c r="Y550" s="261">
        <f t="shared" si="97"/>
        <v>0</v>
      </c>
      <c r="Z550" s="261">
        <f t="shared" si="97"/>
        <v>0</v>
      </c>
      <c r="AA550" s="261">
        <f t="shared" si="97"/>
        <v>0</v>
      </c>
      <c r="AB550" s="261">
        <f t="shared" si="97"/>
        <v>0</v>
      </c>
      <c r="AC550" s="261">
        <f t="shared" si="97"/>
        <v>0</v>
      </c>
      <c r="AD550" s="261">
        <f t="shared" si="97"/>
        <v>0</v>
      </c>
      <c r="AE550" s="76"/>
      <c r="AF550" s="97"/>
      <c r="AG550" s="76"/>
      <c r="AH550" s="97">
        <v>1</v>
      </c>
      <c r="AI550" s="97">
        <v>1</v>
      </c>
      <c r="AJ550" s="73"/>
      <c r="AK550" s="57"/>
      <c r="AL550" s="45"/>
      <c r="AM550" s="45"/>
      <c r="AN550" s="45"/>
    </row>
    <row r="551" spans="1:40" hidden="1" outlineLevel="3" x14ac:dyDescent="0.25">
      <c r="A551" s="45"/>
      <c r="B551" s="54"/>
      <c r="C551" s="47">
        <f t="shared" si="93"/>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25">
      <c r="A552" s="45"/>
      <c r="B552" s="54"/>
      <c r="C552" s="47">
        <f t="shared" si="93"/>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93"/>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3"/>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3"/>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3"/>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3"/>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3"/>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25">
      <c r="A559" s="45"/>
      <c r="B559" s="54"/>
      <c r="C559" s="47">
        <f t="shared" si="93"/>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25">
      <c r="A560" s="45"/>
      <c r="B560" s="54"/>
      <c r="C560" s="47">
        <f t="shared" si="93"/>
        <v>3</v>
      </c>
      <c r="D560" s="73"/>
      <c r="E560" s="70"/>
      <c r="F560" s="70" t="s">
        <v>1175</v>
      </c>
      <c r="G560" s="73"/>
      <c r="H560" s="76" t="s">
        <v>2621</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25">
      <c r="A561" s="45"/>
      <c r="B561" s="54"/>
      <c r="C561" s="47">
        <f t="shared" si="93"/>
        <v>3</v>
      </c>
      <c r="D561" s="73"/>
      <c r="E561" s="70"/>
      <c r="F561" s="70" t="s">
        <v>1176</v>
      </c>
      <c r="G561" s="73"/>
      <c r="H561" s="76" t="s">
        <v>2622</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93"/>
        <v>3</v>
      </c>
      <c r="D562" s="73"/>
      <c r="E562" s="70"/>
      <c r="F562" s="70" t="s">
        <v>1177</v>
      </c>
      <c r="G562" s="73"/>
      <c r="H562" s="76" t="s">
        <v>2623</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93"/>
        <v>3</v>
      </c>
      <c r="D563" s="73"/>
      <c r="E563" s="70"/>
      <c r="F563" s="70" t="s">
        <v>1178</v>
      </c>
      <c r="G563" s="73"/>
      <c r="H563" s="76" t="s">
        <v>2624</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93"/>
        <v>3</v>
      </c>
      <c r="D564" s="73"/>
      <c r="E564" s="70"/>
      <c r="F564" s="70" t="s">
        <v>1179</v>
      </c>
      <c r="G564" s="73"/>
      <c r="H564" s="76" t="s">
        <v>2625</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93"/>
        <v>3</v>
      </c>
      <c r="D565" s="73"/>
      <c r="E565" s="70"/>
      <c r="F565" s="70" t="s">
        <v>1180</v>
      </c>
      <c r="G565" s="73"/>
      <c r="H565" s="76" t="s">
        <v>2626</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93"/>
        <v>3</v>
      </c>
      <c r="D566" s="73"/>
      <c r="E566" s="70"/>
      <c r="F566" s="70" t="s">
        <v>1181</v>
      </c>
      <c r="G566" s="73"/>
      <c r="H566" s="76" t="s">
        <v>2627</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ref="C567:C598" si="98">INT($C$29)+2</f>
        <v>3</v>
      </c>
      <c r="D567" s="73"/>
      <c r="E567" s="70"/>
      <c r="F567" s="70" t="s">
        <v>1182</v>
      </c>
      <c r="G567" s="73"/>
      <c r="H567" s="76" t="s">
        <v>2180</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99">AA567</f>
        <v>-0.55000000000000004</v>
      </c>
      <c r="AA567" s="255">
        <f t="shared" si="99"/>
        <v>-0.55000000000000004</v>
      </c>
      <c r="AB567" s="97">
        <v>-0.55000000000000004</v>
      </c>
      <c r="AC567" s="255">
        <f t="shared" ref="AC567:AD590" si="100">AB567</f>
        <v>-0.55000000000000004</v>
      </c>
      <c r="AD567" s="255">
        <f t="shared" si="100"/>
        <v>-0.55000000000000004</v>
      </c>
      <c r="AE567" s="76"/>
      <c r="AF567" s="97" t="s">
        <v>2699</v>
      </c>
      <c r="AG567" s="76"/>
      <c r="AH567" s="97">
        <v>1</v>
      </c>
      <c r="AI567" s="97">
        <v>1</v>
      </c>
      <c r="AJ567" s="73"/>
      <c r="AK567" s="57"/>
      <c r="AL567" s="45"/>
      <c r="AM567" s="45"/>
      <c r="AN567" s="45"/>
    </row>
    <row r="568" spans="1:40" hidden="1" outlineLevel="2" x14ac:dyDescent="0.25">
      <c r="A568" s="45"/>
      <c r="B568" s="54"/>
      <c r="C568" s="47">
        <f t="shared" si="98"/>
        <v>3</v>
      </c>
      <c r="D568" s="73"/>
      <c r="E568" s="70"/>
      <c r="F568" s="70" t="s">
        <v>1183</v>
      </c>
      <c r="G568" s="73"/>
      <c r="H568" s="76" t="s">
        <v>2628</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99"/>
        <v>-0.2</v>
      </c>
      <c r="AA568" s="255">
        <f t="shared" si="99"/>
        <v>-0.2</v>
      </c>
      <c r="AB568" s="97">
        <v>-0.2</v>
      </c>
      <c r="AC568" s="255">
        <f t="shared" si="100"/>
        <v>-0.2</v>
      </c>
      <c r="AD568" s="255">
        <f t="shared" si="100"/>
        <v>-0.2</v>
      </c>
      <c r="AE568" s="76"/>
      <c r="AF568" s="97" t="s">
        <v>2726</v>
      </c>
      <c r="AG568" s="76"/>
      <c r="AH568" s="97">
        <v>1</v>
      </c>
      <c r="AI568" s="97">
        <v>1</v>
      </c>
      <c r="AJ568" s="73"/>
      <c r="AK568" s="57"/>
      <c r="AL568" s="45"/>
      <c r="AM568" s="45"/>
      <c r="AN568" s="45"/>
    </row>
    <row r="569" spans="1:40" hidden="1" outlineLevel="2" x14ac:dyDescent="0.25">
      <c r="A569" s="45"/>
      <c r="B569" s="54"/>
      <c r="C569" s="47">
        <f t="shared" si="98"/>
        <v>3</v>
      </c>
      <c r="D569" s="73"/>
      <c r="E569" s="70"/>
      <c r="F569" s="70" t="s">
        <v>1184</v>
      </c>
      <c r="G569" s="73"/>
      <c r="H569" s="76" t="s">
        <v>2629</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99"/>
        <v>0</v>
      </c>
      <c r="AA569" s="255">
        <f t="shared" si="99"/>
        <v>0</v>
      </c>
      <c r="AB569" s="97">
        <v>0</v>
      </c>
      <c r="AC569" s="255">
        <f t="shared" si="100"/>
        <v>0</v>
      </c>
      <c r="AD569" s="255">
        <f t="shared" si="100"/>
        <v>0</v>
      </c>
      <c r="AE569" s="76"/>
      <c r="AF569" s="97"/>
      <c r="AG569" s="76"/>
      <c r="AH569" s="97">
        <v>1</v>
      </c>
      <c r="AI569" s="97">
        <v>1</v>
      </c>
      <c r="AJ569" s="73"/>
      <c r="AK569" s="57"/>
      <c r="AL569" s="45"/>
      <c r="AM569" s="45"/>
      <c r="AN569" s="45"/>
    </row>
    <row r="570" spans="1:40" hidden="1" outlineLevel="2" x14ac:dyDescent="0.25">
      <c r="A570" s="45"/>
      <c r="B570" s="54"/>
      <c r="C570" s="47">
        <f t="shared" si="98"/>
        <v>3</v>
      </c>
      <c r="D570" s="73"/>
      <c r="E570" s="70"/>
      <c r="F570" s="70" t="s">
        <v>1185</v>
      </c>
      <c r="G570" s="73"/>
      <c r="H570" s="76" t="s">
        <v>2630</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99"/>
        <v>0</v>
      </c>
      <c r="AA570" s="255">
        <f t="shared" si="99"/>
        <v>0</v>
      </c>
      <c r="AB570" s="97">
        <v>0</v>
      </c>
      <c r="AC570" s="255">
        <f t="shared" si="100"/>
        <v>0</v>
      </c>
      <c r="AD570" s="255">
        <f t="shared" si="100"/>
        <v>0</v>
      </c>
      <c r="AE570" s="76"/>
      <c r="AF570" s="97"/>
      <c r="AG570" s="76"/>
      <c r="AH570" s="97">
        <v>1</v>
      </c>
      <c r="AI570" s="97">
        <v>1</v>
      </c>
      <c r="AJ570" s="73"/>
      <c r="AK570" s="57"/>
      <c r="AL570" s="45"/>
      <c r="AM570" s="45"/>
      <c r="AN570" s="45"/>
    </row>
    <row r="571" spans="1:40" hidden="1" outlineLevel="2" x14ac:dyDescent="0.25">
      <c r="A571" s="45"/>
      <c r="B571" s="54"/>
      <c r="C571" s="47">
        <f t="shared" si="98"/>
        <v>3</v>
      </c>
      <c r="D571" s="73"/>
      <c r="E571" s="70"/>
      <c r="F571" s="70" t="s">
        <v>1186</v>
      </c>
      <c r="G571" s="73"/>
      <c r="H571" s="76" t="s">
        <v>2631</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99"/>
        <v>0</v>
      </c>
      <c r="AA571" s="255">
        <f t="shared" si="99"/>
        <v>0</v>
      </c>
      <c r="AB571" s="97">
        <v>0</v>
      </c>
      <c r="AC571" s="255">
        <f t="shared" si="100"/>
        <v>0</v>
      </c>
      <c r="AD571" s="255">
        <f t="shared" si="100"/>
        <v>0</v>
      </c>
      <c r="AE571" s="76"/>
      <c r="AF571" s="97"/>
      <c r="AG571" s="76"/>
      <c r="AH571" s="97">
        <v>1</v>
      </c>
      <c r="AI571" s="97">
        <v>1</v>
      </c>
      <c r="AJ571" s="73"/>
      <c r="AK571" s="57"/>
      <c r="AL571" s="45"/>
      <c r="AM571" s="45"/>
      <c r="AN571" s="45"/>
    </row>
    <row r="572" spans="1:40" hidden="1" outlineLevel="2" x14ac:dyDescent="0.25">
      <c r="A572" s="45"/>
      <c r="B572" s="54"/>
      <c r="C572" s="47">
        <f t="shared" si="98"/>
        <v>3</v>
      </c>
      <c r="D572" s="73"/>
      <c r="E572" s="70"/>
      <c r="F572" s="70" t="s">
        <v>1187</v>
      </c>
      <c r="G572" s="73"/>
      <c r="H572" s="76" t="s">
        <v>2632</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99"/>
        <v>0</v>
      </c>
      <c r="AA572" s="255">
        <f t="shared" si="99"/>
        <v>0</v>
      </c>
      <c r="AB572" s="97">
        <v>0</v>
      </c>
      <c r="AC572" s="255">
        <f t="shared" si="100"/>
        <v>0</v>
      </c>
      <c r="AD572" s="255">
        <f t="shared" si="100"/>
        <v>0</v>
      </c>
      <c r="AE572" s="76"/>
      <c r="AF572" s="97"/>
      <c r="AG572" s="76"/>
      <c r="AH572" s="97">
        <v>1</v>
      </c>
      <c r="AI572" s="97">
        <v>1</v>
      </c>
      <c r="AJ572" s="73"/>
      <c r="AK572" s="57"/>
      <c r="AL572" s="45"/>
      <c r="AM572" s="45"/>
      <c r="AN572" s="45"/>
    </row>
    <row r="573" spans="1:40" hidden="1" outlineLevel="2" x14ac:dyDescent="0.25">
      <c r="A573" s="45"/>
      <c r="B573" s="54"/>
      <c r="C573" s="47">
        <f t="shared" si="98"/>
        <v>3</v>
      </c>
      <c r="D573" s="73"/>
      <c r="E573" s="70"/>
      <c r="F573" s="70" t="s">
        <v>1188</v>
      </c>
      <c r="G573" s="73"/>
      <c r="H573" s="76" t="s">
        <v>2633</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99"/>
        <v>0</v>
      </c>
      <c r="AA573" s="255">
        <f t="shared" si="99"/>
        <v>0</v>
      </c>
      <c r="AB573" s="97">
        <v>0</v>
      </c>
      <c r="AC573" s="255">
        <f t="shared" si="100"/>
        <v>0</v>
      </c>
      <c r="AD573" s="255">
        <f t="shared" si="100"/>
        <v>0</v>
      </c>
      <c r="AE573" s="76"/>
      <c r="AF573" s="97"/>
      <c r="AG573" s="76"/>
      <c r="AH573" s="97">
        <v>1</v>
      </c>
      <c r="AI573" s="97">
        <v>1</v>
      </c>
      <c r="AJ573" s="73"/>
      <c r="AK573" s="57"/>
      <c r="AL573" s="45"/>
      <c r="AM573" s="45"/>
      <c r="AN573" s="45"/>
    </row>
    <row r="574" spans="1:40" hidden="1" outlineLevel="2" x14ac:dyDescent="0.25">
      <c r="A574" s="45"/>
      <c r="B574" s="54"/>
      <c r="C574" s="47">
        <f t="shared" si="98"/>
        <v>3</v>
      </c>
      <c r="D574" s="73"/>
      <c r="E574" s="70"/>
      <c r="F574" s="70" t="s">
        <v>1189</v>
      </c>
      <c r="G574" s="73"/>
      <c r="H574" s="76" t="s">
        <v>2634</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99"/>
        <v>-0.2</v>
      </c>
      <c r="AA574" s="255">
        <f t="shared" si="99"/>
        <v>-0.2</v>
      </c>
      <c r="AB574" s="97">
        <f>AB568</f>
        <v>-0.2</v>
      </c>
      <c r="AC574" s="255">
        <f t="shared" si="100"/>
        <v>-0.2</v>
      </c>
      <c r="AD574" s="255">
        <f t="shared" si="100"/>
        <v>-0.2</v>
      </c>
      <c r="AE574" s="76"/>
      <c r="AF574" s="97"/>
      <c r="AG574" s="76"/>
      <c r="AH574" s="97">
        <v>1</v>
      </c>
      <c r="AI574" s="97">
        <v>1</v>
      </c>
      <c r="AJ574" s="73"/>
      <c r="AK574" s="57"/>
      <c r="AL574" s="45"/>
      <c r="AM574" s="45"/>
      <c r="AN574" s="45"/>
    </row>
    <row r="575" spans="1:40" hidden="1" outlineLevel="2" x14ac:dyDescent="0.25">
      <c r="A575" s="45"/>
      <c r="B575" s="54"/>
      <c r="C575" s="47">
        <f t="shared" si="98"/>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1">Y575</f>
        <v>0</v>
      </c>
      <c r="AA575" s="255">
        <f t="shared" si="101"/>
        <v>0</v>
      </c>
      <c r="AB575" s="255">
        <f t="shared" si="101"/>
        <v>0</v>
      </c>
      <c r="AC575" s="255">
        <f t="shared" si="100"/>
        <v>0</v>
      </c>
      <c r="AD575" s="255">
        <f t="shared" si="100"/>
        <v>0</v>
      </c>
      <c r="AE575" s="76"/>
      <c r="AF575" s="97"/>
      <c r="AG575" s="76"/>
      <c r="AH575" s="97">
        <v>1</v>
      </c>
      <c r="AI575" s="97">
        <v>1</v>
      </c>
      <c r="AJ575" s="73"/>
      <c r="AK575" s="57"/>
      <c r="AL575" s="45"/>
      <c r="AM575" s="45"/>
      <c r="AN575" s="45"/>
    </row>
    <row r="576" spans="1:40" hidden="1" outlineLevel="2" x14ac:dyDescent="0.25">
      <c r="A576" s="45"/>
      <c r="B576" s="54"/>
      <c r="C576" s="47">
        <f t="shared" si="98"/>
        <v>3</v>
      </c>
      <c r="D576" s="73"/>
      <c r="E576" s="70"/>
      <c r="F576" s="70" t="s">
        <v>1192</v>
      </c>
      <c r="G576" s="73"/>
      <c r="H576" s="76" t="s">
        <v>2635</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1"/>
        <v>0</v>
      </c>
      <c r="AA576" s="255">
        <f t="shared" si="101"/>
        <v>0</v>
      </c>
      <c r="AB576" s="255">
        <f t="shared" si="101"/>
        <v>0</v>
      </c>
      <c r="AC576" s="255">
        <f t="shared" si="100"/>
        <v>0</v>
      </c>
      <c r="AD576" s="255">
        <f t="shared" si="100"/>
        <v>0</v>
      </c>
      <c r="AE576" s="76"/>
      <c r="AF576" s="97"/>
      <c r="AG576" s="76"/>
      <c r="AH576" s="97">
        <v>1</v>
      </c>
      <c r="AI576" s="97">
        <v>1</v>
      </c>
      <c r="AJ576" s="73"/>
      <c r="AK576" s="57"/>
      <c r="AL576" s="45"/>
      <c r="AM576" s="45"/>
      <c r="AN576" s="45"/>
    </row>
    <row r="577" spans="1:40" hidden="1" outlineLevel="2" collapsed="1" x14ac:dyDescent="0.25">
      <c r="A577" s="45"/>
      <c r="B577" s="54"/>
      <c r="C577" s="47">
        <f t="shared" si="98"/>
        <v>3</v>
      </c>
      <c r="D577" s="73"/>
      <c r="E577" s="70"/>
      <c r="F577" s="70" t="s">
        <v>1193</v>
      </c>
      <c r="G577" s="73"/>
      <c r="H577" s="76" t="s">
        <v>2636</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1"/>
        <v>0</v>
      </c>
      <c r="AA577" s="255">
        <f t="shared" si="101"/>
        <v>0</v>
      </c>
      <c r="AB577" s="255">
        <f t="shared" si="101"/>
        <v>0</v>
      </c>
      <c r="AC577" s="255">
        <f t="shared" si="100"/>
        <v>0</v>
      </c>
      <c r="AD577" s="255">
        <f t="shared" si="100"/>
        <v>0</v>
      </c>
      <c r="AE577" s="76"/>
      <c r="AF577" s="97"/>
      <c r="AG577" s="76"/>
      <c r="AH577" s="97">
        <v>1</v>
      </c>
      <c r="AI577" s="97">
        <v>1</v>
      </c>
      <c r="AJ577" s="73"/>
      <c r="AK577" s="57"/>
      <c r="AL577" s="45"/>
      <c r="AM577" s="45"/>
      <c r="AN577" s="45"/>
    </row>
    <row r="578" spans="1:40" hidden="1" outlineLevel="3" x14ac:dyDescent="0.25">
      <c r="A578" s="45"/>
      <c r="B578" s="54"/>
      <c r="C578" s="47">
        <f t="shared" si="98"/>
        <v>3</v>
      </c>
      <c r="D578" s="73"/>
      <c r="E578" s="70"/>
      <c r="F578" s="70" t="s">
        <v>1194</v>
      </c>
      <c r="G578" s="73"/>
      <c r="H578" s="76" t="s">
        <v>2637</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1"/>
        <v>0</v>
      </c>
      <c r="AA578" s="255">
        <f t="shared" si="101"/>
        <v>0</v>
      </c>
      <c r="AB578" s="255">
        <f t="shared" si="101"/>
        <v>0</v>
      </c>
      <c r="AC578" s="255">
        <f t="shared" si="100"/>
        <v>0</v>
      </c>
      <c r="AD578" s="255">
        <f t="shared" si="100"/>
        <v>0</v>
      </c>
      <c r="AE578" s="76"/>
      <c r="AF578" s="97"/>
      <c r="AG578" s="76"/>
      <c r="AH578" s="97">
        <v>1</v>
      </c>
      <c r="AI578" s="97">
        <v>1</v>
      </c>
      <c r="AJ578" s="73"/>
      <c r="AK578" s="57"/>
      <c r="AL578" s="45"/>
      <c r="AM578" s="45"/>
      <c r="AN578" s="45"/>
    </row>
    <row r="579" spans="1:40" hidden="1" outlineLevel="3" x14ac:dyDescent="0.25">
      <c r="A579" s="45"/>
      <c r="B579" s="54"/>
      <c r="C579" s="47">
        <f t="shared" si="98"/>
        <v>3</v>
      </c>
      <c r="D579" s="73"/>
      <c r="E579" s="70"/>
      <c r="F579" s="70" t="s">
        <v>1195</v>
      </c>
      <c r="G579" s="73"/>
      <c r="H579" s="76" t="s">
        <v>2638</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1"/>
        <v>0</v>
      </c>
      <c r="AA579" s="255">
        <f t="shared" si="101"/>
        <v>0</v>
      </c>
      <c r="AB579" s="255">
        <f t="shared" si="101"/>
        <v>0</v>
      </c>
      <c r="AC579" s="255">
        <f t="shared" si="100"/>
        <v>0</v>
      </c>
      <c r="AD579" s="255">
        <f t="shared" si="100"/>
        <v>0</v>
      </c>
      <c r="AE579" s="76"/>
      <c r="AF579" s="97"/>
      <c r="AG579" s="76"/>
      <c r="AH579" s="97">
        <v>1</v>
      </c>
      <c r="AI579" s="97">
        <v>1</v>
      </c>
      <c r="AJ579" s="73"/>
      <c r="AK579" s="57"/>
      <c r="AL579" s="45"/>
      <c r="AM579" s="45"/>
      <c r="AN579" s="45"/>
    </row>
    <row r="580" spans="1:40" hidden="1" outlineLevel="3" x14ac:dyDescent="0.25">
      <c r="A580" s="45"/>
      <c r="B580" s="54"/>
      <c r="C580" s="47">
        <f t="shared" si="98"/>
        <v>3</v>
      </c>
      <c r="D580" s="73"/>
      <c r="E580" s="70"/>
      <c r="F580" s="70" t="s">
        <v>1196</v>
      </c>
      <c r="G580" s="73"/>
      <c r="H580" s="76" t="s">
        <v>2639</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1"/>
        <v>0</v>
      </c>
      <c r="AA580" s="255">
        <f t="shared" si="101"/>
        <v>0</v>
      </c>
      <c r="AB580" s="255">
        <f t="shared" si="101"/>
        <v>0</v>
      </c>
      <c r="AC580" s="255">
        <f t="shared" si="100"/>
        <v>0</v>
      </c>
      <c r="AD580" s="255">
        <f t="shared" si="100"/>
        <v>0</v>
      </c>
      <c r="AE580" s="76"/>
      <c r="AF580" s="97"/>
      <c r="AG580" s="76"/>
      <c r="AH580" s="97">
        <v>1</v>
      </c>
      <c r="AI580" s="97">
        <v>1</v>
      </c>
      <c r="AJ580" s="73"/>
      <c r="AK580" s="57"/>
      <c r="AL580" s="45"/>
      <c r="AM580" s="45"/>
      <c r="AN580" s="45"/>
    </row>
    <row r="581" spans="1:40" hidden="1" outlineLevel="3" x14ac:dyDescent="0.25">
      <c r="A581" s="45"/>
      <c r="B581" s="54"/>
      <c r="C581" s="47">
        <f t="shared" si="98"/>
        <v>3</v>
      </c>
      <c r="D581" s="73"/>
      <c r="E581" s="70"/>
      <c r="F581" s="70" t="s">
        <v>1197</v>
      </c>
      <c r="G581" s="73"/>
      <c r="H581" s="76" t="s">
        <v>2640</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1"/>
        <v>0</v>
      </c>
      <c r="AA581" s="255">
        <f t="shared" si="101"/>
        <v>0</v>
      </c>
      <c r="AB581" s="255">
        <f t="shared" si="101"/>
        <v>0</v>
      </c>
      <c r="AC581" s="255">
        <f t="shared" si="100"/>
        <v>0</v>
      </c>
      <c r="AD581" s="255">
        <f t="shared" si="100"/>
        <v>0</v>
      </c>
      <c r="AE581" s="76"/>
      <c r="AF581" s="97"/>
      <c r="AG581" s="76"/>
      <c r="AH581" s="97">
        <v>1</v>
      </c>
      <c r="AI581" s="97">
        <v>1</v>
      </c>
      <c r="AJ581" s="73"/>
      <c r="AK581" s="57"/>
      <c r="AL581" s="45"/>
      <c r="AM581" s="45"/>
      <c r="AN581" s="45"/>
    </row>
    <row r="582" spans="1:40" hidden="1" outlineLevel="3" x14ac:dyDescent="0.25">
      <c r="A582" s="45"/>
      <c r="B582" s="54"/>
      <c r="C582" s="47">
        <f t="shared" si="98"/>
        <v>3</v>
      </c>
      <c r="D582" s="73"/>
      <c r="E582" s="70"/>
      <c r="F582" s="70" t="s">
        <v>1198</v>
      </c>
      <c r="G582" s="73"/>
      <c r="H582" s="76" t="s">
        <v>2641</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1"/>
        <v>0</v>
      </c>
      <c r="AA582" s="255">
        <f t="shared" si="101"/>
        <v>0</v>
      </c>
      <c r="AB582" s="255">
        <f t="shared" si="101"/>
        <v>0</v>
      </c>
      <c r="AC582" s="255">
        <f t="shared" si="100"/>
        <v>0</v>
      </c>
      <c r="AD582" s="255">
        <f t="shared" si="100"/>
        <v>0</v>
      </c>
      <c r="AE582" s="76"/>
      <c r="AF582" s="97"/>
      <c r="AG582" s="76"/>
      <c r="AH582" s="97">
        <v>1</v>
      </c>
      <c r="AI582" s="97">
        <v>1</v>
      </c>
      <c r="AJ582" s="73"/>
      <c r="AK582" s="57"/>
      <c r="AL582" s="45"/>
      <c r="AM582" s="45"/>
      <c r="AN582" s="45"/>
    </row>
    <row r="583" spans="1:40" hidden="1" outlineLevel="2" x14ac:dyDescent="0.25">
      <c r="A583" s="45"/>
      <c r="B583" s="54"/>
      <c r="C583" s="47">
        <f t="shared" si="98"/>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1"/>
        <v>0</v>
      </c>
      <c r="AA583" s="255">
        <f t="shared" si="101"/>
        <v>0</v>
      </c>
      <c r="AB583" s="255">
        <f t="shared" si="101"/>
        <v>0</v>
      </c>
      <c r="AC583" s="255">
        <f t="shared" si="100"/>
        <v>0</v>
      </c>
      <c r="AD583" s="255">
        <f t="shared" si="100"/>
        <v>0</v>
      </c>
      <c r="AE583" s="76"/>
      <c r="AF583" s="97"/>
      <c r="AG583" s="76"/>
      <c r="AH583" s="97">
        <v>1</v>
      </c>
      <c r="AI583" s="97">
        <v>1</v>
      </c>
      <c r="AJ583" s="73"/>
      <c r="AK583" s="57"/>
      <c r="AL583" s="45"/>
      <c r="AM583" s="45"/>
      <c r="AN583" s="45"/>
    </row>
    <row r="584" spans="1:40" hidden="1" outlineLevel="2" x14ac:dyDescent="0.25">
      <c r="A584" s="45"/>
      <c r="B584" s="54"/>
      <c r="C584" s="47">
        <f t="shared" si="98"/>
        <v>3</v>
      </c>
      <c r="D584" s="73"/>
      <c r="E584" s="70"/>
      <c r="F584" s="70" t="s">
        <v>1201</v>
      </c>
      <c r="G584" s="73"/>
      <c r="H584" s="76" t="s">
        <v>2642</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1"/>
        <v>0</v>
      </c>
      <c r="AA584" s="255">
        <f t="shared" si="101"/>
        <v>0</v>
      </c>
      <c r="AB584" s="255">
        <f t="shared" si="101"/>
        <v>0</v>
      </c>
      <c r="AC584" s="255">
        <f t="shared" si="100"/>
        <v>0</v>
      </c>
      <c r="AD584" s="255">
        <f t="shared" si="100"/>
        <v>0</v>
      </c>
      <c r="AE584" s="76"/>
      <c r="AF584" s="97"/>
      <c r="AG584" s="76"/>
      <c r="AH584" s="97">
        <v>1</v>
      </c>
      <c r="AI584" s="97">
        <v>1</v>
      </c>
      <c r="AJ584" s="73"/>
      <c r="AK584" s="57"/>
      <c r="AL584" s="45"/>
      <c r="AM584" s="45"/>
      <c r="AN584" s="45"/>
    </row>
    <row r="585" spans="1:40" hidden="1" outlineLevel="2" collapsed="1" x14ac:dyDescent="0.25">
      <c r="A585" s="45"/>
      <c r="B585" s="54"/>
      <c r="C585" s="47">
        <f t="shared" si="98"/>
        <v>3</v>
      </c>
      <c r="D585" s="73"/>
      <c r="E585" s="70"/>
      <c r="F585" s="70" t="s">
        <v>1202</v>
      </c>
      <c r="G585" s="73"/>
      <c r="H585" s="76" t="s">
        <v>2643</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1"/>
        <v>0</v>
      </c>
      <c r="AA585" s="255">
        <f t="shared" si="101"/>
        <v>0</v>
      </c>
      <c r="AB585" s="255">
        <f t="shared" si="101"/>
        <v>0</v>
      </c>
      <c r="AC585" s="255">
        <f t="shared" si="100"/>
        <v>0</v>
      </c>
      <c r="AD585" s="255">
        <f t="shared" si="100"/>
        <v>0</v>
      </c>
      <c r="AE585" s="76"/>
      <c r="AF585" s="97"/>
      <c r="AG585" s="76"/>
      <c r="AH585" s="97">
        <v>1</v>
      </c>
      <c r="AI585" s="97">
        <v>1</v>
      </c>
      <c r="AJ585" s="73"/>
      <c r="AK585" s="57"/>
      <c r="AL585" s="45"/>
      <c r="AM585" s="45"/>
      <c r="AN585" s="45"/>
    </row>
    <row r="586" spans="1:40" hidden="1" outlineLevel="3" x14ac:dyDescent="0.25">
      <c r="A586" s="45"/>
      <c r="B586" s="54"/>
      <c r="C586" s="47">
        <f t="shared" si="98"/>
        <v>3</v>
      </c>
      <c r="D586" s="73"/>
      <c r="E586" s="70"/>
      <c r="F586" s="70" t="s">
        <v>1203</v>
      </c>
      <c r="G586" s="73"/>
      <c r="H586" s="76" t="s">
        <v>2644</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1"/>
        <v>0</v>
      </c>
      <c r="AA586" s="255">
        <f t="shared" si="101"/>
        <v>0</v>
      </c>
      <c r="AB586" s="255">
        <f t="shared" si="101"/>
        <v>0</v>
      </c>
      <c r="AC586" s="255">
        <f t="shared" si="100"/>
        <v>0</v>
      </c>
      <c r="AD586" s="255">
        <f t="shared" si="100"/>
        <v>0</v>
      </c>
      <c r="AE586" s="76"/>
      <c r="AF586" s="97"/>
      <c r="AG586" s="76"/>
      <c r="AH586" s="97">
        <v>1</v>
      </c>
      <c r="AI586" s="97">
        <v>1</v>
      </c>
      <c r="AJ586" s="73"/>
      <c r="AK586" s="57"/>
      <c r="AL586" s="45"/>
      <c r="AM586" s="45"/>
      <c r="AN586" s="45"/>
    </row>
    <row r="587" spans="1:40" hidden="1" outlineLevel="3" x14ac:dyDescent="0.25">
      <c r="A587" s="45"/>
      <c r="B587" s="54"/>
      <c r="C587" s="47">
        <f t="shared" si="98"/>
        <v>3</v>
      </c>
      <c r="D587" s="73"/>
      <c r="E587" s="70"/>
      <c r="F587" s="70" t="s">
        <v>1204</v>
      </c>
      <c r="G587" s="73"/>
      <c r="H587" s="76" t="s">
        <v>2645</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1"/>
        <v>0</v>
      </c>
      <c r="AA587" s="255">
        <f t="shared" si="101"/>
        <v>0</v>
      </c>
      <c r="AB587" s="255">
        <f t="shared" si="101"/>
        <v>0</v>
      </c>
      <c r="AC587" s="255">
        <f t="shared" si="100"/>
        <v>0</v>
      </c>
      <c r="AD587" s="255">
        <f t="shared" si="100"/>
        <v>0</v>
      </c>
      <c r="AE587" s="76"/>
      <c r="AF587" s="97"/>
      <c r="AG587" s="76"/>
      <c r="AH587" s="97">
        <v>1</v>
      </c>
      <c r="AI587" s="97">
        <v>1</v>
      </c>
      <c r="AJ587" s="73"/>
      <c r="AK587" s="57"/>
      <c r="AL587" s="45"/>
      <c r="AM587" s="45"/>
      <c r="AN587" s="45"/>
    </row>
    <row r="588" spans="1:40" hidden="1" outlineLevel="3" x14ac:dyDescent="0.25">
      <c r="A588" s="45"/>
      <c r="B588" s="54"/>
      <c r="C588" s="47">
        <f t="shared" si="98"/>
        <v>3</v>
      </c>
      <c r="D588" s="73"/>
      <c r="E588" s="70"/>
      <c r="F588" s="70" t="s">
        <v>1205</v>
      </c>
      <c r="G588" s="73"/>
      <c r="H588" s="76" t="s">
        <v>2646</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1"/>
        <v>0</v>
      </c>
      <c r="AA588" s="255">
        <f t="shared" si="101"/>
        <v>0</v>
      </c>
      <c r="AB588" s="255">
        <f t="shared" si="101"/>
        <v>0</v>
      </c>
      <c r="AC588" s="255">
        <f t="shared" si="100"/>
        <v>0</v>
      </c>
      <c r="AD588" s="255">
        <f t="shared" si="100"/>
        <v>0</v>
      </c>
      <c r="AE588" s="76"/>
      <c r="AF588" s="97"/>
      <c r="AG588" s="76"/>
      <c r="AH588" s="97">
        <v>1</v>
      </c>
      <c r="AI588" s="97">
        <v>1</v>
      </c>
      <c r="AJ588" s="73"/>
      <c r="AK588" s="57"/>
      <c r="AL588" s="45"/>
      <c r="AM588" s="45"/>
      <c r="AN588" s="45"/>
    </row>
    <row r="589" spans="1:40" hidden="1" outlineLevel="3" x14ac:dyDescent="0.25">
      <c r="A589" s="45"/>
      <c r="B589" s="54"/>
      <c r="C589" s="47">
        <f t="shared" si="98"/>
        <v>3</v>
      </c>
      <c r="D589" s="73"/>
      <c r="E589" s="70"/>
      <c r="F589" s="70" t="s">
        <v>1206</v>
      </c>
      <c r="G589" s="73"/>
      <c r="H589" s="76" t="s">
        <v>2647</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1"/>
        <v>0</v>
      </c>
      <c r="AA589" s="255">
        <f t="shared" si="101"/>
        <v>0</v>
      </c>
      <c r="AB589" s="255">
        <f t="shared" si="101"/>
        <v>0</v>
      </c>
      <c r="AC589" s="255">
        <f t="shared" si="100"/>
        <v>0</v>
      </c>
      <c r="AD589" s="255">
        <f t="shared" si="100"/>
        <v>0</v>
      </c>
      <c r="AE589" s="76"/>
      <c r="AF589" s="97"/>
      <c r="AG589" s="76"/>
      <c r="AH589" s="97">
        <v>1</v>
      </c>
      <c r="AI589" s="97">
        <v>1</v>
      </c>
      <c r="AJ589" s="73"/>
      <c r="AK589" s="57"/>
      <c r="AL589" s="45"/>
      <c r="AM589" s="45"/>
      <c r="AN589" s="45"/>
    </row>
    <row r="590" spans="1:40" hidden="1" outlineLevel="3" x14ac:dyDescent="0.25">
      <c r="A590" s="45"/>
      <c r="B590" s="54"/>
      <c r="C590" s="47">
        <f t="shared" si="98"/>
        <v>3</v>
      </c>
      <c r="D590" s="73"/>
      <c r="E590" s="70"/>
      <c r="F590" s="70" t="s">
        <v>1207</v>
      </c>
      <c r="G590" s="73"/>
      <c r="H590" s="76" t="s">
        <v>2648</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1"/>
        <v>0</v>
      </c>
      <c r="AA590" s="255">
        <f t="shared" si="101"/>
        <v>0</v>
      </c>
      <c r="AB590" s="255">
        <f t="shared" si="101"/>
        <v>0</v>
      </c>
      <c r="AC590" s="255">
        <f t="shared" si="100"/>
        <v>0</v>
      </c>
      <c r="AD590" s="255">
        <f t="shared" si="100"/>
        <v>0</v>
      </c>
      <c r="AE590" s="76"/>
      <c r="AF590" s="97"/>
      <c r="AG590" s="76"/>
      <c r="AH590" s="97">
        <v>1</v>
      </c>
      <c r="AI590" s="97">
        <v>1</v>
      </c>
      <c r="AJ590" s="73"/>
      <c r="AK590" s="57"/>
      <c r="AL590" s="45"/>
      <c r="AM590" s="45"/>
      <c r="AN590" s="45"/>
    </row>
    <row r="591" spans="1:40" hidden="1" outlineLevel="3" x14ac:dyDescent="0.25">
      <c r="A591" s="45"/>
      <c r="B591" s="54"/>
      <c r="C591" s="47">
        <f t="shared" si="98"/>
        <v>3</v>
      </c>
      <c r="D591" s="73"/>
      <c r="E591" s="70"/>
      <c r="F591" s="70" t="s">
        <v>2658</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25">
      <c r="A592" s="45"/>
      <c r="B592" s="54"/>
      <c r="C592" s="47">
        <f t="shared" si="98"/>
        <v>3</v>
      </c>
      <c r="D592" s="73"/>
      <c r="E592" s="70"/>
      <c r="F592" s="70" t="s">
        <v>2659</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98"/>
        <v>3</v>
      </c>
      <c r="D593" s="73"/>
      <c r="E593" s="70"/>
      <c r="F593" s="70" t="s">
        <v>2660</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98"/>
        <v>3</v>
      </c>
      <c r="D594" s="73"/>
      <c r="E594" s="70"/>
      <c r="F594" s="70" t="s">
        <v>2661</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98"/>
        <v>3</v>
      </c>
      <c r="D595" s="73"/>
      <c r="E595" s="70"/>
      <c r="F595" s="70" t="s">
        <v>2662</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98"/>
        <v>3</v>
      </c>
      <c r="D596" s="73"/>
      <c r="E596" s="70"/>
      <c r="F596" s="70" t="s">
        <v>2663</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98"/>
        <v>3</v>
      </c>
      <c r="D597" s="73"/>
      <c r="E597" s="70"/>
      <c r="F597" s="70" t="s">
        <v>2664</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98"/>
        <v>3</v>
      </c>
      <c r="D598" s="73"/>
      <c r="E598" s="70"/>
      <c r="F598" s="70" t="s">
        <v>2665</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25">
      <c r="A599" s="45"/>
      <c r="B599" s="54"/>
      <c r="C599" s="47">
        <f t="shared" ref="C599:C630" si="102">INT($C$29)+2</f>
        <v>3</v>
      </c>
      <c r="D599" s="73"/>
      <c r="E599" s="70"/>
      <c r="F599" s="70" t="s">
        <v>2666</v>
      </c>
      <c r="G599" s="73"/>
      <c r="H599" s="76" t="s">
        <v>2690</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25">
      <c r="A600" s="45"/>
      <c r="B600" s="54"/>
      <c r="C600" s="47">
        <f t="shared" si="102"/>
        <v>3</v>
      </c>
      <c r="D600" s="73"/>
      <c r="E600" s="70"/>
      <c r="F600" s="70" t="s">
        <v>2667</v>
      </c>
      <c r="G600" s="73"/>
      <c r="H600" s="76" t="s">
        <v>2691</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25">
      <c r="A601" s="45"/>
      <c r="B601" s="54"/>
      <c r="C601" s="47">
        <f t="shared" si="102"/>
        <v>3</v>
      </c>
      <c r="D601" s="73"/>
      <c r="E601" s="70"/>
      <c r="F601" s="70" t="s">
        <v>2668</v>
      </c>
      <c r="G601" s="73"/>
      <c r="H601" s="76" t="s">
        <v>2692</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02"/>
        <v>3</v>
      </c>
      <c r="D602" s="73"/>
      <c r="E602" s="70"/>
      <c r="F602" s="70" t="s">
        <v>2669</v>
      </c>
      <c r="G602" s="73"/>
      <c r="H602" s="76" t="s">
        <v>2693</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2"/>
        <v>3</v>
      </c>
      <c r="D603" s="73"/>
      <c r="E603" s="70"/>
      <c r="F603" s="70" t="s">
        <v>2670</v>
      </c>
      <c r="G603" s="73"/>
      <c r="H603" s="76" t="s">
        <v>2694</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2"/>
        <v>3</v>
      </c>
      <c r="D604" s="73"/>
      <c r="E604" s="70"/>
      <c r="F604" s="70" t="s">
        <v>2671</v>
      </c>
      <c r="G604" s="73"/>
      <c r="H604" s="76" t="s">
        <v>2695</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2"/>
        <v>3</v>
      </c>
      <c r="D605" s="73"/>
      <c r="E605" s="70"/>
      <c r="F605" s="70" t="s">
        <v>2672</v>
      </c>
      <c r="G605" s="73"/>
      <c r="H605" s="76" t="s">
        <v>2696</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2"/>
        <v>3</v>
      </c>
      <c r="D606" s="73"/>
      <c r="E606" s="70"/>
      <c r="F606" s="70" t="s">
        <v>2673</v>
      </c>
      <c r="G606" s="73"/>
      <c r="H606" s="76" t="s">
        <v>2697</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2"/>
        <v>3</v>
      </c>
      <c r="D607" s="73"/>
      <c r="E607" s="70"/>
      <c r="F607" s="70" t="s">
        <v>2674</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25">
      <c r="A608" s="45"/>
      <c r="B608" s="54"/>
      <c r="C608" s="47">
        <f t="shared" si="102"/>
        <v>3</v>
      </c>
      <c r="D608" s="73"/>
      <c r="E608" s="70"/>
      <c r="F608" s="70" t="s">
        <v>2675</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02"/>
        <v>3</v>
      </c>
      <c r="D609" s="73"/>
      <c r="E609" s="70"/>
      <c r="F609" s="70" t="s">
        <v>2676</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2"/>
        <v>3</v>
      </c>
      <c r="D610" s="73"/>
      <c r="E610" s="70"/>
      <c r="F610" s="70" t="s">
        <v>2677</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2"/>
        <v>3</v>
      </c>
      <c r="D611" s="73"/>
      <c r="E611" s="70"/>
      <c r="F611" s="70" t="s">
        <v>2678</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2"/>
        <v>3</v>
      </c>
      <c r="D612" s="73"/>
      <c r="E612" s="70"/>
      <c r="F612" s="70" t="s">
        <v>2679</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2"/>
        <v>3</v>
      </c>
      <c r="D613" s="73"/>
      <c r="E613" s="70"/>
      <c r="F613" s="70" t="s">
        <v>2680</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2"/>
        <v>3</v>
      </c>
      <c r="D614" s="73"/>
      <c r="E614" s="70"/>
      <c r="F614" s="70" t="s">
        <v>2681</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25">
      <c r="A615" s="45"/>
      <c r="B615" s="54"/>
      <c r="C615" s="47">
        <f t="shared" si="102"/>
        <v>3</v>
      </c>
      <c r="D615" s="73"/>
      <c r="E615" s="70"/>
      <c r="F615" s="70" t="s">
        <v>2682</v>
      </c>
      <c r="G615" s="73"/>
      <c r="H615" s="76" t="s">
        <v>2776</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25">
      <c r="A616" s="45"/>
      <c r="B616" s="54"/>
      <c r="C616" s="47">
        <f t="shared" si="102"/>
        <v>3</v>
      </c>
      <c r="D616" s="73"/>
      <c r="E616" s="70"/>
      <c r="F616" s="70" t="s">
        <v>2683</v>
      </c>
      <c r="G616" s="73"/>
      <c r="H616" s="76" t="s">
        <v>2691</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25">
      <c r="A617" s="45"/>
      <c r="B617" s="54"/>
      <c r="C617" s="47">
        <f t="shared" si="102"/>
        <v>3</v>
      </c>
      <c r="D617" s="73"/>
      <c r="E617" s="70"/>
      <c r="F617" s="70" t="s">
        <v>2684</v>
      </c>
      <c r="G617" s="73"/>
      <c r="H617" s="76" t="s">
        <v>2692</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02"/>
        <v>3</v>
      </c>
      <c r="D618" s="73"/>
      <c r="E618" s="70"/>
      <c r="F618" s="70" t="s">
        <v>2685</v>
      </c>
      <c r="G618" s="73"/>
      <c r="H618" s="76" t="s">
        <v>2693</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2"/>
        <v>3</v>
      </c>
      <c r="D619" s="73"/>
      <c r="E619" s="70"/>
      <c r="F619" s="70" t="s">
        <v>2686</v>
      </c>
      <c r="G619" s="73"/>
      <c r="H619" s="76" t="s">
        <v>2694</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2"/>
        <v>3</v>
      </c>
      <c r="D620" s="73"/>
      <c r="E620" s="70"/>
      <c r="F620" s="70" t="s">
        <v>2687</v>
      </c>
      <c r="G620" s="73"/>
      <c r="H620" s="76" t="s">
        <v>2695</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2"/>
        <v>3</v>
      </c>
      <c r="D621" s="73"/>
      <c r="E621" s="70"/>
      <c r="F621" s="70" t="s">
        <v>2688</v>
      </c>
      <c r="G621" s="73"/>
      <c r="H621" s="76" t="s">
        <v>2696</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2"/>
        <v>3</v>
      </c>
      <c r="D622" s="73"/>
      <c r="E622" s="70"/>
      <c r="F622" s="70" t="s">
        <v>2689</v>
      </c>
      <c r="G622" s="73"/>
      <c r="H622" s="76" t="s">
        <v>2697</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25">
      <c r="A623" s="45"/>
      <c r="B623" s="54"/>
      <c r="C623" s="47">
        <f t="shared" si="102"/>
        <v>3</v>
      </c>
      <c r="D623" s="73"/>
      <c r="E623" s="70"/>
      <c r="F623" s="70" t="s">
        <v>2778</v>
      </c>
      <c r="G623" s="73"/>
      <c r="H623" s="76" t="s">
        <v>2777</v>
      </c>
      <c r="I623" s="96">
        <v>1</v>
      </c>
      <c r="J623" s="96"/>
      <c r="K623" s="76"/>
      <c r="L623" s="76"/>
      <c r="M623" s="76"/>
      <c r="N623" s="76"/>
      <c r="O623" s="76"/>
      <c r="P623" s="76"/>
      <c r="Q623" s="76"/>
      <c r="R623" s="76"/>
      <c r="S623" s="76"/>
      <c r="T623" s="76"/>
      <c r="U623" s="97">
        <f t="shared" ref="U623:U630" si="103">AA623-($I623*-0.3347)</f>
        <v>0.39093</v>
      </c>
      <c r="V623" s="255">
        <f t="shared" ref="V623:V630" si="104">U623</f>
        <v>0.39093</v>
      </c>
      <c r="W623" s="255">
        <f t="shared" ref="W623:X630" si="105">U623</f>
        <v>0.39093</v>
      </c>
      <c r="X623" s="255">
        <f t="shared" si="105"/>
        <v>0.39093</v>
      </c>
      <c r="Y623" s="255">
        <f t="shared" ref="Y623:Y630" si="106">V623</f>
        <v>0.39093</v>
      </c>
      <c r="Z623" s="255">
        <f t="shared" ref="Z623:Z630" si="107">AA623</f>
        <v>5.6230000000000002E-2</v>
      </c>
      <c r="AA623" s="97">
        <f t="shared" ref="AA623:AA630" si="108">-($I623*-0.05623)</f>
        <v>5.6230000000000002E-2</v>
      </c>
      <c r="AB623" s="255">
        <f t="shared" ref="AB623:AD630" si="109">AA623</f>
        <v>5.6230000000000002E-2</v>
      </c>
      <c r="AC623" s="255">
        <f t="shared" si="109"/>
        <v>5.6230000000000002E-2</v>
      </c>
      <c r="AD623" s="255">
        <f t="shared" si="109"/>
        <v>5.6230000000000002E-2</v>
      </c>
      <c r="AE623" s="76"/>
      <c r="AF623" s="97" t="s">
        <v>2767</v>
      </c>
      <c r="AG623" s="76"/>
      <c r="AH623" s="97">
        <v>1</v>
      </c>
      <c r="AI623" s="97">
        <v>1</v>
      </c>
      <c r="AJ623" s="73"/>
      <c r="AK623" s="57"/>
      <c r="AL623" s="45"/>
      <c r="AM623" s="45"/>
      <c r="AN623" s="45"/>
    </row>
    <row r="624" spans="1:40" hidden="1" outlineLevel="2" x14ac:dyDescent="0.25">
      <c r="A624" s="45"/>
      <c r="B624" s="54"/>
      <c r="C624" s="47">
        <f t="shared" si="102"/>
        <v>3</v>
      </c>
      <c r="D624" s="73"/>
      <c r="E624" s="70"/>
      <c r="F624" s="70" t="s">
        <v>2779</v>
      </c>
      <c r="G624" s="73"/>
      <c r="H624" s="76" t="s">
        <v>2691</v>
      </c>
      <c r="I624" s="96">
        <v>2</v>
      </c>
      <c r="J624" s="96"/>
      <c r="K624" s="76"/>
      <c r="L624" s="76"/>
      <c r="M624" s="76"/>
      <c r="N624" s="76"/>
      <c r="O624" s="76"/>
      <c r="P624" s="76"/>
      <c r="Q624" s="76"/>
      <c r="R624" s="76"/>
      <c r="S624" s="76"/>
      <c r="T624" s="76"/>
      <c r="U624" s="97">
        <f t="shared" si="103"/>
        <v>0.78186</v>
      </c>
      <c r="V624" s="255">
        <f t="shared" si="104"/>
        <v>0.78186</v>
      </c>
      <c r="W624" s="255">
        <f t="shared" si="105"/>
        <v>0.78186</v>
      </c>
      <c r="X624" s="255">
        <f t="shared" si="105"/>
        <v>0.78186</v>
      </c>
      <c r="Y624" s="255">
        <f t="shared" si="106"/>
        <v>0.78186</v>
      </c>
      <c r="Z624" s="255">
        <f t="shared" si="107"/>
        <v>0.11246</v>
      </c>
      <c r="AA624" s="97">
        <f t="shared" si="108"/>
        <v>0.11246</v>
      </c>
      <c r="AB624" s="255">
        <f t="shared" si="109"/>
        <v>0.11246</v>
      </c>
      <c r="AC624" s="255">
        <f t="shared" si="109"/>
        <v>0.11246</v>
      </c>
      <c r="AD624" s="255">
        <f t="shared" si="109"/>
        <v>0.11246</v>
      </c>
      <c r="AE624" s="76"/>
      <c r="AF624" s="76"/>
      <c r="AG624" s="76"/>
      <c r="AH624" s="97">
        <v>1</v>
      </c>
      <c r="AI624" s="97">
        <v>1</v>
      </c>
      <c r="AJ624" s="73"/>
      <c r="AK624" s="57"/>
      <c r="AL624" s="45"/>
      <c r="AM624" s="45"/>
      <c r="AN624" s="45"/>
    </row>
    <row r="625" spans="1:40" hidden="1" outlineLevel="2" x14ac:dyDescent="0.25">
      <c r="A625" s="45"/>
      <c r="B625" s="54"/>
      <c r="C625" s="47">
        <f t="shared" si="102"/>
        <v>3</v>
      </c>
      <c r="D625" s="73"/>
      <c r="E625" s="70"/>
      <c r="F625" s="70" t="s">
        <v>2780</v>
      </c>
      <c r="G625" s="73"/>
      <c r="H625" s="76" t="s">
        <v>2692</v>
      </c>
      <c r="I625" s="96">
        <v>3</v>
      </c>
      <c r="J625" s="96"/>
      <c r="K625" s="76"/>
      <c r="L625" s="76"/>
      <c r="M625" s="76"/>
      <c r="N625" s="76"/>
      <c r="O625" s="76"/>
      <c r="P625" s="76"/>
      <c r="Q625" s="76"/>
      <c r="R625" s="76"/>
      <c r="S625" s="76"/>
      <c r="T625" s="76"/>
      <c r="U625" s="97">
        <f t="shared" si="103"/>
        <v>1.17279</v>
      </c>
      <c r="V625" s="255">
        <f t="shared" si="104"/>
        <v>1.17279</v>
      </c>
      <c r="W625" s="255">
        <f t="shared" si="105"/>
        <v>1.17279</v>
      </c>
      <c r="X625" s="255">
        <f t="shared" si="105"/>
        <v>1.17279</v>
      </c>
      <c r="Y625" s="255">
        <f t="shared" si="106"/>
        <v>1.17279</v>
      </c>
      <c r="Z625" s="255">
        <f t="shared" si="107"/>
        <v>0.16869000000000001</v>
      </c>
      <c r="AA625" s="97">
        <f t="shared" si="108"/>
        <v>0.16869000000000001</v>
      </c>
      <c r="AB625" s="255">
        <f t="shared" si="109"/>
        <v>0.16869000000000001</v>
      </c>
      <c r="AC625" s="255">
        <f t="shared" si="109"/>
        <v>0.16869000000000001</v>
      </c>
      <c r="AD625" s="255">
        <f t="shared" si="109"/>
        <v>0.16869000000000001</v>
      </c>
      <c r="AE625" s="76"/>
      <c r="AF625" s="76"/>
      <c r="AG625" s="76"/>
      <c r="AH625" s="97">
        <v>1</v>
      </c>
      <c r="AI625" s="97">
        <v>1</v>
      </c>
      <c r="AJ625" s="73"/>
      <c r="AK625" s="57"/>
      <c r="AL625" s="45"/>
      <c r="AM625" s="45"/>
      <c r="AN625" s="45"/>
    </row>
    <row r="626" spans="1:40" hidden="1" outlineLevel="2" x14ac:dyDescent="0.25">
      <c r="A626" s="45"/>
      <c r="B626" s="54"/>
      <c r="C626" s="47">
        <f t="shared" si="102"/>
        <v>3</v>
      </c>
      <c r="D626" s="73"/>
      <c r="E626" s="70"/>
      <c r="F626" s="70" t="s">
        <v>2781</v>
      </c>
      <c r="G626" s="73"/>
      <c r="H626" s="76" t="s">
        <v>2693</v>
      </c>
      <c r="I626" s="96">
        <v>4</v>
      </c>
      <c r="J626" s="96"/>
      <c r="K626" s="76"/>
      <c r="L626" s="76"/>
      <c r="M626" s="76"/>
      <c r="N626" s="76"/>
      <c r="O626" s="76"/>
      <c r="P626" s="76"/>
      <c r="Q626" s="76"/>
      <c r="R626" s="76"/>
      <c r="S626" s="76"/>
      <c r="T626" s="76"/>
      <c r="U626" s="97">
        <f t="shared" si="103"/>
        <v>1.56372</v>
      </c>
      <c r="V626" s="255">
        <f t="shared" si="104"/>
        <v>1.56372</v>
      </c>
      <c r="W626" s="255">
        <f t="shared" si="105"/>
        <v>1.56372</v>
      </c>
      <c r="X626" s="255">
        <f t="shared" si="105"/>
        <v>1.56372</v>
      </c>
      <c r="Y626" s="255">
        <f t="shared" si="106"/>
        <v>1.56372</v>
      </c>
      <c r="Z626" s="255">
        <f t="shared" si="107"/>
        <v>0.22492000000000001</v>
      </c>
      <c r="AA626" s="97">
        <f t="shared" si="108"/>
        <v>0.22492000000000001</v>
      </c>
      <c r="AB626" s="255">
        <f t="shared" si="109"/>
        <v>0.22492000000000001</v>
      </c>
      <c r="AC626" s="255">
        <f t="shared" si="109"/>
        <v>0.22492000000000001</v>
      </c>
      <c r="AD626" s="255">
        <f t="shared" si="109"/>
        <v>0.22492000000000001</v>
      </c>
      <c r="AE626" s="76"/>
      <c r="AF626" s="76"/>
      <c r="AG626" s="76"/>
      <c r="AH626" s="97">
        <v>1</v>
      </c>
      <c r="AI626" s="97">
        <v>1</v>
      </c>
      <c r="AJ626" s="73"/>
      <c r="AK626" s="57"/>
      <c r="AL626" s="45"/>
      <c r="AM626" s="45"/>
      <c r="AN626" s="45"/>
    </row>
    <row r="627" spans="1:40" hidden="1" outlineLevel="2" x14ac:dyDescent="0.25">
      <c r="A627" s="45"/>
      <c r="B627" s="54"/>
      <c r="C627" s="47">
        <f t="shared" si="102"/>
        <v>3</v>
      </c>
      <c r="D627" s="73"/>
      <c r="E627" s="70"/>
      <c r="F627" s="70" t="s">
        <v>2782</v>
      </c>
      <c r="G627" s="73"/>
      <c r="H627" s="76" t="s">
        <v>2694</v>
      </c>
      <c r="I627" s="96">
        <v>5</v>
      </c>
      <c r="J627" s="96"/>
      <c r="K627" s="76"/>
      <c r="L627" s="76"/>
      <c r="M627" s="76"/>
      <c r="N627" s="76"/>
      <c r="O627" s="76"/>
      <c r="P627" s="76"/>
      <c r="Q627" s="76"/>
      <c r="R627" s="76"/>
      <c r="S627" s="76"/>
      <c r="T627" s="76"/>
      <c r="U627" s="97">
        <f t="shared" si="103"/>
        <v>1.95465</v>
      </c>
      <c r="V627" s="255">
        <f t="shared" si="104"/>
        <v>1.95465</v>
      </c>
      <c r="W627" s="255">
        <f t="shared" si="105"/>
        <v>1.95465</v>
      </c>
      <c r="X627" s="255">
        <f t="shared" si="105"/>
        <v>1.95465</v>
      </c>
      <c r="Y627" s="255">
        <f t="shared" si="106"/>
        <v>1.95465</v>
      </c>
      <c r="Z627" s="255">
        <f t="shared" si="107"/>
        <v>0.28115000000000001</v>
      </c>
      <c r="AA627" s="97">
        <f t="shared" si="108"/>
        <v>0.28115000000000001</v>
      </c>
      <c r="AB627" s="255">
        <f t="shared" si="109"/>
        <v>0.28115000000000001</v>
      </c>
      <c r="AC627" s="255">
        <f t="shared" si="109"/>
        <v>0.28115000000000001</v>
      </c>
      <c r="AD627" s="255">
        <f t="shared" si="109"/>
        <v>0.28115000000000001</v>
      </c>
      <c r="AE627" s="76"/>
      <c r="AF627" s="76"/>
      <c r="AG627" s="76"/>
      <c r="AH627" s="97">
        <v>1</v>
      </c>
      <c r="AI627" s="97">
        <v>1</v>
      </c>
      <c r="AJ627" s="73"/>
      <c r="AK627" s="57"/>
      <c r="AL627" s="45"/>
      <c r="AM627" s="45"/>
      <c r="AN627" s="45"/>
    </row>
    <row r="628" spans="1:40" hidden="1" outlineLevel="2" x14ac:dyDescent="0.25">
      <c r="A628" s="45"/>
      <c r="B628" s="54"/>
      <c r="C628" s="47">
        <f t="shared" si="102"/>
        <v>3</v>
      </c>
      <c r="D628" s="73"/>
      <c r="E628" s="70"/>
      <c r="F628" s="70" t="s">
        <v>2783</v>
      </c>
      <c r="G628" s="73"/>
      <c r="H628" s="76" t="s">
        <v>2695</v>
      </c>
      <c r="I628" s="96">
        <v>6</v>
      </c>
      <c r="J628" s="96"/>
      <c r="K628" s="76"/>
      <c r="L628" s="76"/>
      <c r="M628" s="76"/>
      <c r="N628" s="76"/>
      <c r="O628" s="76"/>
      <c r="P628" s="76"/>
      <c r="Q628" s="76"/>
      <c r="R628" s="76"/>
      <c r="S628" s="76"/>
      <c r="T628" s="76"/>
      <c r="U628" s="97">
        <f t="shared" si="103"/>
        <v>2.34558</v>
      </c>
      <c r="V628" s="255">
        <f t="shared" si="104"/>
        <v>2.34558</v>
      </c>
      <c r="W628" s="255">
        <f t="shared" si="105"/>
        <v>2.34558</v>
      </c>
      <c r="X628" s="255">
        <f t="shared" si="105"/>
        <v>2.34558</v>
      </c>
      <c r="Y628" s="255">
        <f t="shared" si="106"/>
        <v>2.34558</v>
      </c>
      <c r="Z628" s="255">
        <f t="shared" si="107"/>
        <v>0.33738000000000001</v>
      </c>
      <c r="AA628" s="97">
        <f t="shared" si="108"/>
        <v>0.33738000000000001</v>
      </c>
      <c r="AB628" s="255">
        <f t="shared" si="109"/>
        <v>0.33738000000000001</v>
      </c>
      <c r="AC628" s="255">
        <f t="shared" si="109"/>
        <v>0.33738000000000001</v>
      </c>
      <c r="AD628" s="255">
        <f t="shared" si="109"/>
        <v>0.33738000000000001</v>
      </c>
      <c r="AE628" s="76"/>
      <c r="AF628" s="76"/>
      <c r="AG628" s="76"/>
      <c r="AH628" s="97">
        <v>1</v>
      </c>
      <c r="AI628" s="97">
        <v>1</v>
      </c>
      <c r="AJ628" s="73"/>
      <c r="AK628" s="57"/>
      <c r="AL628" s="45"/>
      <c r="AM628" s="45"/>
      <c r="AN628" s="45"/>
    </row>
    <row r="629" spans="1:40" hidden="1" outlineLevel="2" x14ac:dyDescent="0.25">
      <c r="A629" s="45"/>
      <c r="B629" s="54"/>
      <c r="C629" s="47">
        <f t="shared" si="102"/>
        <v>3</v>
      </c>
      <c r="D629" s="73"/>
      <c r="E629" s="70"/>
      <c r="F629" s="70" t="s">
        <v>2784</v>
      </c>
      <c r="G629" s="73"/>
      <c r="H629" s="76" t="s">
        <v>2696</v>
      </c>
      <c r="I629" s="96">
        <v>7</v>
      </c>
      <c r="J629" s="96"/>
      <c r="K629" s="76"/>
      <c r="L629" s="76"/>
      <c r="M629" s="76"/>
      <c r="N629" s="76"/>
      <c r="O629" s="76"/>
      <c r="P629" s="76"/>
      <c r="Q629" s="76"/>
      <c r="R629" s="76"/>
      <c r="S629" s="76"/>
      <c r="T629" s="76"/>
      <c r="U629" s="97">
        <f t="shared" si="103"/>
        <v>2.73651</v>
      </c>
      <c r="V629" s="255">
        <f t="shared" si="104"/>
        <v>2.73651</v>
      </c>
      <c r="W629" s="255">
        <f t="shared" si="105"/>
        <v>2.73651</v>
      </c>
      <c r="X629" s="255">
        <f t="shared" si="105"/>
        <v>2.73651</v>
      </c>
      <c r="Y629" s="255">
        <f t="shared" si="106"/>
        <v>2.73651</v>
      </c>
      <c r="Z629" s="255">
        <f t="shared" si="107"/>
        <v>0.39361000000000002</v>
      </c>
      <c r="AA629" s="97">
        <f t="shared" si="108"/>
        <v>0.39361000000000002</v>
      </c>
      <c r="AB629" s="255">
        <f t="shared" si="109"/>
        <v>0.39361000000000002</v>
      </c>
      <c r="AC629" s="255">
        <f t="shared" si="109"/>
        <v>0.39361000000000002</v>
      </c>
      <c r="AD629" s="255">
        <f t="shared" si="109"/>
        <v>0.39361000000000002</v>
      </c>
      <c r="AE629" s="76"/>
      <c r="AF629" s="76"/>
      <c r="AG629" s="76"/>
      <c r="AH629" s="97">
        <v>1</v>
      </c>
      <c r="AI629" s="97">
        <v>1</v>
      </c>
      <c r="AJ629" s="73"/>
      <c r="AK629" s="57"/>
      <c r="AL629" s="45"/>
      <c r="AM629" s="45"/>
      <c r="AN629" s="45"/>
    </row>
    <row r="630" spans="1:40" hidden="1" outlineLevel="2" x14ac:dyDescent="0.25">
      <c r="A630" s="45"/>
      <c r="B630" s="54"/>
      <c r="C630" s="47">
        <f t="shared" si="102"/>
        <v>3</v>
      </c>
      <c r="D630" s="73"/>
      <c r="E630" s="70"/>
      <c r="F630" s="70" t="s">
        <v>2785</v>
      </c>
      <c r="G630" s="73"/>
      <c r="H630" s="76" t="s">
        <v>2697</v>
      </c>
      <c r="I630" s="96">
        <v>8</v>
      </c>
      <c r="J630" s="96"/>
      <c r="K630" s="76"/>
      <c r="L630" s="76"/>
      <c r="M630" s="76"/>
      <c r="N630" s="76"/>
      <c r="O630" s="76"/>
      <c r="P630" s="76"/>
      <c r="Q630" s="76"/>
      <c r="R630" s="76"/>
      <c r="S630" s="76"/>
      <c r="T630" s="76"/>
      <c r="U630" s="97">
        <f t="shared" si="103"/>
        <v>3.12744</v>
      </c>
      <c r="V630" s="255">
        <f t="shared" si="104"/>
        <v>3.12744</v>
      </c>
      <c r="W630" s="255">
        <f t="shared" si="105"/>
        <v>3.12744</v>
      </c>
      <c r="X630" s="255">
        <f t="shared" si="105"/>
        <v>3.12744</v>
      </c>
      <c r="Y630" s="255">
        <f t="shared" si="106"/>
        <v>3.12744</v>
      </c>
      <c r="Z630" s="255">
        <f t="shared" si="107"/>
        <v>0.44984000000000002</v>
      </c>
      <c r="AA630" s="97">
        <f t="shared" si="108"/>
        <v>0.44984000000000002</v>
      </c>
      <c r="AB630" s="255">
        <f t="shared" si="109"/>
        <v>0.44984000000000002</v>
      </c>
      <c r="AC630" s="255">
        <f t="shared" si="109"/>
        <v>0.44984000000000002</v>
      </c>
      <c r="AD630" s="255">
        <f t="shared" si="109"/>
        <v>0.44984000000000002</v>
      </c>
      <c r="AE630" s="76"/>
      <c r="AF630" s="76"/>
      <c r="AG630" s="76"/>
      <c r="AH630" s="97">
        <v>1</v>
      </c>
      <c r="AI630" s="97">
        <v>1</v>
      </c>
      <c r="AJ630" s="73"/>
      <c r="AK630" s="57"/>
      <c r="AL630" s="45"/>
      <c r="AM630" s="45"/>
      <c r="AN630" s="45"/>
    </row>
    <row r="631" spans="1:40" outlineLevel="1" collapsed="1" x14ac:dyDescent="0.2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3" x14ac:dyDescent="0.25">
      <c r="A632" s="45"/>
      <c r="B632" s="54"/>
      <c r="C632" s="47">
        <f t="shared" ref="C632:C649" si="110">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25">
      <c r="A633" s="45"/>
      <c r="B633" s="54"/>
      <c r="C633" s="47">
        <f t="shared" si="110"/>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0"/>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25">
      <c r="A635" s="45"/>
      <c r="B635" s="54"/>
      <c r="C635" s="47">
        <f t="shared" si="110"/>
        <v>3</v>
      </c>
      <c r="D635" s="73"/>
      <c r="E635" s="70"/>
      <c r="F635" s="70" t="s">
        <v>1213</v>
      </c>
      <c r="G635" s="73"/>
      <c r="H635" s="76" t="s">
        <v>1314</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25">
      <c r="A636" s="45"/>
      <c r="B636" s="54"/>
      <c r="C636" s="47">
        <f t="shared" si="110"/>
        <v>3</v>
      </c>
      <c r="D636" s="73"/>
      <c r="E636" s="70"/>
      <c r="F636" s="70" t="s">
        <v>1214</v>
      </c>
      <c r="G636" s="73"/>
      <c r="H636" s="76" t="s">
        <v>1316</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1317</v>
      </c>
      <c r="AG636" s="76"/>
      <c r="AH636" s="97">
        <v>1</v>
      </c>
      <c r="AI636" s="97">
        <v>1</v>
      </c>
      <c r="AJ636" s="73"/>
      <c r="AK636" s="57"/>
      <c r="AL636" s="45"/>
      <c r="AM636" s="45"/>
      <c r="AN636" s="45"/>
    </row>
    <row r="637" spans="1:40" hidden="1" outlineLevel="2" collapsed="1" x14ac:dyDescent="0.25">
      <c r="A637" s="45"/>
      <c r="B637" s="54"/>
      <c r="C637" s="47">
        <f t="shared" si="110"/>
        <v>3</v>
      </c>
      <c r="D637" s="73"/>
      <c r="E637" s="70"/>
      <c r="F637" s="70" t="s">
        <v>1215</v>
      </c>
      <c r="G637" s="73"/>
      <c r="H637" s="76" t="s">
        <v>1319</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25">
      <c r="A638" s="45"/>
      <c r="B638" s="54"/>
      <c r="C638" s="47">
        <f t="shared" si="110"/>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25">
      <c r="A639" s="45"/>
      <c r="B639" s="54"/>
      <c r="C639" s="47">
        <f t="shared" si="110"/>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0"/>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0"/>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0"/>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0"/>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0"/>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0"/>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0"/>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0"/>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0"/>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0"/>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ref="C650:C655" si="111">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11"/>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11"/>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1"/>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1"/>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1"/>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25">
      <c r="A656" s="45"/>
      <c r="B656" s="54"/>
      <c r="C656" s="47">
        <f t="shared" ref="C656:C703" si="112">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3">AA656</f>
        <v>-0.26729999999999998</v>
      </c>
      <c r="AC656" s="255">
        <f t="shared" si="113"/>
        <v>-0.26729999999999998</v>
      </c>
      <c r="AD656" s="255">
        <f t="shared" si="113"/>
        <v>-0.26729999999999998</v>
      </c>
      <c r="AE656" s="76"/>
      <c r="AF656" s="76" t="s">
        <v>1236</v>
      </c>
      <c r="AG656" s="76"/>
      <c r="AH656" s="97">
        <v>1</v>
      </c>
      <c r="AI656" s="97">
        <v>1</v>
      </c>
      <c r="AJ656" s="73"/>
      <c r="AK656" s="57"/>
      <c r="AL656" s="45"/>
      <c r="AM656" s="45"/>
      <c r="AN656" s="45"/>
    </row>
    <row r="657" spans="1:40" hidden="1" outlineLevel="2" x14ac:dyDescent="0.25">
      <c r="A657" s="45"/>
      <c r="B657" s="54"/>
      <c r="C657" s="47">
        <f t="shared" si="112"/>
        <v>3</v>
      </c>
      <c r="D657" s="73"/>
      <c r="E657" s="70"/>
      <c r="F657" s="70" t="s">
        <v>1237</v>
      </c>
      <c r="G657" s="73"/>
      <c r="H657" s="76" t="s">
        <v>2649</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3"/>
        <v>0</v>
      </c>
      <c r="AC657" s="255">
        <f t="shared" si="113"/>
        <v>0</v>
      </c>
      <c r="AD657" s="255">
        <f t="shared" si="113"/>
        <v>0</v>
      </c>
      <c r="AE657" s="76"/>
      <c r="AF657" s="76" t="s">
        <v>2587</v>
      </c>
      <c r="AG657" s="76"/>
      <c r="AH657" s="97">
        <v>1</v>
      </c>
      <c r="AI657" s="97">
        <v>1</v>
      </c>
      <c r="AJ657" s="73"/>
      <c r="AK657" s="57"/>
      <c r="AL657" s="45"/>
      <c r="AM657" s="45"/>
      <c r="AN657" s="45"/>
    </row>
    <row r="658" spans="1:40" hidden="1" outlineLevel="2" x14ac:dyDescent="0.25">
      <c r="A658" s="45"/>
      <c r="B658" s="54"/>
      <c r="C658" s="47">
        <f t="shared" si="112"/>
        <v>3</v>
      </c>
      <c r="D658" s="73"/>
      <c r="E658" s="70"/>
      <c r="F658" s="70" t="s">
        <v>1238</v>
      </c>
      <c r="G658" s="73"/>
      <c r="H658" s="76" t="s">
        <v>2650</v>
      </c>
      <c r="I658" s="96" t="s">
        <v>502</v>
      </c>
      <c r="J658" s="96"/>
      <c r="K658" s="76"/>
      <c r="L658" s="76"/>
      <c r="M658" s="76"/>
      <c r="N658" s="76"/>
      <c r="O658" s="76"/>
      <c r="P658" s="76"/>
      <c r="Q658" s="76"/>
      <c r="R658" s="76"/>
      <c r="S658" s="76"/>
      <c r="T658" s="76"/>
      <c r="U658" s="253">
        <f t="shared" ref="U658:AD658" si="114">U656</f>
        <v>0</v>
      </c>
      <c r="V658" s="253">
        <f t="shared" si="114"/>
        <v>0</v>
      </c>
      <c r="W658" s="253">
        <f t="shared" si="114"/>
        <v>0</v>
      </c>
      <c r="X658" s="253">
        <f t="shared" si="114"/>
        <v>0</v>
      </c>
      <c r="Y658" s="253">
        <f t="shared" si="114"/>
        <v>0</v>
      </c>
      <c r="Z658" s="253">
        <f t="shared" si="114"/>
        <v>-0.26729999999999998</v>
      </c>
      <c r="AA658" s="253">
        <f t="shared" si="114"/>
        <v>-0.26729999999999998</v>
      </c>
      <c r="AB658" s="253">
        <f t="shared" si="114"/>
        <v>-0.26729999999999998</v>
      </c>
      <c r="AC658" s="253">
        <f t="shared" si="114"/>
        <v>-0.26729999999999998</v>
      </c>
      <c r="AD658" s="253">
        <f t="shared" si="114"/>
        <v>-0.26729999999999998</v>
      </c>
      <c r="AE658" s="76"/>
      <c r="AF658" s="76"/>
      <c r="AG658" s="76"/>
      <c r="AH658" s="97">
        <v>1</v>
      </c>
      <c r="AI658" s="97">
        <v>1</v>
      </c>
      <c r="AJ658" s="73"/>
      <c r="AK658" s="57"/>
      <c r="AL658" s="45"/>
      <c r="AM658" s="45"/>
      <c r="AN658" s="45"/>
    </row>
    <row r="659" spans="1:40" hidden="1" outlineLevel="2" x14ac:dyDescent="0.25">
      <c r="A659" s="45"/>
      <c r="B659" s="54"/>
      <c r="C659" s="47">
        <f t="shared" si="112"/>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15">AA659</f>
        <v>0</v>
      </c>
      <c r="AC659" s="255">
        <f t="shared" si="115"/>
        <v>0</v>
      </c>
      <c r="AD659" s="255">
        <f t="shared" si="115"/>
        <v>0</v>
      </c>
      <c r="AE659" s="76"/>
      <c r="AF659" s="76" t="s">
        <v>1236</v>
      </c>
      <c r="AG659" s="76"/>
      <c r="AH659" s="97">
        <v>1</v>
      </c>
      <c r="AI659" s="97">
        <v>1</v>
      </c>
      <c r="AJ659" s="73"/>
      <c r="AK659" s="57"/>
      <c r="AL659" s="45"/>
      <c r="AM659" s="45"/>
      <c r="AN659" s="45"/>
    </row>
    <row r="660" spans="1:40" hidden="1" outlineLevel="2" x14ac:dyDescent="0.25">
      <c r="A660" s="45"/>
      <c r="B660" s="54"/>
      <c r="C660" s="47">
        <f t="shared" si="112"/>
        <v>3</v>
      </c>
      <c r="D660" s="73"/>
      <c r="E660" s="70"/>
      <c r="F660" s="70" t="s">
        <v>1241</v>
      </c>
      <c r="G660" s="73"/>
      <c r="H660" s="76" t="s">
        <v>2651</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15"/>
        <v>0</v>
      </c>
      <c r="AC660" s="255">
        <f t="shared" si="115"/>
        <v>0</v>
      </c>
      <c r="AD660" s="255">
        <f t="shared" si="115"/>
        <v>0</v>
      </c>
      <c r="AE660" s="76"/>
      <c r="AF660" s="76"/>
      <c r="AG660" s="76"/>
      <c r="AH660" s="97">
        <v>1</v>
      </c>
      <c r="AI660" s="97">
        <v>1</v>
      </c>
      <c r="AJ660" s="73"/>
      <c r="AK660" s="57"/>
      <c r="AL660" s="45"/>
      <c r="AM660" s="45"/>
      <c r="AN660" s="45"/>
    </row>
    <row r="661" spans="1:40" hidden="1" outlineLevel="2" x14ac:dyDescent="0.25">
      <c r="A661" s="45"/>
      <c r="B661" s="54"/>
      <c r="C661" s="47">
        <f t="shared" si="112"/>
        <v>3</v>
      </c>
      <c r="D661" s="73"/>
      <c r="E661" s="70"/>
      <c r="F661" s="70" t="s">
        <v>1242</v>
      </c>
      <c r="G661" s="73"/>
      <c r="H661" s="76" t="s">
        <v>2652</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15"/>
        <v>0</v>
      </c>
      <c r="AC661" s="255">
        <f t="shared" si="115"/>
        <v>0</v>
      </c>
      <c r="AD661" s="255">
        <f t="shared" si="115"/>
        <v>0</v>
      </c>
      <c r="AE661" s="76"/>
      <c r="AF661" s="76"/>
      <c r="AG661" s="76"/>
      <c r="AH661" s="97">
        <v>1</v>
      </c>
      <c r="AI661" s="97">
        <v>1</v>
      </c>
      <c r="AJ661" s="73"/>
      <c r="AK661" s="57"/>
      <c r="AL661" s="45"/>
      <c r="AM661" s="45"/>
      <c r="AN661" s="45"/>
    </row>
    <row r="662" spans="1:40" hidden="1" outlineLevel="2" x14ac:dyDescent="0.25">
      <c r="A662" s="45"/>
      <c r="B662" s="54"/>
      <c r="C662" s="47">
        <f t="shared" si="112"/>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16">INDEX($K662:$Q662,1,U$43)</f>
        <v>1.1499999999999999</v>
      </c>
      <c r="V662" s="253">
        <f t="shared" si="116"/>
        <v>1.1499999999999999</v>
      </c>
      <c r="W662" s="253">
        <f t="shared" si="116"/>
        <v>1.1499999999999999</v>
      </c>
      <c r="X662" s="253">
        <f t="shared" si="116"/>
        <v>1.1499999999999999</v>
      </c>
      <c r="Y662" s="253">
        <f t="shared" si="116"/>
        <v>1.1499999999999999</v>
      </c>
      <c r="Z662" s="253">
        <f t="shared" si="116"/>
        <v>1.1499999999999999</v>
      </c>
      <c r="AA662" s="253">
        <f t="shared" si="116"/>
        <v>1.1499999999999999</v>
      </c>
      <c r="AB662" s="253">
        <f t="shared" si="116"/>
        <v>1.1499999999999999</v>
      </c>
      <c r="AC662" s="253">
        <f t="shared" si="116"/>
        <v>1.1499999999999999</v>
      </c>
      <c r="AD662" s="253">
        <f t="shared" si="116"/>
        <v>1.1499999999999999</v>
      </c>
      <c r="AE662" s="76"/>
      <c r="AF662" s="76"/>
      <c r="AG662" s="76"/>
      <c r="AH662" s="97">
        <v>1</v>
      </c>
      <c r="AI662" s="97">
        <v>1</v>
      </c>
      <c r="AJ662" s="73"/>
      <c r="AK662" s="57"/>
      <c r="AL662" s="45"/>
      <c r="AM662" s="45"/>
      <c r="AN662" s="45"/>
    </row>
    <row r="663" spans="1:40" hidden="1" outlineLevel="2" x14ac:dyDescent="0.25">
      <c r="A663" s="45"/>
      <c r="B663" s="54"/>
      <c r="C663" s="47">
        <f t="shared" si="112"/>
        <v>3</v>
      </c>
      <c r="D663" s="73"/>
      <c r="E663" s="70"/>
      <c r="F663" s="70" t="s">
        <v>1245</v>
      </c>
      <c r="G663" s="73"/>
      <c r="H663" s="76" t="s">
        <v>2653</v>
      </c>
      <c r="I663" s="96"/>
      <c r="J663" s="96" t="s">
        <v>1173</v>
      </c>
      <c r="K663" s="97">
        <v>1</v>
      </c>
      <c r="L663" s="97">
        <v>1</v>
      </c>
      <c r="M663" s="97">
        <v>1</v>
      </c>
      <c r="N663" s="97">
        <v>1</v>
      </c>
      <c r="O663" s="97">
        <v>1</v>
      </c>
      <c r="P663" s="97">
        <v>1</v>
      </c>
      <c r="Q663" s="76"/>
      <c r="R663" s="76" t="s">
        <v>512</v>
      </c>
      <c r="S663" s="76" t="s">
        <v>512</v>
      </c>
      <c r="T663" s="76"/>
      <c r="U663" s="253">
        <f t="shared" si="116"/>
        <v>1</v>
      </c>
      <c r="V663" s="253">
        <f t="shared" si="116"/>
        <v>1</v>
      </c>
      <c r="W663" s="253">
        <f t="shared" si="116"/>
        <v>1</v>
      </c>
      <c r="X663" s="253">
        <f t="shared" si="116"/>
        <v>1</v>
      </c>
      <c r="Y663" s="253">
        <f t="shared" si="116"/>
        <v>1</v>
      </c>
      <c r="Z663" s="253">
        <f t="shared" si="116"/>
        <v>1</v>
      </c>
      <c r="AA663" s="253">
        <f t="shared" si="116"/>
        <v>1</v>
      </c>
      <c r="AB663" s="253">
        <f t="shared" si="116"/>
        <v>1</v>
      </c>
      <c r="AC663" s="253">
        <f t="shared" si="116"/>
        <v>1</v>
      </c>
      <c r="AD663" s="253">
        <f t="shared" si="116"/>
        <v>1</v>
      </c>
      <c r="AE663" s="76"/>
      <c r="AF663" s="76"/>
      <c r="AG663" s="76"/>
      <c r="AH663" s="97">
        <v>1</v>
      </c>
      <c r="AI663" s="97">
        <v>1</v>
      </c>
      <c r="AJ663" s="73"/>
      <c r="AK663" s="57"/>
      <c r="AL663" s="45"/>
      <c r="AM663" s="45"/>
      <c r="AN663" s="45"/>
    </row>
    <row r="664" spans="1:40" hidden="1" outlineLevel="2" x14ac:dyDescent="0.25">
      <c r="A664" s="45"/>
      <c r="B664" s="54"/>
      <c r="C664" s="47">
        <f t="shared" si="112"/>
        <v>3</v>
      </c>
      <c r="D664" s="73"/>
      <c r="E664" s="70"/>
      <c r="F664" s="70" t="s">
        <v>1246</v>
      </c>
      <c r="G664" s="73"/>
      <c r="H664" s="76" t="s">
        <v>2654</v>
      </c>
      <c r="I664" s="96"/>
      <c r="J664" s="96" t="s">
        <v>1173</v>
      </c>
      <c r="K664" s="97">
        <v>1</v>
      </c>
      <c r="L664" s="97">
        <v>1</v>
      </c>
      <c r="M664" s="97">
        <v>1</v>
      </c>
      <c r="N664" s="97">
        <v>1</v>
      </c>
      <c r="O664" s="97">
        <v>1</v>
      </c>
      <c r="P664" s="97">
        <v>1</v>
      </c>
      <c r="Q664" s="76"/>
      <c r="R664" s="76" t="s">
        <v>512</v>
      </c>
      <c r="S664" s="76" t="s">
        <v>512</v>
      </c>
      <c r="T664" s="76"/>
      <c r="U664" s="253">
        <f t="shared" si="116"/>
        <v>1</v>
      </c>
      <c r="V664" s="253">
        <f t="shared" si="116"/>
        <v>1</v>
      </c>
      <c r="W664" s="253">
        <f t="shared" si="116"/>
        <v>1</v>
      </c>
      <c r="X664" s="253">
        <f t="shared" si="116"/>
        <v>1</v>
      </c>
      <c r="Y664" s="253">
        <f t="shared" si="116"/>
        <v>1</v>
      </c>
      <c r="Z664" s="253">
        <f t="shared" si="116"/>
        <v>1</v>
      </c>
      <c r="AA664" s="253">
        <f t="shared" si="116"/>
        <v>1</v>
      </c>
      <c r="AB664" s="253">
        <f t="shared" si="116"/>
        <v>1</v>
      </c>
      <c r="AC664" s="253">
        <f t="shared" si="116"/>
        <v>1</v>
      </c>
      <c r="AD664" s="253">
        <f t="shared" si="116"/>
        <v>1</v>
      </c>
      <c r="AE664" s="76"/>
      <c r="AF664" s="76"/>
      <c r="AG664" s="76"/>
      <c r="AH664" s="97">
        <v>1</v>
      </c>
      <c r="AI664" s="97">
        <v>1</v>
      </c>
      <c r="AJ664" s="73"/>
      <c r="AK664" s="57"/>
      <c r="AL664" s="45"/>
      <c r="AM664" s="45"/>
      <c r="AN664" s="45"/>
    </row>
    <row r="665" spans="1:40" hidden="1" outlineLevel="2" x14ac:dyDescent="0.25">
      <c r="A665" s="45"/>
      <c r="B665" s="54"/>
      <c r="C665" s="47">
        <f t="shared" si="112"/>
        <v>3</v>
      </c>
      <c r="D665" s="73"/>
      <c r="E665" s="70"/>
      <c r="F665" s="70" t="s">
        <v>1247</v>
      </c>
      <c r="G665" s="73"/>
      <c r="H665" s="76" t="s">
        <v>2981</v>
      </c>
      <c r="I665" s="96"/>
      <c r="J665" s="96" t="s">
        <v>1173</v>
      </c>
      <c r="K665" s="97">
        <v>1.4</v>
      </c>
      <c r="L665" s="97">
        <v>1.4</v>
      </c>
      <c r="M665" s="97">
        <v>1.4</v>
      </c>
      <c r="N665" s="97">
        <v>1.4</v>
      </c>
      <c r="O665" s="97">
        <v>1.4</v>
      </c>
      <c r="P665" s="97">
        <v>1.4</v>
      </c>
      <c r="Q665" s="76"/>
      <c r="R665" s="76" t="s">
        <v>512</v>
      </c>
      <c r="S665" s="76" t="s">
        <v>512</v>
      </c>
      <c r="T665" s="76"/>
      <c r="U665" s="253">
        <f t="shared" si="116"/>
        <v>1.4</v>
      </c>
      <c r="V665" s="253">
        <f t="shared" si="116"/>
        <v>1.4</v>
      </c>
      <c r="W665" s="253">
        <f t="shared" si="116"/>
        <v>1.4</v>
      </c>
      <c r="X665" s="253">
        <f t="shared" si="116"/>
        <v>1.4</v>
      </c>
      <c r="Y665" s="253">
        <f t="shared" si="116"/>
        <v>1.4</v>
      </c>
      <c r="Z665" s="253">
        <f t="shared" si="116"/>
        <v>1.4</v>
      </c>
      <c r="AA665" s="253">
        <f t="shared" si="116"/>
        <v>1.4</v>
      </c>
      <c r="AB665" s="253">
        <f t="shared" si="116"/>
        <v>1.4</v>
      </c>
      <c r="AC665" s="253">
        <f t="shared" si="116"/>
        <v>1.4</v>
      </c>
      <c r="AD665" s="253">
        <f t="shared" si="116"/>
        <v>1.4</v>
      </c>
      <c r="AE665" s="76"/>
      <c r="AF665" s="76"/>
      <c r="AG665" s="76"/>
      <c r="AH665" s="97">
        <v>1</v>
      </c>
      <c r="AI665" s="97">
        <v>1</v>
      </c>
      <c r="AJ665" s="73"/>
      <c r="AK665" s="57"/>
      <c r="AL665" s="45"/>
      <c r="AM665" s="45"/>
      <c r="AN665" s="45"/>
    </row>
    <row r="666" spans="1:40" hidden="1" outlineLevel="2" x14ac:dyDescent="0.25">
      <c r="A666" s="45"/>
      <c r="B666" s="54"/>
      <c r="C666" s="47">
        <f t="shared" si="112"/>
        <v>3</v>
      </c>
      <c r="D666" s="73"/>
      <c r="E666" s="70"/>
      <c r="F666" s="70" t="s">
        <v>1248</v>
      </c>
      <c r="G666" s="73"/>
      <c r="H666" s="76" t="s">
        <v>2982</v>
      </c>
      <c r="I666" s="96"/>
      <c r="J666" s="96" t="s">
        <v>1173</v>
      </c>
      <c r="K666" s="97">
        <v>1</v>
      </c>
      <c r="L666" s="97">
        <v>1</v>
      </c>
      <c r="M666" s="97">
        <v>1</v>
      </c>
      <c r="N666" s="97">
        <v>1</v>
      </c>
      <c r="O666" s="97">
        <v>1</v>
      </c>
      <c r="P666" s="97">
        <v>1</v>
      </c>
      <c r="Q666" s="76"/>
      <c r="R666" s="76" t="s">
        <v>512</v>
      </c>
      <c r="S666" s="76" t="s">
        <v>512</v>
      </c>
      <c r="T666" s="76"/>
      <c r="U666" s="253">
        <f t="shared" si="116"/>
        <v>1</v>
      </c>
      <c r="V666" s="253">
        <f t="shared" si="116"/>
        <v>1</v>
      </c>
      <c r="W666" s="253">
        <f t="shared" si="116"/>
        <v>1</v>
      </c>
      <c r="X666" s="253">
        <f t="shared" si="116"/>
        <v>1</v>
      </c>
      <c r="Y666" s="253">
        <f t="shared" si="116"/>
        <v>1</v>
      </c>
      <c r="Z666" s="253">
        <f t="shared" si="116"/>
        <v>1</v>
      </c>
      <c r="AA666" s="253">
        <f t="shared" si="116"/>
        <v>1</v>
      </c>
      <c r="AB666" s="253">
        <f t="shared" si="116"/>
        <v>1</v>
      </c>
      <c r="AC666" s="253">
        <f t="shared" si="116"/>
        <v>1</v>
      </c>
      <c r="AD666" s="253">
        <f t="shared" si="116"/>
        <v>1</v>
      </c>
      <c r="AE666" s="76"/>
      <c r="AF666" s="76"/>
      <c r="AG666" s="76"/>
      <c r="AH666" s="97">
        <v>1</v>
      </c>
      <c r="AI666" s="97">
        <v>1</v>
      </c>
      <c r="AJ666" s="73"/>
      <c r="AK666" s="57"/>
      <c r="AL666" s="45"/>
      <c r="AM666" s="45"/>
      <c r="AN666" s="45"/>
    </row>
    <row r="667" spans="1:40" hidden="1" outlineLevel="2" x14ac:dyDescent="0.25">
      <c r="A667" s="45"/>
      <c r="B667" s="54"/>
      <c r="C667" s="47">
        <f t="shared" si="112"/>
        <v>3</v>
      </c>
      <c r="D667" s="73"/>
      <c r="E667" s="70"/>
      <c r="F667" s="70" t="s">
        <v>1249</v>
      </c>
      <c r="G667" s="73"/>
      <c r="H667" s="76" t="s">
        <v>2983</v>
      </c>
      <c r="I667" s="96"/>
      <c r="J667" s="96" t="s">
        <v>1173</v>
      </c>
      <c r="K667" s="97">
        <v>1.2</v>
      </c>
      <c r="L667" s="97">
        <v>1.2</v>
      </c>
      <c r="M667" s="97">
        <v>1.2</v>
      </c>
      <c r="N667" s="97">
        <v>1.2</v>
      </c>
      <c r="O667" s="97">
        <v>1.2</v>
      </c>
      <c r="P667" s="97">
        <v>1.2</v>
      </c>
      <c r="Q667" s="76"/>
      <c r="R667" s="76" t="s">
        <v>512</v>
      </c>
      <c r="S667" s="76" t="s">
        <v>512</v>
      </c>
      <c r="T667" s="76"/>
      <c r="U667" s="253">
        <f t="shared" si="116"/>
        <v>1.2</v>
      </c>
      <c r="V667" s="253">
        <f t="shared" si="116"/>
        <v>1.2</v>
      </c>
      <c r="W667" s="253">
        <f t="shared" si="116"/>
        <v>1.2</v>
      </c>
      <c r="X667" s="253">
        <f t="shared" si="116"/>
        <v>1.2</v>
      </c>
      <c r="Y667" s="253">
        <f t="shared" si="116"/>
        <v>1.2</v>
      </c>
      <c r="Z667" s="253">
        <f t="shared" si="116"/>
        <v>1.2</v>
      </c>
      <c r="AA667" s="253">
        <f t="shared" si="116"/>
        <v>1.2</v>
      </c>
      <c r="AB667" s="253">
        <f t="shared" si="116"/>
        <v>1.2</v>
      </c>
      <c r="AC667" s="253">
        <f t="shared" si="116"/>
        <v>1.2</v>
      </c>
      <c r="AD667" s="253">
        <f t="shared" si="116"/>
        <v>1.2</v>
      </c>
      <c r="AE667" s="76"/>
      <c r="AF667" s="76"/>
      <c r="AG667" s="76"/>
      <c r="AH667" s="97">
        <v>1</v>
      </c>
      <c r="AI667" s="97">
        <v>1</v>
      </c>
      <c r="AJ667" s="73"/>
      <c r="AK667" s="57"/>
      <c r="AL667" s="45"/>
      <c r="AM667" s="45"/>
      <c r="AN667" s="45"/>
    </row>
    <row r="668" spans="1:40" hidden="1" outlineLevel="2" x14ac:dyDescent="0.25">
      <c r="A668" s="45"/>
      <c r="B668" s="54"/>
      <c r="C668" s="47">
        <f t="shared" si="112"/>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17">Y668</f>
        <v>0</v>
      </c>
      <c r="AA668" s="255">
        <f t="shared" si="117"/>
        <v>0</v>
      </c>
      <c r="AB668" s="255">
        <f t="shared" si="117"/>
        <v>0</v>
      </c>
      <c r="AC668" s="255">
        <f t="shared" si="117"/>
        <v>0</v>
      </c>
      <c r="AD668" s="255">
        <f t="shared" si="117"/>
        <v>0</v>
      </c>
      <c r="AE668" s="76"/>
      <c r="AF668" s="76"/>
      <c r="AG668" s="76"/>
      <c r="AH668" s="97">
        <v>1</v>
      </c>
      <c r="AI668" s="97">
        <v>1</v>
      </c>
      <c r="AJ668" s="73"/>
      <c r="AK668" s="57"/>
      <c r="AL668" s="45"/>
      <c r="AM668" s="45"/>
      <c r="AN668" s="45"/>
    </row>
    <row r="669" spans="1:40" hidden="1" outlineLevel="2" x14ac:dyDescent="0.25">
      <c r="A669" s="45"/>
      <c r="B669" s="54"/>
      <c r="C669" s="47">
        <f t="shared" si="112"/>
        <v>3</v>
      </c>
      <c r="D669" s="73"/>
      <c r="E669" s="70"/>
      <c r="F669" s="70" t="s">
        <v>1252</v>
      </c>
      <c r="G669" s="73"/>
      <c r="H669" s="76" t="s">
        <v>1253</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17"/>
        <v>0</v>
      </c>
      <c r="AA669" s="255">
        <f t="shared" si="117"/>
        <v>0</v>
      </c>
      <c r="AB669" s="255">
        <f t="shared" si="117"/>
        <v>0</v>
      </c>
      <c r="AC669" s="255">
        <f t="shared" si="117"/>
        <v>0</v>
      </c>
      <c r="AD669" s="255">
        <f t="shared" si="117"/>
        <v>0</v>
      </c>
      <c r="AE669" s="76"/>
      <c r="AF669" s="76"/>
      <c r="AG669" s="76"/>
      <c r="AH669" s="97">
        <v>1</v>
      </c>
      <c r="AI669" s="97">
        <v>1</v>
      </c>
      <c r="AJ669" s="73"/>
      <c r="AK669" s="57"/>
      <c r="AL669" s="45"/>
      <c r="AM669" s="45"/>
      <c r="AN669" s="45"/>
    </row>
    <row r="670" spans="1:40" hidden="1" outlineLevel="2" x14ac:dyDescent="0.25">
      <c r="A670" s="45"/>
      <c r="B670" s="54"/>
      <c r="C670" s="47">
        <f t="shared" si="112"/>
        <v>3</v>
      </c>
      <c r="D670" s="73"/>
      <c r="E670" s="70"/>
      <c r="F670" s="70" t="s">
        <v>1254</v>
      </c>
      <c r="G670" s="73"/>
      <c r="H670" s="76" t="s">
        <v>1255</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17"/>
        <v>0</v>
      </c>
      <c r="AA670" s="255">
        <f t="shared" si="117"/>
        <v>0</v>
      </c>
      <c r="AB670" s="255">
        <f t="shared" si="117"/>
        <v>0</v>
      </c>
      <c r="AC670" s="255">
        <f t="shared" si="117"/>
        <v>0</v>
      </c>
      <c r="AD670" s="255">
        <f t="shared" si="117"/>
        <v>0</v>
      </c>
      <c r="AE670" s="76"/>
      <c r="AF670" s="76"/>
      <c r="AG670" s="76"/>
      <c r="AH670" s="97">
        <v>1</v>
      </c>
      <c r="AI670" s="97">
        <v>1</v>
      </c>
      <c r="AJ670" s="73"/>
      <c r="AK670" s="57"/>
      <c r="AL670" s="45"/>
      <c r="AM670" s="45"/>
      <c r="AN670" s="45"/>
    </row>
    <row r="671" spans="1:40" hidden="1" outlineLevel="2" x14ac:dyDescent="0.25">
      <c r="A671" s="45"/>
      <c r="B671" s="54"/>
      <c r="C671" s="47">
        <f t="shared" si="112"/>
        <v>3</v>
      </c>
      <c r="D671" s="73"/>
      <c r="E671" s="70"/>
      <c r="F671" s="70" t="s">
        <v>1256</v>
      </c>
      <c r="G671" s="73"/>
      <c r="H671" s="76" t="s">
        <v>1257</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17"/>
        <v>0</v>
      </c>
      <c r="AA671" s="255">
        <f t="shared" si="117"/>
        <v>0</v>
      </c>
      <c r="AB671" s="255">
        <f t="shared" si="117"/>
        <v>0</v>
      </c>
      <c r="AC671" s="255">
        <f t="shared" si="117"/>
        <v>0</v>
      </c>
      <c r="AD671" s="255">
        <f t="shared" si="117"/>
        <v>0</v>
      </c>
      <c r="AE671" s="76"/>
      <c r="AF671" s="76"/>
      <c r="AG671" s="76"/>
      <c r="AH671" s="97">
        <v>1</v>
      </c>
      <c r="AI671" s="97">
        <v>1</v>
      </c>
      <c r="AJ671" s="73"/>
      <c r="AK671" s="57"/>
      <c r="AL671" s="45"/>
      <c r="AM671" s="45"/>
      <c r="AN671" s="45"/>
    </row>
    <row r="672" spans="1:40" hidden="1" outlineLevel="2" x14ac:dyDescent="0.25">
      <c r="A672" s="45"/>
      <c r="B672" s="54"/>
      <c r="C672" s="47">
        <f t="shared" si="112"/>
        <v>3</v>
      </c>
      <c r="D672" s="73"/>
      <c r="E672" s="70"/>
      <c r="F672" s="70" t="s">
        <v>1258</v>
      </c>
      <c r="G672" s="73"/>
      <c r="H672" s="76" t="s">
        <v>1259</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17"/>
        <v>0.26</v>
      </c>
      <c r="AA672" s="255">
        <f t="shared" si="117"/>
        <v>0.26</v>
      </c>
      <c r="AB672" s="255">
        <f t="shared" si="117"/>
        <v>0.26</v>
      </c>
      <c r="AC672" s="255">
        <f t="shared" si="117"/>
        <v>0.26</v>
      </c>
      <c r="AD672" s="255">
        <f t="shared" si="117"/>
        <v>0.26</v>
      </c>
      <c r="AE672" s="76"/>
      <c r="AF672" s="97" t="s">
        <v>1260</v>
      </c>
      <c r="AG672" s="76"/>
      <c r="AH672" s="97">
        <v>1</v>
      </c>
      <c r="AI672" s="97">
        <v>1</v>
      </c>
      <c r="AJ672" s="73"/>
      <c r="AK672" s="57"/>
      <c r="AL672" s="45"/>
      <c r="AM672" s="45"/>
      <c r="AN672" s="45"/>
    </row>
    <row r="673" spans="1:40" hidden="1" outlineLevel="2" collapsed="1" x14ac:dyDescent="0.25">
      <c r="A673" s="45"/>
      <c r="B673" s="54"/>
      <c r="C673" s="47">
        <f t="shared" si="112"/>
        <v>3</v>
      </c>
      <c r="D673" s="73"/>
      <c r="E673" s="70"/>
      <c r="F673" s="70" t="s">
        <v>1261</v>
      </c>
      <c r="G673" s="73"/>
      <c r="H673" s="76" t="s">
        <v>1262</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17"/>
        <v>0</v>
      </c>
      <c r="AA673" s="255">
        <f t="shared" si="117"/>
        <v>0</v>
      </c>
      <c r="AB673" s="255">
        <f t="shared" si="117"/>
        <v>0</v>
      </c>
      <c r="AC673" s="255">
        <f t="shared" si="117"/>
        <v>0</v>
      </c>
      <c r="AD673" s="255">
        <f t="shared" si="117"/>
        <v>0</v>
      </c>
      <c r="AE673" s="76"/>
      <c r="AF673" s="76"/>
      <c r="AG673" s="76"/>
      <c r="AH673" s="97">
        <v>1</v>
      </c>
      <c r="AI673" s="97">
        <v>1</v>
      </c>
      <c r="AJ673" s="73"/>
      <c r="AK673" s="57"/>
      <c r="AL673" s="45"/>
      <c r="AM673" s="45"/>
      <c r="AN673" s="45"/>
    </row>
    <row r="674" spans="1:40" hidden="1" outlineLevel="3" x14ac:dyDescent="0.25">
      <c r="A674" s="45"/>
      <c r="B674" s="54"/>
      <c r="C674" s="47">
        <f t="shared" si="112"/>
        <v>3</v>
      </c>
      <c r="D674" s="73"/>
      <c r="E674" s="70"/>
      <c r="F674" s="70" t="s">
        <v>1263</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25">
      <c r="A675" s="45"/>
      <c r="B675" s="54"/>
      <c r="C675" s="47">
        <f t="shared" si="112"/>
        <v>3</v>
      </c>
      <c r="D675" s="73"/>
      <c r="E675" s="70"/>
      <c r="F675" s="70" t="s">
        <v>1264</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12"/>
        <v>3</v>
      </c>
      <c r="D676" s="73"/>
      <c r="E676" s="70"/>
      <c r="F676" s="70" t="s">
        <v>1265</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25">
      <c r="A677" s="45"/>
      <c r="B677" s="54"/>
      <c r="C677" s="47">
        <f t="shared" si="112"/>
        <v>3</v>
      </c>
      <c r="D677" s="73"/>
      <c r="E677" s="70"/>
      <c r="F677" s="70" t="s">
        <v>1266</v>
      </c>
      <c r="G677" s="73"/>
      <c r="H677" s="76" t="s">
        <v>1267</v>
      </c>
      <c r="I677" s="96"/>
      <c r="J677" s="96" t="s">
        <v>1173</v>
      </c>
      <c r="K677" s="97">
        <f>5.1/5</f>
        <v>1.02</v>
      </c>
      <c r="L677" s="97">
        <f>5.1/5</f>
        <v>1.02</v>
      </c>
      <c r="M677" s="97">
        <v>1</v>
      </c>
      <c r="N677" s="97">
        <v>1</v>
      </c>
      <c r="O677" s="97">
        <v>1</v>
      </c>
      <c r="P677" s="97">
        <v>1</v>
      </c>
      <c r="Q677" s="76"/>
      <c r="R677" s="76" t="s">
        <v>1268</v>
      </c>
      <c r="S677" s="76"/>
      <c r="T677" s="76"/>
      <c r="U677" s="253">
        <f t="shared" ref="U677:AD679" si="118">INDEX($K677:$Q677,1,U$43)</f>
        <v>1.02</v>
      </c>
      <c r="V677" s="253">
        <f t="shared" si="118"/>
        <v>1.02</v>
      </c>
      <c r="W677" s="253">
        <f t="shared" si="118"/>
        <v>1.02</v>
      </c>
      <c r="X677" s="253">
        <f t="shared" si="118"/>
        <v>1.02</v>
      </c>
      <c r="Y677" s="253">
        <f t="shared" si="118"/>
        <v>1.02</v>
      </c>
      <c r="Z677" s="253">
        <f t="shared" si="118"/>
        <v>1.02</v>
      </c>
      <c r="AA677" s="253">
        <f t="shared" si="118"/>
        <v>1.02</v>
      </c>
      <c r="AB677" s="253">
        <f t="shared" si="118"/>
        <v>1.02</v>
      </c>
      <c r="AC677" s="253">
        <f t="shared" si="118"/>
        <v>1.02</v>
      </c>
      <c r="AD677" s="253">
        <f t="shared" si="118"/>
        <v>1.02</v>
      </c>
      <c r="AE677" s="76"/>
      <c r="AF677" s="76"/>
      <c r="AG677" s="76"/>
      <c r="AH677" s="97">
        <v>1</v>
      </c>
      <c r="AI677" s="97">
        <v>1</v>
      </c>
      <c r="AJ677" s="73"/>
      <c r="AK677" s="57"/>
      <c r="AL677" s="45"/>
      <c r="AM677" s="45"/>
      <c r="AN677" s="45"/>
    </row>
    <row r="678" spans="1:40" hidden="1" outlineLevel="2" x14ac:dyDescent="0.25">
      <c r="A678" s="45"/>
      <c r="B678" s="54"/>
      <c r="C678" s="47">
        <f t="shared" si="112"/>
        <v>3</v>
      </c>
      <c r="D678" s="73"/>
      <c r="E678" s="70"/>
      <c r="F678" s="70" t="s">
        <v>1269</v>
      </c>
      <c r="G678" s="73"/>
      <c r="H678" s="76" t="s">
        <v>1270</v>
      </c>
      <c r="I678" s="96"/>
      <c r="J678" s="96" t="s">
        <v>1173</v>
      </c>
      <c r="K678" s="97">
        <f>4.9/5</f>
        <v>0.98000000000000009</v>
      </c>
      <c r="L678" s="97">
        <f>4.9/5</f>
        <v>0.98000000000000009</v>
      </c>
      <c r="M678" s="97">
        <v>1</v>
      </c>
      <c r="N678" s="97">
        <v>1</v>
      </c>
      <c r="O678" s="97">
        <v>1</v>
      </c>
      <c r="P678" s="97">
        <v>1</v>
      </c>
      <c r="Q678" s="76"/>
      <c r="R678" s="76" t="s">
        <v>1271</v>
      </c>
      <c r="S678" s="76"/>
      <c r="T678" s="76"/>
      <c r="U678" s="253">
        <f t="shared" si="118"/>
        <v>0.98000000000000009</v>
      </c>
      <c r="V678" s="253">
        <f t="shared" si="118"/>
        <v>0.98000000000000009</v>
      </c>
      <c r="W678" s="253">
        <f t="shared" si="118"/>
        <v>0.98000000000000009</v>
      </c>
      <c r="X678" s="253">
        <f t="shared" si="118"/>
        <v>0.98000000000000009</v>
      </c>
      <c r="Y678" s="253">
        <f t="shared" si="118"/>
        <v>0.98000000000000009</v>
      </c>
      <c r="Z678" s="253">
        <f t="shared" si="118"/>
        <v>0.98000000000000009</v>
      </c>
      <c r="AA678" s="253">
        <f t="shared" si="118"/>
        <v>0.98000000000000009</v>
      </c>
      <c r="AB678" s="253">
        <f t="shared" si="118"/>
        <v>0.98000000000000009</v>
      </c>
      <c r="AC678" s="253">
        <f t="shared" si="118"/>
        <v>0.98000000000000009</v>
      </c>
      <c r="AD678" s="253">
        <f t="shared" si="118"/>
        <v>0.98000000000000009</v>
      </c>
      <c r="AE678" s="76"/>
      <c r="AF678" s="76"/>
      <c r="AG678" s="76"/>
      <c r="AH678" s="97">
        <v>1</v>
      </c>
      <c r="AI678" s="97">
        <v>1</v>
      </c>
      <c r="AJ678" s="73"/>
      <c r="AK678" s="57"/>
      <c r="AL678" s="45"/>
      <c r="AM678" s="45"/>
      <c r="AN678" s="45"/>
    </row>
    <row r="679" spans="1:40" hidden="1" outlineLevel="2" x14ac:dyDescent="0.25">
      <c r="A679" s="45"/>
      <c r="B679" s="54"/>
      <c r="C679" s="47">
        <f t="shared" si="112"/>
        <v>3</v>
      </c>
      <c r="D679" s="73"/>
      <c r="E679" s="70"/>
      <c r="F679" s="70" t="s">
        <v>1272</v>
      </c>
      <c r="G679" s="73"/>
      <c r="H679" s="76" t="s">
        <v>2351</v>
      </c>
      <c r="I679" s="96"/>
      <c r="J679" s="96" t="s">
        <v>1173</v>
      </c>
      <c r="K679" s="253">
        <f t="shared" ref="K679:P679" si="119">K677</f>
        <v>1.02</v>
      </c>
      <c r="L679" s="253">
        <f t="shared" si="119"/>
        <v>1.02</v>
      </c>
      <c r="M679" s="253">
        <f t="shared" si="119"/>
        <v>1</v>
      </c>
      <c r="N679" s="253">
        <f t="shared" si="119"/>
        <v>1</v>
      </c>
      <c r="O679" s="253">
        <f t="shared" si="119"/>
        <v>1</v>
      </c>
      <c r="P679" s="253">
        <f t="shared" si="119"/>
        <v>1</v>
      </c>
      <c r="Q679" s="76"/>
      <c r="R679" s="76"/>
      <c r="S679" s="76"/>
      <c r="T679" s="76"/>
      <c r="U679" s="253">
        <f t="shared" si="118"/>
        <v>1.02</v>
      </c>
      <c r="V679" s="253">
        <f t="shared" si="118"/>
        <v>1.02</v>
      </c>
      <c r="W679" s="253">
        <f t="shared" si="118"/>
        <v>1.02</v>
      </c>
      <c r="X679" s="253">
        <f t="shared" si="118"/>
        <v>1.02</v>
      </c>
      <c r="Y679" s="253">
        <f t="shared" si="118"/>
        <v>1.02</v>
      </c>
      <c r="Z679" s="253">
        <f t="shared" si="118"/>
        <v>1.02</v>
      </c>
      <c r="AA679" s="253">
        <f t="shared" si="118"/>
        <v>1.02</v>
      </c>
      <c r="AB679" s="253">
        <f t="shared" si="118"/>
        <v>1.02</v>
      </c>
      <c r="AC679" s="253">
        <f t="shared" si="118"/>
        <v>1.02</v>
      </c>
      <c r="AD679" s="253">
        <f t="shared" si="118"/>
        <v>1.02</v>
      </c>
      <c r="AE679" s="76"/>
      <c r="AF679" s="76"/>
      <c r="AG679" s="76"/>
      <c r="AH679" s="97">
        <v>1</v>
      </c>
      <c r="AI679" s="97">
        <v>1</v>
      </c>
      <c r="AJ679" s="73"/>
      <c r="AK679" s="57"/>
      <c r="AL679" s="45"/>
      <c r="AM679" s="45"/>
      <c r="AN679" s="45"/>
    </row>
    <row r="680" spans="1:40" hidden="1" outlineLevel="2" x14ac:dyDescent="0.25">
      <c r="A680" s="45"/>
      <c r="B680" s="54"/>
      <c r="C680" s="47">
        <f t="shared" si="112"/>
        <v>3</v>
      </c>
      <c r="D680" s="73"/>
      <c r="E680" s="70"/>
      <c r="F680" s="70" t="s">
        <v>1273</v>
      </c>
      <c r="G680" s="73"/>
      <c r="H680" s="76" t="s">
        <v>1274</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0">AA680</f>
        <v>0.35589999999999999</v>
      </c>
      <c r="AA680" s="255">
        <f t="shared" si="120"/>
        <v>0.35589999999999999</v>
      </c>
      <c r="AB680" s="97">
        <v>0.35589999999999999</v>
      </c>
      <c r="AC680" s="255">
        <f t="shared" ref="AC680:AD688" si="121">AB680</f>
        <v>0.35589999999999999</v>
      </c>
      <c r="AD680" s="255">
        <f t="shared" si="121"/>
        <v>0.35589999999999999</v>
      </c>
      <c r="AE680" s="76"/>
      <c r="AF680" s="97" t="s">
        <v>2182</v>
      </c>
      <c r="AG680" s="76"/>
      <c r="AH680" s="97">
        <v>1</v>
      </c>
      <c r="AI680" s="97">
        <v>1</v>
      </c>
      <c r="AJ680" s="73"/>
      <c r="AK680" s="57"/>
      <c r="AL680" s="45"/>
      <c r="AM680" s="45"/>
      <c r="AN680" s="45"/>
    </row>
    <row r="681" spans="1:40" hidden="1" outlineLevel="2" x14ac:dyDescent="0.25">
      <c r="A681" s="45"/>
      <c r="B681" s="54"/>
      <c r="C681" s="47">
        <f t="shared" si="112"/>
        <v>3</v>
      </c>
      <c r="D681" s="73"/>
      <c r="E681" s="70"/>
      <c r="F681" s="70" t="s">
        <v>1275</v>
      </c>
      <c r="G681" s="73"/>
      <c r="H681" s="76" t="s">
        <v>1276</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0"/>
        <v>0</v>
      </c>
      <c r="AA681" s="255">
        <f t="shared" si="120"/>
        <v>0</v>
      </c>
      <c r="AB681" s="97">
        <v>0</v>
      </c>
      <c r="AC681" s="255">
        <f t="shared" si="121"/>
        <v>0</v>
      </c>
      <c r="AD681" s="255">
        <f t="shared" si="121"/>
        <v>0</v>
      </c>
      <c r="AE681" s="76"/>
      <c r="AF681" s="76"/>
      <c r="AG681" s="76"/>
      <c r="AH681" s="97">
        <v>1</v>
      </c>
      <c r="AI681" s="97">
        <v>1</v>
      </c>
      <c r="AJ681" s="73"/>
      <c r="AK681" s="57"/>
      <c r="AL681" s="45"/>
      <c r="AM681" s="45"/>
      <c r="AN681" s="45"/>
    </row>
    <row r="682" spans="1:40" hidden="1" outlineLevel="2" x14ac:dyDescent="0.25">
      <c r="A682" s="45"/>
      <c r="B682" s="54"/>
      <c r="C682" s="47">
        <f t="shared" si="112"/>
        <v>3</v>
      </c>
      <c r="D682" s="73"/>
      <c r="E682" s="70"/>
      <c r="F682" s="70" t="s">
        <v>1277</v>
      </c>
      <c r="G682" s="73"/>
      <c r="H682" s="76" t="s">
        <v>1278</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0"/>
        <v>0.35589999999999999</v>
      </c>
      <c r="AA682" s="255">
        <f t="shared" si="120"/>
        <v>0.35589999999999999</v>
      </c>
      <c r="AB682" s="253">
        <f>AB680</f>
        <v>0.35589999999999999</v>
      </c>
      <c r="AC682" s="255">
        <f t="shared" si="121"/>
        <v>0.35589999999999999</v>
      </c>
      <c r="AD682" s="255">
        <f t="shared" si="121"/>
        <v>0.35589999999999999</v>
      </c>
      <c r="AE682" s="76"/>
      <c r="AF682" s="76"/>
      <c r="AG682" s="76"/>
      <c r="AH682" s="97">
        <v>1</v>
      </c>
      <c r="AI682" s="97">
        <v>1</v>
      </c>
      <c r="AJ682" s="73"/>
      <c r="AK682" s="57"/>
      <c r="AL682" s="45"/>
      <c r="AM682" s="45"/>
      <c r="AN682" s="45"/>
    </row>
    <row r="683" spans="1:40" hidden="1" outlineLevel="2" x14ac:dyDescent="0.25">
      <c r="A683" s="45"/>
      <c r="B683" s="54"/>
      <c r="C683" s="47">
        <f t="shared" si="112"/>
        <v>3</v>
      </c>
      <c r="D683" s="73"/>
      <c r="E683" s="70"/>
      <c r="F683" s="70" t="s">
        <v>1279</v>
      </c>
      <c r="G683" s="73"/>
      <c r="H683" s="76" t="s">
        <v>1280</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2">Y683</f>
        <v>0</v>
      </c>
      <c r="AA683" s="97">
        <v>1.42</v>
      </c>
      <c r="AB683" s="255">
        <f t="shared" ref="AB683:AB688" si="123">AA683</f>
        <v>1.42</v>
      </c>
      <c r="AC683" s="255">
        <f t="shared" si="121"/>
        <v>1.42</v>
      </c>
      <c r="AD683" s="255">
        <f t="shared" si="121"/>
        <v>1.42</v>
      </c>
      <c r="AE683" s="76"/>
      <c r="AF683" s="97" t="s">
        <v>2182</v>
      </c>
      <c r="AG683" s="76"/>
      <c r="AH683" s="97">
        <v>1</v>
      </c>
      <c r="AI683" s="97">
        <v>1</v>
      </c>
      <c r="AJ683" s="73"/>
      <c r="AK683" s="57"/>
      <c r="AL683" s="45"/>
      <c r="AM683" s="45"/>
      <c r="AN683" s="45"/>
    </row>
    <row r="684" spans="1:40" hidden="1" outlineLevel="2" x14ac:dyDescent="0.25">
      <c r="A684" s="45"/>
      <c r="B684" s="54"/>
      <c r="C684" s="47">
        <f t="shared" si="112"/>
        <v>3</v>
      </c>
      <c r="D684" s="73"/>
      <c r="E684" s="70"/>
      <c r="F684" s="70" t="s">
        <v>1281</v>
      </c>
      <c r="G684" s="73"/>
      <c r="H684" s="76" t="s">
        <v>1282</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2"/>
        <v>-0.72</v>
      </c>
      <c r="AA684" s="97">
        <v>0</v>
      </c>
      <c r="AB684" s="255">
        <f t="shared" si="123"/>
        <v>0</v>
      </c>
      <c r="AC684" s="255">
        <f t="shared" si="121"/>
        <v>0</v>
      </c>
      <c r="AD684" s="255">
        <f t="shared" si="121"/>
        <v>0</v>
      </c>
      <c r="AE684" s="76"/>
      <c r="AF684" s="97" t="s">
        <v>1283</v>
      </c>
      <c r="AG684" s="76"/>
      <c r="AH684" s="97">
        <v>1</v>
      </c>
      <c r="AI684" s="97">
        <v>1</v>
      </c>
      <c r="AJ684" s="73"/>
      <c r="AK684" s="57"/>
      <c r="AL684" s="45"/>
      <c r="AM684" s="45"/>
      <c r="AN684" s="45"/>
    </row>
    <row r="685" spans="1:40" hidden="1" outlineLevel="2" x14ac:dyDescent="0.25">
      <c r="A685" s="45"/>
      <c r="B685" s="54"/>
      <c r="C685" s="47">
        <f t="shared" si="112"/>
        <v>3</v>
      </c>
      <c r="D685" s="73"/>
      <c r="E685" s="70"/>
      <c r="F685" s="70" t="s">
        <v>1284</v>
      </c>
      <c r="G685" s="73"/>
      <c r="H685" s="76" t="s">
        <v>1285</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2"/>
        <v>0</v>
      </c>
      <c r="AA685" s="253">
        <f>AA683</f>
        <v>1.42</v>
      </c>
      <c r="AB685" s="255">
        <f t="shared" si="123"/>
        <v>1.42</v>
      </c>
      <c r="AC685" s="255">
        <f t="shared" si="121"/>
        <v>1.42</v>
      </c>
      <c r="AD685" s="255">
        <f t="shared" si="121"/>
        <v>1.42</v>
      </c>
      <c r="AE685" s="76"/>
      <c r="AF685" s="76"/>
      <c r="AG685" s="76"/>
      <c r="AH685" s="97">
        <v>1</v>
      </c>
      <c r="AI685" s="97">
        <v>1</v>
      </c>
      <c r="AJ685" s="73"/>
      <c r="AK685" s="57"/>
      <c r="AL685" s="45"/>
      <c r="AM685" s="45"/>
      <c r="AN685" s="45"/>
    </row>
    <row r="686" spans="1:40" hidden="1" outlineLevel="2" x14ac:dyDescent="0.25">
      <c r="A686" s="45"/>
      <c r="B686" s="54"/>
      <c r="C686" s="47">
        <f t="shared" si="112"/>
        <v>3</v>
      </c>
      <c r="D686" s="73"/>
      <c r="E686" s="70"/>
      <c r="F686" s="70" t="s">
        <v>1286</v>
      </c>
      <c r="G686" s="73"/>
      <c r="H686" s="76" t="s">
        <v>1287</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2"/>
        <v>0</v>
      </c>
      <c r="AA686" s="255">
        <f>Z686</f>
        <v>0</v>
      </c>
      <c r="AB686" s="255">
        <f t="shared" si="123"/>
        <v>0</v>
      </c>
      <c r="AC686" s="255">
        <f t="shared" si="121"/>
        <v>0</v>
      </c>
      <c r="AD686" s="255">
        <f t="shared" si="121"/>
        <v>0</v>
      </c>
      <c r="AE686" s="76"/>
      <c r="AF686" s="76"/>
      <c r="AG686" s="76"/>
      <c r="AH686" s="97">
        <v>1</v>
      </c>
      <c r="AI686" s="97">
        <v>1</v>
      </c>
      <c r="AJ686" s="73"/>
      <c r="AK686" s="57"/>
      <c r="AL686" s="45"/>
      <c r="AM686" s="45"/>
      <c r="AN686" s="45"/>
    </row>
    <row r="687" spans="1:40" hidden="1" outlineLevel="2" x14ac:dyDescent="0.25">
      <c r="A687" s="45"/>
      <c r="B687" s="54"/>
      <c r="C687" s="47">
        <f t="shared" si="112"/>
        <v>3</v>
      </c>
      <c r="D687" s="73"/>
      <c r="E687" s="70"/>
      <c r="F687" s="70" t="s">
        <v>1288</v>
      </c>
      <c r="G687" s="73"/>
      <c r="H687" s="76" t="s">
        <v>1289</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2"/>
        <v>-7.0000000000000001E-3</v>
      </c>
      <c r="AA687" s="255">
        <f>Z687</f>
        <v>-7.0000000000000001E-3</v>
      </c>
      <c r="AB687" s="255">
        <f t="shared" si="123"/>
        <v>-7.0000000000000001E-3</v>
      </c>
      <c r="AC687" s="255">
        <f t="shared" si="121"/>
        <v>-7.0000000000000001E-3</v>
      </c>
      <c r="AD687" s="255">
        <f t="shared" si="121"/>
        <v>-7.0000000000000001E-3</v>
      </c>
      <c r="AE687" s="76"/>
      <c r="AF687" s="97" t="s">
        <v>1290</v>
      </c>
      <c r="AG687" s="76"/>
      <c r="AH687" s="97">
        <v>1</v>
      </c>
      <c r="AI687" s="97">
        <v>1</v>
      </c>
      <c r="AJ687" s="73"/>
      <c r="AK687" s="57"/>
      <c r="AL687" s="45"/>
      <c r="AM687" s="45"/>
      <c r="AN687" s="45"/>
    </row>
    <row r="688" spans="1:40" hidden="1" outlineLevel="2" collapsed="1" x14ac:dyDescent="0.25">
      <c r="A688" s="45"/>
      <c r="B688" s="54"/>
      <c r="C688" s="47">
        <f t="shared" si="112"/>
        <v>3</v>
      </c>
      <c r="D688" s="73"/>
      <c r="E688" s="70"/>
      <c r="F688" s="70" t="s">
        <v>1291</v>
      </c>
      <c r="G688" s="73"/>
      <c r="H688" s="76" t="s">
        <v>1292</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2"/>
        <v>0</v>
      </c>
      <c r="AA688" s="255">
        <f>Z688</f>
        <v>0</v>
      </c>
      <c r="AB688" s="255">
        <f t="shared" si="123"/>
        <v>0</v>
      </c>
      <c r="AC688" s="255">
        <f t="shared" si="121"/>
        <v>0</v>
      </c>
      <c r="AD688" s="255">
        <f t="shared" si="121"/>
        <v>0</v>
      </c>
      <c r="AE688" s="76"/>
      <c r="AF688" s="76"/>
      <c r="AG688" s="76"/>
      <c r="AH688" s="97">
        <v>1</v>
      </c>
      <c r="AI688" s="97">
        <v>1</v>
      </c>
      <c r="AJ688" s="73"/>
      <c r="AK688" s="57"/>
      <c r="AL688" s="45"/>
      <c r="AM688" s="45"/>
      <c r="AN688" s="45"/>
    </row>
    <row r="689" spans="1:40" hidden="1" outlineLevel="3" x14ac:dyDescent="0.25">
      <c r="A689" s="45"/>
      <c r="B689" s="54"/>
      <c r="C689" s="47">
        <f t="shared" si="112"/>
        <v>3</v>
      </c>
      <c r="D689" s="73"/>
      <c r="E689" s="70"/>
      <c r="F689" s="70" t="s">
        <v>1293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25">
      <c r="A690" s="45"/>
      <c r="B690" s="54"/>
      <c r="C690" s="47">
        <f t="shared" si="112"/>
        <v>3</v>
      </c>
      <c r="D690" s="73"/>
      <c r="E690" s="70"/>
      <c r="F690" s="70" t="s">
        <v>1294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12"/>
        <v>3</v>
      </c>
      <c r="D691" s="73"/>
      <c r="E691" s="70"/>
      <c r="F691" s="70" t="s">
        <v>1295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25">
      <c r="A692" s="45"/>
      <c r="B692" s="54"/>
      <c r="C692" s="47">
        <f t="shared" si="112"/>
        <v>3</v>
      </c>
      <c r="D692" s="73"/>
      <c r="E692" s="70"/>
      <c r="F692" s="70" t="s">
        <v>1296</v>
      </c>
      <c r="G692" s="73"/>
      <c r="H692" s="76" t="s">
        <v>1297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1298</v>
      </c>
      <c r="AG692" s="76"/>
      <c r="AH692" s="97">
        <v>1</v>
      </c>
      <c r="AI692" s="97">
        <v>1</v>
      </c>
      <c r="AJ692" s="73"/>
      <c r="AK692" s="57"/>
      <c r="AL692" s="45"/>
      <c r="AM692" s="45"/>
      <c r="AN692" s="45"/>
    </row>
    <row r="693" spans="1:40" hidden="1" outlineLevel="2" x14ac:dyDescent="0.25">
      <c r="A693" s="45"/>
      <c r="B693" s="54"/>
      <c r="C693" s="47">
        <f t="shared" si="112"/>
        <v>3</v>
      </c>
      <c r="D693" s="73"/>
      <c r="E693" s="70"/>
      <c r="F693" s="70" t="s">
        <v>1299</v>
      </c>
      <c r="G693" s="73"/>
      <c r="H693" s="76" t="s">
        <v>1300</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1301</v>
      </c>
      <c r="AG693" s="76"/>
      <c r="AH693" s="97">
        <v>1</v>
      </c>
      <c r="AI693" s="97">
        <v>1</v>
      </c>
      <c r="AJ693" s="73"/>
      <c r="AK693" s="57"/>
      <c r="AL693" s="45"/>
      <c r="AM693" s="45"/>
      <c r="AN693" s="45"/>
    </row>
    <row r="694" spans="1:40" hidden="1" outlineLevel="2" x14ac:dyDescent="0.25">
      <c r="A694" s="45"/>
      <c r="B694" s="54"/>
      <c r="C694" s="47">
        <f t="shared" si="112"/>
        <v>3</v>
      </c>
      <c r="D694" s="73"/>
      <c r="E694" s="70"/>
      <c r="F694" s="70" t="s">
        <v>1302</v>
      </c>
      <c r="G694" s="73"/>
      <c r="H694" s="76" t="s">
        <v>1303</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25">
      <c r="A695" s="45"/>
      <c r="B695" s="54"/>
      <c r="C695" s="47">
        <f t="shared" si="112"/>
        <v>3</v>
      </c>
      <c r="D695" s="73"/>
      <c r="E695" s="70"/>
      <c r="F695" s="70" t="s">
        <v>1304</v>
      </c>
      <c r="G695" s="73"/>
      <c r="H695" s="76" t="s">
        <v>1305</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4">Y695</f>
        <v>0</v>
      </c>
      <c r="AA695" s="255">
        <f t="shared" si="124"/>
        <v>0</v>
      </c>
      <c r="AB695" s="255">
        <f t="shared" si="124"/>
        <v>0</v>
      </c>
      <c r="AC695" s="255">
        <f t="shared" si="124"/>
        <v>0</v>
      </c>
      <c r="AD695" s="255">
        <f t="shared" si="124"/>
        <v>0</v>
      </c>
      <c r="AE695" s="76"/>
      <c r="AF695" s="76"/>
      <c r="AG695" s="76"/>
      <c r="AH695" s="97">
        <v>1</v>
      </c>
      <c r="AI695" s="97">
        <v>1</v>
      </c>
      <c r="AJ695" s="73"/>
      <c r="AK695" s="57"/>
      <c r="AL695" s="45"/>
      <c r="AM695" s="45"/>
      <c r="AN695" s="45"/>
    </row>
    <row r="696" spans="1:40" hidden="1" outlineLevel="2" x14ac:dyDescent="0.25">
      <c r="A696" s="45"/>
      <c r="B696" s="54"/>
      <c r="C696" s="47">
        <f t="shared" si="112"/>
        <v>3</v>
      </c>
      <c r="D696" s="73"/>
      <c r="E696" s="70"/>
      <c r="F696" s="70" t="s">
        <v>1306</v>
      </c>
      <c r="G696" s="73"/>
      <c r="H696" s="76" t="s">
        <v>1307</v>
      </c>
      <c r="I696" s="96" t="s">
        <v>502</v>
      </c>
      <c r="J696" s="96"/>
      <c r="K696" s="76"/>
      <c r="L696" s="76"/>
      <c r="M696" s="76"/>
      <c r="N696" s="76"/>
      <c r="O696" s="76"/>
      <c r="P696" s="76"/>
      <c r="Q696" s="76"/>
      <c r="R696" s="76"/>
      <c r="S696" s="76"/>
      <c r="T696" s="76"/>
      <c r="U696" s="97">
        <v>0</v>
      </c>
      <c r="V696" s="97">
        <v>0</v>
      </c>
      <c r="W696" s="97">
        <v>0</v>
      </c>
      <c r="X696" s="97">
        <v>0</v>
      </c>
      <c r="Y696" s="97">
        <v>0</v>
      </c>
      <c r="Z696" s="255">
        <f t="shared" si="124"/>
        <v>0</v>
      </c>
      <c r="AA696" s="255">
        <f t="shared" si="124"/>
        <v>0</v>
      </c>
      <c r="AB696" s="255">
        <f t="shared" si="124"/>
        <v>0</v>
      </c>
      <c r="AC696" s="255">
        <f t="shared" si="124"/>
        <v>0</v>
      </c>
      <c r="AD696" s="255">
        <f t="shared" si="124"/>
        <v>0</v>
      </c>
      <c r="AE696" s="76"/>
      <c r="AF696" s="76"/>
      <c r="AG696" s="76"/>
      <c r="AH696" s="97">
        <v>1</v>
      </c>
      <c r="AI696" s="97">
        <v>1</v>
      </c>
      <c r="AJ696" s="73"/>
      <c r="AK696" s="57"/>
      <c r="AL696" s="45"/>
      <c r="AM696" s="45"/>
      <c r="AN696" s="45"/>
    </row>
    <row r="697" spans="1:40" hidden="1" outlineLevel="2" x14ac:dyDescent="0.25">
      <c r="A697" s="45"/>
      <c r="B697" s="54"/>
      <c r="C697" s="47">
        <f t="shared" si="112"/>
        <v>3</v>
      </c>
      <c r="D697" s="73"/>
      <c r="E697" s="70"/>
      <c r="F697" s="70" t="s">
        <v>1308</v>
      </c>
      <c r="G697" s="73"/>
      <c r="H697" s="76" t="s">
        <v>1309</v>
      </c>
      <c r="I697" s="96" t="s">
        <v>502</v>
      </c>
      <c r="J697" s="96"/>
      <c r="K697" s="76"/>
      <c r="L697" s="76"/>
      <c r="M697" s="76"/>
      <c r="N697" s="76"/>
      <c r="O697" s="76"/>
      <c r="P697" s="76"/>
      <c r="Q697" s="76"/>
      <c r="R697" s="76"/>
      <c r="S697" s="76"/>
      <c r="T697" s="76"/>
      <c r="U697" s="97">
        <v>0</v>
      </c>
      <c r="V697" s="97">
        <v>0</v>
      </c>
      <c r="W697" s="97">
        <v>0</v>
      </c>
      <c r="X697" s="97">
        <v>0</v>
      </c>
      <c r="Y697" s="97">
        <v>0</v>
      </c>
      <c r="Z697" s="255">
        <f t="shared" si="124"/>
        <v>0</v>
      </c>
      <c r="AA697" s="255">
        <f t="shared" si="124"/>
        <v>0</v>
      </c>
      <c r="AB697" s="255">
        <f t="shared" si="124"/>
        <v>0</v>
      </c>
      <c r="AC697" s="255">
        <f t="shared" si="124"/>
        <v>0</v>
      </c>
      <c r="AD697" s="255">
        <f t="shared" si="124"/>
        <v>0</v>
      </c>
      <c r="AE697" s="76"/>
      <c r="AF697" s="76"/>
      <c r="AG697" s="76"/>
      <c r="AH697" s="97">
        <v>1</v>
      </c>
      <c r="AI697" s="97">
        <v>1</v>
      </c>
      <c r="AJ697" s="73"/>
      <c r="AK697" s="57"/>
      <c r="AL697" s="45"/>
      <c r="AM697" s="45"/>
      <c r="AN697" s="45"/>
    </row>
    <row r="698" spans="1:40" hidden="1" outlineLevel="2" x14ac:dyDescent="0.25">
      <c r="A698" s="45"/>
      <c r="B698" s="54"/>
      <c r="C698" s="47">
        <f t="shared" si="112"/>
        <v>3</v>
      </c>
      <c r="D698" s="73"/>
      <c r="E698" s="70"/>
      <c r="F698" s="70" t="s">
        <v>1310</v>
      </c>
      <c r="G698" s="73"/>
      <c r="H698" s="76" t="s">
        <v>2970</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2971</v>
      </c>
      <c r="AG698" s="76"/>
      <c r="AH698" s="97">
        <v>1</v>
      </c>
      <c r="AI698" s="97">
        <v>1</v>
      </c>
      <c r="AJ698" s="73"/>
      <c r="AK698" s="57"/>
      <c r="AL698" s="45"/>
      <c r="AM698" s="45"/>
      <c r="AN698" s="45"/>
    </row>
    <row r="699" spans="1:40" hidden="1" outlineLevel="2" x14ac:dyDescent="0.25">
      <c r="A699" s="45"/>
      <c r="B699" s="54"/>
      <c r="C699" s="47">
        <f t="shared" si="112"/>
        <v>3</v>
      </c>
      <c r="D699" s="73"/>
      <c r="E699" s="70"/>
      <c r="F699" s="70" t="s">
        <v>1311</v>
      </c>
      <c r="G699" s="73"/>
      <c r="H699" s="76" t="s">
        <v>2972</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25">
      <c r="A700" s="45"/>
      <c r="B700" s="54"/>
      <c r="C700" s="47">
        <f t="shared" si="112"/>
        <v>3</v>
      </c>
      <c r="D700" s="73"/>
      <c r="E700" s="70"/>
      <c r="F700" s="70" t="s">
        <v>1312</v>
      </c>
      <c r="G700" s="73"/>
      <c r="H700" s="76" t="s">
        <v>2973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25">
      <c r="A701" s="45"/>
      <c r="B701" s="54"/>
      <c r="C701" s="47">
        <f t="shared" si="112"/>
        <v>3</v>
      </c>
      <c r="D701" s="73"/>
      <c r="E701" s="70"/>
      <c r="F701" s="70" t="s">
        <v>1313</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25">
      <c r="A702" s="45"/>
      <c r="B702" s="54"/>
      <c r="C702" s="47">
        <f t="shared" si="112"/>
        <v>3</v>
      </c>
      <c r="D702" s="73"/>
      <c r="E702" s="70"/>
      <c r="F702" s="70" t="s">
        <v>1315</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12"/>
        <v>3</v>
      </c>
      <c r="D703" s="73"/>
      <c r="E703" s="70"/>
      <c r="F703" s="70" t="s">
        <v>1318</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25">
      <c r="A704" s="45"/>
      <c r="B704" s="54"/>
      <c r="C704" s="47">
        <f>INT($C$29)+1</f>
        <v>2</v>
      </c>
      <c r="D704" s="73"/>
      <c r="E704" s="70"/>
      <c r="F704" s="256" t="s">
        <v>1320</v>
      </c>
      <c r="G704" s="73"/>
      <c r="H704" s="246" t="s">
        <v>1321</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3" x14ac:dyDescent="0.25">
      <c r="A705" s="45"/>
      <c r="B705" s="54"/>
      <c r="C705" s="47">
        <f t="shared" ref="C705:C752" si="125">INT($C$29)+3</f>
        <v>4</v>
      </c>
      <c r="D705" s="73"/>
      <c r="E705" s="70"/>
      <c r="F705" s="70" t="s">
        <v>1322</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25">
      <c r="A706" s="45"/>
      <c r="B706" s="54"/>
      <c r="C706" s="47">
        <f t="shared" si="125"/>
        <v>4</v>
      </c>
      <c r="D706" s="73"/>
      <c r="E706" s="70"/>
      <c r="F706" s="70" t="s">
        <v>1323</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25"/>
        <v>4</v>
      </c>
      <c r="D707" s="73"/>
      <c r="E707" s="70"/>
      <c r="F707" s="70" t="s">
        <v>1324</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25"/>
        <v>4</v>
      </c>
      <c r="D708" s="73"/>
      <c r="E708" s="70"/>
      <c r="F708" s="70" t="s">
        <v>1325</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25"/>
        <v>4</v>
      </c>
      <c r="D709" s="73"/>
      <c r="E709" s="70"/>
      <c r="F709" s="70" t="s">
        <v>1326</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25"/>
        <v>4</v>
      </c>
      <c r="D710" s="73"/>
      <c r="E710" s="70"/>
      <c r="F710" s="70" t="s">
        <v>1327</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25"/>
        <v>4</v>
      </c>
      <c r="D711" s="73"/>
      <c r="E711" s="70"/>
      <c r="F711" s="70" t="s">
        <v>1328</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25"/>
        <v>4</v>
      </c>
      <c r="D712" s="73"/>
      <c r="E712" s="70"/>
      <c r="F712" s="70" t="s">
        <v>1329</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25"/>
        <v>4</v>
      </c>
      <c r="D713" s="73"/>
      <c r="E713" s="70"/>
      <c r="F713" s="70" t="s">
        <v>1330</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25"/>
        <v>4</v>
      </c>
      <c r="D714" s="73"/>
      <c r="E714" s="70"/>
      <c r="F714" s="70" t="s">
        <v>1331</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25"/>
        <v>4</v>
      </c>
      <c r="D715" s="73"/>
      <c r="E715" s="70"/>
      <c r="F715" s="70" t="s">
        <v>1332</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25"/>
        <v>4</v>
      </c>
      <c r="D716" s="73"/>
      <c r="E716" s="70"/>
      <c r="F716" s="70" t="s">
        <v>1333</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25"/>
        <v>4</v>
      </c>
      <c r="D717" s="73"/>
      <c r="E717" s="70"/>
      <c r="F717" s="70" t="s">
        <v>1334</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25"/>
        <v>4</v>
      </c>
      <c r="D718" s="73"/>
      <c r="E718" s="70"/>
      <c r="F718" s="70" t="s">
        <v>1335</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25"/>
        <v>4</v>
      </c>
      <c r="D719" s="73"/>
      <c r="E719" s="70"/>
      <c r="F719" s="70" t="s">
        <v>1336</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25"/>
        <v>4</v>
      </c>
      <c r="D720" s="73"/>
      <c r="E720" s="70"/>
      <c r="F720" s="70" t="s">
        <v>1337</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v>4</v>
      </c>
      <c r="B721" s="54"/>
      <c r="C721" s="47">
        <f t="shared" si="125"/>
        <v>4</v>
      </c>
      <c r="D721" s="73"/>
      <c r="E721" s="70"/>
      <c r="F721" s="70" t="s">
        <v>1338</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f>A721</f>
        <v>4</v>
      </c>
      <c r="B722" s="54"/>
      <c r="C722" s="47">
        <f t="shared" si="125"/>
        <v>4</v>
      </c>
      <c r="D722" s="73"/>
      <c r="E722" s="70"/>
      <c r="F722" s="70" t="s">
        <v>1339</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c r="B723" s="54"/>
      <c r="C723" s="47">
        <f t="shared" si="125"/>
        <v>4</v>
      </c>
      <c r="D723" s="73"/>
      <c r="E723" s="70"/>
      <c r="F723" s="70" t="s">
        <v>1340</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25"/>
        <v>4</v>
      </c>
      <c r="D724" s="73"/>
      <c r="E724" s="70"/>
      <c r="F724" s="70" t="s">
        <v>1341</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25"/>
        <v>4</v>
      </c>
      <c r="D725" s="73"/>
      <c r="E725" s="70"/>
      <c r="F725" s="70" t="s">
        <v>1342</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25"/>
        <v>4</v>
      </c>
      <c r="D726" s="73"/>
      <c r="E726" s="70"/>
      <c r="F726" s="70" t="s">
        <v>1343</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v>4</v>
      </c>
      <c r="B727" s="54"/>
      <c r="C727" s="47">
        <f t="shared" si="125"/>
        <v>4</v>
      </c>
      <c r="D727" s="73"/>
      <c r="E727" s="70"/>
      <c r="F727" s="70" t="s">
        <v>1344</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f>A727</f>
        <v>4</v>
      </c>
      <c r="B728" s="54"/>
      <c r="C728" s="47">
        <f t="shared" si="125"/>
        <v>4</v>
      </c>
      <c r="D728" s="73"/>
      <c r="E728" s="70"/>
      <c r="F728" s="70" t="s">
        <v>1345</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c r="B729" s="54"/>
      <c r="C729" s="47">
        <f t="shared" si="125"/>
        <v>4</v>
      </c>
      <c r="D729" s="73"/>
      <c r="E729" s="70"/>
      <c r="F729" s="70" t="s">
        <v>1346</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25"/>
        <v>4</v>
      </c>
      <c r="D730" s="73"/>
      <c r="E730" s="70"/>
      <c r="F730" s="70" t="s">
        <v>1347</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25"/>
        <v>4</v>
      </c>
      <c r="D731" s="73"/>
      <c r="E731" s="70"/>
      <c r="F731" s="70" t="s">
        <v>1348</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25"/>
        <v>4</v>
      </c>
      <c r="D732" s="73"/>
      <c r="E732" s="70"/>
      <c r="F732" s="70" t="s">
        <v>1349</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v>4</v>
      </c>
      <c r="B733" s="54"/>
      <c r="C733" s="47">
        <f t="shared" si="125"/>
        <v>4</v>
      </c>
      <c r="D733" s="73"/>
      <c r="E733" s="70"/>
      <c r="F733" s="70" t="s">
        <v>1350</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f>A733</f>
        <v>4</v>
      </c>
      <c r="B734" s="54"/>
      <c r="C734" s="47">
        <f t="shared" si="125"/>
        <v>4</v>
      </c>
      <c r="D734" s="73"/>
      <c r="E734" s="70"/>
      <c r="F734" s="70" t="s">
        <v>1351</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c r="B735" s="54"/>
      <c r="C735" s="47">
        <f t="shared" si="125"/>
        <v>4</v>
      </c>
      <c r="D735" s="73"/>
      <c r="E735" s="70"/>
      <c r="F735" s="70" t="s">
        <v>1352</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25"/>
        <v>4</v>
      </c>
      <c r="D736" s="73"/>
      <c r="E736" s="70"/>
      <c r="F736" s="70" t="s">
        <v>1353</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25"/>
        <v>4</v>
      </c>
      <c r="D737" s="73"/>
      <c r="E737" s="70"/>
      <c r="F737" s="70" t="s">
        <v>1354</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25"/>
        <v>4</v>
      </c>
      <c r="D738" s="73"/>
      <c r="E738" s="70"/>
      <c r="F738" s="70" t="s">
        <v>1355</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v>4</v>
      </c>
      <c r="B739" s="54"/>
      <c r="C739" s="47">
        <f t="shared" si="125"/>
        <v>4</v>
      </c>
      <c r="D739" s="73"/>
      <c r="E739" s="70"/>
      <c r="F739" s="70" t="s">
        <v>1356</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f>A739</f>
        <v>4</v>
      </c>
      <c r="B740" s="54"/>
      <c r="C740" s="47">
        <f t="shared" si="125"/>
        <v>4</v>
      </c>
      <c r="D740" s="73"/>
      <c r="E740" s="70"/>
      <c r="F740" s="70" t="s">
        <v>1357</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c r="B741" s="54"/>
      <c r="C741" s="47">
        <f t="shared" si="125"/>
        <v>4</v>
      </c>
      <c r="D741" s="73"/>
      <c r="E741" s="70"/>
      <c r="F741" s="70" t="s">
        <v>1358</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25"/>
        <v>4</v>
      </c>
      <c r="D742" s="73"/>
      <c r="E742" s="70"/>
      <c r="F742" s="70" t="s">
        <v>1359</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25"/>
        <v>4</v>
      </c>
      <c r="D743" s="73"/>
      <c r="E743" s="70"/>
      <c r="F743" s="70" t="s">
        <v>1360</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25"/>
        <v>4</v>
      </c>
      <c r="D744" s="73"/>
      <c r="E744" s="70"/>
      <c r="F744" s="70" t="s">
        <v>1361</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v>4</v>
      </c>
      <c r="B745" s="54"/>
      <c r="C745" s="47">
        <f t="shared" si="125"/>
        <v>4</v>
      </c>
      <c r="D745" s="73"/>
      <c r="E745" s="70"/>
      <c r="F745" s="70" t="s">
        <v>1362</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f>A745</f>
        <v>4</v>
      </c>
      <c r="B746" s="54"/>
      <c r="C746" s="47">
        <f t="shared" si="125"/>
        <v>4</v>
      </c>
      <c r="D746" s="73"/>
      <c r="E746" s="70"/>
      <c r="F746" s="70" t="s">
        <v>1363</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c r="B747" s="54"/>
      <c r="C747" s="47">
        <f t="shared" si="125"/>
        <v>4</v>
      </c>
      <c r="D747" s="73"/>
      <c r="E747" s="70"/>
      <c r="F747" s="70" t="s">
        <v>1364</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25"/>
        <v>4</v>
      </c>
      <c r="D748" s="73"/>
      <c r="E748" s="70"/>
      <c r="F748" s="70" t="s">
        <v>1365</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25"/>
        <v>4</v>
      </c>
      <c r="D749" s="73"/>
      <c r="E749" s="70"/>
      <c r="F749" s="70" t="s">
        <v>1366</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25"/>
        <v>4</v>
      </c>
      <c r="D750" s="73"/>
      <c r="E750" s="70"/>
      <c r="F750" s="70" t="s">
        <v>1367</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v>4</v>
      </c>
      <c r="B751" s="54"/>
      <c r="C751" s="47">
        <f t="shared" si="125"/>
        <v>4</v>
      </c>
      <c r="D751" s="73"/>
      <c r="E751" s="70"/>
      <c r="F751" s="70" t="s">
        <v>1368</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f>A751</f>
        <v>4</v>
      </c>
      <c r="B752" s="54"/>
      <c r="C752" s="47">
        <f t="shared" si="125"/>
        <v>4</v>
      </c>
      <c r="D752" s="73"/>
      <c r="E752" s="70"/>
      <c r="F752" s="70" t="s">
        <v>1369</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25">
      <c r="A753" s="45"/>
      <c r="B753" s="54"/>
      <c r="C753" s="47">
        <f t="shared" ref="C753:C758" si="126">INT($C$29)+2</f>
        <v>3</v>
      </c>
      <c r="D753" s="73"/>
      <c r="E753" s="70"/>
      <c r="F753" s="70" t="s">
        <v>1370</v>
      </c>
      <c r="G753" s="73"/>
      <c r="H753" s="76" t="s">
        <v>1371</v>
      </c>
      <c r="I753" s="96"/>
      <c r="J753" s="96"/>
      <c r="K753" s="76"/>
      <c r="L753" s="76"/>
      <c r="M753" s="76"/>
      <c r="N753" s="76"/>
      <c r="O753" s="76"/>
      <c r="P753" s="76"/>
      <c r="Q753" s="76"/>
      <c r="R753" s="76"/>
      <c r="S753" s="76"/>
      <c r="T753" s="76"/>
      <c r="U753" s="261">
        <f t="shared" ref="U753:AD753" si="127">U$853</f>
        <v>0</v>
      </c>
      <c r="V753" s="261">
        <f t="shared" si="127"/>
        <v>0</v>
      </c>
      <c r="W753" s="261">
        <f t="shared" si="127"/>
        <v>0</v>
      </c>
      <c r="X753" s="261">
        <f t="shared" si="127"/>
        <v>0</v>
      </c>
      <c r="Y753" s="261">
        <f t="shared" si="127"/>
        <v>0</v>
      </c>
      <c r="Z753" s="261">
        <f t="shared" si="127"/>
        <v>0</v>
      </c>
      <c r="AA753" s="261">
        <f t="shared" si="127"/>
        <v>0</v>
      </c>
      <c r="AB753" s="261">
        <f t="shared" si="127"/>
        <v>0</v>
      </c>
      <c r="AC753" s="261">
        <f t="shared" si="127"/>
        <v>0</v>
      </c>
      <c r="AD753" s="261">
        <f t="shared" si="127"/>
        <v>0</v>
      </c>
      <c r="AE753" s="76"/>
      <c r="AF753" s="97" t="s">
        <v>1372</v>
      </c>
      <c r="AG753" s="76"/>
      <c r="AH753" s="261">
        <f>AH$853</f>
        <v>1</v>
      </c>
      <c r="AI753" s="261">
        <f>AI$853</f>
        <v>1</v>
      </c>
      <c r="AJ753" s="73"/>
      <c r="AK753" s="57"/>
      <c r="AL753" s="45"/>
      <c r="AM753" s="45"/>
      <c r="AN753" s="45"/>
    </row>
    <row r="754" spans="1:40" hidden="1" outlineLevel="2" x14ac:dyDescent="0.25">
      <c r="A754" s="45"/>
      <c r="B754" s="54"/>
      <c r="C754" s="47">
        <f t="shared" si="126"/>
        <v>3</v>
      </c>
      <c r="D754" s="73"/>
      <c r="E754" s="70"/>
      <c r="F754" s="70" t="s">
        <v>1373</v>
      </c>
      <c r="G754" s="73"/>
      <c r="H754" s="76" t="s">
        <v>1374</v>
      </c>
      <c r="I754" s="96"/>
      <c r="J754" s="96"/>
      <c r="K754" s="76"/>
      <c r="L754" s="76"/>
      <c r="M754" s="76"/>
      <c r="N754" s="76"/>
      <c r="O754" s="76"/>
      <c r="P754" s="76"/>
      <c r="Q754" s="76"/>
      <c r="R754" s="76"/>
      <c r="S754" s="76"/>
      <c r="T754" s="76"/>
      <c r="U754" s="261">
        <f t="shared" ref="U754:AD754" si="128">U$854</f>
        <v>-0.71226</v>
      </c>
      <c r="V754" s="261">
        <f t="shared" si="128"/>
        <v>-0.71226</v>
      </c>
      <c r="W754" s="261">
        <f t="shared" si="128"/>
        <v>-0.9</v>
      </c>
      <c r="X754" s="261">
        <f t="shared" si="128"/>
        <v>-0.9</v>
      </c>
      <c r="Y754" s="261">
        <f t="shared" si="128"/>
        <v>-0.71226</v>
      </c>
      <c r="Z754" s="261">
        <f t="shared" si="128"/>
        <v>-0.21895000000000001</v>
      </c>
      <c r="AA754" s="261">
        <f t="shared" si="128"/>
        <v>-0.21895000000000001</v>
      </c>
      <c r="AB754" s="261">
        <f t="shared" si="128"/>
        <v>-0.21895000000000001</v>
      </c>
      <c r="AC754" s="261">
        <f t="shared" si="128"/>
        <v>-0.21895000000000001</v>
      </c>
      <c r="AD754" s="261">
        <f t="shared" si="128"/>
        <v>-0.21895000000000001</v>
      </c>
      <c r="AE754" s="76"/>
      <c r="AF754" s="76"/>
      <c r="AG754" s="76"/>
      <c r="AH754" s="261">
        <f>AH$854</f>
        <v>1</v>
      </c>
      <c r="AI754" s="261">
        <f>AI$854</f>
        <v>1</v>
      </c>
      <c r="AJ754" s="73"/>
      <c r="AK754" s="57"/>
      <c r="AL754" s="45"/>
      <c r="AM754" s="45"/>
      <c r="AN754" s="45"/>
    </row>
    <row r="755" spans="1:40" hidden="1" outlineLevel="2" x14ac:dyDescent="0.25">
      <c r="A755" s="45"/>
      <c r="B755" s="54"/>
      <c r="C755" s="47">
        <f t="shared" si="126"/>
        <v>3</v>
      </c>
      <c r="D755" s="73"/>
      <c r="E755" s="70"/>
      <c r="F755" s="70" t="s">
        <v>1375</v>
      </c>
      <c r="G755" s="73"/>
      <c r="H755" s="76" t="s">
        <v>1376</v>
      </c>
      <c r="I755" s="96"/>
      <c r="J755" s="96"/>
      <c r="K755" s="76"/>
      <c r="L755" s="76"/>
      <c r="M755" s="76"/>
      <c r="N755" s="76"/>
      <c r="O755" s="76"/>
      <c r="P755" s="76"/>
      <c r="Q755" s="76"/>
      <c r="R755" s="76"/>
      <c r="S755" s="76"/>
      <c r="T755" s="76"/>
      <c r="U755" s="261">
        <f t="shared" ref="U755:AD755" si="129">U$855</f>
        <v>-0.90173999999999999</v>
      </c>
      <c r="V755" s="261">
        <f t="shared" si="129"/>
        <v>-0.90173999999999999</v>
      </c>
      <c r="W755" s="261">
        <f t="shared" si="129"/>
        <v>-0.90173999999999999</v>
      </c>
      <c r="X755" s="261">
        <f t="shared" si="129"/>
        <v>-0.90173999999999999</v>
      </c>
      <c r="Y755" s="261">
        <f t="shared" si="129"/>
        <v>-0.90173999999999999</v>
      </c>
      <c r="Z755" s="261">
        <f t="shared" si="129"/>
        <v>-0.37940000000000002</v>
      </c>
      <c r="AA755" s="261">
        <f t="shared" si="129"/>
        <v>-0.37940000000000002</v>
      </c>
      <c r="AB755" s="261">
        <f t="shared" si="129"/>
        <v>-0.37940000000000002</v>
      </c>
      <c r="AC755" s="261">
        <f t="shared" si="129"/>
        <v>-0.37940000000000002</v>
      </c>
      <c r="AD755" s="261">
        <f t="shared" si="129"/>
        <v>-0.37940000000000002</v>
      </c>
      <c r="AE755" s="76"/>
      <c r="AF755" s="76"/>
      <c r="AG755" s="76"/>
      <c r="AH755" s="261">
        <f>AH$855</f>
        <v>1</v>
      </c>
      <c r="AI755" s="261">
        <f>AI$855</f>
        <v>1</v>
      </c>
      <c r="AJ755" s="73"/>
      <c r="AK755" s="57"/>
      <c r="AL755" s="45"/>
      <c r="AM755" s="45"/>
      <c r="AN755" s="45"/>
    </row>
    <row r="756" spans="1:40" hidden="1" outlineLevel="2" x14ac:dyDescent="0.25">
      <c r="A756" s="45"/>
      <c r="B756" s="54"/>
      <c r="C756" s="47">
        <f t="shared" si="126"/>
        <v>3</v>
      </c>
      <c r="D756" s="73"/>
      <c r="E756" s="70"/>
      <c r="F756" s="70" t="s">
        <v>1377</v>
      </c>
      <c r="G756" s="73"/>
      <c r="H756" s="76" t="s">
        <v>1378</v>
      </c>
      <c r="I756" s="96"/>
      <c r="J756" s="96"/>
      <c r="K756" s="76"/>
      <c r="L756" s="76"/>
      <c r="M756" s="76"/>
      <c r="N756" s="76"/>
      <c r="O756" s="76"/>
      <c r="P756" s="76"/>
      <c r="Q756" s="76"/>
      <c r="R756" s="76"/>
      <c r="S756" s="76"/>
      <c r="T756" s="76"/>
      <c r="U756" s="261">
        <f t="shared" ref="U756:AD756" si="130">$854:$854</f>
        <v>-0.71226</v>
      </c>
      <c r="V756" s="261">
        <f t="shared" si="130"/>
        <v>-0.71226</v>
      </c>
      <c r="W756" s="261">
        <f t="shared" si="130"/>
        <v>-0.9</v>
      </c>
      <c r="X756" s="261">
        <f t="shared" si="130"/>
        <v>-0.9</v>
      </c>
      <c r="Y756" s="261">
        <f t="shared" si="130"/>
        <v>-0.71226</v>
      </c>
      <c r="Z756" s="261">
        <f t="shared" si="130"/>
        <v>-0.21895000000000001</v>
      </c>
      <c r="AA756" s="261">
        <f t="shared" si="130"/>
        <v>-0.21895000000000001</v>
      </c>
      <c r="AB756" s="261">
        <f t="shared" si="130"/>
        <v>-0.21895000000000001</v>
      </c>
      <c r="AC756" s="261">
        <f t="shared" si="130"/>
        <v>-0.21895000000000001</v>
      </c>
      <c r="AD756" s="261">
        <f t="shared" si="130"/>
        <v>-0.21895000000000001</v>
      </c>
      <c r="AE756" s="76"/>
      <c r="AF756" s="76"/>
      <c r="AG756" s="76"/>
      <c r="AH756" s="261">
        <f>$854:$854</f>
        <v>1</v>
      </c>
      <c r="AI756" s="261">
        <f>$854:$854</f>
        <v>1</v>
      </c>
      <c r="AJ756" s="73"/>
      <c r="AK756" s="57"/>
      <c r="AL756" s="45"/>
      <c r="AM756" s="45"/>
      <c r="AN756" s="45"/>
    </row>
    <row r="757" spans="1:40" hidden="1" outlineLevel="2" x14ac:dyDescent="0.25">
      <c r="A757" s="45">
        <v>4</v>
      </c>
      <c r="B757" s="54"/>
      <c r="C757" s="47">
        <f t="shared" si="126"/>
        <v>3</v>
      </c>
      <c r="D757" s="73"/>
      <c r="E757" s="70"/>
      <c r="F757" s="70" t="s">
        <v>1379</v>
      </c>
      <c r="G757" s="73"/>
      <c r="H757" s="76" t="s">
        <v>1380</v>
      </c>
      <c r="I757" s="96"/>
      <c r="J757" s="96"/>
      <c r="K757" s="76"/>
      <c r="L757" s="76"/>
      <c r="M757" s="76"/>
      <c r="N757" s="76"/>
      <c r="O757" s="76"/>
      <c r="P757" s="76"/>
      <c r="Q757" s="76"/>
      <c r="R757" s="76"/>
      <c r="S757" s="76"/>
      <c r="T757" s="76"/>
      <c r="U757" s="261">
        <f t="shared" ref="U757:AD758" si="131">$855:$855</f>
        <v>-0.90173999999999999</v>
      </c>
      <c r="V757" s="261">
        <f t="shared" si="131"/>
        <v>-0.90173999999999999</v>
      </c>
      <c r="W757" s="261">
        <f t="shared" si="131"/>
        <v>-0.90173999999999999</v>
      </c>
      <c r="X757" s="261">
        <f t="shared" si="131"/>
        <v>-0.90173999999999999</v>
      </c>
      <c r="Y757" s="261">
        <f t="shared" si="131"/>
        <v>-0.90173999999999999</v>
      </c>
      <c r="Z757" s="261">
        <f t="shared" si="131"/>
        <v>-0.37940000000000002</v>
      </c>
      <c r="AA757" s="261">
        <f t="shared" si="131"/>
        <v>-0.37940000000000002</v>
      </c>
      <c r="AB757" s="261">
        <f t="shared" si="131"/>
        <v>-0.37940000000000002</v>
      </c>
      <c r="AC757" s="261">
        <f t="shared" si="131"/>
        <v>-0.37940000000000002</v>
      </c>
      <c r="AD757" s="261">
        <f t="shared" si="131"/>
        <v>-0.37940000000000002</v>
      </c>
      <c r="AE757" s="76"/>
      <c r="AF757" s="76"/>
      <c r="AG757" s="76"/>
      <c r="AH757" s="261">
        <f>$855:$855</f>
        <v>1</v>
      </c>
      <c r="AI757" s="261">
        <f>$855:$855</f>
        <v>1</v>
      </c>
      <c r="AJ757" s="73"/>
      <c r="AK757" s="57"/>
      <c r="AL757" s="45"/>
      <c r="AM757" s="45"/>
      <c r="AN757" s="45"/>
    </row>
    <row r="758" spans="1:40" hidden="1" outlineLevel="2" collapsed="1" x14ac:dyDescent="0.25">
      <c r="A758" s="45">
        <f>A757</f>
        <v>4</v>
      </c>
      <c r="B758" s="54"/>
      <c r="C758" s="47">
        <f t="shared" si="126"/>
        <v>3</v>
      </c>
      <c r="D758" s="73"/>
      <c r="E758" s="70"/>
      <c r="F758" s="70" t="s">
        <v>1381</v>
      </c>
      <c r="G758" s="73"/>
      <c r="H758" s="76" t="s">
        <v>1382</v>
      </c>
      <c r="I758" s="96"/>
      <c r="J758" s="96"/>
      <c r="K758" s="76"/>
      <c r="L758" s="76"/>
      <c r="M758" s="76"/>
      <c r="N758" s="76"/>
      <c r="O758" s="76"/>
      <c r="P758" s="76"/>
      <c r="Q758" s="76"/>
      <c r="R758" s="76"/>
      <c r="S758" s="76"/>
      <c r="T758" s="76"/>
      <c r="U758" s="261">
        <f t="shared" si="131"/>
        <v>-0.90173999999999999</v>
      </c>
      <c r="V758" s="261">
        <f t="shared" si="131"/>
        <v>-0.90173999999999999</v>
      </c>
      <c r="W758" s="261">
        <f t="shared" si="131"/>
        <v>-0.90173999999999999</v>
      </c>
      <c r="X758" s="261">
        <f t="shared" si="131"/>
        <v>-0.90173999999999999</v>
      </c>
      <c r="Y758" s="261">
        <f t="shared" si="131"/>
        <v>-0.90173999999999999</v>
      </c>
      <c r="Z758" s="261">
        <f t="shared" si="131"/>
        <v>-0.37940000000000002</v>
      </c>
      <c r="AA758" s="261">
        <f t="shared" si="131"/>
        <v>-0.37940000000000002</v>
      </c>
      <c r="AB758" s="261">
        <f t="shared" si="131"/>
        <v>-0.37940000000000002</v>
      </c>
      <c r="AC758" s="261">
        <f t="shared" si="131"/>
        <v>-0.37940000000000002</v>
      </c>
      <c r="AD758" s="261">
        <f t="shared" si="131"/>
        <v>-0.37940000000000002</v>
      </c>
      <c r="AE758" s="76"/>
      <c r="AF758" s="76"/>
      <c r="AG758" s="76"/>
      <c r="AH758" s="261">
        <f>$855:$855</f>
        <v>1</v>
      </c>
      <c r="AI758" s="261">
        <f>$855:$855</f>
        <v>1</v>
      </c>
      <c r="AJ758" s="73"/>
      <c r="AK758" s="57"/>
      <c r="AL758" s="45"/>
      <c r="AM758" s="45"/>
      <c r="AN758" s="45"/>
    </row>
    <row r="759" spans="1:40" hidden="1" outlineLevel="3" x14ac:dyDescent="0.25">
      <c r="A759" s="45"/>
      <c r="B759" s="54"/>
      <c r="C759" s="47">
        <f t="shared" ref="C759:C776" si="132">INT($C$29)+3</f>
        <v>4</v>
      </c>
      <c r="D759" s="73"/>
      <c r="E759" s="70"/>
      <c r="F759" s="70" t="s">
        <v>1383</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25">
      <c r="A760" s="45"/>
      <c r="B760" s="54"/>
      <c r="C760" s="47">
        <f t="shared" si="132"/>
        <v>4</v>
      </c>
      <c r="D760" s="73"/>
      <c r="E760" s="70"/>
      <c r="F760" s="70" t="s">
        <v>1384</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32"/>
        <v>4</v>
      </c>
      <c r="D761" s="73"/>
      <c r="E761" s="70"/>
      <c r="F761" s="70" t="s">
        <v>1385</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2"/>
        <v>4</v>
      </c>
      <c r="D762" s="73"/>
      <c r="E762" s="70"/>
      <c r="F762" s="70" t="s">
        <v>1386</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v>4</v>
      </c>
      <c r="B763" s="54"/>
      <c r="C763" s="47">
        <f t="shared" si="132"/>
        <v>4</v>
      </c>
      <c r="D763" s="73"/>
      <c r="E763" s="70"/>
      <c r="F763" s="70" t="s">
        <v>1387</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f>A763</f>
        <v>4</v>
      </c>
      <c r="B764" s="54"/>
      <c r="C764" s="47">
        <f t="shared" si="132"/>
        <v>4</v>
      </c>
      <c r="D764" s="73"/>
      <c r="E764" s="70"/>
      <c r="F764" s="70" t="s">
        <v>1388</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c r="B765" s="54"/>
      <c r="C765" s="47">
        <f t="shared" si="132"/>
        <v>4</v>
      </c>
      <c r="D765" s="73"/>
      <c r="E765" s="70"/>
      <c r="F765" s="70" t="s">
        <v>1389</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32"/>
        <v>4</v>
      </c>
      <c r="D766" s="73"/>
      <c r="E766" s="70"/>
      <c r="F766" s="70" t="s">
        <v>1390</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2"/>
        <v>4</v>
      </c>
      <c r="D767" s="73"/>
      <c r="E767" s="70"/>
      <c r="F767" s="70" t="s">
        <v>1391</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2"/>
        <v>4</v>
      </c>
      <c r="D768" s="73"/>
      <c r="E768" s="70"/>
      <c r="F768" s="70" t="s">
        <v>1392</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v>4</v>
      </c>
      <c r="B769" s="54"/>
      <c r="C769" s="47">
        <f t="shared" si="132"/>
        <v>4</v>
      </c>
      <c r="D769" s="73"/>
      <c r="E769" s="70"/>
      <c r="F769" s="70" t="s">
        <v>1393</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f>A769</f>
        <v>4</v>
      </c>
      <c r="B770" s="54"/>
      <c r="C770" s="47">
        <f t="shared" si="132"/>
        <v>4</v>
      </c>
      <c r="D770" s="73"/>
      <c r="E770" s="70"/>
      <c r="F770" s="70" t="s">
        <v>1394</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25">
      <c r="A771" s="45"/>
      <c r="B771" s="54"/>
      <c r="C771" s="47">
        <f t="shared" si="132"/>
        <v>4</v>
      </c>
      <c r="D771" s="73"/>
      <c r="E771" s="70"/>
      <c r="F771" s="70" t="s">
        <v>1395</v>
      </c>
      <c r="G771" s="73"/>
      <c r="H771" s="76" t="s">
        <v>2733</v>
      </c>
      <c r="I771" s="96"/>
      <c r="J771" s="96"/>
      <c r="K771" s="76"/>
      <c r="L771" s="76"/>
      <c r="M771" s="76"/>
      <c r="N771" s="76"/>
      <c r="O771" s="76"/>
      <c r="P771" s="76"/>
      <c r="Q771" s="76"/>
      <c r="R771" s="76"/>
      <c r="S771" s="76"/>
      <c r="T771" s="76"/>
      <c r="U771" s="281">
        <v>1</v>
      </c>
      <c r="V771" s="336">
        <f t="shared" ref="V771:V776" si="133">U771</f>
        <v>1</v>
      </c>
      <c r="W771" s="336">
        <f t="shared" ref="W771:X776" si="134">U771</f>
        <v>1</v>
      </c>
      <c r="X771" s="336">
        <f t="shared" si="134"/>
        <v>1</v>
      </c>
      <c r="Y771" s="336">
        <f t="shared" ref="Y771:Y776" si="135">V771</f>
        <v>1</v>
      </c>
      <c r="Z771" s="336">
        <f t="shared" ref="Z771:AD780" si="136">Y771</f>
        <v>1</v>
      </c>
      <c r="AA771" s="336">
        <f t="shared" si="136"/>
        <v>1</v>
      </c>
      <c r="AB771" s="336">
        <f t="shared" si="136"/>
        <v>1</v>
      </c>
      <c r="AC771" s="336">
        <f t="shared" si="136"/>
        <v>1</v>
      </c>
      <c r="AD771" s="336">
        <f t="shared" si="136"/>
        <v>1</v>
      </c>
      <c r="AE771" s="76"/>
      <c r="AF771" s="97" t="s">
        <v>2739</v>
      </c>
      <c r="AG771" s="76"/>
      <c r="AH771" s="97">
        <v>1</v>
      </c>
      <c r="AI771" s="97">
        <v>1</v>
      </c>
      <c r="AJ771" s="73"/>
      <c r="AK771" s="57"/>
      <c r="AL771" s="45"/>
      <c r="AM771" s="45"/>
      <c r="AN771" s="45"/>
    </row>
    <row r="772" spans="1:40" hidden="1" outlineLevel="2" x14ac:dyDescent="0.25">
      <c r="A772" s="45"/>
      <c r="B772" s="54"/>
      <c r="C772" s="47">
        <f t="shared" si="132"/>
        <v>4</v>
      </c>
      <c r="D772" s="73"/>
      <c r="E772" s="70"/>
      <c r="F772" s="70" t="s">
        <v>1396</v>
      </c>
      <c r="G772" s="73"/>
      <c r="H772" s="76" t="s">
        <v>2734</v>
      </c>
      <c r="I772" s="96"/>
      <c r="J772" s="96"/>
      <c r="K772" s="76"/>
      <c r="L772" s="76"/>
      <c r="M772" s="76"/>
      <c r="N772" s="76"/>
      <c r="O772" s="76"/>
      <c r="P772" s="76"/>
      <c r="Q772" s="76"/>
      <c r="R772" s="76"/>
      <c r="S772" s="76"/>
      <c r="T772" s="76"/>
      <c r="U772" s="281">
        <v>0.95399999999999996</v>
      </c>
      <c r="V772" s="336">
        <f t="shared" si="133"/>
        <v>0.95399999999999996</v>
      </c>
      <c r="W772" s="336">
        <f t="shared" si="134"/>
        <v>0.95399999999999996</v>
      </c>
      <c r="X772" s="336">
        <f t="shared" si="134"/>
        <v>0.95399999999999996</v>
      </c>
      <c r="Y772" s="336">
        <f t="shared" si="135"/>
        <v>0.95399999999999996</v>
      </c>
      <c r="Z772" s="336">
        <f t="shared" si="136"/>
        <v>0.95399999999999996</v>
      </c>
      <c r="AA772" s="336">
        <f t="shared" si="136"/>
        <v>0.95399999999999996</v>
      </c>
      <c r="AB772" s="336">
        <f t="shared" si="136"/>
        <v>0.95399999999999996</v>
      </c>
      <c r="AC772" s="336">
        <f t="shared" si="136"/>
        <v>0.95399999999999996</v>
      </c>
      <c r="AD772" s="336">
        <f t="shared" si="136"/>
        <v>0.95399999999999996</v>
      </c>
      <c r="AE772" s="76"/>
      <c r="AF772" s="76"/>
      <c r="AG772" s="76"/>
      <c r="AH772" s="97">
        <v>1</v>
      </c>
      <c r="AI772" s="97">
        <v>1</v>
      </c>
      <c r="AJ772" s="73"/>
      <c r="AK772" s="57"/>
      <c r="AL772" s="45"/>
      <c r="AM772" s="45"/>
      <c r="AN772" s="45"/>
    </row>
    <row r="773" spans="1:40" hidden="1" outlineLevel="2" x14ac:dyDescent="0.25">
      <c r="A773" s="45"/>
      <c r="B773" s="54"/>
      <c r="C773" s="47">
        <f t="shared" si="132"/>
        <v>4</v>
      </c>
      <c r="D773" s="73"/>
      <c r="E773" s="70"/>
      <c r="F773" s="70" t="s">
        <v>1397</v>
      </c>
      <c r="G773" s="73"/>
      <c r="H773" s="76" t="s">
        <v>2735</v>
      </c>
      <c r="I773" s="96"/>
      <c r="J773" s="96"/>
      <c r="K773" s="76"/>
      <c r="L773" s="76"/>
      <c r="M773" s="76"/>
      <c r="N773" s="76"/>
      <c r="O773" s="76"/>
      <c r="P773" s="76"/>
      <c r="Q773" s="76"/>
      <c r="R773" s="76"/>
      <c r="S773" s="76"/>
      <c r="T773" s="76"/>
      <c r="U773" s="281">
        <v>0.90800000000000003</v>
      </c>
      <c r="V773" s="336">
        <f t="shared" si="133"/>
        <v>0.90800000000000003</v>
      </c>
      <c r="W773" s="336">
        <f t="shared" si="134"/>
        <v>0.90800000000000003</v>
      </c>
      <c r="X773" s="336">
        <f t="shared" si="134"/>
        <v>0.90800000000000003</v>
      </c>
      <c r="Y773" s="336">
        <f t="shared" si="135"/>
        <v>0.90800000000000003</v>
      </c>
      <c r="Z773" s="336">
        <f t="shared" si="136"/>
        <v>0.90800000000000003</v>
      </c>
      <c r="AA773" s="336">
        <f t="shared" si="136"/>
        <v>0.90800000000000003</v>
      </c>
      <c r="AB773" s="336">
        <f t="shared" si="136"/>
        <v>0.90800000000000003</v>
      </c>
      <c r="AC773" s="336">
        <f t="shared" si="136"/>
        <v>0.90800000000000003</v>
      </c>
      <c r="AD773" s="336">
        <f t="shared" si="136"/>
        <v>0.90800000000000003</v>
      </c>
      <c r="AE773" s="76"/>
      <c r="AF773" s="76"/>
      <c r="AG773" s="76"/>
      <c r="AH773" s="97">
        <v>1</v>
      </c>
      <c r="AI773" s="97">
        <v>1</v>
      </c>
      <c r="AJ773" s="73"/>
      <c r="AK773" s="57"/>
      <c r="AL773" s="45"/>
      <c r="AM773" s="45"/>
      <c r="AN773" s="45"/>
    </row>
    <row r="774" spans="1:40" hidden="1" outlineLevel="2" x14ac:dyDescent="0.25">
      <c r="A774" s="45"/>
      <c r="B774" s="54"/>
      <c r="C774" s="47">
        <f t="shared" si="132"/>
        <v>4</v>
      </c>
      <c r="D774" s="73"/>
      <c r="E774" s="70"/>
      <c r="F774" s="70" t="s">
        <v>1398</v>
      </c>
      <c r="G774" s="73"/>
      <c r="H774" s="76" t="s">
        <v>2736</v>
      </c>
      <c r="I774" s="96"/>
      <c r="J774" s="96"/>
      <c r="K774" s="76"/>
      <c r="L774" s="76"/>
      <c r="M774" s="76"/>
      <c r="N774" s="76"/>
      <c r="O774" s="76"/>
      <c r="P774" s="76"/>
      <c r="Q774" s="76"/>
      <c r="R774" s="76"/>
      <c r="S774" s="76"/>
      <c r="T774" s="76"/>
      <c r="U774" s="281">
        <v>0.97</v>
      </c>
      <c r="V774" s="336">
        <f t="shared" si="133"/>
        <v>0.97</v>
      </c>
      <c r="W774" s="336">
        <f t="shared" si="134"/>
        <v>0.97</v>
      </c>
      <c r="X774" s="336">
        <f t="shared" si="134"/>
        <v>0.97</v>
      </c>
      <c r="Y774" s="336">
        <f t="shared" si="135"/>
        <v>0.97</v>
      </c>
      <c r="Z774" s="336">
        <f t="shared" si="136"/>
        <v>0.97</v>
      </c>
      <c r="AA774" s="336">
        <f t="shared" si="136"/>
        <v>0.97</v>
      </c>
      <c r="AB774" s="336">
        <f t="shared" si="136"/>
        <v>0.97</v>
      </c>
      <c r="AC774" s="336">
        <f t="shared" si="136"/>
        <v>0.97</v>
      </c>
      <c r="AD774" s="336">
        <f t="shared" si="136"/>
        <v>0.97</v>
      </c>
      <c r="AE774" s="76"/>
      <c r="AF774" s="76"/>
      <c r="AG774" s="76"/>
      <c r="AH774" s="97">
        <v>1</v>
      </c>
      <c r="AI774" s="97">
        <v>1</v>
      </c>
      <c r="AJ774" s="73"/>
      <c r="AK774" s="57"/>
      <c r="AL774" s="45"/>
      <c r="AM774" s="45"/>
      <c r="AN774" s="45"/>
    </row>
    <row r="775" spans="1:40" hidden="1" outlineLevel="2" x14ac:dyDescent="0.25">
      <c r="A775" s="45">
        <v>4</v>
      </c>
      <c r="B775" s="54"/>
      <c r="C775" s="47">
        <f t="shared" si="132"/>
        <v>4</v>
      </c>
      <c r="D775" s="73"/>
      <c r="E775" s="70"/>
      <c r="F775" s="70" t="s">
        <v>1399</v>
      </c>
      <c r="G775" s="73"/>
      <c r="H775" s="76" t="s">
        <v>2737</v>
      </c>
      <c r="I775" s="96"/>
      <c r="J775" s="96"/>
      <c r="K775" s="76"/>
      <c r="L775" s="76"/>
      <c r="M775" s="76"/>
      <c r="N775" s="76"/>
      <c r="O775" s="76"/>
      <c r="P775" s="76"/>
      <c r="Q775" s="76"/>
      <c r="R775" s="76"/>
      <c r="S775" s="76"/>
      <c r="T775" s="76"/>
      <c r="U775" s="281">
        <v>0.92400000000000004</v>
      </c>
      <c r="V775" s="336">
        <f t="shared" si="133"/>
        <v>0.92400000000000004</v>
      </c>
      <c r="W775" s="336">
        <f t="shared" si="134"/>
        <v>0.92400000000000004</v>
      </c>
      <c r="X775" s="336">
        <f t="shared" si="134"/>
        <v>0.92400000000000004</v>
      </c>
      <c r="Y775" s="336">
        <f t="shared" si="135"/>
        <v>0.92400000000000004</v>
      </c>
      <c r="Z775" s="336">
        <f t="shared" si="136"/>
        <v>0.92400000000000004</v>
      </c>
      <c r="AA775" s="336">
        <f t="shared" si="136"/>
        <v>0.92400000000000004</v>
      </c>
      <c r="AB775" s="336">
        <f t="shared" si="136"/>
        <v>0.92400000000000004</v>
      </c>
      <c r="AC775" s="336">
        <f t="shared" si="136"/>
        <v>0.92400000000000004</v>
      </c>
      <c r="AD775" s="336">
        <f t="shared" si="136"/>
        <v>0.92400000000000004</v>
      </c>
      <c r="AE775" s="76"/>
      <c r="AF775" s="76"/>
      <c r="AG775" s="76"/>
      <c r="AH775" s="97">
        <v>1</v>
      </c>
      <c r="AI775" s="97">
        <v>1</v>
      </c>
      <c r="AJ775" s="73"/>
      <c r="AK775" s="57"/>
      <c r="AL775" s="45"/>
      <c r="AM775" s="45"/>
      <c r="AN775" s="45"/>
    </row>
    <row r="776" spans="1:40" hidden="1" outlineLevel="2" x14ac:dyDescent="0.25">
      <c r="A776" s="45">
        <f>A775</f>
        <v>4</v>
      </c>
      <c r="B776" s="54"/>
      <c r="C776" s="47">
        <f t="shared" si="132"/>
        <v>4</v>
      </c>
      <c r="D776" s="73"/>
      <c r="E776" s="70"/>
      <c r="F776" s="70" t="s">
        <v>1400</v>
      </c>
      <c r="G776" s="73"/>
      <c r="H776" s="76" t="s">
        <v>2738</v>
      </c>
      <c r="I776" s="96"/>
      <c r="J776" s="96"/>
      <c r="K776" s="76"/>
      <c r="L776" s="76"/>
      <c r="M776" s="76"/>
      <c r="N776" s="76"/>
      <c r="O776" s="76"/>
      <c r="P776" s="76"/>
      <c r="Q776" s="76"/>
      <c r="R776" s="76"/>
      <c r="S776" s="76"/>
      <c r="T776" s="76"/>
      <c r="U776" s="281">
        <v>0.94</v>
      </c>
      <c r="V776" s="336">
        <f t="shared" si="133"/>
        <v>0.94</v>
      </c>
      <c r="W776" s="336">
        <f t="shared" si="134"/>
        <v>0.94</v>
      </c>
      <c r="X776" s="336">
        <f t="shared" si="134"/>
        <v>0.94</v>
      </c>
      <c r="Y776" s="336">
        <f t="shared" si="135"/>
        <v>0.94</v>
      </c>
      <c r="Z776" s="336">
        <f t="shared" si="136"/>
        <v>0.94</v>
      </c>
      <c r="AA776" s="336">
        <f t="shared" si="136"/>
        <v>0.94</v>
      </c>
      <c r="AB776" s="336">
        <f t="shared" si="136"/>
        <v>0.94</v>
      </c>
      <c r="AC776" s="336">
        <f t="shared" si="136"/>
        <v>0.94</v>
      </c>
      <c r="AD776" s="336">
        <f t="shared" si="136"/>
        <v>0.94</v>
      </c>
      <c r="AE776" s="76"/>
      <c r="AF776" s="76"/>
      <c r="AG776" s="76"/>
      <c r="AH776" s="97">
        <v>1</v>
      </c>
      <c r="AI776" s="97">
        <v>1</v>
      </c>
      <c r="AJ776" s="73"/>
      <c r="AK776" s="57"/>
      <c r="AL776" s="45"/>
      <c r="AM776" s="45"/>
      <c r="AN776" s="45"/>
    </row>
    <row r="777" spans="1:40" hidden="1" outlineLevel="2" x14ac:dyDescent="0.25">
      <c r="A777" s="45"/>
      <c r="B777" s="54"/>
      <c r="C777" s="47">
        <f t="shared" ref="C777:C788" si="137">INT($C$29)+2</f>
        <v>3</v>
      </c>
      <c r="D777" s="73"/>
      <c r="E777" s="70"/>
      <c r="F777" s="70" t="s">
        <v>1401</v>
      </c>
      <c r="G777" s="73"/>
      <c r="H777" s="76" t="s">
        <v>1402</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36"/>
        <v>0</v>
      </c>
      <c r="AA777" s="255">
        <f t="shared" si="136"/>
        <v>0</v>
      </c>
      <c r="AB777" s="255">
        <f t="shared" si="136"/>
        <v>0</v>
      </c>
      <c r="AC777" s="255">
        <f t="shared" si="136"/>
        <v>0</v>
      </c>
      <c r="AD777" s="255">
        <f t="shared" si="136"/>
        <v>0</v>
      </c>
      <c r="AE777" s="76"/>
      <c r="AF777" s="97" t="s">
        <v>1403</v>
      </c>
      <c r="AG777" s="76"/>
      <c r="AH777" s="97">
        <v>1</v>
      </c>
      <c r="AI777" s="97">
        <v>1</v>
      </c>
      <c r="AJ777" s="73"/>
      <c r="AK777" s="57"/>
      <c r="AL777" s="45"/>
      <c r="AM777" s="45"/>
      <c r="AN777" s="45"/>
    </row>
    <row r="778" spans="1:40" hidden="1" outlineLevel="2" x14ac:dyDescent="0.25">
      <c r="A778" s="45"/>
      <c r="B778" s="54"/>
      <c r="C778" s="47">
        <f t="shared" si="137"/>
        <v>3</v>
      </c>
      <c r="D778" s="73"/>
      <c r="E778" s="70"/>
      <c r="F778" s="70" t="s">
        <v>1404</v>
      </c>
      <c r="G778" s="73"/>
      <c r="H778" s="76" t="s">
        <v>1405</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36"/>
        <v>-0.26400000000000001</v>
      </c>
      <c r="AA778" s="255">
        <f t="shared" si="136"/>
        <v>-0.26400000000000001</v>
      </c>
      <c r="AB778" s="255">
        <f t="shared" si="136"/>
        <v>-0.26400000000000001</v>
      </c>
      <c r="AC778" s="255">
        <f t="shared" si="136"/>
        <v>-0.26400000000000001</v>
      </c>
      <c r="AD778" s="255">
        <f t="shared" si="136"/>
        <v>-0.26400000000000001</v>
      </c>
      <c r="AE778" s="76"/>
      <c r="AF778" s="97" t="s">
        <v>1406</v>
      </c>
      <c r="AG778" s="76"/>
      <c r="AH778" s="97">
        <v>1</v>
      </c>
      <c r="AI778" s="97">
        <v>1</v>
      </c>
      <c r="AJ778" s="73"/>
      <c r="AK778" s="57"/>
      <c r="AL778" s="45"/>
      <c r="AM778" s="45"/>
      <c r="AN778" s="45"/>
    </row>
    <row r="779" spans="1:40" hidden="1" outlineLevel="2" x14ac:dyDescent="0.25">
      <c r="A779" s="45"/>
      <c r="B779" s="54"/>
      <c r="C779" s="47">
        <f t="shared" si="137"/>
        <v>3</v>
      </c>
      <c r="D779" s="73"/>
      <c r="E779" s="70"/>
      <c r="F779" s="70" t="s">
        <v>1407</v>
      </c>
      <c r="G779" s="73"/>
      <c r="H779" s="76" t="s">
        <v>1408</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36"/>
        <v>-0.4</v>
      </c>
      <c r="AA779" s="255">
        <f t="shared" si="136"/>
        <v>-0.4</v>
      </c>
      <c r="AB779" s="255">
        <f t="shared" si="136"/>
        <v>-0.4</v>
      </c>
      <c r="AC779" s="255">
        <f t="shared" si="136"/>
        <v>-0.4</v>
      </c>
      <c r="AD779" s="255">
        <f t="shared" si="136"/>
        <v>-0.4</v>
      </c>
      <c r="AE779" s="76"/>
      <c r="AF779" s="263" t="s">
        <v>1409</v>
      </c>
      <c r="AG779" s="76"/>
      <c r="AH779" s="97">
        <v>1</v>
      </c>
      <c r="AI779" s="97">
        <v>1</v>
      </c>
      <c r="AJ779" s="73"/>
      <c r="AK779" s="57"/>
      <c r="AL779" s="45"/>
      <c r="AM779" s="45"/>
      <c r="AN779" s="45"/>
    </row>
    <row r="780" spans="1:40" hidden="1" outlineLevel="2" x14ac:dyDescent="0.25">
      <c r="A780" s="45"/>
      <c r="B780" s="54"/>
      <c r="C780" s="47">
        <f t="shared" si="137"/>
        <v>3</v>
      </c>
      <c r="D780" s="73"/>
      <c r="E780" s="70"/>
      <c r="F780" s="70" t="s">
        <v>1410</v>
      </c>
      <c r="G780" s="73"/>
      <c r="H780" s="76" t="s">
        <v>1411</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36"/>
        <v>-0.17799999999999999</v>
      </c>
      <c r="AA780" s="255">
        <f t="shared" si="136"/>
        <v>-0.17799999999999999</v>
      </c>
      <c r="AB780" s="255">
        <f t="shared" si="136"/>
        <v>-0.17799999999999999</v>
      </c>
      <c r="AC780" s="255">
        <f t="shared" si="136"/>
        <v>-0.17799999999999999</v>
      </c>
      <c r="AD780" s="255">
        <f t="shared" si="136"/>
        <v>-0.17799999999999999</v>
      </c>
      <c r="AE780" s="76"/>
      <c r="AF780" s="97" t="s">
        <v>1412</v>
      </c>
      <c r="AG780" s="76"/>
      <c r="AH780" s="97">
        <v>1</v>
      </c>
      <c r="AI780" s="97">
        <v>1</v>
      </c>
      <c r="AJ780" s="73"/>
      <c r="AK780" s="57"/>
      <c r="AL780" s="45"/>
      <c r="AM780" s="45"/>
      <c r="AN780" s="45"/>
    </row>
    <row r="781" spans="1:40" hidden="1" outlineLevel="2" x14ac:dyDescent="0.25">
      <c r="A781" s="45">
        <v>4</v>
      </c>
      <c r="B781" s="54"/>
      <c r="C781" s="47">
        <f t="shared" si="137"/>
        <v>3</v>
      </c>
      <c r="D781" s="73"/>
      <c r="E781" s="70"/>
      <c r="F781" s="70" t="s">
        <v>1413</v>
      </c>
      <c r="G781" s="73"/>
      <c r="H781" s="76" t="s">
        <v>1414</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38">Y781</f>
        <v>-0.26400000000000001</v>
      </c>
      <c r="AA781" s="255">
        <f t="shared" si="138"/>
        <v>-0.26400000000000001</v>
      </c>
      <c r="AB781" s="255">
        <f t="shared" si="138"/>
        <v>-0.26400000000000001</v>
      </c>
      <c r="AC781" s="255">
        <f t="shared" si="138"/>
        <v>-0.26400000000000001</v>
      </c>
      <c r="AD781" s="255">
        <f t="shared" si="138"/>
        <v>-0.26400000000000001</v>
      </c>
      <c r="AE781" s="76"/>
      <c r="AF781" s="97"/>
      <c r="AG781" s="76"/>
      <c r="AH781" s="97">
        <v>1</v>
      </c>
      <c r="AI781" s="97">
        <v>1</v>
      </c>
      <c r="AJ781" s="73"/>
      <c r="AK781" s="57"/>
      <c r="AL781" s="45"/>
      <c r="AM781" s="45"/>
      <c r="AN781" s="45"/>
    </row>
    <row r="782" spans="1:40" hidden="1" outlineLevel="2" x14ac:dyDescent="0.25">
      <c r="A782" s="45">
        <f>A781</f>
        <v>4</v>
      </c>
      <c r="B782" s="54"/>
      <c r="C782" s="47">
        <f t="shared" si="137"/>
        <v>3</v>
      </c>
      <c r="D782" s="73"/>
      <c r="E782" s="70"/>
      <c r="F782" s="70" t="s">
        <v>1415</v>
      </c>
      <c r="G782" s="73"/>
      <c r="H782" s="76" t="s">
        <v>1416</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38"/>
        <v>-0.17799999999999999</v>
      </c>
      <c r="AA782" s="255">
        <f t="shared" si="138"/>
        <v>-0.17799999999999999</v>
      </c>
      <c r="AB782" s="255">
        <f t="shared" si="138"/>
        <v>-0.17799999999999999</v>
      </c>
      <c r="AC782" s="255">
        <f t="shared" si="138"/>
        <v>-0.17799999999999999</v>
      </c>
      <c r="AD782" s="255">
        <f t="shared" si="138"/>
        <v>-0.17799999999999999</v>
      </c>
      <c r="AE782" s="76"/>
      <c r="AF782" s="97"/>
      <c r="AG782" s="76"/>
      <c r="AH782" s="97">
        <v>1</v>
      </c>
      <c r="AI782" s="97">
        <v>1</v>
      </c>
      <c r="AJ782" s="73"/>
      <c r="AK782" s="57"/>
      <c r="AL782" s="45"/>
      <c r="AM782" s="45"/>
      <c r="AN782" s="45"/>
    </row>
    <row r="783" spans="1:40" hidden="1" outlineLevel="2" x14ac:dyDescent="0.25">
      <c r="A783" s="45"/>
      <c r="B783" s="54"/>
      <c r="C783" s="47">
        <f t="shared" si="137"/>
        <v>3</v>
      </c>
      <c r="D783" s="73"/>
      <c r="E783" s="70"/>
      <c r="F783" s="70" t="s">
        <v>1417</v>
      </c>
      <c r="G783" s="73"/>
      <c r="H783" s="76" t="s">
        <v>1418</v>
      </c>
      <c r="I783" s="96" t="s">
        <v>1419</v>
      </c>
      <c r="J783" s="96" t="s">
        <v>1145</v>
      </c>
      <c r="K783" s="76"/>
      <c r="L783" s="76"/>
      <c r="M783" s="76"/>
      <c r="N783" s="76"/>
      <c r="O783" s="76"/>
      <c r="P783" s="76"/>
      <c r="Q783" s="76"/>
      <c r="R783" s="76"/>
      <c r="S783" s="76"/>
      <c r="T783" s="76"/>
      <c r="U783" s="97">
        <v>0</v>
      </c>
      <c r="V783" s="97">
        <v>0</v>
      </c>
      <c r="W783" s="97">
        <v>0</v>
      </c>
      <c r="X783" s="97">
        <v>0</v>
      </c>
      <c r="Y783" s="97">
        <v>0</v>
      </c>
      <c r="Z783" s="255">
        <f t="shared" si="138"/>
        <v>0</v>
      </c>
      <c r="AA783" s="255">
        <f t="shared" si="138"/>
        <v>0</v>
      </c>
      <c r="AB783" s="255">
        <f t="shared" si="138"/>
        <v>0</v>
      </c>
      <c r="AC783" s="255">
        <f t="shared" si="138"/>
        <v>0</v>
      </c>
      <c r="AD783" s="255">
        <f t="shared" si="138"/>
        <v>0</v>
      </c>
      <c r="AE783" s="76"/>
      <c r="AF783" s="97" t="s">
        <v>1403</v>
      </c>
      <c r="AG783" s="76"/>
      <c r="AH783" s="97">
        <v>1</v>
      </c>
      <c r="AI783" s="97">
        <v>1</v>
      </c>
      <c r="AJ783" s="73"/>
      <c r="AK783" s="57"/>
      <c r="AL783" s="45"/>
      <c r="AM783" s="45"/>
      <c r="AN783" s="45"/>
    </row>
    <row r="784" spans="1:40" hidden="1" outlineLevel="2" x14ac:dyDescent="0.25">
      <c r="A784" s="45"/>
      <c r="B784" s="54"/>
      <c r="C784" s="47">
        <f t="shared" si="137"/>
        <v>3</v>
      </c>
      <c r="D784" s="73"/>
      <c r="E784" s="70"/>
      <c r="F784" s="70" t="s">
        <v>1420</v>
      </c>
      <c r="G784" s="73"/>
      <c r="H784" s="76" t="s">
        <v>1421</v>
      </c>
      <c r="I784" s="96" t="s">
        <v>1419</v>
      </c>
      <c r="J784" s="96" t="s">
        <v>1145</v>
      </c>
      <c r="K784" s="76"/>
      <c r="L784" s="76"/>
      <c r="M784" s="76"/>
      <c r="N784" s="76"/>
      <c r="O784" s="76"/>
      <c r="P784" s="76"/>
      <c r="Q784" s="76"/>
      <c r="R784" s="76"/>
      <c r="S784" s="76"/>
      <c r="T784" s="76"/>
      <c r="U784" s="97">
        <v>0.43</v>
      </c>
      <c r="V784" s="97">
        <v>0.43</v>
      </c>
      <c r="W784" s="97">
        <v>0.43</v>
      </c>
      <c r="X784" s="97">
        <v>0.43</v>
      </c>
      <c r="Y784" s="97">
        <v>0.43</v>
      </c>
      <c r="Z784" s="255">
        <f t="shared" si="138"/>
        <v>0.43</v>
      </c>
      <c r="AA784" s="255">
        <f t="shared" si="138"/>
        <v>0.43</v>
      </c>
      <c r="AB784" s="255">
        <f t="shared" si="138"/>
        <v>0.43</v>
      </c>
      <c r="AC784" s="255">
        <f t="shared" si="138"/>
        <v>0.43</v>
      </c>
      <c r="AD784" s="255">
        <f t="shared" si="138"/>
        <v>0.43</v>
      </c>
      <c r="AE784" s="76"/>
      <c r="AF784" s="97" t="s">
        <v>1406</v>
      </c>
      <c r="AG784" s="76"/>
      <c r="AH784" s="97">
        <v>1</v>
      </c>
      <c r="AI784" s="97">
        <v>1</v>
      </c>
      <c r="AJ784" s="73"/>
      <c r="AK784" s="57"/>
      <c r="AL784" s="45"/>
      <c r="AM784" s="45"/>
      <c r="AN784" s="45"/>
    </row>
    <row r="785" spans="1:40" hidden="1" outlineLevel="2" x14ac:dyDescent="0.25">
      <c r="A785" s="45"/>
      <c r="B785" s="54"/>
      <c r="C785" s="47">
        <f t="shared" si="137"/>
        <v>3</v>
      </c>
      <c r="D785" s="73"/>
      <c r="E785" s="70"/>
      <c r="F785" s="70" t="s">
        <v>1422</v>
      </c>
      <c r="G785" s="73"/>
      <c r="H785" s="76" t="s">
        <v>1423</v>
      </c>
      <c r="I785" s="96" t="s">
        <v>1419</v>
      </c>
      <c r="J785" s="96" t="s">
        <v>1145</v>
      </c>
      <c r="K785" s="76"/>
      <c r="L785" s="76"/>
      <c r="M785" s="76"/>
      <c r="N785" s="76"/>
      <c r="O785" s="76"/>
      <c r="P785" s="76"/>
      <c r="Q785" s="76"/>
      <c r="R785" s="76"/>
      <c r="S785" s="76"/>
      <c r="T785" s="76"/>
      <c r="U785" s="97">
        <v>0.8</v>
      </c>
      <c r="V785" s="97">
        <v>0.8</v>
      </c>
      <c r="W785" s="97">
        <v>0.8</v>
      </c>
      <c r="X785" s="97">
        <v>0.8</v>
      </c>
      <c r="Y785" s="97">
        <v>0.8</v>
      </c>
      <c r="Z785" s="255">
        <f t="shared" si="138"/>
        <v>0.8</v>
      </c>
      <c r="AA785" s="255">
        <f t="shared" si="138"/>
        <v>0.8</v>
      </c>
      <c r="AB785" s="255">
        <f t="shared" si="138"/>
        <v>0.8</v>
      </c>
      <c r="AC785" s="255">
        <f t="shared" si="138"/>
        <v>0.8</v>
      </c>
      <c r="AD785" s="255">
        <f t="shared" si="138"/>
        <v>0.8</v>
      </c>
      <c r="AE785" s="76"/>
      <c r="AF785" s="263" t="s">
        <v>1409</v>
      </c>
      <c r="AG785" s="76"/>
      <c r="AH785" s="97">
        <v>1</v>
      </c>
      <c r="AI785" s="97">
        <v>1</v>
      </c>
      <c r="AJ785" s="73"/>
      <c r="AK785" s="57"/>
      <c r="AL785" s="45"/>
      <c r="AM785" s="45"/>
      <c r="AN785" s="45"/>
    </row>
    <row r="786" spans="1:40" hidden="1" outlineLevel="2" x14ac:dyDescent="0.25">
      <c r="A786" s="45"/>
      <c r="B786" s="54"/>
      <c r="C786" s="47">
        <f t="shared" si="137"/>
        <v>3</v>
      </c>
      <c r="D786" s="73"/>
      <c r="E786" s="70"/>
      <c r="F786" s="70" t="s">
        <v>1424</v>
      </c>
      <c r="G786" s="73"/>
      <c r="H786" s="76" t="s">
        <v>1425</v>
      </c>
      <c r="I786" s="96" t="s">
        <v>1419</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38"/>
        <v>8.9999999999999993E-3</v>
      </c>
      <c r="AA786" s="255">
        <f t="shared" si="138"/>
        <v>8.9999999999999993E-3</v>
      </c>
      <c r="AB786" s="255">
        <f t="shared" si="138"/>
        <v>8.9999999999999993E-3</v>
      </c>
      <c r="AC786" s="255">
        <f t="shared" si="138"/>
        <v>8.9999999999999993E-3</v>
      </c>
      <c r="AD786" s="255">
        <f t="shared" si="138"/>
        <v>8.9999999999999993E-3</v>
      </c>
      <c r="AE786" s="76"/>
      <c r="AF786" s="97" t="s">
        <v>1426</v>
      </c>
      <c r="AG786" s="76"/>
      <c r="AH786" s="97">
        <v>1</v>
      </c>
      <c r="AI786" s="97">
        <v>1</v>
      </c>
      <c r="AJ786" s="73"/>
      <c r="AK786" s="57"/>
      <c r="AL786" s="45"/>
      <c r="AM786" s="45"/>
      <c r="AN786" s="45"/>
    </row>
    <row r="787" spans="1:40" hidden="1" outlineLevel="2" x14ac:dyDescent="0.25">
      <c r="A787" s="45">
        <v>4</v>
      </c>
      <c r="B787" s="54"/>
      <c r="C787" s="47">
        <f t="shared" si="137"/>
        <v>3</v>
      </c>
      <c r="D787" s="73"/>
      <c r="E787" s="70"/>
      <c r="F787" s="70" t="s">
        <v>1427</v>
      </c>
      <c r="G787" s="73"/>
      <c r="H787" s="76" t="s">
        <v>1428</v>
      </c>
      <c r="I787" s="96" t="s">
        <v>1419</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38"/>
        <v>0.48199999999999998</v>
      </c>
      <c r="AA787" s="255">
        <f t="shared" si="138"/>
        <v>0.48199999999999998</v>
      </c>
      <c r="AB787" s="255">
        <f t="shared" si="138"/>
        <v>0.48199999999999998</v>
      </c>
      <c r="AC787" s="255">
        <f t="shared" si="138"/>
        <v>0.48199999999999998</v>
      </c>
      <c r="AD787" s="255">
        <f t="shared" si="138"/>
        <v>0.48199999999999998</v>
      </c>
      <c r="AE787" s="76"/>
      <c r="AF787" s="97"/>
      <c r="AG787" s="76"/>
      <c r="AH787" s="97">
        <v>1</v>
      </c>
      <c r="AI787" s="97">
        <v>1</v>
      </c>
      <c r="AJ787" s="73"/>
      <c r="AK787" s="57"/>
      <c r="AL787" s="45"/>
      <c r="AM787" s="45"/>
      <c r="AN787" s="45"/>
    </row>
    <row r="788" spans="1:40" hidden="1" outlineLevel="2" collapsed="1" x14ac:dyDescent="0.25">
      <c r="A788" s="45">
        <f>A787</f>
        <v>4</v>
      </c>
      <c r="B788" s="54"/>
      <c r="C788" s="47">
        <f t="shared" si="137"/>
        <v>3</v>
      </c>
      <c r="D788" s="73"/>
      <c r="E788" s="70"/>
      <c r="F788" s="70" t="s">
        <v>1429</v>
      </c>
      <c r="G788" s="73"/>
      <c r="H788" s="76" t="s">
        <v>1430</v>
      </c>
      <c r="I788" s="96" t="s">
        <v>1419</v>
      </c>
      <c r="J788" s="96" t="s">
        <v>1145</v>
      </c>
      <c r="K788" s="76"/>
      <c r="L788" s="76"/>
      <c r="M788" s="76"/>
      <c r="N788" s="76"/>
      <c r="O788" s="76"/>
      <c r="P788" s="76"/>
      <c r="Q788" s="76"/>
      <c r="R788" s="76"/>
      <c r="S788" s="76"/>
      <c r="T788" s="76"/>
      <c r="U788" s="97">
        <v>0.128</v>
      </c>
      <c r="V788" s="97">
        <v>0.128</v>
      </c>
      <c r="W788" s="97">
        <v>0.128</v>
      </c>
      <c r="X788" s="97">
        <v>0.128</v>
      </c>
      <c r="Y788" s="97">
        <v>0.128</v>
      </c>
      <c r="Z788" s="255">
        <f t="shared" si="138"/>
        <v>0.128</v>
      </c>
      <c r="AA788" s="255">
        <f t="shared" si="138"/>
        <v>0.128</v>
      </c>
      <c r="AB788" s="255">
        <f t="shared" si="138"/>
        <v>0.128</v>
      </c>
      <c r="AC788" s="255">
        <f t="shared" si="138"/>
        <v>0.128</v>
      </c>
      <c r="AD788" s="255">
        <f t="shared" si="138"/>
        <v>0.128</v>
      </c>
      <c r="AE788" s="76"/>
      <c r="AF788" s="97"/>
      <c r="AG788" s="76"/>
      <c r="AH788" s="97">
        <v>1</v>
      </c>
      <c r="AI788" s="97">
        <v>1</v>
      </c>
      <c r="AJ788" s="73"/>
      <c r="AK788" s="57"/>
      <c r="AL788" s="45"/>
      <c r="AM788" s="45"/>
      <c r="AN788" s="45"/>
    </row>
    <row r="789" spans="1:40" hidden="1" outlineLevel="3" x14ac:dyDescent="0.25">
      <c r="A789" s="45"/>
      <c r="B789" s="54"/>
      <c r="C789" s="47">
        <f t="shared" ref="C789:C794" si="139">INT($C$29)+3</f>
        <v>4</v>
      </c>
      <c r="D789" s="73"/>
      <c r="E789" s="70"/>
      <c r="F789" s="70" t="s">
        <v>1431</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25">
      <c r="A790" s="45"/>
      <c r="B790" s="54"/>
      <c r="C790" s="47">
        <f t="shared" si="139"/>
        <v>4</v>
      </c>
      <c r="D790" s="73"/>
      <c r="E790" s="70"/>
      <c r="F790" s="70" t="s">
        <v>1432</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39"/>
        <v>4</v>
      </c>
      <c r="D791" s="73"/>
      <c r="E791" s="70"/>
      <c r="F791" s="70" t="s">
        <v>1433</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39"/>
        <v>4</v>
      </c>
      <c r="D792" s="73"/>
      <c r="E792" s="70"/>
      <c r="F792" s="70" t="s">
        <v>1434</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v>4</v>
      </c>
      <c r="B793" s="54"/>
      <c r="C793" s="47">
        <f t="shared" si="139"/>
        <v>4</v>
      </c>
      <c r="D793" s="73"/>
      <c r="E793" s="70"/>
      <c r="F793" s="70" t="s">
        <v>1435</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f>A793</f>
        <v>4</v>
      </c>
      <c r="B794" s="54"/>
      <c r="C794" s="47">
        <f t="shared" si="139"/>
        <v>4</v>
      </c>
      <c r="D794" s="73"/>
      <c r="E794" s="70"/>
      <c r="F794" s="70" t="s">
        <v>1436</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25">
      <c r="A795" s="45"/>
      <c r="B795" s="54"/>
      <c r="C795" s="47">
        <f t="shared" ref="C795:C818" si="140">INT($C$29)+2</f>
        <v>3</v>
      </c>
      <c r="D795" s="73"/>
      <c r="E795" s="70"/>
      <c r="F795" s="70" t="s">
        <v>1437</v>
      </c>
      <c r="G795" s="73"/>
      <c r="H795" s="76" t="s">
        <v>1438</v>
      </c>
      <c r="I795" s="96"/>
      <c r="J795" s="96" t="s">
        <v>1173</v>
      </c>
      <c r="K795" s="76"/>
      <c r="L795" s="76"/>
      <c r="M795" s="76"/>
      <c r="N795" s="76"/>
      <c r="O795" s="76"/>
      <c r="P795" s="76"/>
      <c r="Q795" s="76"/>
      <c r="R795" s="76"/>
      <c r="S795" s="76"/>
      <c r="T795" s="76"/>
      <c r="U795" s="261">
        <f t="shared" ref="U795:AD795" si="141">U$881</f>
        <v>0.1</v>
      </c>
      <c r="V795" s="261">
        <f t="shared" si="141"/>
        <v>0.1</v>
      </c>
      <c r="W795" s="261">
        <f t="shared" si="141"/>
        <v>0.1</v>
      </c>
      <c r="X795" s="261">
        <f t="shared" si="141"/>
        <v>0.1</v>
      </c>
      <c r="Y795" s="261">
        <f t="shared" si="141"/>
        <v>0.1</v>
      </c>
      <c r="Z795" s="261">
        <f t="shared" si="141"/>
        <v>0.1</v>
      </c>
      <c r="AA795" s="261">
        <f t="shared" si="141"/>
        <v>0.1</v>
      </c>
      <c r="AB795" s="261">
        <f t="shared" si="141"/>
        <v>0.1</v>
      </c>
      <c r="AC795" s="261">
        <f t="shared" si="141"/>
        <v>0.1</v>
      </c>
      <c r="AD795" s="261">
        <f t="shared" si="141"/>
        <v>0.1</v>
      </c>
      <c r="AE795" s="76"/>
      <c r="AF795" s="76" t="s">
        <v>1372</v>
      </c>
      <c r="AG795" s="76"/>
      <c r="AH795" s="261">
        <f>AH$881</f>
        <v>1</v>
      </c>
      <c r="AI795" s="261">
        <f>AI$881</f>
        <v>1</v>
      </c>
      <c r="AJ795" s="73"/>
      <c r="AK795" s="57"/>
      <c r="AL795" s="45"/>
      <c r="AM795" s="45"/>
      <c r="AN795" s="45"/>
    </row>
    <row r="796" spans="1:40" hidden="1" outlineLevel="2" x14ac:dyDescent="0.25">
      <c r="A796" s="45"/>
      <c r="B796" s="54"/>
      <c r="C796" s="47">
        <f t="shared" si="140"/>
        <v>3</v>
      </c>
      <c r="D796" s="73"/>
      <c r="E796" s="70"/>
      <c r="F796" s="70" t="s">
        <v>1439</v>
      </c>
      <c r="G796" s="73"/>
      <c r="H796" s="76" t="s">
        <v>1440</v>
      </c>
      <c r="I796" s="96"/>
      <c r="J796" s="96" t="s">
        <v>1173</v>
      </c>
      <c r="K796" s="76"/>
      <c r="L796" s="76"/>
      <c r="M796" s="76"/>
      <c r="N796" s="76"/>
      <c r="O796" s="76"/>
      <c r="P796" s="76"/>
      <c r="Q796" s="76"/>
      <c r="R796" s="76"/>
      <c r="S796" s="76"/>
      <c r="T796" s="76"/>
      <c r="U796" s="261">
        <f t="shared" ref="U796:AD796" si="142">U$882</f>
        <v>8.5000000000000006E-2</v>
      </c>
      <c r="V796" s="261">
        <f t="shared" si="142"/>
        <v>8.5000000000000006E-2</v>
      </c>
      <c r="W796" s="261">
        <f t="shared" si="142"/>
        <v>8.5000000000000006E-2</v>
      </c>
      <c r="X796" s="261">
        <f t="shared" si="142"/>
        <v>8.5000000000000006E-2</v>
      </c>
      <c r="Y796" s="261">
        <f t="shared" si="142"/>
        <v>8.5000000000000006E-2</v>
      </c>
      <c r="Z796" s="261">
        <f t="shared" si="142"/>
        <v>8.5000000000000006E-2</v>
      </c>
      <c r="AA796" s="261">
        <f t="shared" si="142"/>
        <v>8.5000000000000006E-2</v>
      </c>
      <c r="AB796" s="261">
        <f t="shared" si="142"/>
        <v>8.5000000000000006E-2</v>
      </c>
      <c r="AC796" s="261">
        <f t="shared" si="142"/>
        <v>8.5000000000000006E-2</v>
      </c>
      <c r="AD796" s="261">
        <f t="shared" si="142"/>
        <v>8.5000000000000006E-2</v>
      </c>
      <c r="AE796" s="76"/>
      <c r="AF796" s="76"/>
      <c r="AG796" s="76"/>
      <c r="AH796" s="261">
        <f>AH$882</f>
        <v>1</v>
      </c>
      <c r="AI796" s="261">
        <f>AI$882</f>
        <v>1</v>
      </c>
      <c r="AJ796" s="73"/>
      <c r="AK796" s="57"/>
      <c r="AL796" s="45"/>
      <c r="AM796" s="45"/>
      <c r="AN796" s="45"/>
    </row>
    <row r="797" spans="1:40" hidden="1" outlineLevel="2" x14ac:dyDescent="0.25">
      <c r="A797" s="45"/>
      <c r="B797" s="54"/>
      <c r="C797" s="47">
        <f t="shared" si="140"/>
        <v>3</v>
      </c>
      <c r="D797" s="73"/>
      <c r="E797" s="70"/>
      <c r="F797" s="70" t="s">
        <v>1441</v>
      </c>
      <c r="G797" s="73"/>
      <c r="H797" s="76" t="s">
        <v>1442</v>
      </c>
      <c r="I797" s="96"/>
      <c r="J797" s="96" t="s">
        <v>1173</v>
      </c>
      <c r="K797" s="76"/>
      <c r="L797" s="76"/>
      <c r="M797" s="76"/>
      <c r="N797" s="76"/>
      <c r="O797" s="76"/>
      <c r="P797" s="76"/>
      <c r="Q797" s="76"/>
      <c r="R797" s="76"/>
      <c r="S797" s="76"/>
      <c r="T797" s="76"/>
      <c r="U797" s="261">
        <f t="shared" ref="U797:AD797" si="143">U$883</f>
        <v>7.0000000000000007E-2</v>
      </c>
      <c r="V797" s="261">
        <f t="shared" si="143"/>
        <v>7.0000000000000007E-2</v>
      </c>
      <c r="W797" s="261">
        <f t="shared" si="143"/>
        <v>7.0000000000000007E-2</v>
      </c>
      <c r="X797" s="261">
        <f t="shared" si="143"/>
        <v>7.0000000000000007E-2</v>
      </c>
      <c r="Y797" s="261">
        <f t="shared" si="143"/>
        <v>7.0000000000000007E-2</v>
      </c>
      <c r="Z797" s="261">
        <f t="shared" si="143"/>
        <v>7.0000000000000007E-2</v>
      </c>
      <c r="AA797" s="261">
        <f t="shared" si="143"/>
        <v>7.0000000000000007E-2</v>
      </c>
      <c r="AB797" s="261">
        <f t="shared" si="143"/>
        <v>7.0000000000000007E-2</v>
      </c>
      <c r="AC797" s="261">
        <f t="shared" si="143"/>
        <v>7.0000000000000007E-2</v>
      </c>
      <c r="AD797" s="261">
        <f t="shared" si="143"/>
        <v>7.0000000000000007E-2</v>
      </c>
      <c r="AE797" s="76"/>
      <c r="AF797" s="76"/>
      <c r="AG797" s="76"/>
      <c r="AH797" s="261">
        <f>AH$883</f>
        <v>1</v>
      </c>
      <c r="AI797" s="261">
        <f>AI$883</f>
        <v>1</v>
      </c>
      <c r="AJ797" s="73"/>
      <c r="AK797" s="57"/>
      <c r="AL797" s="45"/>
      <c r="AM797" s="45"/>
      <c r="AN797" s="45"/>
    </row>
    <row r="798" spans="1:40" hidden="1" outlineLevel="2" x14ac:dyDescent="0.25">
      <c r="A798" s="45"/>
      <c r="B798" s="54"/>
      <c r="C798" s="47">
        <f t="shared" si="140"/>
        <v>3</v>
      </c>
      <c r="D798" s="73"/>
      <c r="E798" s="70"/>
      <c r="F798" s="70" t="s">
        <v>1443</v>
      </c>
      <c r="G798" s="73"/>
      <c r="H798" s="76" t="s">
        <v>1444</v>
      </c>
      <c r="I798" s="96"/>
      <c r="J798" s="96" t="s">
        <v>1173</v>
      </c>
      <c r="K798" s="76"/>
      <c r="L798" s="76"/>
      <c r="M798" s="76"/>
      <c r="N798" s="76"/>
      <c r="O798" s="76"/>
      <c r="P798" s="76"/>
      <c r="Q798" s="76"/>
      <c r="R798" s="76"/>
      <c r="S798" s="76"/>
      <c r="T798" s="76"/>
      <c r="U798" s="261">
        <f t="shared" ref="U798:AD798" si="144">U$882</f>
        <v>8.5000000000000006E-2</v>
      </c>
      <c r="V798" s="261">
        <f t="shared" si="144"/>
        <v>8.5000000000000006E-2</v>
      </c>
      <c r="W798" s="261">
        <f t="shared" si="144"/>
        <v>8.5000000000000006E-2</v>
      </c>
      <c r="X798" s="261">
        <f t="shared" si="144"/>
        <v>8.5000000000000006E-2</v>
      </c>
      <c r="Y798" s="261">
        <f t="shared" si="144"/>
        <v>8.5000000000000006E-2</v>
      </c>
      <c r="Z798" s="261">
        <f t="shared" si="144"/>
        <v>8.5000000000000006E-2</v>
      </c>
      <c r="AA798" s="261">
        <f t="shared" si="144"/>
        <v>8.5000000000000006E-2</v>
      </c>
      <c r="AB798" s="261">
        <f t="shared" si="144"/>
        <v>8.5000000000000006E-2</v>
      </c>
      <c r="AC798" s="261">
        <f t="shared" si="144"/>
        <v>8.5000000000000006E-2</v>
      </c>
      <c r="AD798" s="261">
        <f t="shared" si="144"/>
        <v>8.5000000000000006E-2</v>
      </c>
      <c r="AE798" s="76"/>
      <c r="AF798" s="76"/>
      <c r="AG798" s="76"/>
      <c r="AH798" s="261">
        <f>AH$882</f>
        <v>1</v>
      </c>
      <c r="AI798" s="261">
        <f>AI$882</f>
        <v>1</v>
      </c>
      <c r="AJ798" s="73"/>
      <c r="AK798" s="57"/>
      <c r="AL798" s="45"/>
      <c r="AM798" s="45"/>
      <c r="AN798" s="45"/>
    </row>
    <row r="799" spans="1:40" hidden="1" outlineLevel="2" x14ac:dyDescent="0.25">
      <c r="A799" s="45">
        <v>4</v>
      </c>
      <c r="B799" s="54"/>
      <c r="C799" s="47">
        <f t="shared" si="140"/>
        <v>3</v>
      </c>
      <c r="D799" s="73"/>
      <c r="E799" s="70"/>
      <c r="F799" s="70" t="s">
        <v>1445</v>
      </c>
      <c r="G799" s="73"/>
      <c r="H799" s="76" t="s">
        <v>1446</v>
      </c>
      <c r="I799" s="96"/>
      <c r="J799" s="96" t="s">
        <v>1173</v>
      </c>
      <c r="K799" s="76"/>
      <c r="L799" s="76"/>
      <c r="M799" s="76"/>
      <c r="N799" s="76"/>
      <c r="O799" s="76"/>
      <c r="P799" s="76"/>
      <c r="Q799" s="76"/>
      <c r="R799" s="76"/>
      <c r="S799" s="76"/>
      <c r="T799" s="76"/>
      <c r="U799" s="261">
        <f t="shared" ref="U799:AD800" si="145">U$883</f>
        <v>7.0000000000000007E-2</v>
      </c>
      <c r="V799" s="261">
        <f t="shared" si="145"/>
        <v>7.0000000000000007E-2</v>
      </c>
      <c r="W799" s="261">
        <f t="shared" si="145"/>
        <v>7.0000000000000007E-2</v>
      </c>
      <c r="X799" s="261">
        <f t="shared" si="145"/>
        <v>7.0000000000000007E-2</v>
      </c>
      <c r="Y799" s="261">
        <f t="shared" si="145"/>
        <v>7.0000000000000007E-2</v>
      </c>
      <c r="Z799" s="261">
        <f t="shared" si="145"/>
        <v>7.0000000000000007E-2</v>
      </c>
      <c r="AA799" s="261">
        <f t="shared" si="145"/>
        <v>7.0000000000000007E-2</v>
      </c>
      <c r="AB799" s="261">
        <f t="shared" si="145"/>
        <v>7.0000000000000007E-2</v>
      </c>
      <c r="AC799" s="261">
        <f t="shared" si="145"/>
        <v>7.0000000000000007E-2</v>
      </c>
      <c r="AD799" s="261">
        <f t="shared" si="145"/>
        <v>7.0000000000000007E-2</v>
      </c>
      <c r="AE799" s="76"/>
      <c r="AF799" s="76"/>
      <c r="AG799" s="76"/>
      <c r="AH799" s="261">
        <f>AH$883</f>
        <v>1</v>
      </c>
      <c r="AI799" s="261">
        <f>AI$883</f>
        <v>1</v>
      </c>
      <c r="AJ799" s="73"/>
      <c r="AK799" s="57"/>
      <c r="AL799" s="45"/>
      <c r="AM799" s="45"/>
      <c r="AN799" s="45"/>
    </row>
    <row r="800" spans="1:40" hidden="1" outlineLevel="2" x14ac:dyDescent="0.25">
      <c r="A800" s="45">
        <f>A799</f>
        <v>4</v>
      </c>
      <c r="B800" s="54"/>
      <c r="C800" s="47">
        <f t="shared" si="140"/>
        <v>3</v>
      </c>
      <c r="D800" s="73"/>
      <c r="E800" s="70"/>
      <c r="F800" s="70" t="s">
        <v>1447</v>
      </c>
      <c r="G800" s="73"/>
      <c r="H800" s="76" t="s">
        <v>1448</v>
      </c>
      <c r="I800" s="96"/>
      <c r="J800" s="96" t="s">
        <v>1173</v>
      </c>
      <c r="K800" s="76"/>
      <c r="L800" s="76"/>
      <c r="M800" s="76"/>
      <c r="N800" s="76"/>
      <c r="O800" s="76"/>
      <c r="P800" s="76"/>
      <c r="Q800" s="76"/>
      <c r="R800" s="76"/>
      <c r="S800" s="76"/>
      <c r="T800" s="76"/>
      <c r="U800" s="261">
        <f t="shared" si="145"/>
        <v>7.0000000000000007E-2</v>
      </c>
      <c r="V800" s="261">
        <f t="shared" si="145"/>
        <v>7.0000000000000007E-2</v>
      </c>
      <c r="W800" s="261">
        <f t="shared" si="145"/>
        <v>7.0000000000000007E-2</v>
      </c>
      <c r="X800" s="261">
        <f t="shared" si="145"/>
        <v>7.0000000000000007E-2</v>
      </c>
      <c r="Y800" s="261">
        <f t="shared" si="145"/>
        <v>7.0000000000000007E-2</v>
      </c>
      <c r="Z800" s="261">
        <f t="shared" si="145"/>
        <v>7.0000000000000007E-2</v>
      </c>
      <c r="AA800" s="261">
        <f t="shared" si="145"/>
        <v>7.0000000000000007E-2</v>
      </c>
      <c r="AB800" s="261">
        <f t="shared" si="145"/>
        <v>7.0000000000000007E-2</v>
      </c>
      <c r="AC800" s="261">
        <f t="shared" si="145"/>
        <v>7.0000000000000007E-2</v>
      </c>
      <c r="AD800" s="261">
        <f t="shared" si="145"/>
        <v>7.0000000000000007E-2</v>
      </c>
      <c r="AE800" s="76"/>
      <c r="AF800" s="76"/>
      <c r="AG800" s="76"/>
      <c r="AH800" s="261">
        <f>AH$883</f>
        <v>1</v>
      </c>
      <c r="AI800" s="261">
        <f>AI$883</f>
        <v>1</v>
      </c>
      <c r="AJ800" s="73"/>
      <c r="AK800" s="57"/>
      <c r="AL800" s="45"/>
      <c r="AM800" s="45"/>
      <c r="AN800" s="45"/>
    </row>
    <row r="801" spans="1:40" hidden="1" outlineLevel="2" x14ac:dyDescent="0.25">
      <c r="A801" s="45"/>
      <c r="B801" s="54"/>
      <c r="C801" s="47">
        <f t="shared" si="140"/>
        <v>3</v>
      </c>
      <c r="D801" s="73"/>
      <c r="E801" s="70"/>
      <c r="F801" s="70" t="s">
        <v>1449</v>
      </c>
      <c r="G801" s="73"/>
      <c r="H801" s="76" t="s">
        <v>1450</v>
      </c>
      <c r="I801" s="96" t="s">
        <v>692</v>
      </c>
      <c r="J801" s="96" t="s">
        <v>1145</v>
      </c>
      <c r="K801" s="76"/>
      <c r="L801" s="76"/>
      <c r="M801" s="76"/>
      <c r="N801" s="76"/>
      <c r="O801" s="76"/>
      <c r="P801" s="76"/>
      <c r="Q801" s="76"/>
      <c r="R801" s="76"/>
      <c r="S801" s="76"/>
      <c r="T801" s="76"/>
      <c r="U801" s="261">
        <f t="shared" ref="U801:AD801" si="146">U$885</f>
        <v>0</v>
      </c>
      <c r="V801" s="261">
        <f t="shared" si="146"/>
        <v>0</v>
      </c>
      <c r="W801" s="261">
        <f t="shared" si="146"/>
        <v>0</v>
      </c>
      <c r="X801" s="261">
        <f t="shared" si="146"/>
        <v>0</v>
      </c>
      <c r="Y801" s="261">
        <f t="shared" si="146"/>
        <v>0</v>
      </c>
      <c r="Z801" s="261">
        <f t="shared" si="146"/>
        <v>0</v>
      </c>
      <c r="AA801" s="261">
        <f t="shared" si="146"/>
        <v>0</v>
      </c>
      <c r="AB801" s="261">
        <f t="shared" si="146"/>
        <v>0</v>
      </c>
      <c r="AC801" s="261">
        <f t="shared" si="146"/>
        <v>0</v>
      </c>
      <c r="AD801" s="261">
        <f t="shared" si="146"/>
        <v>0</v>
      </c>
      <c r="AE801" s="76"/>
      <c r="AF801" s="76" t="s">
        <v>1372</v>
      </c>
      <c r="AG801" s="76"/>
      <c r="AH801" s="261">
        <f>AH$885</f>
        <v>1</v>
      </c>
      <c r="AI801" s="261">
        <f>AI$885</f>
        <v>1</v>
      </c>
      <c r="AJ801" s="73"/>
      <c r="AK801" s="57"/>
      <c r="AL801" s="45"/>
      <c r="AM801" s="45"/>
      <c r="AN801" s="45"/>
    </row>
    <row r="802" spans="1:40" hidden="1" outlineLevel="2" x14ac:dyDescent="0.25">
      <c r="A802" s="45"/>
      <c r="B802" s="54"/>
      <c r="C802" s="47">
        <f t="shared" si="140"/>
        <v>3</v>
      </c>
      <c r="D802" s="73"/>
      <c r="E802" s="70"/>
      <c r="F802" s="70" t="s">
        <v>1451</v>
      </c>
      <c r="G802" s="73"/>
      <c r="H802" s="76" t="s">
        <v>1452</v>
      </c>
      <c r="I802" s="96" t="s">
        <v>692</v>
      </c>
      <c r="J802" s="96" t="s">
        <v>1145</v>
      </c>
      <c r="K802" s="76"/>
      <c r="L802" s="76"/>
      <c r="M802" s="76"/>
      <c r="N802" s="76"/>
      <c r="O802" s="76"/>
      <c r="P802" s="76"/>
      <c r="Q802" s="76"/>
      <c r="R802" s="76"/>
      <c r="S802" s="76"/>
      <c r="T802" s="76"/>
      <c r="U802" s="261">
        <f t="shared" ref="U802:AD802" si="147">U$886</f>
        <v>-0.95650000000000002</v>
      </c>
      <c r="V802" s="261">
        <f t="shared" si="147"/>
        <v>-0.95650000000000002</v>
      </c>
      <c r="W802" s="261">
        <f t="shared" si="147"/>
        <v>-0.95650000000000002</v>
      </c>
      <c r="X802" s="261">
        <f t="shared" si="147"/>
        <v>-0.95650000000000002</v>
      </c>
      <c r="Y802" s="261">
        <f t="shared" si="147"/>
        <v>-0.95650000000000002</v>
      </c>
      <c r="Z802" s="261">
        <f t="shared" si="147"/>
        <v>-0.95650000000000002</v>
      </c>
      <c r="AA802" s="261">
        <f t="shared" si="147"/>
        <v>-1.0820000000000001</v>
      </c>
      <c r="AB802" s="261">
        <f t="shared" si="147"/>
        <v>-1.0820000000000001</v>
      </c>
      <c r="AC802" s="261">
        <f t="shared" si="147"/>
        <v>-1.0820000000000001</v>
      </c>
      <c r="AD802" s="261">
        <f t="shared" si="147"/>
        <v>-1.0820000000000001</v>
      </c>
      <c r="AE802" s="76"/>
      <c r="AF802" s="76"/>
      <c r="AG802" s="76"/>
      <c r="AH802" s="261">
        <f>AH$886</f>
        <v>1</v>
      </c>
      <c r="AI802" s="261">
        <f>AI$886</f>
        <v>1</v>
      </c>
      <c r="AJ802" s="73"/>
      <c r="AK802" s="57"/>
      <c r="AL802" s="45"/>
      <c r="AM802" s="45"/>
      <c r="AN802" s="45"/>
    </row>
    <row r="803" spans="1:40" hidden="1" outlineLevel="2" x14ac:dyDescent="0.25">
      <c r="A803" s="45"/>
      <c r="B803" s="54"/>
      <c r="C803" s="47">
        <f t="shared" si="140"/>
        <v>3</v>
      </c>
      <c r="D803" s="73"/>
      <c r="E803" s="70"/>
      <c r="F803" s="70" t="s">
        <v>1453</v>
      </c>
      <c r="G803" s="73"/>
      <c r="H803" s="76" t="s">
        <v>1454</v>
      </c>
      <c r="I803" s="96" t="s">
        <v>692</v>
      </c>
      <c r="J803" s="96" t="s">
        <v>1145</v>
      </c>
      <c r="K803" s="76"/>
      <c r="L803" s="76"/>
      <c r="M803" s="76"/>
      <c r="N803" s="76"/>
      <c r="O803" s="76"/>
      <c r="P803" s="76"/>
      <c r="Q803" s="76"/>
      <c r="R803" s="76"/>
      <c r="S803" s="76"/>
      <c r="T803" s="76"/>
      <c r="U803" s="261">
        <f t="shared" ref="U803:AD803" si="148">U$887</f>
        <v>-1.7614000000000001</v>
      </c>
      <c r="V803" s="261">
        <f t="shared" si="148"/>
        <v>-1.7614000000000001</v>
      </c>
      <c r="W803" s="261">
        <f t="shared" si="148"/>
        <v>-1.7614000000000001</v>
      </c>
      <c r="X803" s="261">
        <f t="shared" si="148"/>
        <v>-1.7614000000000001</v>
      </c>
      <c r="Y803" s="261">
        <f t="shared" si="148"/>
        <v>-1.7614000000000001</v>
      </c>
      <c r="Z803" s="261">
        <f t="shared" si="148"/>
        <v>-1.7614000000000001</v>
      </c>
      <c r="AA803" s="261">
        <f t="shared" si="148"/>
        <v>-2.0059999999999998</v>
      </c>
      <c r="AB803" s="261">
        <f t="shared" si="148"/>
        <v>-2.0059999999999998</v>
      </c>
      <c r="AC803" s="261">
        <f t="shared" si="148"/>
        <v>-2.0059999999999998</v>
      </c>
      <c r="AD803" s="261">
        <f t="shared" si="148"/>
        <v>-2.0059999999999998</v>
      </c>
      <c r="AE803" s="76"/>
      <c r="AF803" s="76"/>
      <c r="AG803" s="76"/>
      <c r="AH803" s="261">
        <f>AH$887</f>
        <v>1</v>
      </c>
      <c r="AI803" s="261">
        <f>AI$887</f>
        <v>1</v>
      </c>
      <c r="AJ803" s="73"/>
      <c r="AK803" s="57"/>
      <c r="AL803" s="45"/>
      <c r="AM803" s="45"/>
      <c r="AN803" s="45"/>
    </row>
    <row r="804" spans="1:40" hidden="1" outlineLevel="2" x14ac:dyDescent="0.25">
      <c r="A804" s="45"/>
      <c r="B804" s="54"/>
      <c r="C804" s="47">
        <f t="shared" si="140"/>
        <v>3</v>
      </c>
      <c r="D804" s="73"/>
      <c r="E804" s="70"/>
      <c r="F804" s="70" t="s">
        <v>1455</v>
      </c>
      <c r="G804" s="73"/>
      <c r="H804" s="76" t="s">
        <v>1456</v>
      </c>
      <c r="I804" s="96" t="s">
        <v>692</v>
      </c>
      <c r="J804" s="96" t="s">
        <v>1145</v>
      </c>
      <c r="K804" s="76"/>
      <c r="L804" s="76"/>
      <c r="M804" s="76"/>
      <c r="N804" s="76"/>
      <c r="O804" s="76"/>
      <c r="P804" s="76"/>
      <c r="Q804" s="76"/>
      <c r="R804" s="76"/>
      <c r="S804" s="76"/>
      <c r="T804" s="76"/>
      <c r="U804" s="261">
        <f t="shared" ref="U804:AD804" si="149">U$886</f>
        <v>-0.95650000000000002</v>
      </c>
      <c r="V804" s="261">
        <f t="shared" si="149"/>
        <v>-0.95650000000000002</v>
      </c>
      <c r="W804" s="261">
        <f t="shared" si="149"/>
        <v>-0.95650000000000002</v>
      </c>
      <c r="X804" s="261">
        <f t="shared" si="149"/>
        <v>-0.95650000000000002</v>
      </c>
      <c r="Y804" s="261">
        <f t="shared" si="149"/>
        <v>-0.95650000000000002</v>
      </c>
      <c r="Z804" s="261">
        <f t="shared" si="149"/>
        <v>-0.95650000000000002</v>
      </c>
      <c r="AA804" s="261">
        <f t="shared" si="149"/>
        <v>-1.0820000000000001</v>
      </c>
      <c r="AB804" s="261">
        <f t="shared" si="149"/>
        <v>-1.0820000000000001</v>
      </c>
      <c r="AC804" s="261">
        <f t="shared" si="149"/>
        <v>-1.0820000000000001</v>
      </c>
      <c r="AD804" s="261">
        <f t="shared" si="149"/>
        <v>-1.0820000000000001</v>
      </c>
      <c r="AE804" s="76"/>
      <c r="AF804" s="76"/>
      <c r="AG804" s="76"/>
      <c r="AH804" s="261">
        <f>AH$886</f>
        <v>1</v>
      </c>
      <c r="AI804" s="261">
        <f>AI$886</f>
        <v>1</v>
      </c>
      <c r="AJ804" s="73"/>
      <c r="AK804" s="57"/>
      <c r="AL804" s="45"/>
      <c r="AM804" s="45"/>
      <c r="AN804" s="45"/>
    </row>
    <row r="805" spans="1:40" hidden="1" outlineLevel="2" x14ac:dyDescent="0.25">
      <c r="A805" s="45">
        <v>4</v>
      </c>
      <c r="B805" s="54"/>
      <c r="C805" s="47">
        <f t="shared" si="140"/>
        <v>3</v>
      </c>
      <c r="D805" s="73"/>
      <c r="E805" s="70"/>
      <c r="F805" s="70" t="s">
        <v>1457</v>
      </c>
      <c r="G805" s="73"/>
      <c r="H805" s="76" t="s">
        <v>1458</v>
      </c>
      <c r="I805" s="96" t="s">
        <v>692</v>
      </c>
      <c r="J805" s="96" t="s">
        <v>1145</v>
      </c>
      <c r="K805" s="76"/>
      <c r="L805" s="76"/>
      <c r="M805" s="76"/>
      <c r="N805" s="76"/>
      <c r="O805" s="76"/>
      <c r="P805" s="76"/>
      <c r="Q805" s="76"/>
      <c r="R805" s="76"/>
      <c r="S805" s="76"/>
      <c r="T805" s="76"/>
      <c r="U805" s="261">
        <f t="shared" ref="U805:AD806" si="150">U$887</f>
        <v>-1.7614000000000001</v>
      </c>
      <c r="V805" s="261">
        <f t="shared" si="150"/>
        <v>-1.7614000000000001</v>
      </c>
      <c r="W805" s="261">
        <f t="shared" si="150"/>
        <v>-1.7614000000000001</v>
      </c>
      <c r="X805" s="261">
        <f t="shared" si="150"/>
        <v>-1.7614000000000001</v>
      </c>
      <c r="Y805" s="261">
        <f t="shared" si="150"/>
        <v>-1.7614000000000001</v>
      </c>
      <c r="Z805" s="261">
        <f t="shared" si="150"/>
        <v>-1.7614000000000001</v>
      </c>
      <c r="AA805" s="261">
        <f t="shared" si="150"/>
        <v>-2.0059999999999998</v>
      </c>
      <c r="AB805" s="261">
        <f t="shared" si="150"/>
        <v>-2.0059999999999998</v>
      </c>
      <c r="AC805" s="261">
        <f t="shared" si="150"/>
        <v>-2.0059999999999998</v>
      </c>
      <c r="AD805" s="261">
        <f t="shared" si="150"/>
        <v>-2.0059999999999998</v>
      </c>
      <c r="AE805" s="76"/>
      <c r="AF805" s="76"/>
      <c r="AG805" s="76"/>
      <c r="AH805" s="261">
        <f>AH$887</f>
        <v>1</v>
      </c>
      <c r="AI805" s="261">
        <f>AI$887</f>
        <v>1</v>
      </c>
      <c r="AJ805" s="73"/>
      <c r="AK805" s="57"/>
      <c r="AL805" s="45"/>
      <c r="AM805" s="45"/>
      <c r="AN805" s="45"/>
    </row>
    <row r="806" spans="1:40" hidden="1" outlineLevel="2" x14ac:dyDescent="0.25">
      <c r="A806" s="45">
        <f>A805</f>
        <v>4</v>
      </c>
      <c r="B806" s="54"/>
      <c r="C806" s="47">
        <f t="shared" si="140"/>
        <v>3</v>
      </c>
      <c r="D806" s="73"/>
      <c r="E806" s="70"/>
      <c r="F806" s="70" t="s">
        <v>1459</v>
      </c>
      <c r="G806" s="73"/>
      <c r="H806" s="76" t="s">
        <v>1460</v>
      </c>
      <c r="I806" s="96" t="s">
        <v>692</v>
      </c>
      <c r="J806" s="96" t="s">
        <v>1145</v>
      </c>
      <c r="K806" s="76"/>
      <c r="L806" s="76"/>
      <c r="M806" s="76"/>
      <c r="N806" s="76"/>
      <c r="O806" s="76"/>
      <c r="P806" s="76"/>
      <c r="Q806" s="76"/>
      <c r="R806" s="76"/>
      <c r="S806" s="76"/>
      <c r="T806" s="76"/>
      <c r="U806" s="261">
        <f t="shared" si="150"/>
        <v>-1.7614000000000001</v>
      </c>
      <c r="V806" s="261">
        <f t="shared" si="150"/>
        <v>-1.7614000000000001</v>
      </c>
      <c r="W806" s="261">
        <f t="shared" si="150"/>
        <v>-1.7614000000000001</v>
      </c>
      <c r="X806" s="261">
        <f t="shared" si="150"/>
        <v>-1.7614000000000001</v>
      </c>
      <c r="Y806" s="261">
        <f t="shared" si="150"/>
        <v>-1.7614000000000001</v>
      </c>
      <c r="Z806" s="261">
        <f t="shared" si="150"/>
        <v>-1.7614000000000001</v>
      </c>
      <c r="AA806" s="261">
        <f t="shared" si="150"/>
        <v>-2.0059999999999998</v>
      </c>
      <c r="AB806" s="261">
        <f t="shared" si="150"/>
        <v>-2.0059999999999998</v>
      </c>
      <c r="AC806" s="261">
        <f t="shared" si="150"/>
        <v>-2.0059999999999998</v>
      </c>
      <c r="AD806" s="261">
        <f t="shared" si="150"/>
        <v>-2.0059999999999998</v>
      </c>
      <c r="AE806" s="76"/>
      <c r="AF806" s="76"/>
      <c r="AG806" s="76"/>
      <c r="AH806" s="261">
        <f>AH$887</f>
        <v>1</v>
      </c>
      <c r="AI806" s="261">
        <f>AI$887</f>
        <v>1</v>
      </c>
      <c r="AJ806" s="73"/>
      <c r="AK806" s="57"/>
      <c r="AL806" s="45"/>
      <c r="AM806" s="45"/>
      <c r="AN806" s="45"/>
    </row>
    <row r="807" spans="1:40" hidden="1" outlineLevel="2" x14ac:dyDescent="0.25">
      <c r="A807" s="45"/>
      <c r="B807" s="54"/>
      <c r="C807" s="47">
        <f t="shared" si="140"/>
        <v>3</v>
      </c>
      <c r="D807" s="73"/>
      <c r="E807" s="70"/>
      <c r="F807" s="70" t="s">
        <v>1461</v>
      </c>
      <c r="G807" s="73"/>
      <c r="H807" s="76" t="s">
        <v>1462</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1283</v>
      </c>
      <c r="AG807" s="76"/>
      <c r="AH807" s="97">
        <v>1</v>
      </c>
      <c r="AI807" s="97">
        <v>1</v>
      </c>
      <c r="AJ807" s="73"/>
      <c r="AK807" s="57"/>
      <c r="AL807" s="45"/>
      <c r="AM807" s="45"/>
      <c r="AN807" s="45"/>
    </row>
    <row r="808" spans="1:40" hidden="1" outlineLevel="2" x14ac:dyDescent="0.25">
      <c r="A808" s="45"/>
      <c r="B808" s="54"/>
      <c r="C808" s="47">
        <f t="shared" si="140"/>
        <v>3</v>
      </c>
      <c r="D808" s="73"/>
      <c r="E808" s="70"/>
      <c r="F808" s="70" t="s">
        <v>1463</v>
      </c>
      <c r="G808" s="73"/>
      <c r="H808" s="76" t="s">
        <v>1464</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1">U808</f>
        <v>-4.9400000000000004</v>
      </c>
      <c r="X808" s="336">
        <f t="shared" si="151"/>
        <v>-4.9400000000000004</v>
      </c>
      <c r="Y808" s="336">
        <f>V808</f>
        <v>-4.9400000000000004</v>
      </c>
      <c r="Z808" s="336">
        <f>AA808</f>
        <v>-6.68</v>
      </c>
      <c r="AA808" s="97">
        <v>-6.68</v>
      </c>
      <c r="AB808" s="255">
        <f t="shared" ref="AB808:AD812" si="152">AA808</f>
        <v>-6.68</v>
      </c>
      <c r="AC808" s="255">
        <f t="shared" si="152"/>
        <v>-6.68</v>
      </c>
      <c r="AD808" s="255">
        <f t="shared" si="152"/>
        <v>-6.68</v>
      </c>
      <c r="AE808" s="76"/>
      <c r="AF808" s="97" t="s">
        <v>2302</v>
      </c>
      <c r="AG808" s="76"/>
      <c r="AH808" s="97">
        <v>1</v>
      </c>
      <c r="AI808" s="97">
        <v>1</v>
      </c>
      <c r="AJ808" s="73"/>
      <c r="AK808" s="57"/>
      <c r="AL808" s="45"/>
      <c r="AM808" s="45"/>
      <c r="AN808" s="45"/>
    </row>
    <row r="809" spans="1:40" hidden="1" outlineLevel="2" x14ac:dyDescent="0.25">
      <c r="A809" s="45"/>
      <c r="B809" s="54"/>
      <c r="C809" s="47">
        <f t="shared" si="140"/>
        <v>3</v>
      </c>
      <c r="D809" s="73"/>
      <c r="E809" s="70"/>
      <c r="F809" s="70" t="s">
        <v>1465</v>
      </c>
      <c r="G809" s="73"/>
      <c r="H809" s="76" t="s">
        <v>1466</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1"/>
        <v>-6.8171999999999997</v>
      </c>
      <c r="X809" s="336">
        <f t="shared" si="151"/>
        <v>-6.8171999999999997</v>
      </c>
      <c r="Y809" s="336">
        <f>V809</f>
        <v>-6.8171999999999997</v>
      </c>
      <c r="Z809" s="336">
        <f>AA809</f>
        <v>-9.2200000000000006</v>
      </c>
      <c r="AA809" s="97">
        <v>-9.2200000000000006</v>
      </c>
      <c r="AB809" s="255">
        <f t="shared" si="152"/>
        <v>-9.2200000000000006</v>
      </c>
      <c r="AC809" s="255">
        <f t="shared" si="152"/>
        <v>-9.2200000000000006</v>
      </c>
      <c r="AD809" s="255">
        <f t="shared" si="152"/>
        <v>-9.2200000000000006</v>
      </c>
      <c r="AE809" s="76"/>
      <c r="AF809" s="97" t="s">
        <v>2303</v>
      </c>
      <c r="AG809" s="76"/>
      <c r="AH809" s="97">
        <v>1</v>
      </c>
      <c r="AI809" s="97">
        <v>1</v>
      </c>
      <c r="AJ809" s="73"/>
      <c r="AK809" s="57"/>
      <c r="AL809" s="45"/>
      <c r="AM809" s="45"/>
      <c r="AN809" s="45"/>
    </row>
    <row r="810" spans="1:40" hidden="1" outlineLevel="2" x14ac:dyDescent="0.25">
      <c r="A810" s="45"/>
      <c r="B810" s="54"/>
      <c r="C810" s="47">
        <f t="shared" si="140"/>
        <v>3</v>
      </c>
      <c r="D810" s="73"/>
      <c r="E810" s="70"/>
      <c r="F810" s="70" t="s">
        <v>1468</v>
      </c>
      <c r="G810" s="73"/>
      <c r="H810" s="76" t="s">
        <v>1469</v>
      </c>
      <c r="I810" s="96" t="s">
        <v>692</v>
      </c>
      <c r="J810" s="96" t="s">
        <v>1145</v>
      </c>
      <c r="K810" s="76"/>
      <c r="L810" s="76"/>
      <c r="M810" s="76"/>
      <c r="N810" s="76"/>
      <c r="O810" s="76"/>
      <c r="P810" s="76"/>
      <c r="Q810" s="76"/>
      <c r="R810" s="76"/>
      <c r="S810" s="76"/>
      <c r="T810" s="76"/>
      <c r="U810" s="334">
        <v>-1.85</v>
      </c>
      <c r="V810" s="336">
        <f>U810</f>
        <v>-1.85</v>
      </c>
      <c r="W810" s="336">
        <f t="shared" si="151"/>
        <v>-1.85</v>
      </c>
      <c r="X810" s="336">
        <f t="shared" si="151"/>
        <v>-1.85</v>
      </c>
      <c r="Y810" s="336">
        <f>V810</f>
        <v>-1.85</v>
      </c>
      <c r="Z810" s="336">
        <f>AA810</f>
        <v>-3.36</v>
      </c>
      <c r="AA810" s="97">
        <v>-3.36</v>
      </c>
      <c r="AB810" s="255">
        <f t="shared" si="152"/>
        <v>-3.36</v>
      </c>
      <c r="AC810" s="255">
        <f t="shared" si="152"/>
        <v>-3.36</v>
      </c>
      <c r="AD810" s="255">
        <f t="shared" si="152"/>
        <v>-3.36</v>
      </c>
      <c r="AE810" s="76"/>
      <c r="AF810" s="97" t="s">
        <v>2304</v>
      </c>
      <c r="AG810" s="76"/>
      <c r="AH810" s="97">
        <v>1</v>
      </c>
      <c r="AI810" s="97">
        <v>1</v>
      </c>
      <c r="AJ810" s="73"/>
      <c r="AK810" s="57"/>
      <c r="AL810" s="45"/>
      <c r="AM810" s="45"/>
      <c r="AN810" s="45"/>
    </row>
    <row r="811" spans="1:40" hidden="1" outlineLevel="2" x14ac:dyDescent="0.25">
      <c r="A811" s="45">
        <v>4</v>
      </c>
      <c r="B811" s="54"/>
      <c r="C811" s="47">
        <f t="shared" si="140"/>
        <v>3</v>
      </c>
      <c r="D811" s="73"/>
      <c r="E811" s="70"/>
      <c r="F811" s="70" t="s">
        <v>1470</v>
      </c>
      <c r="G811" s="73"/>
      <c r="H811" s="76" t="s">
        <v>1471</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1"/>
        <v>-6.1627488000000001</v>
      </c>
      <c r="X811" s="336">
        <f t="shared" si="151"/>
        <v>-6.1627488000000001</v>
      </c>
      <c r="Y811" s="336">
        <f>V811</f>
        <v>-6.1627488000000001</v>
      </c>
      <c r="Z811" s="336">
        <f>AA811</f>
        <v>-8.33</v>
      </c>
      <c r="AA811" s="97">
        <v>-8.33</v>
      </c>
      <c r="AB811" s="255">
        <f t="shared" si="152"/>
        <v>-8.33</v>
      </c>
      <c r="AC811" s="255">
        <f t="shared" si="152"/>
        <v>-8.33</v>
      </c>
      <c r="AD811" s="255">
        <f t="shared" si="152"/>
        <v>-8.33</v>
      </c>
      <c r="AE811" s="76"/>
      <c r="AF811" s="97"/>
      <c r="AG811" s="76"/>
      <c r="AH811" s="97">
        <v>1</v>
      </c>
      <c r="AI811" s="97">
        <v>1</v>
      </c>
      <c r="AJ811" s="73"/>
      <c r="AK811" s="57"/>
      <c r="AL811" s="45"/>
      <c r="AM811" s="45"/>
      <c r="AN811" s="45"/>
    </row>
    <row r="812" spans="1:40" hidden="1" outlineLevel="2" x14ac:dyDescent="0.25">
      <c r="A812" s="45">
        <f>A811</f>
        <v>4</v>
      </c>
      <c r="B812" s="54"/>
      <c r="C812" s="47">
        <f t="shared" si="140"/>
        <v>3</v>
      </c>
      <c r="D812" s="73"/>
      <c r="E812" s="70"/>
      <c r="F812" s="70" t="s">
        <v>1472</v>
      </c>
      <c r="G812" s="73"/>
      <c r="H812" s="76" t="s">
        <v>1473</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1"/>
        <v>-3.7835460000000003</v>
      </c>
      <c r="X812" s="336">
        <f t="shared" si="151"/>
        <v>-3.7835460000000003</v>
      </c>
      <c r="Y812" s="336">
        <f>V812</f>
        <v>-3.7835460000000003</v>
      </c>
      <c r="Z812" s="336">
        <f>AA812</f>
        <v>-5.1100000000000003</v>
      </c>
      <c r="AA812" s="97">
        <v>-5.1100000000000003</v>
      </c>
      <c r="AB812" s="255">
        <f t="shared" si="152"/>
        <v>-5.1100000000000003</v>
      </c>
      <c r="AC812" s="255">
        <f t="shared" si="152"/>
        <v>-5.1100000000000003</v>
      </c>
      <c r="AD812" s="255">
        <f t="shared" si="152"/>
        <v>-5.1100000000000003</v>
      </c>
      <c r="AE812" s="76"/>
      <c r="AF812" s="97"/>
      <c r="AG812" s="76"/>
      <c r="AH812" s="97">
        <v>1</v>
      </c>
      <c r="AI812" s="97">
        <v>1</v>
      </c>
      <c r="AJ812" s="73"/>
      <c r="AK812" s="57"/>
      <c r="AL812" s="45"/>
      <c r="AM812" s="45"/>
      <c r="AN812" s="45"/>
    </row>
    <row r="813" spans="1:40" hidden="1" outlineLevel="2" x14ac:dyDescent="0.25">
      <c r="A813" s="45"/>
      <c r="B813" s="54"/>
      <c r="C813" s="47">
        <f t="shared" si="140"/>
        <v>3</v>
      </c>
      <c r="D813" s="73"/>
      <c r="E813" s="70"/>
      <c r="F813" s="70" t="s">
        <v>1474</v>
      </c>
      <c r="G813" s="73"/>
      <c r="H813" s="76" t="s">
        <v>1475</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1290</v>
      </c>
      <c r="AG813" s="76"/>
      <c r="AH813" s="97">
        <v>1</v>
      </c>
      <c r="AI813" s="97">
        <v>1</v>
      </c>
      <c r="AJ813" s="73"/>
      <c r="AK813" s="57"/>
      <c r="AL813" s="45"/>
      <c r="AM813" s="45"/>
      <c r="AN813" s="45"/>
    </row>
    <row r="814" spans="1:40" hidden="1" outlineLevel="2" x14ac:dyDescent="0.25">
      <c r="A814" s="45"/>
      <c r="B814" s="54"/>
      <c r="C814" s="47">
        <f t="shared" si="140"/>
        <v>3</v>
      </c>
      <c r="D814" s="73"/>
      <c r="E814" s="70"/>
      <c r="F814" s="70" t="s">
        <v>1476</v>
      </c>
      <c r="G814" s="73"/>
      <c r="H814" s="76" t="s">
        <v>1477</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25">
      <c r="A815" s="45"/>
      <c r="B815" s="54"/>
      <c r="C815" s="47">
        <f t="shared" si="140"/>
        <v>3</v>
      </c>
      <c r="D815" s="73"/>
      <c r="E815" s="70"/>
      <c r="F815" s="70" t="s">
        <v>1478</v>
      </c>
      <c r="G815" s="73"/>
      <c r="H815" s="76" t="s">
        <v>1479</v>
      </c>
      <c r="I815" s="96" t="s">
        <v>692</v>
      </c>
      <c r="J815" s="96" t="s">
        <v>1145</v>
      </c>
      <c r="K815" s="76"/>
      <c r="L815" s="76"/>
      <c r="M815" s="76"/>
      <c r="N815" s="76"/>
      <c r="O815" s="76"/>
      <c r="P815" s="76"/>
      <c r="Q815" s="76"/>
      <c r="R815" s="76"/>
      <c r="S815" s="76"/>
      <c r="T815" s="76"/>
      <c r="U815" s="261">
        <f t="shared" ref="U815:AD815" si="153">U814</f>
        <v>-5.2299999999999999E-2</v>
      </c>
      <c r="V815" s="261">
        <f t="shared" si="153"/>
        <v>-5.2299999999999999E-2</v>
      </c>
      <c r="W815" s="261">
        <f t="shared" si="153"/>
        <v>-5.2299999999999999E-2</v>
      </c>
      <c r="X815" s="261">
        <f t="shared" si="153"/>
        <v>-5.2299999999999999E-2</v>
      </c>
      <c r="Y815" s="261">
        <f t="shared" si="153"/>
        <v>-5.2299999999999999E-2</v>
      </c>
      <c r="Z815" s="261">
        <f t="shared" si="153"/>
        <v>-5.2299999999999999E-2</v>
      </c>
      <c r="AA815" s="261">
        <f t="shared" si="153"/>
        <v>-5.2299999999999999E-2</v>
      </c>
      <c r="AB815" s="261">
        <f t="shared" si="153"/>
        <v>-5.2299999999999999E-2</v>
      </c>
      <c r="AC815" s="261">
        <f t="shared" si="153"/>
        <v>-5.2299999999999999E-2</v>
      </c>
      <c r="AD815" s="261">
        <f t="shared" si="153"/>
        <v>-5.2299999999999999E-2</v>
      </c>
      <c r="AE815" s="76"/>
      <c r="AF815" s="97" t="s">
        <v>1467</v>
      </c>
      <c r="AG815" s="76"/>
      <c r="AH815" s="97">
        <v>1</v>
      </c>
      <c r="AI815" s="97">
        <v>1</v>
      </c>
      <c r="AJ815" s="73"/>
      <c r="AK815" s="57"/>
      <c r="AL815" s="45"/>
      <c r="AM815" s="45"/>
      <c r="AN815" s="45"/>
    </row>
    <row r="816" spans="1:40" hidden="1" outlineLevel="2" x14ac:dyDescent="0.25">
      <c r="A816" s="45"/>
      <c r="B816" s="54"/>
      <c r="C816" s="47">
        <f t="shared" si="140"/>
        <v>3</v>
      </c>
      <c r="D816" s="73"/>
      <c r="E816" s="70"/>
      <c r="F816" s="70" t="s">
        <v>1480</v>
      </c>
      <c r="G816" s="73"/>
      <c r="H816" s="76" t="s">
        <v>1481</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25">
      <c r="A817" s="45">
        <v>4</v>
      </c>
      <c r="B817" s="54"/>
      <c r="C817" s="47">
        <f t="shared" si="140"/>
        <v>3</v>
      </c>
      <c r="D817" s="73"/>
      <c r="E817" s="70"/>
      <c r="F817" s="70" t="s">
        <v>1482</v>
      </c>
      <c r="G817" s="73"/>
      <c r="H817" s="76" t="s">
        <v>1483</v>
      </c>
      <c r="I817" s="96" t="s">
        <v>692</v>
      </c>
      <c r="J817" s="96" t="s">
        <v>1145</v>
      </c>
      <c r="K817" s="76"/>
      <c r="L817" s="76"/>
      <c r="M817" s="76"/>
      <c r="N817" s="76"/>
      <c r="O817" s="76"/>
      <c r="P817" s="76"/>
      <c r="Q817" s="76"/>
      <c r="R817" s="76"/>
      <c r="S817" s="76"/>
      <c r="T817" s="76"/>
      <c r="U817" s="261">
        <f t="shared" ref="U817:AD818" si="154">U816</f>
        <v>-1.0699999999999999E-2</v>
      </c>
      <c r="V817" s="261">
        <f t="shared" si="154"/>
        <v>-1.0699999999999999E-2</v>
      </c>
      <c r="W817" s="261">
        <f t="shared" si="154"/>
        <v>-1.0699999999999999E-2</v>
      </c>
      <c r="X817" s="261">
        <f t="shared" si="154"/>
        <v>-1.0699999999999999E-2</v>
      </c>
      <c r="Y817" s="261">
        <f t="shared" si="154"/>
        <v>-1.0699999999999999E-2</v>
      </c>
      <c r="Z817" s="261">
        <f t="shared" si="154"/>
        <v>-1.0699999999999999E-2</v>
      </c>
      <c r="AA817" s="261">
        <f t="shared" si="154"/>
        <v>-1.0699999999999999E-2</v>
      </c>
      <c r="AB817" s="261">
        <f t="shared" si="154"/>
        <v>-1.0699999999999999E-2</v>
      </c>
      <c r="AC817" s="261">
        <f t="shared" si="154"/>
        <v>-1.0699999999999999E-2</v>
      </c>
      <c r="AD817" s="261">
        <f t="shared" si="154"/>
        <v>-1.0699999999999999E-2</v>
      </c>
      <c r="AE817" s="76"/>
      <c r="AF817" s="97"/>
      <c r="AG817" s="76"/>
      <c r="AH817" s="97">
        <v>1</v>
      </c>
      <c r="AI817" s="97">
        <v>1</v>
      </c>
      <c r="AJ817" s="73"/>
      <c r="AK817" s="57"/>
      <c r="AL817" s="45"/>
      <c r="AM817" s="45"/>
      <c r="AN817" s="45"/>
    </row>
    <row r="818" spans="1:40" hidden="1" outlineLevel="2" x14ac:dyDescent="0.25">
      <c r="A818" s="45">
        <f>A817</f>
        <v>4</v>
      </c>
      <c r="B818" s="54"/>
      <c r="C818" s="47">
        <f t="shared" si="140"/>
        <v>3</v>
      </c>
      <c r="D818" s="73"/>
      <c r="E818" s="70"/>
      <c r="F818" s="70" t="s">
        <v>1484</v>
      </c>
      <c r="G818" s="73"/>
      <c r="H818" s="76" t="s">
        <v>1485</v>
      </c>
      <c r="I818" s="96" t="s">
        <v>692</v>
      </c>
      <c r="J818" s="96" t="s">
        <v>1145</v>
      </c>
      <c r="K818" s="76"/>
      <c r="L818" s="76"/>
      <c r="M818" s="76"/>
      <c r="N818" s="76"/>
      <c r="O818" s="76"/>
      <c r="P818" s="76"/>
      <c r="Q818" s="76"/>
      <c r="R818" s="76"/>
      <c r="S818" s="76"/>
      <c r="T818" s="76"/>
      <c r="U818" s="261">
        <f t="shared" si="154"/>
        <v>-1.0699999999999999E-2</v>
      </c>
      <c r="V818" s="261">
        <f t="shared" si="154"/>
        <v>-1.0699999999999999E-2</v>
      </c>
      <c r="W818" s="261">
        <f t="shared" si="154"/>
        <v>-1.0699999999999999E-2</v>
      </c>
      <c r="X818" s="261">
        <f t="shared" si="154"/>
        <v>-1.0699999999999999E-2</v>
      </c>
      <c r="Y818" s="261">
        <f t="shared" si="154"/>
        <v>-1.0699999999999999E-2</v>
      </c>
      <c r="Z818" s="261">
        <f t="shared" si="154"/>
        <v>-1.0699999999999999E-2</v>
      </c>
      <c r="AA818" s="261">
        <f t="shared" si="154"/>
        <v>-1.0699999999999999E-2</v>
      </c>
      <c r="AB818" s="261">
        <f t="shared" si="154"/>
        <v>-1.0699999999999999E-2</v>
      </c>
      <c r="AC818" s="261">
        <f t="shared" si="154"/>
        <v>-1.0699999999999999E-2</v>
      </c>
      <c r="AD818" s="261">
        <f t="shared" si="154"/>
        <v>-1.0699999999999999E-2</v>
      </c>
      <c r="AE818" s="76"/>
      <c r="AF818" s="97"/>
      <c r="AG818" s="76"/>
      <c r="AH818" s="97">
        <v>1</v>
      </c>
      <c r="AI818" s="97">
        <v>1</v>
      </c>
      <c r="AJ818" s="73"/>
      <c r="AK818" s="57"/>
      <c r="AL818" s="45"/>
      <c r="AM818" s="45"/>
      <c r="AN818" s="45"/>
    </row>
    <row r="819" spans="1:40" outlineLevel="1" collapsed="1" x14ac:dyDescent="0.25">
      <c r="A819" s="45"/>
      <c r="B819" s="54"/>
      <c r="C819" s="47">
        <f>INT($C$29)+1</f>
        <v>2</v>
      </c>
      <c r="D819" s="73"/>
      <c r="E819" s="70"/>
      <c r="F819" s="256" t="s">
        <v>1486</v>
      </c>
      <c r="G819" s="73"/>
      <c r="H819" s="246" t="s">
        <v>1487</v>
      </c>
      <c r="I819" s="129"/>
      <c r="J819" s="129" t="s">
        <v>1045</v>
      </c>
      <c r="K819" s="76"/>
      <c r="L819" s="76"/>
      <c r="M819" s="76"/>
      <c r="N819" s="76"/>
      <c r="O819" s="76"/>
      <c r="P819" s="76"/>
      <c r="Q819" s="76"/>
      <c r="R819" s="76"/>
      <c r="S819" s="76"/>
      <c r="T819" s="76"/>
      <c r="U819" s="79">
        <v>38</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hidden="1" outlineLevel="3" x14ac:dyDescent="0.25">
      <c r="A820" s="45"/>
      <c r="B820" s="54"/>
      <c r="C820" s="47">
        <f>INT($C$29)+3</f>
        <v>4</v>
      </c>
      <c r="D820" s="73"/>
      <c r="E820" s="70"/>
      <c r="F820" s="70" t="s">
        <v>1488</v>
      </c>
      <c r="G820" s="73"/>
      <c r="H820" s="76" t="s">
        <v>1489</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25">
      <c r="A821" s="45"/>
      <c r="B821" s="54"/>
      <c r="C821" s="47">
        <f>INT($C$29)+3</f>
        <v>4</v>
      </c>
      <c r="D821" s="73"/>
      <c r="E821" s="70"/>
      <c r="F821" s="70" t="s">
        <v>1490</v>
      </c>
      <c r="G821" s="73"/>
      <c r="H821" s="76" t="s">
        <v>1491</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1492</v>
      </c>
      <c r="G822" s="73"/>
      <c r="H822" s="76" t="s">
        <v>1493</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1494</v>
      </c>
      <c r="G823" s="73"/>
      <c r="H823" s="76" t="s">
        <v>1495</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2" x14ac:dyDescent="0.25">
      <c r="A824" s="45"/>
      <c r="B824" s="54"/>
      <c r="C824" s="47">
        <f t="shared" ref="C824:C858" si="155">INT($C$29)+2</f>
        <v>3</v>
      </c>
      <c r="D824" s="73"/>
      <c r="E824" s="70" t="s">
        <v>985</v>
      </c>
      <c r="F824" s="70" t="s">
        <v>1496</v>
      </c>
      <c r="G824" s="73"/>
      <c r="H824" s="76" t="s">
        <v>1497</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1498</v>
      </c>
      <c r="AG824" s="76"/>
      <c r="AH824" s="76">
        <v>1</v>
      </c>
      <c r="AI824" s="76">
        <v>1</v>
      </c>
      <c r="AJ824" s="73"/>
      <c r="AK824" s="57"/>
      <c r="AL824" s="45"/>
      <c r="AM824" s="45"/>
      <c r="AN824" s="45"/>
    </row>
    <row r="825" spans="1:40" hidden="1" outlineLevel="2" x14ac:dyDescent="0.25">
      <c r="A825" s="45"/>
      <c r="B825" s="54"/>
      <c r="C825" s="47">
        <f t="shared" si="155"/>
        <v>3</v>
      </c>
      <c r="D825" s="73"/>
      <c r="E825" s="70"/>
      <c r="F825" s="70" t="s">
        <v>1499</v>
      </c>
      <c r="G825" s="73"/>
      <c r="H825" s="76" t="s">
        <v>1500</v>
      </c>
      <c r="I825" s="96" t="s">
        <v>502</v>
      </c>
      <c r="J825" s="96"/>
      <c r="K825" s="76"/>
      <c r="L825" s="76"/>
      <c r="M825" s="97">
        <v>0</v>
      </c>
      <c r="N825" s="97">
        <v>0</v>
      </c>
      <c r="O825" s="97">
        <v>0</v>
      </c>
      <c r="P825" s="97">
        <v>0</v>
      </c>
      <c r="Q825" s="76"/>
      <c r="R825" s="76"/>
      <c r="S825" s="97" t="s">
        <v>1501</v>
      </c>
      <c r="T825" s="76"/>
      <c r="U825" s="97">
        <f>0.23/2</f>
        <v>0.115</v>
      </c>
      <c r="V825" s="97">
        <f>0.23/2</f>
        <v>0.115</v>
      </c>
      <c r="W825" s="97">
        <f>0.23/2</f>
        <v>0.115</v>
      </c>
      <c r="X825" s="97">
        <f>0.23/2</f>
        <v>0.115</v>
      </c>
      <c r="Y825" s="97">
        <f>0.23/2</f>
        <v>0.115</v>
      </c>
      <c r="Z825" s="97">
        <f t="shared" ref="Z825:AE825" si="156">0.34/2</f>
        <v>0.17</v>
      </c>
      <c r="AA825" s="97">
        <f t="shared" si="156"/>
        <v>0.17</v>
      </c>
      <c r="AB825" s="97">
        <f t="shared" si="156"/>
        <v>0.17</v>
      </c>
      <c r="AC825" s="97">
        <f t="shared" si="156"/>
        <v>0.17</v>
      </c>
      <c r="AD825" s="97">
        <f t="shared" si="156"/>
        <v>0.17</v>
      </c>
      <c r="AE825" s="97">
        <f t="shared" si="156"/>
        <v>0.17</v>
      </c>
      <c r="AF825" s="97" t="s">
        <v>2592</v>
      </c>
      <c r="AG825" s="76"/>
      <c r="AH825" s="97">
        <v>1</v>
      </c>
      <c r="AI825" s="97">
        <v>1</v>
      </c>
      <c r="AJ825" s="73"/>
      <c r="AK825" s="57"/>
      <c r="AL825" s="45"/>
      <c r="AM825" s="45"/>
      <c r="AN825" s="45"/>
    </row>
    <row r="826" spans="1:40" hidden="1" outlineLevel="2" x14ac:dyDescent="0.25">
      <c r="A826" s="45"/>
      <c r="B826" s="54"/>
      <c r="C826" s="47">
        <f t="shared" si="155"/>
        <v>3</v>
      </c>
      <c r="D826" s="73"/>
      <c r="E826" s="70"/>
      <c r="F826" s="70" t="s">
        <v>1503</v>
      </c>
      <c r="G826" s="73"/>
      <c r="H826" s="76" t="s">
        <v>1504</v>
      </c>
      <c r="I826" s="96" t="s">
        <v>502</v>
      </c>
      <c r="J826" s="96"/>
      <c r="K826" s="76"/>
      <c r="L826" s="76"/>
      <c r="M826" s="76"/>
      <c r="N826" s="76"/>
      <c r="O826" s="76"/>
      <c r="P826" s="76"/>
      <c r="Q826" s="76"/>
      <c r="R826" s="76"/>
      <c r="S826" s="76"/>
      <c r="T826" s="76"/>
      <c r="U826" s="97">
        <f t="shared" ref="U826:Y827" si="157">0.39/2</f>
        <v>0.19500000000000001</v>
      </c>
      <c r="V826" s="97">
        <f t="shared" si="157"/>
        <v>0.19500000000000001</v>
      </c>
      <c r="W826" s="97">
        <f t="shared" si="157"/>
        <v>0.19500000000000001</v>
      </c>
      <c r="X826" s="97">
        <f t="shared" si="157"/>
        <v>0.19500000000000001</v>
      </c>
      <c r="Y826" s="97">
        <f t="shared" si="157"/>
        <v>0.19500000000000001</v>
      </c>
      <c r="Z826" s="97">
        <f t="shared" ref="Z826:AE827" si="158">0.64/2</f>
        <v>0.32</v>
      </c>
      <c r="AA826" s="97">
        <f t="shared" si="158"/>
        <v>0.32</v>
      </c>
      <c r="AB826" s="97">
        <f t="shared" si="158"/>
        <v>0.32</v>
      </c>
      <c r="AC826" s="97">
        <f t="shared" si="158"/>
        <v>0.32</v>
      </c>
      <c r="AD826" s="97">
        <f t="shared" si="158"/>
        <v>0.32</v>
      </c>
      <c r="AE826" s="97">
        <f t="shared" si="158"/>
        <v>0.32</v>
      </c>
      <c r="AF826" s="97" t="s">
        <v>1502</v>
      </c>
      <c r="AG826" s="76"/>
      <c r="AH826" s="97">
        <v>1</v>
      </c>
      <c r="AI826" s="97">
        <v>1</v>
      </c>
      <c r="AJ826" s="73"/>
      <c r="AK826" s="57"/>
      <c r="AL826" s="45"/>
      <c r="AM826" s="45"/>
      <c r="AN826" s="45"/>
    </row>
    <row r="827" spans="1:40" hidden="1" outlineLevel="2" x14ac:dyDescent="0.25">
      <c r="A827" s="45"/>
      <c r="B827" s="54"/>
      <c r="C827" s="47">
        <f t="shared" si="155"/>
        <v>3</v>
      </c>
      <c r="D827" s="73"/>
      <c r="E827" s="70"/>
      <c r="F827" s="70" t="s">
        <v>1505</v>
      </c>
      <c r="G827" s="73"/>
      <c r="H827" s="76" t="s">
        <v>1506</v>
      </c>
      <c r="I827" s="96" t="s">
        <v>502</v>
      </c>
      <c r="J827" s="96"/>
      <c r="K827" s="76"/>
      <c r="L827" s="76"/>
      <c r="M827" s="76"/>
      <c r="N827" s="76"/>
      <c r="O827" s="76"/>
      <c r="P827" s="76"/>
      <c r="Q827" s="76"/>
      <c r="R827" s="76"/>
      <c r="S827" s="76"/>
      <c r="T827" s="76"/>
      <c r="U827" s="97">
        <f t="shared" si="157"/>
        <v>0.19500000000000001</v>
      </c>
      <c r="V827" s="97">
        <f t="shared" si="157"/>
        <v>0.19500000000000001</v>
      </c>
      <c r="W827" s="97">
        <f t="shared" si="157"/>
        <v>0.19500000000000001</v>
      </c>
      <c r="X827" s="97">
        <f t="shared" si="157"/>
        <v>0.19500000000000001</v>
      </c>
      <c r="Y827" s="97">
        <f t="shared" si="157"/>
        <v>0.19500000000000001</v>
      </c>
      <c r="Z827" s="97">
        <f t="shared" si="158"/>
        <v>0.32</v>
      </c>
      <c r="AA827" s="97">
        <f t="shared" si="158"/>
        <v>0.32</v>
      </c>
      <c r="AB827" s="97">
        <f t="shared" si="158"/>
        <v>0.32</v>
      </c>
      <c r="AC827" s="97">
        <f t="shared" si="158"/>
        <v>0.32</v>
      </c>
      <c r="AD827" s="97">
        <f t="shared" si="158"/>
        <v>0.32</v>
      </c>
      <c r="AE827" s="97">
        <f t="shared" si="158"/>
        <v>0.32</v>
      </c>
      <c r="AF827" s="97" t="s">
        <v>1024</v>
      </c>
      <c r="AG827" s="76"/>
      <c r="AH827" s="97">
        <v>1</v>
      </c>
      <c r="AI827" s="97">
        <v>1</v>
      </c>
      <c r="AJ827" s="73"/>
      <c r="AK827" s="57"/>
      <c r="AL827" s="45"/>
      <c r="AM827" s="45"/>
      <c r="AN827" s="45"/>
    </row>
    <row r="828" spans="1:40" hidden="1" outlineLevel="2" x14ac:dyDescent="0.25">
      <c r="A828" s="45"/>
      <c r="B828" s="54"/>
      <c r="C828" s="47">
        <f t="shared" si="155"/>
        <v>3</v>
      </c>
      <c r="D828" s="73"/>
      <c r="E828" s="70" t="s">
        <v>1507</v>
      </c>
      <c r="F828" s="70" t="s">
        <v>1508</v>
      </c>
      <c r="G828" s="73"/>
      <c r="H828" s="76" t="s">
        <v>1509</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1498</v>
      </c>
      <c r="AG828" s="76"/>
      <c r="AH828" s="76">
        <v>1</v>
      </c>
      <c r="AI828" s="76">
        <v>1</v>
      </c>
      <c r="AJ828" s="73"/>
      <c r="AK828" s="57"/>
      <c r="AL828" s="45"/>
      <c r="AM828" s="45"/>
      <c r="AN828" s="45"/>
    </row>
    <row r="829" spans="1:40" hidden="1" outlineLevel="2" x14ac:dyDescent="0.25">
      <c r="A829" s="45"/>
      <c r="B829" s="54"/>
      <c r="C829" s="47">
        <f t="shared" si="155"/>
        <v>3</v>
      </c>
      <c r="D829" s="73"/>
      <c r="E829" s="70"/>
      <c r="F829" s="70" t="s">
        <v>1510</v>
      </c>
      <c r="G829" s="73"/>
      <c r="H829" s="76" t="s">
        <v>1511</v>
      </c>
      <c r="I829" s="96" t="s">
        <v>502</v>
      </c>
      <c r="J829" s="96"/>
      <c r="K829" s="76"/>
      <c r="L829" s="76"/>
      <c r="M829" s="97">
        <v>0.5</v>
      </c>
      <c r="N829" s="97">
        <v>0.5</v>
      </c>
      <c r="O829" s="97">
        <v>0.5</v>
      </c>
      <c r="P829" s="97">
        <v>0.5</v>
      </c>
      <c r="Q829" s="76"/>
      <c r="R829" s="76"/>
      <c r="S829" s="97" t="s">
        <v>1512</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1517</v>
      </c>
      <c r="AG829" s="76"/>
      <c r="AH829" s="97">
        <v>1</v>
      </c>
      <c r="AI829" s="97">
        <v>1</v>
      </c>
      <c r="AJ829" s="73"/>
      <c r="AK829" s="57"/>
      <c r="AL829" s="45"/>
      <c r="AM829" s="45"/>
      <c r="AN829" s="45"/>
    </row>
    <row r="830" spans="1:40" hidden="1" outlineLevel="2" x14ac:dyDescent="0.25">
      <c r="A830" s="45"/>
      <c r="B830" s="54"/>
      <c r="C830" s="47">
        <f t="shared" si="155"/>
        <v>3</v>
      </c>
      <c r="D830" s="73"/>
      <c r="E830" s="70"/>
      <c r="F830" s="70" t="s">
        <v>1513</v>
      </c>
      <c r="G830" s="73"/>
      <c r="H830" s="76" t="s">
        <v>1514</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1517</v>
      </c>
      <c r="AG830" s="76"/>
      <c r="AH830" s="97">
        <v>1</v>
      </c>
      <c r="AI830" s="97">
        <v>1</v>
      </c>
      <c r="AJ830" s="73"/>
      <c r="AK830" s="57"/>
      <c r="AL830" s="45"/>
      <c r="AM830" s="45"/>
      <c r="AN830" s="45"/>
    </row>
    <row r="831" spans="1:40" hidden="1" outlineLevel="2" x14ac:dyDescent="0.25">
      <c r="A831" s="45"/>
      <c r="B831" s="54"/>
      <c r="C831" s="47">
        <f t="shared" si="155"/>
        <v>3</v>
      </c>
      <c r="D831" s="73"/>
      <c r="E831" s="70"/>
      <c r="F831" s="70" t="s">
        <v>1515</v>
      </c>
      <c r="G831" s="73"/>
      <c r="H831" s="76" t="s">
        <v>1516</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1517</v>
      </c>
      <c r="AG831" s="76"/>
      <c r="AH831" s="97">
        <v>1</v>
      </c>
      <c r="AI831" s="97">
        <v>1</v>
      </c>
      <c r="AJ831" s="73"/>
      <c r="AK831" s="57"/>
      <c r="AL831" s="45"/>
      <c r="AM831" s="45"/>
      <c r="AN831" s="45"/>
    </row>
    <row r="832" spans="1:40" hidden="1" outlineLevel="2" x14ac:dyDescent="0.25">
      <c r="A832" s="45"/>
      <c r="B832" s="54"/>
      <c r="C832" s="47">
        <f t="shared" si="155"/>
        <v>3</v>
      </c>
      <c r="D832" s="73"/>
      <c r="E832" s="70" t="s">
        <v>1518</v>
      </c>
      <c r="F832" s="70" t="s">
        <v>1519</v>
      </c>
      <c r="G832" s="73"/>
      <c r="H832" s="76" t="s">
        <v>1520</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1498</v>
      </c>
      <c r="AG832" s="76"/>
      <c r="AH832" s="76">
        <v>1</v>
      </c>
      <c r="AI832" s="76">
        <v>1</v>
      </c>
      <c r="AJ832" s="73"/>
      <c r="AK832" s="57"/>
      <c r="AL832" s="45"/>
      <c r="AM832" s="45"/>
      <c r="AN832" s="45"/>
    </row>
    <row r="833" spans="1:40" hidden="1" outlineLevel="2" x14ac:dyDescent="0.25">
      <c r="A833" s="45"/>
      <c r="B833" s="54"/>
      <c r="C833" s="47">
        <f t="shared" si="155"/>
        <v>3</v>
      </c>
      <c r="D833" s="73"/>
      <c r="E833" s="70"/>
      <c r="F833" s="70" t="s">
        <v>1521</v>
      </c>
      <c r="G833" s="73"/>
      <c r="H833" s="76" t="s">
        <v>1511</v>
      </c>
      <c r="I833" s="96" t="s">
        <v>502</v>
      </c>
      <c r="J833" s="96"/>
      <c r="K833" s="76"/>
      <c r="L833" s="76"/>
      <c r="M833" s="97">
        <v>1</v>
      </c>
      <c r="N833" s="97">
        <v>1</v>
      </c>
      <c r="O833" s="97">
        <v>1</v>
      </c>
      <c r="P833" s="97">
        <v>1</v>
      </c>
      <c r="Q833" s="76"/>
      <c r="R833" s="76"/>
      <c r="S833" s="97" t="s">
        <v>1512</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1517</v>
      </c>
      <c r="AG833" s="76"/>
      <c r="AH833" s="97">
        <v>1</v>
      </c>
      <c r="AI833" s="97">
        <v>1</v>
      </c>
      <c r="AJ833" s="73"/>
      <c r="AK833" s="57"/>
      <c r="AL833" s="45"/>
      <c r="AM833" s="45"/>
      <c r="AN833" s="45"/>
    </row>
    <row r="834" spans="1:40" hidden="1" outlineLevel="2" x14ac:dyDescent="0.25">
      <c r="A834" s="45"/>
      <c r="B834" s="54"/>
      <c r="C834" s="47">
        <f t="shared" si="155"/>
        <v>3</v>
      </c>
      <c r="D834" s="73"/>
      <c r="E834" s="70"/>
      <c r="F834" s="70" t="s">
        <v>1522</v>
      </c>
      <c r="G834" s="73"/>
      <c r="H834" s="76" t="s">
        <v>1514</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1517</v>
      </c>
      <c r="AG834" s="76"/>
      <c r="AH834" s="97">
        <v>1</v>
      </c>
      <c r="AI834" s="97">
        <v>1</v>
      </c>
      <c r="AJ834" s="73"/>
      <c r="AK834" s="57"/>
      <c r="AL834" s="45"/>
      <c r="AM834" s="45"/>
      <c r="AN834" s="45"/>
    </row>
    <row r="835" spans="1:40" hidden="1" outlineLevel="2" x14ac:dyDescent="0.25">
      <c r="A835" s="45"/>
      <c r="B835" s="54"/>
      <c r="C835" s="47">
        <f t="shared" si="155"/>
        <v>3</v>
      </c>
      <c r="D835" s="73"/>
      <c r="E835" s="70"/>
      <c r="F835" s="70" t="s">
        <v>1523</v>
      </c>
      <c r="G835" s="73"/>
      <c r="H835" s="76" t="s">
        <v>1516</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1517</v>
      </c>
      <c r="AG835" s="76"/>
      <c r="AH835" s="97">
        <v>1</v>
      </c>
      <c r="AI835" s="97">
        <v>1</v>
      </c>
      <c r="AJ835" s="73"/>
      <c r="AK835" s="57"/>
      <c r="AL835" s="45"/>
      <c r="AM835" s="45"/>
      <c r="AN835" s="45"/>
    </row>
    <row r="836" spans="1:40" hidden="1" outlineLevel="2" x14ac:dyDescent="0.25">
      <c r="A836" s="45"/>
      <c r="B836" s="54"/>
      <c r="C836" s="47">
        <f t="shared" si="155"/>
        <v>3</v>
      </c>
      <c r="D836" s="73"/>
      <c r="E836" s="70" t="s">
        <v>1524</v>
      </c>
      <c r="F836" s="70" t="s">
        <v>1525</v>
      </c>
      <c r="G836" s="73"/>
      <c r="H836" s="76" t="s">
        <v>1526</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1527</v>
      </c>
      <c r="AG836" s="76"/>
      <c r="AH836" s="76">
        <v>1</v>
      </c>
      <c r="AI836" s="76">
        <v>1</v>
      </c>
      <c r="AJ836" s="73"/>
      <c r="AK836" s="57"/>
      <c r="AL836" s="45"/>
      <c r="AM836" s="45"/>
      <c r="AN836" s="45"/>
    </row>
    <row r="837" spans="1:40" hidden="1" outlineLevel="2" x14ac:dyDescent="0.25">
      <c r="A837" s="45"/>
      <c r="B837" s="54"/>
      <c r="C837" s="47">
        <f t="shared" si="155"/>
        <v>3</v>
      </c>
      <c r="D837" s="73"/>
      <c r="E837" s="70"/>
      <c r="F837" s="70" t="s">
        <v>1528</v>
      </c>
      <c r="G837" s="73"/>
      <c r="H837" s="76" t="s">
        <v>1529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1527</v>
      </c>
      <c r="AG837" s="76"/>
      <c r="AH837" s="97">
        <v>1</v>
      </c>
      <c r="AI837" s="97">
        <v>1</v>
      </c>
      <c r="AJ837" s="73"/>
      <c r="AK837" s="57"/>
      <c r="AL837" s="45"/>
      <c r="AM837" s="45"/>
      <c r="AN837" s="45"/>
    </row>
    <row r="838" spans="1:40" hidden="1" outlineLevel="2" x14ac:dyDescent="0.25">
      <c r="A838" s="45"/>
      <c r="B838" s="54"/>
      <c r="C838" s="47">
        <f t="shared" si="155"/>
        <v>3</v>
      </c>
      <c r="D838" s="73"/>
      <c r="E838" s="70"/>
      <c r="F838" s="70" t="s">
        <v>1530</v>
      </c>
      <c r="G838" s="73"/>
      <c r="H838" s="76" t="s">
        <v>1531</v>
      </c>
      <c r="I838" s="96" t="s">
        <v>1532</v>
      </c>
      <c r="J838" s="96"/>
      <c r="K838" s="76"/>
      <c r="L838" s="76"/>
      <c r="M838" s="76"/>
      <c r="N838" s="76"/>
      <c r="O838" s="76"/>
      <c r="P838" s="76"/>
      <c r="Q838" s="76"/>
      <c r="R838" s="76"/>
      <c r="S838" s="76"/>
      <c r="T838" s="76"/>
      <c r="U838" s="97">
        <f t="shared" ref="U838:AD839" si="159">0.2-(0.2944/2)</f>
        <v>5.2800000000000014E-2</v>
      </c>
      <c r="V838" s="97">
        <f t="shared" si="159"/>
        <v>5.2800000000000014E-2</v>
      </c>
      <c r="W838" s="97">
        <f t="shared" si="159"/>
        <v>5.2800000000000014E-2</v>
      </c>
      <c r="X838" s="97">
        <f t="shared" si="159"/>
        <v>5.2800000000000014E-2</v>
      </c>
      <c r="Y838" s="97">
        <f t="shared" si="159"/>
        <v>5.2800000000000014E-2</v>
      </c>
      <c r="Z838" s="97">
        <f t="shared" si="159"/>
        <v>5.2800000000000014E-2</v>
      </c>
      <c r="AA838" s="97">
        <f t="shared" si="159"/>
        <v>5.2800000000000014E-2</v>
      </c>
      <c r="AB838" s="97">
        <f t="shared" si="159"/>
        <v>5.2800000000000014E-2</v>
      </c>
      <c r="AC838" s="97">
        <f t="shared" si="159"/>
        <v>5.2800000000000014E-2</v>
      </c>
      <c r="AD838" s="97">
        <f t="shared" si="159"/>
        <v>5.2800000000000014E-2</v>
      </c>
      <c r="AE838" s="76"/>
      <c r="AF838" s="97" t="s">
        <v>1533</v>
      </c>
      <c r="AG838" s="76"/>
      <c r="AH838" s="97">
        <v>1</v>
      </c>
      <c r="AI838" s="97">
        <v>1</v>
      </c>
      <c r="AJ838" s="73"/>
      <c r="AK838" s="57"/>
      <c r="AL838" s="45"/>
      <c r="AM838" s="45"/>
      <c r="AN838" s="45"/>
    </row>
    <row r="839" spans="1:40" hidden="1" outlineLevel="2" x14ac:dyDescent="0.25">
      <c r="A839" s="45"/>
      <c r="B839" s="54"/>
      <c r="C839" s="47">
        <f t="shared" si="155"/>
        <v>3</v>
      </c>
      <c r="D839" s="73"/>
      <c r="E839" s="70"/>
      <c r="F839" s="70" t="s">
        <v>1534</v>
      </c>
      <c r="G839" s="73"/>
      <c r="H839" s="76" t="s">
        <v>1535</v>
      </c>
      <c r="I839" s="96" t="s">
        <v>1532</v>
      </c>
      <c r="J839" s="96"/>
      <c r="K839" s="76"/>
      <c r="L839" s="76"/>
      <c r="M839" s="76"/>
      <c r="N839" s="76"/>
      <c r="O839" s="76"/>
      <c r="P839" s="76"/>
      <c r="Q839" s="76"/>
      <c r="R839" s="76"/>
      <c r="S839" s="76"/>
      <c r="T839" s="76"/>
      <c r="U839" s="97">
        <f t="shared" si="159"/>
        <v>5.2800000000000014E-2</v>
      </c>
      <c r="V839" s="97">
        <f t="shared" si="159"/>
        <v>5.2800000000000014E-2</v>
      </c>
      <c r="W839" s="97">
        <f t="shared" si="159"/>
        <v>5.2800000000000014E-2</v>
      </c>
      <c r="X839" s="97">
        <f t="shared" si="159"/>
        <v>5.2800000000000014E-2</v>
      </c>
      <c r="Y839" s="97">
        <f t="shared" si="159"/>
        <v>5.2800000000000014E-2</v>
      </c>
      <c r="Z839" s="97">
        <f t="shared" si="159"/>
        <v>5.2800000000000014E-2</v>
      </c>
      <c r="AA839" s="97">
        <f t="shared" si="159"/>
        <v>5.2800000000000014E-2</v>
      </c>
      <c r="AB839" s="97">
        <f t="shared" si="159"/>
        <v>5.2800000000000014E-2</v>
      </c>
      <c r="AC839" s="97">
        <f t="shared" si="159"/>
        <v>5.2800000000000014E-2</v>
      </c>
      <c r="AD839" s="97">
        <f t="shared" si="159"/>
        <v>5.2800000000000014E-2</v>
      </c>
      <c r="AE839" s="76"/>
      <c r="AF839" s="97" t="s">
        <v>1536</v>
      </c>
      <c r="AG839" s="76"/>
      <c r="AH839" s="97">
        <v>1</v>
      </c>
      <c r="AI839" s="97">
        <v>1</v>
      </c>
      <c r="AJ839" s="73"/>
      <c r="AK839" s="57"/>
      <c r="AL839" s="45"/>
      <c r="AM839" s="45"/>
      <c r="AN839" s="45"/>
    </row>
    <row r="840" spans="1:40" hidden="1" outlineLevel="2" x14ac:dyDescent="0.25">
      <c r="A840" s="45"/>
      <c r="B840" s="54"/>
      <c r="C840" s="47">
        <f t="shared" si="155"/>
        <v>3</v>
      </c>
      <c r="D840" s="73"/>
      <c r="E840" s="70" t="s">
        <v>1537</v>
      </c>
      <c r="F840" s="70" t="s">
        <v>1538</v>
      </c>
      <c r="G840" s="73"/>
      <c r="H840" s="76" t="s">
        <v>1539</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1527</v>
      </c>
      <c r="AG840" s="76"/>
      <c r="AH840" s="76">
        <v>1</v>
      </c>
      <c r="AI840" s="76">
        <v>1</v>
      </c>
      <c r="AJ840" s="73"/>
      <c r="AK840" s="57"/>
      <c r="AL840" s="45"/>
      <c r="AM840" s="45"/>
      <c r="AN840" s="45"/>
    </row>
    <row r="841" spans="1:40" hidden="1" outlineLevel="2" x14ac:dyDescent="0.25">
      <c r="A841" s="45"/>
      <c r="B841" s="54"/>
      <c r="C841" s="47">
        <f t="shared" si="155"/>
        <v>3</v>
      </c>
      <c r="D841" s="73"/>
      <c r="E841" s="70"/>
      <c r="F841" s="70" t="s">
        <v>1540</v>
      </c>
      <c r="G841" s="73"/>
      <c r="H841" s="76" t="s">
        <v>1529</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1527</v>
      </c>
      <c r="AG841" s="76"/>
      <c r="AH841" s="97">
        <v>1</v>
      </c>
      <c r="AI841" s="97">
        <v>1</v>
      </c>
      <c r="AJ841" s="73"/>
      <c r="AK841" s="57"/>
      <c r="AL841" s="45"/>
      <c r="AM841" s="45"/>
      <c r="AN841" s="45"/>
    </row>
    <row r="842" spans="1:40" hidden="1" outlineLevel="2" x14ac:dyDescent="0.25">
      <c r="A842" s="45"/>
      <c r="B842" s="54"/>
      <c r="C842" s="47">
        <f t="shared" si="155"/>
        <v>3</v>
      </c>
      <c r="D842" s="73"/>
      <c r="E842" s="70"/>
      <c r="F842" s="70" t="s">
        <v>1541</v>
      </c>
      <c r="G842" s="73"/>
      <c r="H842" s="76" t="s">
        <v>1531</v>
      </c>
      <c r="I842" s="96" t="s">
        <v>1532</v>
      </c>
      <c r="J842" s="96"/>
      <c r="K842" s="76"/>
      <c r="L842" s="76"/>
      <c r="M842" s="76"/>
      <c r="N842" s="76"/>
      <c r="O842" s="76"/>
      <c r="P842" s="76"/>
      <c r="Q842" s="76"/>
      <c r="R842" s="76"/>
      <c r="S842" s="76"/>
      <c r="T842" s="76"/>
      <c r="U842" s="97">
        <f t="shared" ref="U842:AD843" si="160">0.2+(0.2944/2)</f>
        <v>0.34720000000000001</v>
      </c>
      <c r="V842" s="97">
        <f t="shared" si="160"/>
        <v>0.34720000000000001</v>
      </c>
      <c r="W842" s="97">
        <f t="shared" si="160"/>
        <v>0.34720000000000001</v>
      </c>
      <c r="X842" s="97">
        <f t="shared" si="160"/>
        <v>0.34720000000000001</v>
      </c>
      <c r="Y842" s="97">
        <f t="shared" si="160"/>
        <v>0.34720000000000001</v>
      </c>
      <c r="Z842" s="97">
        <f t="shared" si="160"/>
        <v>0.34720000000000001</v>
      </c>
      <c r="AA842" s="97">
        <f t="shared" si="160"/>
        <v>0.34720000000000001</v>
      </c>
      <c r="AB842" s="97">
        <f t="shared" si="160"/>
        <v>0.34720000000000001</v>
      </c>
      <c r="AC842" s="97">
        <f t="shared" si="160"/>
        <v>0.34720000000000001</v>
      </c>
      <c r="AD842" s="97">
        <f t="shared" si="160"/>
        <v>0.34720000000000001</v>
      </c>
      <c r="AE842" s="76"/>
      <c r="AF842" s="97" t="s">
        <v>2284</v>
      </c>
      <c r="AG842" s="76"/>
      <c r="AH842" s="97">
        <v>1</v>
      </c>
      <c r="AI842" s="97">
        <v>1</v>
      </c>
      <c r="AJ842" s="73"/>
      <c r="AK842" s="57"/>
      <c r="AL842" s="45"/>
      <c r="AM842" s="45"/>
      <c r="AN842" s="45"/>
    </row>
    <row r="843" spans="1:40" hidden="1" outlineLevel="2" x14ac:dyDescent="0.25">
      <c r="A843" s="45"/>
      <c r="B843" s="54"/>
      <c r="C843" s="47">
        <f t="shared" si="155"/>
        <v>3</v>
      </c>
      <c r="D843" s="73"/>
      <c r="E843" s="70"/>
      <c r="F843" s="70" t="s">
        <v>1542</v>
      </c>
      <c r="G843" s="73"/>
      <c r="H843" s="76" t="s">
        <v>1535</v>
      </c>
      <c r="I843" s="96" t="s">
        <v>1532</v>
      </c>
      <c r="J843" s="96"/>
      <c r="K843" s="76"/>
      <c r="L843" s="76"/>
      <c r="M843" s="76"/>
      <c r="N843" s="76"/>
      <c r="O843" s="76"/>
      <c r="P843" s="76"/>
      <c r="Q843" s="76"/>
      <c r="R843" s="76"/>
      <c r="S843" s="76"/>
      <c r="T843" s="76"/>
      <c r="U843" s="97">
        <f t="shared" si="160"/>
        <v>0.34720000000000001</v>
      </c>
      <c r="V843" s="97">
        <f t="shared" si="160"/>
        <v>0.34720000000000001</v>
      </c>
      <c r="W843" s="97">
        <f t="shared" si="160"/>
        <v>0.34720000000000001</v>
      </c>
      <c r="X843" s="97">
        <f t="shared" si="160"/>
        <v>0.34720000000000001</v>
      </c>
      <c r="Y843" s="97">
        <f t="shared" si="160"/>
        <v>0.34720000000000001</v>
      </c>
      <c r="Z843" s="97">
        <f t="shared" si="160"/>
        <v>0.34720000000000001</v>
      </c>
      <c r="AA843" s="97">
        <f t="shared" si="160"/>
        <v>0.34720000000000001</v>
      </c>
      <c r="AB843" s="97">
        <f t="shared" si="160"/>
        <v>0.34720000000000001</v>
      </c>
      <c r="AC843" s="97">
        <f t="shared" si="160"/>
        <v>0.34720000000000001</v>
      </c>
      <c r="AD843" s="97">
        <f t="shared" si="160"/>
        <v>0.34720000000000001</v>
      </c>
      <c r="AE843" s="76"/>
      <c r="AF843" s="97" t="s">
        <v>2285</v>
      </c>
      <c r="AG843" s="76"/>
      <c r="AH843" s="97">
        <v>1</v>
      </c>
      <c r="AI843" s="97">
        <v>1</v>
      </c>
      <c r="AJ843" s="73"/>
      <c r="AK843" s="57"/>
      <c r="AL843" s="45"/>
      <c r="AM843" s="45"/>
      <c r="AN843" s="45"/>
    </row>
    <row r="844" spans="1:40" hidden="1" outlineLevel="2" x14ac:dyDescent="0.25">
      <c r="A844" s="45"/>
      <c r="B844" s="54"/>
      <c r="C844" s="47">
        <f t="shared" si="155"/>
        <v>3</v>
      </c>
      <c r="D844" s="73"/>
      <c r="E844" s="70" t="s">
        <v>1543</v>
      </c>
      <c r="F844" s="70" t="s">
        <v>1544</v>
      </c>
      <c r="G844" s="73"/>
      <c r="H844" s="76" t="s">
        <v>1545</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1527</v>
      </c>
      <c r="AG844" s="76"/>
      <c r="AH844" s="76">
        <v>1</v>
      </c>
      <c r="AI844" s="76">
        <v>1</v>
      </c>
      <c r="AJ844" s="73"/>
      <c r="AK844" s="57"/>
      <c r="AL844" s="45"/>
      <c r="AM844" s="45"/>
      <c r="AN844" s="45"/>
    </row>
    <row r="845" spans="1:40" hidden="1" outlineLevel="2" x14ac:dyDescent="0.25">
      <c r="A845" s="45"/>
      <c r="B845" s="54"/>
      <c r="C845" s="47">
        <f t="shared" si="155"/>
        <v>3</v>
      </c>
      <c r="D845" s="73"/>
      <c r="E845" s="70"/>
      <c r="F845" s="70" t="s">
        <v>1546</v>
      </c>
      <c r="G845" s="73"/>
      <c r="H845" s="76" t="s">
        <v>1529</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1502</v>
      </c>
      <c r="AG845" s="76"/>
      <c r="AH845" s="97">
        <v>1</v>
      </c>
      <c r="AI845" s="97">
        <v>1</v>
      </c>
      <c r="AJ845" s="73"/>
      <c r="AK845" s="57"/>
      <c r="AL845" s="45"/>
      <c r="AM845" s="45"/>
      <c r="AN845" s="45"/>
    </row>
    <row r="846" spans="1:40" hidden="1" outlineLevel="2" x14ac:dyDescent="0.25">
      <c r="A846" s="45"/>
      <c r="B846" s="54"/>
      <c r="C846" s="47">
        <f t="shared" si="155"/>
        <v>3</v>
      </c>
      <c r="D846" s="73"/>
      <c r="E846" s="70"/>
      <c r="F846" s="70" t="s">
        <v>1547</v>
      </c>
      <c r="G846" s="73"/>
      <c r="H846" s="76" t="s">
        <v>1531</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1502</v>
      </c>
      <c r="AG846" s="76"/>
      <c r="AH846" s="97">
        <v>1</v>
      </c>
      <c r="AI846" s="97">
        <v>1</v>
      </c>
      <c r="AJ846" s="73"/>
      <c r="AK846" s="57"/>
      <c r="AL846" s="45"/>
      <c r="AM846" s="45"/>
      <c r="AN846" s="45"/>
    </row>
    <row r="847" spans="1:40" hidden="1" outlineLevel="2" x14ac:dyDescent="0.25">
      <c r="A847" s="45"/>
      <c r="B847" s="54"/>
      <c r="C847" s="47">
        <f t="shared" si="155"/>
        <v>3</v>
      </c>
      <c r="D847" s="73"/>
      <c r="E847" s="70"/>
      <c r="F847" s="70" t="s">
        <v>1548</v>
      </c>
      <c r="G847" s="73"/>
      <c r="H847" s="76" t="s">
        <v>1535</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1502</v>
      </c>
      <c r="AG847" s="76"/>
      <c r="AH847" s="97">
        <v>1</v>
      </c>
      <c r="AI847" s="97">
        <v>1</v>
      </c>
      <c r="AJ847" s="73"/>
      <c r="AK847" s="57"/>
      <c r="AL847" s="45"/>
      <c r="AM847" s="45"/>
      <c r="AN847" s="45"/>
    </row>
    <row r="848" spans="1:40" hidden="1" outlineLevel="2" x14ac:dyDescent="0.25">
      <c r="A848" s="45"/>
      <c r="B848" s="54"/>
      <c r="C848" s="47">
        <f t="shared" si="155"/>
        <v>3</v>
      </c>
      <c r="D848" s="73"/>
      <c r="E848" s="70" t="s">
        <v>1549</v>
      </c>
      <c r="F848" s="70" t="s">
        <v>1550</v>
      </c>
      <c r="G848" s="73"/>
      <c r="H848" s="76" t="s">
        <v>1539</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1527</v>
      </c>
      <c r="AG848" s="76"/>
      <c r="AH848" s="76">
        <v>1</v>
      </c>
      <c r="AI848" s="76">
        <v>1</v>
      </c>
      <c r="AJ848" s="73"/>
      <c r="AK848" s="57"/>
      <c r="AL848" s="45"/>
      <c r="AM848" s="45"/>
      <c r="AN848" s="45"/>
    </row>
    <row r="849" spans="1:40" hidden="1" outlineLevel="2" x14ac:dyDescent="0.25">
      <c r="A849" s="45"/>
      <c r="B849" s="54"/>
      <c r="C849" s="47">
        <f t="shared" si="155"/>
        <v>3</v>
      </c>
      <c r="D849" s="73"/>
      <c r="E849" s="70"/>
      <c r="F849" s="70" t="s">
        <v>1551</v>
      </c>
      <c r="G849" s="73"/>
      <c r="H849" s="76" t="s">
        <v>1529</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1502</v>
      </c>
      <c r="AG849" s="76"/>
      <c r="AH849" s="97">
        <v>1</v>
      </c>
      <c r="AI849" s="97">
        <v>1</v>
      </c>
      <c r="AJ849" s="73"/>
      <c r="AK849" s="57"/>
      <c r="AL849" s="45"/>
      <c r="AM849" s="45"/>
      <c r="AN849" s="45"/>
    </row>
    <row r="850" spans="1:40" hidden="1" outlineLevel="2" x14ac:dyDescent="0.25">
      <c r="A850" s="45"/>
      <c r="B850" s="54"/>
      <c r="C850" s="47">
        <f t="shared" si="155"/>
        <v>3</v>
      </c>
      <c r="D850" s="73"/>
      <c r="E850" s="70"/>
      <c r="F850" s="70" t="s">
        <v>1552</v>
      </c>
      <c r="G850" s="73"/>
      <c r="H850" s="76" t="s">
        <v>1531</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1502</v>
      </c>
      <c r="AG850" s="76"/>
      <c r="AH850" s="97">
        <v>1</v>
      </c>
      <c r="AI850" s="97">
        <v>1</v>
      </c>
      <c r="AJ850" s="73"/>
      <c r="AK850" s="57"/>
      <c r="AL850" s="45"/>
      <c r="AM850" s="45"/>
      <c r="AN850" s="45"/>
    </row>
    <row r="851" spans="1:40" hidden="1" outlineLevel="2" x14ac:dyDescent="0.25">
      <c r="A851" s="45"/>
      <c r="B851" s="54"/>
      <c r="C851" s="47">
        <f t="shared" si="155"/>
        <v>3</v>
      </c>
      <c r="D851" s="73"/>
      <c r="E851" s="70"/>
      <c r="F851" s="70" t="s">
        <v>1553</v>
      </c>
      <c r="G851" s="73"/>
      <c r="H851" s="76" t="s">
        <v>1535</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1502</v>
      </c>
      <c r="AG851" s="76"/>
      <c r="AH851" s="97">
        <v>1</v>
      </c>
      <c r="AI851" s="97">
        <v>1</v>
      </c>
      <c r="AJ851" s="73"/>
      <c r="AK851" s="57"/>
      <c r="AL851" s="45"/>
      <c r="AM851" s="45"/>
      <c r="AN851" s="45"/>
    </row>
    <row r="852" spans="1:40" hidden="1" outlineLevel="2" x14ac:dyDescent="0.25">
      <c r="A852" s="45"/>
      <c r="B852" s="54"/>
      <c r="C852" s="47">
        <f t="shared" si="155"/>
        <v>3</v>
      </c>
      <c r="D852" s="73"/>
      <c r="E852" s="70"/>
      <c r="F852" s="70" t="s">
        <v>1554</v>
      </c>
      <c r="G852" s="73"/>
      <c r="H852" s="76" t="s">
        <v>1555</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hidden="1" outlineLevel="2" x14ac:dyDescent="0.25">
      <c r="A853" s="45"/>
      <c r="B853" s="54"/>
      <c r="C853" s="47">
        <f t="shared" si="155"/>
        <v>3</v>
      </c>
      <c r="D853" s="73"/>
      <c r="E853" s="70"/>
      <c r="F853" s="70" t="s">
        <v>1556</v>
      </c>
      <c r="G853" s="73"/>
      <c r="H853" s="76" t="s">
        <v>1557</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1">AA853</f>
        <v>0</v>
      </c>
      <c r="AC853" s="255">
        <f t="shared" si="161"/>
        <v>0</v>
      </c>
      <c r="AD853" s="255">
        <f t="shared" si="161"/>
        <v>0</v>
      </c>
      <c r="AE853" s="76"/>
      <c r="AF853" s="97" t="s">
        <v>2588</v>
      </c>
      <c r="AG853" s="76"/>
      <c r="AH853" s="97">
        <v>1</v>
      </c>
      <c r="AI853" s="97">
        <v>1</v>
      </c>
      <c r="AJ853" s="73"/>
      <c r="AK853" s="57"/>
      <c r="AL853" s="45"/>
      <c r="AM853" s="45"/>
      <c r="AN853" s="45"/>
    </row>
    <row r="854" spans="1:40" hidden="1" outlineLevel="2" x14ac:dyDescent="0.25">
      <c r="A854" s="45"/>
      <c r="B854" s="54"/>
      <c r="C854" s="47">
        <f t="shared" si="155"/>
        <v>3</v>
      </c>
      <c r="D854" s="73"/>
      <c r="E854" s="70"/>
      <c r="F854" s="70" t="s">
        <v>1558</v>
      </c>
      <c r="G854" s="73"/>
      <c r="H854" s="76" t="s">
        <v>1559</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1"/>
        <v>-0.21895000000000001</v>
      </c>
      <c r="AC854" s="255">
        <f t="shared" si="161"/>
        <v>-0.21895000000000001</v>
      </c>
      <c r="AD854" s="255">
        <f t="shared" si="161"/>
        <v>-0.21895000000000001</v>
      </c>
      <c r="AE854" s="76"/>
      <c r="AF854" s="76"/>
      <c r="AG854" s="76"/>
      <c r="AH854" s="97">
        <v>1</v>
      </c>
      <c r="AI854" s="97">
        <v>1</v>
      </c>
      <c r="AJ854" s="73"/>
      <c r="AK854" s="57"/>
      <c r="AL854" s="45"/>
      <c r="AM854" s="45"/>
      <c r="AN854" s="45"/>
    </row>
    <row r="855" spans="1:40" hidden="1" outlineLevel="2" x14ac:dyDescent="0.25">
      <c r="A855" s="45"/>
      <c r="B855" s="54"/>
      <c r="C855" s="47">
        <f t="shared" si="155"/>
        <v>3</v>
      </c>
      <c r="D855" s="73"/>
      <c r="E855" s="70"/>
      <c r="F855" s="70" t="s">
        <v>1560</v>
      </c>
      <c r="G855" s="73"/>
      <c r="H855" s="76" t="s">
        <v>1561</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1"/>
        <v>-0.37940000000000002</v>
      </c>
      <c r="AC855" s="255">
        <f t="shared" si="161"/>
        <v>-0.37940000000000002</v>
      </c>
      <c r="AD855" s="255">
        <f t="shared" si="161"/>
        <v>-0.37940000000000002</v>
      </c>
      <c r="AE855" s="76"/>
      <c r="AF855" s="76"/>
      <c r="AG855" s="76"/>
      <c r="AH855" s="97">
        <v>1</v>
      </c>
      <c r="AI855" s="97">
        <v>1</v>
      </c>
      <c r="AJ855" s="73"/>
      <c r="AK855" s="57"/>
      <c r="AL855" s="45"/>
      <c r="AM855" s="45"/>
      <c r="AN855" s="45"/>
    </row>
    <row r="856" spans="1:40" hidden="1" outlineLevel="2" x14ac:dyDescent="0.25">
      <c r="A856" s="45"/>
      <c r="B856" s="54"/>
      <c r="C856" s="47">
        <f t="shared" si="155"/>
        <v>3</v>
      </c>
      <c r="D856" s="73"/>
      <c r="E856" s="70"/>
      <c r="F856" s="70" t="s">
        <v>1562</v>
      </c>
      <c r="G856" s="73"/>
      <c r="H856" s="76" t="s">
        <v>2743</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hidden="1" outlineLevel="2" x14ac:dyDescent="0.25">
      <c r="A857" s="45"/>
      <c r="B857" s="54"/>
      <c r="C857" s="47">
        <f t="shared" si="155"/>
        <v>3</v>
      </c>
      <c r="D857" s="73"/>
      <c r="E857" s="70"/>
      <c r="F857" s="70" t="s">
        <v>1563</v>
      </c>
      <c r="G857" s="73"/>
      <c r="H857" s="76" t="s">
        <v>2177</v>
      </c>
      <c r="I857" s="96" t="s">
        <v>502</v>
      </c>
      <c r="J857" s="96"/>
      <c r="K857" s="76"/>
      <c r="L857" s="76"/>
      <c r="M857" s="76"/>
      <c r="N857" s="76"/>
      <c r="O857" s="76"/>
      <c r="P857" s="76"/>
      <c r="Q857" s="76"/>
      <c r="R857" s="76"/>
      <c r="S857" s="76"/>
      <c r="T857" s="76"/>
      <c r="U857" s="97">
        <v>-1.1100000000000001E-3</v>
      </c>
      <c r="V857" s="255">
        <f>U857</f>
        <v>-1.1100000000000001E-3</v>
      </c>
      <c r="W857" s="255">
        <f t="shared" ref="W857:X859" si="162">U857</f>
        <v>-1.1100000000000001E-3</v>
      </c>
      <c r="X857" s="255">
        <f t="shared" si="162"/>
        <v>-1.1100000000000001E-3</v>
      </c>
      <c r="Y857" s="255">
        <f>V857</f>
        <v>-1.1100000000000001E-3</v>
      </c>
      <c r="Z857" s="255">
        <f>AA857</f>
        <v>-1.5499999999999999E-3</v>
      </c>
      <c r="AA857" s="97">
        <v>-1.5499999999999999E-3</v>
      </c>
      <c r="AB857" s="255">
        <f t="shared" ref="AB857:AD859" si="163">AA857</f>
        <v>-1.5499999999999999E-3</v>
      </c>
      <c r="AC857" s="255">
        <f t="shared" si="163"/>
        <v>-1.5499999999999999E-3</v>
      </c>
      <c r="AD857" s="255">
        <f t="shared" si="163"/>
        <v>-1.5499999999999999E-3</v>
      </c>
      <c r="AE857" s="76"/>
      <c r="AF857" s="97" t="s">
        <v>2740</v>
      </c>
      <c r="AG857" s="76"/>
      <c r="AH857" s="76">
        <v>1</v>
      </c>
      <c r="AI857" s="76">
        <v>1</v>
      </c>
      <c r="AJ857" s="73"/>
      <c r="AK857" s="57"/>
      <c r="AL857" s="45"/>
      <c r="AM857" s="45"/>
      <c r="AN857" s="45"/>
    </row>
    <row r="858" spans="1:40" hidden="1" outlineLevel="2" x14ac:dyDescent="0.25">
      <c r="A858" s="45"/>
      <c r="B858" s="54"/>
      <c r="C858" s="47">
        <f t="shared" si="155"/>
        <v>3</v>
      </c>
      <c r="D858" s="73"/>
      <c r="E858" s="70"/>
      <c r="F858" s="70" t="s">
        <v>1564</v>
      </c>
      <c r="G858" s="73"/>
      <c r="H858" s="76" t="s">
        <v>2178</v>
      </c>
      <c r="I858" s="96" t="s">
        <v>502</v>
      </c>
      <c r="J858" s="96"/>
      <c r="K858" s="76"/>
      <c r="L858" s="76"/>
      <c r="M858" s="76"/>
      <c r="N858" s="76"/>
      <c r="O858" s="76"/>
      <c r="P858" s="76"/>
      <c r="Q858" s="76"/>
      <c r="R858" s="76"/>
      <c r="S858" s="76"/>
      <c r="T858" s="76"/>
      <c r="U858" s="97">
        <v>-1.5E-3</v>
      </c>
      <c r="V858" s="255">
        <f>U858</f>
        <v>-1.5E-3</v>
      </c>
      <c r="W858" s="255">
        <f t="shared" si="162"/>
        <v>-1.5E-3</v>
      </c>
      <c r="X858" s="255">
        <f t="shared" si="162"/>
        <v>-1.5E-3</v>
      </c>
      <c r="Y858" s="255">
        <f>V858</f>
        <v>-1.5E-3</v>
      </c>
      <c r="Z858" s="255">
        <f>AA858</f>
        <v>-2.1250000000000002E-3</v>
      </c>
      <c r="AA858" s="97">
        <v>-2.1250000000000002E-3</v>
      </c>
      <c r="AB858" s="255">
        <f t="shared" si="163"/>
        <v>-2.1250000000000002E-3</v>
      </c>
      <c r="AC858" s="255">
        <f t="shared" si="163"/>
        <v>-2.1250000000000002E-3</v>
      </c>
      <c r="AD858" s="255">
        <f t="shared" si="163"/>
        <v>-2.1250000000000002E-3</v>
      </c>
      <c r="AE858" s="76"/>
      <c r="AF858" s="97"/>
      <c r="AG858" s="76"/>
      <c r="AH858" s="76">
        <v>1</v>
      </c>
      <c r="AI858" s="76">
        <v>1</v>
      </c>
      <c r="AJ858" s="73"/>
      <c r="AK858" s="57"/>
      <c r="AL858" s="45"/>
      <c r="AM858" s="45"/>
      <c r="AN858" s="45"/>
    </row>
    <row r="859" spans="1:40" hidden="1" outlineLevel="2" x14ac:dyDescent="0.25">
      <c r="A859" s="45"/>
      <c r="B859" s="54"/>
      <c r="C859" s="47">
        <f>INT($C$29)+3</f>
        <v>4</v>
      </c>
      <c r="D859" s="73"/>
      <c r="E859" s="70"/>
      <c r="F859" s="70" t="s">
        <v>1565</v>
      </c>
      <c r="G859" s="73"/>
      <c r="H859" s="76" t="s">
        <v>2179</v>
      </c>
      <c r="I859" s="96" t="s">
        <v>502</v>
      </c>
      <c r="J859" s="96"/>
      <c r="K859" s="76"/>
      <c r="L859" s="76"/>
      <c r="M859" s="76"/>
      <c r="N859" s="76"/>
      <c r="O859" s="76"/>
      <c r="P859" s="76"/>
      <c r="Q859" s="76"/>
      <c r="R859" s="76"/>
      <c r="S859" s="76"/>
      <c r="T859" s="76"/>
      <c r="U859" s="97">
        <v>-6.8500000000000002E-3</v>
      </c>
      <c r="V859" s="255">
        <f>U859</f>
        <v>-6.8500000000000002E-3</v>
      </c>
      <c r="W859" s="255">
        <f t="shared" si="162"/>
        <v>-6.8500000000000002E-3</v>
      </c>
      <c r="X859" s="255">
        <f t="shared" si="162"/>
        <v>-6.8500000000000002E-3</v>
      </c>
      <c r="Y859" s="255">
        <f>V859</f>
        <v>-6.8500000000000002E-3</v>
      </c>
      <c r="Z859" s="255">
        <f>AA859</f>
        <v>-8.0300000000000007E-3</v>
      </c>
      <c r="AA859" s="97">
        <v>-8.0300000000000007E-3</v>
      </c>
      <c r="AB859" s="255">
        <f t="shared" si="163"/>
        <v>-8.0300000000000007E-3</v>
      </c>
      <c r="AC859" s="255">
        <f t="shared" si="163"/>
        <v>-8.0300000000000007E-3</v>
      </c>
      <c r="AD859" s="255">
        <f t="shared" si="163"/>
        <v>-8.0300000000000007E-3</v>
      </c>
      <c r="AE859" s="76"/>
      <c r="AF859" s="76"/>
      <c r="AG859" s="76"/>
      <c r="AH859" s="76">
        <v>1</v>
      </c>
      <c r="AI859" s="76">
        <v>1</v>
      </c>
      <c r="AJ859" s="73"/>
      <c r="AK859" s="57"/>
      <c r="AL859" s="45"/>
      <c r="AM859" s="45"/>
      <c r="AN859" s="45"/>
    </row>
    <row r="860" spans="1:40" hidden="1" outlineLevel="2" x14ac:dyDescent="0.25">
      <c r="A860" s="45"/>
      <c r="B860" s="54"/>
      <c r="C860" s="47">
        <f>INT($C$29)+3</f>
        <v>4</v>
      </c>
      <c r="D860" s="73"/>
      <c r="E860" s="70" t="s">
        <v>1570</v>
      </c>
      <c r="F860" s="70" t="s">
        <v>1566</v>
      </c>
      <c r="G860" s="73"/>
      <c r="H860" s="76" t="s">
        <v>1572</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1527</v>
      </c>
      <c r="AG860" s="76"/>
      <c r="AH860" s="76">
        <v>1</v>
      </c>
      <c r="AI860" s="76">
        <v>1</v>
      </c>
      <c r="AJ860" s="73"/>
      <c r="AK860" s="57"/>
      <c r="AL860" s="45"/>
      <c r="AM860" s="45"/>
      <c r="AN860" s="45"/>
    </row>
    <row r="861" spans="1:40" hidden="1" outlineLevel="2" x14ac:dyDescent="0.25">
      <c r="A861" s="45"/>
      <c r="B861" s="54"/>
      <c r="C861" s="47">
        <f>INT($C$29)+3</f>
        <v>4</v>
      </c>
      <c r="D861" s="73"/>
      <c r="E861" s="70"/>
      <c r="F861" s="70" t="s">
        <v>1567</v>
      </c>
      <c r="G861" s="73"/>
      <c r="H861" s="76" t="s">
        <v>1491</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hidden="1" outlineLevel="2" x14ac:dyDescent="0.25">
      <c r="A862" s="45"/>
      <c r="B862" s="54"/>
      <c r="C862" s="47">
        <f>INT($C$29)+3</f>
        <v>4</v>
      </c>
      <c r="D862" s="73"/>
      <c r="E862" s="70"/>
      <c r="F862" s="70" t="s">
        <v>1568</v>
      </c>
      <c r="G862" s="73"/>
      <c r="H862" s="76" t="s">
        <v>1493</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hidden="1" outlineLevel="2" collapsed="1" x14ac:dyDescent="0.25">
      <c r="A863" s="45"/>
      <c r="B863" s="54"/>
      <c r="C863" s="47">
        <f>INT($C$29)+3</f>
        <v>4</v>
      </c>
      <c r="D863" s="73"/>
      <c r="E863" s="70"/>
      <c r="F863" s="70" t="s">
        <v>1569</v>
      </c>
      <c r="G863" s="73"/>
      <c r="H863" s="76" t="s">
        <v>1495</v>
      </c>
      <c r="I863" s="96" t="s">
        <v>502</v>
      </c>
      <c r="J863" s="96"/>
      <c r="K863" s="76"/>
      <c r="L863" s="76"/>
      <c r="M863" s="76"/>
      <c r="N863" s="76"/>
      <c r="O863" s="76"/>
      <c r="P863" s="76"/>
      <c r="Q863" s="76"/>
      <c r="R863" s="76"/>
      <c r="S863" s="76"/>
      <c r="T863" s="76"/>
      <c r="U863" s="97">
        <f t="shared" ref="U863:AD863" si="164">U862+($AA850-$AA851)</f>
        <v>1.1000000000000001</v>
      </c>
      <c r="V863" s="97">
        <f t="shared" si="164"/>
        <v>1.1000000000000001</v>
      </c>
      <c r="W863" s="97">
        <f t="shared" si="164"/>
        <v>1.1000000000000001</v>
      </c>
      <c r="X863" s="97">
        <f t="shared" si="164"/>
        <v>1.1000000000000001</v>
      </c>
      <c r="Y863" s="97">
        <f t="shared" si="164"/>
        <v>1.1000000000000001</v>
      </c>
      <c r="Z863" s="97">
        <f t="shared" si="164"/>
        <v>0.82</v>
      </c>
      <c r="AA863" s="97">
        <f t="shared" si="164"/>
        <v>0.82</v>
      </c>
      <c r="AB863" s="97">
        <f t="shared" si="164"/>
        <v>0.82</v>
      </c>
      <c r="AC863" s="97">
        <f t="shared" si="164"/>
        <v>0.82</v>
      </c>
      <c r="AD863" s="97">
        <f t="shared" si="164"/>
        <v>0.82</v>
      </c>
      <c r="AE863" s="76"/>
      <c r="AF863" s="97" t="s">
        <v>2725</v>
      </c>
      <c r="AG863" s="76"/>
      <c r="AH863" s="97">
        <v>1</v>
      </c>
      <c r="AI863" s="97">
        <v>1</v>
      </c>
      <c r="AJ863" s="73"/>
      <c r="AK863" s="57"/>
      <c r="AL863" s="45"/>
      <c r="AM863" s="45"/>
      <c r="AN863" s="45"/>
    </row>
    <row r="864" spans="1:40" hidden="1" outlineLevel="3" x14ac:dyDescent="0.25">
      <c r="A864" s="45"/>
      <c r="B864" s="54"/>
      <c r="C864" s="47">
        <f>INT($C$29)+2</f>
        <v>3</v>
      </c>
      <c r="D864" s="73"/>
      <c r="E864" s="70"/>
      <c r="F864" s="70" t="s">
        <v>1571</v>
      </c>
      <c r="G864" s="73"/>
      <c r="H864" s="76" t="s">
        <v>1489</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25">
      <c r="A865" s="45"/>
      <c r="B865" s="54"/>
      <c r="C865" s="47">
        <f>INT($C$29)+2</f>
        <v>3</v>
      </c>
      <c r="D865" s="73"/>
      <c r="E865" s="70"/>
      <c r="F865" s="70" t="s">
        <v>1573</v>
      </c>
      <c r="G865" s="73"/>
      <c r="H865" s="76" t="s">
        <v>1491</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1574</v>
      </c>
      <c r="G866" s="73"/>
      <c r="H866" s="76" t="s">
        <v>1493</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1575</v>
      </c>
      <c r="G867" s="73"/>
      <c r="H867" s="76" t="s">
        <v>1495</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 t="shared" ref="C868:C875" si="165">INT($C$29)+3</f>
        <v>4</v>
      </c>
      <c r="D868" s="73"/>
      <c r="E868" s="70"/>
      <c r="F868" s="70" t="s">
        <v>1576</v>
      </c>
      <c r="G868" s="73"/>
      <c r="H868" s="76" t="s">
        <v>1577</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si="165"/>
        <v>4</v>
      </c>
      <c r="D869" s="73"/>
      <c r="E869" s="70"/>
      <c r="F869" s="70" t="s">
        <v>1578</v>
      </c>
      <c r="G869" s="73"/>
      <c r="H869" s="76" t="s">
        <v>1491</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65"/>
        <v>4</v>
      </c>
      <c r="D870" s="73"/>
      <c r="E870" s="70"/>
      <c r="F870" s="70" t="s">
        <v>1579</v>
      </c>
      <c r="G870" s="73"/>
      <c r="H870" s="76" t="s">
        <v>1493</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65"/>
        <v>4</v>
      </c>
      <c r="D871" s="73"/>
      <c r="E871" s="70"/>
      <c r="F871" s="70" t="s">
        <v>1580</v>
      </c>
      <c r="G871" s="73"/>
      <c r="H871" s="76" t="s">
        <v>1495</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65"/>
        <v>4</v>
      </c>
      <c r="D872" s="73"/>
      <c r="E872" s="70"/>
      <c r="F872" s="70" t="s">
        <v>1581</v>
      </c>
      <c r="G872" s="73"/>
      <c r="H872" s="76" t="s">
        <v>1582</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65"/>
        <v>4</v>
      </c>
      <c r="D873" s="73"/>
      <c r="E873" s="70"/>
      <c r="F873" s="70" t="s">
        <v>1583</v>
      </c>
      <c r="G873" s="73"/>
      <c r="H873" s="76" t="s">
        <v>1491</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65"/>
        <v>4</v>
      </c>
      <c r="D874" s="73"/>
      <c r="E874" s="70"/>
      <c r="F874" s="70" t="s">
        <v>1584</v>
      </c>
      <c r="G874" s="73"/>
      <c r="H874" s="76" t="s">
        <v>1493</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25">
      <c r="A875" s="45"/>
      <c r="B875" s="54"/>
      <c r="C875" s="47">
        <f t="shared" si="165"/>
        <v>4</v>
      </c>
      <c r="D875" s="73"/>
      <c r="E875" s="70"/>
      <c r="F875" s="70" t="s">
        <v>1585</v>
      </c>
      <c r="G875" s="73"/>
      <c r="H875" s="76" t="s">
        <v>1495</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ref="C876:C940" si="166">INT($C$29)+2</f>
        <v>3</v>
      </c>
      <c r="D876" s="73"/>
      <c r="E876" s="70" t="s">
        <v>784</v>
      </c>
      <c r="F876" s="70" t="s">
        <v>1586</v>
      </c>
      <c r="G876" s="73"/>
      <c r="H876" s="76" t="s">
        <v>1587</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hidden="1" outlineLevel="2" x14ac:dyDescent="0.25">
      <c r="A877" s="45"/>
      <c r="B877" s="54"/>
      <c r="C877" s="47">
        <f t="shared" si="166"/>
        <v>3</v>
      </c>
      <c r="D877" s="73"/>
      <c r="E877" s="70"/>
      <c r="F877" s="70" t="s">
        <v>1588</v>
      </c>
      <c r="G877" s="73"/>
      <c r="H877" s="76" t="s">
        <v>1589</v>
      </c>
      <c r="I877" s="96" t="s">
        <v>502</v>
      </c>
      <c r="J877" s="96"/>
      <c r="K877" s="97">
        <v>1.5</v>
      </c>
      <c r="L877" s="97">
        <v>1.5</v>
      </c>
      <c r="M877" s="97">
        <v>1</v>
      </c>
      <c r="N877" s="97">
        <v>1</v>
      </c>
      <c r="O877" s="97">
        <v>1</v>
      </c>
      <c r="P877" s="97">
        <v>1</v>
      </c>
      <c r="Q877" s="76"/>
      <c r="R877" s="76" t="s">
        <v>550</v>
      </c>
      <c r="S877" s="76" t="s">
        <v>550</v>
      </c>
      <c r="T877" s="76"/>
      <c r="U877" s="253">
        <f t="shared" ref="U877:AD879" si="167">INDEX($K877:$Q877,1,U$43)</f>
        <v>1.5</v>
      </c>
      <c r="V877" s="253">
        <f t="shared" si="167"/>
        <v>1.5</v>
      </c>
      <c r="W877" s="253">
        <f t="shared" si="167"/>
        <v>1.5</v>
      </c>
      <c r="X877" s="253">
        <f t="shared" si="167"/>
        <v>1.5</v>
      </c>
      <c r="Y877" s="253">
        <f t="shared" si="167"/>
        <v>1.5</v>
      </c>
      <c r="Z877" s="253">
        <f t="shared" si="167"/>
        <v>1.5</v>
      </c>
      <c r="AA877" s="253">
        <f t="shared" si="167"/>
        <v>1.5</v>
      </c>
      <c r="AB877" s="253">
        <f t="shared" si="167"/>
        <v>1.5</v>
      </c>
      <c r="AC877" s="253">
        <f t="shared" si="167"/>
        <v>1.5</v>
      </c>
      <c r="AD877" s="253">
        <f t="shared" si="167"/>
        <v>1.5</v>
      </c>
      <c r="AE877" s="76"/>
      <c r="AF877" s="76"/>
      <c r="AG877" s="76"/>
      <c r="AH877" s="97">
        <v>1</v>
      </c>
      <c r="AI877" s="97">
        <v>1</v>
      </c>
      <c r="AJ877" s="73"/>
      <c r="AK877" s="57"/>
      <c r="AL877" s="45"/>
      <c r="AM877" s="45"/>
      <c r="AN877" s="45"/>
    </row>
    <row r="878" spans="1:40" hidden="1" outlineLevel="2" x14ac:dyDescent="0.25">
      <c r="A878" s="45"/>
      <c r="B878" s="54"/>
      <c r="C878" s="47">
        <f t="shared" si="166"/>
        <v>3</v>
      </c>
      <c r="D878" s="73"/>
      <c r="E878" s="70"/>
      <c r="F878" s="70" t="s">
        <v>1590</v>
      </c>
      <c r="G878" s="73"/>
      <c r="H878" s="76" t="s">
        <v>1591</v>
      </c>
      <c r="I878" s="96" t="s">
        <v>502</v>
      </c>
      <c r="J878" s="96"/>
      <c r="K878" s="97">
        <v>1.75</v>
      </c>
      <c r="L878" s="97">
        <v>1.75</v>
      </c>
      <c r="M878" s="76"/>
      <c r="N878" s="76"/>
      <c r="O878" s="76"/>
      <c r="P878" s="76"/>
      <c r="Q878" s="76"/>
      <c r="R878" s="76" t="s">
        <v>550</v>
      </c>
      <c r="S878" s="76"/>
      <c r="T878" s="76"/>
      <c r="U878" s="253">
        <f t="shared" si="167"/>
        <v>1.75</v>
      </c>
      <c r="V878" s="253">
        <f t="shared" si="167"/>
        <v>1.75</v>
      </c>
      <c r="W878" s="253">
        <f t="shared" si="167"/>
        <v>1.75</v>
      </c>
      <c r="X878" s="253">
        <f t="shared" si="167"/>
        <v>1.75</v>
      </c>
      <c r="Y878" s="253">
        <f t="shared" si="167"/>
        <v>1.75</v>
      </c>
      <c r="Z878" s="253">
        <f t="shared" si="167"/>
        <v>1.75</v>
      </c>
      <c r="AA878" s="253">
        <f t="shared" si="167"/>
        <v>1.75</v>
      </c>
      <c r="AB878" s="253">
        <f t="shared" si="167"/>
        <v>1.75</v>
      </c>
      <c r="AC878" s="253">
        <f t="shared" si="167"/>
        <v>1.75</v>
      </c>
      <c r="AD878" s="253">
        <f t="shared" si="167"/>
        <v>1.75</v>
      </c>
      <c r="AE878" s="76"/>
      <c r="AF878" s="76"/>
      <c r="AG878" s="76"/>
      <c r="AH878" s="97">
        <v>1</v>
      </c>
      <c r="AI878" s="97">
        <v>1</v>
      </c>
      <c r="AJ878" s="73"/>
      <c r="AK878" s="57"/>
      <c r="AL878" s="45"/>
      <c r="AM878" s="45"/>
      <c r="AN878" s="45"/>
    </row>
    <row r="879" spans="1:40" hidden="1" outlineLevel="2" x14ac:dyDescent="0.25">
      <c r="A879" s="45"/>
      <c r="B879" s="54"/>
      <c r="C879" s="47">
        <f t="shared" si="166"/>
        <v>3</v>
      </c>
      <c r="D879" s="73"/>
      <c r="E879" s="70"/>
      <c r="F879" s="70" t="s">
        <v>1592</v>
      </c>
      <c r="G879" s="73"/>
      <c r="H879" s="76" t="s">
        <v>1593</v>
      </c>
      <c r="I879" s="96" t="s">
        <v>502</v>
      </c>
      <c r="J879" s="96"/>
      <c r="K879" s="97">
        <v>2</v>
      </c>
      <c r="L879" s="97">
        <v>2</v>
      </c>
      <c r="M879" s="76"/>
      <c r="N879" s="76"/>
      <c r="O879" s="76"/>
      <c r="P879" s="76"/>
      <c r="Q879" s="76"/>
      <c r="R879" s="76" t="s">
        <v>550</v>
      </c>
      <c r="S879" s="76"/>
      <c r="T879" s="76"/>
      <c r="U879" s="253">
        <f t="shared" si="167"/>
        <v>2</v>
      </c>
      <c r="V879" s="253">
        <f t="shared" si="167"/>
        <v>2</v>
      </c>
      <c r="W879" s="253">
        <f t="shared" si="167"/>
        <v>2</v>
      </c>
      <c r="X879" s="253">
        <f t="shared" si="167"/>
        <v>2</v>
      </c>
      <c r="Y879" s="253">
        <f t="shared" si="167"/>
        <v>2</v>
      </c>
      <c r="Z879" s="253">
        <f t="shared" si="167"/>
        <v>2</v>
      </c>
      <c r="AA879" s="253">
        <f t="shared" si="167"/>
        <v>2</v>
      </c>
      <c r="AB879" s="253">
        <f t="shared" si="167"/>
        <v>2</v>
      </c>
      <c r="AC879" s="253">
        <f t="shared" si="167"/>
        <v>2</v>
      </c>
      <c r="AD879" s="253">
        <f t="shared" si="167"/>
        <v>2</v>
      </c>
      <c r="AE879" s="76"/>
      <c r="AF879" s="76"/>
      <c r="AG879" s="76"/>
      <c r="AH879" s="97">
        <v>1</v>
      </c>
      <c r="AI879" s="97">
        <v>1</v>
      </c>
      <c r="AJ879" s="73"/>
      <c r="AK879" s="57"/>
      <c r="AL879" s="45"/>
      <c r="AM879" s="45"/>
      <c r="AN879" s="45"/>
    </row>
    <row r="880" spans="1:40" hidden="1" outlineLevel="2" x14ac:dyDescent="0.25">
      <c r="A880" s="45"/>
      <c r="B880" s="54"/>
      <c r="C880" s="47">
        <f t="shared" si="166"/>
        <v>3</v>
      </c>
      <c r="D880" s="73"/>
      <c r="E880" s="70" t="s">
        <v>787</v>
      </c>
      <c r="F880" s="70" t="s">
        <v>1594</v>
      </c>
      <c r="G880" s="73"/>
      <c r="H880" s="76" t="s">
        <v>1595</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hidden="1" outlineLevel="2" x14ac:dyDescent="0.25">
      <c r="A881" s="45"/>
      <c r="B881" s="54"/>
      <c r="C881" s="47">
        <f t="shared" si="166"/>
        <v>3</v>
      </c>
      <c r="D881" s="73"/>
      <c r="E881" s="70"/>
      <c r="F881" s="70" t="s">
        <v>1596</v>
      </c>
      <c r="G881" s="73"/>
      <c r="H881" s="76" t="s">
        <v>1597</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68">INDEX($K881:$Q881,1,U$43)</f>
        <v>0.1</v>
      </c>
      <c r="V881" s="253">
        <f t="shared" si="168"/>
        <v>0.1</v>
      </c>
      <c r="W881" s="253">
        <f t="shared" si="168"/>
        <v>0.1</v>
      </c>
      <c r="X881" s="253">
        <f t="shared" si="168"/>
        <v>0.1</v>
      </c>
      <c r="Y881" s="253">
        <f t="shared" si="168"/>
        <v>0.1</v>
      </c>
      <c r="Z881" s="253">
        <f t="shared" si="168"/>
        <v>0.1</v>
      </c>
      <c r="AA881" s="253">
        <f t="shared" si="168"/>
        <v>0.1</v>
      </c>
      <c r="AB881" s="253">
        <f t="shared" si="168"/>
        <v>0.1</v>
      </c>
      <c r="AC881" s="253">
        <f t="shared" si="168"/>
        <v>0.1</v>
      </c>
      <c r="AD881" s="253">
        <f t="shared" si="168"/>
        <v>0.1</v>
      </c>
      <c r="AE881" s="76"/>
      <c r="AF881" s="76"/>
      <c r="AG881" s="76"/>
      <c r="AH881" s="97">
        <v>1</v>
      </c>
      <c r="AI881" s="97">
        <v>1</v>
      </c>
      <c r="AJ881" s="73"/>
      <c r="AK881" s="57"/>
      <c r="AL881" s="45"/>
      <c r="AM881" s="45"/>
      <c r="AN881" s="45"/>
    </row>
    <row r="882" spans="1:40" hidden="1" outlineLevel="2" x14ac:dyDescent="0.25">
      <c r="A882" s="45"/>
      <c r="B882" s="54"/>
      <c r="C882" s="47">
        <f t="shared" si="166"/>
        <v>3</v>
      </c>
      <c r="D882" s="73"/>
      <c r="E882" s="70"/>
      <c r="F882" s="70" t="s">
        <v>1598</v>
      </c>
      <c r="G882" s="73"/>
      <c r="H882" s="76" t="s">
        <v>1599</v>
      </c>
      <c r="I882" s="96" t="s">
        <v>90</v>
      </c>
      <c r="J882" s="96" t="s">
        <v>1173</v>
      </c>
      <c r="K882" s="97">
        <v>8.5000000000000006E-2</v>
      </c>
      <c r="L882" s="97">
        <v>8.5000000000000006E-2</v>
      </c>
      <c r="M882" s="76"/>
      <c r="N882" s="76"/>
      <c r="O882" s="76"/>
      <c r="P882" s="76"/>
      <c r="Q882" s="76"/>
      <c r="R882" s="76" t="s">
        <v>550</v>
      </c>
      <c r="S882" s="76"/>
      <c r="T882" s="76"/>
      <c r="U882" s="253">
        <f t="shared" si="168"/>
        <v>8.5000000000000006E-2</v>
      </c>
      <c r="V882" s="253">
        <f t="shared" si="168"/>
        <v>8.5000000000000006E-2</v>
      </c>
      <c r="W882" s="253">
        <f t="shared" si="168"/>
        <v>8.5000000000000006E-2</v>
      </c>
      <c r="X882" s="253">
        <f t="shared" si="168"/>
        <v>8.5000000000000006E-2</v>
      </c>
      <c r="Y882" s="253">
        <f t="shared" si="168"/>
        <v>8.5000000000000006E-2</v>
      </c>
      <c r="Z882" s="253">
        <f t="shared" si="168"/>
        <v>8.5000000000000006E-2</v>
      </c>
      <c r="AA882" s="253">
        <f t="shared" si="168"/>
        <v>8.5000000000000006E-2</v>
      </c>
      <c r="AB882" s="253">
        <f t="shared" si="168"/>
        <v>8.5000000000000006E-2</v>
      </c>
      <c r="AC882" s="253">
        <f t="shared" si="168"/>
        <v>8.5000000000000006E-2</v>
      </c>
      <c r="AD882" s="253">
        <f t="shared" si="168"/>
        <v>8.5000000000000006E-2</v>
      </c>
      <c r="AE882" s="76"/>
      <c r="AF882" s="76"/>
      <c r="AG882" s="76"/>
      <c r="AH882" s="97">
        <v>1</v>
      </c>
      <c r="AI882" s="97">
        <v>1</v>
      </c>
      <c r="AJ882" s="73"/>
      <c r="AK882" s="57"/>
      <c r="AL882" s="45"/>
      <c r="AM882" s="45"/>
      <c r="AN882" s="45"/>
    </row>
    <row r="883" spans="1:40" hidden="1" outlineLevel="2" x14ac:dyDescent="0.25">
      <c r="A883" s="45"/>
      <c r="B883" s="54"/>
      <c r="C883" s="47">
        <f t="shared" si="166"/>
        <v>3</v>
      </c>
      <c r="D883" s="73"/>
      <c r="E883" s="70"/>
      <c r="F883" s="70" t="s">
        <v>1600</v>
      </c>
      <c r="G883" s="73"/>
      <c r="H883" s="76" t="s">
        <v>1601</v>
      </c>
      <c r="I883" s="96" t="s">
        <v>90</v>
      </c>
      <c r="J883" s="96" t="s">
        <v>1173</v>
      </c>
      <c r="K883" s="97">
        <v>7.0000000000000007E-2</v>
      </c>
      <c r="L883" s="97">
        <v>7.0000000000000007E-2</v>
      </c>
      <c r="M883" s="76"/>
      <c r="N883" s="76"/>
      <c r="O883" s="76"/>
      <c r="P883" s="76"/>
      <c r="Q883" s="76"/>
      <c r="R883" s="76" t="s">
        <v>550</v>
      </c>
      <c r="S883" s="76"/>
      <c r="T883" s="76"/>
      <c r="U883" s="253">
        <f t="shared" si="168"/>
        <v>7.0000000000000007E-2</v>
      </c>
      <c r="V883" s="253">
        <f t="shared" si="168"/>
        <v>7.0000000000000007E-2</v>
      </c>
      <c r="W883" s="253">
        <f t="shared" si="168"/>
        <v>7.0000000000000007E-2</v>
      </c>
      <c r="X883" s="253">
        <f t="shared" si="168"/>
        <v>7.0000000000000007E-2</v>
      </c>
      <c r="Y883" s="253">
        <f t="shared" si="168"/>
        <v>7.0000000000000007E-2</v>
      </c>
      <c r="Z883" s="253">
        <f t="shared" si="168"/>
        <v>7.0000000000000007E-2</v>
      </c>
      <c r="AA883" s="253">
        <f t="shared" si="168"/>
        <v>7.0000000000000007E-2</v>
      </c>
      <c r="AB883" s="253">
        <f t="shared" si="168"/>
        <v>7.0000000000000007E-2</v>
      </c>
      <c r="AC883" s="253">
        <f t="shared" si="168"/>
        <v>7.0000000000000007E-2</v>
      </c>
      <c r="AD883" s="253">
        <f t="shared" si="168"/>
        <v>7.0000000000000007E-2</v>
      </c>
      <c r="AE883" s="76"/>
      <c r="AF883" s="76"/>
      <c r="AG883" s="76"/>
      <c r="AH883" s="97">
        <v>1</v>
      </c>
      <c r="AI883" s="97">
        <v>1</v>
      </c>
      <c r="AJ883" s="73"/>
      <c r="AK883" s="57"/>
      <c r="AL883" s="45"/>
      <c r="AM883" s="45"/>
      <c r="AN883" s="45"/>
    </row>
    <row r="884" spans="1:40" hidden="1" outlineLevel="2" x14ac:dyDescent="0.25">
      <c r="A884" s="45"/>
      <c r="B884" s="54"/>
      <c r="C884" s="47">
        <f t="shared" si="166"/>
        <v>3</v>
      </c>
      <c r="D884" s="73"/>
      <c r="E884" s="70"/>
      <c r="F884" s="70" t="s">
        <v>1602</v>
      </c>
      <c r="G884" s="73"/>
      <c r="H884" s="76" t="s">
        <v>1603</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hidden="1" outlineLevel="2" x14ac:dyDescent="0.25">
      <c r="A885" s="45"/>
      <c r="B885" s="54"/>
      <c r="C885" s="47">
        <f t="shared" si="166"/>
        <v>3</v>
      </c>
      <c r="D885" s="73"/>
      <c r="E885" s="70"/>
      <c r="F885" s="70" t="s">
        <v>1604</v>
      </c>
      <c r="G885" s="73"/>
      <c r="H885" s="76" t="s">
        <v>1605</v>
      </c>
      <c r="I885" s="96" t="s">
        <v>692</v>
      </c>
      <c r="J885" s="96" t="s">
        <v>1145</v>
      </c>
      <c r="K885" s="76"/>
      <c r="L885" s="76"/>
      <c r="M885" s="76"/>
      <c r="N885" s="76"/>
      <c r="O885" s="76"/>
      <c r="P885" s="76"/>
      <c r="Q885" s="76"/>
      <c r="R885" s="76"/>
      <c r="S885" s="76"/>
      <c r="T885" s="76"/>
      <c r="U885" s="97">
        <v>0</v>
      </c>
      <c r="V885" s="255">
        <f>U885</f>
        <v>0</v>
      </c>
      <c r="W885" s="255">
        <f t="shared" ref="W885:X887" si="169">U885</f>
        <v>0</v>
      </c>
      <c r="X885" s="255">
        <f t="shared" si="169"/>
        <v>0</v>
      </c>
      <c r="Y885" s="255">
        <f>V885</f>
        <v>0</v>
      </c>
      <c r="Z885" s="255">
        <f>Y885</f>
        <v>0</v>
      </c>
      <c r="AA885" s="97">
        <v>0</v>
      </c>
      <c r="AB885" s="255">
        <f t="shared" ref="AB885:AD887" si="170">AA885</f>
        <v>0</v>
      </c>
      <c r="AC885" s="255">
        <f t="shared" si="170"/>
        <v>0</v>
      </c>
      <c r="AD885" s="255">
        <f t="shared" si="170"/>
        <v>0</v>
      </c>
      <c r="AE885" s="76"/>
      <c r="AF885" s="97" t="s">
        <v>2181</v>
      </c>
      <c r="AG885" s="76"/>
      <c r="AH885" s="97">
        <v>1</v>
      </c>
      <c r="AI885" s="97">
        <v>1</v>
      </c>
      <c r="AJ885" s="73"/>
      <c r="AK885" s="57"/>
      <c r="AL885" s="45"/>
      <c r="AM885" s="45"/>
      <c r="AN885" s="45"/>
    </row>
    <row r="886" spans="1:40" hidden="1" outlineLevel="2" x14ac:dyDescent="0.25">
      <c r="A886" s="45"/>
      <c r="B886" s="54"/>
      <c r="C886" s="47">
        <f t="shared" si="166"/>
        <v>3</v>
      </c>
      <c r="D886" s="73"/>
      <c r="E886" s="70"/>
      <c r="F886" s="70" t="s">
        <v>1606</v>
      </c>
      <c r="G886" s="73"/>
      <c r="H886" s="76" t="s">
        <v>1607</v>
      </c>
      <c r="I886" s="96" t="s">
        <v>692</v>
      </c>
      <c r="J886" s="96" t="s">
        <v>1145</v>
      </c>
      <c r="K886" s="76"/>
      <c r="L886" s="76"/>
      <c r="M886" s="76"/>
      <c r="N886" s="76"/>
      <c r="O886" s="76"/>
      <c r="P886" s="76"/>
      <c r="Q886" s="76"/>
      <c r="R886" s="76"/>
      <c r="S886" s="76"/>
      <c r="T886" s="76"/>
      <c r="U886" s="97">
        <v>-0.95650000000000002</v>
      </c>
      <c r="V886" s="255">
        <f>U886</f>
        <v>-0.95650000000000002</v>
      </c>
      <c r="W886" s="255">
        <f t="shared" si="169"/>
        <v>-0.95650000000000002</v>
      </c>
      <c r="X886" s="255">
        <f t="shared" si="169"/>
        <v>-0.95650000000000002</v>
      </c>
      <c r="Y886" s="255">
        <f>V886</f>
        <v>-0.95650000000000002</v>
      </c>
      <c r="Z886" s="255">
        <f>Y886</f>
        <v>-0.95650000000000002</v>
      </c>
      <c r="AA886" s="97">
        <v>-1.0820000000000001</v>
      </c>
      <c r="AB886" s="255">
        <f t="shared" si="170"/>
        <v>-1.0820000000000001</v>
      </c>
      <c r="AC886" s="255">
        <f t="shared" si="170"/>
        <v>-1.0820000000000001</v>
      </c>
      <c r="AD886" s="255">
        <f t="shared" si="170"/>
        <v>-1.0820000000000001</v>
      </c>
      <c r="AE886" s="76"/>
      <c r="AF886" s="97"/>
      <c r="AG886" s="76"/>
      <c r="AH886" s="97">
        <v>1</v>
      </c>
      <c r="AI886" s="97">
        <v>1</v>
      </c>
      <c r="AJ886" s="73"/>
      <c r="AK886" s="57"/>
      <c r="AL886" s="45"/>
      <c r="AM886" s="45"/>
      <c r="AN886" s="45"/>
    </row>
    <row r="887" spans="1:40" hidden="1" outlineLevel="2" collapsed="1" x14ac:dyDescent="0.25">
      <c r="A887" s="45"/>
      <c r="B887" s="54"/>
      <c r="C887" s="47">
        <f t="shared" si="166"/>
        <v>3</v>
      </c>
      <c r="D887" s="73"/>
      <c r="E887" s="70"/>
      <c r="F887" s="70" t="s">
        <v>1608</v>
      </c>
      <c r="G887" s="73"/>
      <c r="H887" s="76" t="s">
        <v>1609</v>
      </c>
      <c r="I887" s="96" t="s">
        <v>692</v>
      </c>
      <c r="J887" s="96" t="s">
        <v>1145</v>
      </c>
      <c r="K887" s="76"/>
      <c r="L887" s="76"/>
      <c r="M887" s="76"/>
      <c r="N887" s="76"/>
      <c r="O887" s="76"/>
      <c r="P887" s="76"/>
      <c r="Q887" s="76"/>
      <c r="R887" s="76"/>
      <c r="S887" s="76"/>
      <c r="T887" s="76"/>
      <c r="U887" s="97">
        <v>-1.7614000000000001</v>
      </c>
      <c r="V887" s="255">
        <f>U887</f>
        <v>-1.7614000000000001</v>
      </c>
      <c r="W887" s="255">
        <f t="shared" si="169"/>
        <v>-1.7614000000000001</v>
      </c>
      <c r="X887" s="255">
        <f t="shared" si="169"/>
        <v>-1.7614000000000001</v>
      </c>
      <c r="Y887" s="255">
        <f>V887</f>
        <v>-1.7614000000000001</v>
      </c>
      <c r="Z887" s="255">
        <f>Y887</f>
        <v>-1.7614000000000001</v>
      </c>
      <c r="AA887" s="97">
        <v>-2.0059999999999998</v>
      </c>
      <c r="AB887" s="255">
        <f t="shared" si="170"/>
        <v>-2.0059999999999998</v>
      </c>
      <c r="AC887" s="255">
        <f t="shared" si="170"/>
        <v>-2.0059999999999998</v>
      </c>
      <c r="AD887" s="255">
        <f t="shared" si="170"/>
        <v>-2.0059999999999998</v>
      </c>
      <c r="AE887" s="76"/>
      <c r="AF887" s="97"/>
      <c r="AG887" s="76"/>
      <c r="AH887" s="97">
        <v>1</v>
      </c>
      <c r="AI887" s="97">
        <v>1</v>
      </c>
      <c r="AJ887" s="73"/>
      <c r="AK887" s="57"/>
      <c r="AL887" s="45"/>
      <c r="AM887" s="45"/>
      <c r="AN887" s="45"/>
    </row>
    <row r="888" spans="1:40" hidden="1" outlineLevel="3" x14ac:dyDescent="0.25">
      <c r="A888" s="45"/>
      <c r="B888" s="54"/>
      <c r="C888" s="47">
        <f t="shared" si="166"/>
        <v>3</v>
      </c>
      <c r="D888" s="73"/>
      <c r="E888" s="70"/>
      <c r="F888" s="70" t="s">
        <v>1610</v>
      </c>
      <c r="G888" s="73"/>
      <c r="H888" s="76" t="s">
        <v>2183</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25">
      <c r="A889" s="45"/>
      <c r="B889" s="54"/>
      <c r="C889" s="47">
        <f t="shared" si="166"/>
        <v>3</v>
      </c>
      <c r="D889" s="73"/>
      <c r="E889" s="70"/>
      <c r="F889" s="70" t="s">
        <v>1612</v>
      </c>
      <c r="G889" s="73"/>
      <c r="H889" s="76" t="s">
        <v>1491</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25">
      <c r="A890" s="45"/>
      <c r="B890" s="54"/>
      <c r="C890" s="47">
        <f t="shared" si="166"/>
        <v>3</v>
      </c>
      <c r="D890" s="73"/>
      <c r="E890" s="70"/>
      <c r="F890" s="70" t="s">
        <v>1613</v>
      </c>
      <c r="G890" s="73"/>
      <c r="H890" s="76" t="s">
        <v>1493</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25">
      <c r="A891" s="45"/>
      <c r="B891" s="54"/>
      <c r="C891" s="47">
        <f t="shared" si="166"/>
        <v>3</v>
      </c>
      <c r="D891" s="73"/>
      <c r="E891" s="70"/>
      <c r="F891" s="70" t="s">
        <v>1614</v>
      </c>
      <c r="G891" s="73"/>
      <c r="H891" s="76" t="s">
        <v>1495</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25">
      <c r="A892" s="45"/>
      <c r="B892" s="54"/>
      <c r="C892" s="47">
        <f t="shared" si="166"/>
        <v>3</v>
      </c>
      <c r="D892" s="73"/>
      <c r="E892" s="70"/>
      <c r="F892" s="70" t="s">
        <v>1615</v>
      </c>
      <c r="G892" s="73"/>
      <c r="H892" s="76" t="s">
        <v>1616</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25">
      <c r="A893" s="45"/>
      <c r="B893" s="54"/>
      <c r="C893" s="47">
        <f t="shared" si="166"/>
        <v>3</v>
      </c>
      <c r="D893" s="73"/>
      <c r="E893" s="70"/>
      <c r="F893" s="70" t="s">
        <v>1617</v>
      </c>
      <c r="G893" s="73"/>
      <c r="H893" s="76" t="s">
        <v>1618</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25">
      <c r="A894" s="45"/>
      <c r="B894" s="54"/>
      <c r="C894" s="47">
        <f t="shared" si="166"/>
        <v>3</v>
      </c>
      <c r="D894" s="73"/>
      <c r="E894" s="70"/>
      <c r="F894" s="70" t="s">
        <v>1619</v>
      </c>
      <c r="G894" s="73"/>
      <c r="H894" s="76" t="s">
        <v>1620</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25">
      <c r="A895" s="45"/>
      <c r="B895" s="54"/>
      <c r="C895" s="47">
        <f t="shared" si="166"/>
        <v>3</v>
      </c>
      <c r="D895" s="73"/>
      <c r="E895" s="70"/>
      <c r="F895" s="70" t="s">
        <v>1621</v>
      </c>
      <c r="G895" s="73"/>
      <c r="H895" s="76" t="s">
        <v>1622</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25">
      <c r="A896" s="45"/>
      <c r="B896" s="54"/>
      <c r="C896" s="47">
        <f t="shared" si="166"/>
        <v>3</v>
      </c>
      <c r="D896" s="73"/>
      <c r="E896" s="70"/>
      <c r="F896" s="70" t="s">
        <v>1623</v>
      </c>
      <c r="G896" s="73"/>
      <c r="H896" s="76" t="s">
        <v>1489</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66"/>
        <v>3</v>
      </c>
      <c r="D897" s="73"/>
      <c r="E897" s="70"/>
      <c r="F897" s="70" t="s">
        <v>1624</v>
      </c>
      <c r="G897" s="73"/>
      <c r="H897" s="76" t="s">
        <v>1491</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66"/>
        <v>3</v>
      </c>
      <c r="D898" s="73"/>
      <c r="E898" s="70"/>
      <c r="F898" s="70" t="s">
        <v>1625</v>
      </c>
      <c r="G898" s="73"/>
      <c r="H898" s="76" t="s">
        <v>1493</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66"/>
        <v>3</v>
      </c>
      <c r="D899" s="73"/>
      <c r="E899" s="70"/>
      <c r="F899" s="70" t="s">
        <v>1626</v>
      </c>
      <c r="G899" s="73"/>
      <c r="H899" s="76" t="s">
        <v>1495</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66"/>
        <v>3</v>
      </c>
      <c r="D900" s="73"/>
      <c r="E900" s="70"/>
      <c r="F900" s="70" t="s">
        <v>2511</v>
      </c>
      <c r="G900" s="73"/>
      <c r="H900" s="76" t="s">
        <v>1489</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66"/>
        <v>3</v>
      </c>
      <c r="D901" s="73"/>
      <c r="E901" s="70"/>
      <c r="F901" s="70" t="s">
        <v>2512</v>
      </c>
      <c r="G901" s="73"/>
      <c r="H901" s="76" t="s">
        <v>1491</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66"/>
        <v>3</v>
      </c>
      <c r="D902" s="73"/>
      <c r="E902" s="70"/>
      <c r="F902" s="70" t="s">
        <v>2513</v>
      </c>
      <c r="G902" s="73"/>
      <c r="H902" s="76" t="s">
        <v>1493</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66"/>
        <v>3</v>
      </c>
      <c r="D903" s="73"/>
      <c r="E903" s="70"/>
      <c r="F903" s="70" t="s">
        <v>2514</v>
      </c>
      <c r="G903" s="73"/>
      <c r="H903" s="76" t="s">
        <v>1495</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66"/>
        <v>3</v>
      </c>
      <c r="D904" s="73"/>
      <c r="E904" s="70"/>
      <c r="F904" s="70" t="s">
        <v>2515</v>
      </c>
      <c r="G904" s="73"/>
      <c r="H904" s="76" t="s">
        <v>1489</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66"/>
        <v>3</v>
      </c>
      <c r="D905" s="73"/>
      <c r="E905" s="70"/>
      <c r="F905" s="70" t="s">
        <v>2516</v>
      </c>
      <c r="G905" s="73"/>
      <c r="H905" s="76" t="s">
        <v>1491</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66"/>
        <v>3</v>
      </c>
      <c r="D906" s="73"/>
      <c r="E906" s="70"/>
      <c r="F906" s="70" t="s">
        <v>2517</v>
      </c>
      <c r="G906" s="73"/>
      <c r="H906" s="76" t="s">
        <v>1493</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66"/>
        <v>3</v>
      </c>
      <c r="D907" s="73"/>
      <c r="E907" s="70"/>
      <c r="F907" s="70" t="s">
        <v>2518</v>
      </c>
      <c r="G907" s="73"/>
      <c r="H907" s="76" t="s">
        <v>1495</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2" x14ac:dyDescent="0.25">
      <c r="A908" s="45"/>
      <c r="B908" s="54"/>
      <c r="C908" s="47">
        <f t="shared" si="166"/>
        <v>3</v>
      </c>
      <c r="D908" s="73"/>
      <c r="E908" s="70"/>
      <c r="F908" s="70" t="s">
        <v>2519</v>
      </c>
      <c r="G908" s="73"/>
      <c r="H908" s="76" t="s">
        <v>2721</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hidden="1" outlineLevel="2" x14ac:dyDescent="0.25">
      <c r="A909" s="45"/>
      <c r="B909" s="54"/>
      <c r="C909" s="47">
        <f t="shared" si="166"/>
        <v>3</v>
      </c>
      <c r="D909" s="73"/>
      <c r="E909" s="70"/>
      <c r="F909" s="70" t="s">
        <v>2520</v>
      </c>
      <c r="G909" s="73"/>
      <c r="H909" s="76" t="s">
        <v>2723</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1">Y909</f>
        <v>0</v>
      </c>
      <c r="AA909" s="255">
        <f t="shared" si="171"/>
        <v>0</v>
      </c>
      <c r="AB909" s="255">
        <f t="shared" si="171"/>
        <v>0</v>
      </c>
      <c r="AC909" s="255">
        <f t="shared" si="171"/>
        <v>0</v>
      </c>
      <c r="AD909" s="255">
        <f t="shared" si="171"/>
        <v>0</v>
      </c>
      <c r="AE909" s="76"/>
      <c r="AF909" s="76"/>
      <c r="AG909" s="76"/>
      <c r="AH909" s="76">
        <v>1</v>
      </c>
      <c r="AI909" s="76">
        <v>1</v>
      </c>
      <c r="AJ909" s="73"/>
      <c r="AK909" s="57"/>
      <c r="AL909" s="45"/>
      <c r="AM909" s="45"/>
      <c r="AN909" s="45"/>
    </row>
    <row r="910" spans="1:40" hidden="1" outlineLevel="2" x14ac:dyDescent="0.25">
      <c r="A910" s="45"/>
      <c r="B910" s="54"/>
      <c r="C910" s="47">
        <f t="shared" si="166"/>
        <v>3</v>
      </c>
      <c r="D910" s="73"/>
      <c r="E910" s="70"/>
      <c r="F910" s="70" t="s">
        <v>2521</v>
      </c>
      <c r="G910" s="73"/>
      <c r="H910" s="76" t="s">
        <v>2722</v>
      </c>
      <c r="I910" s="96" t="s">
        <v>502</v>
      </c>
      <c r="J910" s="96"/>
      <c r="K910" s="76"/>
      <c r="L910" s="76"/>
      <c r="M910" s="76"/>
      <c r="N910" s="76"/>
      <c r="O910" s="76"/>
      <c r="P910" s="76"/>
      <c r="Q910" s="76"/>
      <c r="R910" s="76"/>
      <c r="S910" s="76"/>
      <c r="T910" s="76"/>
      <c r="U910" s="97">
        <v>0</v>
      </c>
      <c r="V910" s="97">
        <v>0</v>
      </c>
      <c r="W910" s="97">
        <v>0</v>
      </c>
      <c r="X910" s="97">
        <v>0</v>
      </c>
      <c r="Y910" s="97">
        <v>0</v>
      </c>
      <c r="Z910" s="255">
        <f t="shared" si="171"/>
        <v>0</v>
      </c>
      <c r="AA910" s="255">
        <f t="shared" si="171"/>
        <v>0</v>
      </c>
      <c r="AB910" s="255">
        <f t="shared" si="171"/>
        <v>0</v>
      </c>
      <c r="AC910" s="255">
        <f t="shared" si="171"/>
        <v>0</v>
      </c>
      <c r="AD910" s="255">
        <f t="shared" si="171"/>
        <v>0</v>
      </c>
      <c r="AE910" s="76"/>
      <c r="AF910" s="76"/>
      <c r="AG910" s="76"/>
      <c r="AH910" s="76">
        <v>1</v>
      </c>
      <c r="AI910" s="76">
        <v>1</v>
      </c>
      <c r="AJ910" s="73"/>
      <c r="AK910" s="57"/>
      <c r="AL910" s="45"/>
      <c r="AM910" s="45"/>
      <c r="AN910" s="45"/>
    </row>
    <row r="911" spans="1:40" hidden="1" outlineLevel="2" x14ac:dyDescent="0.25">
      <c r="A911" s="45"/>
      <c r="B911" s="54"/>
      <c r="C911" s="47">
        <f t="shared" si="166"/>
        <v>3</v>
      </c>
      <c r="D911" s="73"/>
      <c r="E911" s="70"/>
      <c r="F911" s="70" t="s">
        <v>2522</v>
      </c>
      <c r="G911" s="73"/>
      <c r="H911" s="76" t="s">
        <v>2724</v>
      </c>
      <c r="I911" s="96" t="s">
        <v>502</v>
      </c>
      <c r="J911" s="96"/>
      <c r="K911" s="76"/>
      <c r="L911" s="76"/>
      <c r="M911" s="76"/>
      <c r="N911" s="76"/>
      <c r="O911" s="76"/>
      <c r="P911" s="76"/>
      <c r="Q911" s="76"/>
      <c r="R911" s="76"/>
      <c r="S911" s="76"/>
      <c r="T911" s="76"/>
      <c r="U911" s="97">
        <v>0</v>
      </c>
      <c r="V911" s="97">
        <v>0</v>
      </c>
      <c r="W911" s="97">
        <v>0</v>
      </c>
      <c r="X911" s="97">
        <v>0</v>
      </c>
      <c r="Y911" s="97">
        <v>0</v>
      </c>
      <c r="Z911" s="255">
        <f t="shared" si="171"/>
        <v>0</v>
      </c>
      <c r="AA911" s="255">
        <f t="shared" si="171"/>
        <v>0</v>
      </c>
      <c r="AB911" s="255">
        <f t="shared" si="171"/>
        <v>0</v>
      </c>
      <c r="AC911" s="255">
        <f t="shared" si="171"/>
        <v>0</v>
      </c>
      <c r="AD911" s="255">
        <f t="shared" si="171"/>
        <v>0</v>
      </c>
      <c r="AE911" s="76"/>
      <c r="AF911" s="76"/>
      <c r="AG911" s="76"/>
      <c r="AH911" s="76">
        <v>1</v>
      </c>
      <c r="AI911" s="76">
        <v>1</v>
      </c>
      <c r="AJ911" s="73"/>
      <c r="AK911" s="57"/>
      <c r="AL911" s="45"/>
      <c r="AM911" s="45"/>
      <c r="AN911" s="45"/>
    </row>
    <row r="912" spans="1:40" hidden="1" outlineLevel="2" x14ac:dyDescent="0.25">
      <c r="A912" s="45"/>
      <c r="B912" s="54"/>
      <c r="C912" s="47">
        <f t="shared" si="166"/>
        <v>3</v>
      </c>
      <c r="D912" s="73"/>
      <c r="E912" s="70"/>
      <c r="F912" s="70" t="s">
        <v>2523</v>
      </c>
      <c r="G912" s="73"/>
      <c r="H912" s="76" t="s">
        <v>2775</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2786</v>
      </c>
      <c r="AG912" s="76"/>
      <c r="AH912" s="76">
        <v>1</v>
      </c>
      <c r="AI912" s="76">
        <v>1</v>
      </c>
      <c r="AJ912" s="73"/>
      <c r="AK912" s="57"/>
      <c r="AL912" s="45"/>
      <c r="AM912" s="45"/>
      <c r="AN912" s="45"/>
    </row>
    <row r="913" spans="1:40" hidden="1" outlineLevel="2" x14ac:dyDescent="0.25">
      <c r="A913" s="45"/>
      <c r="B913" s="54"/>
      <c r="C913" s="47">
        <f t="shared" si="166"/>
        <v>3</v>
      </c>
      <c r="D913" s="73"/>
      <c r="E913" s="70"/>
      <c r="F913" s="70" t="s">
        <v>2524</v>
      </c>
      <c r="G913" s="73"/>
      <c r="H913" s="76" t="s">
        <v>2723</v>
      </c>
      <c r="I913" s="96" t="s">
        <v>502</v>
      </c>
      <c r="J913" s="96"/>
      <c r="K913" s="76"/>
      <c r="L913" s="76"/>
      <c r="M913" s="76"/>
      <c r="N913" s="76"/>
      <c r="O913" s="76"/>
      <c r="P913" s="76"/>
      <c r="Q913" s="76"/>
      <c r="R913" s="76"/>
      <c r="S913" s="76"/>
      <c r="T913" s="76"/>
      <c r="U913" s="97">
        <f>AA913-(-0.4)</f>
        <v>0</v>
      </c>
      <c r="V913" s="255">
        <f>U913</f>
        <v>0</v>
      </c>
      <c r="W913" s="255">
        <f t="shared" ref="W913:X915" si="172">U913</f>
        <v>0</v>
      </c>
      <c r="X913" s="255">
        <f t="shared" si="172"/>
        <v>0</v>
      </c>
      <c r="Y913" s="255">
        <f>V913</f>
        <v>0</v>
      </c>
      <c r="Z913" s="255">
        <f>AA913</f>
        <v>-0.4</v>
      </c>
      <c r="AA913" s="97">
        <f>-(0.4)</f>
        <v>-0.4</v>
      </c>
      <c r="AB913" s="255">
        <f t="shared" ref="AB913:AD915" si="173">AA913</f>
        <v>-0.4</v>
      </c>
      <c r="AC913" s="255">
        <f t="shared" si="173"/>
        <v>-0.4</v>
      </c>
      <c r="AD913" s="255">
        <f t="shared" si="173"/>
        <v>-0.4</v>
      </c>
      <c r="AE913" s="76"/>
      <c r="AF913" s="97" t="s">
        <v>2826</v>
      </c>
      <c r="AG913" s="76"/>
      <c r="AH913" s="97">
        <v>1</v>
      </c>
      <c r="AI913" s="97">
        <v>1</v>
      </c>
      <c r="AJ913" s="73"/>
      <c r="AK913" s="57"/>
      <c r="AL913" s="45"/>
      <c r="AM913" s="45"/>
      <c r="AN913" s="45"/>
    </row>
    <row r="914" spans="1:40" hidden="1" outlineLevel="2" x14ac:dyDescent="0.25">
      <c r="A914" s="45"/>
      <c r="B914" s="54"/>
      <c r="C914" s="47">
        <f t="shared" si="166"/>
        <v>3</v>
      </c>
      <c r="D914" s="73"/>
      <c r="E914" s="70"/>
      <c r="F914" s="70" t="s">
        <v>2525</v>
      </c>
      <c r="G914" s="73"/>
      <c r="H914" s="76" t="s">
        <v>2722</v>
      </c>
      <c r="I914" s="96" t="s">
        <v>502</v>
      </c>
      <c r="J914" s="96"/>
      <c r="K914" s="76"/>
      <c r="L914" s="76"/>
      <c r="M914" s="76"/>
      <c r="N914" s="76"/>
      <c r="O914" s="76"/>
      <c r="P914" s="76"/>
      <c r="Q914" s="76"/>
      <c r="R914" s="76"/>
      <c r="S914" s="76"/>
      <c r="T914" s="76"/>
      <c r="U914" s="97">
        <f>AA914-(-0.55)</f>
        <v>0.55000000000000004</v>
      </c>
      <c r="V914" s="255">
        <f>U914</f>
        <v>0.55000000000000004</v>
      </c>
      <c r="W914" s="255">
        <f t="shared" si="172"/>
        <v>0.55000000000000004</v>
      </c>
      <c r="X914" s="255">
        <f t="shared" si="172"/>
        <v>0.55000000000000004</v>
      </c>
      <c r="Y914" s="255">
        <f>V914</f>
        <v>0.55000000000000004</v>
      </c>
      <c r="Z914" s="255">
        <f>AA914</f>
        <v>0</v>
      </c>
      <c r="AA914" s="97">
        <v>0</v>
      </c>
      <c r="AB914" s="255">
        <f t="shared" si="173"/>
        <v>0</v>
      </c>
      <c r="AC914" s="255">
        <f t="shared" si="173"/>
        <v>0</v>
      </c>
      <c r="AD914" s="255">
        <f t="shared" si="173"/>
        <v>0</v>
      </c>
      <c r="AE914" s="76"/>
      <c r="AF914" s="76"/>
      <c r="AG914" s="76"/>
      <c r="AH914" s="97">
        <v>1</v>
      </c>
      <c r="AI914" s="97">
        <v>1</v>
      </c>
      <c r="AJ914" s="73"/>
      <c r="AK914" s="57"/>
      <c r="AL914" s="45"/>
      <c r="AM914" s="45"/>
      <c r="AN914" s="45"/>
    </row>
    <row r="915" spans="1:40" hidden="1" outlineLevel="2" x14ac:dyDescent="0.25">
      <c r="A915" s="45"/>
      <c r="B915" s="54"/>
      <c r="C915" s="47">
        <f t="shared" si="166"/>
        <v>3</v>
      </c>
      <c r="D915" s="73"/>
      <c r="E915" s="70"/>
      <c r="F915" s="70" t="s">
        <v>2526</v>
      </c>
      <c r="G915" s="73"/>
      <c r="H915" s="76" t="s">
        <v>2724</v>
      </c>
      <c r="I915" s="96" t="s">
        <v>502</v>
      </c>
      <c r="J915" s="96"/>
      <c r="K915" s="76"/>
      <c r="L915" s="76"/>
      <c r="M915" s="76"/>
      <c r="N915" s="76"/>
      <c r="O915" s="76"/>
      <c r="P915" s="76"/>
      <c r="Q915" s="76"/>
      <c r="R915" s="76"/>
      <c r="S915" s="76"/>
      <c r="T915" s="76"/>
      <c r="U915" s="97">
        <f>AA915-(-1.1573)</f>
        <v>1.8119000000000001</v>
      </c>
      <c r="V915" s="255">
        <f>U915</f>
        <v>1.8119000000000001</v>
      </c>
      <c r="W915" s="255">
        <f t="shared" si="172"/>
        <v>1.8119000000000001</v>
      </c>
      <c r="X915" s="255">
        <f t="shared" si="172"/>
        <v>1.8119000000000001</v>
      </c>
      <c r="Y915" s="255">
        <f>V915</f>
        <v>1.8119000000000001</v>
      </c>
      <c r="Z915" s="255">
        <f>AA915</f>
        <v>0.65459999999999996</v>
      </c>
      <c r="AA915" s="97">
        <f>-(-0.6546)</f>
        <v>0.65459999999999996</v>
      </c>
      <c r="AB915" s="255">
        <f t="shared" si="173"/>
        <v>0.65459999999999996</v>
      </c>
      <c r="AC915" s="255">
        <f t="shared" si="173"/>
        <v>0.65459999999999996</v>
      </c>
      <c r="AD915" s="255">
        <f t="shared" si="173"/>
        <v>0.65459999999999996</v>
      </c>
      <c r="AE915" s="76"/>
      <c r="AF915" s="76"/>
      <c r="AG915" s="76"/>
      <c r="AH915" s="97">
        <v>1</v>
      </c>
      <c r="AI915" s="97">
        <v>1</v>
      </c>
      <c r="AJ915" s="73"/>
      <c r="AK915" s="57"/>
      <c r="AL915" s="45"/>
      <c r="AM915" s="45"/>
      <c r="AN915" s="45"/>
    </row>
    <row r="916" spans="1:40" hidden="1" outlineLevel="2" x14ac:dyDescent="0.25">
      <c r="A916" s="45"/>
      <c r="B916" s="54"/>
      <c r="C916" s="47">
        <f t="shared" si="166"/>
        <v>3</v>
      </c>
      <c r="D916" s="73"/>
      <c r="E916" s="70"/>
      <c r="F916" s="70" t="s">
        <v>2527</v>
      </c>
      <c r="G916" s="73"/>
      <c r="H916" s="76" t="s">
        <v>2535</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2543</v>
      </c>
      <c r="AG916" s="76"/>
      <c r="AH916" s="76">
        <v>1</v>
      </c>
      <c r="AI916" s="76">
        <v>1</v>
      </c>
      <c r="AJ916" s="73"/>
      <c r="AK916" s="57"/>
      <c r="AL916" s="45"/>
      <c r="AM916" s="45"/>
      <c r="AN916" s="45"/>
    </row>
    <row r="917" spans="1:40" hidden="1" outlineLevel="2" x14ac:dyDescent="0.25">
      <c r="A917" s="45"/>
      <c r="B917" s="54"/>
      <c r="C917" s="47">
        <f t="shared" si="166"/>
        <v>3</v>
      </c>
      <c r="D917" s="73"/>
      <c r="E917" s="70"/>
      <c r="F917" s="70" t="s">
        <v>2528</v>
      </c>
      <c r="G917" s="73"/>
      <c r="H917" s="76" t="s">
        <v>1500</v>
      </c>
      <c r="I917" s="96" t="s">
        <v>502</v>
      </c>
      <c r="J917" s="96"/>
      <c r="K917" s="76"/>
      <c r="L917" s="76"/>
      <c r="M917" s="76"/>
      <c r="N917" s="76"/>
      <c r="O917" s="76"/>
      <c r="P917" s="76"/>
      <c r="Q917" s="76"/>
      <c r="R917" s="76"/>
      <c r="S917" s="76"/>
      <c r="T917" s="76"/>
      <c r="U917" s="97">
        <v>2.2589999999999999</v>
      </c>
      <c r="V917" s="255">
        <f t="shared" ref="V917:V927" si="174">U917</f>
        <v>2.2589999999999999</v>
      </c>
      <c r="W917" s="255">
        <f t="shared" ref="W917:X919" si="175">U917</f>
        <v>2.2589999999999999</v>
      </c>
      <c r="X917" s="255">
        <f t="shared" si="175"/>
        <v>2.2589999999999999</v>
      </c>
      <c r="Y917" s="255">
        <f>V917</f>
        <v>2.2589999999999999</v>
      </c>
      <c r="Z917" s="255">
        <f t="shared" ref="Z917:Z927" si="176">AA917</f>
        <v>1.962</v>
      </c>
      <c r="AA917" s="97">
        <v>1.962</v>
      </c>
      <c r="AB917" s="255">
        <f t="shared" ref="AB917:AD927" si="177">AA917</f>
        <v>1.962</v>
      </c>
      <c r="AC917" s="255">
        <f t="shared" si="177"/>
        <v>1.962</v>
      </c>
      <c r="AD917" s="255">
        <f t="shared" si="177"/>
        <v>1.962</v>
      </c>
      <c r="AE917" s="76"/>
      <c r="AF917" s="97" t="s">
        <v>2539</v>
      </c>
      <c r="AG917" s="76"/>
      <c r="AH917" s="97">
        <v>1</v>
      </c>
      <c r="AI917" s="97">
        <v>1</v>
      </c>
      <c r="AJ917" s="73"/>
      <c r="AK917" s="57"/>
      <c r="AL917" s="45"/>
      <c r="AM917" s="45"/>
      <c r="AN917" s="45"/>
    </row>
    <row r="918" spans="1:40" hidden="1" outlineLevel="2" x14ac:dyDescent="0.25">
      <c r="A918" s="45"/>
      <c r="B918" s="54"/>
      <c r="C918" s="47">
        <f t="shared" si="166"/>
        <v>3</v>
      </c>
      <c r="D918" s="73"/>
      <c r="E918" s="70"/>
      <c r="F918" s="70" t="s">
        <v>2529</v>
      </c>
      <c r="G918" s="73"/>
      <c r="H918" s="76" t="s">
        <v>1504</v>
      </c>
      <c r="I918" s="96" t="s">
        <v>502</v>
      </c>
      <c r="J918" s="96"/>
      <c r="K918" s="76"/>
      <c r="L918" s="76"/>
      <c r="M918" s="76"/>
      <c r="N918" s="76"/>
      <c r="O918" s="76"/>
      <c r="P918" s="76"/>
      <c r="Q918" s="76"/>
      <c r="R918" s="76"/>
      <c r="S918" s="76"/>
      <c r="T918" s="76"/>
      <c r="U918" s="97">
        <v>6</v>
      </c>
      <c r="V918" s="255">
        <f t="shared" si="174"/>
        <v>6</v>
      </c>
      <c r="W918" s="255">
        <f t="shared" si="175"/>
        <v>6</v>
      </c>
      <c r="X918" s="255">
        <f t="shared" si="175"/>
        <v>6</v>
      </c>
      <c r="Y918" s="255">
        <f>V918</f>
        <v>6</v>
      </c>
      <c r="Z918" s="255">
        <f t="shared" si="176"/>
        <v>5.6980000000000004</v>
      </c>
      <c r="AA918" s="97">
        <v>5.6980000000000004</v>
      </c>
      <c r="AB918" s="255">
        <f t="shared" si="177"/>
        <v>5.6980000000000004</v>
      </c>
      <c r="AC918" s="255">
        <f t="shared" si="177"/>
        <v>5.6980000000000004</v>
      </c>
      <c r="AD918" s="255">
        <f t="shared" si="177"/>
        <v>5.6980000000000004</v>
      </c>
      <c r="AE918" s="76"/>
      <c r="AF918" s="76"/>
      <c r="AG918" s="76"/>
      <c r="AH918" s="97">
        <v>1</v>
      </c>
      <c r="AI918" s="97">
        <v>1</v>
      </c>
      <c r="AJ918" s="73"/>
      <c r="AK918" s="57"/>
      <c r="AL918" s="45"/>
      <c r="AM918" s="45"/>
      <c r="AN918" s="45"/>
    </row>
    <row r="919" spans="1:40" hidden="1" outlineLevel="2" x14ac:dyDescent="0.25">
      <c r="A919" s="45"/>
      <c r="B919" s="54"/>
      <c r="C919" s="47">
        <f t="shared" si="166"/>
        <v>3</v>
      </c>
      <c r="D919" s="73"/>
      <c r="E919" s="70"/>
      <c r="F919" s="70" t="s">
        <v>2530</v>
      </c>
      <c r="G919" s="73"/>
      <c r="H919" s="76" t="s">
        <v>1506</v>
      </c>
      <c r="I919" s="96" t="s">
        <v>502</v>
      </c>
      <c r="J919" s="96"/>
      <c r="K919" s="76"/>
      <c r="L919" s="76"/>
      <c r="M919" s="76"/>
      <c r="N919" s="76"/>
      <c r="O919" s="76"/>
      <c r="P919" s="76"/>
      <c r="Q919" s="76"/>
      <c r="R919" s="76"/>
      <c r="S919" s="76"/>
      <c r="T919" s="76"/>
      <c r="U919" s="76">
        <v>100</v>
      </c>
      <c r="V919" s="76">
        <f t="shared" si="174"/>
        <v>100</v>
      </c>
      <c r="W919" s="76">
        <f t="shared" si="175"/>
        <v>100</v>
      </c>
      <c r="X919" s="76">
        <f t="shared" si="175"/>
        <v>100</v>
      </c>
      <c r="Y919" s="76">
        <f>V919</f>
        <v>100</v>
      </c>
      <c r="Z919" s="76">
        <f t="shared" si="176"/>
        <v>100</v>
      </c>
      <c r="AA919" s="76">
        <v>100</v>
      </c>
      <c r="AB919" s="76">
        <f t="shared" si="177"/>
        <v>100</v>
      </c>
      <c r="AC919" s="76">
        <f t="shared" si="177"/>
        <v>100</v>
      </c>
      <c r="AD919" s="76">
        <f t="shared" si="177"/>
        <v>100</v>
      </c>
      <c r="AE919" s="76"/>
      <c r="AF919" s="264" t="s">
        <v>2542</v>
      </c>
      <c r="AG919" s="76"/>
      <c r="AH919" s="76">
        <v>1</v>
      </c>
      <c r="AI919" s="76">
        <v>1</v>
      </c>
      <c r="AJ919" s="73"/>
      <c r="AK919" s="57"/>
      <c r="AL919" s="45"/>
      <c r="AM919" s="45"/>
      <c r="AN919" s="45"/>
    </row>
    <row r="920" spans="1:40" hidden="1" outlineLevel="2" x14ac:dyDescent="0.25">
      <c r="A920" s="45"/>
      <c r="B920" s="54"/>
      <c r="C920" s="47">
        <f t="shared" si="166"/>
        <v>3</v>
      </c>
      <c r="D920" s="73"/>
      <c r="E920" s="70"/>
      <c r="F920" s="70" t="s">
        <v>2531</v>
      </c>
      <c r="G920" s="73"/>
      <c r="H920" s="76" t="s">
        <v>3354</v>
      </c>
      <c r="I920" s="96" t="s">
        <v>502</v>
      </c>
      <c r="J920" s="96"/>
      <c r="K920" s="76"/>
      <c r="L920" s="76"/>
      <c r="M920" s="76"/>
      <c r="N920" s="76"/>
      <c r="O920" s="76"/>
      <c r="P920" s="76"/>
      <c r="Q920" s="76"/>
      <c r="R920" s="76"/>
      <c r="S920" s="76"/>
      <c r="T920" s="76" t="s">
        <v>3327</v>
      </c>
      <c r="U920" s="97">
        <v>1.302</v>
      </c>
      <c r="V920" s="255">
        <f>U920</f>
        <v>1.302</v>
      </c>
      <c r="W920" s="97">
        <v>1.80097</v>
      </c>
      <c r="X920" s="97">
        <v>1.9570099999999999</v>
      </c>
      <c r="Y920" s="97">
        <v>1.7747839999999999</v>
      </c>
      <c r="Z920" s="255">
        <f t="shared" ref="Z920:Z923" si="178">AA920</f>
        <v>0.64400000000000002</v>
      </c>
      <c r="AA920" s="97">
        <v>0.64400000000000002</v>
      </c>
      <c r="AB920" s="255">
        <f t="shared" ref="AB920:AB923" si="179">AA920</f>
        <v>0.64400000000000002</v>
      </c>
      <c r="AC920" s="255">
        <f t="shared" ref="AC920:AC923" si="180">AB920</f>
        <v>0.64400000000000002</v>
      </c>
      <c r="AD920" s="255">
        <f t="shared" ref="AD920:AD923" si="181">AC920</f>
        <v>0.64400000000000002</v>
      </c>
      <c r="AE920" s="76"/>
      <c r="AF920" s="97" t="s">
        <v>2756</v>
      </c>
      <c r="AG920" s="76"/>
      <c r="AH920" s="76">
        <v>1</v>
      </c>
      <c r="AI920" s="76">
        <v>1</v>
      </c>
      <c r="AJ920" s="73"/>
      <c r="AK920" s="57"/>
      <c r="AL920" s="45"/>
      <c r="AM920" s="45"/>
      <c r="AN920" s="45"/>
    </row>
    <row r="921" spans="1:40" hidden="1" outlineLevel="2" x14ac:dyDescent="0.25">
      <c r="A921" s="45"/>
      <c r="B921" s="54"/>
      <c r="C921" s="47">
        <f t="shared" si="166"/>
        <v>3</v>
      </c>
      <c r="D921" s="73"/>
      <c r="E921" s="70"/>
      <c r="F921" s="70" t="s">
        <v>2532</v>
      </c>
      <c r="G921" s="73"/>
      <c r="H921" s="76" t="s">
        <v>2536</v>
      </c>
      <c r="I921" s="96" t="s">
        <v>502</v>
      </c>
      <c r="J921" s="96"/>
      <c r="K921" s="76"/>
      <c r="L921" s="76"/>
      <c r="M921" s="76"/>
      <c r="N921" s="76"/>
      <c r="O921" s="76"/>
      <c r="P921" s="76"/>
      <c r="Q921" s="76"/>
      <c r="R921" s="76"/>
      <c r="S921" s="76"/>
      <c r="T921" s="76" t="s">
        <v>3327</v>
      </c>
      <c r="U921" s="97">
        <v>4.9800000000000004</v>
      </c>
      <c r="V921" s="255">
        <f>U921</f>
        <v>4.9800000000000004</v>
      </c>
      <c r="W921" s="97">
        <v>5.2321099999999996</v>
      </c>
      <c r="X921" s="97">
        <v>5.3830999999999998</v>
      </c>
      <c r="Y921" s="97">
        <v>5.2835130000000001</v>
      </c>
      <c r="Z921" s="255">
        <f t="shared" si="178"/>
        <v>3.1459999999999999</v>
      </c>
      <c r="AA921" s="97">
        <v>3.1459999999999999</v>
      </c>
      <c r="AB921" s="255">
        <f t="shared" si="179"/>
        <v>3.1459999999999999</v>
      </c>
      <c r="AC921" s="255">
        <f t="shared" si="180"/>
        <v>3.1459999999999999</v>
      </c>
      <c r="AD921" s="255">
        <f t="shared" si="181"/>
        <v>3.1459999999999999</v>
      </c>
      <c r="AE921" s="76"/>
      <c r="AF921" s="76"/>
      <c r="AG921" s="76"/>
      <c r="AH921" s="97">
        <v>1</v>
      </c>
      <c r="AI921" s="97">
        <v>1</v>
      </c>
      <c r="AJ921" s="73"/>
      <c r="AK921" s="57"/>
      <c r="AL921" s="45"/>
      <c r="AM921" s="45"/>
      <c r="AN921" s="45"/>
    </row>
    <row r="922" spans="1:40" hidden="1" outlineLevel="2" x14ac:dyDescent="0.25">
      <c r="A922" s="45"/>
      <c r="B922" s="54"/>
      <c r="C922" s="47">
        <f t="shared" si="166"/>
        <v>3</v>
      </c>
      <c r="D922" s="73"/>
      <c r="E922" s="70"/>
      <c r="F922" s="70" t="s">
        <v>2533</v>
      </c>
      <c r="G922" s="73"/>
      <c r="H922" s="76" t="s">
        <v>2537</v>
      </c>
      <c r="I922" s="96" t="s">
        <v>502</v>
      </c>
      <c r="J922" s="96"/>
      <c r="K922" s="76"/>
      <c r="L922" s="76"/>
      <c r="M922" s="76"/>
      <c r="N922" s="76"/>
      <c r="O922" s="76"/>
      <c r="P922" s="76"/>
      <c r="Q922" s="76"/>
      <c r="R922" s="76"/>
      <c r="S922" s="76"/>
      <c r="T922" s="76"/>
      <c r="U922" s="97">
        <v>7.9349999999999996</v>
      </c>
      <c r="V922" s="255">
        <f>U922</f>
        <v>7.9349999999999996</v>
      </c>
      <c r="W922" s="255">
        <f>U922</f>
        <v>7.9349999999999996</v>
      </c>
      <c r="X922" s="255">
        <f>V922</f>
        <v>7.9349999999999996</v>
      </c>
      <c r="Y922" s="255">
        <f>V922</f>
        <v>7.9349999999999996</v>
      </c>
      <c r="Z922" s="255">
        <f t="shared" si="178"/>
        <v>6.0309999999999997</v>
      </c>
      <c r="AA922" s="97">
        <v>6.0309999999999997</v>
      </c>
      <c r="AB922" s="255">
        <f t="shared" si="179"/>
        <v>6.0309999999999997</v>
      </c>
      <c r="AC922" s="255">
        <f t="shared" si="180"/>
        <v>6.0309999999999997</v>
      </c>
      <c r="AD922" s="255">
        <f t="shared" si="181"/>
        <v>6.0309999999999997</v>
      </c>
      <c r="AE922" s="76"/>
      <c r="AF922" s="97" t="s">
        <v>2789</v>
      </c>
      <c r="AG922" s="76"/>
      <c r="AH922" s="97">
        <v>1</v>
      </c>
      <c r="AI922" s="97">
        <v>1</v>
      </c>
      <c r="AJ922" s="73"/>
      <c r="AK922" s="57"/>
      <c r="AL922" s="45"/>
      <c r="AM922" s="45"/>
      <c r="AN922" s="45"/>
    </row>
    <row r="923" spans="1:40" hidden="1" outlineLevel="2" x14ac:dyDescent="0.25">
      <c r="A923" s="45"/>
      <c r="B923" s="54"/>
      <c r="C923" s="47">
        <f t="shared" si="166"/>
        <v>3</v>
      </c>
      <c r="D923" s="73"/>
      <c r="E923" s="70"/>
      <c r="F923" s="70" t="s">
        <v>2534</v>
      </c>
      <c r="G923" s="73"/>
      <c r="H923" s="76" t="s">
        <v>2538</v>
      </c>
      <c r="I923" s="96" t="s">
        <v>502</v>
      </c>
      <c r="J923" s="96"/>
      <c r="K923" s="76"/>
      <c r="L923" s="76"/>
      <c r="M923" s="76"/>
      <c r="N923" s="76"/>
      <c r="O923" s="76"/>
      <c r="P923" s="76"/>
      <c r="Q923" s="76"/>
      <c r="R923" s="76"/>
      <c r="S923" s="76"/>
      <c r="T923" s="76"/>
      <c r="U923" s="76">
        <v>100</v>
      </c>
      <c r="V923" s="76">
        <f t="shared" si="174"/>
        <v>100</v>
      </c>
      <c r="W923" s="76">
        <f>U923</f>
        <v>100</v>
      </c>
      <c r="X923" s="76">
        <f>V923</f>
        <v>100</v>
      </c>
      <c r="Y923" s="76">
        <f>V923</f>
        <v>100</v>
      </c>
      <c r="Z923" s="76">
        <f t="shared" si="178"/>
        <v>100</v>
      </c>
      <c r="AA923" s="76">
        <v>100</v>
      </c>
      <c r="AB923" s="76">
        <f t="shared" si="179"/>
        <v>100</v>
      </c>
      <c r="AC923" s="76">
        <f t="shared" si="180"/>
        <v>100</v>
      </c>
      <c r="AD923" s="76">
        <f t="shared" si="181"/>
        <v>100</v>
      </c>
      <c r="AE923" s="76"/>
      <c r="AF923" s="264" t="s">
        <v>2542</v>
      </c>
      <c r="AG923" s="76"/>
      <c r="AH923" s="76">
        <v>1</v>
      </c>
      <c r="AI923" s="76">
        <v>1</v>
      </c>
      <c r="AJ923" s="73"/>
      <c r="AK923" s="57"/>
      <c r="AL923" s="45"/>
      <c r="AM923" s="45"/>
      <c r="AN923" s="45"/>
    </row>
    <row r="924" spans="1:40" hidden="1" outlineLevel="2" x14ac:dyDescent="0.25">
      <c r="A924" s="45"/>
      <c r="B924" s="54"/>
      <c r="C924" s="47">
        <f t="shared" si="166"/>
        <v>3</v>
      </c>
      <c r="D924" s="73"/>
      <c r="E924" s="70"/>
      <c r="F924" s="70" t="s">
        <v>3359</v>
      </c>
      <c r="G924" s="73"/>
      <c r="H924" s="76" t="s">
        <v>2596</v>
      </c>
      <c r="I924" s="96" t="s">
        <v>502</v>
      </c>
      <c r="J924" s="96"/>
      <c r="K924" s="76"/>
      <c r="L924" s="76"/>
      <c r="M924" s="76"/>
      <c r="N924" s="76"/>
      <c r="O924" s="76"/>
      <c r="P924" s="76"/>
      <c r="Q924" s="76"/>
      <c r="R924" s="76"/>
      <c r="S924" s="76"/>
      <c r="T924" s="76" t="s">
        <v>3327</v>
      </c>
      <c r="U924" s="97">
        <v>1.302</v>
      </c>
      <c r="V924" s="255">
        <f t="shared" si="174"/>
        <v>1.302</v>
      </c>
      <c r="W924" s="97">
        <v>1.80097</v>
      </c>
      <c r="X924" s="97">
        <v>1.9570099999999999</v>
      </c>
      <c r="Y924" s="97">
        <v>1.7747839999999999</v>
      </c>
      <c r="Z924" s="255">
        <f t="shared" si="176"/>
        <v>0.64400000000000002</v>
      </c>
      <c r="AA924" s="97">
        <v>0.64400000000000002</v>
      </c>
      <c r="AB924" s="255">
        <f t="shared" si="177"/>
        <v>0.64400000000000002</v>
      </c>
      <c r="AC924" s="255">
        <f t="shared" si="177"/>
        <v>0.64400000000000002</v>
      </c>
      <c r="AD924" s="255">
        <f t="shared" si="177"/>
        <v>0.64400000000000002</v>
      </c>
      <c r="AE924" s="76"/>
      <c r="AF924" s="97" t="s">
        <v>2756</v>
      </c>
      <c r="AG924" s="76"/>
      <c r="AH924" s="76">
        <v>1</v>
      </c>
      <c r="AI924" s="76">
        <v>1</v>
      </c>
      <c r="AJ924" s="73"/>
      <c r="AK924" s="57"/>
      <c r="AL924" s="45"/>
      <c r="AM924" s="45"/>
      <c r="AN924" s="45"/>
    </row>
    <row r="925" spans="1:40" hidden="1" outlineLevel="2" x14ac:dyDescent="0.25">
      <c r="A925" s="45"/>
      <c r="B925" s="54"/>
      <c r="C925" s="47">
        <f t="shared" si="166"/>
        <v>3</v>
      </c>
      <c r="D925" s="73"/>
      <c r="E925" s="70"/>
      <c r="F925" s="70" t="s">
        <v>3360</v>
      </c>
      <c r="G925" s="73"/>
      <c r="H925" s="76" t="s">
        <v>2536</v>
      </c>
      <c r="I925" s="96" t="s">
        <v>502</v>
      </c>
      <c r="J925" s="96"/>
      <c r="K925" s="76"/>
      <c r="L925" s="76"/>
      <c r="M925" s="76"/>
      <c r="N925" s="76"/>
      <c r="O925" s="76"/>
      <c r="P925" s="76"/>
      <c r="Q925" s="76"/>
      <c r="R925" s="76"/>
      <c r="S925" s="76"/>
      <c r="T925" s="76" t="s">
        <v>3327</v>
      </c>
      <c r="U925" s="97">
        <v>4.9800000000000004</v>
      </c>
      <c r="V925" s="255">
        <f t="shared" si="174"/>
        <v>4.9800000000000004</v>
      </c>
      <c r="W925" s="97">
        <v>5.2321099999999996</v>
      </c>
      <c r="X925" s="97">
        <v>5.3830999999999998</v>
      </c>
      <c r="Y925" s="97">
        <v>5.2835130000000001</v>
      </c>
      <c r="Z925" s="255">
        <f t="shared" si="176"/>
        <v>3.1459999999999999</v>
      </c>
      <c r="AA925" s="97">
        <v>3.1459999999999999</v>
      </c>
      <c r="AB925" s="255">
        <f t="shared" si="177"/>
        <v>3.1459999999999999</v>
      </c>
      <c r="AC925" s="255">
        <f t="shared" si="177"/>
        <v>3.1459999999999999</v>
      </c>
      <c r="AD925" s="255">
        <f t="shared" si="177"/>
        <v>3.1459999999999999</v>
      </c>
      <c r="AE925" s="76"/>
      <c r="AF925" s="76"/>
      <c r="AG925" s="76"/>
      <c r="AH925" s="97">
        <v>1</v>
      </c>
      <c r="AI925" s="97">
        <v>1</v>
      </c>
      <c r="AJ925" s="73"/>
      <c r="AK925" s="57"/>
      <c r="AL925" s="45"/>
      <c r="AM925" s="45"/>
      <c r="AN925" s="45"/>
    </row>
    <row r="926" spans="1:40" hidden="1" outlineLevel="2" x14ac:dyDescent="0.25">
      <c r="A926" s="45"/>
      <c r="B926" s="54"/>
      <c r="C926" s="47">
        <f t="shared" si="166"/>
        <v>3</v>
      </c>
      <c r="D926" s="73"/>
      <c r="E926" s="70"/>
      <c r="F926" s="70" t="s">
        <v>3361</v>
      </c>
      <c r="G926" s="73"/>
      <c r="H926" s="76" t="s">
        <v>2537</v>
      </c>
      <c r="I926" s="96" t="s">
        <v>502</v>
      </c>
      <c r="J926" s="96"/>
      <c r="K926" s="76"/>
      <c r="L926" s="76"/>
      <c r="M926" s="76"/>
      <c r="N926" s="76"/>
      <c r="O926" s="76"/>
      <c r="P926" s="76"/>
      <c r="Q926" s="76"/>
      <c r="R926" s="76"/>
      <c r="S926" s="76"/>
      <c r="T926" s="76"/>
      <c r="U926" s="97">
        <v>7.9349999999999996</v>
      </c>
      <c r="V926" s="255">
        <f t="shared" si="174"/>
        <v>7.9349999999999996</v>
      </c>
      <c r="W926" s="255">
        <f>U926</f>
        <v>7.9349999999999996</v>
      </c>
      <c r="X926" s="255">
        <f>V926</f>
        <v>7.9349999999999996</v>
      </c>
      <c r="Y926" s="255">
        <f>V926</f>
        <v>7.9349999999999996</v>
      </c>
      <c r="Z926" s="255">
        <f t="shared" si="176"/>
        <v>6.0309999999999997</v>
      </c>
      <c r="AA926" s="97">
        <v>6.0309999999999997</v>
      </c>
      <c r="AB926" s="255">
        <f t="shared" si="177"/>
        <v>6.0309999999999997</v>
      </c>
      <c r="AC926" s="255">
        <f t="shared" si="177"/>
        <v>6.0309999999999997</v>
      </c>
      <c r="AD926" s="255">
        <f t="shared" si="177"/>
        <v>6.0309999999999997</v>
      </c>
      <c r="AE926" s="76"/>
      <c r="AF926" s="97" t="s">
        <v>2789</v>
      </c>
      <c r="AG926" s="76"/>
      <c r="AH926" s="97">
        <v>1</v>
      </c>
      <c r="AI926" s="97">
        <v>1</v>
      </c>
      <c r="AJ926" s="73"/>
      <c r="AK926" s="57"/>
      <c r="AL926" s="45"/>
      <c r="AM926" s="45"/>
      <c r="AN926" s="45"/>
    </row>
    <row r="927" spans="1:40" hidden="1" outlineLevel="2" x14ac:dyDescent="0.25">
      <c r="A927" s="45"/>
      <c r="B927" s="54"/>
      <c r="C927" s="47">
        <f t="shared" si="166"/>
        <v>3</v>
      </c>
      <c r="D927" s="73"/>
      <c r="E927" s="70"/>
      <c r="F927" s="70" t="s">
        <v>3362</v>
      </c>
      <c r="G927" s="73"/>
      <c r="H927" s="76" t="s">
        <v>2538</v>
      </c>
      <c r="I927" s="96" t="s">
        <v>502</v>
      </c>
      <c r="J927" s="96"/>
      <c r="K927" s="76"/>
      <c r="L927" s="76"/>
      <c r="M927" s="76"/>
      <c r="N927" s="76"/>
      <c r="O927" s="76"/>
      <c r="P927" s="76"/>
      <c r="Q927" s="76"/>
      <c r="R927" s="76"/>
      <c r="S927" s="76"/>
      <c r="T927" s="76"/>
      <c r="U927" s="76">
        <v>100</v>
      </c>
      <c r="V927" s="76">
        <f t="shared" si="174"/>
        <v>100</v>
      </c>
      <c r="W927" s="76">
        <f>U927</f>
        <v>100</v>
      </c>
      <c r="X927" s="76">
        <f>V927</f>
        <v>100</v>
      </c>
      <c r="Y927" s="76">
        <f>V927</f>
        <v>100</v>
      </c>
      <c r="Z927" s="76">
        <f t="shared" si="176"/>
        <v>100</v>
      </c>
      <c r="AA927" s="76">
        <v>100</v>
      </c>
      <c r="AB927" s="76">
        <f t="shared" si="177"/>
        <v>100</v>
      </c>
      <c r="AC927" s="76">
        <f t="shared" si="177"/>
        <v>100</v>
      </c>
      <c r="AD927" s="76">
        <f t="shared" si="177"/>
        <v>100</v>
      </c>
      <c r="AE927" s="76"/>
      <c r="AF927" s="264" t="s">
        <v>2542</v>
      </c>
      <c r="AG927" s="76"/>
      <c r="AH927" s="76">
        <v>1</v>
      </c>
      <c r="AI927" s="76">
        <v>1</v>
      </c>
      <c r="AJ927" s="73"/>
      <c r="AK927" s="57"/>
      <c r="AL927" s="45"/>
      <c r="AM927" s="45"/>
      <c r="AN927" s="45"/>
    </row>
    <row r="928" spans="1:40" hidden="1" outlineLevel="2" x14ac:dyDescent="0.25">
      <c r="A928" s="45"/>
      <c r="B928" s="54"/>
      <c r="C928" s="47">
        <f t="shared" si="166"/>
        <v>3</v>
      </c>
      <c r="D928" s="73"/>
      <c r="E928" s="70"/>
      <c r="F928" s="70" t="s">
        <v>3428</v>
      </c>
      <c r="G928" s="73"/>
      <c r="H928" s="76" t="s">
        <v>3421</v>
      </c>
      <c r="I928" s="96" t="s">
        <v>502</v>
      </c>
      <c r="J928" s="96"/>
      <c r="K928" s="76"/>
      <c r="L928" s="76"/>
      <c r="M928" s="76"/>
      <c r="N928" s="76"/>
      <c r="O928" s="76"/>
      <c r="P928" s="76"/>
      <c r="Q928" s="76"/>
      <c r="R928" s="76"/>
      <c r="S928" s="76"/>
      <c r="T928" s="76"/>
      <c r="U928" s="97">
        <v>0</v>
      </c>
      <c r="V928" s="255">
        <f t="shared" ref="V928:V931" si="182">U928</f>
        <v>0</v>
      </c>
      <c r="W928" s="255">
        <f t="shared" ref="W928:W929" si="183">U928</f>
        <v>0</v>
      </c>
      <c r="X928" s="255">
        <f t="shared" ref="X928:X929" si="184">V928</f>
        <v>0</v>
      </c>
      <c r="Y928" s="255">
        <f t="shared" ref="Y928:Y929" si="185">V928</f>
        <v>0</v>
      </c>
      <c r="Z928" s="255">
        <f t="shared" ref="Z928:Z931" si="186">AA928</f>
        <v>0</v>
      </c>
      <c r="AA928" s="97">
        <f>U928</f>
        <v>0</v>
      </c>
      <c r="AB928" s="255">
        <f t="shared" ref="AB928:AB931" si="187">AA928</f>
        <v>0</v>
      </c>
      <c r="AC928" s="255">
        <f t="shared" ref="AC928:AC931" si="188">AB928</f>
        <v>0</v>
      </c>
      <c r="AD928" s="255">
        <f t="shared" ref="AD928:AD931" si="189">AC928</f>
        <v>0</v>
      </c>
      <c r="AE928" s="76"/>
      <c r="AF928" s="97" t="s">
        <v>3423</v>
      </c>
      <c r="AG928" s="76"/>
      <c r="AH928" s="76">
        <v>1</v>
      </c>
      <c r="AI928" s="76">
        <v>1</v>
      </c>
      <c r="AJ928" s="73"/>
      <c r="AK928" s="57"/>
      <c r="AL928" s="45"/>
      <c r="AM928" s="45"/>
      <c r="AN928" s="45"/>
    </row>
    <row r="929" spans="1:40" hidden="1" outlineLevel="2" x14ac:dyDescent="0.25">
      <c r="A929" s="45"/>
      <c r="B929" s="54"/>
      <c r="C929" s="47">
        <f t="shared" si="166"/>
        <v>3</v>
      </c>
      <c r="D929" s="73"/>
      <c r="E929" s="70"/>
      <c r="F929" s="70" t="s">
        <v>3429</v>
      </c>
      <c r="G929" s="73"/>
      <c r="H929" s="76" t="s">
        <v>2536</v>
      </c>
      <c r="I929" s="96" t="s">
        <v>502</v>
      </c>
      <c r="J929" s="96"/>
      <c r="K929" s="76"/>
      <c r="L929" s="76"/>
      <c r="M929" s="76"/>
      <c r="N929" s="76"/>
      <c r="O929" s="76"/>
      <c r="P929" s="76"/>
      <c r="Q929" s="76"/>
      <c r="R929" s="76"/>
      <c r="S929" s="76"/>
      <c r="T929" s="76"/>
      <c r="U929" s="97">
        <v>0</v>
      </c>
      <c r="V929" s="255">
        <f t="shared" si="182"/>
        <v>0</v>
      </c>
      <c r="W929" s="255">
        <f t="shared" si="183"/>
        <v>0</v>
      </c>
      <c r="X929" s="255">
        <f t="shared" si="184"/>
        <v>0</v>
      </c>
      <c r="Y929" s="255">
        <f t="shared" si="185"/>
        <v>0</v>
      </c>
      <c r="Z929" s="255">
        <f t="shared" si="186"/>
        <v>0</v>
      </c>
      <c r="AA929" s="97">
        <f t="shared" ref="AA929:AA930" si="190">U929</f>
        <v>0</v>
      </c>
      <c r="AB929" s="255">
        <f t="shared" si="187"/>
        <v>0</v>
      </c>
      <c r="AC929" s="255">
        <f t="shared" si="188"/>
        <v>0</v>
      </c>
      <c r="AD929" s="255">
        <f t="shared" si="189"/>
        <v>0</v>
      </c>
      <c r="AE929" s="76"/>
      <c r="AF929" s="97" t="s">
        <v>3427</v>
      </c>
      <c r="AG929" s="76"/>
      <c r="AH929" s="97">
        <v>1</v>
      </c>
      <c r="AI929" s="97">
        <v>1</v>
      </c>
      <c r="AJ929" s="73"/>
      <c r="AK929" s="57"/>
      <c r="AL929" s="45"/>
      <c r="AM929" s="45"/>
      <c r="AN929" s="45"/>
    </row>
    <row r="930" spans="1:40" hidden="1" outlineLevel="2" x14ac:dyDescent="0.25">
      <c r="A930" s="45"/>
      <c r="B930" s="54"/>
      <c r="C930" s="47">
        <f t="shared" si="166"/>
        <v>3</v>
      </c>
      <c r="D930" s="73"/>
      <c r="E930" s="70"/>
      <c r="F930" s="70" t="s">
        <v>3430</v>
      </c>
      <c r="G930" s="73"/>
      <c r="H930" s="76" t="s">
        <v>2537</v>
      </c>
      <c r="I930" s="96" t="s">
        <v>502</v>
      </c>
      <c r="J930" s="96"/>
      <c r="K930" s="76"/>
      <c r="L930" s="76"/>
      <c r="M930" s="76"/>
      <c r="N930" s="76"/>
      <c r="O930" s="76"/>
      <c r="P930" s="76"/>
      <c r="Q930" s="76"/>
      <c r="R930" s="76"/>
      <c r="S930" s="76"/>
      <c r="T930" s="76"/>
      <c r="U930" s="97">
        <v>8.6999999999999994E-2</v>
      </c>
      <c r="V930" s="255">
        <f t="shared" si="182"/>
        <v>8.6999999999999994E-2</v>
      </c>
      <c r="W930" s="255">
        <f>U930</f>
        <v>8.6999999999999994E-2</v>
      </c>
      <c r="X930" s="255">
        <f>V930</f>
        <v>8.6999999999999994E-2</v>
      </c>
      <c r="Y930" s="255">
        <f>V930</f>
        <v>8.6999999999999994E-2</v>
      </c>
      <c r="Z930" s="255">
        <f t="shared" si="186"/>
        <v>8.6999999999999994E-2</v>
      </c>
      <c r="AA930" s="97">
        <f t="shared" si="190"/>
        <v>8.6999999999999994E-2</v>
      </c>
      <c r="AB930" s="255">
        <f t="shared" si="187"/>
        <v>8.6999999999999994E-2</v>
      </c>
      <c r="AC930" s="255">
        <f t="shared" si="188"/>
        <v>8.6999999999999994E-2</v>
      </c>
      <c r="AD930" s="255">
        <f t="shared" si="189"/>
        <v>8.6999999999999994E-2</v>
      </c>
      <c r="AE930" s="76"/>
      <c r="AF930" s="97"/>
      <c r="AG930" s="76"/>
      <c r="AH930" s="97">
        <v>1</v>
      </c>
      <c r="AI930" s="97">
        <v>1</v>
      </c>
      <c r="AJ930" s="73"/>
      <c r="AK930" s="57"/>
      <c r="AL930" s="45"/>
      <c r="AM930" s="45"/>
      <c r="AN930" s="45"/>
    </row>
    <row r="931" spans="1:40" hidden="1" outlineLevel="2" x14ac:dyDescent="0.25">
      <c r="A931" s="45"/>
      <c r="B931" s="54"/>
      <c r="C931" s="47">
        <f t="shared" si="166"/>
        <v>3</v>
      </c>
      <c r="D931" s="73"/>
      <c r="E931" s="70"/>
      <c r="F931" s="70" t="s">
        <v>3431</v>
      </c>
      <c r="G931" s="73"/>
      <c r="H931" s="76" t="s">
        <v>2538</v>
      </c>
      <c r="I931" s="96" t="s">
        <v>502</v>
      </c>
      <c r="J931" s="96"/>
      <c r="K931" s="76"/>
      <c r="L931" s="76"/>
      <c r="M931" s="76"/>
      <c r="N931" s="76"/>
      <c r="O931" s="76"/>
      <c r="P931" s="76"/>
      <c r="Q931" s="76"/>
      <c r="R931" s="76"/>
      <c r="S931" s="76"/>
      <c r="T931" s="76"/>
      <c r="U931" s="253">
        <f>U930</f>
        <v>8.6999999999999994E-2</v>
      </c>
      <c r="V931" s="76">
        <f t="shared" si="182"/>
        <v>8.6999999999999994E-2</v>
      </c>
      <c r="W931" s="76">
        <f>U931</f>
        <v>8.6999999999999994E-2</v>
      </c>
      <c r="X931" s="76">
        <f>V931</f>
        <v>8.6999999999999994E-2</v>
      </c>
      <c r="Y931" s="76">
        <f>V931</f>
        <v>8.6999999999999994E-2</v>
      </c>
      <c r="Z931" s="76">
        <f t="shared" si="186"/>
        <v>8.6999999999999994E-2</v>
      </c>
      <c r="AA931" s="253">
        <f>AA930</f>
        <v>8.6999999999999994E-2</v>
      </c>
      <c r="AB931" s="76">
        <f t="shared" si="187"/>
        <v>8.6999999999999994E-2</v>
      </c>
      <c r="AC931" s="76">
        <f t="shared" si="188"/>
        <v>8.6999999999999994E-2</v>
      </c>
      <c r="AD931" s="76">
        <f t="shared" si="189"/>
        <v>8.6999999999999994E-2</v>
      </c>
      <c r="AE931" s="76"/>
      <c r="AF931" s="264" t="s">
        <v>3422</v>
      </c>
      <c r="AG931" s="76"/>
      <c r="AH931" s="76">
        <v>1</v>
      </c>
      <c r="AI931" s="76">
        <v>1</v>
      </c>
      <c r="AJ931" s="73"/>
      <c r="AK931" s="57"/>
      <c r="AL931" s="45"/>
      <c r="AM931" s="45"/>
      <c r="AN931" s="45"/>
    </row>
    <row r="932" spans="1:40" hidden="1" outlineLevel="2" x14ac:dyDescent="0.25">
      <c r="A932" s="45"/>
      <c r="B932" s="54"/>
      <c r="C932" s="47">
        <f t="shared" si="166"/>
        <v>3</v>
      </c>
      <c r="D932" s="73"/>
      <c r="E932" s="70"/>
      <c r="F932" s="70" t="s">
        <v>3432</v>
      </c>
      <c r="G932" s="73"/>
      <c r="H932" s="76" t="s">
        <v>3424</v>
      </c>
      <c r="I932" s="96" t="s">
        <v>502</v>
      </c>
      <c r="J932" s="96"/>
      <c r="K932" s="76"/>
      <c r="L932" s="76"/>
      <c r="M932" s="76"/>
      <c r="N932" s="76"/>
      <c r="O932" s="76"/>
      <c r="P932" s="76"/>
      <c r="Q932" s="76"/>
      <c r="R932" s="76"/>
      <c r="S932" s="76"/>
      <c r="T932" s="76"/>
      <c r="U932" s="97">
        <v>0</v>
      </c>
      <c r="V932" s="255">
        <f t="shared" ref="V932:V935" si="191">U932</f>
        <v>0</v>
      </c>
      <c r="W932" s="255">
        <f t="shared" ref="W932:W933" si="192">U932</f>
        <v>0</v>
      </c>
      <c r="X932" s="255">
        <f t="shared" ref="X932:X933" si="193">V932</f>
        <v>0</v>
      </c>
      <c r="Y932" s="255">
        <f t="shared" ref="Y932:Y933" si="194">V932</f>
        <v>0</v>
      </c>
      <c r="Z932" s="255">
        <f t="shared" ref="Z932:Z935" si="195">AA932</f>
        <v>0</v>
      </c>
      <c r="AA932" s="97">
        <f>U932</f>
        <v>0</v>
      </c>
      <c r="AB932" s="255">
        <f t="shared" ref="AB932:AB935" si="196">AA932</f>
        <v>0</v>
      </c>
      <c r="AC932" s="255">
        <f t="shared" ref="AC932:AC935" si="197">AB932</f>
        <v>0</v>
      </c>
      <c r="AD932" s="255">
        <f t="shared" ref="AD932:AD935" si="198">AC932</f>
        <v>0</v>
      </c>
      <c r="AE932" s="76"/>
      <c r="AF932" s="97" t="s">
        <v>3423</v>
      </c>
      <c r="AG932" s="76"/>
      <c r="AH932" s="76">
        <v>1</v>
      </c>
      <c r="AI932" s="76">
        <v>1</v>
      </c>
      <c r="AJ932" s="73"/>
      <c r="AK932" s="57"/>
      <c r="AL932" s="45"/>
      <c r="AM932" s="45"/>
      <c r="AN932" s="45"/>
    </row>
    <row r="933" spans="1:40" hidden="1" outlineLevel="2" x14ac:dyDescent="0.25">
      <c r="A933" s="45"/>
      <c r="B933" s="54"/>
      <c r="C933" s="47">
        <f t="shared" si="166"/>
        <v>3</v>
      </c>
      <c r="D933" s="73"/>
      <c r="E933" s="70"/>
      <c r="F933" s="70" t="s">
        <v>3433</v>
      </c>
      <c r="G933" s="73"/>
      <c r="H933" s="76" t="s">
        <v>2536</v>
      </c>
      <c r="I933" s="96" t="s">
        <v>502</v>
      </c>
      <c r="J933" s="96"/>
      <c r="K933" s="76"/>
      <c r="L933" s="76"/>
      <c r="M933" s="76"/>
      <c r="N933" s="76"/>
      <c r="O933" s="76"/>
      <c r="P933" s="76"/>
      <c r="Q933" s="76"/>
      <c r="R933" s="76"/>
      <c r="S933" s="76"/>
      <c r="T933" s="76"/>
      <c r="U933" s="97">
        <v>0</v>
      </c>
      <c r="V933" s="255">
        <f t="shared" si="191"/>
        <v>0</v>
      </c>
      <c r="W933" s="255">
        <f t="shared" si="192"/>
        <v>0</v>
      </c>
      <c r="X933" s="255">
        <f t="shared" si="193"/>
        <v>0</v>
      </c>
      <c r="Y933" s="255">
        <f t="shared" si="194"/>
        <v>0</v>
      </c>
      <c r="Z933" s="255">
        <f t="shared" si="195"/>
        <v>0</v>
      </c>
      <c r="AA933" s="97">
        <f t="shared" ref="AA933:AA934" si="199">U933</f>
        <v>0</v>
      </c>
      <c r="AB933" s="255">
        <f t="shared" si="196"/>
        <v>0</v>
      </c>
      <c r="AC933" s="255">
        <f t="shared" si="197"/>
        <v>0</v>
      </c>
      <c r="AD933" s="255">
        <f t="shared" si="198"/>
        <v>0</v>
      </c>
      <c r="AE933" s="76"/>
      <c r="AF933" s="97" t="s">
        <v>3427</v>
      </c>
      <c r="AG933" s="76"/>
      <c r="AH933" s="97">
        <v>1</v>
      </c>
      <c r="AI933" s="97">
        <v>1</v>
      </c>
      <c r="AJ933" s="73"/>
      <c r="AK933" s="57"/>
      <c r="AL933" s="45"/>
      <c r="AM933" s="45"/>
      <c r="AN933" s="45"/>
    </row>
    <row r="934" spans="1:40" hidden="1" outlineLevel="2" x14ac:dyDescent="0.25">
      <c r="A934" s="45"/>
      <c r="B934" s="54"/>
      <c r="C934" s="47">
        <f t="shared" si="166"/>
        <v>3</v>
      </c>
      <c r="D934" s="73"/>
      <c r="E934" s="70"/>
      <c r="F934" s="70" t="s">
        <v>3434</v>
      </c>
      <c r="G934" s="73"/>
      <c r="H934" s="76" t="s">
        <v>2537</v>
      </c>
      <c r="I934" s="96" t="s">
        <v>502</v>
      </c>
      <c r="J934" s="96"/>
      <c r="K934" s="76"/>
      <c r="L934" s="76"/>
      <c r="M934" s="76"/>
      <c r="N934" s="76"/>
      <c r="O934" s="76"/>
      <c r="P934" s="76"/>
      <c r="Q934" s="76"/>
      <c r="R934" s="76"/>
      <c r="S934" s="76"/>
      <c r="T934" s="76"/>
      <c r="U934" s="97">
        <v>-1.56E-3</v>
      </c>
      <c r="V934" s="255">
        <f t="shared" si="191"/>
        <v>-1.56E-3</v>
      </c>
      <c r="W934" s="255">
        <f>U934</f>
        <v>-1.56E-3</v>
      </c>
      <c r="X934" s="255">
        <f>V934</f>
        <v>-1.56E-3</v>
      </c>
      <c r="Y934" s="255">
        <f>V934</f>
        <v>-1.56E-3</v>
      </c>
      <c r="Z934" s="255">
        <f t="shared" si="195"/>
        <v>-1.56E-3</v>
      </c>
      <c r="AA934" s="97">
        <f t="shared" si="199"/>
        <v>-1.56E-3</v>
      </c>
      <c r="AB934" s="255">
        <f t="shared" si="196"/>
        <v>-1.56E-3</v>
      </c>
      <c r="AC934" s="255">
        <f t="shared" si="197"/>
        <v>-1.56E-3</v>
      </c>
      <c r="AD934" s="255">
        <f t="shared" si="198"/>
        <v>-1.56E-3</v>
      </c>
      <c r="AE934" s="76"/>
      <c r="AF934" s="97"/>
      <c r="AG934" s="76"/>
      <c r="AH934" s="97">
        <v>1</v>
      </c>
      <c r="AI934" s="97">
        <v>1</v>
      </c>
      <c r="AJ934" s="73"/>
      <c r="AK934" s="57"/>
      <c r="AL934" s="45"/>
      <c r="AM934" s="45"/>
      <c r="AN934" s="45"/>
    </row>
    <row r="935" spans="1:40" hidden="1" outlineLevel="2" x14ac:dyDescent="0.25">
      <c r="A935" s="45"/>
      <c r="B935" s="54"/>
      <c r="C935" s="47">
        <f t="shared" si="166"/>
        <v>3</v>
      </c>
      <c r="D935" s="73"/>
      <c r="E935" s="70"/>
      <c r="F935" s="70" t="s">
        <v>3435</v>
      </c>
      <c r="G935" s="73"/>
      <c r="H935" s="76" t="s">
        <v>2538</v>
      </c>
      <c r="I935" s="96" t="s">
        <v>502</v>
      </c>
      <c r="J935" s="96"/>
      <c r="K935" s="76"/>
      <c r="L935" s="76"/>
      <c r="M935" s="76"/>
      <c r="N935" s="76"/>
      <c r="O935" s="76"/>
      <c r="P935" s="76"/>
      <c r="Q935" s="76"/>
      <c r="R935" s="76"/>
      <c r="S935" s="76"/>
      <c r="T935" s="76"/>
      <c r="U935" s="253">
        <f>U934</f>
        <v>-1.56E-3</v>
      </c>
      <c r="V935" s="76">
        <f t="shared" si="191"/>
        <v>-1.56E-3</v>
      </c>
      <c r="W935" s="76">
        <f>U935</f>
        <v>-1.56E-3</v>
      </c>
      <c r="X935" s="76">
        <f>V935</f>
        <v>-1.56E-3</v>
      </c>
      <c r="Y935" s="76">
        <f>V935</f>
        <v>-1.56E-3</v>
      </c>
      <c r="Z935" s="76">
        <f t="shared" si="195"/>
        <v>-1.56E-3</v>
      </c>
      <c r="AA935" s="253">
        <f>AA934</f>
        <v>-1.56E-3</v>
      </c>
      <c r="AB935" s="76">
        <f t="shared" si="196"/>
        <v>-1.56E-3</v>
      </c>
      <c r="AC935" s="76">
        <f t="shared" si="197"/>
        <v>-1.56E-3</v>
      </c>
      <c r="AD935" s="76">
        <f t="shared" si="198"/>
        <v>-1.56E-3</v>
      </c>
      <c r="AE935" s="76"/>
      <c r="AF935" s="264" t="s">
        <v>3422</v>
      </c>
      <c r="AG935" s="76"/>
      <c r="AH935" s="76">
        <v>1</v>
      </c>
      <c r="AI935" s="76">
        <v>1</v>
      </c>
      <c r="AJ935" s="73"/>
      <c r="AK935" s="57"/>
      <c r="AL935" s="45"/>
      <c r="AM935" s="45"/>
      <c r="AN935" s="45"/>
    </row>
    <row r="936" spans="1:40" hidden="1" outlineLevel="2" x14ac:dyDescent="0.25">
      <c r="A936" s="45"/>
      <c r="B936" s="54"/>
      <c r="C936" s="47">
        <f t="shared" si="166"/>
        <v>3</v>
      </c>
      <c r="D936" s="73"/>
      <c r="E936" s="70"/>
      <c r="F936" s="70" t="s">
        <v>3436</v>
      </c>
      <c r="G936" s="73"/>
      <c r="H936" s="76" t="s">
        <v>3426</v>
      </c>
      <c r="I936" s="96" t="s">
        <v>502</v>
      </c>
      <c r="J936" s="96"/>
      <c r="K936" s="76"/>
      <c r="L936" s="76"/>
      <c r="M936" s="76"/>
      <c r="N936" s="76"/>
      <c r="O936" s="76"/>
      <c r="P936" s="76"/>
      <c r="Q936" s="76"/>
      <c r="R936" s="76"/>
      <c r="S936" s="76"/>
      <c r="T936" s="76"/>
      <c r="U936" s="97">
        <v>0</v>
      </c>
      <c r="V936" s="255">
        <f t="shared" ref="V936:V939" si="200">U936</f>
        <v>0</v>
      </c>
      <c r="W936" s="255">
        <f t="shared" ref="W936:W937" si="201">U936</f>
        <v>0</v>
      </c>
      <c r="X936" s="255">
        <f t="shared" ref="X936:X937" si="202">V936</f>
        <v>0</v>
      </c>
      <c r="Y936" s="255">
        <f t="shared" ref="Y936:Y937" si="203">V936</f>
        <v>0</v>
      </c>
      <c r="Z936" s="255">
        <f t="shared" ref="Z936:Z939" si="204">AA936</f>
        <v>0</v>
      </c>
      <c r="AA936" s="97">
        <f>U936</f>
        <v>0</v>
      </c>
      <c r="AB936" s="255">
        <f t="shared" ref="AB936:AB939" si="205">AA936</f>
        <v>0</v>
      </c>
      <c r="AC936" s="255">
        <f t="shared" ref="AC936:AC939" si="206">AB936</f>
        <v>0</v>
      </c>
      <c r="AD936" s="255">
        <f t="shared" ref="AD936:AD939" si="207">AC936</f>
        <v>0</v>
      </c>
      <c r="AE936" s="76"/>
      <c r="AF936" s="97" t="s">
        <v>3423</v>
      </c>
      <c r="AG936" s="76"/>
      <c r="AH936" s="76">
        <v>1</v>
      </c>
      <c r="AI936" s="76">
        <v>1</v>
      </c>
      <c r="AJ936" s="73"/>
      <c r="AK936" s="57"/>
      <c r="AL936" s="45"/>
      <c r="AM936" s="45"/>
      <c r="AN936" s="45"/>
    </row>
    <row r="937" spans="1:40" hidden="1" outlineLevel="2" x14ac:dyDescent="0.25">
      <c r="A937" s="45"/>
      <c r="B937" s="54"/>
      <c r="C937" s="47">
        <f t="shared" si="166"/>
        <v>3</v>
      </c>
      <c r="D937" s="73"/>
      <c r="E937" s="70"/>
      <c r="F937" s="70" t="s">
        <v>3437</v>
      </c>
      <c r="G937" s="73"/>
      <c r="H937" s="76" t="s">
        <v>2536</v>
      </c>
      <c r="I937" s="96" t="s">
        <v>502</v>
      </c>
      <c r="J937" s="96"/>
      <c r="K937" s="76"/>
      <c r="L937" s="76"/>
      <c r="M937" s="76"/>
      <c r="N937" s="76"/>
      <c r="O937" s="76"/>
      <c r="P937" s="76"/>
      <c r="Q937" s="76"/>
      <c r="R937" s="76"/>
      <c r="S937" s="76"/>
      <c r="T937" s="76"/>
      <c r="U937" s="97">
        <v>0</v>
      </c>
      <c r="V937" s="255">
        <f t="shared" si="200"/>
        <v>0</v>
      </c>
      <c r="W937" s="255">
        <f t="shared" si="201"/>
        <v>0</v>
      </c>
      <c r="X937" s="255">
        <f t="shared" si="202"/>
        <v>0</v>
      </c>
      <c r="Y937" s="255">
        <f t="shared" si="203"/>
        <v>0</v>
      </c>
      <c r="Z937" s="255">
        <f t="shared" si="204"/>
        <v>0</v>
      </c>
      <c r="AA937" s="97">
        <f t="shared" ref="AA937:AA938" si="208">U937</f>
        <v>0</v>
      </c>
      <c r="AB937" s="255">
        <f t="shared" si="205"/>
        <v>0</v>
      </c>
      <c r="AC937" s="255">
        <f t="shared" si="206"/>
        <v>0</v>
      </c>
      <c r="AD937" s="255">
        <f t="shared" si="207"/>
        <v>0</v>
      </c>
      <c r="AE937" s="76"/>
      <c r="AF937" s="97" t="s">
        <v>3427</v>
      </c>
      <c r="AG937" s="76"/>
      <c r="AH937" s="97">
        <v>1</v>
      </c>
      <c r="AI937" s="97">
        <v>1</v>
      </c>
      <c r="AJ937" s="73"/>
      <c r="AK937" s="57"/>
      <c r="AL937" s="45"/>
      <c r="AM937" s="45"/>
      <c r="AN937" s="45"/>
    </row>
    <row r="938" spans="1:40" hidden="1" outlineLevel="2" x14ac:dyDescent="0.25">
      <c r="A938" s="45"/>
      <c r="B938" s="54"/>
      <c r="C938" s="47">
        <f t="shared" si="166"/>
        <v>3</v>
      </c>
      <c r="D938" s="73"/>
      <c r="E938" s="70"/>
      <c r="F938" s="70" t="s">
        <v>3438</v>
      </c>
      <c r="G938" s="73"/>
      <c r="H938" s="76" t="s">
        <v>2537</v>
      </c>
      <c r="I938" s="96" t="s">
        <v>502</v>
      </c>
      <c r="J938" s="96"/>
      <c r="K938" s="76"/>
      <c r="L938" s="76"/>
      <c r="M938" s="76"/>
      <c r="N938" s="76"/>
      <c r="O938" s="76"/>
      <c r="P938" s="76"/>
      <c r="Q938" s="76"/>
      <c r="R938" s="76"/>
      <c r="S938" s="76"/>
      <c r="T938" s="76"/>
      <c r="U938" s="97">
        <v>-5.0599999999999999E-2</v>
      </c>
      <c r="V938" s="255">
        <f t="shared" si="200"/>
        <v>-5.0599999999999999E-2</v>
      </c>
      <c r="W938" s="255">
        <f>U938</f>
        <v>-5.0599999999999999E-2</v>
      </c>
      <c r="X938" s="255">
        <f>V938</f>
        <v>-5.0599999999999999E-2</v>
      </c>
      <c r="Y938" s="255">
        <f>V938</f>
        <v>-5.0599999999999999E-2</v>
      </c>
      <c r="Z938" s="255">
        <f t="shared" si="204"/>
        <v>-5.0599999999999999E-2</v>
      </c>
      <c r="AA938" s="97">
        <f t="shared" si="208"/>
        <v>-5.0599999999999999E-2</v>
      </c>
      <c r="AB938" s="255">
        <f t="shared" si="205"/>
        <v>-5.0599999999999999E-2</v>
      </c>
      <c r="AC938" s="255">
        <f t="shared" si="206"/>
        <v>-5.0599999999999999E-2</v>
      </c>
      <c r="AD938" s="255">
        <f t="shared" si="207"/>
        <v>-5.0599999999999999E-2</v>
      </c>
      <c r="AE938" s="76"/>
      <c r="AF938" s="97"/>
      <c r="AG938" s="76"/>
      <c r="AH938" s="97">
        <v>1</v>
      </c>
      <c r="AI938" s="97">
        <v>1</v>
      </c>
      <c r="AJ938" s="73"/>
      <c r="AK938" s="57"/>
      <c r="AL938" s="45"/>
      <c r="AM938" s="45"/>
      <c r="AN938" s="45"/>
    </row>
    <row r="939" spans="1:40" hidden="1" outlineLevel="2" x14ac:dyDescent="0.25">
      <c r="A939" s="45"/>
      <c r="B939" s="54"/>
      <c r="C939" s="47">
        <f t="shared" si="166"/>
        <v>3</v>
      </c>
      <c r="D939" s="73"/>
      <c r="E939" s="70"/>
      <c r="F939" s="70" t="s">
        <v>3439</v>
      </c>
      <c r="G939" s="73"/>
      <c r="H939" s="76" t="s">
        <v>2538</v>
      </c>
      <c r="I939" s="96" t="s">
        <v>502</v>
      </c>
      <c r="J939" s="96"/>
      <c r="K939" s="76"/>
      <c r="L939" s="76"/>
      <c r="M939" s="76"/>
      <c r="N939" s="76"/>
      <c r="O939" s="76"/>
      <c r="P939" s="76"/>
      <c r="Q939" s="76"/>
      <c r="R939" s="76"/>
      <c r="S939" s="76"/>
      <c r="T939" s="76"/>
      <c r="U939" s="253">
        <f>U938</f>
        <v>-5.0599999999999999E-2</v>
      </c>
      <c r="V939" s="76">
        <f t="shared" si="200"/>
        <v>-5.0599999999999999E-2</v>
      </c>
      <c r="W939" s="76">
        <f>U939</f>
        <v>-5.0599999999999999E-2</v>
      </c>
      <c r="X939" s="76">
        <f>V939</f>
        <v>-5.0599999999999999E-2</v>
      </c>
      <c r="Y939" s="76">
        <f>V939</f>
        <v>-5.0599999999999999E-2</v>
      </c>
      <c r="Z939" s="76">
        <f t="shared" si="204"/>
        <v>-5.0599999999999999E-2</v>
      </c>
      <c r="AA939" s="253">
        <f>AA938</f>
        <v>-5.0599999999999999E-2</v>
      </c>
      <c r="AB939" s="76">
        <f t="shared" si="205"/>
        <v>-5.0599999999999999E-2</v>
      </c>
      <c r="AC939" s="76">
        <f t="shared" si="206"/>
        <v>-5.0599999999999999E-2</v>
      </c>
      <c r="AD939" s="76">
        <f t="shared" si="207"/>
        <v>-5.0599999999999999E-2</v>
      </c>
      <c r="AE939" s="76"/>
      <c r="AF939" s="264" t="s">
        <v>3422</v>
      </c>
      <c r="AG939" s="76"/>
      <c r="AH939" s="76">
        <v>1</v>
      </c>
      <c r="AI939" s="76">
        <v>1</v>
      </c>
      <c r="AJ939" s="73"/>
      <c r="AK939" s="57"/>
      <c r="AL939" s="45"/>
      <c r="AM939" s="45"/>
      <c r="AN939" s="45"/>
    </row>
    <row r="940" spans="1:40" hidden="1" outlineLevel="2" x14ac:dyDescent="0.25">
      <c r="A940" s="45"/>
      <c r="B940" s="54"/>
      <c r="C940" s="47">
        <f t="shared" si="166"/>
        <v>3</v>
      </c>
      <c r="D940" s="73"/>
      <c r="E940" s="70"/>
      <c r="F940" s="70" t="s">
        <v>3440</v>
      </c>
      <c r="G940" s="73"/>
      <c r="H940" s="76" t="s">
        <v>3425</v>
      </c>
      <c r="I940" s="96" t="s">
        <v>502</v>
      </c>
      <c r="J940" s="96"/>
      <c r="K940" s="76"/>
      <c r="L940" s="76"/>
      <c r="M940" s="76"/>
      <c r="N940" s="76"/>
      <c r="O940" s="76"/>
      <c r="P940" s="76"/>
      <c r="Q940" s="76"/>
      <c r="R940" s="76"/>
      <c r="S940" s="76"/>
      <c r="T940" s="76"/>
      <c r="U940" s="97">
        <v>0</v>
      </c>
      <c r="V940" s="255">
        <f t="shared" ref="V940:V943" si="209">U940</f>
        <v>0</v>
      </c>
      <c r="W940" s="255">
        <f t="shared" ref="W940:W941" si="210">U940</f>
        <v>0</v>
      </c>
      <c r="X940" s="255">
        <f t="shared" ref="X940:X941" si="211">V940</f>
        <v>0</v>
      </c>
      <c r="Y940" s="255">
        <f t="shared" ref="Y940:Y941" si="212">V940</f>
        <v>0</v>
      </c>
      <c r="Z940" s="255">
        <f t="shared" ref="Z940:Z943" si="213">AA940</f>
        <v>0</v>
      </c>
      <c r="AA940" s="97">
        <f>U940</f>
        <v>0</v>
      </c>
      <c r="AB940" s="255">
        <f t="shared" ref="AB940:AB943" si="214">AA940</f>
        <v>0</v>
      </c>
      <c r="AC940" s="255">
        <f t="shared" ref="AC940:AC943" si="215">AB940</f>
        <v>0</v>
      </c>
      <c r="AD940" s="255">
        <f t="shared" ref="AD940:AD943" si="216">AC940</f>
        <v>0</v>
      </c>
      <c r="AE940" s="76"/>
      <c r="AF940" s="97" t="s">
        <v>3423</v>
      </c>
      <c r="AG940" s="76"/>
      <c r="AH940" s="76">
        <v>1</v>
      </c>
      <c r="AI940" s="76">
        <v>1</v>
      </c>
      <c r="AJ940" s="73"/>
      <c r="AK940" s="57"/>
      <c r="AL940" s="45"/>
      <c r="AM940" s="45"/>
      <c r="AN940" s="45"/>
    </row>
    <row r="941" spans="1:40" hidden="1" outlineLevel="2" x14ac:dyDescent="0.25">
      <c r="A941" s="45"/>
      <c r="B941" s="54"/>
      <c r="C941" s="47">
        <f t="shared" ref="C941:C971" si="217">INT($C$29)+2</f>
        <v>3</v>
      </c>
      <c r="D941" s="73"/>
      <c r="E941" s="70"/>
      <c r="F941" s="70" t="s">
        <v>3441</v>
      </c>
      <c r="G941" s="73"/>
      <c r="H941" s="76" t="s">
        <v>2536</v>
      </c>
      <c r="I941" s="96" t="s">
        <v>502</v>
      </c>
      <c r="J941" s="96"/>
      <c r="K941" s="76"/>
      <c r="L941" s="76"/>
      <c r="M941" s="76"/>
      <c r="N941" s="76"/>
      <c r="O941" s="76"/>
      <c r="P941" s="76"/>
      <c r="Q941" s="76"/>
      <c r="R941" s="76"/>
      <c r="S941" s="76"/>
      <c r="T941" s="76"/>
      <c r="U941" s="97">
        <v>0</v>
      </c>
      <c r="V941" s="255">
        <f t="shared" si="209"/>
        <v>0</v>
      </c>
      <c r="W941" s="255">
        <f t="shared" si="210"/>
        <v>0</v>
      </c>
      <c r="X941" s="255">
        <f t="shared" si="211"/>
        <v>0</v>
      </c>
      <c r="Y941" s="255">
        <f t="shared" si="212"/>
        <v>0</v>
      </c>
      <c r="Z941" s="255">
        <f t="shared" si="213"/>
        <v>0</v>
      </c>
      <c r="AA941" s="97">
        <f t="shared" ref="AA941:AA942" si="218">U941</f>
        <v>0</v>
      </c>
      <c r="AB941" s="255">
        <f t="shared" si="214"/>
        <v>0</v>
      </c>
      <c r="AC941" s="255">
        <f t="shared" si="215"/>
        <v>0</v>
      </c>
      <c r="AD941" s="255">
        <f t="shared" si="216"/>
        <v>0</v>
      </c>
      <c r="AE941" s="76"/>
      <c r="AF941" s="97" t="s">
        <v>3427</v>
      </c>
      <c r="AG941" s="76"/>
      <c r="AH941" s="97">
        <v>1</v>
      </c>
      <c r="AI941" s="97">
        <v>1</v>
      </c>
      <c r="AJ941" s="73"/>
      <c r="AK941" s="57"/>
      <c r="AL941" s="45"/>
      <c r="AM941" s="45"/>
      <c r="AN941" s="45"/>
    </row>
    <row r="942" spans="1:40" hidden="1" outlineLevel="2" x14ac:dyDescent="0.25">
      <c r="A942" s="45"/>
      <c r="B942" s="54"/>
      <c r="C942" s="47">
        <f t="shared" si="217"/>
        <v>3</v>
      </c>
      <c r="D942" s="73"/>
      <c r="E942" s="70"/>
      <c r="F942" s="70" t="s">
        <v>3442</v>
      </c>
      <c r="G942" s="73"/>
      <c r="H942" s="76" t="s">
        <v>2537</v>
      </c>
      <c r="I942" s="96" t="s">
        <v>502</v>
      </c>
      <c r="J942" s="96"/>
      <c r="K942" s="76"/>
      <c r="L942" s="76"/>
      <c r="M942" s="76"/>
      <c r="N942" s="76"/>
      <c r="O942" s="76"/>
      <c r="P942" s="76"/>
      <c r="Q942" s="76"/>
      <c r="R942" s="76"/>
      <c r="S942" s="76"/>
      <c r="T942" s="76"/>
      <c r="U942" s="97">
        <v>-2.14</v>
      </c>
      <c r="V942" s="255">
        <f t="shared" si="209"/>
        <v>-2.14</v>
      </c>
      <c r="W942" s="255">
        <f>U942</f>
        <v>-2.14</v>
      </c>
      <c r="X942" s="255">
        <f>V942</f>
        <v>-2.14</v>
      </c>
      <c r="Y942" s="255">
        <f>V942</f>
        <v>-2.14</v>
      </c>
      <c r="Z942" s="255">
        <f t="shared" si="213"/>
        <v>-2.14</v>
      </c>
      <c r="AA942" s="97">
        <f t="shared" si="218"/>
        <v>-2.14</v>
      </c>
      <c r="AB942" s="255">
        <f t="shared" si="214"/>
        <v>-2.14</v>
      </c>
      <c r="AC942" s="255">
        <f t="shared" si="215"/>
        <v>-2.14</v>
      </c>
      <c r="AD942" s="255">
        <f t="shared" si="216"/>
        <v>-2.14</v>
      </c>
      <c r="AE942" s="76"/>
      <c r="AF942" s="97"/>
      <c r="AG942" s="76"/>
      <c r="AH942" s="97">
        <v>1</v>
      </c>
      <c r="AI942" s="97">
        <v>1</v>
      </c>
      <c r="AJ942" s="73"/>
      <c r="AK942" s="57"/>
      <c r="AL942" s="45"/>
      <c r="AM942" s="45"/>
      <c r="AN942" s="45"/>
    </row>
    <row r="943" spans="1:40" hidden="1" outlineLevel="2" x14ac:dyDescent="0.25">
      <c r="A943" s="45"/>
      <c r="B943" s="54"/>
      <c r="C943" s="47">
        <f t="shared" si="217"/>
        <v>3</v>
      </c>
      <c r="D943" s="73"/>
      <c r="E943" s="70"/>
      <c r="F943" s="70" t="s">
        <v>3443</v>
      </c>
      <c r="G943" s="73"/>
      <c r="H943" s="76" t="s">
        <v>2538</v>
      </c>
      <c r="I943" s="96" t="s">
        <v>502</v>
      </c>
      <c r="J943" s="96"/>
      <c r="K943" s="76"/>
      <c r="L943" s="76"/>
      <c r="M943" s="76"/>
      <c r="N943" s="76"/>
      <c r="O943" s="76"/>
      <c r="P943" s="76"/>
      <c r="Q943" s="76"/>
      <c r="R943" s="76"/>
      <c r="S943" s="76"/>
      <c r="T943" s="76"/>
      <c r="U943" s="253">
        <f>U942</f>
        <v>-2.14</v>
      </c>
      <c r="V943" s="76">
        <f t="shared" si="209"/>
        <v>-2.14</v>
      </c>
      <c r="W943" s="76">
        <f>U943</f>
        <v>-2.14</v>
      </c>
      <c r="X943" s="76">
        <f>V943</f>
        <v>-2.14</v>
      </c>
      <c r="Y943" s="76">
        <f>V943</f>
        <v>-2.14</v>
      </c>
      <c r="Z943" s="76">
        <f t="shared" si="213"/>
        <v>-2.14</v>
      </c>
      <c r="AA943" s="253">
        <f>AA942</f>
        <v>-2.14</v>
      </c>
      <c r="AB943" s="76">
        <f t="shared" si="214"/>
        <v>-2.14</v>
      </c>
      <c r="AC943" s="76">
        <f t="shared" si="215"/>
        <v>-2.14</v>
      </c>
      <c r="AD943" s="76">
        <f t="shared" si="216"/>
        <v>-2.14</v>
      </c>
      <c r="AE943" s="76"/>
      <c r="AF943" s="264" t="s">
        <v>3422</v>
      </c>
      <c r="AG943" s="76"/>
      <c r="AH943" s="76">
        <v>1</v>
      </c>
      <c r="AI943" s="76">
        <v>1</v>
      </c>
      <c r="AJ943" s="73"/>
      <c r="AK943" s="57"/>
      <c r="AL943" s="45"/>
      <c r="AM943" s="45"/>
      <c r="AN943" s="45"/>
    </row>
    <row r="944" spans="1:40" hidden="1" outlineLevel="2" x14ac:dyDescent="0.25">
      <c r="A944" s="45"/>
      <c r="B944" s="54"/>
      <c r="C944" s="47">
        <f t="shared" si="217"/>
        <v>3</v>
      </c>
      <c r="D944" s="73"/>
      <c r="E944" s="70"/>
      <c r="F944" s="70" t="s">
        <v>3445</v>
      </c>
      <c r="G944" s="73"/>
      <c r="H944" s="76" t="s">
        <v>3470</v>
      </c>
      <c r="I944" s="96" t="s">
        <v>502</v>
      </c>
      <c r="J944" s="96"/>
      <c r="K944" s="76"/>
      <c r="L944" s="76"/>
      <c r="M944" s="76"/>
      <c r="N944" s="76"/>
      <c r="O944" s="76"/>
      <c r="P944" s="76"/>
      <c r="Q944" s="76"/>
      <c r="R944" s="76"/>
      <c r="S944" s="76"/>
      <c r="T944" s="76"/>
      <c r="U944" s="97">
        <v>0</v>
      </c>
      <c r="V944" s="255">
        <f t="shared" ref="V944:V947" si="219">U944</f>
        <v>0</v>
      </c>
      <c r="W944" s="255">
        <f t="shared" ref="W944:W945" si="220">U944</f>
        <v>0</v>
      </c>
      <c r="X944" s="255">
        <f t="shared" ref="X944:X945" si="221">V944</f>
        <v>0</v>
      </c>
      <c r="Y944" s="255">
        <f t="shared" ref="Y944:Y945" si="222">V944</f>
        <v>0</v>
      </c>
      <c r="Z944" s="255">
        <f t="shared" ref="Z944:Z947" si="223">AA944</f>
        <v>0</v>
      </c>
      <c r="AA944" s="97">
        <f>U944</f>
        <v>0</v>
      </c>
      <c r="AB944" s="255">
        <f t="shared" ref="AB944:AB947" si="224">AA944</f>
        <v>0</v>
      </c>
      <c r="AC944" s="255">
        <f t="shared" ref="AC944:AC947" si="225">AB944</f>
        <v>0</v>
      </c>
      <c r="AD944" s="255">
        <f t="shared" ref="AD944:AD947" si="226">AC944</f>
        <v>0</v>
      </c>
      <c r="AE944" s="76"/>
      <c r="AF944" s="97" t="s">
        <v>3423</v>
      </c>
      <c r="AG944" s="76"/>
      <c r="AH944" s="76">
        <v>1</v>
      </c>
      <c r="AI944" s="76">
        <v>1</v>
      </c>
      <c r="AJ944" s="73"/>
      <c r="AK944" s="57"/>
      <c r="AL944" s="45"/>
      <c r="AM944" s="45"/>
      <c r="AN944" s="45"/>
    </row>
    <row r="945" spans="1:40" hidden="1" outlineLevel="2" x14ac:dyDescent="0.25">
      <c r="A945" s="45"/>
      <c r="B945" s="54"/>
      <c r="C945" s="47">
        <f t="shared" si="217"/>
        <v>3</v>
      </c>
      <c r="D945" s="73"/>
      <c r="E945" s="70"/>
      <c r="F945" s="70" t="s">
        <v>3446</v>
      </c>
      <c r="G945" s="73"/>
      <c r="H945" s="76" t="s">
        <v>2536</v>
      </c>
      <c r="I945" s="96" t="s">
        <v>502</v>
      </c>
      <c r="J945" s="96"/>
      <c r="K945" s="76"/>
      <c r="L945" s="76"/>
      <c r="M945" s="76"/>
      <c r="N945" s="76"/>
      <c r="O945" s="76"/>
      <c r="P945" s="76"/>
      <c r="Q945" s="76"/>
      <c r="R945" s="76"/>
      <c r="S945" s="76"/>
      <c r="T945" s="76"/>
      <c r="U945" s="97">
        <v>0</v>
      </c>
      <c r="V945" s="255">
        <f t="shared" si="219"/>
        <v>0</v>
      </c>
      <c r="W945" s="255">
        <f t="shared" si="220"/>
        <v>0</v>
      </c>
      <c r="X945" s="255">
        <f t="shared" si="221"/>
        <v>0</v>
      </c>
      <c r="Y945" s="255">
        <f t="shared" si="222"/>
        <v>0</v>
      </c>
      <c r="Z945" s="255">
        <f t="shared" si="223"/>
        <v>0</v>
      </c>
      <c r="AA945" s="97">
        <f t="shared" ref="AA945:AA946" si="227">U945</f>
        <v>0</v>
      </c>
      <c r="AB945" s="255">
        <f t="shared" si="224"/>
        <v>0</v>
      </c>
      <c r="AC945" s="255">
        <f t="shared" si="225"/>
        <v>0</v>
      </c>
      <c r="AD945" s="255">
        <f t="shared" si="226"/>
        <v>0</v>
      </c>
      <c r="AE945" s="76"/>
      <c r="AF945" s="97" t="s">
        <v>3444</v>
      </c>
      <c r="AG945" s="76"/>
      <c r="AH945" s="97">
        <v>1</v>
      </c>
      <c r="AI945" s="97">
        <v>1</v>
      </c>
      <c r="AJ945" s="73"/>
      <c r="AK945" s="57"/>
      <c r="AL945" s="45"/>
      <c r="AM945" s="45"/>
      <c r="AN945" s="45"/>
    </row>
    <row r="946" spans="1:40" hidden="1" outlineLevel="2" x14ac:dyDescent="0.25">
      <c r="A946" s="45"/>
      <c r="B946" s="54"/>
      <c r="C946" s="47">
        <f t="shared" si="217"/>
        <v>3</v>
      </c>
      <c r="D946" s="73"/>
      <c r="E946" s="70"/>
      <c r="F946" s="70" t="s">
        <v>3447</v>
      </c>
      <c r="G946" s="73"/>
      <c r="H946" s="76" t="s">
        <v>2537</v>
      </c>
      <c r="I946" s="96" t="s">
        <v>502</v>
      </c>
      <c r="J946" s="96"/>
      <c r="K946" s="76"/>
      <c r="L946" s="76"/>
      <c r="M946" s="76"/>
      <c r="N946" s="76"/>
      <c r="O946" s="76"/>
      <c r="P946" s="76"/>
      <c r="Q946" s="76"/>
      <c r="R946" s="76"/>
      <c r="S946" s="76"/>
      <c r="T946" s="76"/>
      <c r="U946" s="97">
        <v>0.1779</v>
      </c>
      <c r="V946" s="255">
        <f t="shared" si="219"/>
        <v>0.1779</v>
      </c>
      <c r="W946" s="255">
        <f>U946</f>
        <v>0.1779</v>
      </c>
      <c r="X946" s="255">
        <f>V946</f>
        <v>0.1779</v>
      </c>
      <c r="Y946" s="255">
        <f>V946</f>
        <v>0.1779</v>
      </c>
      <c r="Z946" s="255">
        <f t="shared" si="223"/>
        <v>0.1779</v>
      </c>
      <c r="AA946" s="97">
        <f t="shared" si="227"/>
        <v>0.1779</v>
      </c>
      <c r="AB946" s="255">
        <f t="shared" si="224"/>
        <v>0.1779</v>
      </c>
      <c r="AC946" s="255">
        <f t="shared" si="225"/>
        <v>0.1779</v>
      </c>
      <c r="AD946" s="255">
        <f t="shared" si="226"/>
        <v>0.1779</v>
      </c>
      <c r="AE946" s="76"/>
      <c r="AF946" s="97"/>
      <c r="AG946" s="76"/>
      <c r="AH946" s="97">
        <v>1</v>
      </c>
      <c r="AI946" s="97">
        <v>1</v>
      </c>
      <c r="AJ946" s="73"/>
      <c r="AK946" s="57"/>
      <c r="AL946" s="45"/>
      <c r="AM946" s="45"/>
      <c r="AN946" s="45"/>
    </row>
    <row r="947" spans="1:40" hidden="1" outlineLevel="2" x14ac:dyDescent="0.25">
      <c r="A947" s="45"/>
      <c r="B947" s="54"/>
      <c r="C947" s="47">
        <f t="shared" si="217"/>
        <v>3</v>
      </c>
      <c r="D947" s="73"/>
      <c r="E947" s="70"/>
      <c r="F947" s="70" t="s">
        <v>3448</v>
      </c>
      <c r="G947" s="73"/>
      <c r="H947" s="76" t="s">
        <v>2538</v>
      </c>
      <c r="I947" s="96" t="s">
        <v>502</v>
      </c>
      <c r="J947" s="96"/>
      <c r="K947" s="76"/>
      <c r="L947" s="76"/>
      <c r="M947" s="76"/>
      <c r="N947" s="76"/>
      <c r="O947" s="76"/>
      <c r="P947" s="76"/>
      <c r="Q947" s="76"/>
      <c r="R947" s="76"/>
      <c r="S947" s="76"/>
      <c r="T947" s="76"/>
      <c r="U947" s="253">
        <f>U946</f>
        <v>0.1779</v>
      </c>
      <c r="V947" s="76">
        <f t="shared" si="219"/>
        <v>0.1779</v>
      </c>
      <c r="W947" s="76">
        <f>U947</f>
        <v>0.1779</v>
      </c>
      <c r="X947" s="76">
        <f>V947</f>
        <v>0.1779</v>
      </c>
      <c r="Y947" s="76">
        <f>V947</f>
        <v>0.1779</v>
      </c>
      <c r="Z947" s="76">
        <f t="shared" si="223"/>
        <v>0.1779</v>
      </c>
      <c r="AA947" s="253">
        <f>AA946</f>
        <v>0.1779</v>
      </c>
      <c r="AB947" s="76">
        <f t="shared" si="224"/>
        <v>0.1779</v>
      </c>
      <c r="AC947" s="76">
        <f t="shared" si="225"/>
        <v>0.1779</v>
      </c>
      <c r="AD947" s="76">
        <f t="shared" si="226"/>
        <v>0.1779</v>
      </c>
      <c r="AE947" s="76"/>
      <c r="AF947" s="264" t="s">
        <v>3422</v>
      </c>
      <c r="AG947" s="76"/>
      <c r="AH947" s="76">
        <v>1</v>
      </c>
      <c r="AI947" s="76">
        <v>1</v>
      </c>
      <c r="AJ947" s="73"/>
      <c r="AK947" s="57"/>
      <c r="AL947" s="45"/>
      <c r="AM947" s="45"/>
      <c r="AN947" s="45"/>
    </row>
    <row r="948" spans="1:40" hidden="1" outlineLevel="2" x14ac:dyDescent="0.25">
      <c r="A948" s="45"/>
      <c r="B948" s="54"/>
      <c r="C948" s="47">
        <f t="shared" si="217"/>
        <v>3</v>
      </c>
      <c r="D948" s="73"/>
      <c r="E948" s="70"/>
      <c r="F948" s="70" t="s">
        <v>3449</v>
      </c>
      <c r="G948" s="73"/>
      <c r="H948" s="76" t="s">
        <v>3471</v>
      </c>
      <c r="I948" s="96" t="s">
        <v>502</v>
      </c>
      <c r="J948" s="96"/>
      <c r="K948" s="76"/>
      <c r="L948" s="76"/>
      <c r="M948" s="76"/>
      <c r="N948" s="76"/>
      <c r="O948" s="76"/>
      <c r="P948" s="76"/>
      <c r="Q948" s="76"/>
      <c r="R948" s="76"/>
      <c r="S948" s="76"/>
      <c r="T948" s="76"/>
      <c r="U948" s="97">
        <v>0</v>
      </c>
      <c r="V948" s="255">
        <f t="shared" ref="V948:V963" si="228">U948</f>
        <v>0</v>
      </c>
      <c r="W948" s="255">
        <f t="shared" ref="W948:W949" si="229">U948</f>
        <v>0</v>
      </c>
      <c r="X948" s="255">
        <f t="shared" ref="X948:X949" si="230">V948</f>
        <v>0</v>
      </c>
      <c r="Y948" s="255">
        <f t="shared" ref="Y948:Y949" si="231">V948</f>
        <v>0</v>
      </c>
      <c r="Z948" s="255">
        <f t="shared" ref="Z948:Z963" si="232">AA948</f>
        <v>0</v>
      </c>
      <c r="AA948" s="97">
        <f>U948</f>
        <v>0</v>
      </c>
      <c r="AB948" s="255">
        <f t="shared" ref="AB948:AB963" si="233">AA948</f>
        <v>0</v>
      </c>
      <c r="AC948" s="255">
        <f t="shared" ref="AC948:AC963" si="234">AB948</f>
        <v>0</v>
      </c>
      <c r="AD948" s="255">
        <f t="shared" ref="AD948:AD963" si="235">AC948</f>
        <v>0</v>
      </c>
      <c r="AE948" s="76"/>
      <c r="AF948" s="97" t="s">
        <v>3423</v>
      </c>
      <c r="AG948" s="76"/>
      <c r="AH948" s="76">
        <v>1</v>
      </c>
      <c r="AI948" s="76">
        <v>1</v>
      </c>
      <c r="AJ948" s="73"/>
      <c r="AK948" s="57"/>
      <c r="AL948" s="45"/>
      <c r="AM948" s="45"/>
      <c r="AN948" s="45"/>
    </row>
    <row r="949" spans="1:40" hidden="1" outlineLevel="2" x14ac:dyDescent="0.25">
      <c r="A949" s="45"/>
      <c r="B949" s="54"/>
      <c r="C949" s="47">
        <f t="shared" si="217"/>
        <v>3</v>
      </c>
      <c r="D949" s="73"/>
      <c r="E949" s="70"/>
      <c r="F949" s="70" t="s">
        <v>3450</v>
      </c>
      <c r="G949" s="73"/>
      <c r="H949" s="76" t="s">
        <v>2536</v>
      </c>
      <c r="I949" s="96" t="s">
        <v>502</v>
      </c>
      <c r="J949" s="96"/>
      <c r="K949" s="76"/>
      <c r="L949" s="76"/>
      <c r="M949" s="76"/>
      <c r="N949" s="76"/>
      <c r="O949" s="76"/>
      <c r="P949" s="76"/>
      <c r="Q949" s="76"/>
      <c r="R949" s="76"/>
      <c r="S949" s="76"/>
      <c r="T949" s="76"/>
      <c r="U949" s="97">
        <v>0</v>
      </c>
      <c r="V949" s="255">
        <f t="shared" si="228"/>
        <v>0</v>
      </c>
      <c r="W949" s="255">
        <f t="shared" si="229"/>
        <v>0</v>
      </c>
      <c r="X949" s="255">
        <f t="shared" si="230"/>
        <v>0</v>
      </c>
      <c r="Y949" s="255">
        <f t="shared" si="231"/>
        <v>0</v>
      </c>
      <c r="Z949" s="255">
        <f t="shared" si="232"/>
        <v>0</v>
      </c>
      <c r="AA949" s="97">
        <f t="shared" ref="AA949:AA950" si="236">U949</f>
        <v>0</v>
      </c>
      <c r="AB949" s="255">
        <f t="shared" si="233"/>
        <v>0</v>
      </c>
      <c r="AC949" s="255">
        <f t="shared" si="234"/>
        <v>0</v>
      </c>
      <c r="AD949" s="255">
        <f t="shared" si="235"/>
        <v>0</v>
      </c>
      <c r="AE949" s="76"/>
      <c r="AF949" s="97" t="s">
        <v>3444</v>
      </c>
      <c r="AG949" s="76"/>
      <c r="AH949" s="97">
        <v>1</v>
      </c>
      <c r="AI949" s="97">
        <v>1</v>
      </c>
      <c r="AJ949" s="73"/>
      <c r="AK949" s="57"/>
      <c r="AL949" s="45"/>
      <c r="AM949" s="45"/>
      <c r="AN949" s="45"/>
    </row>
    <row r="950" spans="1:40" hidden="1" outlineLevel="2" x14ac:dyDescent="0.25">
      <c r="A950" s="45"/>
      <c r="B950" s="54"/>
      <c r="C950" s="47">
        <f t="shared" si="217"/>
        <v>3</v>
      </c>
      <c r="D950" s="73"/>
      <c r="E950" s="70"/>
      <c r="F950" s="70" t="s">
        <v>3451</v>
      </c>
      <c r="G950" s="73"/>
      <c r="H950" s="76" t="s">
        <v>2537</v>
      </c>
      <c r="I950" s="96" t="s">
        <v>502</v>
      </c>
      <c r="J950" s="96"/>
      <c r="K950" s="76"/>
      <c r="L950" s="76"/>
      <c r="M950" s="76"/>
      <c r="N950" s="76"/>
      <c r="O950" s="76"/>
      <c r="P950" s="76"/>
      <c r="Q950" s="76"/>
      <c r="R950" s="76"/>
      <c r="S950" s="76"/>
      <c r="T950" s="76"/>
      <c r="U950" s="97">
        <v>-1.31E-3</v>
      </c>
      <c r="V950" s="255">
        <f t="shared" si="228"/>
        <v>-1.31E-3</v>
      </c>
      <c r="W950" s="255">
        <f>U950</f>
        <v>-1.31E-3</v>
      </c>
      <c r="X950" s="255">
        <f>V950</f>
        <v>-1.31E-3</v>
      </c>
      <c r="Y950" s="255">
        <f>V950</f>
        <v>-1.31E-3</v>
      </c>
      <c r="Z950" s="255">
        <f t="shared" si="232"/>
        <v>-1.31E-3</v>
      </c>
      <c r="AA950" s="97">
        <f t="shared" si="236"/>
        <v>-1.31E-3</v>
      </c>
      <c r="AB950" s="255">
        <f t="shared" si="233"/>
        <v>-1.31E-3</v>
      </c>
      <c r="AC950" s="255">
        <f t="shared" si="234"/>
        <v>-1.31E-3</v>
      </c>
      <c r="AD950" s="255">
        <f t="shared" si="235"/>
        <v>-1.31E-3</v>
      </c>
      <c r="AE950" s="76"/>
      <c r="AF950" s="97"/>
      <c r="AG950" s="76"/>
      <c r="AH950" s="97">
        <v>1</v>
      </c>
      <c r="AI950" s="97">
        <v>1</v>
      </c>
      <c r="AJ950" s="73"/>
      <c r="AK950" s="57"/>
      <c r="AL950" s="45"/>
      <c r="AM950" s="45"/>
      <c r="AN950" s="45"/>
    </row>
    <row r="951" spans="1:40" hidden="1" outlineLevel="2" x14ac:dyDescent="0.25">
      <c r="A951" s="45"/>
      <c r="B951" s="54"/>
      <c r="C951" s="47">
        <f t="shared" si="217"/>
        <v>3</v>
      </c>
      <c r="D951" s="73"/>
      <c r="E951" s="70"/>
      <c r="F951" s="70" t="s">
        <v>3452</v>
      </c>
      <c r="G951" s="73"/>
      <c r="H951" s="76" t="s">
        <v>2538</v>
      </c>
      <c r="I951" s="96" t="s">
        <v>502</v>
      </c>
      <c r="J951" s="96"/>
      <c r="K951" s="76"/>
      <c r="L951" s="76"/>
      <c r="M951" s="76"/>
      <c r="N951" s="76"/>
      <c r="O951" s="76"/>
      <c r="P951" s="76"/>
      <c r="Q951" s="76"/>
      <c r="R951" s="76"/>
      <c r="S951" s="76"/>
      <c r="T951" s="76"/>
      <c r="U951" s="253">
        <f>U950</f>
        <v>-1.31E-3</v>
      </c>
      <c r="V951" s="76">
        <f t="shared" si="228"/>
        <v>-1.31E-3</v>
      </c>
      <c r="W951" s="76">
        <f>U951</f>
        <v>-1.31E-3</v>
      </c>
      <c r="X951" s="76">
        <f>V951</f>
        <v>-1.31E-3</v>
      </c>
      <c r="Y951" s="76">
        <f>V951</f>
        <v>-1.31E-3</v>
      </c>
      <c r="Z951" s="76">
        <f t="shared" si="232"/>
        <v>-1.31E-3</v>
      </c>
      <c r="AA951" s="253">
        <f>AA950</f>
        <v>-1.31E-3</v>
      </c>
      <c r="AB951" s="76">
        <f t="shared" si="233"/>
        <v>-1.31E-3</v>
      </c>
      <c r="AC951" s="76">
        <f t="shared" si="234"/>
        <v>-1.31E-3</v>
      </c>
      <c r="AD951" s="76">
        <f t="shared" si="235"/>
        <v>-1.31E-3</v>
      </c>
      <c r="AE951" s="76"/>
      <c r="AF951" s="264" t="s">
        <v>3422</v>
      </c>
      <c r="AG951" s="76"/>
      <c r="AH951" s="76">
        <v>1</v>
      </c>
      <c r="AI951" s="76">
        <v>1</v>
      </c>
      <c r="AJ951" s="73"/>
      <c r="AK951" s="57"/>
      <c r="AL951" s="45"/>
      <c r="AM951" s="45"/>
      <c r="AN951" s="45"/>
    </row>
    <row r="952" spans="1:40" hidden="1" outlineLevel="2" x14ac:dyDescent="0.25">
      <c r="A952" s="45"/>
      <c r="B952" s="54"/>
      <c r="C952" s="47">
        <f t="shared" si="217"/>
        <v>3</v>
      </c>
      <c r="D952" s="73"/>
      <c r="E952" s="70"/>
      <c r="F952" s="70" t="s">
        <v>3453</v>
      </c>
      <c r="G952" s="73"/>
      <c r="H952" s="76" t="s">
        <v>3472</v>
      </c>
      <c r="I952" s="96" t="s">
        <v>502</v>
      </c>
      <c r="J952" s="96"/>
      <c r="K952" s="76"/>
      <c r="L952" s="76"/>
      <c r="M952" s="76"/>
      <c r="N952" s="76"/>
      <c r="O952" s="76"/>
      <c r="P952" s="76"/>
      <c r="Q952" s="76"/>
      <c r="R952" s="76"/>
      <c r="S952" s="76"/>
      <c r="T952" s="76"/>
      <c r="U952" s="97">
        <v>0</v>
      </c>
      <c r="V952" s="255">
        <f t="shared" si="228"/>
        <v>0</v>
      </c>
      <c r="W952" s="255">
        <f t="shared" ref="W952:W953" si="237">U952</f>
        <v>0</v>
      </c>
      <c r="X952" s="255">
        <f t="shared" ref="X952:X953" si="238">V952</f>
        <v>0</v>
      </c>
      <c r="Y952" s="255">
        <f t="shared" ref="Y952:Y953" si="239">V952</f>
        <v>0</v>
      </c>
      <c r="Z952" s="255">
        <f t="shared" si="232"/>
        <v>0</v>
      </c>
      <c r="AA952" s="97">
        <f>U952</f>
        <v>0</v>
      </c>
      <c r="AB952" s="255">
        <f t="shared" si="233"/>
        <v>0</v>
      </c>
      <c r="AC952" s="255">
        <f t="shared" si="234"/>
        <v>0</v>
      </c>
      <c r="AD952" s="255">
        <f t="shared" si="235"/>
        <v>0</v>
      </c>
      <c r="AE952" s="76"/>
      <c r="AF952" s="97" t="s">
        <v>3423</v>
      </c>
      <c r="AG952" s="76"/>
      <c r="AH952" s="76">
        <v>1</v>
      </c>
      <c r="AI952" s="76">
        <v>1</v>
      </c>
      <c r="AJ952" s="73"/>
      <c r="AK952" s="57"/>
      <c r="AL952" s="45"/>
      <c r="AM952" s="45"/>
      <c r="AN952" s="45"/>
    </row>
    <row r="953" spans="1:40" hidden="1" outlineLevel="2" x14ac:dyDescent="0.25">
      <c r="A953" s="45"/>
      <c r="B953" s="54"/>
      <c r="C953" s="47">
        <f t="shared" si="217"/>
        <v>3</v>
      </c>
      <c r="D953" s="73"/>
      <c r="E953" s="70"/>
      <c r="F953" s="70" t="s">
        <v>3454</v>
      </c>
      <c r="G953" s="73"/>
      <c r="H953" s="76" t="s">
        <v>2536</v>
      </c>
      <c r="I953" s="96" t="s">
        <v>502</v>
      </c>
      <c r="J953" s="96"/>
      <c r="K953" s="76"/>
      <c r="L953" s="76"/>
      <c r="M953" s="76"/>
      <c r="N953" s="76"/>
      <c r="O953" s="76"/>
      <c r="P953" s="76"/>
      <c r="Q953" s="76"/>
      <c r="R953" s="76"/>
      <c r="S953" s="76"/>
      <c r="T953" s="76"/>
      <c r="U953" s="97">
        <v>0</v>
      </c>
      <c r="V953" s="255">
        <f t="shared" si="228"/>
        <v>0</v>
      </c>
      <c r="W953" s="255">
        <f t="shared" si="237"/>
        <v>0</v>
      </c>
      <c r="X953" s="255">
        <f t="shared" si="238"/>
        <v>0</v>
      </c>
      <c r="Y953" s="255">
        <f t="shared" si="239"/>
        <v>0</v>
      </c>
      <c r="Z953" s="255">
        <f t="shared" si="232"/>
        <v>0</v>
      </c>
      <c r="AA953" s="97">
        <f t="shared" ref="AA953:AA954" si="240">U953</f>
        <v>0</v>
      </c>
      <c r="AB953" s="255">
        <f t="shared" si="233"/>
        <v>0</v>
      </c>
      <c r="AC953" s="255">
        <f t="shared" si="234"/>
        <v>0</v>
      </c>
      <c r="AD953" s="255">
        <f t="shared" si="235"/>
        <v>0</v>
      </c>
      <c r="AE953" s="76"/>
      <c r="AF953" s="97" t="s">
        <v>3444</v>
      </c>
      <c r="AG953" s="76"/>
      <c r="AH953" s="97">
        <v>1</v>
      </c>
      <c r="AI953" s="97">
        <v>1</v>
      </c>
      <c r="AJ953" s="73"/>
      <c r="AK953" s="57"/>
      <c r="AL953" s="45"/>
      <c r="AM953" s="45"/>
      <c r="AN953" s="45"/>
    </row>
    <row r="954" spans="1:40" hidden="1" outlineLevel="2" x14ac:dyDescent="0.25">
      <c r="A954" s="45"/>
      <c r="B954" s="54"/>
      <c r="C954" s="47">
        <f t="shared" si="217"/>
        <v>3</v>
      </c>
      <c r="D954" s="73"/>
      <c r="E954" s="70"/>
      <c r="F954" s="70" t="s">
        <v>3455</v>
      </c>
      <c r="G954" s="73"/>
      <c r="H954" s="76" t="s">
        <v>2537</v>
      </c>
      <c r="I954" s="96" t="s">
        <v>502</v>
      </c>
      <c r="J954" s="96"/>
      <c r="K954" s="76"/>
      <c r="L954" s="76"/>
      <c r="M954" s="76"/>
      <c r="N954" s="76"/>
      <c r="O954" s="76"/>
      <c r="P954" s="76"/>
      <c r="Q954" s="76"/>
      <c r="R954" s="76"/>
      <c r="S954" s="76"/>
      <c r="T954" s="76"/>
      <c r="U954" s="97">
        <v>-5.5010000000000003E-2</v>
      </c>
      <c r="V954" s="255">
        <f t="shared" si="228"/>
        <v>-5.5010000000000003E-2</v>
      </c>
      <c r="W954" s="255">
        <f>U954</f>
        <v>-5.5010000000000003E-2</v>
      </c>
      <c r="X954" s="255">
        <f>V954</f>
        <v>-5.5010000000000003E-2</v>
      </c>
      <c r="Y954" s="255">
        <f>V954</f>
        <v>-5.5010000000000003E-2</v>
      </c>
      <c r="Z954" s="255">
        <f t="shared" si="232"/>
        <v>-5.5010000000000003E-2</v>
      </c>
      <c r="AA954" s="97">
        <f t="shared" si="240"/>
        <v>-5.5010000000000003E-2</v>
      </c>
      <c r="AB954" s="255">
        <f t="shared" si="233"/>
        <v>-5.5010000000000003E-2</v>
      </c>
      <c r="AC954" s="255">
        <f t="shared" si="234"/>
        <v>-5.5010000000000003E-2</v>
      </c>
      <c r="AD954" s="255">
        <f t="shared" si="235"/>
        <v>-5.5010000000000003E-2</v>
      </c>
      <c r="AE954" s="76"/>
      <c r="AF954" s="97"/>
      <c r="AG954" s="76"/>
      <c r="AH954" s="97">
        <v>1</v>
      </c>
      <c r="AI954" s="97">
        <v>1</v>
      </c>
      <c r="AJ954" s="73"/>
      <c r="AK954" s="57"/>
      <c r="AL954" s="45"/>
      <c r="AM954" s="45"/>
      <c r="AN954" s="45"/>
    </row>
    <row r="955" spans="1:40" hidden="1" outlineLevel="2" x14ac:dyDescent="0.25">
      <c r="A955" s="45"/>
      <c r="B955" s="54"/>
      <c r="C955" s="47">
        <f t="shared" si="217"/>
        <v>3</v>
      </c>
      <c r="D955" s="73"/>
      <c r="E955" s="70"/>
      <c r="F955" s="70" t="s">
        <v>3456</v>
      </c>
      <c r="G955" s="73"/>
      <c r="H955" s="76" t="s">
        <v>2538</v>
      </c>
      <c r="I955" s="96" t="s">
        <v>502</v>
      </c>
      <c r="J955" s="96"/>
      <c r="K955" s="76"/>
      <c r="L955" s="76"/>
      <c r="M955" s="76"/>
      <c r="N955" s="76"/>
      <c r="O955" s="76"/>
      <c r="P955" s="76"/>
      <c r="Q955" s="76"/>
      <c r="R955" s="76"/>
      <c r="S955" s="76"/>
      <c r="T955" s="76"/>
      <c r="U955" s="253">
        <f>U954</f>
        <v>-5.5010000000000003E-2</v>
      </c>
      <c r="V955" s="76">
        <f t="shared" si="228"/>
        <v>-5.5010000000000003E-2</v>
      </c>
      <c r="W955" s="76">
        <f>U955</f>
        <v>-5.5010000000000003E-2</v>
      </c>
      <c r="X955" s="76">
        <f>V955</f>
        <v>-5.5010000000000003E-2</v>
      </c>
      <c r="Y955" s="76">
        <f>V955</f>
        <v>-5.5010000000000003E-2</v>
      </c>
      <c r="Z955" s="76">
        <f t="shared" si="232"/>
        <v>-5.5010000000000003E-2</v>
      </c>
      <c r="AA955" s="253">
        <f>AA954</f>
        <v>-5.5010000000000003E-2</v>
      </c>
      <c r="AB955" s="76">
        <f t="shared" si="233"/>
        <v>-5.5010000000000003E-2</v>
      </c>
      <c r="AC955" s="76">
        <f t="shared" si="234"/>
        <v>-5.5010000000000003E-2</v>
      </c>
      <c r="AD955" s="76">
        <f t="shared" si="235"/>
        <v>-5.5010000000000003E-2</v>
      </c>
      <c r="AE955" s="76"/>
      <c r="AF955" s="264" t="s">
        <v>3422</v>
      </c>
      <c r="AG955" s="76"/>
      <c r="AH955" s="76">
        <v>1</v>
      </c>
      <c r="AI955" s="76">
        <v>1</v>
      </c>
      <c r="AJ955" s="73"/>
      <c r="AK955" s="57"/>
      <c r="AL955" s="45"/>
      <c r="AM955" s="45"/>
      <c r="AN955" s="45"/>
    </row>
    <row r="956" spans="1:40" hidden="1" outlineLevel="2" x14ac:dyDescent="0.25">
      <c r="A956" s="45"/>
      <c r="B956" s="54"/>
      <c r="C956" s="47">
        <f t="shared" si="217"/>
        <v>3</v>
      </c>
      <c r="D956" s="73"/>
      <c r="E956" s="70"/>
      <c r="F956" s="70" t="s">
        <v>3457</v>
      </c>
      <c r="G956" s="73"/>
      <c r="H956" s="76" t="s">
        <v>3473</v>
      </c>
      <c r="I956" s="96" t="s">
        <v>502</v>
      </c>
      <c r="J956" s="96"/>
      <c r="K956" s="76"/>
      <c r="L956" s="76"/>
      <c r="M956" s="76"/>
      <c r="N956" s="76"/>
      <c r="O956" s="76"/>
      <c r="P956" s="76"/>
      <c r="Q956" s="76"/>
      <c r="R956" s="76"/>
      <c r="S956" s="76"/>
      <c r="T956" s="76"/>
      <c r="U956" s="97">
        <v>0</v>
      </c>
      <c r="V956" s="255">
        <f t="shared" ref="V956:V959" si="241">U956</f>
        <v>0</v>
      </c>
      <c r="W956" s="255">
        <f t="shared" ref="W956:W957" si="242">U956</f>
        <v>0</v>
      </c>
      <c r="X956" s="255">
        <f t="shared" ref="X956:X957" si="243">V956</f>
        <v>0</v>
      </c>
      <c r="Y956" s="255">
        <f t="shared" ref="Y956:Y957" si="244">V956</f>
        <v>0</v>
      </c>
      <c r="Z956" s="255">
        <f t="shared" ref="Z956:Z959" si="245">AA956</f>
        <v>0</v>
      </c>
      <c r="AA956" s="97">
        <f>U956</f>
        <v>0</v>
      </c>
      <c r="AB956" s="255">
        <f t="shared" ref="AB956:AB959" si="246">AA956</f>
        <v>0</v>
      </c>
      <c r="AC956" s="255">
        <f t="shared" ref="AC956:AC959" si="247">AB956</f>
        <v>0</v>
      </c>
      <c r="AD956" s="255">
        <f t="shared" ref="AD956:AD959" si="248">AC956</f>
        <v>0</v>
      </c>
      <c r="AE956" s="76"/>
      <c r="AF956" s="97" t="s">
        <v>3423</v>
      </c>
      <c r="AG956" s="76"/>
      <c r="AH956" s="76">
        <v>1</v>
      </c>
      <c r="AI956" s="76">
        <v>1</v>
      </c>
      <c r="AJ956" s="73"/>
      <c r="AK956" s="57"/>
      <c r="AL956" s="45"/>
      <c r="AM956" s="45"/>
      <c r="AN956" s="45"/>
    </row>
    <row r="957" spans="1:40" hidden="1" outlineLevel="2" x14ac:dyDescent="0.25">
      <c r="A957" s="45"/>
      <c r="B957" s="54"/>
      <c r="C957" s="47">
        <f t="shared" si="217"/>
        <v>3</v>
      </c>
      <c r="D957" s="73"/>
      <c r="E957" s="70"/>
      <c r="F957" s="70" t="s">
        <v>3458</v>
      </c>
      <c r="G957" s="73"/>
      <c r="H957" s="76" t="s">
        <v>2536</v>
      </c>
      <c r="I957" s="96" t="s">
        <v>502</v>
      </c>
      <c r="J957" s="96"/>
      <c r="K957" s="76"/>
      <c r="L957" s="76"/>
      <c r="M957" s="76"/>
      <c r="N957" s="76"/>
      <c r="O957" s="76"/>
      <c r="P957" s="76"/>
      <c r="Q957" s="76"/>
      <c r="R957" s="76"/>
      <c r="S957" s="76"/>
      <c r="T957" s="76"/>
      <c r="U957" s="97">
        <v>0</v>
      </c>
      <c r="V957" s="255">
        <f t="shared" si="241"/>
        <v>0</v>
      </c>
      <c r="W957" s="255">
        <f t="shared" si="242"/>
        <v>0</v>
      </c>
      <c r="X957" s="255">
        <f t="shared" si="243"/>
        <v>0</v>
      </c>
      <c r="Y957" s="255">
        <f t="shared" si="244"/>
        <v>0</v>
      </c>
      <c r="Z957" s="255">
        <f t="shared" si="245"/>
        <v>0</v>
      </c>
      <c r="AA957" s="97">
        <f t="shared" ref="AA957:AA958" si="249">U957</f>
        <v>0</v>
      </c>
      <c r="AB957" s="255">
        <f t="shared" si="246"/>
        <v>0</v>
      </c>
      <c r="AC957" s="255">
        <f t="shared" si="247"/>
        <v>0</v>
      </c>
      <c r="AD957" s="255">
        <f t="shared" si="248"/>
        <v>0</v>
      </c>
      <c r="AE957" s="76"/>
      <c r="AF957" s="97" t="s">
        <v>3444</v>
      </c>
      <c r="AG957" s="76"/>
      <c r="AH957" s="97">
        <v>1</v>
      </c>
      <c r="AI957" s="97">
        <v>1</v>
      </c>
      <c r="AJ957" s="73"/>
      <c r="AK957" s="57"/>
      <c r="AL957" s="45"/>
      <c r="AM957" s="45"/>
      <c r="AN957" s="45"/>
    </row>
    <row r="958" spans="1:40" hidden="1" outlineLevel="2" x14ac:dyDescent="0.25">
      <c r="A958" s="45"/>
      <c r="B958" s="54"/>
      <c r="C958" s="47">
        <f t="shared" si="217"/>
        <v>3</v>
      </c>
      <c r="D958" s="73"/>
      <c r="E958" s="70"/>
      <c r="F958" s="70" t="s">
        <v>3459</v>
      </c>
      <c r="G958" s="73"/>
      <c r="H958" s="76" t="s">
        <v>2537</v>
      </c>
      <c r="I958" s="96" t="s">
        <v>502</v>
      </c>
      <c r="J958" s="96"/>
      <c r="K958" s="76"/>
      <c r="L958" s="76"/>
      <c r="M958" s="76"/>
      <c r="N958" s="76"/>
      <c r="O958" s="76"/>
      <c r="P958" s="76"/>
      <c r="Q958" s="76"/>
      <c r="R958" s="76"/>
      <c r="S958" s="76"/>
      <c r="T958" s="76"/>
      <c r="U958" s="97">
        <v>0</v>
      </c>
      <c r="V958" s="255">
        <f t="shared" si="241"/>
        <v>0</v>
      </c>
      <c r="W958" s="255">
        <f>U958</f>
        <v>0</v>
      </c>
      <c r="X958" s="255">
        <f>V958</f>
        <v>0</v>
      </c>
      <c r="Y958" s="255">
        <f>V958</f>
        <v>0</v>
      </c>
      <c r="Z958" s="255">
        <f t="shared" si="245"/>
        <v>0</v>
      </c>
      <c r="AA958" s="97">
        <f t="shared" si="249"/>
        <v>0</v>
      </c>
      <c r="AB958" s="255">
        <f t="shared" si="246"/>
        <v>0</v>
      </c>
      <c r="AC958" s="255">
        <f t="shared" si="247"/>
        <v>0</v>
      </c>
      <c r="AD958" s="255">
        <f t="shared" si="248"/>
        <v>0</v>
      </c>
      <c r="AE958" s="76"/>
      <c r="AF958" s="97"/>
      <c r="AG958" s="76"/>
      <c r="AH958" s="97">
        <v>1</v>
      </c>
      <c r="AI958" s="97">
        <v>1</v>
      </c>
      <c r="AJ958" s="73"/>
      <c r="AK958" s="57"/>
      <c r="AL958" s="45"/>
      <c r="AM958" s="45"/>
      <c r="AN958" s="45"/>
    </row>
    <row r="959" spans="1:40" hidden="1" outlineLevel="2" x14ac:dyDescent="0.25">
      <c r="A959" s="45"/>
      <c r="B959" s="54"/>
      <c r="C959" s="47">
        <f t="shared" si="217"/>
        <v>3</v>
      </c>
      <c r="D959" s="73"/>
      <c r="E959" s="70"/>
      <c r="F959" s="70" t="s">
        <v>3460</v>
      </c>
      <c r="G959" s="73"/>
      <c r="H959" s="76" t="s">
        <v>2538</v>
      </c>
      <c r="I959" s="96" t="s">
        <v>502</v>
      </c>
      <c r="J959" s="96"/>
      <c r="K959" s="76"/>
      <c r="L959" s="76"/>
      <c r="M959" s="76"/>
      <c r="N959" s="76"/>
      <c r="O959" s="76"/>
      <c r="P959" s="76"/>
      <c r="Q959" s="76"/>
      <c r="R959" s="76"/>
      <c r="S959" s="76"/>
      <c r="T959" s="76"/>
      <c r="U959" s="253">
        <f>U958</f>
        <v>0</v>
      </c>
      <c r="V959" s="76">
        <f t="shared" si="241"/>
        <v>0</v>
      </c>
      <c r="W959" s="76">
        <f>U959</f>
        <v>0</v>
      </c>
      <c r="X959" s="76">
        <f>V959</f>
        <v>0</v>
      </c>
      <c r="Y959" s="76">
        <f>V959</f>
        <v>0</v>
      </c>
      <c r="Z959" s="76">
        <f t="shared" si="245"/>
        <v>0</v>
      </c>
      <c r="AA959" s="253">
        <f>AA958</f>
        <v>0</v>
      </c>
      <c r="AB959" s="76">
        <f t="shared" si="246"/>
        <v>0</v>
      </c>
      <c r="AC959" s="76">
        <f t="shared" si="247"/>
        <v>0</v>
      </c>
      <c r="AD959" s="76">
        <f t="shared" si="248"/>
        <v>0</v>
      </c>
      <c r="AE959" s="76"/>
      <c r="AF959" s="264" t="s">
        <v>3422</v>
      </c>
      <c r="AG959" s="76"/>
      <c r="AH959" s="76">
        <v>1</v>
      </c>
      <c r="AI959" s="76">
        <v>1</v>
      </c>
      <c r="AJ959" s="73"/>
      <c r="AK959" s="57"/>
      <c r="AL959" s="45"/>
      <c r="AM959" s="45"/>
      <c r="AN959" s="45"/>
    </row>
    <row r="960" spans="1:40" hidden="1" outlineLevel="2" x14ac:dyDescent="0.25">
      <c r="A960" s="45"/>
      <c r="B960" s="54"/>
      <c r="C960" s="47">
        <f t="shared" si="217"/>
        <v>3</v>
      </c>
      <c r="D960" s="73"/>
      <c r="E960" s="70"/>
      <c r="F960" s="70" t="s">
        <v>3461</v>
      </c>
      <c r="G960" s="73"/>
      <c r="H960" s="76" t="s">
        <v>3478</v>
      </c>
      <c r="I960" s="96" t="s">
        <v>502</v>
      </c>
      <c r="J960" s="96"/>
      <c r="K960" s="76"/>
      <c r="L960" s="76"/>
      <c r="M960" s="76"/>
      <c r="N960" s="76"/>
      <c r="O960" s="76"/>
      <c r="P960" s="76"/>
      <c r="Q960" s="76"/>
      <c r="R960" s="76"/>
      <c r="S960" s="76"/>
      <c r="T960" s="76"/>
      <c r="U960" s="97">
        <v>0</v>
      </c>
      <c r="V960" s="255">
        <f t="shared" si="228"/>
        <v>0</v>
      </c>
      <c r="W960" s="255">
        <f t="shared" ref="W960:W961" si="250">U960</f>
        <v>0</v>
      </c>
      <c r="X960" s="255">
        <f t="shared" ref="X960:X961" si="251">V960</f>
        <v>0</v>
      </c>
      <c r="Y960" s="255">
        <f t="shared" ref="Y960:Y961" si="252">V960</f>
        <v>0</v>
      </c>
      <c r="Z960" s="255">
        <f t="shared" si="232"/>
        <v>0</v>
      </c>
      <c r="AA960" s="97">
        <f>U960</f>
        <v>0</v>
      </c>
      <c r="AB960" s="255">
        <f t="shared" si="233"/>
        <v>0</v>
      </c>
      <c r="AC960" s="255">
        <f t="shared" si="234"/>
        <v>0</v>
      </c>
      <c r="AD960" s="255">
        <f t="shared" si="235"/>
        <v>0</v>
      </c>
      <c r="AE960" s="76"/>
      <c r="AF960" s="97" t="s">
        <v>3423</v>
      </c>
      <c r="AG960" s="76"/>
      <c r="AH960" s="76">
        <v>1</v>
      </c>
      <c r="AI960" s="76">
        <v>1</v>
      </c>
      <c r="AJ960" s="73"/>
      <c r="AK960" s="57"/>
      <c r="AL960" s="45"/>
      <c r="AM960" s="45"/>
      <c r="AN960" s="45"/>
    </row>
    <row r="961" spans="1:40" hidden="1" outlineLevel="2" x14ac:dyDescent="0.25">
      <c r="A961" s="45"/>
      <c r="B961" s="54"/>
      <c r="C961" s="47">
        <f t="shared" si="217"/>
        <v>3</v>
      </c>
      <c r="D961" s="73"/>
      <c r="E961" s="70"/>
      <c r="F961" s="70" t="s">
        <v>3462</v>
      </c>
      <c r="G961" s="73"/>
      <c r="H961" s="76" t="s">
        <v>2536</v>
      </c>
      <c r="I961" s="96" t="s">
        <v>502</v>
      </c>
      <c r="J961" s="96"/>
      <c r="K961" s="76"/>
      <c r="L961" s="76"/>
      <c r="M961" s="76"/>
      <c r="N961" s="76"/>
      <c r="O961" s="76"/>
      <c r="P961" s="76"/>
      <c r="Q961" s="76"/>
      <c r="R961" s="76"/>
      <c r="S961" s="76"/>
      <c r="T961" s="76"/>
      <c r="U961" s="97">
        <v>0</v>
      </c>
      <c r="V961" s="255">
        <f t="shared" si="228"/>
        <v>0</v>
      </c>
      <c r="W961" s="255">
        <f t="shared" si="250"/>
        <v>0</v>
      </c>
      <c r="X961" s="255">
        <f t="shared" si="251"/>
        <v>0</v>
      </c>
      <c r="Y961" s="255">
        <f t="shared" si="252"/>
        <v>0</v>
      </c>
      <c r="Z961" s="255">
        <f t="shared" si="232"/>
        <v>0</v>
      </c>
      <c r="AA961" s="97">
        <f t="shared" ref="AA961:AA962" si="253">U961</f>
        <v>0</v>
      </c>
      <c r="AB961" s="255">
        <f t="shared" si="233"/>
        <v>0</v>
      </c>
      <c r="AC961" s="255">
        <f t="shared" si="234"/>
        <v>0</v>
      </c>
      <c r="AD961" s="255">
        <f t="shared" si="235"/>
        <v>0</v>
      </c>
      <c r="AE961" s="76"/>
      <c r="AF961" s="97" t="s">
        <v>3444</v>
      </c>
      <c r="AG961" s="76"/>
      <c r="AH961" s="97">
        <v>1</v>
      </c>
      <c r="AI961" s="97">
        <v>1</v>
      </c>
      <c r="AJ961" s="73"/>
      <c r="AK961" s="57"/>
      <c r="AL961" s="45"/>
      <c r="AM961" s="45"/>
      <c r="AN961" s="45"/>
    </row>
    <row r="962" spans="1:40" hidden="1" outlineLevel="2" x14ac:dyDescent="0.25">
      <c r="A962" s="45"/>
      <c r="B962" s="54"/>
      <c r="C962" s="47">
        <f t="shared" si="217"/>
        <v>3</v>
      </c>
      <c r="D962" s="73"/>
      <c r="E962" s="70"/>
      <c r="F962" s="70" t="s">
        <v>3463</v>
      </c>
      <c r="G962" s="73"/>
      <c r="H962" s="76" t="s">
        <v>2537</v>
      </c>
      <c r="I962" s="96" t="s">
        <v>502</v>
      </c>
      <c r="J962" s="96"/>
      <c r="K962" s="76"/>
      <c r="L962" s="76"/>
      <c r="M962" s="76"/>
      <c r="N962" s="76"/>
      <c r="O962" s="76"/>
      <c r="P962" s="76"/>
      <c r="Q962" s="76"/>
      <c r="R962" s="76"/>
      <c r="S962" s="76"/>
      <c r="T962" s="76"/>
      <c r="U962" s="97">
        <v>9.2600000000000002E-2</v>
      </c>
      <c r="V962" s="255">
        <f t="shared" si="228"/>
        <v>9.2600000000000002E-2</v>
      </c>
      <c r="W962" s="255">
        <f>U962</f>
        <v>9.2600000000000002E-2</v>
      </c>
      <c r="X962" s="255">
        <f>V962</f>
        <v>9.2600000000000002E-2</v>
      </c>
      <c r="Y962" s="255">
        <f>V962</f>
        <v>9.2600000000000002E-2</v>
      </c>
      <c r="Z962" s="255">
        <f t="shared" si="232"/>
        <v>9.2600000000000002E-2</v>
      </c>
      <c r="AA962" s="97">
        <f t="shared" si="253"/>
        <v>9.2600000000000002E-2</v>
      </c>
      <c r="AB962" s="255">
        <f t="shared" si="233"/>
        <v>9.2600000000000002E-2</v>
      </c>
      <c r="AC962" s="255">
        <f t="shared" si="234"/>
        <v>9.2600000000000002E-2</v>
      </c>
      <c r="AD962" s="255">
        <f t="shared" si="235"/>
        <v>9.2600000000000002E-2</v>
      </c>
      <c r="AE962" s="76"/>
      <c r="AF962" s="97"/>
      <c r="AG962" s="76"/>
      <c r="AH962" s="97">
        <v>1</v>
      </c>
      <c r="AI962" s="97">
        <v>1</v>
      </c>
      <c r="AJ962" s="73"/>
      <c r="AK962" s="57"/>
      <c r="AL962" s="45"/>
      <c r="AM962" s="45"/>
      <c r="AN962" s="45"/>
    </row>
    <row r="963" spans="1:40" hidden="1" outlineLevel="2" x14ac:dyDescent="0.25">
      <c r="A963" s="45"/>
      <c r="B963" s="54"/>
      <c r="C963" s="47">
        <f t="shared" si="217"/>
        <v>3</v>
      </c>
      <c r="D963" s="73"/>
      <c r="E963" s="70"/>
      <c r="F963" s="70" t="s">
        <v>3464</v>
      </c>
      <c r="G963" s="73"/>
      <c r="H963" s="76" t="s">
        <v>2538</v>
      </c>
      <c r="I963" s="96" t="s">
        <v>502</v>
      </c>
      <c r="J963" s="96"/>
      <c r="K963" s="76"/>
      <c r="L963" s="76"/>
      <c r="M963" s="76"/>
      <c r="N963" s="76"/>
      <c r="O963" s="76"/>
      <c r="P963" s="76"/>
      <c r="Q963" s="76"/>
      <c r="R963" s="76"/>
      <c r="S963" s="76"/>
      <c r="T963" s="76"/>
      <c r="U963" s="253">
        <f>U962</f>
        <v>9.2600000000000002E-2</v>
      </c>
      <c r="V963" s="76">
        <f t="shared" si="228"/>
        <v>9.2600000000000002E-2</v>
      </c>
      <c r="W963" s="76">
        <f>U963</f>
        <v>9.2600000000000002E-2</v>
      </c>
      <c r="X963" s="76">
        <f>V963</f>
        <v>9.2600000000000002E-2</v>
      </c>
      <c r="Y963" s="76">
        <f>V963</f>
        <v>9.2600000000000002E-2</v>
      </c>
      <c r="Z963" s="76">
        <f t="shared" si="232"/>
        <v>9.2600000000000002E-2</v>
      </c>
      <c r="AA963" s="253">
        <f>AA962</f>
        <v>9.2600000000000002E-2</v>
      </c>
      <c r="AB963" s="76">
        <f t="shared" si="233"/>
        <v>9.2600000000000002E-2</v>
      </c>
      <c r="AC963" s="76">
        <f t="shared" si="234"/>
        <v>9.2600000000000002E-2</v>
      </c>
      <c r="AD963" s="76">
        <f t="shared" si="235"/>
        <v>9.2600000000000002E-2</v>
      </c>
      <c r="AE963" s="76"/>
      <c r="AF963" s="264" t="s">
        <v>3422</v>
      </c>
      <c r="AG963" s="76"/>
      <c r="AH963" s="76">
        <v>1</v>
      </c>
      <c r="AI963" s="76">
        <v>1</v>
      </c>
      <c r="AJ963" s="73"/>
      <c r="AK963" s="57"/>
      <c r="AL963" s="45"/>
      <c r="AM963" s="45"/>
      <c r="AN963" s="45"/>
    </row>
    <row r="964" spans="1:40" hidden="1" outlineLevel="2" x14ac:dyDescent="0.25">
      <c r="A964" s="45"/>
      <c r="B964" s="54"/>
      <c r="C964" s="47">
        <f t="shared" si="217"/>
        <v>3</v>
      </c>
      <c r="D964" s="73"/>
      <c r="E964" s="70"/>
      <c r="F964" s="70" t="s">
        <v>3465</v>
      </c>
      <c r="G964" s="73"/>
      <c r="H964" s="76" t="s">
        <v>3479</v>
      </c>
      <c r="I964" s="96" t="s">
        <v>502</v>
      </c>
      <c r="J964" s="96"/>
      <c r="K964" s="76"/>
      <c r="L964" s="76"/>
      <c r="M964" s="76"/>
      <c r="N964" s="76"/>
      <c r="O964" s="76"/>
      <c r="P964" s="76"/>
      <c r="Q964" s="76"/>
      <c r="R964" s="76"/>
      <c r="S964" s="76"/>
      <c r="T964" s="76"/>
      <c r="U964" s="97">
        <v>0</v>
      </c>
      <c r="V964" s="255">
        <f t="shared" ref="V964:V967" si="254">U964</f>
        <v>0</v>
      </c>
      <c r="W964" s="255">
        <f t="shared" ref="W964:W965" si="255">U964</f>
        <v>0</v>
      </c>
      <c r="X964" s="255">
        <f t="shared" ref="X964:X965" si="256">V964</f>
        <v>0</v>
      </c>
      <c r="Y964" s="255">
        <f t="shared" ref="Y964:Y965" si="257">V964</f>
        <v>0</v>
      </c>
      <c r="Z964" s="255">
        <f t="shared" ref="Z964:Z967" si="258">AA964</f>
        <v>0</v>
      </c>
      <c r="AA964" s="97">
        <f>U964</f>
        <v>0</v>
      </c>
      <c r="AB964" s="255">
        <f t="shared" ref="AB964:AB967" si="259">AA964</f>
        <v>0</v>
      </c>
      <c r="AC964" s="255">
        <f t="shared" ref="AC964:AC967" si="260">AB964</f>
        <v>0</v>
      </c>
      <c r="AD964" s="255">
        <f t="shared" ref="AD964:AD967" si="261">AC964</f>
        <v>0</v>
      </c>
      <c r="AE964" s="76"/>
      <c r="AF964" s="97" t="s">
        <v>3423</v>
      </c>
      <c r="AG964" s="76"/>
      <c r="AH964" s="76">
        <v>1</v>
      </c>
      <c r="AI964" s="76">
        <v>1</v>
      </c>
      <c r="AJ964" s="73"/>
      <c r="AK964" s="57"/>
      <c r="AL964" s="45"/>
      <c r="AM964" s="45"/>
      <c r="AN964" s="45"/>
    </row>
    <row r="965" spans="1:40" hidden="1" outlineLevel="2" x14ac:dyDescent="0.25">
      <c r="A965" s="45"/>
      <c r="B965" s="54"/>
      <c r="C965" s="47">
        <f t="shared" si="217"/>
        <v>3</v>
      </c>
      <c r="D965" s="73"/>
      <c r="E965" s="70"/>
      <c r="F965" s="70" t="s">
        <v>3466</v>
      </c>
      <c r="G965" s="73"/>
      <c r="H965" s="76" t="s">
        <v>2536</v>
      </c>
      <c r="I965" s="96" t="s">
        <v>502</v>
      </c>
      <c r="J965" s="96"/>
      <c r="K965" s="76"/>
      <c r="L965" s="76"/>
      <c r="M965" s="76"/>
      <c r="N965" s="76"/>
      <c r="O965" s="76"/>
      <c r="P965" s="76"/>
      <c r="Q965" s="76"/>
      <c r="R965" s="76"/>
      <c r="S965" s="76"/>
      <c r="T965" s="76"/>
      <c r="U965" s="97">
        <v>0</v>
      </c>
      <c r="V965" s="255">
        <f t="shared" si="254"/>
        <v>0</v>
      </c>
      <c r="W965" s="255">
        <f t="shared" si="255"/>
        <v>0</v>
      </c>
      <c r="X965" s="255">
        <f t="shared" si="256"/>
        <v>0</v>
      </c>
      <c r="Y965" s="255">
        <f t="shared" si="257"/>
        <v>0</v>
      </c>
      <c r="Z965" s="255">
        <f t="shared" si="258"/>
        <v>0</v>
      </c>
      <c r="AA965" s="97">
        <f t="shared" ref="AA965:AA966" si="262">U965</f>
        <v>0</v>
      </c>
      <c r="AB965" s="255">
        <f t="shared" si="259"/>
        <v>0</v>
      </c>
      <c r="AC965" s="255">
        <f t="shared" si="260"/>
        <v>0</v>
      </c>
      <c r="AD965" s="255">
        <f t="shared" si="261"/>
        <v>0</v>
      </c>
      <c r="AE965" s="76"/>
      <c r="AF965" s="97" t="s">
        <v>3444</v>
      </c>
      <c r="AG965" s="76"/>
      <c r="AH965" s="97">
        <v>1</v>
      </c>
      <c r="AI965" s="97">
        <v>1</v>
      </c>
      <c r="AJ965" s="73"/>
      <c r="AK965" s="57"/>
      <c r="AL965" s="45"/>
      <c r="AM965" s="45"/>
      <c r="AN965" s="45"/>
    </row>
    <row r="966" spans="1:40" hidden="1" outlineLevel="2" x14ac:dyDescent="0.25">
      <c r="A966" s="45"/>
      <c r="B966" s="54"/>
      <c r="C966" s="47">
        <f t="shared" si="217"/>
        <v>3</v>
      </c>
      <c r="D966" s="73"/>
      <c r="E966" s="70"/>
      <c r="F966" s="70" t="s">
        <v>3467</v>
      </c>
      <c r="G966" s="73"/>
      <c r="H966" s="76" t="s">
        <v>2537</v>
      </c>
      <c r="I966" s="96" t="s">
        <v>502</v>
      </c>
      <c r="J966" s="96"/>
      <c r="K966" s="76"/>
      <c r="L966" s="76"/>
      <c r="M966" s="76"/>
      <c r="N966" s="76"/>
      <c r="O966" s="76"/>
      <c r="P966" s="76"/>
      <c r="Q966" s="76"/>
      <c r="R966" s="76"/>
      <c r="S966" s="76"/>
      <c r="T966" s="76"/>
      <c r="U966" s="97">
        <v>-2.2000000000000001E-4</v>
      </c>
      <c r="V966" s="255">
        <f t="shared" si="254"/>
        <v>-2.2000000000000001E-4</v>
      </c>
      <c r="W966" s="255">
        <f>U966</f>
        <v>-2.2000000000000001E-4</v>
      </c>
      <c r="X966" s="255">
        <f>V966</f>
        <v>-2.2000000000000001E-4</v>
      </c>
      <c r="Y966" s="255">
        <f>V966</f>
        <v>-2.2000000000000001E-4</v>
      </c>
      <c r="Z966" s="255">
        <f t="shared" si="258"/>
        <v>-2.2000000000000001E-4</v>
      </c>
      <c r="AA966" s="97">
        <f t="shared" si="262"/>
        <v>-2.2000000000000001E-4</v>
      </c>
      <c r="AB966" s="255">
        <f t="shared" si="259"/>
        <v>-2.2000000000000001E-4</v>
      </c>
      <c r="AC966" s="255">
        <f t="shared" si="260"/>
        <v>-2.2000000000000001E-4</v>
      </c>
      <c r="AD966" s="255">
        <f t="shared" si="261"/>
        <v>-2.2000000000000001E-4</v>
      </c>
      <c r="AE966" s="76"/>
      <c r="AF966" s="97"/>
      <c r="AG966" s="76"/>
      <c r="AH966" s="97">
        <v>1</v>
      </c>
      <c r="AI966" s="97">
        <v>1</v>
      </c>
      <c r="AJ966" s="73"/>
      <c r="AK966" s="57"/>
      <c r="AL966" s="45"/>
      <c r="AM966" s="45"/>
      <c r="AN966" s="45"/>
    </row>
    <row r="967" spans="1:40" hidden="1" outlineLevel="2" x14ac:dyDescent="0.25">
      <c r="A967" s="45"/>
      <c r="B967" s="54"/>
      <c r="C967" s="47">
        <f t="shared" si="217"/>
        <v>3</v>
      </c>
      <c r="D967" s="73"/>
      <c r="E967" s="70"/>
      <c r="F967" s="70" t="s">
        <v>3468</v>
      </c>
      <c r="G967" s="73"/>
      <c r="H967" s="76" t="s">
        <v>2538</v>
      </c>
      <c r="I967" s="96" t="s">
        <v>502</v>
      </c>
      <c r="J967" s="96"/>
      <c r="K967" s="76"/>
      <c r="L967" s="76"/>
      <c r="M967" s="76"/>
      <c r="N967" s="76"/>
      <c r="O967" s="76"/>
      <c r="P967" s="76"/>
      <c r="Q967" s="76"/>
      <c r="R967" s="76"/>
      <c r="S967" s="76"/>
      <c r="T967" s="76"/>
      <c r="U967" s="253">
        <f>U966</f>
        <v>-2.2000000000000001E-4</v>
      </c>
      <c r="V967" s="76">
        <f t="shared" si="254"/>
        <v>-2.2000000000000001E-4</v>
      </c>
      <c r="W967" s="76">
        <f>U967</f>
        <v>-2.2000000000000001E-4</v>
      </c>
      <c r="X967" s="76">
        <f>V967</f>
        <v>-2.2000000000000001E-4</v>
      </c>
      <c r="Y967" s="76">
        <f>V967</f>
        <v>-2.2000000000000001E-4</v>
      </c>
      <c r="Z967" s="76">
        <f t="shared" si="258"/>
        <v>-2.2000000000000001E-4</v>
      </c>
      <c r="AA967" s="253">
        <f>AA966</f>
        <v>-2.2000000000000001E-4</v>
      </c>
      <c r="AB967" s="76">
        <f t="shared" si="259"/>
        <v>-2.2000000000000001E-4</v>
      </c>
      <c r="AC967" s="76">
        <f t="shared" si="260"/>
        <v>-2.2000000000000001E-4</v>
      </c>
      <c r="AD967" s="76">
        <f t="shared" si="261"/>
        <v>-2.2000000000000001E-4</v>
      </c>
      <c r="AE967" s="76"/>
      <c r="AF967" s="264" t="s">
        <v>3422</v>
      </c>
      <c r="AG967" s="76"/>
      <c r="AH967" s="76">
        <v>1</v>
      </c>
      <c r="AI967" s="76">
        <v>1</v>
      </c>
      <c r="AJ967" s="73"/>
      <c r="AK967" s="57"/>
      <c r="AL967" s="45"/>
      <c r="AM967" s="45"/>
      <c r="AN967" s="45"/>
    </row>
    <row r="968" spans="1:40" hidden="1" outlineLevel="2" x14ac:dyDescent="0.25">
      <c r="A968" s="45"/>
      <c r="B968" s="54"/>
      <c r="C968" s="47">
        <f t="shared" si="217"/>
        <v>3</v>
      </c>
      <c r="D968" s="73"/>
      <c r="E968" s="70"/>
      <c r="F968" s="70" t="s">
        <v>3474</v>
      </c>
      <c r="G968" s="73"/>
      <c r="H968" s="76" t="s">
        <v>3469</v>
      </c>
      <c r="I968" s="96" t="s">
        <v>502</v>
      </c>
      <c r="J968" s="96"/>
      <c r="K968" s="76"/>
      <c r="L968" s="76"/>
      <c r="M968" s="76"/>
      <c r="N968" s="76"/>
      <c r="O968" s="76"/>
      <c r="P968" s="76"/>
      <c r="Q968" s="76"/>
      <c r="R968" s="76"/>
      <c r="S968" s="76"/>
      <c r="T968" s="76"/>
      <c r="U968" s="97">
        <v>0</v>
      </c>
      <c r="V968" s="255">
        <f t="shared" ref="V968:V971" si="263">U968</f>
        <v>0</v>
      </c>
      <c r="W968" s="255">
        <f t="shared" ref="W968:W969" si="264">U968</f>
        <v>0</v>
      </c>
      <c r="X968" s="255">
        <f t="shared" ref="X968:X969" si="265">V968</f>
        <v>0</v>
      </c>
      <c r="Y968" s="255">
        <f t="shared" ref="Y968:Y969" si="266">V968</f>
        <v>0</v>
      </c>
      <c r="Z968" s="255">
        <f t="shared" ref="Z968:Z971" si="267">AA968</f>
        <v>0</v>
      </c>
      <c r="AA968" s="97">
        <f>U968</f>
        <v>0</v>
      </c>
      <c r="AB968" s="255">
        <f t="shared" ref="AB968:AB971" si="268">AA968</f>
        <v>0</v>
      </c>
      <c r="AC968" s="255">
        <f t="shared" ref="AC968:AC971" si="269">AB968</f>
        <v>0</v>
      </c>
      <c r="AD968" s="255">
        <f t="shared" ref="AD968:AD971" si="270">AC968</f>
        <v>0</v>
      </c>
      <c r="AE968" s="76"/>
      <c r="AF968" s="97" t="s">
        <v>3423</v>
      </c>
      <c r="AG968" s="76"/>
      <c r="AH968" s="76">
        <v>1</v>
      </c>
      <c r="AI968" s="76">
        <v>1</v>
      </c>
      <c r="AJ968" s="73"/>
      <c r="AK968" s="57"/>
      <c r="AL968" s="45"/>
      <c r="AM968" s="45"/>
      <c r="AN968" s="45"/>
    </row>
    <row r="969" spans="1:40" hidden="1" outlineLevel="2" x14ac:dyDescent="0.25">
      <c r="A969" s="45"/>
      <c r="B969" s="54"/>
      <c r="C969" s="47">
        <f t="shared" si="217"/>
        <v>3</v>
      </c>
      <c r="D969" s="73"/>
      <c r="E969" s="70"/>
      <c r="F969" s="70" t="s">
        <v>3475</v>
      </c>
      <c r="G969" s="73"/>
      <c r="H969" s="76" t="s">
        <v>2536</v>
      </c>
      <c r="I969" s="96" t="s">
        <v>502</v>
      </c>
      <c r="J969" s="96"/>
      <c r="K969" s="76"/>
      <c r="L969" s="76"/>
      <c r="M969" s="76"/>
      <c r="N969" s="76"/>
      <c r="O969" s="76"/>
      <c r="P969" s="76"/>
      <c r="Q969" s="76"/>
      <c r="R969" s="76"/>
      <c r="S969" s="76"/>
      <c r="T969" s="76"/>
      <c r="U969" s="97">
        <v>0</v>
      </c>
      <c r="V969" s="255">
        <f t="shared" si="263"/>
        <v>0</v>
      </c>
      <c r="W969" s="255">
        <f t="shared" si="264"/>
        <v>0</v>
      </c>
      <c r="X969" s="255">
        <f t="shared" si="265"/>
        <v>0</v>
      </c>
      <c r="Y969" s="255">
        <f t="shared" si="266"/>
        <v>0</v>
      </c>
      <c r="Z969" s="255">
        <f t="shared" si="267"/>
        <v>0</v>
      </c>
      <c r="AA969" s="97">
        <f t="shared" ref="AA969:AA970" si="271">U969</f>
        <v>0</v>
      </c>
      <c r="AB969" s="255">
        <f t="shared" si="268"/>
        <v>0</v>
      </c>
      <c r="AC969" s="255">
        <f t="shared" si="269"/>
        <v>0</v>
      </c>
      <c r="AD969" s="255">
        <f t="shared" si="270"/>
        <v>0</v>
      </c>
      <c r="AE969" s="76"/>
      <c r="AF969" s="97" t="s">
        <v>3444</v>
      </c>
      <c r="AG969" s="76"/>
      <c r="AH969" s="97">
        <v>1</v>
      </c>
      <c r="AI969" s="97">
        <v>1</v>
      </c>
      <c r="AJ969" s="73"/>
      <c r="AK969" s="57"/>
      <c r="AL969" s="45"/>
      <c r="AM969" s="45"/>
      <c r="AN969" s="45"/>
    </row>
    <row r="970" spans="1:40" hidden="1" outlineLevel="2" x14ac:dyDescent="0.25">
      <c r="A970" s="45"/>
      <c r="B970" s="54"/>
      <c r="C970" s="47">
        <f t="shared" si="217"/>
        <v>3</v>
      </c>
      <c r="D970" s="73"/>
      <c r="E970" s="70"/>
      <c r="F970" s="70" t="s">
        <v>3476</v>
      </c>
      <c r="G970" s="73"/>
      <c r="H970" s="76" t="s">
        <v>2537</v>
      </c>
      <c r="I970" s="96" t="s">
        <v>502</v>
      </c>
      <c r="J970" s="96"/>
      <c r="K970" s="76"/>
      <c r="L970" s="76"/>
      <c r="M970" s="76"/>
      <c r="N970" s="76"/>
      <c r="O970" s="76"/>
      <c r="P970" s="76"/>
      <c r="Q970" s="76"/>
      <c r="R970" s="76"/>
      <c r="S970" s="76"/>
      <c r="T970" s="76"/>
      <c r="U970" s="97">
        <v>-6.34</v>
      </c>
      <c r="V970" s="255">
        <f t="shared" si="263"/>
        <v>-6.34</v>
      </c>
      <c r="W970" s="255">
        <f>U970</f>
        <v>-6.34</v>
      </c>
      <c r="X970" s="255">
        <f>V970</f>
        <v>-6.34</v>
      </c>
      <c r="Y970" s="255">
        <f>V970</f>
        <v>-6.34</v>
      </c>
      <c r="Z970" s="255">
        <f t="shared" si="267"/>
        <v>-6.34</v>
      </c>
      <c r="AA970" s="97">
        <f t="shared" si="271"/>
        <v>-6.34</v>
      </c>
      <c r="AB970" s="255">
        <f t="shared" si="268"/>
        <v>-6.34</v>
      </c>
      <c r="AC970" s="255">
        <f t="shared" si="269"/>
        <v>-6.34</v>
      </c>
      <c r="AD970" s="255">
        <f t="shared" si="270"/>
        <v>-6.34</v>
      </c>
      <c r="AE970" s="76"/>
      <c r="AF970" s="97"/>
      <c r="AG970" s="76"/>
      <c r="AH970" s="97">
        <v>1</v>
      </c>
      <c r="AI970" s="97">
        <v>1</v>
      </c>
      <c r="AJ970" s="73"/>
      <c r="AK970" s="57"/>
      <c r="AL970" s="45"/>
      <c r="AM970" s="45"/>
      <c r="AN970" s="45"/>
    </row>
    <row r="971" spans="1:40" hidden="1" outlineLevel="2" x14ac:dyDescent="0.25">
      <c r="A971" s="45"/>
      <c r="B971" s="54"/>
      <c r="C971" s="47">
        <f t="shared" si="217"/>
        <v>3</v>
      </c>
      <c r="D971" s="73"/>
      <c r="E971" s="70"/>
      <c r="F971" s="70" t="s">
        <v>3477</v>
      </c>
      <c r="G971" s="73"/>
      <c r="H971" s="76" t="s">
        <v>2538</v>
      </c>
      <c r="I971" s="96" t="s">
        <v>502</v>
      </c>
      <c r="J971" s="96"/>
      <c r="K971" s="76"/>
      <c r="L971" s="76"/>
      <c r="M971" s="76"/>
      <c r="N971" s="76"/>
      <c r="O971" s="76"/>
      <c r="P971" s="76"/>
      <c r="Q971" s="76"/>
      <c r="R971" s="76"/>
      <c r="S971" s="76"/>
      <c r="T971" s="76"/>
      <c r="U971" s="253">
        <f>U970</f>
        <v>-6.34</v>
      </c>
      <c r="V971" s="76">
        <f t="shared" si="263"/>
        <v>-6.34</v>
      </c>
      <c r="W971" s="76">
        <f>U971</f>
        <v>-6.34</v>
      </c>
      <c r="X971" s="76">
        <f>V971</f>
        <v>-6.34</v>
      </c>
      <c r="Y971" s="76">
        <f>V971</f>
        <v>-6.34</v>
      </c>
      <c r="Z971" s="76">
        <f t="shared" si="267"/>
        <v>-6.34</v>
      </c>
      <c r="AA971" s="253">
        <f>AA970</f>
        <v>-6.34</v>
      </c>
      <c r="AB971" s="76">
        <f t="shared" si="268"/>
        <v>-6.34</v>
      </c>
      <c r="AC971" s="76">
        <f t="shared" si="269"/>
        <v>-6.34</v>
      </c>
      <c r="AD971" s="76">
        <f t="shared" si="270"/>
        <v>-6.34</v>
      </c>
      <c r="AE971" s="76"/>
      <c r="AF971" s="264" t="s">
        <v>3422</v>
      </c>
      <c r="AG971" s="76"/>
      <c r="AH971" s="76">
        <v>1</v>
      </c>
      <c r="AI971" s="76">
        <v>1</v>
      </c>
      <c r="AJ971" s="73"/>
      <c r="AK971" s="57"/>
      <c r="AL971" s="45"/>
      <c r="AM971" s="45"/>
      <c r="AN971" s="45"/>
    </row>
    <row r="972" spans="1:40" outlineLevel="1" x14ac:dyDescent="0.25">
      <c r="A972" s="45"/>
      <c r="B972" s="54"/>
      <c r="C972" s="47">
        <f>INT($C$29)+1</f>
        <v>2</v>
      </c>
      <c r="D972" s="73"/>
      <c r="E972" s="70"/>
      <c r="F972" s="265" t="s">
        <v>1627</v>
      </c>
      <c r="G972" s="73"/>
      <c r="H972" s="246" t="s">
        <v>1628</v>
      </c>
      <c r="I972" s="129"/>
      <c r="J972" s="129" t="s">
        <v>1045</v>
      </c>
      <c r="K972" s="76"/>
      <c r="L972" s="76"/>
      <c r="M972" s="76"/>
      <c r="N972" s="76"/>
      <c r="O972" s="76"/>
      <c r="P972" s="76"/>
      <c r="Q972" s="76"/>
      <c r="R972" s="76"/>
      <c r="S972" s="76"/>
      <c r="T972" s="76"/>
      <c r="U972" s="79">
        <v>38</v>
      </c>
      <c r="V972" s="79">
        <v>4</v>
      </c>
      <c r="W972" s="79">
        <v>-12</v>
      </c>
      <c r="X972" s="76"/>
      <c r="Y972" s="76"/>
      <c r="Z972" s="76"/>
      <c r="AA972" s="76"/>
      <c r="AB972" s="76"/>
      <c r="AC972" s="76"/>
      <c r="AD972" s="76"/>
      <c r="AE972" s="76"/>
      <c r="AF972" s="76"/>
      <c r="AG972" s="76"/>
      <c r="AH972" s="76"/>
      <c r="AI972" s="76"/>
      <c r="AJ972" s="73"/>
      <c r="AK972" s="57"/>
      <c r="AL972" s="45"/>
      <c r="AM972" s="45"/>
      <c r="AN972" s="45"/>
    </row>
    <row r="973" spans="1:40" outlineLevel="2" x14ac:dyDescent="0.25">
      <c r="A973" s="45"/>
      <c r="B973" s="54"/>
      <c r="C973" s="47">
        <f>INT($C$29)+2</f>
        <v>3</v>
      </c>
      <c r="D973" s="73"/>
      <c r="E973" s="70" t="s">
        <v>790</v>
      </c>
      <c r="F973" s="70" t="s">
        <v>1629</v>
      </c>
      <c r="G973" s="73"/>
      <c r="H973" s="76" t="s">
        <v>1630</v>
      </c>
      <c r="I973" s="96" t="s">
        <v>665</v>
      </c>
      <c r="J973" s="96"/>
      <c r="K973" s="76"/>
      <c r="L973" s="76"/>
      <c r="M973" s="76"/>
      <c r="N973" s="76"/>
      <c r="O973" s="76"/>
      <c r="P973" s="76"/>
      <c r="Q973" s="76"/>
      <c r="R973" s="76" t="s">
        <v>672</v>
      </c>
      <c r="S973" s="76" t="s">
        <v>794</v>
      </c>
      <c r="T973" s="76"/>
      <c r="U973" s="76">
        <v>0</v>
      </c>
      <c r="V973" s="76">
        <v>0</v>
      </c>
      <c r="W973" s="76">
        <v>0</v>
      </c>
      <c r="X973" s="76">
        <v>0</v>
      </c>
      <c r="Y973" s="76">
        <v>0</v>
      </c>
      <c r="Z973" s="76">
        <v>0</v>
      </c>
      <c r="AA973" s="76">
        <v>0</v>
      </c>
      <c r="AB973" s="76">
        <v>0</v>
      </c>
      <c r="AC973" s="76">
        <v>0</v>
      </c>
      <c r="AD973" s="76">
        <v>0</v>
      </c>
      <c r="AE973" s="76"/>
      <c r="AF973" s="264" t="s">
        <v>1631</v>
      </c>
      <c r="AG973" s="76"/>
      <c r="AH973" s="76">
        <v>1</v>
      </c>
      <c r="AI973" s="76">
        <v>1</v>
      </c>
      <c r="AJ973" s="73"/>
      <c r="AK973" s="57"/>
      <c r="AL973" s="45"/>
      <c r="AM973" s="45"/>
      <c r="AN973" s="45"/>
    </row>
    <row r="974" spans="1:40" outlineLevel="2" x14ac:dyDescent="0.25">
      <c r="A974" s="45"/>
      <c r="B974" s="54"/>
      <c r="C974" s="47">
        <f>INT($C$29)+2</f>
        <v>3</v>
      </c>
      <c r="D974" s="73"/>
      <c r="E974" s="70"/>
      <c r="F974" s="70" t="s">
        <v>1632</v>
      </c>
      <c r="G974" s="73"/>
      <c r="H974" s="76" t="s">
        <v>1633</v>
      </c>
      <c r="I974" s="96" t="s">
        <v>665</v>
      </c>
      <c r="J974" s="96"/>
      <c r="K974" s="97">
        <v>0.38900000000000001</v>
      </c>
      <c r="L974" s="97">
        <v>0.48599999999999999</v>
      </c>
      <c r="M974" s="97">
        <v>0.375</v>
      </c>
      <c r="N974" s="97">
        <v>0.375</v>
      </c>
      <c r="O974" s="97">
        <v>0.375</v>
      </c>
      <c r="P974" s="97">
        <v>0.5</v>
      </c>
      <c r="Q974" s="76"/>
      <c r="R974" s="76" t="s">
        <v>672</v>
      </c>
      <c r="S974" s="76" t="s">
        <v>794</v>
      </c>
      <c r="T974" s="76"/>
      <c r="U974" s="253">
        <f t="shared" ref="U974:AD976" si="272">INDEX($K974:$Q974,1,U$43)</f>
        <v>0.38900000000000001</v>
      </c>
      <c r="V974" s="253">
        <f t="shared" si="272"/>
        <v>0.38900000000000001</v>
      </c>
      <c r="W974" s="253">
        <f t="shared" si="272"/>
        <v>0.38900000000000001</v>
      </c>
      <c r="X974" s="253">
        <f t="shared" si="272"/>
        <v>0.38900000000000001</v>
      </c>
      <c r="Y974" s="253">
        <f t="shared" si="272"/>
        <v>0.38900000000000001</v>
      </c>
      <c r="Z974" s="253">
        <f t="shared" si="272"/>
        <v>0.48599999999999999</v>
      </c>
      <c r="AA974" s="253">
        <f t="shared" si="272"/>
        <v>0.48599999999999999</v>
      </c>
      <c r="AB974" s="253">
        <f t="shared" si="272"/>
        <v>0.48599999999999999</v>
      </c>
      <c r="AC974" s="253">
        <f t="shared" si="272"/>
        <v>0.48599999999999999</v>
      </c>
      <c r="AD974" s="253">
        <f t="shared" si="272"/>
        <v>0.48599999999999999</v>
      </c>
      <c r="AE974" s="76"/>
      <c r="AF974" s="76"/>
      <c r="AG974" s="76"/>
      <c r="AH974" s="97">
        <v>1</v>
      </c>
      <c r="AI974" s="97">
        <v>1</v>
      </c>
      <c r="AJ974" s="73"/>
      <c r="AK974" s="57"/>
      <c r="AL974" s="45"/>
      <c r="AM974" s="45"/>
      <c r="AN974" s="45"/>
    </row>
    <row r="975" spans="1:40" outlineLevel="2" x14ac:dyDescent="0.25">
      <c r="A975" s="45"/>
      <c r="B975" s="54"/>
      <c r="C975" s="47">
        <f>INT($C$29)+2</f>
        <v>3</v>
      </c>
      <c r="D975" s="73"/>
      <c r="E975" s="70"/>
      <c r="F975" s="70" t="s">
        <v>1629</v>
      </c>
      <c r="G975" s="73"/>
      <c r="H975" s="76" t="s">
        <v>1634</v>
      </c>
      <c r="I975" s="96" t="s">
        <v>665</v>
      </c>
      <c r="J975" s="96"/>
      <c r="K975" s="97">
        <v>0.622</v>
      </c>
      <c r="L975" s="97">
        <v>0.77800000000000002</v>
      </c>
      <c r="M975" s="76"/>
      <c r="N975" s="76"/>
      <c r="O975" s="76"/>
      <c r="P975" s="76"/>
      <c r="Q975" s="76"/>
      <c r="R975" s="76" t="s">
        <v>672</v>
      </c>
      <c r="S975" s="76" t="s">
        <v>794</v>
      </c>
      <c r="T975" s="76"/>
      <c r="U975" s="253">
        <f t="shared" si="272"/>
        <v>0.622</v>
      </c>
      <c r="V975" s="253">
        <f t="shared" si="272"/>
        <v>0.622</v>
      </c>
      <c r="W975" s="253">
        <f t="shared" si="272"/>
        <v>0.622</v>
      </c>
      <c r="X975" s="253">
        <f t="shared" si="272"/>
        <v>0.622</v>
      </c>
      <c r="Y975" s="253">
        <f t="shared" si="272"/>
        <v>0.622</v>
      </c>
      <c r="Z975" s="253">
        <f t="shared" si="272"/>
        <v>0.77800000000000002</v>
      </c>
      <c r="AA975" s="253">
        <f t="shared" si="272"/>
        <v>0.77800000000000002</v>
      </c>
      <c r="AB975" s="253">
        <f t="shared" si="272"/>
        <v>0.77800000000000002</v>
      </c>
      <c r="AC975" s="253">
        <f t="shared" si="272"/>
        <v>0.77800000000000002</v>
      </c>
      <c r="AD975" s="253">
        <f t="shared" si="272"/>
        <v>0.77800000000000002</v>
      </c>
      <c r="AE975" s="76"/>
      <c r="AF975" s="76"/>
      <c r="AG975" s="76"/>
      <c r="AH975" s="97">
        <v>1</v>
      </c>
      <c r="AI975" s="97">
        <v>1</v>
      </c>
      <c r="AJ975" s="73"/>
      <c r="AK975" s="57"/>
      <c r="AL975" s="45"/>
      <c r="AM975" s="45"/>
      <c r="AN975" s="45"/>
    </row>
    <row r="976" spans="1:40" outlineLevel="2" collapsed="1" x14ac:dyDescent="0.25">
      <c r="A976" s="45"/>
      <c r="B976" s="54"/>
      <c r="C976" s="47">
        <f>INT($C$29)+2</f>
        <v>3</v>
      </c>
      <c r="D976" s="73"/>
      <c r="E976" s="70"/>
      <c r="F976" s="70" t="s">
        <v>1635</v>
      </c>
      <c r="G976" s="73"/>
      <c r="H976" s="76" t="s">
        <v>1636</v>
      </c>
      <c r="I976" s="96" t="s">
        <v>665</v>
      </c>
      <c r="J976" s="96"/>
      <c r="K976" s="97">
        <v>0.746</v>
      </c>
      <c r="L976" s="97">
        <v>0.93400000000000005</v>
      </c>
      <c r="M976" s="76"/>
      <c r="N976" s="76"/>
      <c r="O976" s="76"/>
      <c r="P976" s="76"/>
      <c r="Q976" s="76"/>
      <c r="R976" s="76" t="s">
        <v>672</v>
      </c>
      <c r="S976" s="76" t="s">
        <v>794</v>
      </c>
      <c r="T976" s="76"/>
      <c r="U976" s="253">
        <f t="shared" si="272"/>
        <v>0.746</v>
      </c>
      <c r="V976" s="253">
        <f t="shared" si="272"/>
        <v>0.746</v>
      </c>
      <c r="W976" s="253">
        <f t="shared" si="272"/>
        <v>0.746</v>
      </c>
      <c r="X976" s="253">
        <f t="shared" si="272"/>
        <v>0.746</v>
      </c>
      <c r="Y976" s="253">
        <f t="shared" si="272"/>
        <v>0.746</v>
      </c>
      <c r="Z976" s="253">
        <f t="shared" si="272"/>
        <v>0.93400000000000005</v>
      </c>
      <c r="AA976" s="253">
        <f t="shared" si="272"/>
        <v>0.93400000000000005</v>
      </c>
      <c r="AB976" s="253">
        <f t="shared" si="272"/>
        <v>0.93400000000000005</v>
      </c>
      <c r="AC976" s="253">
        <f t="shared" si="272"/>
        <v>0.93400000000000005</v>
      </c>
      <c r="AD976" s="253">
        <f t="shared" si="272"/>
        <v>0.93400000000000005</v>
      </c>
      <c r="AE976" s="76"/>
      <c r="AF976" s="76"/>
      <c r="AG976" s="76"/>
      <c r="AH976" s="97">
        <v>1</v>
      </c>
      <c r="AI976" s="97">
        <v>1</v>
      </c>
      <c r="AJ976" s="73"/>
      <c r="AK976" s="57"/>
      <c r="AL976" s="45"/>
      <c r="AM976" s="45"/>
      <c r="AN976" s="45"/>
    </row>
    <row r="977" spans="1:40" hidden="1" outlineLevel="3" x14ac:dyDescent="0.25">
      <c r="A977" s="45"/>
      <c r="B977" s="54"/>
      <c r="C977" s="47">
        <f t="shared" ref="C977:C1008" si="273">INT($C$29)+3</f>
        <v>4</v>
      </c>
      <c r="D977" s="73"/>
      <c r="E977" s="70"/>
      <c r="F977" s="70" t="s">
        <v>1637</v>
      </c>
      <c r="G977" s="73"/>
      <c r="H977" s="76" t="s">
        <v>1489</v>
      </c>
      <c r="I977" s="96" t="s">
        <v>502</v>
      </c>
      <c r="J977" s="96"/>
      <c r="K977" s="76"/>
      <c r="L977" s="76"/>
      <c r="M977" s="76"/>
      <c r="N977" s="76"/>
      <c r="O977" s="76"/>
      <c r="P977" s="76"/>
      <c r="Q977" s="76"/>
      <c r="R977" s="76"/>
      <c r="S977" s="76"/>
      <c r="T977" s="76"/>
      <c r="U977" s="76"/>
      <c r="V977" s="76"/>
      <c r="W977" s="76"/>
      <c r="X977" s="76"/>
      <c r="Y977" s="76"/>
      <c r="Z977" s="76"/>
      <c r="AA977" s="76"/>
      <c r="AB977" s="76"/>
      <c r="AC977" s="76"/>
      <c r="AD977" s="76"/>
      <c r="AE977" s="76"/>
      <c r="AF977" s="76"/>
      <c r="AG977" s="76"/>
      <c r="AH977" s="76">
        <v>1</v>
      </c>
      <c r="AI977" s="76">
        <v>1</v>
      </c>
      <c r="AJ977" s="73"/>
      <c r="AK977" s="57"/>
      <c r="AL977" s="45"/>
      <c r="AM977" s="45"/>
      <c r="AN977" s="45"/>
    </row>
    <row r="978" spans="1:40" hidden="1" outlineLevel="3" x14ac:dyDescent="0.25">
      <c r="A978" s="45"/>
      <c r="B978" s="54"/>
      <c r="C978" s="47">
        <f t="shared" si="273"/>
        <v>4</v>
      </c>
      <c r="D978" s="73"/>
      <c r="E978" s="70"/>
      <c r="F978" s="70" t="s">
        <v>1638</v>
      </c>
      <c r="G978" s="73"/>
      <c r="H978" s="76" t="s">
        <v>1491</v>
      </c>
      <c r="I978" s="96" t="s">
        <v>502</v>
      </c>
      <c r="J978" s="96"/>
      <c r="K978" s="76"/>
      <c r="L978" s="76"/>
      <c r="M978" s="76"/>
      <c r="N978" s="76"/>
      <c r="O978" s="76"/>
      <c r="P978" s="76"/>
      <c r="Q978" s="76"/>
      <c r="R978" s="76"/>
      <c r="S978" s="76"/>
      <c r="T978" s="76"/>
      <c r="U978" s="76"/>
      <c r="V978" s="76"/>
      <c r="W978" s="76"/>
      <c r="X978" s="76"/>
      <c r="Y978" s="76"/>
      <c r="Z978" s="76"/>
      <c r="AA978" s="76"/>
      <c r="AB978" s="76"/>
      <c r="AC978" s="76"/>
      <c r="AD978" s="76"/>
      <c r="AE978" s="76"/>
      <c r="AF978" s="76"/>
      <c r="AG978" s="76"/>
      <c r="AH978" s="76">
        <v>1</v>
      </c>
      <c r="AI978" s="76">
        <v>1</v>
      </c>
      <c r="AJ978" s="73"/>
      <c r="AK978" s="57"/>
      <c r="AL978" s="45"/>
      <c r="AM978" s="45"/>
      <c r="AN978" s="45"/>
    </row>
    <row r="979" spans="1:40" hidden="1" outlineLevel="3" x14ac:dyDescent="0.25">
      <c r="A979" s="45"/>
      <c r="B979" s="54"/>
      <c r="C979" s="47">
        <f t="shared" si="273"/>
        <v>4</v>
      </c>
      <c r="D979" s="73"/>
      <c r="E979" s="70"/>
      <c r="F979" s="70" t="s">
        <v>1639</v>
      </c>
      <c r="G979" s="73"/>
      <c r="H979" s="76" t="s">
        <v>1493</v>
      </c>
      <c r="I979" s="96" t="s">
        <v>502</v>
      </c>
      <c r="J979" s="96"/>
      <c r="K979" s="76"/>
      <c r="L979" s="76"/>
      <c r="M979" s="76"/>
      <c r="N979" s="76"/>
      <c r="O979" s="76"/>
      <c r="P979" s="76"/>
      <c r="Q979" s="76"/>
      <c r="R979" s="76"/>
      <c r="S979" s="76"/>
      <c r="T979" s="76"/>
      <c r="U979" s="76"/>
      <c r="V979" s="76"/>
      <c r="W979" s="76"/>
      <c r="X979" s="76"/>
      <c r="Y979" s="76"/>
      <c r="Z979" s="76"/>
      <c r="AA979" s="76"/>
      <c r="AB979" s="76"/>
      <c r="AC979" s="76"/>
      <c r="AD979" s="76"/>
      <c r="AE979" s="76"/>
      <c r="AF979" s="76"/>
      <c r="AG979" s="76"/>
      <c r="AH979" s="76">
        <v>1</v>
      </c>
      <c r="AI979" s="76">
        <v>1</v>
      </c>
      <c r="AJ979" s="73"/>
      <c r="AK979" s="57"/>
      <c r="AL979" s="45"/>
      <c r="AM979" s="45"/>
      <c r="AN979" s="45"/>
    </row>
    <row r="980" spans="1:40" hidden="1" outlineLevel="3" x14ac:dyDescent="0.25">
      <c r="A980" s="45"/>
      <c r="B980" s="54"/>
      <c r="C980" s="47">
        <f t="shared" si="273"/>
        <v>4</v>
      </c>
      <c r="D980" s="73"/>
      <c r="E980" s="70"/>
      <c r="F980" s="70" t="s">
        <v>1640</v>
      </c>
      <c r="G980" s="73"/>
      <c r="H980" s="76" t="s">
        <v>1495</v>
      </c>
      <c r="I980" s="96" t="s">
        <v>502</v>
      </c>
      <c r="J980" s="96"/>
      <c r="K980" s="76"/>
      <c r="L980" s="76"/>
      <c r="M980" s="76"/>
      <c r="N980" s="76"/>
      <c r="O980" s="76"/>
      <c r="P980" s="76"/>
      <c r="Q980" s="76"/>
      <c r="R980" s="76"/>
      <c r="S980" s="76"/>
      <c r="T980" s="76"/>
      <c r="U980" s="76"/>
      <c r="V980" s="76"/>
      <c r="W980" s="76"/>
      <c r="X980" s="76"/>
      <c r="Y980" s="76"/>
      <c r="Z980" s="76"/>
      <c r="AA980" s="76"/>
      <c r="AB980" s="76"/>
      <c r="AC980" s="76"/>
      <c r="AD980" s="76"/>
      <c r="AE980" s="76"/>
      <c r="AF980" s="76"/>
      <c r="AG980" s="76"/>
      <c r="AH980" s="76">
        <v>1</v>
      </c>
      <c r="AI980" s="76">
        <v>1</v>
      </c>
      <c r="AJ980" s="73"/>
      <c r="AK980" s="57"/>
      <c r="AL980" s="45"/>
      <c r="AM980" s="45"/>
      <c r="AN980" s="45"/>
    </row>
    <row r="981" spans="1:40" hidden="1" outlineLevel="3" x14ac:dyDescent="0.25">
      <c r="A981" s="45"/>
      <c r="B981" s="54"/>
      <c r="C981" s="47">
        <f t="shared" si="273"/>
        <v>4</v>
      </c>
      <c r="D981" s="73"/>
      <c r="E981" s="70"/>
      <c r="F981" s="70" t="s">
        <v>1641</v>
      </c>
      <c r="G981" s="73"/>
      <c r="H981" s="76" t="s">
        <v>1489</v>
      </c>
      <c r="I981" s="96" t="s">
        <v>502</v>
      </c>
      <c r="J981" s="96"/>
      <c r="K981" s="76"/>
      <c r="L981" s="76"/>
      <c r="M981" s="76"/>
      <c r="N981" s="76"/>
      <c r="O981" s="76"/>
      <c r="P981" s="76"/>
      <c r="Q981" s="76"/>
      <c r="R981" s="76"/>
      <c r="S981" s="76"/>
      <c r="T981" s="76"/>
      <c r="U981" s="76"/>
      <c r="V981" s="76"/>
      <c r="W981" s="76"/>
      <c r="X981" s="76"/>
      <c r="Y981" s="76"/>
      <c r="Z981" s="76"/>
      <c r="AA981" s="76"/>
      <c r="AB981" s="76"/>
      <c r="AC981" s="76"/>
      <c r="AD981" s="76"/>
      <c r="AE981" s="76"/>
      <c r="AF981" s="76"/>
      <c r="AG981" s="76"/>
      <c r="AH981" s="76">
        <v>1</v>
      </c>
      <c r="AI981" s="76">
        <v>1</v>
      </c>
      <c r="AJ981" s="73"/>
      <c r="AK981" s="57"/>
      <c r="AL981" s="45"/>
      <c r="AM981" s="45"/>
      <c r="AN981" s="45"/>
    </row>
    <row r="982" spans="1:40" hidden="1" outlineLevel="3" x14ac:dyDescent="0.25">
      <c r="A982" s="45"/>
      <c r="B982" s="54"/>
      <c r="C982" s="47">
        <f t="shared" si="273"/>
        <v>4</v>
      </c>
      <c r="D982" s="73"/>
      <c r="E982" s="70"/>
      <c r="F982" s="70" t="s">
        <v>1642</v>
      </c>
      <c r="G982" s="73"/>
      <c r="H982" s="76" t="s">
        <v>1491</v>
      </c>
      <c r="I982" s="96" t="s">
        <v>502</v>
      </c>
      <c r="J982" s="96"/>
      <c r="K982" s="76"/>
      <c r="L982" s="76"/>
      <c r="M982" s="76"/>
      <c r="N982" s="76"/>
      <c r="O982" s="76"/>
      <c r="P982" s="76"/>
      <c r="Q982" s="76"/>
      <c r="R982" s="76"/>
      <c r="S982" s="76"/>
      <c r="T982" s="76"/>
      <c r="U982" s="76"/>
      <c r="V982" s="76"/>
      <c r="W982" s="76"/>
      <c r="X982" s="76"/>
      <c r="Y982" s="76"/>
      <c r="Z982" s="76"/>
      <c r="AA982" s="76"/>
      <c r="AB982" s="76"/>
      <c r="AC982" s="76"/>
      <c r="AD982" s="76"/>
      <c r="AE982" s="76"/>
      <c r="AF982" s="76"/>
      <c r="AG982" s="76"/>
      <c r="AH982" s="76">
        <v>1</v>
      </c>
      <c r="AI982" s="76">
        <v>1</v>
      </c>
      <c r="AJ982" s="73"/>
      <c r="AK982" s="57"/>
      <c r="AL982" s="45"/>
      <c r="AM982" s="45"/>
      <c r="AN982" s="45"/>
    </row>
    <row r="983" spans="1:40" hidden="1" outlineLevel="3" x14ac:dyDescent="0.25">
      <c r="A983" s="45"/>
      <c r="B983" s="54"/>
      <c r="C983" s="47">
        <f t="shared" si="273"/>
        <v>4</v>
      </c>
      <c r="D983" s="73"/>
      <c r="E983" s="70"/>
      <c r="F983" s="70" t="s">
        <v>1643</v>
      </c>
      <c r="G983" s="73"/>
      <c r="H983" s="76" t="s">
        <v>1493</v>
      </c>
      <c r="I983" s="96" t="s">
        <v>502</v>
      </c>
      <c r="J983" s="96"/>
      <c r="K983" s="76"/>
      <c r="L983" s="76"/>
      <c r="M983" s="76"/>
      <c r="N983" s="76"/>
      <c r="O983" s="76"/>
      <c r="P983" s="76"/>
      <c r="Q983" s="76"/>
      <c r="R983" s="76"/>
      <c r="S983" s="76"/>
      <c r="T983" s="76"/>
      <c r="U983" s="76"/>
      <c r="V983" s="76"/>
      <c r="W983" s="76"/>
      <c r="X983" s="76"/>
      <c r="Y983" s="76"/>
      <c r="Z983" s="76"/>
      <c r="AA983" s="76"/>
      <c r="AB983" s="76"/>
      <c r="AC983" s="76"/>
      <c r="AD983" s="76"/>
      <c r="AE983" s="76"/>
      <c r="AF983" s="76"/>
      <c r="AG983" s="76"/>
      <c r="AH983" s="76">
        <v>1</v>
      </c>
      <c r="AI983" s="76">
        <v>1</v>
      </c>
      <c r="AJ983" s="73"/>
      <c r="AK983" s="57"/>
      <c r="AL983" s="45"/>
      <c r="AM983" s="45"/>
      <c r="AN983" s="45"/>
    </row>
    <row r="984" spans="1:40" hidden="1" outlineLevel="3" x14ac:dyDescent="0.25">
      <c r="A984" s="45"/>
      <c r="B984" s="54"/>
      <c r="C984" s="47">
        <f t="shared" si="273"/>
        <v>4</v>
      </c>
      <c r="D984" s="73"/>
      <c r="E984" s="70"/>
      <c r="F984" s="70" t="s">
        <v>1644</v>
      </c>
      <c r="G984" s="73"/>
      <c r="H984" s="76" t="s">
        <v>1495</v>
      </c>
      <c r="I984" s="96" t="s">
        <v>502</v>
      </c>
      <c r="J984" s="96"/>
      <c r="K984" s="76"/>
      <c r="L984" s="76"/>
      <c r="M984" s="76"/>
      <c r="N984" s="76"/>
      <c r="O984" s="76"/>
      <c r="P984" s="76"/>
      <c r="Q984" s="76"/>
      <c r="R984" s="76"/>
      <c r="S984" s="76"/>
      <c r="T984" s="76"/>
      <c r="U984" s="76"/>
      <c r="V984" s="76"/>
      <c r="W984" s="76"/>
      <c r="X984" s="76"/>
      <c r="Y984" s="76"/>
      <c r="Z984" s="76"/>
      <c r="AA984" s="76"/>
      <c r="AB984" s="76"/>
      <c r="AC984" s="76"/>
      <c r="AD984" s="76"/>
      <c r="AE984" s="76"/>
      <c r="AF984" s="76"/>
      <c r="AG984" s="76"/>
      <c r="AH984" s="76">
        <v>1</v>
      </c>
      <c r="AI984" s="76">
        <v>1</v>
      </c>
      <c r="AJ984" s="73"/>
      <c r="AK984" s="57"/>
      <c r="AL984" s="45"/>
      <c r="AM984" s="45"/>
      <c r="AN984" s="45"/>
    </row>
    <row r="985" spans="1:40" hidden="1" outlineLevel="3" x14ac:dyDescent="0.25">
      <c r="A985" s="45"/>
      <c r="B985" s="54"/>
      <c r="C985" s="47">
        <f t="shared" si="273"/>
        <v>4</v>
      </c>
      <c r="D985" s="73"/>
      <c r="E985" s="70"/>
      <c r="F985" s="70" t="s">
        <v>1645</v>
      </c>
      <c r="G985" s="73"/>
      <c r="H985" s="76" t="s">
        <v>1489</v>
      </c>
      <c r="I985" s="96" t="s">
        <v>502</v>
      </c>
      <c r="J985" s="96"/>
      <c r="K985" s="76"/>
      <c r="L985" s="76"/>
      <c r="M985" s="76"/>
      <c r="N985" s="76"/>
      <c r="O985" s="76"/>
      <c r="P985" s="76"/>
      <c r="Q985" s="76"/>
      <c r="R985" s="76"/>
      <c r="S985" s="76"/>
      <c r="T985" s="76"/>
      <c r="U985" s="76"/>
      <c r="V985" s="76"/>
      <c r="W985" s="76"/>
      <c r="X985" s="76"/>
      <c r="Y985" s="76"/>
      <c r="Z985" s="76"/>
      <c r="AA985" s="76"/>
      <c r="AB985" s="76"/>
      <c r="AC985" s="76"/>
      <c r="AD985" s="76"/>
      <c r="AE985" s="76"/>
      <c r="AF985" s="76"/>
      <c r="AG985" s="76"/>
      <c r="AH985" s="76">
        <v>1</v>
      </c>
      <c r="AI985" s="76">
        <v>1</v>
      </c>
      <c r="AJ985" s="73"/>
      <c r="AK985" s="57"/>
      <c r="AL985" s="45"/>
      <c r="AM985" s="45"/>
      <c r="AN985" s="45"/>
    </row>
    <row r="986" spans="1:40" hidden="1" outlineLevel="3" x14ac:dyDescent="0.25">
      <c r="A986" s="45"/>
      <c r="B986" s="54"/>
      <c r="C986" s="47">
        <f t="shared" si="273"/>
        <v>4</v>
      </c>
      <c r="D986" s="73"/>
      <c r="E986" s="70"/>
      <c r="F986" s="70" t="s">
        <v>1646</v>
      </c>
      <c r="G986" s="73"/>
      <c r="H986" s="76" t="s">
        <v>1491</v>
      </c>
      <c r="I986" s="96" t="s">
        <v>502</v>
      </c>
      <c r="J986" s="96"/>
      <c r="K986" s="76"/>
      <c r="L986" s="76"/>
      <c r="M986" s="76"/>
      <c r="N986" s="76"/>
      <c r="O986" s="76"/>
      <c r="P986" s="76"/>
      <c r="Q986" s="76"/>
      <c r="R986" s="76"/>
      <c r="S986" s="76"/>
      <c r="T986" s="76"/>
      <c r="U986" s="76"/>
      <c r="V986" s="76"/>
      <c r="W986" s="76"/>
      <c r="X986" s="76"/>
      <c r="Y986" s="76"/>
      <c r="Z986" s="76"/>
      <c r="AA986" s="76"/>
      <c r="AB986" s="76"/>
      <c r="AC986" s="76"/>
      <c r="AD986" s="76"/>
      <c r="AE986" s="76"/>
      <c r="AF986" s="76"/>
      <c r="AG986" s="76"/>
      <c r="AH986" s="76">
        <v>1</v>
      </c>
      <c r="AI986" s="76">
        <v>1</v>
      </c>
      <c r="AJ986" s="73"/>
      <c r="AK986" s="57"/>
      <c r="AL986" s="45"/>
      <c r="AM986" s="45"/>
      <c r="AN986" s="45"/>
    </row>
    <row r="987" spans="1:40" hidden="1" outlineLevel="3" x14ac:dyDescent="0.25">
      <c r="A987" s="45"/>
      <c r="B987" s="54"/>
      <c r="C987" s="47">
        <f t="shared" si="273"/>
        <v>4</v>
      </c>
      <c r="D987" s="73"/>
      <c r="E987" s="70"/>
      <c r="F987" s="70" t="s">
        <v>1647</v>
      </c>
      <c r="G987" s="73"/>
      <c r="H987" s="76" t="s">
        <v>1493</v>
      </c>
      <c r="I987" s="96" t="s">
        <v>502</v>
      </c>
      <c r="J987" s="96"/>
      <c r="K987" s="76"/>
      <c r="L987" s="76"/>
      <c r="M987" s="76"/>
      <c r="N987" s="76"/>
      <c r="O987" s="76"/>
      <c r="P987" s="76"/>
      <c r="Q987" s="76"/>
      <c r="R987" s="76"/>
      <c r="S987" s="76"/>
      <c r="T987" s="76"/>
      <c r="U987" s="76"/>
      <c r="V987" s="76"/>
      <c r="W987" s="76"/>
      <c r="X987" s="76"/>
      <c r="Y987" s="76"/>
      <c r="Z987" s="76"/>
      <c r="AA987" s="76"/>
      <c r="AB987" s="76"/>
      <c r="AC987" s="76"/>
      <c r="AD987" s="76"/>
      <c r="AE987" s="76"/>
      <c r="AF987" s="76"/>
      <c r="AG987" s="76"/>
      <c r="AH987" s="76">
        <v>1</v>
      </c>
      <c r="AI987" s="76">
        <v>1</v>
      </c>
      <c r="AJ987" s="73"/>
      <c r="AK987" s="57"/>
      <c r="AL987" s="45"/>
      <c r="AM987" s="45"/>
      <c r="AN987" s="45"/>
    </row>
    <row r="988" spans="1:40" hidden="1" outlineLevel="3" x14ac:dyDescent="0.25">
      <c r="A988" s="45"/>
      <c r="B988" s="54"/>
      <c r="C988" s="47">
        <f t="shared" si="273"/>
        <v>4</v>
      </c>
      <c r="D988" s="73"/>
      <c r="E988" s="70"/>
      <c r="F988" s="70" t="s">
        <v>1648</v>
      </c>
      <c r="G988" s="73"/>
      <c r="H988" s="76" t="s">
        <v>1495</v>
      </c>
      <c r="I988" s="96" t="s">
        <v>502</v>
      </c>
      <c r="J988" s="96"/>
      <c r="K988" s="76"/>
      <c r="L988" s="76"/>
      <c r="M988" s="76"/>
      <c r="N988" s="76"/>
      <c r="O988" s="76"/>
      <c r="P988" s="76"/>
      <c r="Q988" s="76"/>
      <c r="R988" s="76"/>
      <c r="S988" s="76"/>
      <c r="T988" s="76"/>
      <c r="U988" s="76"/>
      <c r="V988" s="76"/>
      <c r="W988" s="76"/>
      <c r="X988" s="76"/>
      <c r="Y988" s="76"/>
      <c r="Z988" s="76"/>
      <c r="AA988" s="76"/>
      <c r="AB988" s="76"/>
      <c r="AC988" s="76"/>
      <c r="AD988" s="76"/>
      <c r="AE988" s="76"/>
      <c r="AF988" s="76"/>
      <c r="AG988" s="76"/>
      <c r="AH988" s="76">
        <v>1</v>
      </c>
      <c r="AI988" s="76">
        <v>1</v>
      </c>
      <c r="AJ988" s="73"/>
      <c r="AK988" s="57"/>
      <c r="AL988" s="45"/>
      <c r="AM988" s="45"/>
      <c r="AN988" s="45"/>
    </row>
    <row r="989" spans="1:40" hidden="1" outlineLevel="3" x14ac:dyDescent="0.25">
      <c r="A989" s="45"/>
      <c r="B989" s="54"/>
      <c r="C989" s="47">
        <f t="shared" si="273"/>
        <v>4</v>
      </c>
      <c r="D989" s="73"/>
      <c r="E989" s="70"/>
      <c r="F989" s="70" t="s">
        <v>1649</v>
      </c>
      <c r="G989" s="73"/>
      <c r="H989" s="76" t="s">
        <v>1489</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25">
      <c r="A990" s="45"/>
      <c r="B990" s="54"/>
      <c r="C990" s="47">
        <f t="shared" si="273"/>
        <v>4</v>
      </c>
      <c r="D990" s="73"/>
      <c r="E990" s="70"/>
      <c r="F990" s="70" t="s">
        <v>1650</v>
      </c>
      <c r="G990" s="73"/>
      <c r="H990" s="76" t="s">
        <v>1491</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273"/>
        <v>4</v>
      </c>
      <c r="D991" s="73"/>
      <c r="E991" s="70"/>
      <c r="F991" s="70" t="s">
        <v>1651</v>
      </c>
      <c r="G991" s="73"/>
      <c r="H991" s="76" t="s">
        <v>1493</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273"/>
        <v>4</v>
      </c>
      <c r="D992" s="73"/>
      <c r="E992" s="70"/>
      <c r="F992" s="70" t="s">
        <v>1652</v>
      </c>
      <c r="G992" s="73"/>
      <c r="H992" s="76" t="s">
        <v>1495</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273"/>
        <v>4</v>
      </c>
      <c r="D993" s="73"/>
      <c r="E993" s="70"/>
      <c r="F993" s="70" t="s">
        <v>1653</v>
      </c>
      <c r="G993" s="73"/>
      <c r="H993" s="76" t="s">
        <v>1489</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273"/>
        <v>4</v>
      </c>
      <c r="D994" s="73"/>
      <c r="E994" s="70"/>
      <c r="F994" s="70" t="s">
        <v>1654</v>
      </c>
      <c r="G994" s="73"/>
      <c r="H994" s="76" t="s">
        <v>1491</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273"/>
        <v>4</v>
      </c>
      <c r="D995" s="73"/>
      <c r="E995" s="70"/>
      <c r="F995" s="70" t="s">
        <v>1655</v>
      </c>
      <c r="G995" s="73"/>
      <c r="H995" s="76" t="s">
        <v>1493</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273"/>
        <v>4</v>
      </c>
      <c r="D996" s="73"/>
      <c r="E996" s="70"/>
      <c r="F996" s="70" t="s">
        <v>1656</v>
      </c>
      <c r="G996" s="73"/>
      <c r="H996" s="76" t="s">
        <v>1495</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273"/>
        <v>4</v>
      </c>
      <c r="D997" s="73"/>
      <c r="E997" s="70"/>
      <c r="F997" s="70" t="s">
        <v>1657</v>
      </c>
      <c r="G997" s="73"/>
      <c r="H997" s="76" t="s">
        <v>1489</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273"/>
        <v>4</v>
      </c>
      <c r="D998" s="73"/>
      <c r="E998" s="70"/>
      <c r="F998" s="70" t="s">
        <v>1658</v>
      </c>
      <c r="G998" s="73"/>
      <c r="H998" s="76" t="s">
        <v>1491</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273"/>
        <v>4</v>
      </c>
      <c r="D999" s="73"/>
      <c r="E999" s="70"/>
      <c r="F999" s="70" t="s">
        <v>1659</v>
      </c>
      <c r="G999" s="73"/>
      <c r="H999" s="76" t="s">
        <v>1493</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273"/>
        <v>4</v>
      </c>
      <c r="D1000" s="73"/>
      <c r="E1000" s="70"/>
      <c r="F1000" s="70" t="s">
        <v>1660</v>
      </c>
      <c r="G1000" s="73"/>
      <c r="H1000" s="76" t="s">
        <v>1495</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273"/>
        <v>4</v>
      </c>
      <c r="D1001" s="73"/>
      <c r="E1001" s="70"/>
      <c r="F1001" s="70" t="s">
        <v>1661</v>
      </c>
      <c r="G1001" s="73"/>
      <c r="H1001" s="76" t="s">
        <v>1489</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273"/>
        <v>4</v>
      </c>
      <c r="D1002" s="73"/>
      <c r="E1002" s="70"/>
      <c r="F1002" s="70" t="s">
        <v>1662</v>
      </c>
      <c r="G1002" s="73"/>
      <c r="H1002" s="76" t="s">
        <v>1491</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273"/>
        <v>4</v>
      </c>
      <c r="D1003" s="73"/>
      <c r="E1003" s="70"/>
      <c r="F1003" s="70" t="s">
        <v>1663</v>
      </c>
      <c r="G1003" s="73"/>
      <c r="H1003" s="76" t="s">
        <v>1493</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273"/>
        <v>4</v>
      </c>
      <c r="D1004" s="73"/>
      <c r="E1004" s="70"/>
      <c r="F1004" s="70" t="s">
        <v>1664</v>
      </c>
      <c r="G1004" s="73"/>
      <c r="H1004" s="76" t="s">
        <v>1495</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273"/>
        <v>4</v>
      </c>
      <c r="D1005" s="73"/>
      <c r="E1005" s="70"/>
      <c r="F1005" s="70" t="s">
        <v>1665</v>
      </c>
      <c r="G1005" s="73"/>
      <c r="H1005" s="76" t="s">
        <v>1489</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273"/>
        <v>4</v>
      </c>
      <c r="D1006" s="73"/>
      <c r="E1006" s="70"/>
      <c r="F1006" s="70" t="s">
        <v>1666</v>
      </c>
      <c r="G1006" s="73"/>
      <c r="H1006" s="76" t="s">
        <v>1491</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273"/>
        <v>4</v>
      </c>
      <c r="D1007" s="73"/>
      <c r="E1007" s="70"/>
      <c r="F1007" s="70" t="s">
        <v>1667</v>
      </c>
      <c r="G1007" s="73"/>
      <c r="H1007" s="76" t="s">
        <v>1493</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273"/>
        <v>4</v>
      </c>
      <c r="D1008" s="73"/>
      <c r="E1008" s="70"/>
      <c r="F1008" s="70" t="s">
        <v>1668</v>
      </c>
      <c r="G1008" s="73"/>
      <c r="H1008" s="76" t="s">
        <v>1495</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ref="C1009:C1040" si="274">INT($C$29)+3</f>
        <v>4</v>
      </c>
      <c r="D1009" s="73"/>
      <c r="E1009" s="70"/>
      <c r="F1009" s="70" t="s">
        <v>1669</v>
      </c>
      <c r="G1009" s="73"/>
      <c r="H1009" s="76" t="s">
        <v>1489</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274"/>
        <v>4</v>
      </c>
      <c r="D1010" s="73"/>
      <c r="E1010" s="70"/>
      <c r="F1010" s="70" t="s">
        <v>1670</v>
      </c>
      <c r="G1010" s="73"/>
      <c r="H1010" s="76" t="s">
        <v>1491</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274"/>
        <v>4</v>
      </c>
      <c r="D1011" s="73"/>
      <c r="E1011" s="70"/>
      <c r="F1011" s="70" t="s">
        <v>1671</v>
      </c>
      <c r="G1011" s="73"/>
      <c r="H1011" s="76" t="s">
        <v>1493</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274"/>
        <v>4</v>
      </c>
      <c r="D1012" s="73"/>
      <c r="E1012" s="70"/>
      <c r="F1012" s="70" t="s">
        <v>1672</v>
      </c>
      <c r="G1012" s="73"/>
      <c r="H1012" s="76" t="s">
        <v>1495</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274"/>
        <v>4</v>
      </c>
      <c r="D1013" s="73"/>
      <c r="E1013" s="70"/>
      <c r="F1013" s="70" t="s">
        <v>1673</v>
      </c>
      <c r="G1013" s="73"/>
      <c r="H1013" s="76" t="s">
        <v>1489</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274"/>
        <v>4</v>
      </c>
      <c r="D1014" s="73"/>
      <c r="E1014" s="70"/>
      <c r="F1014" s="70" t="s">
        <v>1674</v>
      </c>
      <c r="G1014" s="73"/>
      <c r="H1014" s="76" t="s">
        <v>1491</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274"/>
        <v>4</v>
      </c>
      <c r="D1015" s="73"/>
      <c r="E1015" s="70"/>
      <c r="F1015" s="70" t="s">
        <v>1675</v>
      </c>
      <c r="G1015" s="73"/>
      <c r="H1015" s="76" t="s">
        <v>1493</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274"/>
        <v>4</v>
      </c>
      <c r="D1016" s="73"/>
      <c r="E1016" s="70"/>
      <c r="F1016" s="70" t="s">
        <v>1676</v>
      </c>
      <c r="G1016" s="73"/>
      <c r="H1016" s="76" t="s">
        <v>1495</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274"/>
        <v>4</v>
      </c>
      <c r="D1017" s="73"/>
      <c r="E1017" s="70"/>
      <c r="F1017" s="70" t="s">
        <v>1677</v>
      </c>
      <c r="G1017" s="73"/>
      <c r="H1017" s="76" t="s">
        <v>1489</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274"/>
        <v>4</v>
      </c>
      <c r="D1018" s="73"/>
      <c r="E1018" s="70"/>
      <c r="F1018" s="70" t="s">
        <v>1678</v>
      </c>
      <c r="G1018" s="73"/>
      <c r="H1018" s="76" t="s">
        <v>1491</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274"/>
        <v>4</v>
      </c>
      <c r="D1019" s="73"/>
      <c r="E1019" s="70"/>
      <c r="F1019" s="70" t="s">
        <v>1679</v>
      </c>
      <c r="G1019" s="73"/>
      <c r="H1019" s="76" t="s">
        <v>1493</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274"/>
        <v>4</v>
      </c>
      <c r="D1020" s="73"/>
      <c r="E1020" s="70"/>
      <c r="F1020" s="70" t="s">
        <v>1680</v>
      </c>
      <c r="G1020" s="73"/>
      <c r="H1020" s="76" t="s">
        <v>1495</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274"/>
        <v>4</v>
      </c>
      <c r="D1021" s="73"/>
      <c r="E1021" s="70"/>
      <c r="F1021" s="70" t="s">
        <v>1681</v>
      </c>
      <c r="G1021" s="73"/>
      <c r="H1021" s="76" t="s">
        <v>1577</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274"/>
        <v>4</v>
      </c>
      <c r="D1022" s="73"/>
      <c r="E1022" s="70"/>
      <c r="F1022" s="70" t="s">
        <v>1682</v>
      </c>
      <c r="G1022" s="73"/>
      <c r="H1022" s="76" t="s">
        <v>1491</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274"/>
        <v>4</v>
      </c>
      <c r="D1023" s="73"/>
      <c r="E1023" s="70"/>
      <c r="F1023" s="70" t="s">
        <v>1683</v>
      </c>
      <c r="G1023" s="73"/>
      <c r="H1023" s="76" t="s">
        <v>1493</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274"/>
        <v>4</v>
      </c>
      <c r="D1024" s="73"/>
      <c r="E1024" s="70"/>
      <c r="F1024" s="70" t="s">
        <v>1684</v>
      </c>
      <c r="G1024" s="73"/>
      <c r="H1024" s="76" t="s">
        <v>1495</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274"/>
        <v>4</v>
      </c>
      <c r="D1025" s="73"/>
      <c r="E1025" s="70"/>
      <c r="F1025" s="70" t="s">
        <v>1685</v>
      </c>
      <c r="G1025" s="73"/>
      <c r="H1025" s="76" t="s">
        <v>1582</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274"/>
        <v>4</v>
      </c>
      <c r="D1026" s="73"/>
      <c r="E1026" s="70"/>
      <c r="F1026" s="70" t="s">
        <v>1686</v>
      </c>
      <c r="G1026" s="73"/>
      <c r="H1026" s="76" t="s">
        <v>1491</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274"/>
        <v>4</v>
      </c>
      <c r="D1027" s="73"/>
      <c r="E1027" s="70"/>
      <c r="F1027" s="70" t="s">
        <v>1687</v>
      </c>
      <c r="G1027" s="73"/>
      <c r="H1027" s="76" t="s">
        <v>1493</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274"/>
        <v>4</v>
      </c>
      <c r="D1028" s="73"/>
      <c r="E1028" s="70"/>
      <c r="F1028" s="70" t="s">
        <v>1688</v>
      </c>
      <c r="G1028" s="73"/>
      <c r="H1028" s="76" t="s">
        <v>1495</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274"/>
        <v>4</v>
      </c>
      <c r="D1029" s="73"/>
      <c r="E1029" s="70"/>
      <c r="F1029" s="70" t="s">
        <v>1689</v>
      </c>
      <c r="G1029" s="73"/>
      <c r="H1029" s="76" t="s">
        <v>1489</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274"/>
        <v>4</v>
      </c>
      <c r="D1030" s="73"/>
      <c r="E1030" s="70"/>
      <c r="F1030" s="70" t="s">
        <v>1690</v>
      </c>
      <c r="G1030" s="73"/>
      <c r="H1030" s="76" t="s">
        <v>1491</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25">
      <c r="A1031" s="45"/>
      <c r="B1031" s="54"/>
      <c r="C1031" s="47">
        <f t="shared" si="274"/>
        <v>4</v>
      </c>
      <c r="D1031" s="73"/>
      <c r="E1031" s="70"/>
      <c r="F1031" s="70" t="s">
        <v>1691</v>
      </c>
      <c r="G1031" s="73"/>
      <c r="H1031" s="76" t="s">
        <v>1493</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25">
      <c r="A1032" s="45"/>
      <c r="B1032" s="54"/>
      <c r="C1032" s="47">
        <f t="shared" si="274"/>
        <v>4</v>
      </c>
      <c r="D1032" s="73"/>
      <c r="E1032" s="70"/>
      <c r="F1032" s="70" t="s">
        <v>1692</v>
      </c>
      <c r="G1032" s="73"/>
      <c r="H1032" s="76" t="s">
        <v>1495</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25">
      <c r="A1033" s="45"/>
      <c r="B1033" s="54"/>
      <c r="C1033" s="47">
        <f t="shared" si="274"/>
        <v>4</v>
      </c>
      <c r="D1033" s="73"/>
      <c r="E1033" s="70"/>
      <c r="F1033" s="70" t="s">
        <v>1693</v>
      </c>
      <c r="G1033" s="73"/>
      <c r="H1033" s="76" t="s">
        <v>1489</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25">
      <c r="A1034" s="45"/>
      <c r="B1034" s="54"/>
      <c r="C1034" s="47">
        <f t="shared" si="274"/>
        <v>4</v>
      </c>
      <c r="D1034" s="73"/>
      <c r="E1034" s="70"/>
      <c r="F1034" s="70" t="s">
        <v>1694</v>
      </c>
      <c r="G1034" s="73"/>
      <c r="H1034" s="76" t="s">
        <v>1491</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25">
      <c r="A1035" s="45"/>
      <c r="B1035" s="54"/>
      <c r="C1035" s="47">
        <f t="shared" si="274"/>
        <v>4</v>
      </c>
      <c r="D1035" s="73"/>
      <c r="E1035" s="70"/>
      <c r="F1035" s="70" t="s">
        <v>1695</v>
      </c>
      <c r="G1035" s="73"/>
      <c r="H1035" s="76" t="s">
        <v>1493</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25">
      <c r="A1036" s="45"/>
      <c r="B1036" s="54"/>
      <c r="C1036" s="47">
        <f t="shared" si="274"/>
        <v>4</v>
      </c>
      <c r="D1036" s="73"/>
      <c r="E1036" s="70"/>
      <c r="F1036" s="70" t="s">
        <v>1696</v>
      </c>
      <c r="G1036" s="73"/>
      <c r="H1036" s="76" t="s">
        <v>1495</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25">
      <c r="A1037" s="45"/>
      <c r="B1037" s="54"/>
      <c r="C1037" s="47">
        <f t="shared" si="274"/>
        <v>4</v>
      </c>
      <c r="D1037" s="73"/>
      <c r="E1037" s="70"/>
      <c r="F1037" s="70" t="s">
        <v>1697</v>
      </c>
      <c r="G1037" s="73"/>
      <c r="H1037" s="76" t="s">
        <v>1489</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25">
      <c r="A1038" s="45"/>
      <c r="B1038" s="54"/>
      <c r="C1038" s="47">
        <f t="shared" si="274"/>
        <v>4</v>
      </c>
      <c r="D1038" s="73"/>
      <c r="E1038" s="70"/>
      <c r="F1038" s="70" t="s">
        <v>1698</v>
      </c>
      <c r="G1038" s="73"/>
      <c r="H1038" s="76" t="s">
        <v>1491</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25">
      <c r="A1039" s="45"/>
      <c r="B1039" s="54"/>
      <c r="C1039" s="47">
        <f t="shared" si="274"/>
        <v>4</v>
      </c>
      <c r="D1039" s="73"/>
      <c r="E1039" s="70"/>
      <c r="F1039" s="70" t="s">
        <v>1699</v>
      </c>
      <c r="G1039" s="73"/>
      <c r="H1039" s="76" t="s">
        <v>1493</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25">
      <c r="A1040" s="45"/>
      <c r="B1040" s="54"/>
      <c r="C1040" s="47">
        <f t="shared" si="274"/>
        <v>4</v>
      </c>
      <c r="D1040" s="73"/>
      <c r="E1040" s="70"/>
      <c r="F1040" s="70" t="s">
        <v>1700</v>
      </c>
      <c r="G1040" s="73"/>
      <c r="H1040" s="76" t="s">
        <v>1495</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25">
      <c r="A1041" s="45"/>
      <c r="B1041" s="54"/>
      <c r="C1041" s="47">
        <f t="shared" ref="C1041:C1048" si="275">INT($C$29)+3</f>
        <v>4</v>
      </c>
      <c r="D1041" s="73"/>
      <c r="E1041" s="70"/>
      <c r="F1041" s="70" t="s">
        <v>1701</v>
      </c>
      <c r="G1041" s="73"/>
      <c r="H1041" s="76" t="s">
        <v>1611</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275"/>
        <v>4</v>
      </c>
      <c r="D1042" s="73"/>
      <c r="E1042" s="70"/>
      <c r="F1042" s="70" t="s">
        <v>1702</v>
      </c>
      <c r="G1042" s="73"/>
      <c r="H1042" s="76" t="s">
        <v>1491</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275"/>
        <v>4</v>
      </c>
      <c r="D1043" s="73"/>
      <c r="E1043" s="70"/>
      <c r="F1043" s="70" t="s">
        <v>1703</v>
      </c>
      <c r="G1043" s="73"/>
      <c r="H1043" s="76" t="s">
        <v>1493</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275"/>
        <v>4</v>
      </c>
      <c r="D1044" s="73"/>
      <c r="E1044" s="70"/>
      <c r="F1044" s="70" t="s">
        <v>1704</v>
      </c>
      <c r="G1044" s="73"/>
      <c r="H1044" s="76" t="s">
        <v>1495</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275"/>
        <v>4</v>
      </c>
      <c r="D1045" s="73"/>
      <c r="E1045" s="70"/>
      <c r="F1045" s="70" t="s">
        <v>1705</v>
      </c>
      <c r="G1045" s="73"/>
      <c r="H1045" s="76" t="s">
        <v>1616</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275"/>
        <v>4</v>
      </c>
      <c r="D1046" s="73"/>
      <c r="E1046" s="70"/>
      <c r="F1046" s="70" t="s">
        <v>1706</v>
      </c>
      <c r="G1046" s="73"/>
      <c r="H1046" s="76" t="s">
        <v>1618</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275"/>
        <v>4</v>
      </c>
      <c r="D1047" s="73"/>
      <c r="E1047" s="70"/>
      <c r="F1047" s="70" t="s">
        <v>1707</v>
      </c>
      <c r="G1047" s="73"/>
      <c r="H1047" s="76" t="s">
        <v>1620</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275"/>
        <v>4</v>
      </c>
      <c r="D1048" s="73"/>
      <c r="E1048" s="70"/>
      <c r="F1048" s="70" t="s">
        <v>1708</v>
      </c>
      <c r="G1048" s="73"/>
      <c r="H1048" s="76" t="s">
        <v>1622</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outlineLevel="2" x14ac:dyDescent="0.25">
      <c r="A1049" s="45"/>
      <c r="B1049" s="54"/>
      <c r="C1049" s="47">
        <f>INT($C$29)+2</f>
        <v>3</v>
      </c>
      <c r="D1049" s="73"/>
      <c r="E1049" s="70" t="s">
        <v>1709</v>
      </c>
      <c r="F1049" s="70" t="s">
        <v>1710</v>
      </c>
      <c r="G1049" s="73"/>
      <c r="H1049" s="76" t="s">
        <v>1711</v>
      </c>
      <c r="I1049" s="96" t="s">
        <v>502</v>
      </c>
      <c r="J1049" s="96"/>
      <c r="K1049" s="76"/>
      <c r="L1049" s="76"/>
      <c r="M1049" s="76"/>
      <c r="N1049" s="76"/>
      <c r="O1049" s="76"/>
      <c r="P1049" s="76"/>
      <c r="Q1049" s="76"/>
      <c r="R1049" s="76"/>
      <c r="S1049" s="76"/>
      <c r="T1049" s="76"/>
      <c r="U1049" s="76">
        <v>0</v>
      </c>
      <c r="V1049" s="76">
        <v>0</v>
      </c>
      <c r="W1049" s="76">
        <v>0</v>
      </c>
      <c r="X1049" s="76">
        <v>0</v>
      </c>
      <c r="Y1049" s="76">
        <v>0</v>
      </c>
      <c r="Z1049" s="76">
        <v>0</v>
      </c>
      <c r="AA1049" s="76">
        <v>0</v>
      </c>
      <c r="AB1049" s="76">
        <v>0</v>
      </c>
      <c r="AC1049" s="76">
        <v>0</v>
      </c>
      <c r="AD1049" s="76">
        <v>0</v>
      </c>
      <c r="AE1049" s="76"/>
      <c r="AF1049" s="264" t="s">
        <v>1712</v>
      </c>
      <c r="AG1049" s="76"/>
      <c r="AH1049" s="76">
        <v>1</v>
      </c>
      <c r="AI1049" s="76">
        <v>1</v>
      </c>
      <c r="AJ1049" s="73"/>
      <c r="AK1049" s="57"/>
      <c r="AL1049" s="45"/>
      <c r="AM1049" s="45"/>
      <c r="AN1049" s="45"/>
    </row>
    <row r="1050" spans="1:40" outlineLevel="2" x14ac:dyDescent="0.25">
      <c r="A1050" s="45"/>
      <c r="B1050" s="54"/>
      <c r="C1050" s="47">
        <f>INT($C$29)+2</f>
        <v>3</v>
      </c>
      <c r="D1050" s="73"/>
      <c r="E1050" s="70"/>
      <c r="F1050" s="70" t="s">
        <v>1713</v>
      </c>
      <c r="G1050" s="73"/>
      <c r="H1050" s="76" t="s">
        <v>1714</v>
      </c>
      <c r="I1050" s="96" t="s">
        <v>502</v>
      </c>
      <c r="J1050" s="96"/>
      <c r="K1050" s="97">
        <v>0.52400000000000002</v>
      </c>
      <c r="L1050" s="97">
        <v>0.65500000000000003</v>
      </c>
      <c r="M1050" s="97">
        <v>0.41599999999999998</v>
      </c>
      <c r="N1050" s="97">
        <v>0.41599999999999998</v>
      </c>
      <c r="O1050" s="97">
        <v>0.41599999999999998</v>
      </c>
      <c r="P1050" s="97">
        <v>0.57699999999999996</v>
      </c>
      <c r="Q1050" s="76"/>
      <c r="R1050" s="76" t="s">
        <v>550</v>
      </c>
      <c r="S1050" s="76" t="s">
        <v>550</v>
      </c>
      <c r="T1050" s="76"/>
      <c r="U1050" s="253">
        <f t="shared" ref="U1050:AD1052" si="276">INDEX($K1050:$Q1050,1,U$43)</f>
        <v>0.52400000000000002</v>
      </c>
      <c r="V1050" s="253">
        <f t="shared" si="276"/>
        <v>0.52400000000000002</v>
      </c>
      <c r="W1050" s="253">
        <f t="shared" si="276"/>
        <v>0.52400000000000002</v>
      </c>
      <c r="X1050" s="253">
        <f t="shared" si="276"/>
        <v>0.52400000000000002</v>
      </c>
      <c r="Y1050" s="253">
        <f t="shared" si="276"/>
        <v>0.52400000000000002</v>
      </c>
      <c r="Z1050" s="253">
        <f t="shared" si="276"/>
        <v>0.65500000000000003</v>
      </c>
      <c r="AA1050" s="253">
        <f t="shared" si="276"/>
        <v>0.65500000000000003</v>
      </c>
      <c r="AB1050" s="253">
        <f t="shared" si="276"/>
        <v>0.65500000000000003</v>
      </c>
      <c r="AC1050" s="253">
        <f t="shared" si="276"/>
        <v>0.65500000000000003</v>
      </c>
      <c r="AD1050" s="253">
        <f t="shared" si="276"/>
        <v>0.65500000000000003</v>
      </c>
      <c r="AE1050" s="76"/>
      <c r="AF1050" s="76"/>
      <c r="AG1050" s="76"/>
      <c r="AH1050" s="97">
        <v>1</v>
      </c>
      <c r="AI1050" s="97">
        <v>1</v>
      </c>
      <c r="AJ1050" s="73"/>
      <c r="AK1050" s="57"/>
      <c r="AL1050" s="45"/>
      <c r="AM1050" s="45"/>
      <c r="AN1050" s="45"/>
    </row>
    <row r="1051" spans="1:40" outlineLevel="2" x14ac:dyDescent="0.25">
      <c r="A1051" s="45"/>
      <c r="B1051" s="54"/>
      <c r="C1051" s="47">
        <f>INT($C$29)+2</f>
        <v>3</v>
      </c>
      <c r="D1051" s="73"/>
      <c r="E1051" s="70"/>
      <c r="F1051" s="70" t="s">
        <v>1715</v>
      </c>
      <c r="G1051" s="73"/>
      <c r="H1051" s="76" t="s">
        <v>1716</v>
      </c>
      <c r="I1051" s="96" t="s">
        <v>502</v>
      </c>
      <c r="J1051" s="96"/>
      <c r="K1051" s="97">
        <v>0.70699999999999996</v>
      </c>
      <c r="L1051" s="97">
        <v>0.88400000000000001</v>
      </c>
      <c r="M1051" s="76"/>
      <c r="N1051" s="76"/>
      <c r="O1051" s="76"/>
      <c r="P1051" s="76"/>
      <c r="Q1051" s="76"/>
      <c r="R1051" s="76" t="s">
        <v>550</v>
      </c>
      <c r="S1051" s="76"/>
      <c r="T1051" s="76"/>
      <c r="U1051" s="253">
        <f t="shared" si="276"/>
        <v>0.70699999999999996</v>
      </c>
      <c r="V1051" s="253">
        <f t="shared" si="276"/>
        <v>0.70699999999999996</v>
      </c>
      <c r="W1051" s="253">
        <f t="shared" si="276"/>
        <v>0.70699999999999996</v>
      </c>
      <c r="X1051" s="253">
        <f t="shared" si="276"/>
        <v>0.70699999999999996</v>
      </c>
      <c r="Y1051" s="253">
        <f t="shared" si="276"/>
        <v>0.70699999999999996</v>
      </c>
      <c r="Z1051" s="253">
        <f t="shared" si="276"/>
        <v>0.88400000000000001</v>
      </c>
      <c r="AA1051" s="253">
        <f t="shared" si="276"/>
        <v>0.88400000000000001</v>
      </c>
      <c r="AB1051" s="253">
        <f t="shared" si="276"/>
        <v>0.88400000000000001</v>
      </c>
      <c r="AC1051" s="253">
        <f t="shared" si="276"/>
        <v>0.88400000000000001</v>
      </c>
      <c r="AD1051" s="253">
        <f t="shared" si="276"/>
        <v>0.88400000000000001</v>
      </c>
      <c r="AE1051" s="76"/>
      <c r="AF1051" s="76"/>
      <c r="AG1051" s="76"/>
      <c r="AH1051" s="97">
        <v>1</v>
      </c>
      <c r="AI1051" s="97">
        <v>1</v>
      </c>
      <c r="AJ1051" s="73"/>
      <c r="AK1051" s="57"/>
      <c r="AL1051" s="45"/>
      <c r="AM1051" s="45"/>
      <c r="AN1051" s="45"/>
    </row>
    <row r="1052" spans="1:40" outlineLevel="2" x14ac:dyDescent="0.25">
      <c r="A1052" s="45"/>
      <c r="B1052" s="54"/>
      <c r="C1052" s="47">
        <f>INT($C$29)+2</f>
        <v>3</v>
      </c>
      <c r="D1052" s="73"/>
      <c r="E1052" s="70"/>
      <c r="F1052" s="70" t="s">
        <v>1717</v>
      </c>
      <c r="G1052" s="73"/>
      <c r="H1052" s="76" t="s">
        <v>1718</v>
      </c>
      <c r="I1052" s="96" t="s">
        <v>502</v>
      </c>
      <c r="J1052" s="96"/>
      <c r="K1052" s="97">
        <v>0.89100000000000001</v>
      </c>
      <c r="L1052" s="97">
        <v>1.1140000000000001</v>
      </c>
      <c r="M1052" s="76"/>
      <c r="N1052" s="76"/>
      <c r="O1052" s="76"/>
      <c r="P1052" s="76"/>
      <c r="Q1052" s="76"/>
      <c r="R1052" s="76" t="s">
        <v>550</v>
      </c>
      <c r="S1052" s="76"/>
      <c r="T1052" s="76"/>
      <c r="U1052" s="253">
        <f t="shared" si="276"/>
        <v>0.89100000000000001</v>
      </c>
      <c r="V1052" s="253">
        <f t="shared" si="276"/>
        <v>0.89100000000000001</v>
      </c>
      <c r="W1052" s="253">
        <f t="shared" si="276"/>
        <v>0.89100000000000001</v>
      </c>
      <c r="X1052" s="253">
        <f t="shared" si="276"/>
        <v>0.89100000000000001</v>
      </c>
      <c r="Y1052" s="253">
        <f t="shared" si="276"/>
        <v>0.89100000000000001</v>
      </c>
      <c r="Z1052" s="253">
        <f t="shared" si="276"/>
        <v>1.1140000000000001</v>
      </c>
      <c r="AA1052" s="253">
        <f t="shared" si="276"/>
        <v>1.1140000000000001</v>
      </c>
      <c r="AB1052" s="253">
        <f t="shared" si="276"/>
        <v>1.1140000000000001</v>
      </c>
      <c r="AC1052" s="253">
        <f t="shared" si="276"/>
        <v>1.1140000000000001</v>
      </c>
      <c r="AD1052" s="253">
        <f t="shared" si="276"/>
        <v>1.1140000000000001</v>
      </c>
      <c r="AE1052" s="76"/>
      <c r="AF1052" s="76"/>
      <c r="AG1052" s="76"/>
      <c r="AH1052" s="97">
        <v>1</v>
      </c>
      <c r="AI1052" s="97">
        <v>1</v>
      </c>
      <c r="AJ1052" s="73"/>
      <c r="AK1052" s="57"/>
      <c r="AL1052" s="45"/>
      <c r="AM1052" s="45"/>
      <c r="AN1052" s="45"/>
    </row>
    <row r="1053" spans="1:40" outlineLevel="3" x14ac:dyDescent="0.25">
      <c r="A1053" s="45"/>
      <c r="B1053" s="54"/>
      <c r="C1053" s="47">
        <f t="shared" ref="C1053:C1116" si="277">INT($C$29)+3</f>
        <v>4</v>
      </c>
      <c r="D1053" s="73"/>
      <c r="E1053" s="70"/>
      <c r="F1053" s="70" t="s">
        <v>2545</v>
      </c>
      <c r="G1053" s="73"/>
      <c r="H1053" s="76" t="s">
        <v>1489</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outlineLevel="3" x14ac:dyDescent="0.25">
      <c r="A1054" s="45"/>
      <c r="B1054" s="54"/>
      <c r="C1054" s="47">
        <f t="shared" si="277"/>
        <v>4</v>
      </c>
      <c r="D1054" s="73"/>
      <c r="E1054" s="70"/>
      <c r="F1054" s="70" t="s">
        <v>2546</v>
      </c>
      <c r="G1054" s="73"/>
      <c r="H1054" s="76" t="s">
        <v>1491</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outlineLevel="3" x14ac:dyDescent="0.25">
      <c r="A1055" s="45"/>
      <c r="B1055" s="54"/>
      <c r="C1055" s="47">
        <f t="shared" si="277"/>
        <v>4</v>
      </c>
      <c r="D1055" s="73"/>
      <c r="E1055" s="70"/>
      <c r="F1055" s="70" t="s">
        <v>2547</v>
      </c>
      <c r="G1055" s="73"/>
      <c r="H1055" s="76" t="s">
        <v>1493</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outlineLevel="3" x14ac:dyDescent="0.25">
      <c r="A1056" s="45"/>
      <c r="B1056" s="54"/>
      <c r="C1056" s="47">
        <f t="shared" si="277"/>
        <v>4</v>
      </c>
      <c r="D1056" s="73"/>
      <c r="E1056" s="70"/>
      <c r="F1056" s="70" t="s">
        <v>2548</v>
      </c>
      <c r="G1056" s="73"/>
      <c r="H1056" s="76" t="s">
        <v>1495</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outlineLevel="3" x14ac:dyDescent="0.25">
      <c r="A1057" s="45"/>
      <c r="B1057" s="54"/>
      <c r="C1057" s="47">
        <f t="shared" si="277"/>
        <v>4</v>
      </c>
      <c r="D1057" s="73"/>
      <c r="E1057" s="70"/>
      <c r="F1057" s="70" t="s">
        <v>2549</v>
      </c>
      <c r="G1057" s="73"/>
      <c r="H1057" s="76" t="s">
        <v>1489</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outlineLevel="3" x14ac:dyDescent="0.25">
      <c r="A1058" s="45"/>
      <c r="B1058" s="54"/>
      <c r="C1058" s="47">
        <f t="shared" si="277"/>
        <v>4</v>
      </c>
      <c r="D1058" s="73"/>
      <c r="E1058" s="70"/>
      <c r="F1058" s="70" t="s">
        <v>2550</v>
      </c>
      <c r="G1058" s="73"/>
      <c r="H1058" s="76" t="s">
        <v>1491</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outlineLevel="3" x14ac:dyDescent="0.25">
      <c r="A1059" s="45"/>
      <c r="B1059" s="54"/>
      <c r="C1059" s="47">
        <f t="shared" si="277"/>
        <v>4</v>
      </c>
      <c r="D1059" s="73"/>
      <c r="E1059" s="70"/>
      <c r="F1059" s="70" t="s">
        <v>2551</v>
      </c>
      <c r="G1059" s="73"/>
      <c r="H1059" s="76" t="s">
        <v>1493</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outlineLevel="3" x14ac:dyDescent="0.25">
      <c r="A1060" s="45"/>
      <c r="B1060" s="54"/>
      <c r="C1060" s="47">
        <f t="shared" si="277"/>
        <v>4</v>
      </c>
      <c r="D1060" s="73"/>
      <c r="E1060" s="70"/>
      <c r="F1060" s="70" t="s">
        <v>2552</v>
      </c>
      <c r="G1060" s="73"/>
      <c r="H1060" s="76" t="s">
        <v>1495</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outlineLevel="3" x14ac:dyDescent="0.25">
      <c r="A1061" s="45"/>
      <c r="B1061" s="54"/>
      <c r="C1061" s="47">
        <f t="shared" si="277"/>
        <v>4</v>
      </c>
      <c r="D1061" s="73"/>
      <c r="E1061" s="70"/>
      <c r="F1061" s="70" t="s">
        <v>2553</v>
      </c>
      <c r="G1061" s="73"/>
      <c r="H1061" s="76" t="s">
        <v>1489</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outlineLevel="3" x14ac:dyDescent="0.25">
      <c r="A1062" s="45"/>
      <c r="B1062" s="54"/>
      <c r="C1062" s="47">
        <f t="shared" si="277"/>
        <v>4</v>
      </c>
      <c r="D1062" s="73"/>
      <c r="E1062" s="70"/>
      <c r="F1062" s="70" t="s">
        <v>2554</v>
      </c>
      <c r="G1062" s="73"/>
      <c r="H1062" s="76" t="s">
        <v>1491</v>
      </c>
      <c r="I1062" s="96" t="s">
        <v>502</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outlineLevel="3" x14ac:dyDescent="0.25">
      <c r="A1063" s="45"/>
      <c r="B1063" s="54"/>
      <c r="C1063" s="47">
        <f t="shared" si="277"/>
        <v>4</v>
      </c>
      <c r="D1063" s="73"/>
      <c r="E1063" s="70"/>
      <c r="F1063" s="70" t="s">
        <v>2555</v>
      </c>
      <c r="G1063" s="73"/>
      <c r="H1063" s="76" t="s">
        <v>1493</v>
      </c>
      <c r="I1063" s="96" t="s">
        <v>502</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v>1</v>
      </c>
      <c r="AI1063" s="76">
        <v>1</v>
      </c>
      <c r="AJ1063" s="73"/>
      <c r="AK1063" s="57"/>
      <c r="AL1063" s="45"/>
      <c r="AM1063" s="45"/>
      <c r="AN1063" s="45"/>
    </row>
    <row r="1064" spans="1:40" outlineLevel="3" x14ac:dyDescent="0.25">
      <c r="A1064" s="45"/>
      <c r="B1064" s="54"/>
      <c r="C1064" s="47">
        <f t="shared" si="277"/>
        <v>4</v>
      </c>
      <c r="D1064" s="73"/>
      <c r="E1064" s="70"/>
      <c r="F1064" s="70" t="s">
        <v>2556</v>
      </c>
      <c r="G1064" s="73"/>
      <c r="H1064" s="76" t="s">
        <v>1495</v>
      </c>
      <c r="I1064" s="96" t="s">
        <v>502</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v>1</v>
      </c>
      <c r="AI1064" s="76">
        <v>1</v>
      </c>
      <c r="AJ1064" s="73"/>
      <c r="AK1064" s="57"/>
      <c r="AL1064" s="45"/>
      <c r="AM1064" s="45"/>
      <c r="AN1064" s="45"/>
    </row>
    <row r="1065" spans="1:40" outlineLevel="3" x14ac:dyDescent="0.25">
      <c r="A1065" s="45"/>
      <c r="B1065" s="54"/>
      <c r="C1065" s="47">
        <f t="shared" si="277"/>
        <v>4</v>
      </c>
      <c r="D1065" s="73"/>
      <c r="E1065" s="70"/>
      <c r="F1065" s="70" t="s">
        <v>2557</v>
      </c>
      <c r="G1065" s="73"/>
      <c r="H1065" s="76" t="s">
        <v>1489</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outlineLevel="3" x14ac:dyDescent="0.25">
      <c r="A1066" s="45"/>
      <c r="B1066" s="54"/>
      <c r="C1066" s="47">
        <f t="shared" si="277"/>
        <v>4</v>
      </c>
      <c r="D1066" s="73"/>
      <c r="E1066" s="70"/>
      <c r="F1066" s="70" t="s">
        <v>2558</v>
      </c>
      <c r="G1066" s="73"/>
      <c r="H1066" s="76" t="s">
        <v>1491</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outlineLevel="3" x14ac:dyDescent="0.25">
      <c r="A1067" s="45"/>
      <c r="B1067" s="54"/>
      <c r="C1067" s="47">
        <f t="shared" si="277"/>
        <v>4</v>
      </c>
      <c r="D1067" s="73"/>
      <c r="E1067" s="70"/>
      <c r="F1067" s="70" t="s">
        <v>2559</v>
      </c>
      <c r="G1067" s="73"/>
      <c r="H1067" s="76" t="s">
        <v>1493</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outlineLevel="3" x14ac:dyDescent="0.25">
      <c r="A1068" s="45"/>
      <c r="B1068" s="54"/>
      <c r="C1068" s="47">
        <f t="shared" si="277"/>
        <v>4</v>
      </c>
      <c r="D1068" s="73"/>
      <c r="E1068" s="70"/>
      <c r="F1068" s="70" t="s">
        <v>2560</v>
      </c>
      <c r="G1068" s="73"/>
      <c r="H1068" s="76" t="s">
        <v>1495</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outlineLevel="3" x14ac:dyDescent="0.25">
      <c r="A1069" s="45"/>
      <c r="B1069" s="54"/>
      <c r="C1069" s="47">
        <f t="shared" si="277"/>
        <v>4</v>
      </c>
      <c r="D1069" s="73"/>
      <c r="E1069" s="70"/>
      <c r="F1069" s="70" t="s">
        <v>2561</v>
      </c>
      <c r="G1069" s="73"/>
      <c r="H1069" s="76" t="s">
        <v>1489</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outlineLevel="3" x14ac:dyDescent="0.25">
      <c r="A1070" s="45"/>
      <c r="B1070" s="54"/>
      <c r="C1070" s="47">
        <f t="shared" si="277"/>
        <v>4</v>
      </c>
      <c r="D1070" s="73"/>
      <c r="E1070" s="70"/>
      <c r="F1070" s="70" t="s">
        <v>2562</v>
      </c>
      <c r="G1070" s="73"/>
      <c r="H1070" s="76" t="s">
        <v>1491</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outlineLevel="3" x14ac:dyDescent="0.25">
      <c r="A1071" s="45"/>
      <c r="B1071" s="54"/>
      <c r="C1071" s="47">
        <f t="shared" si="277"/>
        <v>4</v>
      </c>
      <c r="D1071" s="73"/>
      <c r="E1071" s="70"/>
      <c r="F1071" s="70" t="s">
        <v>2563</v>
      </c>
      <c r="G1071" s="73"/>
      <c r="H1071" s="76" t="s">
        <v>1493</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outlineLevel="3" x14ac:dyDescent="0.25">
      <c r="A1072" s="45"/>
      <c r="B1072" s="54"/>
      <c r="C1072" s="47">
        <f t="shared" si="277"/>
        <v>4</v>
      </c>
      <c r="D1072" s="73"/>
      <c r="E1072" s="70"/>
      <c r="F1072" s="70" t="s">
        <v>2564</v>
      </c>
      <c r="G1072" s="73"/>
      <c r="H1072" s="76" t="s">
        <v>1495</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outlineLevel="3" x14ac:dyDescent="0.25">
      <c r="A1073" s="45"/>
      <c r="B1073" s="54"/>
      <c r="C1073" s="47">
        <f t="shared" si="277"/>
        <v>4</v>
      </c>
      <c r="D1073" s="73"/>
      <c r="E1073" s="70"/>
      <c r="F1073" s="70" t="s">
        <v>2565</v>
      </c>
      <c r="G1073" s="73"/>
      <c r="H1073" s="76" t="s">
        <v>1489</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outlineLevel="3" x14ac:dyDescent="0.25">
      <c r="A1074" s="45"/>
      <c r="B1074" s="54"/>
      <c r="C1074" s="47">
        <f t="shared" si="277"/>
        <v>4</v>
      </c>
      <c r="D1074" s="73"/>
      <c r="E1074" s="70"/>
      <c r="F1074" s="70" t="s">
        <v>2566</v>
      </c>
      <c r="G1074" s="73"/>
      <c r="H1074" s="76" t="s">
        <v>1491</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outlineLevel="3" x14ac:dyDescent="0.25">
      <c r="A1075" s="45"/>
      <c r="B1075" s="54"/>
      <c r="C1075" s="47">
        <f t="shared" si="277"/>
        <v>4</v>
      </c>
      <c r="D1075" s="73"/>
      <c r="E1075" s="70"/>
      <c r="F1075" s="70" t="s">
        <v>2567</v>
      </c>
      <c r="G1075" s="73"/>
      <c r="H1075" s="76" t="s">
        <v>1493</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outlineLevel="3" x14ac:dyDescent="0.25">
      <c r="A1076" s="45"/>
      <c r="B1076" s="54"/>
      <c r="C1076" s="47">
        <f t="shared" si="277"/>
        <v>4</v>
      </c>
      <c r="D1076" s="73"/>
      <c r="E1076" s="70"/>
      <c r="F1076" s="70" t="s">
        <v>2568</v>
      </c>
      <c r="G1076" s="73"/>
      <c r="H1076" s="76" t="s">
        <v>1495</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outlineLevel="3" x14ac:dyDescent="0.25">
      <c r="A1077" s="45"/>
      <c r="B1077" s="54"/>
      <c r="C1077" s="47">
        <f t="shared" si="277"/>
        <v>4</v>
      </c>
      <c r="D1077" s="73"/>
      <c r="E1077" s="70"/>
      <c r="F1077" s="70" t="s">
        <v>3355</v>
      </c>
      <c r="G1077" s="73"/>
      <c r="H1077" s="76" t="s">
        <v>1489</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outlineLevel="3" x14ac:dyDescent="0.25">
      <c r="A1078" s="45"/>
      <c r="B1078" s="54"/>
      <c r="C1078" s="47">
        <f t="shared" si="277"/>
        <v>4</v>
      </c>
      <c r="D1078" s="73"/>
      <c r="E1078" s="70"/>
      <c r="F1078" s="70" t="s">
        <v>3356</v>
      </c>
      <c r="G1078" s="73"/>
      <c r="H1078" s="76" t="s">
        <v>1491</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outlineLevel="3" x14ac:dyDescent="0.25">
      <c r="A1079" s="45"/>
      <c r="B1079" s="54"/>
      <c r="C1079" s="47">
        <f t="shared" si="277"/>
        <v>4</v>
      </c>
      <c r="D1079" s="73"/>
      <c r="E1079" s="70"/>
      <c r="F1079" s="70" t="s">
        <v>3357</v>
      </c>
      <c r="G1079" s="73"/>
      <c r="H1079" s="76" t="s">
        <v>1493</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outlineLevel="3" x14ac:dyDescent="0.25">
      <c r="A1080" s="45"/>
      <c r="B1080" s="54"/>
      <c r="C1080" s="47">
        <f t="shared" si="277"/>
        <v>4</v>
      </c>
      <c r="D1080" s="73"/>
      <c r="E1080" s="70"/>
      <c r="F1080" s="70" t="s">
        <v>3358</v>
      </c>
      <c r="G1080" s="73"/>
      <c r="H1080" s="76" t="s">
        <v>1495</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outlineLevel="3" x14ac:dyDescent="0.25">
      <c r="A1081" s="45"/>
      <c r="B1081" s="54"/>
      <c r="C1081" s="47">
        <f t="shared" si="277"/>
        <v>4</v>
      </c>
      <c r="D1081" s="73"/>
      <c r="E1081" s="70"/>
      <c r="F1081" s="70" t="s">
        <v>3482</v>
      </c>
      <c r="G1081" s="73"/>
      <c r="H1081" s="76" t="s">
        <v>1489</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outlineLevel="3" x14ac:dyDescent="0.25">
      <c r="A1082" s="45"/>
      <c r="B1082" s="54"/>
      <c r="C1082" s="47">
        <f t="shared" si="277"/>
        <v>4</v>
      </c>
      <c r="D1082" s="73"/>
      <c r="E1082" s="70"/>
      <c r="F1082" s="70" t="s">
        <v>3483</v>
      </c>
      <c r="G1082" s="73"/>
      <c r="H1082" s="76" t="s">
        <v>1491</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outlineLevel="3" x14ac:dyDescent="0.25">
      <c r="A1083" s="45"/>
      <c r="B1083" s="54"/>
      <c r="C1083" s="47">
        <f t="shared" si="277"/>
        <v>4</v>
      </c>
      <c r="D1083" s="73"/>
      <c r="E1083" s="70"/>
      <c r="F1083" s="70" t="s">
        <v>3484</v>
      </c>
      <c r="G1083" s="73"/>
      <c r="H1083" s="76" t="s">
        <v>1493</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outlineLevel="3" x14ac:dyDescent="0.25">
      <c r="A1084" s="45"/>
      <c r="B1084" s="54"/>
      <c r="C1084" s="47">
        <f t="shared" si="277"/>
        <v>4</v>
      </c>
      <c r="D1084" s="73"/>
      <c r="E1084" s="70"/>
      <c r="F1084" s="70" t="s">
        <v>3485</v>
      </c>
      <c r="G1084" s="73"/>
      <c r="H1084" s="76" t="s">
        <v>1495</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outlineLevel="3" x14ac:dyDescent="0.25">
      <c r="A1085" s="45"/>
      <c r="B1085" s="54"/>
      <c r="C1085" s="47">
        <f t="shared" si="277"/>
        <v>4</v>
      </c>
      <c r="D1085" s="73"/>
      <c r="E1085" s="70"/>
      <c r="F1085" s="70" t="s">
        <v>3486</v>
      </c>
      <c r="G1085" s="73"/>
      <c r="H1085" s="76" t="s">
        <v>1489</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outlineLevel="3" x14ac:dyDescent="0.25">
      <c r="A1086" s="45"/>
      <c r="B1086" s="54"/>
      <c r="C1086" s="47">
        <f t="shared" si="277"/>
        <v>4</v>
      </c>
      <c r="D1086" s="73"/>
      <c r="E1086" s="70"/>
      <c r="F1086" s="70" t="s">
        <v>3487</v>
      </c>
      <c r="G1086" s="73"/>
      <c r="H1086" s="76" t="s">
        <v>1491</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outlineLevel="3" x14ac:dyDescent="0.25">
      <c r="A1087" s="45"/>
      <c r="B1087" s="54"/>
      <c r="C1087" s="47">
        <f t="shared" si="277"/>
        <v>4</v>
      </c>
      <c r="D1087" s="73"/>
      <c r="E1087" s="70"/>
      <c r="F1087" s="70" t="s">
        <v>3488</v>
      </c>
      <c r="G1087" s="73"/>
      <c r="H1087" s="76" t="s">
        <v>1493</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outlineLevel="3" x14ac:dyDescent="0.25">
      <c r="A1088" s="45"/>
      <c r="B1088" s="54"/>
      <c r="C1088" s="47">
        <f t="shared" si="277"/>
        <v>4</v>
      </c>
      <c r="D1088" s="73"/>
      <c r="E1088" s="70"/>
      <c r="F1088" s="70" t="s">
        <v>3489</v>
      </c>
      <c r="G1088" s="73"/>
      <c r="H1088" s="76" t="s">
        <v>1495</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outlineLevel="3" x14ac:dyDescent="0.25">
      <c r="A1089" s="45"/>
      <c r="B1089" s="54"/>
      <c r="C1089" s="47">
        <f t="shared" si="277"/>
        <v>4</v>
      </c>
      <c r="D1089" s="73"/>
      <c r="E1089" s="70"/>
      <c r="F1089" s="70" t="s">
        <v>3490</v>
      </c>
      <c r="G1089" s="73"/>
      <c r="H1089" s="76" t="s">
        <v>1489</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outlineLevel="3" x14ac:dyDescent="0.25">
      <c r="A1090" s="45"/>
      <c r="B1090" s="54"/>
      <c r="C1090" s="47">
        <f t="shared" si="277"/>
        <v>4</v>
      </c>
      <c r="D1090" s="73"/>
      <c r="E1090" s="70"/>
      <c r="F1090" s="70" t="s">
        <v>3491</v>
      </c>
      <c r="G1090" s="73"/>
      <c r="H1090" s="76" t="s">
        <v>1491</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outlineLevel="3" x14ac:dyDescent="0.25">
      <c r="A1091" s="45"/>
      <c r="B1091" s="54"/>
      <c r="C1091" s="47">
        <f t="shared" si="277"/>
        <v>4</v>
      </c>
      <c r="D1091" s="73"/>
      <c r="E1091" s="70"/>
      <c r="F1091" s="70" t="s">
        <v>3492</v>
      </c>
      <c r="G1091" s="73"/>
      <c r="H1091" s="76" t="s">
        <v>1493</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outlineLevel="3" x14ac:dyDescent="0.25">
      <c r="A1092" s="45"/>
      <c r="B1092" s="54"/>
      <c r="C1092" s="47">
        <f t="shared" si="277"/>
        <v>4</v>
      </c>
      <c r="D1092" s="73"/>
      <c r="E1092" s="70"/>
      <c r="F1092" s="70" t="s">
        <v>3493</v>
      </c>
      <c r="G1092" s="73"/>
      <c r="H1092" s="76" t="s">
        <v>1495</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outlineLevel="3" x14ac:dyDescent="0.25">
      <c r="A1093" s="45"/>
      <c r="B1093" s="54"/>
      <c r="C1093" s="47">
        <f t="shared" si="277"/>
        <v>4</v>
      </c>
      <c r="D1093" s="73"/>
      <c r="E1093" s="70"/>
      <c r="F1093" s="70" t="s">
        <v>3494</v>
      </c>
      <c r="G1093" s="73"/>
      <c r="H1093" s="76" t="s">
        <v>1489</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outlineLevel="3" x14ac:dyDescent="0.25">
      <c r="A1094" s="45"/>
      <c r="B1094" s="54"/>
      <c r="C1094" s="47">
        <f t="shared" si="277"/>
        <v>4</v>
      </c>
      <c r="D1094" s="73"/>
      <c r="E1094" s="70"/>
      <c r="F1094" s="70" t="s">
        <v>3495</v>
      </c>
      <c r="G1094" s="73"/>
      <c r="H1094" s="76" t="s">
        <v>1491</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outlineLevel="3" x14ac:dyDescent="0.25">
      <c r="A1095" s="45"/>
      <c r="B1095" s="54"/>
      <c r="C1095" s="47">
        <f t="shared" si="277"/>
        <v>4</v>
      </c>
      <c r="D1095" s="73"/>
      <c r="E1095" s="70"/>
      <c r="F1095" s="70" t="s">
        <v>3496</v>
      </c>
      <c r="G1095" s="73"/>
      <c r="H1095" s="76" t="s">
        <v>1493</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outlineLevel="3" x14ac:dyDescent="0.25">
      <c r="A1096" s="45"/>
      <c r="B1096" s="54"/>
      <c r="C1096" s="47">
        <f t="shared" si="277"/>
        <v>4</v>
      </c>
      <c r="D1096" s="73"/>
      <c r="E1096" s="70"/>
      <c r="F1096" s="70" t="s">
        <v>3497</v>
      </c>
      <c r="G1096" s="73"/>
      <c r="H1096" s="76" t="s">
        <v>1495</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outlineLevel="3" x14ac:dyDescent="0.25">
      <c r="A1097" s="45"/>
      <c r="B1097" s="54"/>
      <c r="C1097" s="47">
        <f t="shared" si="277"/>
        <v>4</v>
      </c>
      <c r="D1097" s="73"/>
      <c r="E1097" s="70"/>
      <c r="F1097" s="70" t="s">
        <v>3498</v>
      </c>
      <c r="G1097" s="73"/>
      <c r="H1097" s="76" t="s">
        <v>1489</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outlineLevel="3" x14ac:dyDescent="0.25">
      <c r="A1098" s="45"/>
      <c r="B1098" s="54"/>
      <c r="C1098" s="47">
        <f t="shared" si="277"/>
        <v>4</v>
      </c>
      <c r="D1098" s="73"/>
      <c r="E1098" s="70"/>
      <c r="F1098" s="70" t="s">
        <v>3499</v>
      </c>
      <c r="G1098" s="73"/>
      <c r="H1098" s="76" t="s">
        <v>1491</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outlineLevel="3" x14ac:dyDescent="0.25">
      <c r="A1099" s="45"/>
      <c r="B1099" s="54"/>
      <c r="C1099" s="47">
        <f t="shared" si="277"/>
        <v>4</v>
      </c>
      <c r="D1099" s="73"/>
      <c r="E1099" s="70"/>
      <c r="F1099" s="70" t="s">
        <v>3500</v>
      </c>
      <c r="G1099" s="73"/>
      <c r="H1099" s="76" t="s">
        <v>1493</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outlineLevel="3" x14ac:dyDescent="0.25">
      <c r="A1100" s="45"/>
      <c r="B1100" s="54"/>
      <c r="C1100" s="47">
        <f t="shared" si="277"/>
        <v>4</v>
      </c>
      <c r="D1100" s="73"/>
      <c r="E1100" s="70"/>
      <c r="F1100" s="70" t="s">
        <v>3501</v>
      </c>
      <c r="G1100" s="73"/>
      <c r="H1100" s="76" t="s">
        <v>1495</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outlineLevel="3" x14ac:dyDescent="0.25">
      <c r="A1101" s="45"/>
      <c r="B1101" s="54"/>
      <c r="C1101" s="47">
        <f t="shared" si="277"/>
        <v>4</v>
      </c>
      <c r="D1101" s="73"/>
      <c r="E1101" s="70"/>
      <c r="F1101" s="70" t="s">
        <v>3502</v>
      </c>
      <c r="G1101" s="73"/>
      <c r="H1101" s="76" t="s">
        <v>1489</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outlineLevel="3" x14ac:dyDescent="0.25">
      <c r="A1102" s="45"/>
      <c r="B1102" s="54"/>
      <c r="C1102" s="47">
        <f t="shared" si="277"/>
        <v>4</v>
      </c>
      <c r="D1102" s="73"/>
      <c r="E1102" s="70"/>
      <c r="F1102" s="70" t="s">
        <v>3503</v>
      </c>
      <c r="G1102" s="73"/>
      <c r="H1102" s="76" t="s">
        <v>1491</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outlineLevel="3" x14ac:dyDescent="0.25">
      <c r="A1103" s="45"/>
      <c r="B1103" s="54"/>
      <c r="C1103" s="47">
        <f t="shared" si="277"/>
        <v>4</v>
      </c>
      <c r="D1103" s="73"/>
      <c r="E1103" s="70"/>
      <c r="F1103" s="70" t="s">
        <v>3504</v>
      </c>
      <c r="G1103" s="73"/>
      <c r="H1103" s="76" t="s">
        <v>1493</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outlineLevel="3" x14ac:dyDescent="0.25">
      <c r="A1104" s="45"/>
      <c r="B1104" s="54"/>
      <c r="C1104" s="47">
        <f t="shared" si="277"/>
        <v>4</v>
      </c>
      <c r="D1104" s="73"/>
      <c r="E1104" s="70"/>
      <c r="F1104" s="70" t="s">
        <v>3505</v>
      </c>
      <c r="G1104" s="73"/>
      <c r="H1104" s="76" t="s">
        <v>1495</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outlineLevel="3" x14ac:dyDescent="0.25">
      <c r="A1105" s="45"/>
      <c r="B1105" s="54"/>
      <c r="C1105" s="47">
        <f t="shared" si="277"/>
        <v>4</v>
      </c>
      <c r="D1105" s="73"/>
      <c r="E1105" s="70"/>
      <c r="F1105" s="70" t="s">
        <v>3506</v>
      </c>
      <c r="G1105" s="73"/>
      <c r="H1105" s="76" t="s">
        <v>1489</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outlineLevel="3" x14ac:dyDescent="0.25">
      <c r="A1106" s="45"/>
      <c r="B1106" s="54"/>
      <c r="C1106" s="47">
        <f t="shared" si="277"/>
        <v>4</v>
      </c>
      <c r="D1106" s="73"/>
      <c r="E1106" s="70"/>
      <c r="F1106" s="70" t="s">
        <v>3507</v>
      </c>
      <c r="G1106" s="73"/>
      <c r="H1106" s="76" t="s">
        <v>1491</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outlineLevel="3" x14ac:dyDescent="0.25">
      <c r="A1107" s="45"/>
      <c r="B1107" s="54"/>
      <c r="C1107" s="47">
        <f t="shared" si="277"/>
        <v>4</v>
      </c>
      <c r="D1107" s="73"/>
      <c r="E1107" s="70"/>
      <c r="F1107" s="70" t="s">
        <v>3508</v>
      </c>
      <c r="G1107" s="73"/>
      <c r="H1107" s="76" t="s">
        <v>1493</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outlineLevel="3" x14ac:dyDescent="0.25">
      <c r="A1108" s="45"/>
      <c r="B1108" s="54"/>
      <c r="C1108" s="47">
        <f t="shared" si="277"/>
        <v>4</v>
      </c>
      <c r="D1108" s="73"/>
      <c r="E1108" s="70"/>
      <c r="F1108" s="70" t="s">
        <v>3509</v>
      </c>
      <c r="G1108" s="73"/>
      <c r="H1108" s="76" t="s">
        <v>1495</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outlineLevel="3" x14ac:dyDescent="0.25">
      <c r="A1109" s="45"/>
      <c r="B1109" s="54"/>
      <c r="C1109" s="47">
        <f t="shared" si="277"/>
        <v>4</v>
      </c>
      <c r="D1109" s="73"/>
      <c r="E1109" s="70"/>
      <c r="F1109" s="70" t="s">
        <v>3510</v>
      </c>
      <c r="G1109" s="73"/>
      <c r="H1109" s="76" t="s">
        <v>1489</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outlineLevel="3" x14ac:dyDescent="0.25">
      <c r="A1110" s="45"/>
      <c r="B1110" s="54"/>
      <c r="C1110" s="47">
        <f t="shared" si="277"/>
        <v>4</v>
      </c>
      <c r="D1110" s="73"/>
      <c r="E1110" s="70"/>
      <c r="F1110" s="70" t="s">
        <v>3511</v>
      </c>
      <c r="G1110" s="73"/>
      <c r="H1110" s="76" t="s">
        <v>1491</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outlineLevel="3" x14ac:dyDescent="0.25">
      <c r="A1111" s="45"/>
      <c r="B1111" s="54"/>
      <c r="C1111" s="47">
        <f t="shared" si="277"/>
        <v>4</v>
      </c>
      <c r="D1111" s="73"/>
      <c r="E1111" s="70"/>
      <c r="F1111" s="70" t="s">
        <v>3512</v>
      </c>
      <c r="G1111" s="73"/>
      <c r="H1111" s="76" t="s">
        <v>1493</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outlineLevel="3" x14ac:dyDescent="0.25">
      <c r="A1112" s="45"/>
      <c r="B1112" s="54"/>
      <c r="C1112" s="47">
        <f t="shared" si="277"/>
        <v>4</v>
      </c>
      <c r="D1112" s="73"/>
      <c r="E1112" s="70"/>
      <c r="F1112" s="70" t="s">
        <v>3513</v>
      </c>
      <c r="G1112" s="73"/>
      <c r="H1112" s="76" t="s">
        <v>1495</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outlineLevel="3" x14ac:dyDescent="0.25">
      <c r="A1113" s="45"/>
      <c r="B1113" s="54"/>
      <c r="C1113" s="47">
        <f t="shared" si="277"/>
        <v>4</v>
      </c>
      <c r="D1113" s="73"/>
      <c r="E1113" s="70"/>
      <c r="F1113" s="70" t="s">
        <v>3514</v>
      </c>
      <c r="G1113" s="73"/>
      <c r="H1113" s="76" t="s">
        <v>1489</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outlineLevel="3" x14ac:dyDescent="0.25">
      <c r="A1114" s="45"/>
      <c r="B1114" s="54"/>
      <c r="C1114" s="47">
        <f t="shared" si="277"/>
        <v>4</v>
      </c>
      <c r="D1114" s="73"/>
      <c r="E1114" s="70"/>
      <c r="F1114" s="70" t="s">
        <v>3515</v>
      </c>
      <c r="G1114" s="73"/>
      <c r="H1114" s="76" t="s">
        <v>1491</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outlineLevel="3" x14ac:dyDescent="0.25">
      <c r="A1115" s="45"/>
      <c r="B1115" s="54"/>
      <c r="C1115" s="47">
        <f t="shared" si="277"/>
        <v>4</v>
      </c>
      <c r="D1115" s="73"/>
      <c r="E1115" s="70"/>
      <c r="F1115" s="70" t="s">
        <v>3516</v>
      </c>
      <c r="G1115" s="73"/>
      <c r="H1115" s="76" t="s">
        <v>1493</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outlineLevel="3" x14ac:dyDescent="0.25">
      <c r="A1116" s="45"/>
      <c r="B1116" s="54"/>
      <c r="C1116" s="47">
        <f t="shared" si="277"/>
        <v>4</v>
      </c>
      <c r="D1116" s="73"/>
      <c r="E1116" s="70"/>
      <c r="F1116" s="70" t="s">
        <v>3517</v>
      </c>
      <c r="G1116" s="73"/>
      <c r="H1116" s="76" t="s">
        <v>1495</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outlineLevel="3" x14ac:dyDescent="0.25">
      <c r="A1117" s="45"/>
      <c r="B1117" s="54"/>
      <c r="C1117" s="47">
        <f t="shared" ref="C1117:C1124" si="278">INT($C$29)+3</f>
        <v>4</v>
      </c>
      <c r="D1117" s="73"/>
      <c r="E1117" s="70"/>
      <c r="F1117" s="70" t="s">
        <v>3518</v>
      </c>
      <c r="G1117" s="73"/>
      <c r="H1117" s="76" t="s">
        <v>1489</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outlineLevel="3" x14ac:dyDescent="0.25">
      <c r="A1118" s="45"/>
      <c r="B1118" s="54"/>
      <c r="C1118" s="47">
        <f t="shared" si="278"/>
        <v>4</v>
      </c>
      <c r="D1118" s="73"/>
      <c r="E1118" s="70"/>
      <c r="F1118" s="70" t="s">
        <v>3519</v>
      </c>
      <c r="G1118" s="73"/>
      <c r="H1118" s="76" t="s">
        <v>1491</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outlineLevel="3" x14ac:dyDescent="0.25">
      <c r="A1119" s="45"/>
      <c r="B1119" s="54"/>
      <c r="C1119" s="47">
        <f t="shared" si="278"/>
        <v>4</v>
      </c>
      <c r="D1119" s="73"/>
      <c r="E1119" s="70"/>
      <c r="F1119" s="70" t="s">
        <v>3520</v>
      </c>
      <c r="G1119" s="73"/>
      <c r="H1119" s="76" t="s">
        <v>1493</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outlineLevel="3" x14ac:dyDescent="0.25">
      <c r="A1120" s="45"/>
      <c r="B1120" s="54"/>
      <c r="C1120" s="47">
        <f t="shared" si="278"/>
        <v>4</v>
      </c>
      <c r="D1120" s="73"/>
      <c r="E1120" s="70"/>
      <c r="F1120" s="70" t="s">
        <v>3521</v>
      </c>
      <c r="G1120" s="73"/>
      <c r="H1120" s="76" t="s">
        <v>1495</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outlineLevel="3" x14ac:dyDescent="0.25">
      <c r="A1121" s="45"/>
      <c r="B1121" s="54"/>
      <c r="C1121" s="47">
        <f t="shared" si="278"/>
        <v>4</v>
      </c>
      <c r="D1121" s="73"/>
      <c r="E1121" s="70"/>
      <c r="F1121" s="70" t="s">
        <v>3522</v>
      </c>
      <c r="G1121" s="73"/>
      <c r="H1121" s="76" t="s">
        <v>1489</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outlineLevel="3" x14ac:dyDescent="0.25">
      <c r="A1122" s="45"/>
      <c r="B1122" s="54"/>
      <c r="C1122" s="47">
        <f t="shared" si="278"/>
        <v>4</v>
      </c>
      <c r="D1122" s="73"/>
      <c r="E1122" s="70"/>
      <c r="F1122" s="70" t="s">
        <v>3523</v>
      </c>
      <c r="G1122" s="73"/>
      <c r="H1122" s="76" t="s">
        <v>1491</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outlineLevel="3" x14ac:dyDescent="0.25">
      <c r="A1123" s="45"/>
      <c r="B1123" s="54"/>
      <c r="C1123" s="47">
        <f t="shared" si="278"/>
        <v>4</v>
      </c>
      <c r="D1123" s="73"/>
      <c r="E1123" s="70"/>
      <c r="F1123" s="70" t="s">
        <v>3524</v>
      </c>
      <c r="G1123" s="73"/>
      <c r="H1123" s="76" t="s">
        <v>1493</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outlineLevel="3" x14ac:dyDescent="0.25">
      <c r="A1124" s="45"/>
      <c r="B1124" s="54"/>
      <c r="C1124" s="47">
        <f t="shared" si="278"/>
        <v>4</v>
      </c>
      <c r="D1124" s="73"/>
      <c r="E1124" s="70"/>
      <c r="F1124" s="70" t="s">
        <v>3525</v>
      </c>
      <c r="G1124" s="73"/>
      <c r="H1124" s="76" t="s">
        <v>1495</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outlineLevel="1" collapsed="1" x14ac:dyDescent="0.25">
      <c r="A1125" s="45"/>
      <c r="B1125" s="54"/>
      <c r="C1125" s="47">
        <f>INT($C$29)+1</f>
        <v>2</v>
      </c>
      <c r="D1125" s="73"/>
      <c r="E1125" s="70"/>
      <c r="F1125" s="265" t="s">
        <v>1719</v>
      </c>
      <c r="G1125" s="73"/>
      <c r="H1125" s="246" t="s">
        <v>1720</v>
      </c>
      <c r="I1125" s="96"/>
      <c r="J1125" s="96" t="s">
        <v>519</v>
      </c>
      <c r="K1125" s="76"/>
      <c r="L1125" s="76"/>
      <c r="M1125" s="76"/>
      <c r="N1125" s="76"/>
      <c r="O1125" s="76"/>
      <c r="P1125" s="76"/>
      <c r="Q1125" s="76"/>
      <c r="R1125" s="76"/>
      <c r="S1125" s="76"/>
      <c r="T1125" s="76"/>
      <c r="U1125" s="79">
        <v>5</v>
      </c>
      <c r="V1125" s="76"/>
      <c r="W1125" s="79">
        <v>0</v>
      </c>
      <c r="X1125" s="76"/>
      <c r="Y1125" s="76"/>
      <c r="Z1125" s="76"/>
      <c r="AA1125" s="76"/>
      <c r="AB1125" s="76"/>
      <c r="AC1125" s="76"/>
      <c r="AD1125" s="76"/>
      <c r="AE1125" s="76"/>
      <c r="AF1125" s="76"/>
      <c r="AG1125" s="76"/>
      <c r="AH1125" s="76"/>
      <c r="AI1125" s="76"/>
      <c r="AJ1125" s="73"/>
      <c r="AK1125" s="57"/>
      <c r="AL1125" s="45"/>
      <c r="AM1125" s="45"/>
      <c r="AN1125" s="45"/>
    </row>
    <row r="1126" spans="1:40" hidden="1" outlineLevel="2" x14ac:dyDescent="0.25">
      <c r="A1126" s="45"/>
      <c r="B1126" s="54"/>
      <c r="C1126" s="47">
        <f>INT($C$29)+2</f>
        <v>3</v>
      </c>
      <c r="D1126" s="73"/>
      <c r="E1126" s="70" t="s">
        <v>1721</v>
      </c>
      <c r="F1126" s="70" t="s">
        <v>1722</v>
      </c>
      <c r="G1126" s="73"/>
      <c r="H1126" s="76" t="s">
        <v>1723</v>
      </c>
      <c r="I1126" s="76"/>
      <c r="J1126" s="76"/>
      <c r="K1126" s="97">
        <v>0.99704199999999998</v>
      </c>
      <c r="L1126" s="97">
        <v>0.99704199999999998</v>
      </c>
      <c r="M1126" s="76"/>
      <c r="N1126" s="76"/>
      <c r="O1126" s="76"/>
      <c r="P1126" s="76"/>
      <c r="Q1126" s="76"/>
      <c r="R1126" s="76"/>
      <c r="S1126" s="76"/>
      <c r="T1126" s="76"/>
      <c r="U1126" s="253">
        <f t="shared" ref="U1126:AD1126" si="279">INDEX($K1126:$Q1126,1,U$43)</f>
        <v>0.99704199999999998</v>
      </c>
      <c r="V1126" s="253">
        <f t="shared" si="279"/>
        <v>0.99704199999999998</v>
      </c>
      <c r="W1126" s="253">
        <f t="shared" si="279"/>
        <v>0.99704199999999998</v>
      </c>
      <c r="X1126" s="253">
        <f t="shared" si="279"/>
        <v>0.99704199999999998</v>
      </c>
      <c r="Y1126" s="253">
        <f t="shared" si="279"/>
        <v>0.99704199999999998</v>
      </c>
      <c r="Z1126" s="253">
        <f t="shared" si="279"/>
        <v>0.99704199999999998</v>
      </c>
      <c r="AA1126" s="253">
        <f t="shared" si="279"/>
        <v>0.99704199999999998</v>
      </c>
      <c r="AB1126" s="253">
        <f t="shared" si="279"/>
        <v>0.99704199999999998</v>
      </c>
      <c r="AC1126" s="253">
        <f t="shared" si="279"/>
        <v>0.99704199999999998</v>
      </c>
      <c r="AD1126" s="253">
        <f t="shared" si="279"/>
        <v>0.99704199999999998</v>
      </c>
      <c r="AE1126" s="76"/>
      <c r="AF1126" s="76"/>
      <c r="AG1126" s="76"/>
      <c r="AH1126" s="97">
        <v>1</v>
      </c>
      <c r="AI1126" s="97">
        <v>1</v>
      </c>
      <c r="AJ1126" s="73"/>
      <c r="AK1126" s="57"/>
      <c r="AL1126" s="45"/>
      <c r="AM1126" s="45"/>
      <c r="AN1126" s="45"/>
    </row>
    <row r="1127" spans="1:40" hidden="1" outlineLevel="2" x14ac:dyDescent="0.25">
      <c r="A1127" s="45"/>
      <c r="B1127" s="54"/>
      <c r="C1127" s="47">
        <f>INT($C$29)+2</f>
        <v>3</v>
      </c>
      <c r="D1127" s="73"/>
      <c r="E1127" s="70"/>
      <c r="F1127" s="70" t="s">
        <v>1724</v>
      </c>
      <c r="G1127" s="73"/>
      <c r="H1127" s="129" t="s">
        <v>2788</v>
      </c>
      <c r="I1127" s="96"/>
      <c r="J1127" s="96"/>
      <c r="K1127" s="76"/>
      <c r="L1127" s="76"/>
      <c r="M1127" s="76"/>
      <c r="N1127" s="76"/>
      <c r="O1127" s="76"/>
      <c r="P1127" s="76"/>
      <c r="Q1127" s="76"/>
      <c r="R1127" s="76"/>
      <c r="S1127" s="76"/>
      <c r="T1127" s="76"/>
      <c r="U1127" s="266">
        <v>0.19</v>
      </c>
      <c r="V1127" s="266">
        <v>0.19</v>
      </c>
      <c r="W1127" s="266">
        <v>0.19</v>
      </c>
      <c r="X1127" s="266">
        <v>0.19</v>
      </c>
      <c r="Y1127" s="266">
        <v>0.19</v>
      </c>
      <c r="Z1127" s="266">
        <v>0.25</v>
      </c>
      <c r="AA1127" s="266">
        <v>0.25</v>
      </c>
      <c r="AB1127" s="266">
        <v>0.25</v>
      </c>
      <c r="AC1127" s="266">
        <v>0.25</v>
      </c>
      <c r="AD1127" s="266">
        <v>0.25</v>
      </c>
      <c r="AE1127" s="76"/>
      <c r="AF1127" s="97" t="s">
        <v>1726</v>
      </c>
      <c r="AG1127" s="76"/>
      <c r="AH1127" s="97">
        <v>1</v>
      </c>
      <c r="AI1127" s="97">
        <v>1</v>
      </c>
      <c r="AJ1127" s="73"/>
      <c r="AK1127" s="57"/>
      <c r="AL1127" s="45"/>
      <c r="AM1127" s="45"/>
      <c r="AN1127" s="45"/>
    </row>
    <row r="1128" spans="1:40" hidden="1" outlineLevel="2" x14ac:dyDescent="0.25">
      <c r="A1128" s="45"/>
      <c r="B1128" s="54"/>
      <c r="C1128" s="47">
        <f>INT($C$29)+2</f>
        <v>3</v>
      </c>
      <c r="D1128" s="73"/>
      <c r="E1128" s="70"/>
      <c r="F1128" s="70" t="s">
        <v>1727</v>
      </c>
      <c r="G1128" s="73"/>
      <c r="H1128" s="76" t="s">
        <v>1728</v>
      </c>
      <c r="I1128" s="76"/>
      <c r="J1128" s="76"/>
      <c r="K1128" s="76"/>
      <c r="L1128" s="76"/>
      <c r="M1128" s="76"/>
      <c r="N1128" s="76"/>
      <c r="O1128" s="76"/>
      <c r="P1128" s="76"/>
      <c r="Q1128" s="76"/>
      <c r="R1128" s="76"/>
      <c r="S1128" s="76"/>
      <c r="T1128" s="76"/>
      <c r="U1128" s="97">
        <v>0.13739999999999999</v>
      </c>
      <c r="V1128" s="97">
        <v>0.13739999999999999</v>
      </c>
      <c r="W1128" s="97">
        <v>0.13739999999999999</v>
      </c>
      <c r="X1128" s="97">
        <v>0.13739999999999999</v>
      </c>
      <c r="Y1128" s="97">
        <v>0.13739999999999999</v>
      </c>
      <c r="Z1128" s="255">
        <f t="shared" ref="Z1128:AD1130" si="280">Y1128</f>
        <v>0.13739999999999999</v>
      </c>
      <c r="AA1128" s="255">
        <f t="shared" si="280"/>
        <v>0.13739999999999999</v>
      </c>
      <c r="AB1128" s="255">
        <f t="shared" si="280"/>
        <v>0.13739999999999999</v>
      </c>
      <c r="AC1128" s="255">
        <f t="shared" si="280"/>
        <v>0.13739999999999999</v>
      </c>
      <c r="AD1128" s="255">
        <f t="shared" si="280"/>
        <v>0.13739999999999999</v>
      </c>
      <c r="AE1128" s="76"/>
      <c r="AF1128" s="76"/>
      <c r="AG1128" s="76"/>
      <c r="AH1128" s="97">
        <v>1</v>
      </c>
      <c r="AI1128" s="97">
        <v>1</v>
      </c>
      <c r="AJ1128" s="73"/>
      <c r="AK1128" s="57"/>
      <c r="AL1128" s="45"/>
      <c r="AM1128" s="45"/>
      <c r="AN1128" s="45"/>
    </row>
    <row r="1129" spans="1:40" hidden="1" outlineLevel="2" x14ac:dyDescent="0.25">
      <c r="A1129" s="45"/>
      <c r="B1129" s="54"/>
      <c r="C1129" s="47">
        <f>INT($C$29)+2</f>
        <v>3</v>
      </c>
      <c r="D1129" s="73"/>
      <c r="E1129" s="70"/>
      <c r="F1129" s="70" t="s">
        <v>1729</v>
      </c>
      <c r="G1129" s="73"/>
      <c r="H1129" s="76" t="s">
        <v>1730</v>
      </c>
      <c r="I1129" s="76"/>
      <c r="J1129" s="76"/>
      <c r="K1129" s="76"/>
      <c r="L1129" s="76"/>
      <c r="M1129" s="76"/>
      <c r="N1129" s="76"/>
      <c r="O1129" s="76"/>
      <c r="P1129" s="76"/>
      <c r="Q1129" s="76"/>
      <c r="R1129" s="76"/>
      <c r="S1129" s="76"/>
      <c r="T1129" s="76"/>
      <c r="U1129" s="97">
        <v>0.16700000000000001</v>
      </c>
      <c r="V1129" s="97">
        <v>0.16700000000000001</v>
      </c>
      <c r="W1129" s="97">
        <v>0.16700000000000001</v>
      </c>
      <c r="X1129" s="97">
        <v>0.16700000000000001</v>
      </c>
      <c r="Y1129" s="97">
        <v>0.16700000000000001</v>
      </c>
      <c r="Z1129" s="255">
        <f t="shared" si="280"/>
        <v>0.16700000000000001</v>
      </c>
      <c r="AA1129" s="255">
        <f t="shared" si="280"/>
        <v>0.16700000000000001</v>
      </c>
      <c r="AB1129" s="255">
        <f t="shared" si="280"/>
        <v>0.16700000000000001</v>
      </c>
      <c r="AC1129" s="255">
        <f t="shared" si="280"/>
        <v>0.16700000000000001</v>
      </c>
      <c r="AD1129" s="255">
        <f t="shared" si="280"/>
        <v>0.16700000000000001</v>
      </c>
      <c r="AE1129" s="76"/>
      <c r="AF1129" s="76"/>
      <c r="AG1129" s="76"/>
      <c r="AH1129" s="97">
        <v>1</v>
      </c>
      <c r="AI1129" s="97">
        <v>1</v>
      </c>
      <c r="AJ1129" s="73"/>
      <c r="AK1129" s="57"/>
      <c r="AL1129" s="45"/>
      <c r="AM1129" s="45"/>
      <c r="AN1129" s="45"/>
    </row>
    <row r="1130" spans="1:40" hidden="1" outlineLevel="2" x14ac:dyDescent="0.25">
      <c r="A1130" s="45"/>
      <c r="B1130" s="54"/>
      <c r="C1130" s="47">
        <f>INT($C$29)+2</f>
        <v>3</v>
      </c>
      <c r="D1130" s="73"/>
      <c r="E1130" s="70"/>
      <c r="F1130" s="70" t="s">
        <v>1731</v>
      </c>
      <c r="G1130" s="73"/>
      <c r="H1130" s="76" t="s">
        <v>1732</v>
      </c>
      <c r="I1130" s="76"/>
      <c r="J1130" s="76"/>
      <c r="K1130" s="76"/>
      <c r="L1130" s="76"/>
      <c r="M1130" s="76"/>
      <c r="N1130" s="76"/>
      <c r="O1130" s="76"/>
      <c r="P1130" s="76"/>
      <c r="Q1130" s="76"/>
      <c r="R1130" s="76"/>
      <c r="S1130" s="76"/>
      <c r="T1130" s="76"/>
      <c r="U1130" s="97">
        <v>0.08</v>
      </c>
      <c r="V1130" s="97">
        <v>0.08</v>
      </c>
      <c r="W1130" s="97">
        <v>0.08</v>
      </c>
      <c r="X1130" s="97">
        <v>0.08</v>
      </c>
      <c r="Y1130" s="97">
        <v>0.08</v>
      </c>
      <c r="Z1130" s="255">
        <f t="shared" si="280"/>
        <v>0.08</v>
      </c>
      <c r="AA1130" s="255">
        <f t="shared" si="280"/>
        <v>0.08</v>
      </c>
      <c r="AB1130" s="255">
        <f t="shared" si="280"/>
        <v>0.08</v>
      </c>
      <c r="AC1130" s="255">
        <f t="shared" si="280"/>
        <v>0.08</v>
      </c>
      <c r="AD1130" s="255">
        <f t="shared" si="280"/>
        <v>0.08</v>
      </c>
      <c r="AE1130" s="76"/>
      <c r="AF1130" s="76"/>
      <c r="AG1130" s="76"/>
      <c r="AH1130" s="97">
        <v>1</v>
      </c>
      <c r="AI1130" s="97">
        <v>1</v>
      </c>
      <c r="AJ1130" s="73"/>
      <c r="AK1130" s="57"/>
      <c r="AL1130" s="45"/>
      <c r="AM1130" s="45"/>
      <c r="AN1130" s="45"/>
    </row>
    <row r="1131" spans="1:40" outlineLevel="1" collapsed="1" x14ac:dyDescent="0.25">
      <c r="A1131" s="45"/>
      <c r="B1131" s="54"/>
      <c r="C1131" s="47">
        <f>INT($C$29)+1</f>
        <v>2</v>
      </c>
      <c r="D1131" s="73"/>
      <c r="E1131" s="70"/>
      <c r="F1131" s="265" t="s">
        <v>1719</v>
      </c>
      <c r="G1131" s="73"/>
      <c r="H1131" s="267" t="s">
        <v>1733</v>
      </c>
      <c r="I1131" s="129"/>
      <c r="J1131" s="129" t="s">
        <v>1045</v>
      </c>
      <c r="K1131" s="76"/>
      <c r="L1131" s="76"/>
      <c r="M1131" s="76"/>
      <c r="N1131" s="76"/>
      <c r="O1131" s="76"/>
      <c r="P1131" s="76"/>
      <c r="Q1131" s="76"/>
      <c r="R1131" s="76"/>
      <c r="S1131" s="76"/>
      <c r="T1131" s="76"/>
      <c r="U1131" s="79">
        <v>20</v>
      </c>
      <c r="V1131" s="79">
        <v>8</v>
      </c>
      <c r="W1131" s="79">
        <v>0</v>
      </c>
      <c r="X1131" s="76"/>
      <c r="Y1131" s="76"/>
      <c r="Z1131" s="76"/>
      <c r="AA1131" s="76"/>
      <c r="AB1131" s="76"/>
      <c r="AC1131" s="76"/>
      <c r="AD1131" s="76"/>
      <c r="AE1131" s="76"/>
      <c r="AF1131" s="76"/>
      <c r="AG1131" s="76"/>
      <c r="AH1131" s="76"/>
      <c r="AI1131" s="76"/>
      <c r="AJ1131" s="73"/>
      <c r="AK1131" s="57"/>
      <c r="AL1131" s="45"/>
      <c r="AM1131" s="45"/>
      <c r="AN1131" s="45"/>
    </row>
    <row r="1132" spans="1:40" hidden="1" outlineLevel="3" x14ac:dyDescent="0.25">
      <c r="A1132" s="45"/>
      <c r="B1132" s="54"/>
      <c r="C1132" s="47">
        <f t="shared" ref="C1132:C1139" si="281">INT($C$29)+2</f>
        <v>3</v>
      </c>
      <c r="D1132" s="73"/>
      <c r="E1132" s="70"/>
      <c r="F1132" s="70" t="s">
        <v>1734</v>
      </c>
      <c r="G1132" s="73"/>
      <c r="H1132" s="76" t="s">
        <v>1735</v>
      </c>
      <c r="I1132" s="76"/>
      <c r="J1132" s="7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281"/>
        <v>3</v>
      </c>
      <c r="D1133" s="73"/>
      <c r="E1133" s="70"/>
      <c r="F1133" s="70" t="s">
        <v>1736</v>
      </c>
      <c r="G1133" s="73"/>
      <c r="H1133" s="76" t="s">
        <v>1737</v>
      </c>
      <c r="I1133" s="76"/>
      <c r="J1133" s="7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281"/>
        <v>3</v>
      </c>
      <c r="D1134" s="73"/>
      <c r="E1134" s="70"/>
      <c r="F1134" s="70" t="s">
        <v>1738</v>
      </c>
      <c r="G1134" s="73"/>
      <c r="H1134" s="76" t="s">
        <v>1739</v>
      </c>
      <c r="I1134" s="76"/>
      <c r="J1134" s="7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281"/>
        <v>3</v>
      </c>
      <c r="D1135" s="73"/>
      <c r="E1135" s="70"/>
      <c r="F1135" s="70" t="s">
        <v>1740</v>
      </c>
      <c r="G1135" s="73"/>
      <c r="H1135" s="76" t="s">
        <v>1741</v>
      </c>
      <c r="I1135" s="76"/>
      <c r="J1135" s="7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281"/>
        <v>3</v>
      </c>
      <c r="D1136" s="73"/>
      <c r="E1136" s="70"/>
      <c r="F1136" s="70" t="s">
        <v>1742</v>
      </c>
      <c r="G1136" s="73"/>
      <c r="H1136" s="76" t="s">
        <v>1743</v>
      </c>
      <c r="I1136" s="76"/>
      <c r="J1136" s="7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281"/>
        <v>3</v>
      </c>
      <c r="D1137" s="73"/>
      <c r="E1137" s="70"/>
      <c r="F1137" s="70" t="s">
        <v>1744</v>
      </c>
      <c r="G1137" s="73"/>
      <c r="H1137" s="76" t="s">
        <v>1745</v>
      </c>
      <c r="I1137" s="76"/>
      <c r="J1137" s="7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281"/>
        <v>3</v>
      </c>
      <c r="D1138" s="73"/>
      <c r="E1138" s="70"/>
      <c r="F1138" s="70" t="s">
        <v>1746</v>
      </c>
      <c r="G1138" s="73"/>
      <c r="H1138" s="76" t="s">
        <v>1747</v>
      </c>
      <c r="I1138" s="76"/>
      <c r="J1138" s="7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281"/>
        <v>3</v>
      </c>
      <c r="D1139" s="73"/>
      <c r="E1139" s="70"/>
      <c r="F1139" s="70" t="s">
        <v>1748</v>
      </c>
      <c r="G1139" s="73"/>
      <c r="H1139" s="76" t="s">
        <v>1749</v>
      </c>
      <c r="I1139" s="76"/>
      <c r="J1139" s="7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ref="C1140:C1171" si="282">INT($C$29)+3</f>
        <v>4</v>
      </c>
      <c r="D1140" s="73"/>
      <c r="E1140" s="70"/>
      <c r="F1140" s="70" t="s">
        <v>1750</v>
      </c>
      <c r="G1140" s="73"/>
      <c r="H1140" s="76" t="s">
        <v>604</v>
      </c>
      <c r="I1140" s="76"/>
      <c r="J1140" s="7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282"/>
        <v>4</v>
      </c>
      <c r="D1141" s="73"/>
      <c r="E1141" s="70"/>
      <c r="F1141" s="70" t="s">
        <v>1751</v>
      </c>
      <c r="G1141" s="73"/>
      <c r="H1141" s="76"/>
      <c r="I1141" s="76"/>
      <c r="J1141" s="7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282"/>
        <v>4</v>
      </c>
      <c r="D1142" s="73"/>
      <c r="E1142" s="70"/>
      <c r="F1142" s="70" t="s">
        <v>1752</v>
      </c>
      <c r="G1142" s="73"/>
      <c r="H1142" s="76"/>
      <c r="I1142" s="76"/>
      <c r="J1142" s="7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282"/>
        <v>4</v>
      </c>
      <c r="D1143" s="73"/>
      <c r="E1143" s="70"/>
      <c r="F1143" s="70" t="s">
        <v>1753</v>
      </c>
      <c r="G1143" s="73"/>
      <c r="H1143" s="76"/>
      <c r="I1143" s="76"/>
      <c r="J1143" s="7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282"/>
        <v>4</v>
      </c>
      <c r="D1144" s="73"/>
      <c r="E1144" s="70"/>
      <c r="F1144" s="70" t="s">
        <v>1754</v>
      </c>
      <c r="G1144" s="73"/>
      <c r="H1144" s="76"/>
      <c r="I1144" s="76"/>
      <c r="J1144" s="7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282"/>
        <v>4</v>
      </c>
      <c r="D1145" s="73"/>
      <c r="E1145" s="70"/>
      <c r="F1145" s="70" t="s">
        <v>1755</v>
      </c>
      <c r="G1145" s="73"/>
      <c r="H1145" s="76"/>
      <c r="I1145" s="76"/>
      <c r="J1145" s="7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282"/>
        <v>4</v>
      </c>
      <c r="D1146" s="73"/>
      <c r="E1146" s="70"/>
      <c r="F1146" s="70" t="s">
        <v>1756</v>
      </c>
      <c r="G1146" s="73"/>
      <c r="H1146" s="76"/>
      <c r="I1146" s="76"/>
      <c r="J1146" s="7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282"/>
        <v>4</v>
      </c>
      <c r="D1147" s="73"/>
      <c r="E1147" s="70"/>
      <c r="F1147" s="70" t="s">
        <v>1757</v>
      </c>
      <c r="G1147" s="73"/>
      <c r="H1147" s="76"/>
      <c r="I1147" s="76"/>
      <c r="J1147" s="7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282"/>
        <v>4</v>
      </c>
      <c r="D1148" s="73"/>
      <c r="E1148" s="70"/>
      <c r="F1148" s="70" t="s">
        <v>1758</v>
      </c>
      <c r="G1148" s="73"/>
      <c r="H1148" s="76" t="s">
        <v>604</v>
      </c>
      <c r="I1148" s="76"/>
      <c r="J1148" s="7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282"/>
        <v>4</v>
      </c>
      <c r="D1149" s="73"/>
      <c r="E1149" s="70"/>
      <c r="F1149" s="70" t="s">
        <v>1759</v>
      </c>
      <c r="G1149" s="73"/>
      <c r="H1149" s="76"/>
      <c r="I1149" s="76"/>
      <c r="J1149" s="7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3" x14ac:dyDescent="0.25">
      <c r="A1150" s="45"/>
      <c r="B1150" s="54"/>
      <c r="C1150" s="47">
        <f t="shared" si="282"/>
        <v>4</v>
      </c>
      <c r="D1150" s="73"/>
      <c r="E1150" s="70"/>
      <c r="F1150" s="70" t="s">
        <v>1760</v>
      </c>
      <c r="G1150" s="73"/>
      <c r="H1150" s="76"/>
      <c r="I1150" s="76"/>
      <c r="J1150" s="7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hidden="1" outlineLevel="3" x14ac:dyDescent="0.25">
      <c r="A1151" s="45"/>
      <c r="B1151" s="54"/>
      <c r="C1151" s="47">
        <f t="shared" si="282"/>
        <v>4</v>
      </c>
      <c r="D1151" s="73"/>
      <c r="E1151" s="70"/>
      <c r="F1151" s="70" t="s">
        <v>1761</v>
      </c>
      <c r="G1151" s="73"/>
      <c r="H1151" s="76"/>
      <c r="I1151" s="76"/>
      <c r="J1151" s="7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v>1</v>
      </c>
      <c r="AI1151" s="76">
        <v>1</v>
      </c>
      <c r="AJ1151" s="73"/>
      <c r="AK1151" s="57"/>
      <c r="AL1151" s="45"/>
      <c r="AM1151" s="45"/>
      <c r="AN1151" s="45"/>
    </row>
    <row r="1152" spans="1:40" hidden="1" outlineLevel="3" x14ac:dyDescent="0.25">
      <c r="A1152" s="45"/>
      <c r="B1152" s="54"/>
      <c r="C1152" s="47">
        <f t="shared" si="282"/>
        <v>4</v>
      </c>
      <c r="D1152" s="73"/>
      <c r="E1152" s="70"/>
      <c r="F1152" s="70" t="s">
        <v>1762</v>
      </c>
      <c r="G1152" s="73"/>
      <c r="H1152" s="76"/>
      <c r="I1152" s="76"/>
      <c r="J1152" s="7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v>1</v>
      </c>
      <c r="AI1152" s="76">
        <v>1</v>
      </c>
      <c r="AJ1152" s="73"/>
      <c r="AK1152" s="57"/>
      <c r="AL1152" s="45"/>
      <c r="AM1152" s="45"/>
      <c r="AN1152" s="45"/>
    </row>
    <row r="1153" spans="1:40" hidden="1" outlineLevel="3" x14ac:dyDescent="0.25">
      <c r="A1153" s="45"/>
      <c r="B1153" s="54"/>
      <c r="C1153" s="47">
        <f t="shared" si="282"/>
        <v>4</v>
      </c>
      <c r="D1153" s="73"/>
      <c r="E1153" s="70"/>
      <c r="F1153" s="70" t="s">
        <v>1763</v>
      </c>
      <c r="G1153" s="73"/>
      <c r="H1153" s="76"/>
      <c r="I1153" s="76"/>
      <c r="J1153" s="7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v>1</v>
      </c>
      <c r="AI1153" s="76">
        <v>1</v>
      </c>
      <c r="AJ1153" s="73"/>
      <c r="AK1153" s="57"/>
      <c r="AL1153" s="45"/>
      <c r="AM1153" s="45"/>
      <c r="AN1153" s="45"/>
    </row>
    <row r="1154" spans="1:40" hidden="1" outlineLevel="3" x14ac:dyDescent="0.25">
      <c r="A1154" s="45"/>
      <c r="B1154" s="54"/>
      <c r="C1154" s="47">
        <f t="shared" si="282"/>
        <v>4</v>
      </c>
      <c r="D1154" s="73"/>
      <c r="E1154" s="70"/>
      <c r="F1154" s="70" t="s">
        <v>1764</v>
      </c>
      <c r="G1154" s="73"/>
      <c r="H1154" s="76"/>
      <c r="I1154" s="76"/>
      <c r="J1154" s="7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v>1</v>
      </c>
      <c r="AI1154" s="76">
        <v>1</v>
      </c>
      <c r="AJ1154" s="73"/>
      <c r="AK1154" s="57"/>
      <c r="AL1154" s="45"/>
      <c r="AM1154" s="45"/>
      <c r="AN1154" s="45"/>
    </row>
    <row r="1155" spans="1:40" hidden="1" outlineLevel="3" x14ac:dyDescent="0.25">
      <c r="A1155" s="45"/>
      <c r="B1155" s="54"/>
      <c r="C1155" s="47">
        <f t="shared" si="282"/>
        <v>4</v>
      </c>
      <c r="D1155" s="73"/>
      <c r="E1155" s="70"/>
      <c r="F1155" s="70" t="s">
        <v>1765</v>
      </c>
      <c r="G1155" s="73"/>
      <c r="H1155" s="76"/>
      <c r="I1155" s="76"/>
      <c r="J1155" s="7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v>1</v>
      </c>
      <c r="AI1155" s="76">
        <v>1</v>
      </c>
      <c r="AJ1155" s="73"/>
      <c r="AK1155" s="57"/>
      <c r="AL1155" s="45"/>
      <c r="AM1155" s="45"/>
      <c r="AN1155" s="45"/>
    </row>
    <row r="1156" spans="1:40" hidden="1" outlineLevel="3" x14ac:dyDescent="0.25">
      <c r="A1156" s="45"/>
      <c r="B1156" s="54"/>
      <c r="C1156" s="47">
        <f t="shared" si="282"/>
        <v>4</v>
      </c>
      <c r="D1156" s="73"/>
      <c r="E1156" s="70"/>
      <c r="F1156" s="70" t="s">
        <v>1766</v>
      </c>
      <c r="G1156" s="73"/>
      <c r="H1156" s="76" t="s">
        <v>604</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25">
      <c r="A1157" s="45"/>
      <c r="B1157" s="54"/>
      <c r="C1157" s="47">
        <f t="shared" si="282"/>
        <v>4</v>
      </c>
      <c r="D1157" s="73"/>
      <c r="E1157" s="70"/>
      <c r="F1157" s="70" t="s">
        <v>1767</v>
      </c>
      <c r="G1157" s="73"/>
      <c r="H1157" s="76"/>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282"/>
        <v>4</v>
      </c>
      <c r="D1158" s="73"/>
      <c r="E1158" s="70"/>
      <c r="F1158" s="70" t="s">
        <v>1768</v>
      </c>
      <c r="G1158" s="73"/>
      <c r="H1158" s="76"/>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282"/>
        <v>4</v>
      </c>
      <c r="D1159" s="73"/>
      <c r="E1159" s="70"/>
      <c r="F1159" s="70" t="s">
        <v>1769</v>
      </c>
      <c r="G1159" s="73"/>
      <c r="H1159" s="76"/>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282"/>
        <v>4</v>
      </c>
      <c r="D1160" s="73"/>
      <c r="E1160" s="70"/>
      <c r="F1160" s="70" t="s">
        <v>1770</v>
      </c>
      <c r="G1160" s="73"/>
      <c r="H1160" s="76"/>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282"/>
        <v>4</v>
      </c>
      <c r="D1161" s="73"/>
      <c r="E1161" s="70"/>
      <c r="F1161" s="70" t="s">
        <v>1771</v>
      </c>
      <c r="G1161" s="73"/>
      <c r="H1161" s="76"/>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282"/>
        <v>4</v>
      </c>
      <c r="D1162" s="73"/>
      <c r="E1162" s="70"/>
      <c r="F1162" s="70" t="s">
        <v>1772</v>
      </c>
      <c r="G1162" s="73"/>
      <c r="H1162" s="76"/>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282"/>
        <v>4</v>
      </c>
      <c r="D1163" s="73"/>
      <c r="E1163" s="70"/>
      <c r="F1163" s="70" t="s">
        <v>1773</v>
      </c>
      <c r="G1163" s="73"/>
      <c r="H1163" s="76"/>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282"/>
        <v>4</v>
      </c>
      <c r="D1164" s="73"/>
      <c r="E1164" s="70"/>
      <c r="F1164" s="70" t="s">
        <v>1774</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si="282"/>
        <v>4</v>
      </c>
      <c r="D1165" s="73"/>
      <c r="E1165" s="70"/>
      <c r="F1165" s="70" t="s">
        <v>1775</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282"/>
        <v>4</v>
      </c>
      <c r="D1166" s="73"/>
      <c r="E1166" s="70"/>
      <c r="F1166" s="70" t="s">
        <v>1776</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282"/>
        <v>4</v>
      </c>
      <c r="D1167" s="73"/>
      <c r="E1167" s="70"/>
      <c r="F1167" s="70" t="s">
        <v>1777</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282"/>
        <v>4</v>
      </c>
      <c r="D1168" s="73"/>
      <c r="E1168" s="70"/>
      <c r="F1168" s="70" t="s">
        <v>1778</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282"/>
        <v>4</v>
      </c>
      <c r="D1169" s="73"/>
      <c r="E1169" s="70"/>
      <c r="F1169" s="70" t="s">
        <v>1779</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282"/>
        <v>4</v>
      </c>
      <c r="D1170" s="73"/>
      <c r="E1170" s="70"/>
      <c r="F1170" s="70" t="s">
        <v>1780</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282"/>
        <v>4</v>
      </c>
      <c r="D1171" s="73"/>
      <c r="E1171" s="70"/>
      <c r="F1171" s="70" t="s">
        <v>1781</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ref="C1172:C1203" si="283">INT($C$29)+3</f>
        <v>4</v>
      </c>
      <c r="D1172" s="73"/>
      <c r="E1172" s="70"/>
      <c r="F1172" s="70" t="s">
        <v>1782</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283"/>
        <v>4</v>
      </c>
      <c r="D1173" s="73"/>
      <c r="E1173" s="70"/>
      <c r="F1173" s="70" t="s">
        <v>1783</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283"/>
        <v>4</v>
      </c>
      <c r="D1174" s="73"/>
      <c r="E1174" s="70"/>
      <c r="F1174" s="70" t="s">
        <v>1784</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283"/>
        <v>4</v>
      </c>
      <c r="D1175" s="73"/>
      <c r="E1175" s="70"/>
      <c r="F1175" s="70" t="s">
        <v>1785</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283"/>
        <v>4</v>
      </c>
      <c r="D1176" s="73"/>
      <c r="E1176" s="70"/>
      <c r="F1176" s="70" t="s">
        <v>1786</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283"/>
        <v>4</v>
      </c>
      <c r="D1177" s="73"/>
      <c r="E1177" s="70"/>
      <c r="F1177" s="70" t="s">
        <v>1787</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283"/>
        <v>4</v>
      </c>
      <c r="D1178" s="73"/>
      <c r="E1178" s="70"/>
      <c r="F1178" s="70" t="s">
        <v>1788</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283"/>
        <v>4</v>
      </c>
      <c r="D1179" s="73"/>
      <c r="E1179" s="70"/>
      <c r="F1179" s="70" t="s">
        <v>1789</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283"/>
        <v>4</v>
      </c>
      <c r="D1180" s="73"/>
      <c r="E1180" s="70"/>
      <c r="F1180" s="70" t="s">
        <v>1790</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283"/>
        <v>4</v>
      </c>
      <c r="D1181" s="73"/>
      <c r="E1181" s="70"/>
      <c r="F1181" s="70" t="s">
        <v>1791</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283"/>
        <v>4</v>
      </c>
      <c r="D1182" s="73"/>
      <c r="E1182" s="70"/>
      <c r="F1182" s="70" t="s">
        <v>1792</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283"/>
        <v>4</v>
      </c>
      <c r="D1183" s="73"/>
      <c r="E1183" s="70"/>
      <c r="F1183" s="70" t="s">
        <v>1793</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283"/>
        <v>4</v>
      </c>
      <c r="D1184" s="73"/>
      <c r="E1184" s="70"/>
      <c r="F1184" s="70" t="s">
        <v>1794</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283"/>
        <v>4</v>
      </c>
      <c r="D1185" s="73"/>
      <c r="E1185" s="70"/>
      <c r="F1185" s="70" t="s">
        <v>1795</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283"/>
        <v>4</v>
      </c>
      <c r="D1186" s="73"/>
      <c r="E1186" s="70"/>
      <c r="F1186" s="70" t="s">
        <v>1796</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283"/>
        <v>4</v>
      </c>
      <c r="D1187" s="73"/>
      <c r="E1187" s="70"/>
      <c r="F1187" s="70" t="s">
        <v>1797</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283"/>
        <v>4</v>
      </c>
      <c r="D1188" s="73"/>
      <c r="E1188" s="70"/>
      <c r="F1188" s="70" t="s">
        <v>1798</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283"/>
        <v>4</v>
      </c>
      <c r="D1189" s="73"/>
      <c r="E1189" s="70"/>
      <c r="F1189" s="70" t="s">
        <v>1799</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283"/>
        <v>4</v>
      </c>
      <c r="D1190" s="73"/>
      <c r="E1190" s="70"/>
      <c r="F1190" s="70" t="s">
        <v>1800</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283"/>
        <v>4</v>
      </c>
      <c r="D1191" s="73"/>
      <c r="E1191" s="70"/>
      <c r="F1191" s="70" t="s">
        <v>1801</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283"/>
        <v>4</v>
      </c>
      <c r="D1192" s="73"/>
      <c r="E1192" s="70"/>
      <c r="F1192" s="70" t="s">
        <v>1802</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283"/>
        <v>4</v>
      </c>
      <c r="D1193" s="73"/>
      <c r="E1193" s="70"/>
      <c r="F1193" s="70" t="s">
        <v>1803</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283"/>
        <v>4</v>
      </c>
      <c r="D1194" s="73"/>
      <c r="E1194" s="70"/>
      <c r="F1194" s="70" t="s">
        <v>1804</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283"/>
        <v>4</v>
      </c>
      <c r="D1195" s="73"/>
      <c r="E1195" s="70"/>
      <c r="F1195" s="70" t="s">
        <v>1805</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283"/>
        <v>4</v>
      </c>
      <c r="D1196" s="73"/>
      <c r="E1196" s="70"/>
      <c r="F1196" s="70" t="s">
        <v>1806</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283"/>
        <v>4</v>
      </c>
      <c r="D1197" s="73"/>
      <c r="E1197" s="70"/>
      <c r="F1197" s="70" t="s">
        <v>1807</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283"/>
        <v>4</v>
      </c>
      <c r="D1198" s="73"/>
      <c r="E1198" s="70"/>
      <c r="F1198" s="70" t="s">
        <v>1808</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283"/>
        <v>4</v>
      </c>
      <c r="D1199" s="73"/>
      <c r="E1199" s="70"/>
      <c r="F1199" s="70" t="s">
        <v>1809</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283"/>
        <v>4</v>
      </c>
      <c r="D1200" s="73"/>
      <c r="E1200" s="70"/>
      <c r="F1200" s="70" t="s">
        <v>1810</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283"/>
        <v>4</v>
      </c>
      <c r="D1201" s="73"/>
      <c r="E1201" s="70"/>
      <c r="F1201" s="70" t="s">
        <v>1811</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283"/>
        <v>4</v>
      </c>
      <c r="D1202" s="73"/>
      <c r="E1202" s="70"/>
      <c r="F1202" s="70" t="s">
        <v>1812</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283"/>
        <v>4</v>
      </c>
      <c r="D1203" s="73"/>
      <c r="E1203" s="70"/>
      <c r="F1203" s="70" t="s">
        <v>1813</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ref="C1204:C1227" si="284">INT($C$29)+3</f>
        <v>4</v>
      </c>
      <c r="D1204" s="73"/>
      <c r="E1204" s="70"/>
      <c r="F1204" s="70" t="s">
        <v>1814</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284"/>
        <v>4</v>
      </c>
      <c r="D1205" s="73"/>
      <c r="E1205" s="70"/>
      <c r="F1205" s="70" t="s">
        <v>1815</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284"/>
        <v>4</v>
      </c>
      <c r="D1206" s="73"/>
      <c r="E1206" s="70"/>
      <c r="F1206" s="70" t="s">
        <v>1816</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284"/>
        <v>4</v>
      </c>
      <c r="D1207" s="73"/>
      <c r="E1207" s="70"/>
      <c r="F1207" s="70" t="s">
        <v>1817</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284"/>
        <v>4</v>
      </c>
      <c r="D1208" s="73"/>
      <c r="E1208" s="70"/>
      <c r="F1208" s="70" t="s">
        <v>1818</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284"/>
        <v>4</v>
      </c>
      <c r="D1209" s="73"/>
      <c r="E1209" s="70"/>
      <c r="F1209" s="70" t="s">
        <v>1819</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284"/>
        <v>4</v>
      </c>
      <c r="D1210" s="73"/>
      <c r="E1210" s="70"/>
      <c r="F1210" s="70" t="s">
        <v>1820</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284"/>
        <v>4</v>
      </c>
      <c r="D1211" s="73"/>
      <c r="E1211" s="70"/>
      <c r="F1211" s="70" t="s">
        <v>1821</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284"/>
        <v>4</v>
      </c>
      <c r="D1212" s="73"/>
      <c r="E1212" s="70"/>
      <c r="F1212" s="70" t="s">
        <v>1822</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284"/>
        <v>4</v>
      </c>
      <c r="D1213" s="73"/>
      <c r="E1213" s="70"/>
      <c r="F1213" s="70" t="s">
        <v>1823</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284"/>
        <v>4</v>
      </c>
      <c r="D1214" s="73"/>
      <c r="E1214" s="70"/>
      <c r="F1214" s="70" t="s">
        <v>1824</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284"/>
        <v>4</v>
      </c>
      <c r="D1215" s="73"/>
      <c r="E1215" s="70"/>
      <c r="F1215" s="70" t="s">
        <v>1825</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284"/>
        <v>4</v>
      </c>
      <c r="D1216" s="73"/>
      <c r="E1216" s="70"/>
      <c r="F1216" s="70" t="s">
        <v>1826</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284"/>
        <v>4</v>
      </c>
      <c r="D1217" s="73"/>
      <c r="E1217" s="70"/>
      <c r="F1217" s="70" t="s">
        <v>1827</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284"/>
        <v>4</v>
      </c>
      <c r="D1218" s="73"/>
      <c r="E1218" s="70"/>
      <c r="F1218" s="70" t="s">
        <v>1828</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284"/>
        <v>4</v>
      </c>
      <c r="D1219" s="73"/>
      <c r="E1219" s="70"/>
      <c r="F1219" s="70" t="s">
        <v>1829</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284"/>
        <v>4</v>
      </c>
      <c r="D1220" s="73"/>
      <c r="E1220" s="70"/>
      <c r="F1220" s="70" t="s">
        <v>1830</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284"/>
        <v>4</v>
      </c>
      <c r="D1221" s="73"/>
      <c r="E1221" s="70"/>
      <c r="F1221" s="70" t="s">
        <v>1831</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284"/>
        <v>4</v>
      </c>
      <c r="D1222" s="73"/>
      <c r="E1222" s="70"/>
      <c r="F1222" s="70" t="s">
        <v>1832</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284"/>
        <v>4</v>
      </c>
      <c r="D1223" s="73"/>
      <c r="E1223" s="70"/>
      <c r="F1223" s="70" t="s">
        <v>1833</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284"/>
        <v>4</v>
      </c>
      <c r="D1224" s="73"/>
      <c r="E1224" s="70"/>
      <c r="F1224" s="70" t="s">
        <v>1834</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284"/>
        <v>4</v>
      </c>
      <c r="D1225" s="73"/>
      <c r="E1225" s="70"/>
      <c r="F1225" s="70" t="s">
        <v>1835</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284"/>
        <v>4</v>
      </c>
      <c r="D1226" s="73"/>
      <c r="E1226" s="70"/>
      <c r="F1226" s="70" t="s">
        <v>1836</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284"/>
        <v>4</v>
      </c>
      <c r="D1227" s="73"/>
      <c r="E1227" s="70"/>
      <c r="F1227" s="70" t="s">
        <v>1837</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2" x14ac:dyDescent="0.25">
      <c r="A1228" s="45"/>
      <c r="B1228" s="54"/>
      <c r="C1228" s="47">
        <f>INT($C$29)+2</f>
        <v>3</v>
      </c>
      <c r="D1228" s="73"/>
      <c r="E1228" s="70"/>
      <c r="F1228" s="70" t="s">
        <v>1838</v>
      </c>
      <c r="G1228" s="73"/>
      <c r="H1228" s="76" t="s">
        <v>1839</v>
      </c>
      <c r="I1228" s="96" t="s">
        <v>2172</v>
      </c>
      <c r="J1228" s="96"/>
      <c r="K1228" s="76"/>
      <c r="L1228" s="76"/>
      <c r="M1228" s="76"/>
      <c r="N1228" s="76"/>
      <c r="O1228" s="76"/>
      <c r="P1228" s="76"/>
      <c r="Q1228" s="76"/>
      <c r="R1228" s="76"/>
      <c r="S1228" s="76"/>
      <c r="T1228" s="76"/>
      <c r="U1228" s="97">
        <v>1.2E-2</v>
      </c>
      <c r="V1228" s="97">
        <v>1.2E-2</v>
      </c>
      <c r="W1228" s="97">
        <v>1.2E-2</v>
      </c>
      <c r="X1228" s="97">
        <v>1.2E-2</v>
      </c>
      <c r="Y1228" s="97">
        <v>1.2E-2</v>
      </c>
      <c r="Z1228" s="255">
        <f>Y1228</f>
        <v>1.2E-2</v>
      </c>
      <c r="AA1228" s="255">
        <f>Z1228</f>
        <v>1.2E-2</v>
      </c>
      <c r="AB1228" s="255">
        <f>AA1228</f>
        <v>1.2E-2</v>
      </c>
      <c r="AC1228" s="255">
        <f>AB1228</f>
        <v>1.2E-2</v>
      </c>
      <c r="AD1228" s="255">
        <f>AC1228</f>
        <v>1.2E-2</v>
      </c>
      <c r="AE1228" s="76"/>
      <c r="AF1228" s="97" t="s">
        <v>1840</v>
      </c>
      <c r="AG1228" s="76"/>
      <c r="AH1228" s="97">
        <v>1</v>
      </c>
      <c r="AI1228" s="97">
        <v>1</v>
      </c>
      <c r="AJ1228" s="73"/>
      <c r="AK1228" s="57"/>
      <c r="AL1228" s="45"/>
      <c r="AM1228" s="45"/>
      <c r="AN1228" s="45"/>
    </row>
    <row r="1229" spans="1:40" hidden="1" outlineLevel="2" x14ac:dyDescent="0.25">
      <c r="A1229" s="45"/>
      <c r="B1229" s="54"/>
      <c r="C1229" s="47">
        <f>INT($C$29)+2</f>
        <v>3</v>
      </c>
      <c r="D1229" s="73"/>
      <c r="E1229" s="70"/>
      <c r="F1229" s="70" t="s">
        <v>1841</v>
      </c>
      <c r="G1229" s="73"/>
      <c r="H1229" s="76" t="s">
        <v>1842</v>
      </c>
      <c r="I1229" s="96"/>
      <c r="J1229" s="96"/>
      <c r="K1229" s="76"/>
      <c r="L1229" s="76"/>
      <c r="M1229" s="76"/>
      <c r="N1229" s="76"/>
      <c r="O1229" s="76"/>
      <c r="P1229" s="76"/>
      <c r="Q1229" s="76"/>
      <c r="R1229" s="76"/>
      <c r="S1229" s="76"/>
      <c r="T1229" s="76"/>
      <c r="U1229" s="280">
        <f t="shared" ref="U1229:AD1229" si="285">U1230</f>
        <v>9.9999999999999985E-3</v>
      </c>
      <c r="V1229" s="253">
        <f t="shared" si="285"/>
        <v>9.9999999999999985E-3</v>
      </c>
      <c r="W1229" s="253">
        <f t="shared" si="285"/>
        <v>9.9999999999999985E-3</v>
      </c>
      <c r="X1229" s="253">
        <f t="shared" si="285"/>
        <v>9.9999999999999985E-3</v>
      </c>
      <c r="Y1229" s="253">
        <f t="shared" si="285"/>
        <v>9.9999999999999985E-3</v>
      </c>
      <c r="Z1229" s="253">
        <f t="shared" si="285"/>
        <v>9.9999999999999985E-3</v>
      </c>
      <c r="AA1229" s="253">
        <f t="shared" si="285"/>
        <v>9.9999999999999985E-3</v>
      </c>
      <c r="AB1229" s="253">
        <f t="shared" si="285"/>
        <v>9.9999999999999985E-3</v>
      </c>
      <c r="AC1229" s="253">
        <f t="shared" si="285"/>
        <v>9.9999999999999985E-3</v>
      </c>
      <c r="AD1229" s="253">
        <f t="shared" si="285"/>
        <v>9.9999999999999985E-3</v>
      </c>
      <c r="AE1229" s="76"/>
      <c r="AF1229" s="76"/>
      <c r="AG1229" s="76"/>
      <c r="AH1229" s="253">
        <f>AH1230</f>
        <v>1</v>
      </c>
      <c r="AI1229" s="253">
        <f>AI1230</f>
        <v>1</v>
      </c>
      <c r="AJ1229" s="73"/>
      <c r="AK1229" s="57"/>
      <c r="AL1229" s="45"/>
      <c r="AM1229" s="45"/>
      <c r="AN1229" s="45"/>
    </row>
    <row r="1230" spans="1:40" hidden="1" outlineLevel="2" x14ac:dyDescent="0.25">
      <c r="A1230" s="45"/>
      <c r="B1230" s="54"/>
      <c r="C1230" s="47">
        <f>INT($C$29)+2</f>
        <v>3</v>
      </c>
      <c r="D1230" s="73"/>
      <c r="E1230" s="70"/>
      <c r="F1230" s="70" t="s">
        <v>1843</v>
      </c>
      <c r="G1230" s="73"/>
      <c r="H1230" s="76" t="s">
        <v>1844</v>
      </c>
      <c r="I1230" s="96" t="s">
        <v>2171</v>
      </c>
      <c r="J1230" s="96"/>
      <c r="K1230" s="76"/>
      <c r="L1230" s="76"/>
      <c r="M1230" s="76"/>
      <c r="N1230" s="76"/>
      <c r="O1230" s="76"/>
      <c r="P1230" s="76"/>
      <c r="Q1230" s="76"/>
      <c r="R1230" s="76"/>
      <c r="S1230" s="76"/>
      <c r="T1230" s="76"/>
      <c r="U1230" s="281">
        <f>0.022-U$1228</f>
        <v>9.9999999999999985E-3</v>
      </c>
      <c r="V1230" s="97">
        <f>0.022-V$1228</f>
        <v>9.9999999999999985E-3</v>
      </c>
      <c r="W1230" s="97">
        <f>0.022-W$1228</f>
        <v>9.9999999999999985E-3</v>
      </c>
      <c r="X1230" s="97">
        <f>0.022-X$1228</f>
        <v>9.9999999999999985E-3</v>
      </c>
      <c r="Y1230" s="97">
        <f>0.022-Y$1228</f>
        <v>9.9999999999999985E-3</v>
      </c>
      <c r="Z1230" s="255">
        <f t="shared" ref="Z1230:AD1231" si="286">Y1230</f>
        <v>9.9999999999999985E-3</v>
      </c>
      <c r="AA1230" s="255">
        <f t="shared" si="286"/>
        <v>9.9999999999999985E-3</v>
      </c>
      <c r="AB1230" s="255">
        <f t="shared" si="286"/>
        <v>9.9999999999999985E-3</v>
      </c>
      <c r="AC1230" s="255">
        <f t="shared" si="286"/>
        <v>9.9999999999999985E-3</v>
      </c>
      <c r="AD1230" s="255">
        <f t="shared" si="286"/>
        <v>9.9999999999999985E-3</v>
      </c>
      <c r="AE1230" s="76"/>
      <c r="AF1230" s="76"/>
      <c r="AG1230" s="76"/>
      <c r="AH1230" s="97">
        <v>1</v>
      </c>
      <c r="AI1230" s="97">
        <v>1</v>
      </c>
      <c r="AJ1230" s="73"/>
      <c r="AK1230" s="57"/>
      <c r="AL1230" s="45"/>
      <c r="AM1230" s="45"/>
      <c r="AN1230" s="45"/>
    </row>
    <row r="1231" spans="1:40" hidden="1" outlineLevel="2" collapsed="1" x14ac:dyDescent="0.25">
      <c r="A1231" s="45"/>
      <c r="B1231" s="54"/>
      <c r="C1231" s="47">
        <f>INT($C$29)+2</f>
        <v>3</v>
      </c>
      <c r="D1231" s="73"/>
      <c r="E1231" s="70"/>
      <c r="F1231" s="70" t="s">
        <v>1845</v>
      </c>
      <c r="G1231" s="73"/>
      <c r="H1231" s="76" t="s">
        <v>1846</v>
      </c>
      <c r="I1231" s="96" t="s">
        <v>2171</v>
      </c>
      <c r="J1231" s="96"/>
      <c r="K1231" s="76"/>
      <c r="L1231" s="76"/>
      <c r="M1231" s="76"/>
      <c r="N1231" s="76"/>
      <c r="O1231" s="76"/>
      <c r="P1231" s="76"/>
      <c r="Q1231" s="76"/>
      <c r="R1231" s="76"/>
      <c r="S1231" s="76"/>
      <c r="T1231" s="76"/>
      <c r="U1231" s="281">
        <f>0.021-U$1228</f>
        <v>9.0000000000000011E-3</v>
      </c>
      <c r="V1231" s="97">
        <f>0.021-V$1228</f>
        <v>9.0000000000000011E-3</v>
      </c>
      <c r="W1231" s="97">
        <f>0.021-W$1228</f>
        <v>9.0000000000000011E-3</v>
      </c>
      <c r="X1231" s="97">
        <f>0.021-X$1228</f>
        <v>9.0000000000000011E-3</v>
      </c>
      <c r="Y1231" s="97">
        <f>0.021-Y$1228</f>
        <v>9.0000000000000011E-3</v>
      </c>
      <c r="Z1231" s="255">
        <f t="shared" si="286"/>
        <v>9.0000000000000011E-3</v>
      </c>
      <c r="AA1231" s="255">
        <f t="shared" si="286"/>
        <v>9.0000000000000011E-3</v>
      </c>
      <c r="AB1231" s="255">
        <f t="shared" si="286"/>
        <v>9.0000000000000011E-3</v>
      </c>
      <c r="AC1231" s="255">
        <f t="shared" si="286"/>
        <v>9.0000000000000011E-3</v>
      </c>
      <c r="AD1231" s="255">
        <f t="shared" si="286"/>
        <v>9.0000000000000011E-3</v>
      </c>
      <c r="AE1231" s="76"/>
      <c r="AF1231" s="76"/>
      <c r="AG1231" s="76"/>
      <c r="AH1231" s="97">
        <v>1</v>
      </c>
      <c r="AI1231" s="97">
        <v>1</v>
      </c>
      <c r="AJ1231" s="73"/>
      <c r="AK1231" s="57"/>
      <c r="AL1231" s="45"/>
      <c r="AM1231" s="45"/>
      <c r="AN1231" s="45"/>
    </row>
    <row r="1232" spans="1:40" hidden="1" outlineLevel="3" x14ac:dyDescent="0.25">
      <c r="A1232" s="45"/>
      <c r="B1232" s="54"/>
      <c r="C1232" s="47">
        <f>INT($C$29)+3</f>
        <v>4</v>
      </c>
      <c r="D1232" s="73"/>
      <c r="E1232" s="70"/>
      <c r="F1232" s="70" t="s">
        <v>1847</v>
      </c>
      <c r="G1232" s="73"/>
      <c r="H1232" s="76" t="s">
        <v>1848</v>
      </c>
      <c r="I1232" s="76"/>
      <c r="J1232" s="76"/>
      <c r="K1232" s="76"/>
      <c r="L1232" s="76"/>
      <c r="M1232" s="76"/>
      <c r="N1232" s="76"/>
      <c r="O1232" s="76"/>
      <c r="P1232" s="76"/>
      <c r="Q1232" s="76"/>
      <c r="R1232" s="76"/>
      <c r="S1232" s="76"/>
      <c r="T1232" s="76"/>
      <c r="U1232" s="76">
        <v>0</v>
      </c>
      <c r="V1232" s="76">
        <v>0</v>
      </c>
      <c r="W1232" s="76">
        <v>0</v>
      </c>
      <c r="X1232" s="76">
        <v>0</v>
      </c>
      <c r="Y1232" s="76">
        <v>0</v>
      </c>
      <c r="Z1232" s="76">
        <v>0</v>
      </c>
      <c r="AA1232" s="76">
        <v>0</v>
      </c>
      <c r="AB1232" s="76">
        <v>0</v>
      </c>
      <c r="AC1232" s="76">
        <v>0</v>
      </c>
      <c r="AD1232" s="76">
        <v>0</v>
      </c>
      <c r="AE1232" s="76"/>
      <c r="AF1232" s="76"/>
      <c r="AG1232" s="76"/>
      <c r="AH1232" s="76">
        <v>1</v>
      </c>
      <c r="AI1232" s="76">
        <v>1</v>
      </c>
      <c r="AJ1232" s="73"/>
      <c r="AK1232" s="57"/>
      <c r="AL1232" s="45"/>
      <c r="AM1232" s="45"/>
      <c r="AN1232" s="45"/>
    </row>
    <row r="1233" spans="1:40" hidden="1" outlineLevel="3" x14ac:dyDescent="0.25">
      <c r="A1233" s="45"/>
      <c r="B1233" s="54"/>
      <c r="C1233" s="47">
        <f>INT($C$29)+3</f>
        <v>4</v>
      </c>
      <c r="D1233" s="73"/>
      <c r="E1233" s="70"/>
      <c r="F1233" s="70" t="s">
        <v>1849</v>
      </c>
      <c r="G1233" s="73"/>
      <c r="H1233" s="76" t="s">
        <v>1850</v>
      </c>
      <c r="I1233" s="76"/>
      <c r="J1233" s="76"/>
      <c r="K1233" s="76"/>
      <c r="L1233" s="76"/>
      <c r="M1233" s="76"/>
      <c r="N1233" s="76"/>
      <c r="O1233" s="76"/>
      <c r="P1233" s="76"/>
      <c r="Q1233" s="76"/>
      <c r="R1233" s="76"/>
      <c r="S1233" s="76"/>
      <c r="T1233" s="76"/>
      <c r="U1233" s="76">
        <v>0</v>
      </c>
      <c r="V1233" s="76">
        <v>0</v>
      </c>
      <c r="W1233" s="76">
        <v>0</v>
      </c>
      <c r="X1233" s="76">
        <v>0</v>
      </c>
      <c r="Y1233" s="76">
        <v>0</v>
      </c>
      <c r="Z1233" s="76">
        <v>0</v>
      </c>
      <c r="AA1233" s="76">
        <v>0</v>
      </c>
      <c r="AB1233" s="76">
        <v>0</v>
      </c>
      <c r="AC1233" s="76">
        <v>0</v>
      </c>
      <c r="AD1233" s="76">
        <v>0</v>
      </c>
      <c r="AE1233" s="76"/>
      <c r="AF1233" s="76"/>
      <c r="AG1233" s="76"/>
      <c r="AH1233" s="76">
        <v>1</v>
      </c>
      <c r="AI1233" s="76">
        <v>1</v>
      </c>
      <c r="AJ1233" s="73"/>
      <c r="AK1233" s="57"/>
      <c r="AL1233" s="45"/>
      <c r="AM1233" s="45"/>
      <c r="AN1233" s="45"/>
    </row>
    <row r="1234" spans="1:40" hidden="1" outlineLevel="3" x14ac:dyDescent="0.25">
      <c r="A1234" s="45"/>
      <c r="B1234" s="54"/>
      <c r="C1234" s="47">
        <f>INT($C$29)+3</f>
        <v>4</v>
      </c>
      <c r="D1234" s="73"/>
      <c r="E1234" s="70"/>
      <c r="F1234" s="70" t="s">
        <v>1851</v>
      </c>
      <c r="G1234" s="73"/>
      <c r="H1234" s="76" t="s">
        <v>1852</v>
      </c>
      <c r="I1234" s="76"/>
      <c r="J1234" s="76"/>
      <c r="K1234" s="76"/>
      <c r="L1234" s="76"/>
      <c r="M1234" s="76"/>
      <c r="N1234" s="76"/>
      <c r="O1234" s="76"/>
      <c r="P1234" s="76"/>
      <c r="Q1234" s="76"/>
      <c r="R1234" s="76"/>
      <c r="S1234" s="76"/>
      <c r="T1234" s="76"/>
      <c r="U1234" s="76">
        <v>0</v>
      </c>
      <c r="V1234" s="76">
        <v>0</v>
      </c>
      <c r="W1234" s="76">
        <v>0</v>
      </c>
      <c r="X1234" s="76">
        <v>0</v>
      </c>
      <c r="Y1234" s="76">
        <v>0</v>
      </c>
      <c r="Z1234" s="76">
        <v>0</v>
      </c>
      <c r="AA1234" s="76">
        <v>0</v>
      </c>
      <c r="AB1234" s="76">
        <v>0</v>
      </c>
      <c r="AC1234" s="76">
        <v>0</v>
      </c>
      <c r="AD1234" s="76">
        <v>0</v>
      </c>
      <c r="AE1234" s="76"/>
      <c r="AF1234" s="76"/>
      <c r="AG1234" s="76"/>
      <c r="AH1234" s="76">
        <v>1</v>
      </c>
      <c r="AI1234" s="76">
        <v>1</v>
      </c>
      <c r="AJ1234" s="73"/>
      <c r="AK1234" s="57"/>
      <c r="AL1234" s="45"/>
      <c r="AM1234" s="45"/>
      <c r="AN1234" s="45"/>
    </row>
    <row r="1235" spans="1:40" hidden="1" outlineLevel="2" x14ac:dyDescent="0.25">
      <c r="A1235" s="45"/>
      <c r="B1235" s="54"/>
      <c r="C1235" s="47">
        <f>INT($C$29)+2</f>
        <v>3</v>
      </c>
      <c r="D1235" s="73"/>
      <c r="E1235" s="70"/>
      <c r="F1235" s="70" t="s">
        <v>1853</v>
      </c>
      <c r="G1235" s="73"/>
      <c r="H1235" s="76" t="s">
        <v>1854</v>
      </c>
      <c r="I1235" s="76"/>
      <c r="J1235" s="76"/>
      <c r="K1235" s="76"/>
      <c r="L1235" s="76"/>
      <c r="M1235" s="76"/>
      <c r="N1235" s="76"/>
      <c r="O1235" s="76"/>
      <c r="P1235" s="76"/>
      <c r="Q1235" s="76"/>
      <c r="R1235" s="76"/>
      <c r="S1235" s="76"/>
      <c r="T1235" s="76"/>
      <c r="U1235" s="97">
        <v>0</v>
      </c>
      <c r="V1235" s="97">
        <v>0</v>
      </c>
      <c r="W1235" s="97">
        <v>0</v>
      </c>
      <c r="X1235" s="97">
        <v>0</v>
      </c>
      <c r="Y1235" s="97">
        <v>0</v>
      </c>
      <c r="Z1235" s="255">
        <f t="shared" ref="Z1235:AD1236" si="287">Y1235</f>
        <v>0</v>
      </c>
      <c r="AA1235" s="255">
        <f t="shared" si="287"/>
        <v>0</v>
      </c>
      <c r="AB1235" s="255">
        <f t="shared" si="287"/>
        <v>0</v>
      </c>
      <c r="AC1235" s="255">
        <f t="shared" si="287"/>
        <v>0</v>
      </c>
      <c r="AD1235" s="255">
        <f t="shared" si="287"/>
        <v>0</v>
      </c>
      <c r="AE1235" s="76"/>
      <c r="AF1235" s="97" t="s">
        <v>2169</v>
      </c>
      <c r="AG1235" s="76"/>
      <c r="AH1235" s="97">
        <v>1</v>
      </c>
      <c r="AI1235" s="97">
        <v>1</v>
      </c>
      <c r="AJ1235" s="73"/>
      <c r="AK1235" s="57"/>
      <c r="AL1235" s="45"/>
      <c r="AM1235" s="45"/>
      <c r="AN1235" s="45"/>
    </row>
    <row r="1236" spans="1:40" hidden="1" outlineLevel="2" x14ac:dyDescent="0.25">
      <c r="A1236" s="45"/>
      <c r="B1236" s="54"/>
      <c r="C1236" s="47">
        <f>INT($C$29)+2</f>
        <v>3</v>
      </c>
      <c r="D1236" s="73"/>
      <c r="E1236" s="70"/>
      <c r="F1236" s="70" t="s">
        <v>1855</v>
      </c>
      <c r="G1236" s="73"/>
      <c r="H1236" s="76" t="s">
        <v>1856</v>
      </c>
      <c r="I1236" s="96" t="s">
        <v>2174</v>
      </c>
      <c r="J1236" s="96"/>
      <c r="K1236" s="76"/>
      <c r="L1236" s="76"/>
      <c r="M1236" s="76"/>
      <c r="N1236" s="76"/>
      <c r="O1236" s="76"/>
      <c r="P1236" s="76"/>
      <c r="Q1236" s="76"/>
      <c r="R1236" s="76"/>
      <c r="S1236" s="76"/>
      <c r="T1236" s="76"/>
      <c r="U1236" s="97">
        <v>0</v>
      </c>
      <c r="V1236" s="97">
        <v>0</v>
      </c>
      <c r="W1236" s="97">
        <v>0</v>
      </c>
      <c r="X1236" s="97">
        <v>0</v>
      </c>
      <c r="Y1236" s="97">
        <v>0</v>
      </c>
      <c r="Z1236" s="255">
        <f t="shared" si="287"/>
        <v>0</v>
      </c>
      <c r="AA1236" s="255">
        <f t="shared" si="287"/>
        <v>0</v>
      </c>
      <c r="AB1236" s="255">
        <f t="shared" si="287"/>
        <v>0</v>
      </c>
      <c r="AC1236" s="255">
        <f t="shared" si="287"/>
        <v>0</v>
      </c>
      <c r="AD1236" s="255">
        <f t="shared" si="287"/>
        <v>0</v>
      </c>
      <c r="AE1236" s="76"/>
      <c r="AF1236" s="97" t="s">
        <v>1857</v>
      </c>
      <c r="AG1236" s="76"/>
      <c r="AH1236" s="97">
        <v>1</v>
      </c>
      <c r="AI1236" s="97">
        <v>1</v>
      </c>
      <c r="AJ1236" s="73"/>
      <c r="AK1236" s="57"/>
      <c r="AL1236" s="45"/>
      <c r="AM1236" s="45"/>
      <c r="AN1236" s="45"/>
    </row>
    <row r="1237" spans="1:40" hidden="1" outlineLevel="2" x14ac:dyDescent="0.25">
      <c r="A1237" s="45"/>
      <c r="B1237" s="54"/>
      <c r="C1237" s="47">
        <f>INT($C$29)+2</f>
        <v>3</v>
      </c>
      <c r="D1237" s="73"/>
      <c r="E1237" s="70"/>
      <c r="F1237" s="70" t="s">
        <v>1858</v>
      </c>
      <c r="G1237" s="73"/>
      <c r="H1237" s="76" t="s">
        <v>1859</v>
      </c>
      <c r="I1237" s="96"/>
      <c r="J1237" s="96"/>
      <c r="K1237" s="76"/>
      <c r="L1237" s="76"/>
      <c r="M1237" s="76"/>
      <c r="N1237" s="76"/>
      <c r="O1237" s="76"/>
      <c r="P1237" s="76"/>
      <c r="Q1237" s="76"/>
      <c r="R1237" s="76"/>
      <c r="S1237" s="76"/>
      <c r="T1237" s="76"/>
      <c r="U1237" s="253">
        <f t="shared" ref="U1237:AD1237" si="288">U1238</f>
        <v>-1.9E-2</v>
      </c>
      <c r="V1237" s="253">
        <f t="shared" si="288"/>
        <v>-1.9E-2</v>
      </c>
      <c r="W1237" s="253">
        <f t="shared" si="288"/>
        <v>-1.9E-2</v>
      </c>
      <c r="X1237" s="253">
        <f t="shared" si="288"/>
        <v>-1.9E-2</v>
      </c>
      <c r="Y1237" s="253">
        <f t="shared" si="288"/>
        <v>-1.9E-2</v>
      </c>
      <c r="Z1237" s="253">
        <f t="shared" si="288"/>
        <v>-1.9E-2</v>
      </c>
      <c r="AA1237" s="253">
        <f t="shared" si="288"/>
        <v>-1.9E-2</v>
      </c>
      <c r="AB1237" s="253">
        <f t="shared" si="288"/>
        <v>-1.9E-2</v>
      </c>
      <c r="AC1237" s="253">
        <f t="shared" si="288"/>
        <v>-1.9E-2</v>
      </c>
      <c r="AD1237" s="253">
        <f t="shared" si="288"/>
        <v>-1.9E-2</v>
      </c>
      <c r="AE1237" s="76"/>
      <c r="AF1237" s="76"/>
      <c r="AG1237" s="76"/>
      <c r="AH1237" s="253">
        <f>AH1238</f>
        <v>1</v>
      </c>
      <c r="AI1237" s="253">
        <f>AI1238</f>
        <v>1</v>
      </c>
      <c r="AJ1237" s="73"/>
      <c r="AK1237" s="57"/>
      <c r="AL1237" s="45"/>
      <c r="AM1237" s="45"/>
      <c r="AN1237" s="45"/>
    </row>
    <row r="1238" spans="1:40" hidden="1" outlineLevel="2" x14ac:dyDescent="0.25">
      <c r="A1238" s="45"/>
      <c r="B1238" s="54"/>
      <c r="C1238" s="47">
        <f>INT($C$29)+2</f>
        <v>3</v>
      </c>
      <c r="D1238" s="73"/>
      <c r="E1238" s="70"/>
      <c r="F1238" s="70" t="s">
        <v>1860</v>
      </c>
      <c r="G1238" s="73"/>
      <c r="H1238" s="76" t="s">
        <v>1861</v>
      </c>
      <c r="I1238" s="96" t="s">
        <v>2173</v>
      </c>
      <c r="J1238" s="96"/>
      <c r="K1238" s="76"/>
      <c r="L1238" s="76"/>
      <c r="M1238" s="76"/>
      <c r="N1238" s="76"/>
      <c r="O1238" s="76"/>
      <c r="P1238" s="76"/>
      <c r="Q1238" s="76"/>
      <c r="R1238" s="76"/>
      <c r="S1238" s="76"/>
      <c r="T1238" s="76"/>
      <c r="U1238" s="97">
        <f>-0.019-U$1236</f>
        <v>-1.9E-2</v>
      </c>
      <c r="V1238" s="97">
        <f>-0.019-V$1236</f>
        <v>-1.9E-2</v>
      </c>
      <c r="W1238" s="97">
        <f>-0.019-W$1236</f>
        <v>-1.9E-2</v>
      </c>
      <c r="X1238" s="97">
        <f>-0.019-X$1236</f>
        <v>-1.9E-2</v>
      </c>
      <c r="Y1238" s="97">
        <f>-0.019-Y$1236</f>
        <v>-1.9E-2</v>
      </c>
      <c r="Z1238" s="255">
        <f t="shared" ref="Z1238:AD1239" si="289">Y1238</f>
        <v>-1.9E-2</v>
      </c>
      <c r="AA1238" s="255">
        <f t="shared" si="289"/>
        <v>-1.9E-2</v>
      </c>
      <c r="AB1238" s="255">
        <f t="shared" si="289"/>
        <v>-1.9E-2</v>
      </c>
      <c r="AC1238" s="255">
        <f t="shared" si="289"/>
        <v>-1.9E-2</v>
      </c>
      <c r="AD1238" s="255">
        <f t="shared" si="289"/>
        <v>-1.9E-2</v>
      </c>
      <c r="AE1238" s="76"/>
      <c r="AF1238" s="76"/>
      <c r="AG1238" s="76"/>
      <c r="AH1238" s="97">
        <v>1</v>
      </c>
      <c r="AI1238" s="97">
        <v>1</v>
      </c>
      <c r="AJ1238" s="73"/>
      <c r="AK1238" s="57"/>
      <c r="AL1238" s="45"/>
      <c r="AM1238" s="45"/>
      <c r="AN1238" s="45"/>
    </row>
    <row r="1239" spans="1:40" hidden="1" outlineLevel="2" collapsed="1" x14ac:dyDescent="0.25">
      <c r="A1239" s="45"/>
      <c r="B1239" s="54"/>
      <c r="C1239" s="47">
        <f>INT($C$29)+2</f>
        <v>3</v>
      </c>
      <c r="D1239" s="73"/>
      <c r="E1239" s="70"/>
      <c r="F1239" s="70" t="s">
        <v>1862</v>
      </c>
      <c r="G1239" s="73"/>
      <c r="H1239" s="76" t="s">
        <v>1863</v>
      </c>
      <c r="I1239" s="96" t="s">
        <v>2173</v>
      </c>
      <c r="J1239" s="96"/>
      <c r="K1239" s="76"/>
      <c r="L1239" s="76"/>
      <c r="M1239" s="76"/>
      <c r="N1239" s="76"/>
      <c r="O1239" s="76"/>
      <c r="P1239" s="76"/>
      <c r="Q1239" s="76"/>
      <c r="R1239" s="76"/>
      <c r="S1239" s="76"/>
      <c r="T1239" s="76"/>
      <c r="U1239" s="97">
        <f>-0.031-U$1236</f>
        <v>-3.1E-2</v>
      </c>
      <c r="V1239" s="97">
        <f>-0.031-V$1236</f>
        <v>-3.1E-2</v>
      </c>
      <c r="W1239" s="97">
        <f>-0.031-W$1236</f>
        <v>-3.1E-2</v>
      </c>
      <c r="X1239" s="97">
        <f>-0.031-X$1236</f>
        <v>-3.1E-2</v>
      </c>
      <c r="Y1239" s="97">
        <f>-0.031-Y$1236</f>
        <v>-3.1E-2</v>
      </c>
      <c r="Z1239" s="255">
        <f t="shared" si="289"/>
        <v>-3.1E-2</v>
      </c>
      <c r="AA1239" s="255">
        <f t="shared" si="289"/>
        <v>-3.1E-2</v>
      </c>
      <c r="AB1239" s="255">
        <f t="shared" si="289"/>
        <v>-3.1E-2</v>
      </c>
      <c r="AC1239" s="255">
        <f t="shared" si="289"/>
        <v>-3.1E-2</v>
      </c>
      <c r="AD1239" s="255">
        <f t="shared" si="289"/>
        <v>-3.1E-2</v>
      </c>
      <c r="AE1239" s="76"/>
      <c r="AF1239" s="76"/>
      <c r="AG1239" s="76"/>
      <c r="AH1239" s="97">
        <v>1</v>
      </c>
      <c r="AI1239" s="97">
        <v>1</v>
      </c>
      <c r="AJ1239" s="73"/>
      <c r="AK1239" s="57"/>
      <c r="AL1239" s="45"/>
      <c r="AM1239" s="45"/>
      <c r="AN1239" s="45"/>
    </row>
    <row r="1240" spans="1:40" hidden="1" outlineLevel="3" x14ac:dyDescent="0.25">
      <c r="A1240" s="45"/>
      <c r="B1240" s="54"/>
      <c r="C1240" s="47">
        <f>INT($C$29)+3</f>
        <v>4</v>
      </c>
      <c r="D1240" s="73"/>
      <c r="E1240" s="70"/>
      <c r="F1240" s="70" t="s">
        <v>1864</v>
      </c>
      <c r="G1240" s="73"/>
      <c r="H1240" s="76" t="s">
        <v>1865</v>
      </c>
      <c r="I1240" s="76"/>
      <c r="J1240" s="76"/>
      <c r="K1240" s="76"/>
      <c r="L1240" s="76"/>
      <c r="M1240" s="76"/>
      <c r="N1240" s="76"/>
      <c r="O1240" s="76"/>
      <c r="P1240" s="76"/>
      <c r="Q1240" s="76"/>
      <c r="R1240" s="76"/>
      <c r="S1240" s="76"/>
      <c r="T1240" s="76"/>
      <c r="U1240" s="76">
        <v>0</v>
      </c>
      <c r="V1240" s="76">
        <v>0</v>
      </c>
      <c r="W1240" s="76">
        <v>0</v>
      </c>
      <c r="X1240" s="76">
        <v>0</v>
      </c>
      <c r="Y1240" s="76">
        <v>0</v>
      </c>
      <c r="Z1240" s="76">
        <v>0</v>
      </c>
      <c r="AA1240" s="76">
        <v>0</v>
      </c>
      <c r="AB1240" s="76">
        <v>0</v>
      </c>
      <c r="AC1240" s="76">
        <v>0</v>
      </c>
      <c r="AD1240" s="76">
        <v>0</v>
      </c>
      <c r="AE1240" s="76"/>
      <c r="AF1240" s="76"/>
      <c r="AG1240" s="76"/>
      <c r="AH1240" s="76">
        <v>1</v>
      </c>
      <c r="AI1240" s="76">
        <v>1</v>
      </c>
      <c r="AJ1240" s="73"/>
      <c r="AK1240" s="57"/>
      <c r="AL1240" s="45"/>
      <c r="AM1240" s="45"/>
      <c r="AN1240" s="45"/>
    </row>
    <row r="1241" spans="1:40" hidden="1" outlineLevel="3" x14ac:dyDescent="0.25">
      <c r="A1241" s="45"/>
      <c r="B1241" s="54"/>
      <c r="C1241" s="47">
        <f>INT($C$29)+3</f>
        <v>4</v>
      </c>
      <c r="D1241" s="73"/>
      <c r="E1241" s="70"/>
      <c r="F1241" s="70" t="s">
        <v>1866</v>
      </c>
      <c r="G1241" s="73"/>
      <c r="H1241" s="76" t="s">
        <v>1867</v>
      </c>
      <c r="I1241" s="76"/>
      <c r="J1241" s="76"/>
      <c r="K1241" s="76"/>
      <c r="L1241" s="76"/>
      <c r="M1241" s="76"/>
      <c r="N1241" s="76"/>
      <c r="O1241" s="76"/>
      <c r="P1241" s="76"/>
      <c r="Q1241" s="76"/>
      <c r="R1241" s="76"/>
      <c r="S1241" s="76"/>
      <c r="T1241" s="76"/>
      <c r="U1241" s="76">
        <v>0</v>
      </c>
      <c r="V1241" s="76">
        <v>0</v>
      </c>
      <c r="W1241" s="76">
        <v>0</v>
      </c>
      <c r="X1241" s="76">
        <v>0</v>
      </c>
      <c r="Y1241" s="76">
        <v>0</v>
      </c>
      <c r="Z1241" s="76">
        <v>0</v>
      </c>
      <c r="AA1241" s="76">
        <v>0</v>
      </c>
      <c r="AB1241" s="76">
        <v>0</v>
      </c>
      <c r="AC1241" s="76">
        <v>0</v>
      </c>
      <c r="AD1241" s="76">
        <v>0</v>
      </c>
      <c r="AE1241" s="76"/>
      <c r="AF1241" s="76"/>
      <c r="AG1241" s="76"/>
      <c r="AH1241" s="76">
        <v>1</v>
      </c>
      <c r="AI1241" s="76">
        <v>1</v>
      </c>
      <c r="AJ1241" s="73"/>
      <c r="AK1241" s="57"/>
      <c r="AL1241" s="45"/>
      <c r="AM1241" s="45"/>
      <c r="AN1241" s="45"/>
    </row>
    <row r="1242" spans="1:40" hidden="1" outlineLevel="3" x14ac:dyDescent="0.25">
      <c r="A1242" s="45"/>
      <c r="B1242" s="54"/>
      <c r="C1242" s="47">
        <f>INT($C$29)+3</f>
        <v>4</v>
      </c>
      <c r="D1242" s="73"/>
      <c r="E1242" s="70"/>
      <c r="F1242" s="70" t="s">
        <v>1868</v>
      </c>
      <c r="G1242" s="73"/>
      <c r="H1242" s="76" t="s">
        <v>1869</v>
      </c>
      <c r="I1242" s="76"/>
      <c r="J1242" s="76"/>
      <c r="K1242" s="76"/>
      <c r="L1242" s="76"/>
      <c r="M1242" s="76"/>
      <c r="N1242" s="76"/>
      <c r="O1242" s="76"/>
      <c r="P1242" s="76"/>
      <c r="Q1242" s="76"/>
      <c r="R1242" s="76"/>
      <c r="S1242" s="76"/>
      <c r="T1242" s="76"/>
      <c r="U1242" s="76">
        <v>0</v>
      </c>
      <c r="V1242" s="76">
        <v>0</v>
      </c>
      <c r="W1242" s="76">
        <v>0</v>
      </c>
      <c r="X1242" s="76">
        <v>0</v>
      </c>
      <c r="Y1242" s="76">
        <v>0</v>
      </c>
      <c r="Z1242" s="76">
        <v>0</v>
      </c>
      <c r="AA1242" s="76">
        <v>0</v>
      </c>
      <c r="AB1242" s="76">
        <v>0</v>
      </c>
      <c r="AC1242" s="76">
        <v>0</v>
      </c>
      <c r="AD1242" s="76">
        <v>0</v>
      </c>
      <c r="AE1242" s="76"/>
      <c r="AF1242" s="76"/>
      <c r="AG1242" s="76"/>
      <c r="AH1242" s="76">
        <v>1</v>
      </c>
      <c r="AI1242" s="76">
        <v>1</v>
      </c>
      <c r="AJ1242" s="73"/>
      <c r="AK1242" s="57"/>
      <c r="AL1242" s="45"/>
      <c r="AM1242" s="45"/>
      <c r="AN1242" s="45"/>
    </row>
    <row r="1243" spans="1:40" hidden="1" outlineLevel="2" collapsed="1" x14ac:dyDescent="0.25">
      <c r="A1243" s="45"/>
      <c r="B1243" s="54"/>
      <c r="C1243" s="47">
        <f>INT($C$29)+2</f>
        <v>3</v>
      </c>
      <c r="D1243" s="73"/>
      <c r="E1243" s="70"/>
      <c r="F1243" s="70" t="s">
        <v>1870</v>
      </c>
      <c r="G1243" s="73"/>
      <c r="H1243" s="76" t="s">
        <v>1749</v>
      </c>
      <c r="I1243" s="76"/>
      <c r="J1243" s="76"/>
      <c r="K1243" s="76"/>
      <c r="L1243" s="76"/>
      <c r="M1243" s="76"/>
      <c r="N1243" s="76"/>
      <c r="O1243" s="76"/>
      <c r="P1243" s="76"/>
      <c r="Q1243" s="76"/>
      <c r="R1243" s="76"/>
      <c r="S1243" s="76"/>
      <c r="T1243" s="76"/>
      <c r="U1243" s="97">
        <v>0</v>
      </c>
      <c r="V1243" s="97">
        <v>0</v>
      </c>
      <c r="W1243" s="97">
        <v>0</v>
      </c>
      <c r="X1243" s="97">
        <v>0</v>
      </c>
      <c r="Y1243" s="97">
        <v>0</v>
      </c>
      <c r="Z1243" s="255">
        <f>Y1243</f>
        <v>0</v>
      </c>
      <c r="AA1243" s="255">
        <f>Z1243</f>
        <v>0</v>
      </c>
      <c r="AB1243" s="255">
        <f>AA1243</f>
        <v>0</v>
      </c>
      <c r="AC1243" s="255">
        <f>AB1243</f>
        <v>0</v>
      </c>
      <c r="AD1243" s="255">
        <f>AC1243</f>
        <v>0</v>
      </c>
      <c r="AE1243" s="76"/>
      <c r="AF1243" s="97" t="s">
        <v>2169</v>
      </c>
      <c r="AG1243" s="76"/>
      <c r="AH1243" s="97">
        <v>1</v>
      </c>
      <c r="AI1243" s="97">
        <v>1</v>
      </c>
      <c r="AJ1243" s="73"/>
      <c r="AK1243" s="57"/>
      <c r="AL1243" s="45"/>
      <c r="AM1243" s="45"/>
      <c r="AN1243" s="45"/>
    </row>
    <row r="1244" spans="1:40" hidden="1" outlineLevel="3" x14ac:dyDescent="0.25">
      <c r="A1244" s="45"/>
      <c r="B1244" s="54"/>
      <c r="C1244" s="47">
        <f t="shared" ref="C1244:C1259" si="290">INT($C$29)+3</f>
        <v>4</v>
      </c>
      <c r="D1244" s="73"/>
      <c r="E1244" s="70"/>
      <c r="F1244" s="70" t="s">
        <v>1871</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290"/>
        <v>4</v>
      </c>
      <c r="D1245" s="73"/>
      <c r="E1245" s="70"/>
      <c r="F1245" s="70" t="s">
        <v>1872</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290"/>
        <v>4</v>
      </c>
      <c r="D1246" s="73"/>
      <c r="E1246" s="70"/>
      <c r="F1246" s="70" t="s">
        <v>1873</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290"/>
        <v>4</v>
      </c>
      <c r="D1247" s="73"/>
      <c r="E1247" s="70"/>
      <c r="F1247" s="70" t="s">
        <v>1874</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290"/>
        <v>4</v>
      </c>
      <c r="D1248" s="73"/>
      <c r="E1248" s="70"/>
      <c r="F1248" s="70" t="s">
        <v>1875</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290"/>
        <v>4</v>
      </c>
      <c r="D1249" s="73"/>
      <c r="E1249" s="70"/>
      <c r="F1249" s="70" t="s">
        <v>1876</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290"/>
        <v>4</v>
      </c>
      <c r="D1250" s="73"/>
      <c r="E1250" s="70"/>
      <c r="F1250" s="70" t="s">
        <v>1877</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290"/>
        <v>4</v>
      </c>
      <c r="D1251" s="73"/>
      <c r="E1251" s="70"/>
      <c r="F1251" s="70" t="s">
        <v>1878</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290"/>
        <v>4</v>
      </c>
      <c r="D1252" s="73"/>
      <c r="E1252" s="70"/>
      <c r="F1252" s="70" t="s">
        <v>1879</v>
      </c>
      <c r="G1252" s="73"/>
      <c r="H1252" s="76" t="s">
        <v>604</v>
      </c>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3" x14ac:dyDescent="0.25">
      <c r="A1253" s="45"/>
      <c r="B1253" s="54"/>
      <c r="C1253" s="47">
        <f t="shared" si="290"/>
        <v>4</v>
      </c>
      <c r="D1253" s="73"/>
      <c r="E1253" s="70"/>
      <c r="F1253" s="70" t="s">
        <v>1880</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hidden="1" outlineLevel="3" x14ac:dyDescent="0.25">
      <c r="A1254" s="45"/>
      <c r="B1254" s="54"/>
      <c r="C1254" s="47">
        <f t="shared" si="290"/>
        <v>4</v>
      </c>
      <c r="D1254" s="73"/>
      <c r="E1254" s="70"/>
      <c r="F1254" s="70" t="s">
        <v>1881</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v>1</v>
      </c>
      <c r="AI1254" s="76">
        <v>1</v>
      </c>
      <c r="AJ1254" s="73"/>
      <c r="AK1254" s="57"/>
      <c r="AL1254" s="45"/>
      <c r="AM1254" s="45"/>
      <c r="AN1254" s="45"/>
    </row>
    <row r="1255" spans="1:40" hidden="1" outlineLevel="3" x14ac:dyDescent="0.25">
      <c r="A1255" s="45"/>
      <c r="B1255" s="54"/>
      <c r="C1255" s="47">
        <f t="shared" si="290"/>
        <v>4</v>
      </c>
      <c r="D1255" s="73"/>
      <c r="E1255" s="70"/>
      <c r="F1255" s="70" t="s">
        <v>1882</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v>1</v>
      </c>
      <c r="AI1255" s="76">
        <v>1</v>
      </c>
      <c r="AJ1255" s="73"/>
      <c r="AK1255" s="57"/>
      <c r="AL1255" s="45"/>
      <c r="AM1255" s="45"/>
      <c r="AN1255" s="45"/>
    </row>
    <row r="1256" spans="1:40" hidden="1" outlineLevel="3" x14ac:dyDescent="0.25">
      <c r="A1256" s="45"/>
      <c r="B1256" s="54"/>
      <c r="C1256" s="47">
        <f t="shared" si="290"/>
        <v>4</v>
      </c>
      <c r="D1256" s="73"/>
      <c r="E1256" s="70"/>
      <c r="F1256" s="70" t="s">
        <v>1883</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v>1</v>
      </c>
      <c r="AI1256" s="76">
        <v>1</v>
      </c>
      <c r="AJ1256" s="73"/>
      <c r="AK1256" s="57"/>
      <c r="AL1256" s="45"/>
      <c r="AM1256" s="45"/>
      <c r="AN1256" s="45"/>
    </row>
    <row r="1257" spans="1:40" hidden="1" outlineLevel="3" x14ac:dyDescent="0.25">
      <c r="A1257" s="45"/>
      <c r="B1257" s="54"/>
      <c r="C1257" s="47">
        <f t="shared" si="290"/>
        <v>4</v>
      </c>
      <c r="D1257" s="73"/>
      <c r="E1257" s="70"/>
      <c r="F1257" s="70" t="s">
        <v>1884</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v>1</v>
      </c>
      <c r="AI1257" s="76">
        <v>1</v>
      </c>
      <c r="AJ1257" s="73"/>
      <c r="AK1257" s="57"/>
      <c r="AL1257" s="45"/>
      <c r="AM1257" s="45"/>
      <c r="AN1257" s="45"/>
    </row>
    <row r="1258" spans="1:40" hidden="1" outlineLevel="3" x14ac:dyDescent="0.25">
      <c r="A1258" s="45"/>
      <c r="B1258" s="54"/>
      <c r="C1258" s="47">
        <f t="shared" si="290"/>
        <v>4</v>
      </c>
      <c r="D1258" s="73"/>
      <c r="E1258" s="70"/>
      <c r="F1258" s="70" t="s">
        <v>1885</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v>1</v>
      </c>
      <c r="AI1258" s="76">
        <v>1</v>
      </c>
      <c r="AJ1258" s="73"/>
      <c r="AK1258" s="57"/>
      <c r="AL1258" s="45"/>
      <c r="AM1258" s="45"/>
      <c r="AN1258" s="45"/>
    </row>
    <row r="1259" spans="1:40" hidden="1" outlineLevel="3" x14ac:dyDescent="0.25">
      <c r="A1259" s="45"/>
      <c r="B1259" s="54"/>
      <c r="C1259" s="47">
        <f t="shared" si="290"/>
        <v>4</v>
      </c>
      <c r="D1259" s="73"/>
      <c r="E1259" s="402"/>
      <c r="F1259" s="402" t="s">
        <v>1886</v>
      </c>
      <c r="G1259" s="73"/>
      <c r="H1259" s="109"/>
      <c r="I1259" s="109"/>
      <c r="J1259" s="109"/>
      <c r="K1259" s="109"/>
      <c r="L1259" s="109"/>
      <c r="M1259" s="109"/>
      <c r="N1259" s="109"/>
      <c r="O1259" s="109"/>
      <c r="P1259" s="109"/>
      <c r="Q1259" s="109"/>
      <c r="R1259" s="109"/>
      <c r="S1259" s="109"/>
      <c r="T1259" s="109"/>
      <c r="U1259" s="109"/>
      <c r="V1259" s="109"/>
      <c r="W1259" s="109"/>
      <c r="X1259" s="109"/>
      <c r="Y1259" s="109"/>
      <c r="Z1259" s="109"/>
      <c r="AA1259" s="109"/>
      <c r="AB1259" s="109"/>
      <c r="AC1259" s="109"/>
      <c r="AD1259" s="109"/>
      <c r="AE1259" s="109"/>
      <c r="AF1259" s="109"/>
      <c r="AG1259" s="109"/>
      <c r="AH1259" s="109">
        <v>1</v>
      </c>
      <c r="AI1259" s="109">
        <v>1</v>
      </c>
      <c r="AJ1259" s="73"/>
      <c r="AK1259" s="57"/>
      <c r="AL1259" s="45"/>
      <c r="AM1259" s="45"/>
      <c r="AN1259" s="45"/>
    </row>
    <row r="1260" spans="1:40" hidden="1" outlineLevel="2" x14ac:dyDescent="0.25">
      <c r="A1260" s="45"/>
      <c r="B1260" s="54"/>
      <c r="C1260" s="47">
        <f>INT($C$29)+2</f>
        <v>3</v>
      </c>
      <c r="D1260" s="73"/>
      <c r="E1260" s="406"/>
      <c r="F1260" s="406" t="s">
        <v>1887</v>
      </c>
      <c r="G1260" s="407"/>
      <c r="H1260" s="181" t="s">
        <v>1888</v>
      </c>
      <c r="I1260" s="151"/>
      <c r="J1260" s="151"/>
      <c r="K1260" s="181"/>
      <c r="L1260" s="181"/>
      <c r="M1260" s="181"/>
      <c r="N1260" s="181"/>
      <c r="O1260" s="181"/>
      <c r="P1260" s="181"/>
      <c r="Q1260" s="181"/>
      <c r="R1260" s="181"/>
      <c r="S1260" s="181"/>
      <c r="T1260" s="181"/>
      <c r="U1260" s="408">
        <v>3.024E-2</v>
      </c>
      <c r="V1260" s="409">
        <f>U1260</f>
        <v>3.024E-2</v>
      </c>
      <c r="W1260" s="409">
        <f>U1260</f>
        <v>3.024E-2</v>
      </c>
      <c r="X1260" s="409">
        <f>V1260</f>
        <v>3.024E-2</v>
      </c>
      <c r="Y1260" s="409">
        <f>V1260</f>
        <v>3.024E-2</v>
      </c>
      <c r="Z1260" s="409">
        <f>AA1260</f>
        <v>2.248E-2</v>
      </c>
      <c r="AA1260" s="408">
        <v>2.248E-2</v>
      </c>
      <c r="AB1260" s="409">
        <f>AA1260</f>
        <v>2.248E-2</v>
      </c>
      <c r="AC1260" s="409">
        <f>AB1260</f>
        <v>2.248E-2</v>
      </c>
      <c r="AD1260" s="409">
        <f>AC1260</f>
        <v>2.248E-2</v>
      </c>
      <c r="AE1260" s="181"/>
      <c r="AF1260" s="408" t="s">
        <v>1889</v>
      </c>
      <c r="AG1260" s="181"/>
      <c r="AH1260" s="408">
        <v>1</v>
      </c>
      <c r="AI1260" s="408">
        <v>1</v>
      </c>
      <c r="AJ1260" s="73"/>
      <c r="AK1260" s="57"/>
      <c r="AL1260" s="45"/>
      <c r="AM1260" s="45"/>
      <c r="AN1260" s="45"/>
    </row>
    <row r="1261" spans="1:40" hidden="1" outlineLevel="2" x14ac:dyDescent="0.25">
      <c r="A1261" s="45"/>
      <c r="B1261" s="54"/>
      <c r="C1261" s="47">
        <f>INT($C$29)+2</f>
        <v>3</v>
      </c>
      <c r="D1261" s="73"/>
      <c r="E1261" s="70"/>
      <c r="F1261" s="70" t="s">
        <v>1890</v>
      </c>
      <c r="G1261" s="234"/>
      <c r="H1261" s="76" t="s">
        <v>1891</v>
      </c>
      <c r="I1261" s="96"/>
      <c r="J1261" s="96"/>
      <c r="K1261" s="76"/>
      <c r="L1261" s="76"/>
      <c r="M1261" s="76"/>
      <c r="N1261" s="76"/>
      <c r="O1261" s="76"/>
      <c r="P1261" s="76"/>
      <c r="Q1261" s="76"/>
      <c r="R1261" s="76"/>
      <c r="S1261" s="76"/>
      <c r="T1261" s="76"/>
      <c r="U1261" s="253">
        <f t="shared" ref="U1261:AD1261" si="291">U1262</f>
        <v>8.5699999999999995E-3</v>
      </c>
      <c r="V1261" s="253">
        <f t="shared" si="291"/>
        <v>8.5699999999999995E-3</v>
      </c>
      <c r="W1261" s="253">
        <f t="shared" si="291"/>
        <v>8.5699999999999995E-3</v>
      </c>
      <c r="X1261" s="253">
        <f t="shared" si="291"/>
        <v>8.5699999999999995E-3</v>
      </c>
      <c r="Y1261" s="253">
        <f t="shared" si="291"/>
        <v>8.5699999999999995E-3</v>
      </c>
      <c r="Z1261" s="253">
        <f t="shared" si="291"/>
        <v>2.7799999999999999E-3</v>
      </c>
      <c r="AA1261" s="253">
        <f t="shared" si="291"/>
        <v>2.7799999999999999E-3</v>
      </c>
      <c r="AB1261" s="253">
        <f t="shared" si="291"/>
        <v>2.7799999999999999E-3</v>
      </c>
      <c r="AC1261" s="253">
        <f t="shared" si="291"/>
        <v>2.7799999999999999E-3</v>
      </c>
      <c r="AD1261" s="253">
        <f t="shared" si="291"/>
        <v>2.7799999999999999E-3</v>
      </c>
      <c r="AE1261" s="76"/>
      <c r="AF1261" s="97" t="s">
        <v>2182</v>
      </c>
      <c r="AG1261" s="76"/>
      <c r="AH1261" s="253">
        <f>AH1262</f>
        <v>1</v>
      </c>
      <c r="AI1261" s="253">
        <f>AI1262</f>
        <v>1</v>
      </c>
      <c r="AJ1261" s="73"/>
      <c r="AK1261" s="57"/>
      <c r="AL1261" s="45"/>
      <c r="AM1261" s="45"/>
      <c r="AN1261" s="45"/>
    </row>
    <row r="1262" spans="1:40" hidden="1" outlineLevel="2" x14ac:dyDescent="0.25">
      <c r="A1262" s="45"/>
      <c r="B1262" s="54"/>
      <c r="C1262" s="47">
        <f>INT($C$29)+2</f>
        <v>3</v>
      </c>
      <c r="D1262" s="73"/>
      <c r="E1262" s="70"/>
      <c r="F1262" s="70" t="s">
        <v>1892</v>
      </c>
      <c r="G1262" s="234"/>
      <c r="H1262" s="76" t="s">
        <v>1893</v>
      </c>
      <c r="I1262" s="96"/>
      <c r="J1262" s="96"/>
      <c r="K1262" s="76"/>
      <c r="L1262" s="76"/>
      <c r="M1262" s="76"/>
      <c r="N1262" s="76"/>
      <c r="O1262" s="76"/>
      <c r="P1262" s="76"/>
      <c r="Q1262" s="76"/>
      <c r="R1262" s="76"/>
      <c r="S1262" s="76"/>
      <c r="T1262" s="76"/>
      <c r="U1262" s="97">
        <v>8.5699999999999995E-3</v>
      </c>
      <c r="V1262" s="404">
        <f>U1262</f>
        <v>8.5699999999999995E-3</v>
      </c>
      <c r="W1262" s="404">
        <f>U1262</f>
        <v>8.5699999999999995E-3</v>
      </c>
      <c r="X1262" s="404">
        <f>V1262</f>
        <v>8.5699999999999995E-3</v>
      </c>
      <c r="Y1262" s="404">
        <f>V1262</f>
        <v>8.5699999999999995E-3</v>
      </c>
      <c r="Z1262" s="404">
        <f>AA1262</f>
        <v>2.7799999999999999E-3</v>
      </c>
      <c r="AA1262" s="97">
        <v>2.7799999999999999E-3</v>
      </c>
      <c r="AB1262" s="404">
        <f t="shared" ref="AB1262:AD1263" si="292">AA1262</f>
        <v>2.7799999999999999E-3</v>
      </c>
      <c r="AC1262" s="404">
        <f t="shared" si="292"/>
        <v>2.7799999999999999E-3</v>
      </c>
      <c r="AD1262" s="404">
        <f t="shared" si="292"/>
        <v>2.7799999999999999E-3</v>
      </c>
      <c r="AE1262" s="76"/>
      <c r="AF1262" s="76"/>
      <c r="AG1262" s="76"/>
      <c r="AH1262" s="97">
        <v>1</v>
      </c>
      <c r="AI1262" s="97">
        <v>1</v>
      </c>
      <c r="AJ1262" s="73"/>
      <c r="AK1262" s="57"/>
      <c r="AL1262" s="45"/>
      <c r="AM1262" s="45"/>
      <c r="AN1262" s="45"/>
    </row>
    <row r="1263" spans="1:40" hidden="1" outlineLevel="2" x14ac:dyDescent="0.25">
      <c r="A1263" s="45"/>
      <c r="B1263" s="54"/>
      <c r="C1263" s="47">
        <f>INT($C$29)+2</f>
        <v>3</v>
      </c>
      <c r="D1263" s="73"/>
      <c r="E1263" s="70"/>
      <c r="F1263" s="70" t="s">
        <v>1894</v>
      </c>
      <c r="G1263" s="234"/>
      <c r="H1263" s="76" t="s">
        <v>1895</v>
      </c>
      <c r="I1263" s="96"/>
      <c r="J1263" s="96"/>
      <c r="K1263" s="76"/>
      <c r="L1263" s="76"/>
      <c r="M1263" s="76"/>
      <c r="N1263" s="76"/>
      <c r="O1263" s="76"/>
      <c r="P1263" s="76"/>
      <c r="Q1263" s="76"/>
      <c r="R1263" s="76"/>
      <c r="S1263" s="76"/>
      <c r="T1263" s="76"/>
      <c r="U1263" s="97">
        <v>1.626E-2</v>
      </c>
      <c r="V1263" s="404">
        <f>U1263</f>
        <v>1.626E-2</v>
      </c>
      <c r="W1263" s="404">
        <f>U1263</f>
        <v>1.626E-2</v>
      </c>
      <c r="X1263" s="404">
        <f>V1263</f>
        <v>1.626E-2</v>
      </c>
      <c r="Y1263" s="404">
        <f>V1263</f>
        <v>1.626E-2</v>
      </c>
      <c r="Z1263" s="404">
        <f>AA1263</f>
        <v>1.6129999999999999E-2</v>
      </c>
      <c r="AA1263" s="97">
        <v>1.6129999999999999E-2</v>
      </c>
      <c r="AB1263" s="404">
        <f t="shared" si="292"/>
        <v>1.6129999999999999E-2</v>
      </c>
      <c r="AC1263" s="404">
        <f t="shared" si="292"/>
        <v>1.6129999999999999E-2</v>
      </c>
      <c r="AD1263" s="404">
        <f t="shared" si="292"/>
        <v>1.6129999999999999E-2</v>
      </c>
      <c r="AE1263" s="76"/>
      <c r="AF1263" s="76"/>
      <c r="AG1263" s="76"/>
      <c r="AH1263" s="97">
        <v>1</v>
      </c>
      <c r="AI1263" s="97">
        <v>1</v>
      </c>
      <c r="AJ1263" s="73"/>
      <c r="AK1263" s="57"/>
      <c r="AL1263" s="45"/>
      <c r="AM1263" s="45"/>
      <c r="AN1263" s="45"/>
    </row>
    <row r="1264" spans="1:40" hidden="1" outlineLevel="3" x14ac:dyDescent="0.25">
      <c r="A1264" s="45"/>
      <c r="B1264" s="54"/>
      <c r="C1264" s="47">
        <f>INT($C$29)+3</f>
        <v>4</v>
      </c>
      <c r="D1264" s="73"/>
      <c r="E1264" s="70"/>
      <c r="F1264" s="70" t="s">
        <v>1896</v>
      </c>
      <c r="G1264" s="234"/>
      <c r="H1264" s="76" t="s">
        <v>1897</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25">
      <c r="A1265" s="45"/>
      <c r="B1265" s="54"/>
      <c r="C1265" s="47">
        <f>INT($C$29)+3</f>
        <v>4</v>
      </c>
      <c r="D1265" s="73"/>
      <c r="E1265" s="70"/>
      <c r="F1265" s="70" t="s">
        <v>1898</v>
      </c>
      <c r="G1265" s="234"/>
      <c r="H1265" s="76" t="s">
        <v>1899</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1900</v>
      </c>
      <c r="G1266" s="234"/>
      <c r="H1266" s="76" t="s">
        <v>1901</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x14ac:dyDescent="0.25">
      <c r="A1267" s="45"/>
      <c r="B1267" s="54"/>
      <c r="C1267" s="47">
        <f t="shared" ref="C1267:C1283" si="293">INT($C$29)+2</f>
        <v>3</v>
      </c>
      <c r="D1267" s="73"/>
      <c r="E1267" s="410"/>
      <c r="F1267" s="410" t="s">
        <v>1902</v>
      </c>
      <c r="G1267" s="411"/>
      <c r="H1267" s="184" t="s">
        <v>1903</v>
      </c>
      <c r="I1267" s="184"/>
      <c r="J1267" s="184"/>
      <c r="K1267" s="184"/>
      <c r="L1267" s="184"/>
      <c r="M1267" s="184"/>
      <c r="N1267" s="184"/>
      <c r="O1267" s="184"/>
      <c r="P1267" s="184"/>
      <c r="Q1267" s="184"/>
      <c r="R1267" s="184"/>
      <c r="S1267" s="184"/>
      <c r="T1267" s="184"/>
      <c r="U1267" s="412">
        <v>3.496</v>
      </c>
      <c r="V1267" s="412">
        <v>3.496</v>
      </c>
      <c r="W1267" s="412">
        <v>3.496</v>
      </c>
      <c r="X1267" s="412">
        <v>3.496</v>
      </c>
      <c r="Y1267" s="412">
        <v>3.496</v>
      </c>
      <c r="Z1267" s="415">
        <f>AA1267</f>
        <v>4.2411000000000003</v>
      </c>
      <c r="AA1267" s="416">
        <v>4.2411000000000003</v>
      </c>
      <c r="AB1267" s="415">
        <f t="shared" ref="AB1267:AD1268" si="294">AA1267</f>
        <v>4.2411000000000003</v>
      </c>
      <c r="AC1267" s="415">
        <f t="shared" si="294"/>
        <v>4.2411000000000003</v>
      </c>
      <c r="AD1267" s="415">
        <f t="shared" si="294"/>
        <v>4.2411000000000003</v>
      </c>
      <c r="AE1267" s="184"/>
      <c r="AF1267" s="184"/>
      <c r="AG1267" s="184"/>
      <c r="AH1267" s="413">
        <v>1</v>
      </c>
      <c r="AI1267" s="413">
        <v>1</v>
      </c>
      <c r="AJ1267" s="73"/>
      <c r="AK1267" s="57"/>
      <c r="AL1267" s="45"/>
      <c r="AM1267" s="45"/>
      <c r="AN1267" s="45"/>
    </row>
    <row r="1268" spans="1:40" hidden="1" outlineLevel="2" x14ac:dyDescent="0.25">
      <c r="A1268" s="45"/>
      <c r="B1268" s="54"/>
      <c r="C1268" s="47">
        <f t="shared" si="293"/>
        <v>3</v>
      </c>
      <c r="D1268" s="73"/>
      <c r="E1268" s="403"/>
      <c r="F1268" s="403" t="s">
        <v>1904</v>
      </c>
      <c r="G1268" s="73"/>
      <c r="H1268" s="105" t="s">
        <v>1905</v>
      </c>
      <c r="I1268" s="177"/>
      <c r="J1268" s="177"/>
      <c r="K1268" s="105"/>
      <c r="L1268" s="105"/>
      <c r="M1268" s="105"/>
      <c r="N1268" s="105"/>
      <c r="O1268" s="105"/>
      <c r="P1268" s="105"/>
      <c r="Q1268" s="105"/>
      <c r="R1268" s="105"/>
      <c r="S1268" s="105"/>
      <c r="T1268" s="105"/>
      <c r="U1268" s="119">
        <v>0.18</v>
      </c>
      <c r="V1268" s="119">
        <v>0.18</v>
      </c>
      <c r="W1268" s="119">
        <v>0.18</v>
      </c>
      <c r="X1268" s="119">
        <v>0.18</v>
      </c>
      <c r="Y1268" s="119">
        <v>0.18</v>
      </c>
      <c r="Z1268" s="405">
        <f>AA1268</f>
        <v>0.13919999999999999</v>
      </c>
      <c r="AA1268" s="119">
        <v>0.13919999999999999</v>
      </c>
      <c r="AB1268" s="405">
        <f t="shared" si="294"/>
        <v>0.13919999999999999</v>
      </c>
      <c r="AC1268" s="405">
        <f t="shared" si="294"/>
        <v>0.13919999999999999</v>
      </c>
      <c r="AD1268" s="405">
        <f t="shared" si="294"/>
        <v>0.13919999999999999</v>
      </c>
      <c r="AE1268" s="105"/>
      <c r="AF1268" s="119" t="s">
        <v>1283</v>
      </c>
      <c r="AG1268" s="105"/>
      <c r="AH1268" s="119">
        <v>1</v>
      </c>
      <c r="AI1268" s="119">
        <v>1</v>
      </c>
      <c r="AJ1268" s="73"/>
      <c r="AK1268" s="57"/>
      <c r="AL1268" s="45"/>
      <c r="AM1268" s="45"/>
      <c r="AN1268" s="45"/>
    </row>
    <row r="1269" spans="1:40" hidden="1" outlineLevel="2" x14ac:dyDescent="0.25">
      <c r="A1269" s="45"/>
      <c r="B1269" s="54"/>
      <c r="C1269" s="47">
        <f t="shared" si="293"/>
        <v>3</v>
      </c>
      <c r="D1269" s="73"/>
      <c r="E1269" s="70"/>
      <c r="F1269" s="70" t="s">
        <v>1906</v>
      </c>
      <c r="G1269" s="73"/>
      <c r="H1269" s="76" t="s">
        <v>1907</v>
      </c>
      <c r="I1269" s="96"/>
      <c r="J1269" s="96"/>
      <c r="K1269" s="76"/>
      <c r="L1269" s="76"/>
      <c r="M1269" s="76"/>
      <c r="N1269" s="76"/>
      <c r="O1269" s="76"/>
      <c r="P1269" s="76"/>
      <c r="Q1269" s="76"/>
      <c r="R1269" s="76"/>
      <c r="S1269" s="76"/>
      <c r="T1269" s="76"/>
      <c r="U1269" s="253">
        <f t="shared" ref="U1269:AD1269" si="295">U1270</f>
        <v>0.03</v>
      </c>
      <c r="V1269" s="253">
        <f t="shared" si="295"/>
        <v>0.03</v>
      </c>
      <c r="W1269" s="253">
        <f t="shared" si="295"/>
        <v>0.03</v>
      </c>
      <c r="X1269" s="253">
        <f t="shared" si="295"/>
        <v>0.03</v>
      </c>
      <c r="Y1269" s="253">
        <f t="shared" si="295"/>
        <v>0.03</v>
      </c>
      <c r="Z1269" s="253">
        <f t="shared" si="295"/>
        <v>7.0000000000000062E-3</v>
      </c>
      <c r="AA1269" s="253">
        <f t="shared" si="295"/>
        <v>7.0000000000000062E-3</v>
      </c>
      <c r="AB1269" s="253">
        <f t="shared" si="295"/>
        <v>7.0000000000000062E-3</v>
      </c>
      <c r="AC1269" s="253">
        <f t="shared" si="295"/>
        <v>7.0000000000000062E-3</v>
      </c>
      <c r="AD1269" s="253">
        <f t="shared" si="295"/>
        <v>7.0000000000000062E-3</v>
      </c>
      <c r="AE1269" s="76"/>
      <c r="AF1269" s="97" t="s">
        <v>2182</v>
      </c>
      <c r="AG1269" s="76"/>
      <c r="AH1269" s="253">
        <f>AH1270</f>
        <v>1</v>
      </c>
      <c r="AI1269" s="253">
        <f>AI1270</f>
        <v>1</v>
      </c>
      <c r="AJ1269" s="73"/>
      <c r="AK1269" s="57"/>
      <c r="AL1269" s="45"/>
      <c r="AM1269" s="45"/>
      <c r="AN1269" s="45"/>
    </row>
    <row r="1270" spans="1:40" hidden="1" outlineLevel="2" x14ac:dyDescent="0.25">
      <c r="A1270" s="45"/>
      <c r="B1270" s="54"/>
      <c r="C1270" s="47">
        <f t="shared" si="293"/>
        <v>3</v>
      </c>
      <c r="D1270" s="73"/>
      <c r="E1270" s="70"/>
      <c r="F1270" s="70" t="s">
        <v>1908</v>
      </c>
      <c r="G1270" s="73"/>
      <c r="H1270" s="76" t="s">
        <v>1739</v>
      </c>
      <c r="I1270" s="96"/>
      <c r="J1270" s="96"/>
      <c r="K1270" s="76"/>
      <c r="L1270" s="76"/>
      <c r="M1270" s="76"/>
      <c r="N1270" s="76"/>
      <c r="O1270" s="76"/>
      <c r="P1270" s="76"/>
      <c r="Q1270" s="76"/>
      <c r="R1270" s="76"/>
      <c r="S1270" s="76"/>
      <c r="T1270" s="76"/>
      <c r="U1270" s="97">
        <f>0.21-U$1268</f>
        <v>0.03</v>
      </c>
      <c r="V1270" s="97">
        <f>0.21-V$1268</f>
        <v>0.03</v>
      </c>
      <c r="W1270" s="97">
        <f>0.21-W$1268</f>
        <v>0.03</v>
      </c>
      <c r="X1270" s="97">
        <f>0.21-X$1268</f>
        <v>0.03</v>
      </c>
      <c r="Y1270" s="97">
        <f>0.21-Y$1268</f>
        <v>0.03</v>
      </c>
      <c r="Z1270" s="255">
        <f t="shared" ref="Z1270:Z1276" si="296">AA1270</f>
        <v>7.0000000000000062E-3</v>
      </c>
      <c r="AA1270" s="97">
        <f>0.1462-AA$1268</f>
        <v>7.0000000000000062E-3</v>
      </c>
      <c r="AB1270" s="255">
        <f t="shared" ref="AB1270:AD1276" si="297">AA1270</f>
        <v>7.0000000000000062E-3</v>
      </c>
      <c r="AC1270" s="255">
        <f t="shared" si="297"/>
        <v>7.0000000000000062E-3</v>
      </c>
      <c r="AD1270" s="255">
        <f t="shared" si="297"/>
        <v>7.0000000000000062E-3</v>
      </c>
      <c r="AE1270" s="76"/>
      <c r="AF1270" s="76"/>
      <c r="AG1270" s="76"/>
      <c r="AH1270" s="97">
        <v>1</v>
      </c>
      <c r="AI1270" s="97">
        <v>1</v>
      </c>
      <c r="AJ1270" s="73"/>
      <c r="AK1270" s="57"/>
      <c r="AL1270" s="45"/>
      <c r="AM1270" s="45"/>
      <c r="AN1270" s="45"/>
    </row>
    <row r="1271" spans="1:40" hidden="1" outlineLevel="2" x14ac:dyDescent="0.25">
      <c r="A1271" s="45"/>
      <c r="B1271" s="54"/>
      <c r="C1271" s="47">
        <f t="shared" si="293"/>
        <v>3</v>
      </c>
      <c r="D1271" s="73"/>
      <c r="E1271" s="70"/>
      <c r="F1271" s="70" t="s">
        <v>1909</v>
      </c>
      <c r="G1271" s="73"/>
      <c r="H1271" s="76" t="s">
        <v>1741</v>
      </c>
      <c r="I1271" s="96"/>
      <c r="J1271" s="96"/>
      <c r="K1271" s="76"/>
      <c r="L1271" s="76"/>
      <c r="M1271" s="76"/>
      <c r="N1271" s="76"/>
      <c r="O1271" s="76"/>
      <c r="P1271" s="76"/>
      <c r="Q1271" s="76"/>
      <c r="R1271" s="76"/>
      <c r="S1271" s="76"/>
      <c r="T1271" s="76"/>
      <c r="U1271" s="97">
        <f>0.14-U$1268</f>
        <v>-3.999999999999998E-2</v>
      </c>
      <c r="V1271" s="97">
        <f>0.14-V$1268</f>
        <v>-3.999999999999998E-2</v>
      </c>
      <c r="W1271" s="97">
        <f>0.14-W$1268</f>
        <v>-3.999999999999998E-2</v>
      </c>
      <c r="X1271" s="97">
        <f>0.14-X$1268</f>
        <v>-3.999999999999998E-2</v>
      </c>
      <c r="Y1271" s="97">
        <f>0.14-Y$1268</f>
        <v>-3.999999999999998E-2</v>
      </c>
      <c r="Z1271" s="255">
        <f t="shared" si="296"/>
        <v>-3.0299999999999994E-2</v>
      </c>
      <c r="AA1271" s="97">
        <f>0.1089-AA$1268</f>
        <v>-3.0299999999999994E-2</v>
      </c>
      <c r="AB1271" s="255">
        <f t="shared" si="297"/>
        <v>-3.0299999999999994E-2</v>
      </c>
      <c r="AC1271" s="255">
        <f t="shared" si="297"/>
        <v>-3.0299999999999994E-2</v>
      </c>
      <c r="AD1271" s="255">
        <f t="shared" si="297"/>
        <v>-3.0299999999999994E-2</v>
      </c>
      <c r="AE1271" s="76"/>
      <c r="AF1271" s="76"/>
      <c r="AG1271" s="76"/>
      <c r="AH1271" s="97">
        <v>1</v>
      </c>
      <c r="AI1271" s="97">
        <v>1</v>
      </c>
      <c r="AJ1271" s="73"/>
      <c r="AK1271" s="57"/>
      <c r="AL1271" s="45"/>
      <c r="AM1271" s="45"/>
      <c r="AN1271" s="45"/>
    </row>
    <row r="1272" spans="1:40" hidden="1" outlineLevel="2" x14ac:dyDescent="0.25">
      <c r="A1272" s="45"/>
      <c r="B1272" s="54"/>
      <c r="C1272" s="47">
        <f t="shared" si="293"/>
        <v>3</v>
      </c>
      <c r="D1272" s="73"/>
      <c r="E1272" s="70"/>
      <c r="F1272" s="70" t="s">
        <v>1910</v>
      </c>
      <c r="G1272" s="73"/>
      <c r="H1272" s="76" t="s">
        <v>1743</v>
      </c>
      <c r="I1272" s="76"/>
      <c r="J1272" s="76"/>
      <c r="K1272" s="76"/>
      <c r="L1272" s="76"/>
      <c r="M1272" s="76"/>
      <c r="N1272" s="76"/>
      <c r="O1272" s="76"/>
      <c r="P1272" s="76"/>
      <c r="Q1272" s="76"/>
      <c r="R1272" s="76"/>
      <c r="S1272" s="76"/>
      <c r="T1272" s="76"/>
      <c r="U1272" s="97">
        <f>0-U$1268</f>
        <v>-0.18</v>
      </c>
      <c r="V1272" s="97">
        <f>0-V$1268</f>
        <v>-0.18</v>
      </c>
      <c r="W1272" s="97">
        <f>0-W$1268</f>
        <v>-0.18</v>
      </c>
      <c r="X1272" s="97">
        <f>0-X$1268</f>
        <v>-0.18</v>
      </c>
      <c r="Y1272" s="97">
        <f>0-Y$1268</f>
        <v>-0.18</v>
      </c>
      <c r="Z1272" s="255">
        <f t="shared" si="296"/>
        <v>-0.13919999999999999</v>
      </c>
      <c r="AA1272" s="97">
        <f>0-AA$1268</f>
        <v>-0.13919999999999999</v>
      </c>
      <c r="AB1272" s="255">
        <f t="shared" si="297"/>
        <v>-0.13919999999999999</v>
      </c>
      <c r="AC1272" s="255">
        <f t="shared" si="297"/>
        <v>-0.13919999999999999</v>
      </c>
      <c r="AD1272" s="255">
        <f t="shared" si="297"/>
        <v>-0.13919999999999999</v>
      </c>
      <c r="AE1272" s="76"/>
      <c r="AF1272" s="76"/>
      <c r="AG1272" s="76"/>
      <c r="AH1272" s="97">
        <v>1</v>
      </c>
      <c r="AI1272" s="97">
        <v>1</v>
      </c>
      <c r="AJ1272" s="73"/>
      <c r="AK1272" s="57"/>
      <c r="AL1272" s="45"/>
      <c r="AM1272" s="45"/>
      <c r="AN1272" s="45"/>
    </row>
    <row r="1273" spans="1:40" hidden="1" outlineLevel="2" x14ac:dyDescent="0.25">
      <c r="A1273" s="45"/>
      <c r="B1273" s="54"/>
      <c r="C1273" s="47">
        <f t="shared" si="293"/>
        <v>3</v>
      </c>
      <c r="D1273" s="73"/>
      <c r="E1273" s="70"/>
      <c r="F1273" s="70" t="s">
        <v>1911</v>
      </c>
      <c r="G1273" s="73"/>
      <c r="H1273" s="76" t="s">
        <v>1899</v>
      </c>
      <c r="I1273" s="76"/>
      <c r="J1273" s="76"/>
      <c r="K1273" s="76"/>
      <c r="L1273" s="76"/>
      <c r="M1273" s="76"/>
      <c r="N1273" s="76"/>
      <c r="O1273" s="76"/>
      <c r="P1273" s="76"/>
      <c r="Q1273" s="76"/>
      <c r="R1273" s="76"/>
      <c r="S1273" s="76"/>
      <c r="T1273" s="76"/>
      <c r="U1273" s="97">
        <v>7.9000000000000008E-3</v>
      </c>
      <c r="V1273" s="97">
        <v>7.9000000000000008E-3</v>
      </c>
      <c r="W1273" s="97">
        <v>7.9000000000000008E-3</v>
      </c>
      <c r="X1273" s="97">
        <v>7.9000000000000008E-3</v>
      </c>
      <c r="Y1273" s="97">
        <v>7.9000000000000008E-3</v>
      </c>
      <c r="Z1273" s="255">
        <f t="shared" si="296"/>
        <v>0</v>
      </c>
      <c r="AA1273" s="76">
        <v>0</v>
      </c>
      <c r="AB1273" s="255">
        <f t="shared" si="297"/>
        <v>0</v>
      </c>
      <c r="AC1273" s="255">
        <f t="shared" si="297"/>
        <v>0</v>
      </c>
      <c r="AD1273" s="255">
        <f t="shared" si="297"/>
        <v>0</v>
      </c>
      <c r="AE1273" s="76"/>
      <c r="AF1273" s="76"/>
      <c r="AG1273" s="76"/>
      <c r="AH1273" s="97">
        <v>1</v>
      </c>
      <c r="AI1273" s="97">
        <v>1</v>
      </c>
      <c r="AJ1273" s="73"/>
      <c r="AK1273" s="57"/>
      <c r="AL1273" s="45"/>
      <c r="AM1273" s="45"/>
      <c r="AN1273" s="45"/>
    </row>
    <row r="1274" spans="1:40" hidden="1" outlineLevel="2" x14ac:dyDescent="0.25">
      <c r="A1274" s="45"/>
      <c r="B1274" s="54"/>
      <c r="C1274" s="47">
        <f t="shared" si="293"/>
        <v>3</v>
      </c>
      <c r="D1274" s="73"/>
      <c r="E1274" s="70"/>
      <c r="F1274" s="70" t="s">
        <v>1912</v>
      </c>
      <c r="G1274" s="73"/>
      <c r="H1274" s="76" t="s">
        <v>1901</v>
      </c>
      <c r="I1274" s="76"/>
      <c r="J1274" s="76"/>
      <c r="K1274" s="76"/>
      <c r="L1274" s="76"/>
      <c r="M1274" s="76"/>
      <c r="N1274" s="76"/>
      <c r="O1274" s="76"/>
      <c r="P1274" s="76"/>
      <c r="Q1274" s="76"/>
      <c r="R1274" s="76"/>
      <c r="S1274" s="76"/>
      <c r="T1274" s="76"/>
      <c r="U1274" s="97">
        <v>-1.5E-6</v>
      </c>
      <c r="V1274" s="97">
        <v>-1.5E-6</v>
      </c>
      <c r="W1274" s="97">
        <v>-1.5E-6</v>
      </c>
      <c r="X1274" s="97">
        <v>-1.5E-6</v>
      </c>
      <c r="Y1274" s="97">
        <v>-1.5E-6</v>
      </c>
      <c r="Z1274" s="255">
        <f t="shared" si="296"/>
        <v>0</v>
      </c>
      <c r="AA1274" s="76">
        <v>0</v>
      </c>
      <c r="AB1274" s="255">
        <f t="shared" si="297"/>
        <v>0</v>
      </c>
      <c r="AC1274" s="255">
        <f t="shared" si="297"/>
        <v>0</v>
      </c>
      <c r="AD1274" s="255">
        <f t="shared" si="297"/>
        <v>0</v>
      </c>
      <c r="AE1274" s="76"/>
      <c r="AF1274" s="76"/>
      <c r="AG1274" s="76"/>
      <c r="AH1274" s="97">
        <v>1</v>
      </c>
      <c r="AI1274" s="97">
        <v>1</v>
      </c>
      <c r="AJ1274" s="73"/>
      <c r="AK1274" s="57"/>
      <c r="AL1274" s="45"/>
      <c r="AM1274" s="45"/>
      <c r="AN1274" s="45"/>
    </row>
    <row r="1275" spans="1:40" hidden="1" outlineLevel="2" x14ac:dyDescent="0.25">
      <c r="A1275" s="45"/>
      <c r="B1275" s="54"/>
      <c r="C1275" s="47">
        <f t="shared" si="293"/>
        <v>3</v>
      </c>
      <c r="D1275" s="73"/>
      <c r="E1275" s="70"/>
      <c r="F1275" s="70" t="s">
        <v>1913</v>
      </c>
      <c r="G1275" s="73"/>
      <c r="H1275" s="76" t="s">
        <v>1914</v>
      </c>
      <c r="I1275" s="76"/>
      <c r="J1275" s="76"/>
      <c r="K1275" s="76"/>
      <c r="L1275" s="76"/>
      <c r="M1275" s="76"/>
      <c r="N1275" s="76"/>
      <c r="O1275" s="76"/>
      <c r="P1275" s="76"/>
      <c r="Q1275" s="76"/>
      <c r="R1275" s="76"/>
      <c r="S1275" s="76"/>
      <c r="T1275" s="76"/>
      <c r="U1275" s="97">
        <v>4.5599999999999996</v>
      </c>
      <c r="V1275" s="97">
        <v>4.5599999999999996</v>
      </c>
      <c r="W1275" s="97">
        <v>4.5599999999999996</v>
      </c>
      <c r="X1275" s="97">
        <v>4.5599999999999996</v>
      </c>
      <c r="Y1275" s="97">
        <v>4.5599999999999996</v>
      </c>
      <c r="Z1275" s="255">
        <f t="shared" si="296"/>
        <v>24.748000000000001</v>
      </c>
      <c r="AA1275" s="97">
        <f>27.01-0.2262*10</f>
        <v>24.748000000000001</v>
      </c>
      <c r="AB1275" s="255">
        <f t="shared" si="297"/>
        <v>24.748000000000001</v>
      </c>
      <c r="AC1275" s="255">
        <f t="shared" si="297"/>
        <v>24.748000000000001</v>
      </c>
      <c r="AD1275" s="255">
        <f t="shared" si="297"/>
        <v>24.748000000000001</v>
      </c>
      <c r="AE1275" s="76"/>
      <c r="AF1275" s="76"/>
      <c r="AG1275" s="76"/>
      <c r="AH1275" s="97">
        <v>1</v>
      </c>
      <c r="AI1275" s="97">
        <v>1</v>
      </c>
      <c r="AJ1275" s="73"/>
      <c r="AK1275" s="57"/>
      <c r="AL1275" s="45"/>
      <c r="AM1275" s="45"/>
      <c r="AN1275" s="45"/>
    </row>
    <row r="1276" spans="1:40" hidden="1" outlineLevel="2" x14ac:dyDescent="0.25">
      <c r="A1276" s="45"/>
      <c r="B1276" s="54"/>
      <c r="C1276" s="47">
        <f t="shared" si="293"/>
        <v>3</v>
      </c>
      <c r="D1276" s="73"/>
      <c r="E1276" s="70"/>
      <c r="F1276" s="70" t="s">
        <v>1915</v>
      </c>
      <c r="G1276" s="73"/>
      <c r="H1276" s="76" t="s">
        <v>1916</v>
      </c>
      <c r="I1276" s="96"/>
      <c r="J1276" s="96"/>
      <c r="K1276" s="76"/>
      <c r="L1276" s="76"/>
      <c r="M1276" s="76"/>
      <c r="N1276" s="76"/>
      <c r="O1276" s="76"/>
      <c r="P1276" s="76"/>
      <c r="Q1276" s="76"/>
      <c r="R1276" s="76"/>
      <c r="S1276" s="76"/>
      <c r="T1276" s="76"/>
      <c r="U1276" s="97">
        <f>2.05/1000</f>
        <v>2.0499999999999997E-3</v>
      </c>
      <c r="V1276" s="97">
        <f>2.05/1000</f>
        <v>2.0499999999999997E-3</v>
      </c>
      <c r="W1276" s="97">
        <f>2.05/1000</f>
        <v>2.0499999999999997E-3</v>
      </c>
      <c r="X1276" s="97">
        <f>2.05/1000</f>
        <v>2.0499999999999997E-3</v>
      </c>
      <c r="Y1276" s="97">
        <f>2.05/1000</f>
        <v>2.0499999999999997E-3</v>
      </c>
      <c r="Z1276" s="255">
        <f t="shared" si="296"/>
        <v>2.0499999999999997E-3</v>
      </c>
      <c r="AA1276" s="97">
        <f>2.05/1000</f>
        <v>2.0499999999999997E-3</v>
      </c>
      <c r="AB1276" s="255">
        <f t="shared" si="297"/>
        <v>2.0499999999999997E-3</v>
      </c>
      <c r="AC1276" s="255">
        <f t="shared" si="297"/>
        <v>2.0499999999999997E-3</v>
      </c>
      <c r="AD1276" s="255">
        <f t="shared" si="297"/>
        <v>2.0499999999999997E-3</v>
      </c>
      <c r="AE1276" s="76"/>
      <c r="AF1276" s="97" t="s">
        <v>1290</v>
      </c>
      <c r="AG1276" s="76"/>
      <c r="AH1276" s="97">
        <v>1</v>
      </c>
      <c r="AI1276" s="97">
        <v>1</v>
      </c>
      <c r="AJ1276" s="73"/>
      <c r="AK1276" s="57"/>
      <c r="AL1276" s="45"/>
      <c r="AM1276" s="45"/>
      <c r="AN1276" s="45"/>
    </row>
    <row r="1277" spans="1:40" hidden="1" outlineLevel="2" x14ac:dyDescent="0.25">
      <c r="A1277" s="45"/>
      <c r="B1277" s="54"/>
      <c r="C1277" s="47">
        <f t="shared" si="293"/>
        <v>3</v>
      </c>
      <c r="D1277" s="73"/>
      <c r="E1277" s="70"/>
      <c r="F1277" s="70" t="s">
        <v>1917</v>
      </c>
      <c r="G1277" s="73"/>
      <c r="H1277" s="76" t="s">
        <v>1918</v>
      </c>
      <c r="I1277" s="96"/>
      <c r="J1277" s="96"/>
      <c r="K1277" s="76"/>
      <c r="L1277" s="76"/>
      <c r="M1277" s="76"/>
      <c r="N1277" s="76"/>
      <c r="O1277" s="76"/>
      <c r="P1277" s="76"/>
      <c r="Q1277" s="76"/>
      <c r="R1277" s="76"/>
      <c r="S1277" s="76"/>
      <c r="T1277" s="76"/>
      <c r="U1277" s="253">
        <f t="shared" ref="U1277:AD1277" si="298">U1278</f>
        <v>-5.9999999999999724E-5</v>
      </c>
      <c r="V1277" s="253">
        <f t="shared" si="298"/>
        <v>-5.9999999999999724E-5</v>
      </c>
      <c r="W1277" s="253">
        <f t="shared" si="298"/>
        <v>-5.9999999999999724E-5</v>
      </c>
      <c r="X1277" s="253">
        <f t="shared" si="298"/>
        <v>-5.9999999999999724E-5</v>
      </c>
      <c r="Y1277" s="253">
        <f t="shared" si="298"/>
        <v>-5.9999999999999724E-5</v>
      </c>
      <c r="Z1277" s="253">
        <f t="shared" si="298"/>
        <v>-5.9999999999999724E-5</v>
      </c>
      <c r="AA1277" s="253">
        <f t="shared" si="298"/>
        <v>-5.9999999999999724E-5</v>
      </c>
      <c r="AB1277" s="253">
        <f t="shared" si="298"/>
        <v>-5.9999999999999724E-5</v>
      </c>
      <c r="AC1277" s="253">
        <f t="shared" si="298"/>
        <v>-5.9999999999999724E-5</v>
      </c>
      <c r="AD1277" s="253">
        <f t="shared" si="298"/>
        <v>-5.9999999999999724E-5</v>
      </c>
      <c r="AE1277" s="76"/>
      <c r="AF1277" s="76"/>
      <c r="AG1277" s="76"/>
      <c r="AH1277" s="253">
        <f>AH1278</f>
        <v>1</v>
      </c>
      <c r="AI1277" s="253">
        <f>AI1278</f>
        <v>1</v>
      </c>
      <c r="AJ1277" s="73"/>
      <c r="AK1277" s="57"/>
      <c r="AL1277" s="45"/>
      <c r="AM1277" s="45"/>
      <c r="AN1277" s="45"/>
    </row>
    <row r="1278" spans="1:40" hidden="1" outlineLevel="2" x14ac:dyDescent="0.25">
      <c r="A1278" s="45"/>
      <c r="B1278" s="54"/>
      <c r="C1278" s="47">
        <f t="shared" si="293"/>
        <v>3</v>
      </c>
      <c r="D1278" s="73"/>
      <c r="E1278" s="70"/>
      <c r="F1278" s="70" t="s">
        <v>1919</v>
      </c>
      <c r="G1278" s="73"/>
      <c r="H1278" s="76" t="s">
        <v>1920</v>
      </c>
      <c r="I1278" s="96"/>
      <c r="J1278" s="96"/>
      <c r="K1278" s="76"/>
      <c r="L1278" s="76"/>
      <c r="M1278" s="76"/>
      <c r="N1278" s="76"/>
      <c r="O1278" s="76"/>
      <c r="P1278" s="76"/>
      <c r="Q1278" s="76"/>
      <c r="R1278" s="76"/>
      <c r="S1278" s="76"/>
      <c r="T1278" s="76"/>
      <c r="U1278" s="97">
        <f>1.99/1000-U$1276</f>
        <v>-5.9999999999999724E-5</v>
      </c>
      <c r="V1278" s="97">
        <f>1.99/1000-V$1276</f>
        <v>-5.9999999999999724E-5</v>
      </c>
      <c r="W1278" s="97">
        <f>1.99/1000-W$1276</f>
        <v>-5.9999999999999724E-5</v>
      </c>
      <c r="X1278" s="97">
        <f>1.99/1000-X$1276</f>
        <v>-5.9999999999999724E-5</v>
      </c>
      <c r="Y1278" s="97">
        <f>1.99/1000-Y$1276</f>
        <v>-5.9999999999999724E-5</v>
      </c>
      <c r="Z1278" s="255">
        <f t="shared" ref="Z1278:Z1283" si="299">AA1278</f>
        <v>-5.9999999999999724E-5</v>
      </c>
      <c r="AA1278" s="97">
        <f>1.99/1000-AA$1276</f>
        <v>-5.9999999999999724E-5</v>
      </c>
      <c r="AB1278" s="255">
        <f t="shared" ref="AB1278:AD1283" si="300">AA1278</f>
        <v>-5.9999999999999724E-5</v>
      </c>
      <c r="AC1278" s="255">
        <f t="shared" si="300"/>
        <v>-5.9999999999999724E-5</v>
      </c>
      <c r="AD1278" s="255">
        <f t="shared" si="300"/>
        <v>-5.9999999999999724E-5</v>
      </c>
      <c r="AE1278" s="76"/>
      <c r="AF1278" s="76"/>
      <c r="AG1278" s="76"/>
      <c r="AH1278" s="97">
        <v>1</v>
      </c>
      <c r="AI1278" s="97">
        <v>1</v>
      </c>
      <c r="AJ1278" s="73"/>
      <c r="AK1278" s="57"/>
      <c r="AL1278" s="45"/>
      <c r="AM1278" s="45"/>
      <c r="AN1278" s="45"/>
    </row>
    <row r="1279" spans="1:40" hidden="1" outlineLevel="2" x14ac:dyDescent="0.25">
      <c r="A1279" s="45"/>
      <c r="B1279" s="54"/>
      <c r="C1279" s="47">
        <f t="shared" si="293"/>
        <v>3</v>
      </c>
      <c r="D1279" s="73"/>
      <c r="E1279" s="70"/>
      <c r="F1279" s="70" t="s">
        <v>1921</v>
      </c>
      <c r="G1279" s="73"/>
      <c r="H1279" s="76" t="s">
        <v>1922</v>
      </c>
      <c r="I1279" s="96"/>
      <c r="J1279" s="96"/>
      <c r="K1279" s="76"/>
      <c r="L1279" s="76"/>
      <c r="M1279" s="76"/>
      <c r="N1279" s="76"/>
      <c r="O1279" s="76"/>
      <c r="P1279" s="76"/>
      <c r="Q1279" s="76"/>
      <c r="R1279" s="76"/>
      <c r="S1279" s="76"/>
      <c r="T1279" s="76"/>
      <c r="U1279" s="97">
        <f>1.4/1000-U$1276</f>
        <v>-6.4999999999999975E-4</v>
      </c>
      <c r="V1279" s="97">
        <f>1.4/1000-V$1276</f>
        <v>-6.4999999999999975E-4</v>
      </c>
      <c r="W1279" s="97">
        <f>1.4/1000-W$1276</f>
        <v>-6.4999999999999975E-4</v>
      </c>
      <c r="X1279" s="97">
        <f>1.4/1000-X$1276</f>
        <v>-6.4999999999999975E-4</v>
      </c>
      <c r="Y1279" s="97">
        <f>1.4/1000-Y$1276</f>
        <v>-6.4999999999999975E-4</v>
      </c>
      <c r="Z1279" s="255">
        <f t="shared" si="299"/>
        <v>-6.4999999999999975E-4</v>
      </c>
      <c r="AA1279" s="97">
        <f>1.4/1000-AA$1276</f>
        <v>-6.4999999999999975E-4</v>
      </c>
      <c r="AB1279" s="255">
        <f t="shared" si="300"/>
        <v>-6.4999999999999975E-4</v>
      </c>
      <c r="AC1279" s="255">
        <f t="shared" si="300"/>
        <v>-6.4999999999999975E-4</v>
      </c>
      <c r="AD1279" s="255">
        <f t="shared" si="300"/>
        <v>-6.4999999999999975E-4</v>
      </c>
      <c r="AE1279" s="76"/>
      <c r="AF1279" s="76"/>
      <c r="AG1279" s="76"/>
      <c r="AH1279" s="97">
        <v>1</v>
      </c>
      <c r="AI1279" s="97">
        <v>1</v>
      </c>
      <c r="AJ1279" s="73"/>
      <c r="AK1279" s="57"/>
      <c r="AL1279" s="45"/>
      <c r="AM1279" s="45"/>
      <c r="AN1279" s="45"/>
    </row>
    <row r="1280" spans="1:40" hidden="1" outlineLevel="2" x14ac:dyDescent="0.25">
      <c r="A1280" s="45"/>
      <c r="B1280" s="54"/>
      <c r="C1280" s="47">
        <f t="shared" si="293"/>
        <v>3</v>
      </c>
      <c r="D1280" s="73"/>
      <c r="E1280" s="70"/>
      <c r="F1280" s="70" t="s">
        <v>1923</v>
      </c>
      <c r="G1280" s="73"/>
      <c r="H1280" s="76" t="s">
        <v>1924</v>
      </c>
      <c r="I1280" s="76"/>
      <c r="J1280" s="76"/>
      <c r="K1280" s="76"/>
      <c r="L1280" s="76"/>
      <c r="M1280" s="76"/>
      <c r="N1280" s="76"/>
      <c r="O1280" s="76"/>
      <c r="P1280" s="76"/>
      <c r="Q1280" s="76"/>
      <c r="R1280" s="76"/>
      <c r="S1280" s="76"/>
      <c r="T1280" s="76"/>
      <c r="U1280" s="97">
        <f>0-U$1276</f>
        <v>-2.0499999999999997E-3</v>
      </c>
      <c r="V1280" s="97">
        <f>0-V$1276</f>
        <v>-2.0499999999999997E-3</v>
      </c>
      <c r="W1280" s="97">
        <f>0-W$1276</f>
        <v>-2.0499999999999997E-3</v>
      </c>
      <c r="X1280" s="97">
        <f>0-X$1276</f>
        <v>-2.0499999999999997E-3</v>
      </c>
      <c r="Y1280" s="97">
        <f>0-Y$1276</f>
        <v>-2.0499999999999997E-3</v>
      </c>
      <c r="Z1280" s="255">
        <f t="shared" si="299"/>
        <v>-2.0499999999999997E-3</v>
      </c>
      <c r="AA1280" s="97">
        <f>0-AA$1276</f>
        <v>-2.0499999999999997E-3</v>
      </c>
      <c r="AB1280" s="255">
        <f t="shared" si="300"/>
        <v>-2.0499999999999997E-3</v>
      </c>
      <c r="AC1280" s="255">
        <f t="shared" si="300"/>
        <v>-2.0499999999999997E-3</v>
      </c>
      <c r="AD1280" s="255">
        <f t="shared" si="300"/>
        <v>-2.0499999999999997E-3</v>
      </c>
      <c r="AE1280" s="76"/>
      <c r="AF1280" s="76"/>
      <c r="AG1280" s="76"/>
      <c r="AH1280" s="97">
        <v>1</v>
      </c>
      <c r="AI1280" s="97">
        <v>1</v>
      </c>
      <c r="AJ1280" s="73"/>
      <c r="AK1280" s="57"/>
      <c r="AL1280" s="45"/>
      <c r="AM1280" s="45"/>
      <c r="AN1280" s="45"/>
    </row>
    <row r="1281" spans="1:40" hidden="1" outlineLevel="2" x14ac:dyDescent="0.25">
      <c r="A1281" s="45"/>
      <c r="B1281" s="54"/>
      <c r="C1281" s="47">
        <f t="shared" si="293"/>
        <v>3</v>
      </c>
      <c r="D1281" s="73"/>
      <c r="E1281" s="70"/>
      <c r="F1281" s="70" t="s">
        <v>1925</v>
      </c>
      <c r="G1281" s="73"/>
      <c r="H1281" s="76" t="s">
        <v>1926</v>
      </c>
      <c r="I1281" s="76"/>
      <c r="J1281" s="76"/>
      <c r="K1281" s="76"/>
      <c r="L1281" s="76"/>
      <c r="M1281" s="76"/>
      <c r="N1281" s="76"/>
      <c r="O1281" s="76"/>
      <c r="P1281" s="76"/>
      <c r="Q1281" s="76"/>
      <c r="R1281" s="76"/>
      <c r="S1281" s="76"/>
      <c r="T1281" s="76"/>
      <c r="U1281" s="97">
        <f>0.102/1000</f>
        <v>1.02E-4</v>
      </c>
      <c r="V1281" s="97">
        <f>0.102/1000</f>
        <v>1.02E-4</v>
      </c>
      <c r="W1281" s="97">
        <f>0.102/1000</f>
        <v>1.02E-4</v>
      </c>
      <c r="X1281" s="97">
        <f>0.102/1000</f>
        <v>1.02E-4</v>
      </c>
      <c r="Y1281" s="97">
        <f>0.102/1000</f>
        <v>1.02E-4</v>
      </c>
      <c r="Z1281" s="255">
        <f t="shared" si="299"/>
        <v>1.02E-4</v>
      </c>
      <c r="AA1281" s="97">
        <f>0.102/1000</f>
        <v>1.02E-4</v>
      </c>
      <c r="AB1281" s="255">
        <f t="shared" si="300"/>
        <v>1.02E-4</v>
      </c>
      <c r="AC1281" s="255">
        <f t="shared" si="300"/>
        <v>1.02E-4</v>
      </c>
      <c r="AD1281" s="255">
        <f t="shared" si="300"/>
        <v>1.02E-4</v>
      </c>
      <c r="AE1281" s="76"/>
      <c r="AF1281" s="76"/>
      <c r="AG1281" s="76"/>
      <c r="AH1281" s="97">
        <v>1</v>
      </c>
      <c r="AI1281" s="97">
        <v>1</v>
      </c>
      <c r="AJ1281" s="73"/>
      <c r="AK1281" s="57"/>
      <c r="AL1281" s="45"/>
      <c r="AM1281" s="45"/>
      <c r="AN1281" s="45"/>
    </row>
    <row r="1282" spans="1:40" hidden="1" outlineLevel="2" x14ac:dyDescent="0.25">
      <c r="A1282" s="45"/>
      <c r="B1282" s="54"/>
      <c r="C1282" s="47">
        <f t="shared" si="293"/>
        <v>3</v>
      </c>
      <c r="D1282" s="73"/>
      <c r="E1282" s="70"/>
      <c r="F1282" s="70" t="s">
        <v>1927</v>
      </c>
      <c r="G1282" s="73"/>
      <c r="H1282" s="76" t="s">
        <v>1928</v>
      </c>
      <c r="I1282" s="76"/>
      <c r="J1282" s="76"/>
      <c r="K1282" s="76"/>
      <c r="L1282" s="76"/>
      <c r="M1282" s="76"/>
      <c r="N1282" s="76"/>
      <c r="O1282" s="76"/>
      <c r="P1282" s="76"/>
      <c r="Q1282" s="76"/>
      <c r="R1282" s="76"/>
      <c r="S1282" s="76"/>
      <c r="T1282" s="76"/>
      <c r="U1282" s="97">
        <f>-0.000019/1000</f>
        <v>-1.9000000000000001E-8</v>
      </c>
      <c r="V1282" s="97">
        <f>-0.000019/1000</f>
        <v>-1.9000000000000001E-8</v>
      </c>
      <c r="W1282" s="97">
        <f>-0.000019/1000</f>
        <v>-1.9000000000000001E-8</v>
      </c>
      <c r="X1282" s="97">
        <f>-0.000019/1000</f>
        <v>-1.9000000000000001E-8</v>
      </c>
      <c r="Y1282" s="97">
        <f>-0.000019/1000</f>
        <v>-1.9000000000000001E-8</v>
      </c>
      <c r="Z1282" s="255">
        <f t="shared" si="299"/>
        <v>-1.9000000000000001E-8</v>
      </c>
      <c r="AA1282" s="97">
        <f>-0.000019/1000</f>
        <v>-1.9000000000000001E-8</v>
      </c>
      <c r="AB1282" s="255">
        <f t="shared" si="300"/>
        <v>-1.9000000000000001E-8</v>
      </c>
      <c r="AC1282" s="255">
        <f t="shared" si="300"/>
        <v>-1.9000000000000001E-8</v>
      </c>
      <c r="AD1282" s="255">
        <f t="shared" si="300"/>
        <v>-1.9000000000000001E-8</v>
      </c>
      <c r="AE1282" s="76"/>
      <c r="AF1282" s="76"/>
      <c r="AG1282" s="76"/>
      <c r="AH1282" s="97">
        <v>1</v>
      </c>
      <c r="AI1282" s="97">
        <v>1</v>
      </c>
      <c r="AJ1282" s="73"/>
      <c r="AK1282" s="57"/>
      <c r="AL1282" s="45"/>
      <c r="AM1282" s="45"/>
      <c r="AN1282" s="45"/>
    </row>
    <row r="1283" spans="1:40" hidden="1" outlineLevel="2" x14ac:dyDescent="0.25">
      <c r="A1283" s="45"/>
      <c r="B1283" s="54"/>
      <c r="C1283" s="47">
        <f t="shared" si="293"/>
        <v>3</v>
      </c>
      <c r="D1283" s="73"/>
      <c r="E1283" s="70"/>
      <c r="F1283" s="70" t="s">
        <v>1929</v>
      </c>
      <c r="G1283" s="73"/>
      <c r="H1283" s="76" t="s">
        <v>1930</v>
      </c>
      <c r="I1283" s="76"/>
      <c r="J1283" s="76"/>
      <c r="K1283" s="76"/>
      <c r="L1283" s="76"/>
      <c r="M1283" s="76"/>
      <c r="N1283" s="76"/>
      <c r="O1283" s="76"/>
      <c r="P1283" s="76"/>
      <c r="Q1283" s="76"/>
      <c r="R1283" s="76"/>
      <c r="S1283" s="76"/>
      <c r="T1283" s="76"/>
      <c r="U1283" s="97">
        <f>14.9/1000</f>
        <v>1.49E-2</v>
      </c>
      <c r="V1283" s="97">
        <f>14.9/1000</f>
        <v>1.49E-2</v>
      </c>
      <c r="W1283" s="97">
        <f>14.9/1000</f>
        <v>1.49E-2</v>
      </c>
      <c r="X1283" s="97">
        <f>14.9/1000</f>
        <v>1.49E-2</v>
      </c>
      <c r="Y1283" s="97">
        <f>14.9/1000</f>
        <v>1.49E-2</v>
      </c>
      <c r="Z1283" s="255">
        <f t="shared" si="299"/>
        <v>1.49E-2</v>
      </c>
      <c r="AA1283" s="97">
        <f>14.9/1000</f>
        <v>1.49E-2</v>
      </c>
      <c r="AB1283" s="255">
        <f t="shared" si="300"/>
        <v>1.49E-2</v>
      </c>
      <c r="AC1283" s="255">
        <f t="shared" si="300"/>
        <v>1.49E-2</v>
      </c>
      <c r="AD1283" s="255">
        <f t="shared" si="300"/>
        <v>1.49E-2</v>
      </c>
      <c r="AE1283" s="76"/>
      <c r="AF1283" s="76"/>
      <c r="AG1283" s="76"/>
      <c r="AH1283" s="97">
        <v>1</v>
      </c>
      <c r="AI1283" s="97">
        <v>1</v>
      </c>
      <c r="AJ1283" s="73"/>
      <c r="AK1283" s="57"/>
      <c r="AL1283" s="45"/>
      <c r="AM1283" s="45"/>
      <c r="AN1283" s="45"/>
    </row>
    <row r="1284" spans="1:40" hidden="1" outlineLevel="2" x14ac:dyDescent="0.25">
      <c r="A1284" s="45"/>
      <c r="B1284" s="54"/>
      <c r="C1284" s="47">
        <f>INT($C$29)+2</f>
        <v>3</v>
      </c>
      <c r="D1284" s="73"/>
      <c r="E1284" s="406"/>
      <c r="F1284" s="406" t="s">
        <v>3380</v>
      </c>
      <c r="G1284" s="407"/>
      <c r="H1284" s="181" t="s">
        <v>3480</v>
      </c>
      <c r="I1284" s="151"/>
      <c r="J1284" s="151"/>
      <c r="K1284" s="181"/>
      <c r="L1284" s="181"/>
      <c r="M1284" s="181"/>
      <c r="N1284" s="181"/>
      <c r="O1284" s="181"/>
      <c r="P1284" s="181"/>
      <c r="Q1284" s="181"/>
      <c r="R1284" s="181"/>
      <c r="S1284" s="181"/>
      <c r="T1284" s="181"/>
      <c r="U1284" s="408">
        <v>0.52490000000000003</v>
      </c>
      <c r="V1284" s="409">
        <f>U1284</f>
        <v>0.52490000000000003</v>
      </c>
      <c r="W1284" s="409">
        <f t="shared" ref="W1284:X1287" si="301">U1284</f>
        <v>0.52490000000000003</v>
      </c>
      <c r="X1284" s="409">
        <f t="shared" si="301"/>
        <v>0.52490000000000003</v>
      </c>
      <c r="Y1284" s="409">
        <f>V1284</f>
        <v>0.52490000000000003</v>
      </c>
      <c r="Z1284" s="409">
        <f>AA1284</f>
        <v>0.52490000000000003</v>
      </c>
      <c r="AA1284" s="408">
        <f>U1284</f>
        <v>0.52490000000000003</v>
      </c>
      <c r="AB1284" s="409">
        <f>AA1284</f>
        <v>0.52490000000000003</v>
      </c>
      <c r="AC1284" s="409">
        <f>AB1284</f>
        <v>0.52490000000000003</v>
      </c>
      <c r="AD1284" s="409">
        <f>AC1284</f>
        <v>0.52490000000000003</v>
      </c>
      <c r="AE1284" s="181"/>
      <c r="AF1284" s="408" t="s">
        <v>3392</v>
      </c>
      <c r="AG1284" s="181"/>
      <c r="AH1284" s="408">
        <v>1</v>
      </c>
      <c r="AI1284" s="408">
        <v>1</v>
      </c>
      <c r="AJ1284" s="73"/>
      <c r="AK1284" s="57"/>
      <c r="AL1284" s="45"/>
      <c r="AM1284" s="45"/>
      <c r="AN1284" s="45"/>
    </row>
    <row r="1285" spans="1:40" hidden="1" outlineLevel="2" x14ac:dyDescent="0.25">
      <c r="A1285" s="45"/>
      <c r="B1285" s="54"/>
      <c r="C1285" s="47">
        <f>INT($C$29)+2</f>
        <v>3</v>
      </c>
      <c r="D1285" s="73"/>
      <c r="E1285" s="70"/>
      <c r="F1285" s="70" t="s">
        <v>3381</v>
      </c>
      <c r="G1285" s="234"/>
      <c r="H1285" s="76" t="s">
        <v>3481</v>
      </c>
      <c r="I1285" s="96"/>
      <c r="J1285" s="96"/>
      <c r="K1285" s="76"/>
      <c r="L1285" s="76"/>
      <c r="M1285" s="76"/>
      <c r="N1285" s="76"/>
      <c r="O1285" s="76"/>
      <c r="P1285" s="76"/>
      <c r="Q1285" s="76"/>
      <c r="R1285" s="76"/>
      <c r="S1285" s="76"/>
      <c r="T1285" s="76"/>
      <c r="U1285" s="97">
        <v>-4.28E-3</v>
      </c>
      <c r="V1285" s="404">
        <f>U1285</f>
        <v>-4.28E-3</v>
      </c>
      <c r="W1285" s="404">
        <f t="shared" si="301"/>
        <v>-4.28E-3</v>
      </c>
      <c r="X1285" s="404">
        <f t="shared" si="301"/>
        <v>-4.28E-3</v>
      </c>
      <c r="Y1285" s="404">
        <f>V1285</f>
        <v>-4.28E-3</v>
      </c>
      <c r="Z1285" s="404">
        <f>AA1285</f>
        <v>-4.28E-3</v>
      </c>
      <c r="AA1285" s="97">
        <f t="shared" ref="AA1285:AA1291" si="302">U1285</f>
        <v>-4.28E-3</v>
      </c>
      <c r="AB1285" s="404">
        <f t="shared" ref="AB1285" si="303">AA1285</f>
        <v>-4.28E-3</v>
      </c>
      <c r="AC1285" s="404">
        <f t="shared" ref="AC1285" si="304">AB1285</f>
        <v>-4.28E-3</v>
      </c>
      <c r="AD1285" s="404">
        <f t="shared" ref="AD1285" si="305">AC1285</f>
        <v>-4.28E-3</v>
      </c>
      <c r="AE1285" s="76"/>
      <c r="AF1285" s="97" t="s">
        <v>2182</v>
      </c>
      <c r="AG1285" s="76"/>
      <c r="AH1285" s="253">
        <f>AH1286</f>
        <v>1</v>
      </c>
      <c r="AI1285" s="253">
        <f>AI1286</f>
        <v>1</v>
      </c>
      <c r="AJ1285" s="73"/>
      <c r="AK1285" s="57"/>
      <c r="AL1285" s="45"/>
      <c r="AM1285" s="45"/>
      <c r="AN1285" s="45"/>
    </row>
    <row r="1286" spans="1:40" hidden="1" outlineLevel="2" x14ac:dyDescent="0.25">
      <c r="A1286" s="45"/>
      <c r="B1286" s="54"/>
      <c r="C1286" s="47">
        <f>INT($C$29)+2</f>
        <v>3</v>
      </c>
      <c r="D1286" s="73"/>
      <c r="E1286" s="70"/>
      <c r="F1286" s="70" t="s">
        <v>3382</v>
      </c>
      <c r="G1286" s="234"/>
      <c r="H1286" s="76" t="s">
        <v>3388</v>
      </c>
      <c r="I1286" s="96"/>
      <c r="J1286" s="96"/>
      <c r="K1286" s="76"/>
      <c r="L1286" s="76"/>
      <c r="M1286" s="76"/>
      <c r="N1286" s="76"/>
      <c r="O1286" s="76"/>
      <c r="P1286" s="76"/>
      <c r="Q1286" s="76"/>
      <c r="R1286" s="76"/>
      <c r="S1286" s="76"/>
      <c r="T1286" s="76"/>
      <c r="U1286" s="97">
        <v>5.5010000000000003E-2</v>
      </c>
      <c r="V1286" s="404">
        <f>U1286</f>
        <v>5.5010000000000003E-2</v>
      </c>
      <c r="W1286" s="404">
        <f t="shared" si="301"/>
        <v>5.5010000000000003E-2</v>
      </c>
      <c r="X1286" s="404">
        <f t="shared" si="301"/>
        <v>5.5010000000000003E-2</v>
      </c>
      <c r="Y1286" s="404">
        <f>V1286</f>
        <v>5.5010000000000003E-2</v>
      </c>
      <c r="Z1286" s="404">
        <f>AA1286</f>
        <v>5.5010000000000003E-2</v>
      </c>
      <c r="AA1286" s="97">
        <f t="shared" si="302"/>
        <v>5.5010000000000003E-2</v>
      </c>
      <c r="AB1286" s="404">
        <f t="shared" ref="AB1286:AB1287" si="306">AA1286</f>
        <v>5.5010000000000003E-2</v>
      </c>
      <c r="AC1286" s="404">
        <f t="shared" ref="AC1286:AC1287" si="307">AB1286</f>
        <v>5.5010000000000003E-2</v>
      </c>
      <c r="AD1286" s="404">
        <f t="shared" ref="AD1286:AD1287" si="308">AC1286</f>
        <v>5.5010000000000003E-2</v>
      </c>
      <c r="AE1286" s="76"/>
      <c r="AF1286" s="76"/>
      <c r="AG1286" s="76"/>
      <c r="AH1286" s="97">
        <v>1</v>
      </c>
      <c r="AI1286" s="97">
        <v>1</v>
      </c>
      <c r="AJ1286" s="73"/>
      <c r="AK1286" s="57"/>
      <c r="AL1286" s="45"/>
      <c r="AM1286" s="45"/>
      <c r="AN1286" s="45"/>
    </row>
    <row r="1287" spans="1:40" hidden="1" outlineLevel="2" x14ac:dyDescent="0.25">
      <c r="A1287" s="45"/>
      <c r="B1287" s="54"/>
      <c r="C1287" s="47">
        <f>INT($C$29)+2</f>
        <v>3</v>
      </c>
      <c r="D1287" s="73"/>
      <c r="E1287" s="70"/>
      <c r="F1287" s="70" t="s">
        <v>3383</v>
      </c>
      <c r="G1287" s="234"/>
      <c r="H1287" s="76" t="s">
        <v>3389</v>
      </c>
      <c r="I1287" s="96"/>
      <c r="J1287" s="96"/>
      <c r="K1287" s="76"/>
      <c r="L1287" s="76"/>
      <c r="M1287" s="76"/>
      <c r="N1287" s="76"/>
      <c r="O1287" s="76"/>
      <c r="P1287" s="76"/>
      <c r="Q1287" s="76"/>
      <c r="R1287" s="76"/>
      <c r="S1287" s="76"/>
      <c r="T1287" s="76"/>
      <c r="U1287" s="97">
        <v>0</v>
      </c>
      <c r="V1287" s="404">
        <f>U1287</f>
        <v>0</v>
      </c>
      <c r="W1287" s="404">
        <f t="shared" si="301"/>
        <v>0</v>
      </c>
      <c r="X1287" s="404">
        <f t="shared" si="301"/>
        <v>0</v>
      </c>
      <c r="Y1287" s="404">
        <f>V1287</f>
        <v>0</v>
      </c>
      <c r="Z1287" s="404">
        <f>AA1287</f>
        <v>0</v>
      </c>
      <c r="AA1287" s="97">
        <f t="shared" si="302"/>
        <v>0</v>
      </c>
      <c r="AB1287" s="404">
        <f t="shared" si="306"/>
        <v>0</v>
      </c>
      <c r="AC1287" s="404">
        <f t="shared" si="307"/>
        <v>0</v>
      </c>
      <c r="AD1287" s="404">
        <f t="shared" si="308"/>
        <v>0</v>
      </c>
      <c r="AE1287" s="76"/>
      <c r="AF1287" s="76"/>
      <c r="AG1287" s="76"/>
      <c r="AH1287" s="97">
        <v>1</v>
      </c>
      <c r="AI1287" s="97">
        <v>1</v>
      </c>
      <c r="AJ1287" s="73"/>
      <c r="AK1287" s="57"/>
      <c r="AL1287" s="45"/>
      <c r="AM1287" s="45"/>
      <c r="AN1287" s="45"/>
    </row>
    <row r="1288" spans="1:40" hidden="1" outlineLevel="2" x14ac:dyDescent="0.25">
      <c r="A1288" s="45"/>
      <c r="B1288" s="54"/>
      <c r="C1288" s="47">
        <f>INT($C$29)+3</f>
        <v>4</v>
      </c>
      <c r="D1288" s="73"/>
      <c r="E1288" s="70"/>
      <c r="F1288" s="70" t="s">
        <v>3384</v>
      </c>
      <c r="G1288" s="234"/>
      <c r="H1288" s="76" t="s">
        <v>3390</v>
      </c>
      <c r="I1288" s="76"/>
      <c r="J1288" s="76"/>
      <c r="K1288" s="76"/>
      <c r="L1288" s="76"/>
      <c r="M1288" s="76"/>
      <c r="N1288" s="76"/>
      <c r="O1288" s="76"/>
      <c r="P1288" s="76"/>
      <c r="Q1288" s="76"/>
      <c r="R1288" s="76"/>
      <c r="S1288" s="76"/>
      <c r="T1288" s="76"/>
      <c r="U1288" s="97">
        <v>0.14710000000000001</v>
      </c>
      <c r="V1288" s="404">
        <f t="shared" ref="V1288:V1289" si="309">U1288</f>
        <v>0.14710000000000001</v>
      </c>
      <c r="W1288" s="404">
        <f t="shared" ref="W1288:W1289" si="310">U1288</f>
        <v>0.14710000000000001</v>
      </c>
      <c r="X1288" s="404">
        <f t="shared" ref="X1288:X1289" si="311">V1288</f>
        <v>0.14710000000000001</v>
      </c>
      <c r="Y1288" s="404">
        <f t="shared" ref="Y1288:Y1289" si="312">V1288</f>
        <v>0.14710000000000001</v>
      </c>
      <c r="Z1288" s="404">
        <f t="shared" ref="Z1288:Z1289" si="313">AA1288</f>
        <v>0.14710000000000001</v>
      </c>
      <c r="AA1288" s="97">
        <f t="shared" ref="AA1288:AA1289" si="314">U1288</f>
        <v>0.14710000000000001</v>
      </c>
      <c r="AB1288" s="404">
        <f t="shared" ref="AB1288:AB1289" si="315">AA1288</f>
        <v>0.14710000000000001</v>
      </c>
      <c r="AC1288" s="404">
        <f t="shared" ref="AC1288:AC1289" si="316">AB1288</f>
        <v>0.14710000000000001</v>
      </c>
      <c r="AD1288" s="404">
        <f t="shared" ref="AD1288:AD1289" si="317">AC1288</f>
        <v>0.14710000000000001</v>
      </c>
      <c r="AE1288" s="76"/>
      <c r="AF1288" s="76"/>
      <c r="AG1288" s="76"/>
      <c r="AH1288" s="76">
        <v>1</v>
      </c>
      <c r="AI1288" s="76">
        <v>1</v>
      </c>
      <c r="AJ1288" s="73"/>
      <c r="AK1288" s="57"/>
      <c r="AL1288" s="45"/>
      <c r="AM1288" s="45"/>
      <c r="AN1288" s="45"/>
    </row>
    <row r="1289" spans="1:40" hidden="1" outlineLevel="2" x14ac:dyDescent="0.25">
      <c r="A1289" s="45"/>
      <c r="B1289" s="54"/>
      <c r="C1289" s="47">
        <f>INT($C$29)+3</f>
        <v>4</v>
      </c>
      <c r="D1289" s="73"/>
      <c r="E1289" s="70"/>
      <c r="F1289" s="70" t="s">
        <v>3385</v>
      </c>
      <c r="G1289" s="234"/>
      <c r="H1289" s="76" t="s">
        <v>3391</v>
      </c>
      <c r="I1289" s="76"/>
      <c r="J1289" s="76"/>
      <c r="K1289" s="76"/>
      <c r="L1289" s="76"/>
      <c r="M1289" s="76"/>
      <c r="N1289" s="76"/>
      <c r="O1289" s="76"/>
      <c r="P1289" s="76"/>
      <c r="Q1289" s="76"/>
      <c r="R1289" s="76"/>
      <c r="S1289" s="76"/>
      <c r="T1289" s="76"/>
      <c r="U1289" s="97">
        <v>-3.79E-3</v>
      </c>
      <c r="V1289" s="404">
        <f t="shared" si="309"/>
        <v>-3.79E-3</v>
      </c>
      <c r="W1289" s="404">
        <f t="shared" si="310"/>
        <v>-3.79E-3</v>
      </c>
      <c r="X1289" s="404">
        <f t="shared" si="311"/>
        <v>-3.79E-3</v>
      </c>
      <c r="Y1289" s="404">
        <f t="shared" si="312"/>
        <v>-3.79E-3</v>
      </c>
      <c r="Z1289" s="404">
        <f t="shared" si="313"/>
        <v>-3.79E-3</v>
      </c>
      <c r="AA1289" s="97">
        <f t="shared" si="314"/>
        <v>-3.79E-3</v>
      </c>
      <c r="AB1289" s="404">
        <f t="shared" si="315"/>
        <v>-3.79E-3</v>
      </c>
      <c r="AC1289" s="404">
        <f t="shared" si="316"/>
        <v>-3.79E-3</v>
      </c>
      <c r="AD1289" s="404">
        <f t="shared" si="317"/>
        <v>-3.79E-3</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3386</v>
      </c>
      <c r="G1290" s="234"/>
      <c r="H1290" s="76"/>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f t="shared" si="302"/>
        <v>0</v>
      </c>
      <c r="AB1290" s="76">
        <v>0</v>
      </c>
      <c r="AC1290" s="76">
        <v>0</v>
      </c>
      <c r="AD1290" s="76">
        <v>0</v>
      </c>
      <c r="AE1290" s="76"/>
      <c r="AF1290" s="76"/>
      <c r="AG1290" s="76"/>
      <c r="AH1290" s="76">
        <v>1</v>
      </c>
      <c r="AI1290" s="76">
        <v>1</v>
      </c>
      <c r="AJ1290" s="73"/>
      <c r="AK1290" s="57"/>
      <c r="AL1290" s="45"/>
      <c r="AM1290" s="45"/>
      <c r="AN1290" s="45"/>
    </row>
    <row r="1291" spans="1:40" hidden="1" outlineLevel="2" x14ac:dyDescent="0.25">
      <c r="A1291" s="45"/>
      <c r="B1291" s="54"/>
      <c r="C1291" s="47">
        <f t="shared" ref="C1291" si="318">INT($C$29)+2</f>
        <v>3</v>
      </c>
      <c r="D1291" s="73"/>
      <c r="E1291" s="410"/>
      <c r="F1291" s="410" t="s">
        <v>3387</v>
      </c>
      <c r="G1291" s="411"/>
      <c r="H1291" s="184" t="s">
        <v>1903</v>
      </c>
      <c r="I1291" s="184"/>
      <c r="J1291" s="184"/>
      <c r="K1291" s="184"/>
      <c r="L1291" s="184"/>
      <c r="M1291" s="184"/>
      <c r="N1291" s="184"/>
      <c r="O1291" s="184"/>
      <c r="P1291" s="184"/>
      <c r="Q1291" s="184"/>
      <c r="R1291" s="184"/>
      <c r="S1291" s="184"/>
      <c r="T1291" s="184"/>
      <c r="U1291" s="412">
        <v>-14</v>
      </c>
      <c r="V1291" s="404">
        <f>U1291</f>
        <v>-14</v>
      </c>
      <c r="W1291" s="404">
        <f>U1291</f>
        <v>-14</v>
      </c>
      <c r="X1291" s="404">
        <f>V1291</f>
        <v>-14</v>
      </c>
      <c r="Y1291" s="404">
        <f>V1291</f>
        <v>-14</v>
      </c>
      <c r="Z1291" s="404">
        <f>AA1291</f>
        <v>-14</v>
      </c>
      <c r="AA1291" s="97">
        <f t="shared" si="302"/>
        <v>-14</v>
      </c>
      <c r="AB1291" s="404">
        <f t="shared" ref="AB1291" si="319">AA1291</f>
        <v>-14</v>
      </c>
      <c r="AC1291" s="404">
        <f t="shared" ref="AC1291" si="320">AB1291</f>
        <v>-14</v>
      </c>
      <c r="AD1291" s="404">
        <f t="shared" ref="AD1291" si="321">AC1291</f>
        <v>-14</v>
      </c>
      <c r="AE1291" s="184"/>
      <c r="AF1291" s="184"/>
      <c r="AG1291" s="184"/>
      <c r="AH1291" s="413">
        <v>1</v>
      </c>
      <c r="AI1291" s="413">
        <v>1</v>
      </c>
      <c r="AJ1291" s="73"/>
      <c r="AK1291" s="57"/>
      <c r="AL1291" s="45"/>
      <c r="AM1291" s="45"/>
      <c r="AN1291" s="45"/>
    </row>
    <row r="1292" spans="1:40" outlineLevel="1" x14ac:dyDescent="0.25">
      <c r="A1292" s="45"/>
      <c r="B1292" s="54"/>
      <c r="C1292" s="47">
        <f>INT($C$29)+1</f>
        <v>2</v>
      </c>
      <c r="D1292" s="73"/>
      <c r="E1292" s="70"/>
      <c r="F1292" s="265" t="s">
        <v>1719</v>
      </c>
      <c r="G1292" s="73"/>
      <c r="H1292" s="267" t="s">
        <v>2655</v>
      </c>
      <c r="I1292" s="129"/>
      <c r="J1292" s="129" t="s">
        <v>1045</v>
      </c>
      <c r="K1292" s="76"/>
      <c r="L1292" s="76"/>
      <c r="M1292" s="76"/>
      <c r="N1292" s="76"/>
      <c r="O1292" s="76"/>
      <c r="P1292" s="76"/>
      <c r="Q1292" s="76"/>
      <c r="R1292" s="76"/>
      <c r="S1292" s="76"/>
      <c r="T1292" s="76"/>
      <c r="U1292" s="79">
        <v>28</v>
      </c>
      <c r="V1292" s="79">
        <v>15</v>
      </c>
      <c r="W1292" s="79">
        <v>-15</v>
      </c>
      <c r="X1292" s="76"/>
      <c r="Y1292" s="76"/>
      <c r="Z1292" s="76"/>
      <c r="AA1292" s="76"/>
      <c r="AB1292" s="76"/>
      <c r="AC1292" s="76"/>
      <c r="AD1292" s="76"/>
      <c r="AE1292" s="76"/>
      <c r="AF1292" s="76"/>
      <c r="AG1292" s="76"/>
      <c r="AH1292" s="76"/>
      <c r="AI1292" s="76"/>
      <c r="AJ1292" s="73"/>
      <c r="AK1292" s="57"/>
      <c r="AL1292" s="45"/>
      <c r="AM1292" s="45"/>
      <c r="AN1292" s="45"/>
    </row>
    <row r="1293" spans="1:40" outlineLevel="3" x14ac:dyDescent="0.25">
      <c r="A1293" s="45"/>
      <c r="B1293" s="54"/>
      <c r="C1293" s="47">
        <f t="shared" ref="C1293:C1312" si="322">INT($C$29)+3</f>
        <v>4</v>
      </c>
      <c r="D1293" s="73"/>
      <c r="E1293" s="70"/>
      <c r="F1293" s="70" t="s">
        <v>1931</v>
      </c>
      <c r="G1293" s="73"/>
      <c r="H1293" s="76" t="s">
        <v>1932</v>
      </c>
      <c r="I1293" s="96" t="s">
        <v>2354</v>
      </c>
      <c r="J1293" s="76"/>
      <c r="K1293" s="76"/>
      <c r="L1293" s="76"/>
      <c r="M1293" s="76"/>
      <c r="N1293" s="76"/>
      <c r="O1293" s="76"/>
      <c r="P1293" s="76"/>
      <c r="Q1293" s="76"/>
      <c r="R1293" s="76"/>
      <c r="S1293" s="76"/>
      <c r="T1293" s="76"/>
      <c r="U1293" s="76"/>
      <c r="V1293" s="76"/>
      <c r="W1293" s="76"/>
      <c r="X1293" s="76"/>
      <c r="Y1293" s="76"/>
      <c r="Z1293" s="76"/>
      <c r="AA1293" s="76"/>
      <c r="AB1293" s="76"/>
      <c r="AC1293" s="76"/>
      <c r="AD1293" s="76"/>
      <c r="AE1293" s="76"/>
      <c r="AF1293" s="76"/>
      <c r="AG1293" s="76"/>
      <c r="AH1293" s="76">
        <v>1</v>
      </c>
      <c r="AI1293" s="76">
        <v>1</v>
      </c>
      <c r="AJ1293" s="73"/>
      <c r="AK1293" s="57"/>
      <c r="AL1293" s="45"/>
      <c r="AM1293" s="45"/>
      <c r="AN1293" s="45"/>
    </row>
    <row r="1294" spans="1:40" outlineLevel="3" x14ac:dyDescent="0.25">
      <c r="A1294" s="45"/>
      <c r="B1294" s="54"/>
      <c r="C1294" s="47">
        <f t="shared" si="322"/>
        <v>4</v>
      </c>
      <c r="D1294" s="73"/>
      <c r="E1294" s="70"/>
      <c r="F1294" s="70" t="s">
        <v>1933</v>
      </c>
      <c r="G1294" s="73"/>
      <c r="H1294" s="76" t="s">
        <v>1934</v>
      </c>
      <c r="I1294" s="96" t="s">
        <v>2355</v>
      </c>
      <c r="J1294" s="76"/>
      <c r="K1294" s="76"/>
      <c r="L1294" s="76"/>
      <c r="M1294" s="76"/>
      <c r="N1294" s="76"/>
      <c r="O1294" s="76"/>
      <c r="P1294" s="76"/>
      <c r="Q1294" s="76"/>
      <c r="R1294" s="76"/>
      <c r="S1294" s="76"/>
      <c r="T1294" s="76"/>
      <c r="U1294" s="76"/>
      <c r="V1294" s="76"/>
      <c r="W1294" s="76"/>
      <c r="X1294" s="76"/>
      <c r="Y1294" s="76"/>
      <c r="Z1294" s="76"/>
      <c r="AA1294" s="76"/>
      <c r="AB1294" s="76"/>
      <c r="AC1294" s="76"/>
      <c r="AD1294" s="76"/>
      <c r="AE1294" s="76"/>
      <c r="AF1294" s="76"/>
      <c r="AG1294" s="76"/>
      <c r="AH1294" s="76">
        <v>1</v>
      </c>
      <c r="AI1294" s="76">
        <v>1</v>
      </c>
      <c r="AJ1294" s="73"/>
      <c r="AK1294" s="57"/>
      <c r="AL1294" s="45"/>
      <c r="AM1294" s="45"/>
      <c r="AN1294" s="45"/>
    </row>
    <row r="1295" spans="1:40" outlineLevel="3" x14ac:dyDescent="0.25">
      <c r="A1295" s="45"/>
      <c r="B1295" s="54"/>
      <c r="C1295" s="47">
        <f t="shared" si="322"/>
        <v>4</v>
      </c>
      <c r="D1295" s="73"/>
      <c r="E1295" s="70"/>
      <c r="F1295" s="70" t="s">
        <v>1935</v>
      </c>
      <c r="G1295" s="73"/>
      <c r="H1295" s="76" t="s">
        <v>1936</v>
      </c>
      <c r="I1295" s="96" t="s">
        <v>2356</v>
      </c>
      <c r="J1295" s="76"/>
      <c r="K1295" s="76"/>
      <c r="L1295" s="76"/>
      <c r="M1295" s="76"/>
      <c r="N1295" s="76"/>
      <c r="O1295" s="76"/>
      <c r="P1295" s="76"/>
      <c r="Q1295" s="76"/>
      <c r="R1295" s="76"/>
      <c r="S1295" s="76"/>
      <c r="T1295" s="76"/>
      <c r="U1295" s="76"/>
      <c r="V1295" s="76"/>
      <c r="W1295" s="76"/>
      <c r="X1295" s="76"/>
      <c r="Y1295" s="76"/>
      <c r="Z1295" s="76"/>
      <c r="AA1295" s="76"/>
      <c r="AB1295" s="76"/>
      <c r="AC1295" s="76"/>
      <c r="AD1295" s="76"/>
      <c r="AE1295" s="76"/>
      <c r="AF1295" s="76"/>
      <c r="AG1295" s="76"/>
      <c r="AH1295" s="76">
        <v>1</v>
      </c>
      <c r="AI1295" s="76">
        <v>1</v>
      </c>
      <c r="AJ1295" s="73"/>
      <c r="AK1295" s="57"/>
      <c r="AL1295" s="45"/>
      <c r="AM1295" s="45"/>
      <c r="AN1295" s="45"/>
    </row>
    <row r="1296" spans="1:40" outlineLevel="3" x14ac:dyDescent="0.25">
      <c r="A1296" s="45"/>
      <c r="B1296" s="54"/>
      <c r="C1296" s="47">
        <f t="shared" si="322"/>
        <v>4</v>
      </c>
      <c r="D1296" s="73"/>
      <c r="E1296" s="70"/>
      <c r="F1296" s="70" t="s">
        <v>1937</v>
      </c>
      <c r="G1296" s="73"/>
      <c r="H1296" s="76" t="s">
        <v>2389</v>
      </c>
      <c r="I1296" s="96" t="s">
        <v>2390</v>
      </c>
      <c r="J1296" s="76"/>
      <c r="K1296" s="76"/>
      <c r="L1296" s="76"/>
      <c r="M1296" s="76"/>
      <c r="N1296" s="76"/>
      <c r="O1296" s="76"/>
      <c r="P1296" s="76"/>
      <c r="Q1296" s="76"/>
      <c r="R1296" s="76"/>
      <c r="S1296" s="76"/>
      <c r="T1296" s="76"/>
      <c r="U1296" s="76"/>
      <c r="V1296" s="76"/>
      <c r="W1296" s="76"/>
      <c r="X1296" s="76"/>
      <c r="Y1296" s="76"/>
      <c r="Z1296" s="76"/>
      <c r="AA1296" s="76"/>
      <c r="AB1296" s="76"/>
      <c r="AC1296" s="76"/>
      <c r="AD1296" s="76"/>
      <c r="AE1296" s="76"/>
      <c r="AF1296" s="76"/>
      <c r="AG1296" s="76"/>
      <c r="AH1296" s="76">
        <v>1</v>
      </c>
      <c r="AI1296" s="76">
        <v>1</v>
      </c>
      <c r="AJ1296" s="73"/>
      <c r="AK1296" s="57"/>
      <c r="AL1296" s="45"/>
      <c r="AM1296" s="45"/>
      <c r="AN1296" s="45"/>
    </row>
    <row r="1297" spans="1:40" outlineLevel="3" x14ac:dyDescent="0.25">
      <c r="A1297" s="45"/>
      <c r="B1297" s="54"/>
      <c r="C1297" s="47">
        <f t="shared" si="322"/>
        <v>4</v>
      </c>
      <c r="D1297" s="73"/>
      <c r="E1297" s="70"/>
      <c r="F1297" s="70" t="s">
        <v>1939</v>
      </c>
      <c r="G1297" s="73"/>
      <c r="H1297" s="76" t="s">
        <v>1938</v>
      </c>
      <c r="I1297" s="96" t="s">
        <v>2357</v>
      </c>
      <c r="J1297" s="76"/>
      <c r="K1297" s="76"/>
      <c r="L1297" s="76"/>
      <c r="M1297" s="76"/>
      <c r="N1297" s="76"/>
      <c r="O1297" s="76"/>
      <c r="P1297" s="76"/>
      <c r="Q1297" s="76"/>
      <c r="R1297" s="76"/>
      <c r="S1297" s="76"/>
      <c r="T1297" s="76"/>
      <c r="U1297" s="76"/>
      <c r="V1297" s="76"/>
      <c r="W1297" s="76"/>
      <c r="X1297" s="76"/>
      <c r="Y1297" s="76"/>
      <c r="Z1297" s="76"/>
      <c r="AA1297" s="76"/>
      <c r="AB1297" s="76"/>
      <c r="AC1297" s="76"/>
      <c r="AD1297" s="76"/>
      <c r="AE1297" s="76"/>
      <c r="AF1297" s="76"/>
      <c r="AG1297" s="76"/>
      <c r="AH1297" s="76">
        <v>1</v>
      </c>
      <c r="AI1297" s="76">
        <v>1</v>
      </c>
      <c r="AJ1297" s="73"/>
      <c r="AK1297" s="57"/>
      <c r="AL1297" s="45"/>
      <c r="AM1297" s="45"/>
      <c r="AN1297" s="45"/>
    </row>
    <row r="1298" spans="1:40" outlineLevel="3" x14ac:dyDescent="0.25">
      <c r="A1298" s="45"/>
      <c r="B1298" s="54"/>
      <c r="C1298" s="47">
        <f t="shared" si="322"/>
        <v>4</v>
      </c>
      <c r="D1298" s="73"/>
      <c r="E1298" s="70"/>
      <c r="F1298" s="70" t="s">
        <v>2395</v>
      </c>
      <c r="G1298" s="73"/>
      <c r="H1298" s="76" t="s">
        <v>1940</v>
      </c>
      <c r="I1298" s="96" t="s">
        <v>2358</v>
      </c>
      <c r="J1298" s="76"/>
      <c r="K1298" s="76"/>
      <c r="L1298" s="76"/>
      <c r="M1298" s="76"/>
      <c r="N1298" s="76"/>
      <c r="O1298" s="76"/>
      <c r="P1298" s="76"/>
      <c r="Q1298" s="76"/>
      <c r="R1298" s="76"/>
      <c r="S1298" s="76"/>
      <c r="T1298" s="76"/>
      <c r="U1298" s="76"/>
      <c r="V1298" s="76"/>
      <c r="W1298" s="76"/>
      <c r="X1298" s="76"/>
      <c r="Y1298" s="76"/>
      <c r="Z1298" s="76"/>
      <c r="AA1298" s="76"/>
      <c r="AB1298" s="76"/>
      <c r="AC1298" s="76"/>
      <c r="AD1298" s="76"/>
      <c r="AE1298" s="76"/>
      <c r="AF1298" s="76"/>
      <c r="AG1298" s="76"/>
      <c r="AH1298" s="76">
        <v>1</v>
      </c>
      <c r="AI1298" s="76">
        <v>1</v>
      </c>
      <c r="AJ1298" s="73"/>
      <c r="AK1298" s="57"/>
      <c r="AL1298" s="45"/>
      <c r="AM1298" s="45"/>
      <c r="AN1298" s="45"/>
    </row>
    <row r="1299" spans="1:40" outlineLevel="3" x14ac:dyDescent="0.25">
      <c r="A1299" s="45"/>
      <c r="B1299" s="54"/>
      <c r="C1299" s="47">
        <f t="shared" si="322"/>
        <v>4</v>
      </c>
      <c r="D1299" s="73"/>
      <c r="E1299" s="70"/>
      <c r="F1299" s="70" t="s">
        <v>2396</v>
      </c>
      <c r="G1299" s="73"/>
      <c r="H1299" s="76" t="s">
        <v>2391</v>
      </c>
      <c r="I1299" s="96" t="s">
        <v>2392</v>
      </c>
      <c r="J1299" s="76"/>
      <c r="K1299" s="76"/>
      <c r="L1299" s="76"/>
      <c r="M1299" s="76"/>
      <c r="N1299" s="76"/>
      <c r="O1299" s="76"/>
      <c r="P1299" s="76"/>
      <c r="Q1299" s="76"/>
      <c r="R1299" s="76"/>
      <c r="S1299" s="76"/>
      <c r="T1299" s="76"/>
      <c r="U1299" s="76"/>
      <c r="V1299" s="76"/>
      <c r="W1299" s="76"/>
      <c r="X1299" s="76"/>
      <c r="Y1299" s="76"/>
      <c r="Z1299" s="76"/>
      <c r="AA1299" s="76"/>
      <c r="AB1299" s="76"/>
      <c r="AC1299" s="76"/>
      <c r="AD1299" s="76"/>
      <c r="AE1299" s="76"/>
      <c r="AF1299" s="76"/>
      <c r="AG1299" s="76"/>
      <c r="AH1299" s="76">
        <v>1</v>
      </c>
      <c r="AI1299" s="76">
        <v>1</v>
      </c>
      <c r="AJ1299" s="73"/>
      <c r="AK1299" s="57"/>
      <c r="AL1299" s="45"/>
      <c r="AM1299" s="45"/>
      <c r="AN1299" s="45"/>
    </row>
    <row r="1300" spans="1:40" outlineLevel="3" x14ac:dyDescent="0.25">
      <c r="A1300" s="45"/>
      <c r="B1300" s="54"/>
      <c r="C1300" s="47">
        <f t="shared" si="322"/>
        <v>4</v>
      </c>
      <c r="D1300" s="73"/>
      <c r="E1300" s="70"/>
      <c r="F1300" s="70" t="s">
        <v>2397</v>
      </c>
      <c r="G1300" s="73"/>
      <c r="H1300" s="76" t="s">
        <v>2393</v>
      </c>
      <c r="I1300" s="96" t="s">
        <v>2394</v>
      </c>
      <c r="J1300" s="76"/>
      <c r="K1300" s="76"/>
      <c r="L1300" s="76"/>
      <c r="M1300" s="76"/>
      <c r="N1300" s="76"/>
      <c r="O1300" s="76"/>
      <c r="P1300" s="76"/>
      <c r="Q1300" s="76"/>
      <c r="R1300" s="76"/>
      <c r="S1300" s="76"/>
      <c r="T1300" s="76"/>
      <c r="U1300" s="76"/>
      <c r="V1300" s="76"/>
      <c r="W1300" s="76"/>
      <c r="X1300" s="76"/>
      <c r="Y1300" s="76"/>
      <c r="Z1300" s="76"/>
      <c r="AA1300" s="76"/>
      <c r="AB1300" s="76"/>
      <c r="AC1300" s="76"/>
      <c r="AD1300" s="76"/>
      <c r="AE1300" s="76"/>
      <c r="AF1300" s="76"/>
      <c r="AG1300" s="76"/>
      <c r="AH1300" s="76">
        <v>1</v>
      </c>
      <c r="AI1300" s="76">
        <v>1</v>
      </c>
      <c r="AJ1300" s="73"/>
      <c r="AK1300" s="57"/>
      <c r="AL1300" s="45"/>
      <c r="AM1300" s="45"/>
      <c r="AN1300" s="45"/>
    </row>
    <row r="1301" spans="1:40" outlineLevel="3" x14ac:dyDescent="0.25">
      <c r="A1301" s="45"/>
      <c r="B1301" s="54"/>
      <c r="C1301" s="47">
        <f t="shared" si="322"/>
        <v>4</v>
      </c>
      <c r="D1301" s="73"/>
      <c r="E1301" s="70"/>
      <c r="F1301" s="70" t="str">
        <f>SUBSTITUTE(F1297,",4)",",8)")</f>
        <v>C(U2,0,8)</v>
      </c>
      <c r="G1301" s="73"/>
      <c r="H1301" s="76" t="s">
        <v>2747</v>
      </c>
      <c r="I1301" s="96" t="s">
        <v>2751</v>
      </c>
      <c r="J1301" s="76"/>
      <c r="K1301" s="76"/>
      <c r="L1301" s="76"/>
      <c r="M1301" s="76"/>
      <c r="N1301" s="76"/>
      <c r="O1301" s="76"/>
      <c r="P1301" s="76"/>
      <c r="Q1301" s="76"/>
      <c r="R1301" s="76"/>
      <c r="S1301" s="76"/>
      <c r="T1301" s="76"/>
      <c r="U1301" s="76"/>
      <c r="V1301" s="76"/>
      <c r="W1301" s="76"/>
      <c r="X1301" s="76"/>
      <c r="Y1301" s="76"/>
      <c r="Z1301" s="76"/>
      <c r="AA1301" s="76"/>
      <c r="AB1301" s="76"/>
      <c r="AC1301" s="76"/>
      <c r="AD1301" s="76"/>
      <c r="AE1301" s="76"/>
      <c r="AF1301" s="76"/>
      <c r="AG1301" s="76"/>
      <c r="AH1301" s="76">
        <v>1</v>
      </c>
      <c r="AI1301" s="76">
        <v>1</v>
      </c>
      <c r="AJ1301" s="73"/>
      <c r="AK1301" s="57"/>
      <c r="AL1301" s="45"/>
      <c r="AM1301" s="45"/>
      <c r="AN1301" s="45"/>
    </row>
    <row r="1302" spans="1:40" outlineLevel="3" x14ac:dyDescent="0.25">
      <c r="A1302" s="45"/>
      <c r="B1302" s="54"/>
      <c r="C1302" s="47">
        <f t="shared" si="322"/>
        <v>4</v>
      </c>
      <c r="D1302" s="73"/>
      <c r="E1302" s="70"/>
      <c r="F1302" s="70" t="str">
        <f>SUBSTITUTE(F1298,",5)",",9)")</f>
        <v>C(U2,0,9)</v>
      </c>
      <c r="G1302" s="73"/>
      <c r="H1302" s="76" t="s">
        <v>2748</v>
      </c>
      <c r="I1302" s="96" t="s">
        <v>2752</v>
      </c>
      <c r="J1302" s="76"/>
      <c r="K1302" s="76"/>
      <c r="L1302" s="76"/>
      <c r="M1302" s="76"/>
      <c r="N1302" s="76"/>
      <c r="O1302" s="76"/>
      <c r="P1302" s="76"/>
      <c r="Q1302" s="76"/>
      <c r="R1302" s="76"/>
      <c r="S1302" s="76"/>
      <c r="T1302" s="76"/>
      <c r="U1302" s="76"/>
      <c r="V1302" s="76"/>
      <c r="W1302" s="76"/>
      <c r="X1302" s="76"/>
      <c r="Y1302" s="76"/>
      <c r="Z1302" s="76"/>
      <c r="AA1302" s="76"/>
      <c r="AB1302" s="76"/>
      <c r="AC1302" s="76"/>
      <c r="AD1302" s="76"/>
      <c r="AE1302" s="76"/>
      <c r="AF1302" s="76"/>
      <c r="AG1302" s="76"/>
      <c r="AH1302" s="76">
        <v>1</v>
      </c>
      <c r="AI1302" s="76">
        <v>1</v>
      </c>
      <c r="AJ1302" s="73"/>
      <c r="AK1302" s="57"/>
      <c r="AL1302" s="45"/>
      <c r="AM1302" s="45"/>
      <c r="AN1302" s="45"/>
    </row>
    <row r="1303" spans="1:40" outlineLevel="3" x14ac:dyDescent="0.25">
      <c r="A1303" s="45"/>
      <c r="B1303" s="54"/>
      <c r="C1303" s="47">
        <f t="shared" si="322"/>
        <v>4</v>
      </c>
      <c r="D1303" s="73"/>
      <c r="E1303" s="70"/>
      <c r="F1303" s="70" t="str">
        <f>SUBSTITUTE(F1299,",6)",",10)")</f>
        <v>C(U2,0,10)</v>
      </c>
      <c r="G1303" s="73"/>
      <c r="H1303" s="76" t="s">
        <v>2749</v>
      </c>
      <c r="I1303" s="96" t="s">
        <v>2753</v>
      </c>
      <c r="J1303" s="76"/>
      <c r="K1303" s="76"/>
      <c r="L1303" s="76"/>
      <c r="M1303" s="76"/>
      <c r="N1303" s="76"/>
      <c r="O1303" s="76"/>
      <c r="P1303" s="76"/>
      <c r="Q1303" s="76"/>
      <c r="R1303" s="76"/>
      <c r="S1303" s="76"/>
      <c r="T1303" s="76"/>
      <c r="U1303" s="76"/>
      <c r="V1303" s="76"/>
      <c r="W1303" s="76"/>
      <c r="X1303" s="76"/>
      <c r="Y1303" s="76"/>
      <c r="Z1303" s="76"/>
      <c r="AA1303" s="76"/>
      <c r="AB1303" s="76"/>
      <c r="AC1303" s="76"/>
      <c r="AD1303" s="76"/>
      <c r="AE1303" s="76"/>
      <c r="AF1303" s="76"/>
      <c r="AG1303" s="76"/>
      <c r="AH1303" s="76">
        <v>1</v>
      </c>
      <c r="AI1303" s="76">
        <v>1</v>
      </c>
      <c r="AJ1303" s="73"/>
      <c r="AK1303" s="57"/>
      <c r="AL1303" s="45"/>
      <c r="AM1303" s="45"/>
      <c r="AN1303" s="45"/>
    </row>
    <row r="1304" spans="1:40" outlineLevel="3" x14ac:dyDescent="0.25">
      <c r="A1304" s="45"/>
      <c r="B1304" s="54"/>
      <c r="C1304" s="47">
        <f t="shared" si="322"/>
        <v>4</v>
      </c>
      <c r="D1304" s="73"/>
      <c r="E1304" s="70"/>
      <c r="F1304" s="70" t="str">
        <f>SUBSTITUTE(F1300,",7)",",11)")</f>
        <v>C(U2,0,11)</v>
      </c>
      <c r="G1304" s="73"/>
      <c r="H1304" s="76" t="s">
        <v>2750</v>
      </c>
      <c r="I1304" s="96" t="s">
        <v>2754</v>
      </c>
      <c r="J1304" s="76"/>
      <c r="K1304" s="76"/>
      <c r="L1304" s="76"/>
      <c r="M1304" s="76"/>
      <c r="N1304" s="76"/>
      <c r="O1304" s="76"/>
      <c r="P1304" s="76"/>
      <c r="Q1304" s="76"/>
      <c r="R1304" s="76"/>
      <c r="S1304" s="76"/>
      <c r="T1304" s="76"/>
      <c r="U1304" s="76"/>
      <c r="V1304" s="76"/>
      <c r="W1304" s="76"/>
      <c r="X1304" s="76"/>
      <c r="Y1304" s="76"/>
      <c r="Z1304" s="76"/>
      <c r="AA1304" s="76"/>
      <c r="AB1304" s="76"/>
      <c r="AC1304" s="76"/>
      <c r="AD1304" s="76"/>
      <c r="AE1304" s="76"/>
      <c r="AF1304" s="76"/>
      <c r="AG1304" s="76"/>
      <c r="AH1304" s="76">
        <v>1</v>
      </c>
      <c r="AI1304" s="76">
        <v>1</v>
      </c>
      <c r="AJ1304" s="73"/>
      <c r="AK1304" s="57"/>
      <c r="AL1304" s="45"/>
      <c r="AM1304" s="45"/>
      <c r="AN1304" s="45"/>
    </row>
    <row r="1305" spans="1:40" outlineLevel="3" x14ac:dyDescent="0.25">
      <c r="A1305" s="45"/>
      <c r="B1305" s="54"/>
      <c r="C1305" s="47">
        <f t="shared" si="322"/>
        <v>4</v>
      </c>
      <c r="D1305" s="73"/>
      <c r="E1305" s="70"/>
      <c r="F1305" s="70" t="str">
        <f>SUBSTITUTE(F1300,",7)",",12)")</f>
        <v>C(U2,0,12)</v>
      </c>
      <c r="G1305" s="73"/>
      <c r="H1305" s="76" t="s">
        <v>3372</v>
      </c>
      <c r="I1305" s="96" t="s">
        <v>2753</v>
      </c>
      <c r="J1305" s="76"/>
      <c r="K1305" s="76"/>
      <c r="L1305" s="76"/>
      <c r="M1305" s="76"/>
      <c r="N1305" s="76"/>
      <c r="O1305" s="76"/>
      <c r="P1305" s="76"/>
      <c r="Q1305" s="76"/>
      <c r="R1305" s="76"/>
      <c r="S1305" s="76"/>
      <c r="T1305" s="76"/>
      <c r="U1305" s="76"/>
      <c r="V1305" s="76"/>
      <c r="W1305" s="76"/>
      <c r="X1305" s="76"/>
      <c r="Y1305" s="76"/>
      <c r="Z1305" s="76"/>
      <c r="AA1305" s="76"/>
      <c r="AB1305" s="76"/>
      <c r="AC1305" s="76"/>
      <c r="AD1305" s="76"/>
      <c r="AE1305" s="76"/>
      <c r="AF1305" s="76"/>
      <c r="AG1305" s="76"/>
      <c r="AH1305" s="76">
        <v>1</v>
      </c>
      <c r="AI1305" s="76">
        <v>1</v>
      </c>
      <c r="AJ1305" s="73"/>
      <c r="AK1305" s="57"/>
      <c r="AL1305" s="45"/>
      <c r="AM1305" s="45"/>
      <c r="AN1305" s="45"/>
    </row>
    <row r="1306" spans="1:40" outlineLevel="3" x14ac:dyDescent="0.25">
      <c r="A1306" s="45"/>
      <c r="B1306" s="54"/>
      <c r="C1306" s="47">
        <f t="shared" si="322"/>
        <v>4</v>
      </c>
      <c r="D1306" s="73"/>
      <c r="E1306" s="70"/>
      <c r="F1306" s="70" t="str">
        <f>SUBSTITUTE(F1300,",7)",",13)")</f>
        <v>C(U2,0,13)</v>
      </c>
      <c r="G1306" s="73"/>
      <c r="H1306" s="76" t="s">
        <v>3373</v>
      </c>
      <c r="I1306" s="96" t="s">
        <v>2754</v>
      </c>
      <c r="J1306" s="76"/>
      <c r="K1306" s="76"/>
      <c r="L1306" s="76"/>
      <c r="M1306" s="76"/>
      <c r="N1306" s="76"/>
      <c r="O1306" s="76"/>
      <c r="P1306" s="76"/>
      <c r="Q1306" s="76"/>
      <c r="R1306" s="76"/>
      <c r="S1306" s="76"/>
      <c r="T1306" s="76"/>
      <c r="U1306" s="76"/>
      <c r="V1306" s="76"/>
      <c r="W1306" s="76"/>
      <c r="X1306" s="76"/>
      <c r="Y1306" s="76"/>
      <c r="Z1306" s="76"/>
      <c r="AA1306" s="76"/>
      <c r="AB1306" s="76"/>
      <c r="AC1306" s="76"/>
      <c r="AD1306" s="76"/>
      <c r="AE1306" s="76"/>
      <c r="AF1306" s="76"/>
      <c r="AG1306" s="76"/>
      <c r="AH1306" s="76">
        <v>1</v>
      </c>
      <c r="AI1306" s="76">
        <v>1</v>
      </c>
      <c r="AJ1306" s="73"/>
      <c r="AK1306" s="57"/>
      <c r="AL1306" s="45"/>
      <c r="AM1306" s="45"/>
      <c r="AN1306" s="45"/>
    </row>
    <row r="1307" spans="1:40" outlineLevel="3" x14ac:dyDescent="0.25">
      <c r="A1307" s="45"/>
      <c r="B1307" s="54"/>
      <c r="C1307" s="47">
        <f t="shared" si="322"/>
        <v>4</v>
      </c>
      <c r="D1307" s="73"/>
      <c r="E1307" s="70"/>
      <c r="F1307" s="70" t="s">
        <v>1941</v>
      </c>
      <c r="G1307" s="73"/>
      <c r="H1307" s="76" t="s">
        <v>1942</v>
      </c>
      <c r="I1307" s="96" t="s">
        <v>2359</v>
      </c>
      <c r="J1307" s="76"/>
      <c r="K1307" s="76"/>
      <c r="L1307" s="76"/>
      <c r="M1307" s="76"/>
      <c r="N1307" s="76"/>
      <c r="O1307" s="76"/>
      <c r="P1307" s="76"/>
      <c r="Q1307" s="76"/>
      <c r="R1307" s="76"/>
      <c r="S1307" s="76"/>
      <c r="T1307" s="76"/>
      <c r="U1307" s="76"/>
      <c r="V1307" s="76"/>
      <c r="W1307" s="76"/>
      <c r="X1307" s="76"/>
      <c r="Y1307" s="76"/>
      <c r="Z1307" s="76"/>
      <c r="AA1307" s="76"/>
      <c r="AB1307" s="76"/>
      <c r="AC1307" s="76"/>
      <c r="AD1307" s="76"/>
      <c r="AE1307" s="76"/>
      <c r="AF1307" s="76"/>
      <c r="AG1307" s="76"/>
      <c r="AH1307" s="76">
        <v>1</v>
      </c>
      <c r="AI1307" s="76">
        <v>1</v>
      </c>
      <c r="AJ1307" s="73"/>
      <c r="AK1307" s="57"/>
      <c r="AL1307" s="45"/>
      <c r="AM1307" s="45"/>
      <c r="AN1307" s="45"/>
    </row>
    <row r="1308" spans="1:40" outlineLevel="3" x14ac:dyDescent="0.25">
      <c r="A1308" s="45"/>
      <c r="B1308" s="54"/>
      <c r="C1308" s="47">
        <f t="shared" si="322"/>
        <v>4</v>
      </c>
      <c r="D1308" s="73"/>
      <c r="E1308" s="70"/>
      <c r="F1308" s="70" t="s">
        <v>1943</v>
      </c>
      <c r="G1308" s="73"/>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outlineLevel="3" x14ac:dyDescent="0.25">
      <c r="A1309" s="45"/>
      <c r="B1309" s="54"/>
      <c r="C1309" s="47">
        <f t="shared" si="322"/>
        <v>4</v>
      </c>
      <c r="D1309" s="73"/>
      <c r="E1309" s="70"/>
      <c r="F1309" s="70" t="s">
        <v>1944</v>
      </c>
      <c r="G1309" s="73"/>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outlineLevel="3" x14ac:dyDescent="0.25">
      <c r="A1310" s="45"/>
      <c r="B1310" s="54"/>
      <c r="C1310" s="47">
        <f t="shared" si="322"/>
        <v>4</v>
      </c>
      <c r="D1310" s="73"/>
      <c r="E1310" s="70"/>
      <c r="F1310" s="70" t="s">
        <v>1945</v>
      </c>
      <c r="G1310" s="73"/>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outlineLevel="3" x14ac:dyDescent="0.25">
      <c r="A1311" s="45"/>
      <c r="B1311" s="54"/>
      <c r="C1311" s="47">
        <f t="shared" si="322"/>
        <v>4</v>
      </c>
      <c r="D1311" s="73"/>
      <c r="E1311" s="70"/>
      <c r="F1311" s="70" t="s">
        <v>1946</v>
      </c>
      <c r="G1311" s="73"/>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outlineLevel="3" x14ac:dyDescent="0.25">
      <c r="A1312" s="45"/>
      <c r="B1312" s="54"/>
      <c r="C1312" s="47">
        <f t="shared" si="322"/>
        <v>4</v>
      </c>
      <c r="D1312" s="73"/>
      <c r="E1312" s="70"/>
      <c r="F1312" s="70" t="s">
        <v>1947</v>
      </c>
      <c r="G1312" s="73"/>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outlineLevel="3" x14ac:dyDescent="0.25">
      <c r="A1313" s="45"/>
      <c r="B1313" s="54"/>
      <c r="C1313" s="47"/>
      <c r="D1313" s="73"/>
      <c r="E1313" s="70"/>
      <c r="F1313" s="70" t="s">
        <v>2398</v>
      </c>
      <c r="G1313" s="73"/>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outlineLevel="3" x14ac:dyDescent="0.25">
      <c r="A1314" s="45"/>
      <c r="B1314" s="54"/>
      <c r="C1314" s="47"/>
      <c r="D1314" s="73"/>
      <c r="E1314" s="70"/>
      <c r="F1314" s="70" t="s">
        <v>2399</v>
      </c>
      <c r="G1314" s="73"/>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outlineLevel="3" x14ac:dyDescent="0.25">
      <c r="A1315" s="45"/>
      <c r="B1315" s="54"/>
      <c r="C1315" s="47"/>
      <c r="D1315" s="73"/>
      <c r="E1315" s="70"/>
      <c r="F1315" s="70" t="s">
        <v>2400</v>
      </c>
      <c r="G1315" s="73"/>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outlineLevel="3" x14ac:dyDescent="0.25">
      <c r="A1316" s="45"/>
      <c r="B1316" s="54"/>
      <c r="C1316" s="47">
        <f t="shared" ref="C1316:C1327" si="323">INT($C$29)+3</f>
        <v>4</v>
      </c>
      <c r="D1316" s="73"/>
      <c r="E1316" s="70"/>
      <c r="F1316" s="70" t="str">
        <f>SUBSTITUTE(F1312,",4)",",8)")</f>
        <v>C(U2,1,8)</v>
      </c>
      <c r="G1316" s="73"/>
      <c r="H1316" s="76"/>
      <c r="I1316" s="9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outlineLevel="3" x14ac:dyDescent="0.25">
      <c r="A1317" s="45"/>
      <c r="B1317" s="54"/>
      <c r="C1317" s="47">
        <f t="shared" si="323"/>
        <v>4</v>
      </c>
      <c r="D1317" s="73"/>
      <c r="E1317" s="70"/>
      <c r="F1317" s="70" t="str">
        <f>SUBSTITUTE(F1313,",5)",",9)")</f>
        <v>C(U2,1,9)</v>
      </c>
      <c r="G1317" s="73"/>
      <c r="H1317" s="76"/>
      <c r="I1317" s="9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outlineLevel="3" x14ac:dyDescent="0.25">
      <c r="A1318" s="45"/>
      <c r="B1318" s="54"/>
      <c r="C1318" s="47">
        <f t="shared" si="323"/>
        <v>4</v>
      </c>
      <c r="D1318" s="73"/>
      <c r="E1318" s="70"/>
      <c r="F1318" s="70" t="str">
        <f>SUBSTITUTE(F1314,",6)",",10)")</f>
        <v>C(U2,1,10)</v>
      </c>
      <c r="G1318" s="73"/>
      <c r="H1318" s="76"/>
      <c r="I1318" s="9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outlineLevel="3" x14ac:dyDescent="0.25">
      <c r="A1319" s="45"/>
      <c r="B1319" s="54"/>
      <c r="C1319" s="47">
        <f t="shared" si="323"/>
        <v>4</v>
      </c>
      <c r="D1319" s="73"/>
      <c r="E1319" s="70"/>
      <c r="F1319" s="70" t="str">
        <f>SUBSTITUTE(F1315,",7)",",11)")</f>
        <v>C(U2,1,11)</v>
      </c>
      <c r="G1319" s="73"/>
      <c r="H1319" s="76"/>
      <c r="I1319" s="9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outlineLevel="3" x14ac:dyDescent="0.25">
      <c r="A1320" s="45"/>
      <c r="B1320" s="54"/>
      <c r="C1320" s="47">
        <f t="shared" si="323"/>
        <v>4</v>
      </c>
      <c r="D1320" s="73"/>
      <c r="E1320" s="70"/>
      <c r="F1320" s="70" t="str">
        <f>SUBSTITUTE(F1314,",6)",",12)")</f>
        <v>C(U2,1,12)</v>
      </c>
      <c r="G1320" s="73"/>
      <c r="H1320" s="76"/>
      <c r="I1320" s="9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outlineLevel="3" x14ac:dyDescent="0.25">
      <c r="A1321" s="45"/>
      <c r="B1321" s="54"/>
      <c r="C1321" s="47">
        <f t="shared" si="323"/>
        <v>4</v>
      </c>
      <c r="D1321" s="73"/>
      <c r="E1321" s="70"/>
      <c r="F1321" s="70" t="str">
        <f>SUBSTITUTE(F1315,",7)",",13)")</f>
        <v>C(U2,1,13)</v>
      </c>
      <c r="G1321" s="73"/>
      <c r="H1321" s="76"/>
      <c r="I1321" s="9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outlineLevel="3" x14ac:dyDescent="0.25">
      <c r="A1322" s="45"/>
      <c r="B1322" s="54"/>
      <c r="C1322" s="47">
        <f t="shared" si="323"/>
        <v>4</v>
      </c>
      <c r="D1322" s="73"/>
      <c r="E1322" s="70"/>
      <c r="F1322" s="70" t="s">
        <v>1948</v>
      </c>
      <c r="G1322" s="73"/>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outlineLevel="3" x14ac:dyDescent="0.25">
      <c r="A1323" s="45"/>
      <c r="B1323" s="54"/>
      <c r="C1323" s="47">
        <f t="shared" si="323"/>
        <v>4</v>
      </c>
      <c r="D1323" s="73"/>
      <c r="E1323" s="70"/>
      <c r="F1323" s="70" t="s">
        <v>1949</v>
      </c>
      <c r="G1323" s="73"/>
      <c r="H1323" s="76" t="s">
        <v>604</v>
      </c>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outlineLevel="3" x14ac:dyDescent="0.25">
      <c r="A1324" s="45"/>
      <c r="B1324" s="54"/>
      <c r="C1324" s="47">
        <f t="shared" si="323"/>
        <v>4</v>
      </c>
      <c r="D1324" s="73"/>
      <c r="E1324" s="70"/>
      <c r="F1324" s="70" t="s">
        <v>1950</v>
      </c>
      <c r="G1324" s="73"/>
      <c r="H1324" s="76"/>
      <c r="I1324" s="76"/>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outlineLevel="3" x14ac:dyDescent="0.25">
      <c r="A1325" s="45"/>
      <c r="B1325" s="54"/>
      <c r="C1325" s="47">
        <f t="shared" si="323"/>
        <v>4</v>
      </c>
      <c r="D1325" s="73"/>
      <c r="E1325" s="70"/>
      <c r="F1325" s="70" t="s">
        <v>1951</v>
      </c>
      <c r="G1325" s="73"/>
      <c r="H1325" s="76"/>
      <c r="I1325" s="76"/>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outlineLevel="3" x14ac:dyDescent="0.25">
      <c r="A1326" s="45"/>
      <c r="B1326" s="54"/>
      <c r="C1326" s="47">
        <f t="shared" si="323"/>
        <v>4</v>
      </c>
      <c r="D1326" s="73"/>
      <c r="E1326" s="70"/>
      <c r="F1326" s="70" t="s">
        <v>1952</v>
      </c>
      <c r="G1326" s="73"/>
      <c r="H1326" s="76"/>
      <c r="I1326" s="76"/>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outlineLevel="3" x14ac:dyDescent="0.25">
      <c r="A1327" s="45"/>
      <c r="B1327" s="54"/>
      <c r="C1327" s="47">
        <f t="shared" si="323"/>
        <v>4</v>
      </c>
      <c r="D1327" s="73"/>
      <c r="E1327" s="70"/>
      <c r="F1327" s="70" t="s">
        <v>1953</v>
      </c>
      <c r="G1327" s="73"/>
      <c r="H1327" s="76"/>
      <c r="I1327" s="76"/>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outlineLevel="3" x14ac:dyDescent="0.25">
      <c r="A1328" s="45"/>
      <c r="B1328" s="54"/>
      <c r="C1328" s="47"/>
      <c r="D1328" s="73"/>
      <c r="E1328" s="70"/>
      <c r="F1328" s="70" t="s">
        <v>2401</v>
      </c>
      <c r="G1328" s="73"/>
      <c r="H1328" s="76"/>
      <c r="I1328" s="76"/>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outlineLevel="3" x14ac:dyDescent="0.25">
      <c r="A1329" s="45"/>
      <c r="B1329" s="54"/>
      <c r="C1329" s="47"/>
      <c r="D1329" s="73"/>
      <c r="E1329" s="70"/>
      <c r="F1329" s="70" t="s">
        <v>2402</v>
      </c>
      <c r="G1329" s="73"/>
      <c r="H1329" s="76"/>
      <c r="I1329" s="76"/>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outlineLevel="3" x14ac:dyDescent="0.25">
      <c r="A1330" s="45"/>
      <c r="B1330" s="54"/>
      <c r="C1330" s="47"/>
      <c r="D1330" s="73"/>
      <c r="E1330" s="70"/>
      <c r="F1330" s="70" t="s">
        <v>2403</v>
      </c>
      <c r="G1330" s="73"/>
      <c r="H1330" s="76"/>
      <c r="I1330" s="76"/>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outlineLevel="3" x14ac:dyDescent="0.25">
      <c r="A1331" s="45"/>
      <c r="B1331" s="54"/>
      <c r="C1331" s="47">
        <f t="shared" ref="C1331:C1342" si="324">INT($C$29)+3</f>
        <v>4</v>
      </c>
      <c r="D1331" s="73"/>
      <c r="E1331" s="70"/>
      <c r="F1331" s="70" t="str">
        <f>SUBSTITUTE(F1327,",4)",",8)")</f>
        <v>C(U2,2,8)</v>
      </c>
      <c r="G1331" s="73"/>
      <c r="H1331" s="76"/>
      <c r="I1331" s="96"/>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outlineLevel="3" x14ac:dyDescent="0.25">
      <c r="A1332" s="45"/>
      <c r="B1332" s="54"/>
      <c r="C1332" s="47">
        <f t="shared" si="324"/>
        <v>4</v>
      </c>
      <c r="D1332" s="73"/>
      <c r="E1332" s="70"/>
      <c r="F1332" s="70" t="str">
        <f>SUBSTITUTE(F1328,",5)",",9)")</f>
        <v>C(U2,2,9)</v>
      </c>
      <c r="G1332" s="73"/>
      <c r="H1332" s="76"/>
      <c r="I1332" s="9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outlineLevel="3" x14ac:dyDescent="0.25">
      <c r="A1333" s="45"/>
      <c r="B1333" s="54"/>
      <c r="C1333" s="47">
        <f t="shared" si="324"/>
        <v>4</v>
      </c>
      <c r="D1333" s="73"/>
      <c r="E1333" s="70"/>
      <c r="F1333" s="70" t="str">
        <f>SUBSTITUTE(F1329,",6)",",10)")</f>
        <v>C(U2,2,10)</v>
      </c>
      <c r="G1333" s="73"/>
      <c r="H1333" s="76"/>
      <c r="I1333" s="9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outlineLevel="3" x14ac:dyDescent="0.25">
      <c r="A1334" s="45"/>
      <c r="B1334" s="54"/>
      <c r="C1334" s="47">
        <f t="shared" si="324"/>
        <v>4</v>
      </c>
      <c r="D1334" s="73"/>
      <c r="E1334" s="70"/>
      <c r="F1334" s="70" t="str">
        <f>SUBSTITUTE(F1330,",7)",",11)")</f>
        <v>C(U2,2,11)</v>
      </c>
      <c r="G1334" s="73"/>
      <c r="H1334" s="76"/>
      <c r="I1334" s="9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outlineLevel="3" x14ac:dyDescent="0.25">
      <c r="A1335" s="45"/>
      <c r="B1335" s="54"/>
      <c r="C1335" s="47">
        <f t="shared" si="324"/>
        <v>4</v>
      </c>
      <c r="D1335" s="73"/>
      <c r="E1335" s="70"/>
      <c r="F1335" s="70" t="str">
        <f>SUBSTITUTE(F1329,",6)",",12)")</f>
        <v>C(U2,2,12)</v>
      </c>
      <c r="G1335" s="73"/>
      <c r="H1335" s="76"/>
      <c r="I1335" s="9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outlineLevel="3" x14ac:dyDescent="0.25">
      <c r="A1336" s="45"/>
      <c r="B1336" s="54"/>
      <c r="C1336" s="47">
        <f t="shared" si="324"/>
        <v>4</v>
      </c>
      <c r="D1336" s="73"/>
      <c r="E1336" s="70"/>
      <c r="F1336" s="70" t="str">
        <f>SUBSTITUTE(F1330,",7)",",13)")</f>
        <v>C(U2,2,13)</v>
      </c>
      <c r="G1336" s="73"/>
      <c r="H1336" s="76"/>
      <c r="I1336" s="9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outlineLevel="3" x14ac:dyDescent="0.25">
      <c r="A1337" s="45"/>
      <c r="B1337" s="54"/>
      <c r="C1337" s="47">
        <f t="shared" si="324"/>
        <v>4</v>
      </c>
      <c r="D1337" s="73"/>
      <c r="E1337" s="70"/>
      <c r="F1337" s="70" t="s">
        <v>1954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outlineLevel="3" x14ac:dyDescent="0.25">
      <c r="A1338" s="45"/>
      <c r="B1338" s="54"/>
      <c r="C1338" s="47">
        <f t="shared" si="324"/>
        <v>4</v>
      </c>
      <c r="D1338" s="73"/>
      <c r="E1338" s="70"/>
      <c r="F1338" s="70" t="s">
        <v>1955</v>
      </c>
      <c r="G1338" s="73"/>
      <c r="H1338" s="76" t="s">
        <v>604</v>
      </c>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outlineLevel="3" x14ac:dyDescent="0.25">
      <c r="A1339" s="45"/>
      <c r="B1339" s="54"/>
      <c r="C1339" s="47">
        <f t="shared" si="324"/>
        <v>4</v>
      </c>
      <c r="D1339" s="73"/>
      <c r="E1339" s="70"/>
      <c r="F1339" s="70" t="s">
        <v>1956</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outlineLevel="3" x14ac:dyDescent="0.25">
      <c r="A1340" s="45"/>
      <c r="B1340" s="54"/>
      <c r="C1340" s="47">
        <f t="shared" si="324"/>
        <v>4</v>
      </c>
      <c r="D1340" s="73"/>
      <c r="E1340" s="70"/>
      <c r="F1340" s="70" t="s">
        <v>1957</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outlineLevel="3" x14ac:dyDescent="0.25">
      <c r="A1341" s="45"/>
      <c r="B1341" s="54"/>
      <c r="C1341" s="47">
        <f t="shared" si="324"/>
        <v>4</v>
      </c>
      <c r="D1341" s="73"/>
      <c r="E1341" s="70"/>
      <c r="F1341" s="70" t="s">
        <v>1958</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outlineLevel="3" x14ac:dyDescent="0.25">
      <c r="A1342" s="45"/>
      <c r="B1342" s="54"/>
      <c r="C1342" s="47">
        <f t="shared" si="324"/>
        <v>4</v>
      </c>
      <c r="D1342" s="73"/>
      <c r="E1342" s="70"/>
      <c r="F1342" s="70" t="s">
        <v>1959</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outlineLevel="3" x14ac:dyDescent="0.25">
      <c r="A1343" s="45"/>
      <c r="B1343" s="54"/>
      <c r="C1343" s="47"/>
      <c r="D1343" s="73"/>
      <c r="E1343" s="70"/>
      <c r="F1343" s="70" t="s">
        <v>2404</v>
      </c>
      <c r="G1343" s="73"/>
      <c r="H1343" s="76"/>
      <c r="I1343" s="7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outlineLevel="3" x14ac:dyDescent="0.25">
      <c r="A1344" s="45"/>
      <c r="B1344" s="54"/>
      <c r="C1344" s="47"/>
      <c r="D1344" s="73"/>
      <c r="E1344" s="70"/>
      <c r="F1344" s="70" t="s">
        <v>2405</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outlineLevel="3" x14ac:dyDescent="0.25">
      <c r="A1345" s="45"/>
      <c r="B1345" s="54"/>
      <c r="C1345" s="47"/>
      <c r="D1345" s="73"/>
      <c r="E1345" s="70"/>
      <c r="F1345" s="70" t="s">
        <v>2406</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outlineLevel="3" x14ac:dyDescent="0.25">
      <c r="A1346" s="45"/>
      <c r="B1346" s="54"/>
      <c r="C1346" s="47">
        <f t="shared" ref="C1346:C1357" si="325">INT($C$29)+3</f>
        <v>4</v>
      </c>
      <c r="D1346" s="73"/>
      <c r="E1346" s="70"/>
      <c r="F1346" s="70" t="str">
        <f>SUBSTITUTE(F1342,",4)",",8)")</f>
        <v>C(U2,3,8)</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outlineLevel="3" x14ac:dyDescent="0.25">
      <c r="A1347" s="45"/>
      <c r="B1347" s="54"/>
      <c r="C1347" s="47">
        <f t="shared" si="325"/>
        <v>4</v>
      </c>
      <c r="D1347" s="73"/>
      <c r="E1347" s="70"/>
      <c r="F1347" s="70" t="str">
        <f>SUBSTITUTE(F1343,",5)",",9)")</f>
        <v>C(U2,3,9)</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outlineLevel="3" x14ac:dyDescent="0.25">
      <c r="A1348" s="45"/>
      <c r="B1348" s="54"/>
      <c r="C1348" s="47">
        <f t="shared" si="325"/>
        <v>4</v>
      </c>
      <c r="D1348" s="73"/>
      <c r="E1348" s="70"/>
      <c r="F1348" s="70" t="str">
        <f>SUBSTITUTE(F1344,",6)",",10)")</f>
        <v>C(U2,3,10)</v>
      </c>
      <c r="G1348" s="73"/>
      <c r="H1348" s="76"/>
      <c r="I1348" s="9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outlineLevel="3" x14ac:dyDescent="0.25">
      <c r="A1349" s="45"/>
      <c r="B1349" s="54"/>
      <c r="C1349" s="47">
        <f t="shared" si="325"/>
        <v>4</v>
      </c>
      <c r="D1349" s="73"/>
      <c r="E1349" s="70"/>
      <c r="F1349" s="70" t="str">
        <f>SUBSTITUTE(F1345,",7)",",11)")</f>
        <v>C(U2,3,11)</v>
      </c>
      <c r="G1349" s="73"/>
      <c r="H1349" s="76"/>
      <c r="I1349" s="9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outlineLevel="3" x14ac:dyDescent="0.25">
      <c r="A1350" s="45"/>
      <c r="B1350" s="54"/>
      <c r="C1350" s="47">
        <f t="shared" si="325"/>
        <v>4</v>
      </c>
      <c r="D1350" s="73"/>
      <c r="E1350" s="70"/>
      <c r="F1350" s="70" t="str">
        <f>SUBSTITUTE(F1344,",6)",",12)")</f>
        <v>C(U2,3,12)</v>
      </c>
      <c r="G1350" s="73"/>
      <c r="H1350" s="76"/>
      <c r="I1350" s="9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outlineLevel="3" x14ac:dyDescent="0.25">
      <c r="A1351" s="45"/>
      <c r="B1351" s="54"/>
      <c r="C1351" s="47">
        <f t="shared" si="325"/>
        <v>4</v>
      </c>
      <c r="D1351" s="73"/>
      <c r="E1351" s="70"/>
      <c r="F1351" s="70" t="str">
        <f>SUBSTITUTE(F1345,",7)",",13)")</f>
        <v>C(U2,3,13)</v>
      </c>
      <c r="G1351" s="73"/>
      <c r="H1351" s="76"/>
      <c r="I1351" s="9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outlineLevel="3" x14ac:dyDescent="0.25">
      <c r="A1352" s="45"/>
      <c r="B1352" s="54"/>
      <c r="C1352" s="47">
        <f t="shared" si="325"/>
        <v>4</v>
      </c>
      <c r="D1352" s="73"/>
      <c r="E1352" s="70"/>
      <c r="F1352" s="70" t="s">
        <v>1960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outlineLevel="3" x14ac:dyDescent="0.25">
      <c r="A1353" s="45"/>
      <c r="B1353" s="54"/>
      <c r="C1353" s="47">
        <f t="shared" si="325"/>
        <v>4</v>
      </c>
      <c r="D1353" s="73"/>
      <c r="E1353" s="70"/>
      <c r="F1353" s="70" t="s">
        <v>1961</v>
      </c>
      <c r="G1353" s="73"/>
      <c r="H1353" s="76" t="s">
        <v>604</v>
      </c>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outlineLevel="3" x14ac:dyDescent="0.25">
      <c r="A1354" s="45"/>
      <c r="B1354" s="54"/>
      <c r="C1354" s="47">
        <f t="shared" si="325"/>
        <v>4</v>
      </c>
      <c r="D1354" s="73"/>
      <c r="E1354" s="70"/>
      <c r="F1354" s="70" t="s">
        <v>1962</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outlineLevel="3" x14ac:dyDescent="0.25">
      <c r="A1355" s="45"/>
      <c r="B1355" s="54"/>
      <c r="C1355" s="47">
        <f t="shared" si="325"/>
        <v>4</v>
      </c>
      <c r="D1355" s="73"/>
      <c r="E1355" s="70"/>
      <c r="F1355" s="70" t="s">
        <v>1963</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outlineLevel="3" x14ac:dyDescent="0.25">
      <c r="A1356" s="45"/>
      <c r="B1356" s="54"/>
      <c r="C1356" s="47">
        <f t="shared" si="325"/>
        <v>4</v>
      </c>
      <c r="D1356" s="73"/>
      <c r="E1356" s="70"/>
      <c r="F1356" s="70" t="s">
        <v>1964</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outlineLevel="3" x14ac:dyDescent="0.25">
      <c r="A1357" s="45"/>
      <c r="B1357" s="54"/>
      <c r="C1357" s="47">
        <f t="shared" si="325"/>
        <v>4</v>
      </c>
      <c r="D1357" s="73"/>
      <c r="E1357" s="70"/>
      <c r="F1357" s="70" t="s">
        <v>1965</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outlineLevel="3" x14ac:dyDescent="0.25">
      <c r="A1358" s="45"/>
      <c r="B1358" s="54"/>
      <c r="C1358" s="47"/>
      <c r="D1358" s="73"/>
      <c r="E1358" s="70"/>
      <c r="F1358" s="70" t="s">
        <v>2428</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outlineLevel="3" x14ac:dyDescent="0.25">
      <c r="A1359" s="45"/>
      <c r="B1359" s="54"/>
      <c r="C1359" s="47"/>
      <c r="D1359" s="73"/>
      <c r="E1359" s="70"/>
      <c r="F1359" s="70" t="s">
        <v>2429</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outlineLevel="3" x14ac:dyDescent="0.25">
      <c r="A1360" s="45"/>
      <c r="B1360" s="54"/>
      <c r="C1360" s="47"/>
      <c r="D1360" s="73"/>
      <c r="E1360" s="70"/>
      <c r="F1360" s="70" t="s">
        <v>2430</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outlineLevel="3" x14ac:dyDescent="0.25">
      <c r="A1361" s="45"/>
      <c r="B1361" s="54"/>
      <c r="C1361" s="47">
        <f t="shared" ref="C1361:C1372" si="326">INT($C$29)+3</f>
        <v>4</v>
      </c>
      <c r="D1361" s="73"/>
      <c r="E1361" s="70"/>
      <c r="F1361" s="70" t="str">
        <f>SUBSTITUTE(F1357,",4)",",8)")</f>
        <v>C(U2,4,8)</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outlineLevel="3" x14ac:dyDescent="0.25">
      <c r="A1362" s="45"/>
      <c r="B1362" s="54"/>
      <c r="C1362" s="47">
        <f t="shared" si="326"/>
        <v>4</v>
      </c>
      <c r="D1362" s="73"/>
      <c r="E1362" s="70"/>
      <c r="F1362" s="70" t="str">
        <f>SUBSTITUTE(F1358,",5)",",9)")</f>
        <v>C(U2,4,9)</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outlineLevel="3" x14ac:dyDescent="0.25">
      <c r="A1363" s="45"/>
      <c r="B1363" s="54"/>
      <c r="C1363" s="47">
        <f t="shared" si="326"/>
        <v>4</v>
      </c>
      <c r="D1363" s="73"/>
      <c r="E1363" s="70"/>
      <c r="F1363" s="70" t="str">
        <f>SUBSTITUTE(F1359,",6)",",10)")</f>
        <v>C(U2,4,10)</v>
      </c>
      <c r="G1363" s="73"/>
      <c r="H1363" s="76"/>
      <c r="I1363" s="9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outlineLevel="3" x14ac:dyDescent="0.25">
      <c r="A1364" s="45"/>
      <c r="B1364" s="54"/>
      <c r="C1364" s="47">
        <f t="shared" si="326"/>
        <v>4</v>
      </c>
      <c r="D1364" s="73"/>
      <c r="E1364" s="70"/>
      <c r="F1364" s="70" t="str">
        <f>SUBSTITUTE(F1360,",7)",",11)")</f>
        <v>C(U2,4,11)</v>
      </c>
      <c r="G1364" s="73"/>
      <c r="H1364" s="76"/>
      <c r="I1364" s="9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outlineLevel="3" x14ac:dyDescent="0.25">
      <c r="A1365" s="45"/>
      <c r="B1365" s="54"/>
      <c r="C1365" s="47">
        <f t="shared" si="326"/>
        <v>4</v>
      </c>
      <c r="D1365" s="73"/>
      <c r="E1365" s="70"/>
      <c r="F1365" s="70" t="str">
        <f>SUBSTITUTE(F1359,",6)",",12)")</f>
        <v>C(U2,4,12)</v>
      </c>
      <c r="G1365" s="73"/>
      <c r="H1365" s="76"/>
      <c r="I1365" s="9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outlineLevel="3" x14ac:dyDescent="0.25">
      <c r="A1366" s="45"/>
      <c r="B1366" s="54"/>
      <c r="C1366" s="47">
        <f t="shared" si="326"/>
        <v>4</v>
      </c>
      <c r="D1366" s="73"/>
      <c r="E1366" s="70"/>
      <c r="F1366" s="70" t="str">
        <f>SUBSTITUTE(F1360,",7)",",13)")</f>
        <v>C(U2,4,13)</v>
      </c>
      <c r="G1366" s="73"/>
      <c r="H1366" s="76"/>
      <c r="I1366" s="9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outlineLevel="3" x14ac:dyDescent="0.25">
      <c r="A1367" s="45"/>
      <c r="B1367" s="54"/>
      <c r="C1367" s="47">
        <f t="shared" si="326"/>
        <v>4</v>
      </c>
      <c r="D1367" s="73"/>
      <c r="E1367" s="70"/>
      <c r="F1367" s="70" t="s">
        <v>1966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outlineLevel="3" x14ac:dyDescent="0.25">
      <c r="A1368" s="45"/>
      <c r="B1368" s="54"/>
      <c r="C1368" s="47">
        <f t="shared" si="326"/>
        <v>4</v>
      </c>
      <c r="D1368" s="73"/>
      <c r="E1368" s="70"/>
      <c r="F1368" s="70" t="s">
        <v>1967</v>
      </c>
      <c r="G1368" s="73"/>
      <c r="H1368" s="76" t="s">
        <v>604</v>
      </c>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outlineLevel="3" x14ac:dyDescent="0.25">
      <c r="A1369" s="45"/>
      <c r="B1369" s="54"/>
      <c r="C1369" s="47">
        <f t="shared" si="326"/>
        <v>4</v>
      </c>
      <c r="D1369" s="73"/>
      <c r="E1369" s="70"/>
      <c r="F1369" s="70" t="s">
        <v>1968</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outlineLevel="3" x14ac:dyDescent="0.25">
      <c r="A1370" s="45"/>
      <c r="B1370" s="54"/>
      <c r="C1370" s="47">
        <f t="shared" si="326"/>
        <v>4</v>
      </c>
      <c r="D1370" s="73"/>
      <c r="E1370" s="70"/>
      <c r="F1370" s="70" t="s">
        <v>1969</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outlineLevel="3" x14ac:dyDescent="0.25">
      <c r="A1371" s="45"/>
      <c r="B1371" s="54"/>
      <c r="C1371" s="47">
        <f t="shared" si="326"/>
        <v>4</v>
      </c>
      <c r="D1371" s="73"/>
      <c r="E1371" s="70"/>
      <c r="F1371" s="70" t="s">
        <v>1970</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outlineLevel="3" x14ac:dyDescent="0.25">
      <c r="A1372" s="45"/>
      <c r="B1372" s="54"/>
      <c r="C1372" s="47">
        <f t="shared" si="326"/>
        <v>4</v>
      </c>
      <c r="D1372" s="73"/>
      <c r="E1372" s="70"/>
      <c r="F1372" s="70" t="s">
        <v>1971</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outlineLevel="3" x14ac:dyDescent="0.25">
      <c r="A1373" s="45"/>
      <c r="B1373" s="54"/>
      <c r="C1373" s="47"/>
      <c r="D1373" s="73"/>
      <c r="E1373" s="70"/>
      <c r="F1373" s="70" t="s">
        <v>2431</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outlineLevel="3" x14ac:dyDescent="0.25">
      <c r="A1374" s="45"/>
      <c r="B1374" s="54"/>
      <c r="C1374" s="47"/>
      <c r="D1374" s="73"/>
      <c r="E1374" s="70"/>
      <c r="F1374" s="70" t="s">
        <v>2432</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outlineLevel="3" x14ac:dyDescent="0.25">
      <c r="A1375" s="45"/>
      <c r="B1375" s="54"/>
      <c r="C1375" s="47"/>
      <c r="D1375" s="73"/>
      <c r="E1375" s="70"/>
      <c r="F1375" s="70" t="s">
        <v>2433</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outlineLevel="3" x14ac:dyDescent="0.25">
      <c r="A1376" s="45"/>
      <c r="B1376" s="54"/>
      <c r="C1376" s="47">
        <f t="shared" ref="C1376:C1387" si="327">INT($C$29)+3</f>
        <v>4</v>
      </c>
      <c r="D1376" s="73"/>
      <c r="E1376" s="70"/>
      <c r="F1376" s="70" t="str">
        <f>SUBSTITUTE(F1372,",4)",",8)")</f>
        <v>C(U2,5,8)</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outlineLevel="3" x14ac:dyDescent="0.25">
      <c r="A1377" s="45"/>
      <c r="B1377" s="54"/>
      <c r="C1377" s="47">
        <f t="shared" si="327"/>
        <v>4</v>
      </c>
      <c r="D1377" s="73"/>
      <c r="E1377" s="70"/>
      <c r="F1377" s="70" t="str">
        <f>SUBSTITUTE(F1373,",5)",",9)")</f>
        <v>C(U2,5,9)</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outlineLevel="3" x14ac:dyDescent="0.25">
      <c r="A1378" s="45"/>
      <c r="B1378" s="54"/>
      <c r="C1378" s="47">
        <f t="shared" si="327"/>
        <v>4</v>
      </c>
      <c r="D1378" s="73"/>
      <c r="E1378" s="70"/>
      <c r="F1378" s="70" t="str">
        <f>SUBSTITUTE(F1374,",6)",",10)")</f>
        <v>C(U2,5,10)</v>
      </c>
      <c r="G1378" s="73"/>
      <c r="H1378" s="76"/>
      <c r="I1378" s="9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outlineLevel="3" x14ac:dyDescent="0.25">
      <c r="A1379" s="45"/>
      <c r="B1379" s="54"/>
      <c r="C1379" s="47">
        <f t="shared" si="327"/>
        <v>4</v>
      </c>
      <c r="D1379" s="73"/>
      <c r="E1379" s="70"/>
      <c r="F1379" s="70" t="str">
        <f>SUBSTITUTE(F1375,",7)",",11)")</f>
        <v>C(U2,5,11)</v>
      </c>
      <c r="G1379" s="73"/>
      <c r="H1379" s="76"/>
      <c r="I1379" s="9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outlineLevel="3" x14ac:dyDescent="0.25">
      <c r="A1380" s="45"/>
      <c r="B1380" s="54"/>
      <c r="C1380" s="47">
        <f t="shared" si="327"/>
        <v>4</v>
      </c>
      <c r="D1380" s="73"/>
      <c r="E1380" s="70"/>
      <c r="F1380" s="70" t="str">
        <f>SUBSTITUTE(F1374,",6)",",12)")</f>
        <v>C(U2,5,12)</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outlineLevel="3" x14ac:dyDescent="0.25">
      <c r="A1381" s="45"/>
      <c r="B1381" s="54"/>
      <c r="C1381" s="47">
        <f t="shared" si="327"/>
        <v>4</v>
      </c>
      <c r="D1381" s="73"/>
      <c r="E1381" s="70"/>
      <c r="F1381" s="70" t="str">
        <f>SUBSTITUTE(F1375,",7)",",13)")</f>
        <v>C(U2,5,13)</v>
      </c>
      <c r="G1381" s="73"/>
      <c r="H1381" s="76"/>
      <c r="I1381" s="9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outlineLevel="3" x14ac:dyDescent="0.25">
      <c r="A1382" s="45"/>
      <c r="B1382" s="54"/>
      <c r="C1382" s="47">
        <f t="shared" si="327"/>
        <v>4</v>
      </c>
      <c r="D1382" s="73"/>
      <c r="E1382" s="70"/>
      <c r="F1382" s="70" t="s">
        <v>1972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outlineLevel="3" x14ac:dyDescent="0.25">
      <c r="A1383" s="45"/>
      <c r="B1383" s="54"/>
      <c r="C1383" s="47">
        <f t="shared" si="327"/>
        <v>4</v>
      </c>
      <c r="D1383" s="73"/>
      <c r="E1383" s="70"/>
      <c r="F1383" s="70" t="s">
        <v>1973</v>
      </c>
      <c r="G1383" s="73"/>
      <c r="H1383" s="76" t="s">
        <v>604</v>
      </c>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outlineLevel="3" x14ac:dyDescent="0.25">
      <c r="A1384" s="45"/>
      <c r="B1384" s="54"/>
      <c r="C1384" s="47">
        <f t="shared" si="327"/>
        <v>4</v>
      </c>
      <c r="D1384" s="73"/>
      <c r="E1384" s="70"/>
      <c r="F1384" s="70" t="s">
        <v>1974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outlineLevel="3" x14ac:dyDescent="0.25">
      <c r="A1385" s="45"/>
      <c r="B1385" s="54"/>
      <c r="C1385" s="47">
        <f t="shared" si="327"/>
        <v>4</v>
      </c>
      <c r="D1385" s="73"/>
      <c r="E1385" s="70"/>
      <c r="F1385" s="70" t="s">
        <v>1975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outlineLevel="3" x14ac:dyDescent="0.25">
      <c r="A1386" s="45"/>
      <c r="B1386" s="54"/>
      <c r="C1386" s="47">
        <f t="shared" si="327"/>
        <v>4</v>
      </c>
      <c r="D1386" s="73"/>
      <c r="E1386" s="70"/>
      <c r="F1386" s="70" t="s">
        <v>1976</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outlineLevel="3" x14ac:dyDescent="0.25">
      <c r="A1387" s="45"/>
      <c r="B1387" s="54"/>
      <c r="C1387" s="47">
        <f t="shared" si="327"/>
        <v>4</v>
      </c>
      <c r="D1387" s="73"/>
      <c r="E1387" s="70"/>
      <c r="F1387" s="70" t="s">
        <v>1977</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outlineLevel="3" x14ac:dyDescent="0.25">
      <c r="A1388" s="45"/>
      <c r="B1388" s="54"/>
      <c r="C1388" s="47"/>
      <c r="D1388" s="73"/>
      <c r="E1388" s="70"/>
      <c r="F1388" s="70" t="s">
        <v>2434</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outlineLevel="3" x14ac:dyDescent="0.25">
      <c r="A1389" s="45"/>
      <c r="B1389" s="54"/>
      <c r="C1389" s="47"/>
      <c r="D1389" s="73"/>
      <c r="E1389" s="70"/>
      <c r="F1389" s="70" t="s">
        <v>2435</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outlineLevel="3" x14ac:dyDescent="0.25">
      <c r="A1390" s="45"/>
      <c r="B1390" s="54"/>
      <c r="C1390" s="47"/>
      <c r="D1390" s="73"/>
      <c r="E1390" s="70"/>
      <c r="F1390" s="70" t="s">
        <v>2436</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outlineLevel="3" x14ac:dyDescent="0.25">
      <c r="A1391" s="45"/>
      <c r="B1391" s="54"/>
      <c r="C1391" s="47">
        <f t="shared" ref="C1391:C1402" si="328">INT($C$29)+3</f>
        <v>4</v>
      </c>
      <c r="D1391" s="73"/>
      <c r="E1391" s="70"/>
      <c r="F1391" s="70" t="str">
        <f>SUBSTITUTE(F1387,",4)",",8)")</f>
        <v>C(U2,6,8)</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outlineLevel="3" x14ac:dyDescent="0.25">
      <c r="A1392" s="45"/>
      <c r="B1392" s="54"/>
      <c r="C1392" s="47">
        <f t="shared" si="328"/>
        <v>4</v>
      </c>
      <c r="D1392" s="73"/>
      <c r="E1392" s="70"/>
      <c r="F1392" s="70" t="str">
        <f>SUBSTITUTE(F1388,",5)",",9)")</f>
        <v>C(U2,6,9)</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outlineLevel="3" x14ac:dyDescent="0.25">
      <c r="A1393" s="45"/>
      <c r="B1393" s="54"/>
      <c r="C1393" s="47">
        <f t="shared" si="328"/>
        <v>4</v>
      </c>
      <c r="D1393" s="73"/>
      <c r="E1393" s="70"/>
      <c r="F1393" s="70" t="str">
        <f>SUBSTITUTE(F1389,",6)",",10)")</f>
        <v>C(U2,6,10)</v>
      </c>
      <c r="G1393" s="73"/>
      <c r="H1393" s="76"/>
      <c r="I1393" s="9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outlineLevel="3" x14ac:dyDescent="0.25">
      <c r="A1394" s="45"/>
      <c r="B1394" s="54"/>
      <c r="C1394" s="47">
        <f t="shared" si="328"/>
        <v>4</v>
      </c>
      <c r="D1394" s="73"/>
      <c r="E1394" s="70"/>
      <c r="F1394" s="70" t="str">
        <f>SUBSTITUTE(F1390,",7)",",11)")</f>
        <v>C(U2,6,11)</v>
      </c>
      <c r="G1394" s="73"/>
      <c r="H1394" s="76"/>
      <c r="I1394" s="9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outlineLevel="3" x14ac:dyDescent="0.25">
      <c r="A1395" s="45"/>
      <c r="B1395" s="54"/>
      <c r="C1395" s="47">
        <f t="shared" si="328"/>
        <v>4</v>
      </c>
      <c r="D1395" s="73"/>
      <c r="E1395" s="70"/>
      <c r="F1395" s="70" t="str">
        <f>SUBSTITUTE(F1389,",6)",",12)")</f>
        <v>C(U2,6,12)</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outlineLevel="3" x14ac:dyDescent="0.25">
      <c r="A1396" s="45"/>
      <c r="B1396" s="54"/>
      <c r="C1396" s="47">
        <f t="shared" si="328"/>
        <v>4</v>
      </c>
      <c r="D1396" s="73"/>
      <c r="E1396" s="70"/>
      <c r="F1396" s="70" t="str">
        <f>SUBSTITUTE(F1390,",7)",",13)")</f>
        <v>C(U2,6,13)</v>
      </c>
      <c r="G1396" s="73"/>
      <c r="H1396" s="76"/>
      <c r="I1396" s="9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outlineLevel="3" x14ac:dyDescent="0.25">
      <c r="A1397" s="45"/>
      <c r="B1397" s="54"/>
      <c r="C1397" s="47">
        <f t="shared" si="328"/>
        <v>4</v>
      </c>
      <c r="D1397" s="73"/>
      <c r="E1397" s="70"/>
      <c r="F1397" s="70" t="s">
        <v>1978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outlineLevel="3" x14ac:dyDescent="0.25">
      <c r="A1398" s="45"/>
      <c r="B1398" s="54"/>
      <c r="C1398" s="47">
        <f t="shared" si="328"/>
        <v>4</v>
      </c>
      <c r="D1398" s="73"/>
      <c r="E1398" s="70"/>
      <c r="F1398" s="70" t="s">
        <v>1979</v>
      </c>
      <c r="G1398" s="73"/>
      <c r="H1398" s="76" t="s">
        <v>604</v>
      </c>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outlineLevel="3" x14ac:dyDescent="0.25">
      <c r="A1399" s="45"/>
      <c r="B1399" s="54"/>
      <c r="C1399" s="47">
        <f t="shared" si="328"/>
        <v>4</v>
      </c>
      <c r="D1399" s="73"/>
      <c r="E1399" s="70"/>
      <c r="F1399" s="70" t="s">
        <v>1980</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outlineLevel="3" x14ac:dyDescent="0.25">
      <c r="A1400" s="45"/>
      <c r="B1400" s="54"/>
      <c r="C1400" s="47">
        <f t="shared" si="328"/>
        <v>4</v>
      </c>
      <c r="D1400" s="73"/>
      <c r="E1400" s="70"/>
      <c r="F1400" s="70" t="s">
        <v>1981</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outlineLevel="3" x14ac:dyDescent="0.25">
      <c r="A1401" s="45"/>
      <c r="B1401" s="54"/>
      <c r="C1401" s="47">
        <f t="shared" si="328"/>
        <v>4</v>
      </c>
      <c r="D1401" s="73"/>
      <c r="E1401" s="70"/>
      <c r="F1401" s="70" t="s">
        <v>1982</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outlineLevel="3" x14ac:dyDescent="0.25">
      <c r="A1402" s="45"/>
      <c r="B1402" s="54"/>
      <c r="C1402" s="47">
        <f t="shared" si="328"/>
        <v>4</v>
      </c>
      <c r="D1402" s="73"/>
      <c r="E1402" s="70"/>
      <c r="F1402" s="70" t="s">
        <v>1983</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outlineLevel="3" x14ac:dyDescent="0.25">
      <c r="A1403" s="45"/>
      <c r="B1403" s="54"/>
      <c r="C1403" s="47"/>
      <c r="D1403" s="73"/>
      <c r="E1403" s="70"/>
      <c r="F1403" s="70" t="s">
        <v>2437</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outlineLevel="3" x14ac:dyDescent="0.25">
      <c r="A1404" s="45"/>
      <c r="B1404" s="54"/>
      <c r="C1404" s="47"/>
      <c r="D1404" s="73"/>
      <c r="E1404" s="70"/>
      <c r="F1404" s="70" t="s">
        <v>2438</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outlineLevel="3" x14ac:dyDescent="0.25">
      <c r="A1405" s="45"/>
      <c r="B1405" s="54"/>
      <c r="C1405" s="47"/>
      <c r="D1405" s="73"/>
      <c r="E1405" s="70"/>
      <c r="F1405" s="70" t="s">
        <v>2439</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outlineLevel="3" x14ac:dyDescent="0.25">
      <c r="A1406" s="45"/>
      <c r="B1406" s="54"/>
      <c r="C1406" s="47">
        <f>INT($C$29)+3</f>
        <v>4</v>
      </c>
      <c r="D1406" s="73"/>
      <c r="E1406" s="70"/>
      <c r="F1406" s="70" t="str">
        <f>SUBSTITUTE(F1402,",4)",",8)")</f>
        <v>C(U2,7,8)</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outlineLevel="3" x14ac:dyDescent="0.25">
      <c r="A1407" s="45"/>
      <c r="B1407" s="54"/>
      <c r="C1407" s="47">
        <f>INT($C$29)+3</f>
        <v>4</v>
      </c>
      <c r="D1407" s="73"/>
      <c r="E1407" s="70"/>
      <c r="F1407" s="70" t="str">
        <f>SUBSTITUTE(F1403,",5)",",9)")</f>
        <v>C(U2,7,9)</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outlineLevel="3" x14ac:dyDescent="0.25">
      <c r="A1408" s="45"/>
      <c r="B1408" s="54"/>
      <c r="C1408" s="47">
        <f>INT($C$29)+3</f>
        <v>4</v>
      </c>
      <c r="D1408" s="73"/>
      <c r="E1408" s="70"/>
      <c r="F1408" s="70" t="str">
        <f>SUBSTITUTE(F1404,",6)",",10)")</f>
        <v>C(U2,7,10)</v>
      </c>
      <c r="G1408" s="73"/>
      <c r="H1408" s="76"/>
      <c r="I1408" s="9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outlineLevel="3" x14ac:dyDescent="0.25">
      <c r="A1409" s="45"/>
      <c r="B1409" s="54"/>
      <c r="C1409" s="47">
        <f>INT($C$29)+3</f>
        <v>4</v>
      </c>
      <c r="D1409" s="73"/>
      <c r="E1409" s="70"/>
      <c r="F1409" s="70" t="str">
        <f>SUBSTITUTE(F1405,",7)",",11)")</f>
        <v>C(U2,7,11)</v>
      </c>
      <c r="G1409" s="73"/>
      <c r="H1409" s="76"/>
      <c r="I1409" s="9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outlineLevel="3" x14ac:dyDescent="0.25">
      <c r="A1410" s="45"/>
      <c r="B1410" s="54"/>
      <c r="C1410" s="47">
        <f t="shared" ref="C1410:C1411" si="329">INT($C$29)+3</f>
        <v>4</v>
      </c>
      <c r="D1410" s="73"/>
      <c r="E1410" s="70"/>
      <c r="F1410" s="70" t="str">
        <f>SUBSTITUTE(F1404,",6)",",12)")</f>
        <v>C(U2,7,12)</v>
      </c>
      <c r="G1410" s="73"/>
      <c r="H1410" s="76"/>
      <c r="I1410" s="9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outlineLevel="3" x14ac:dyDescent="0.25">
      <c r="A1411" s="45"/>
      <c r="B1411" s="54"/>
      <c r="C1411" s="47">
        <f t="shared" si="329"/>
        <v>4</v>
      </c>
      <c r="D1411" s="73"/>
      <c r="E1411" s="70"/>
      <c r="F1411" s="70" t="str">
        <f>SUBSTITUTE(F1405,",7)",",13)")</f>
        <v>C(U2,7,13)</v>
      </c>
      <c r="G1411" s="73"/>
      <c r="H1411" s="76"/>
      <c r="I1411" s="9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outlineLevel="3" x14ac:dyDescent="0.25">
      <c r="A1412" s="45"/>
      <c r="B1412" s="54"/>
      <c r="C1412" s="47">
        <f>INT($C$29)+3</f>
        <v>4</v>
      </c>
      <c r="D1412" s="73"/>
      <c r="E1412" s="402"/>
      <c r="F1412" s="402" t="s">
        <v>1984</v>
      </c>
      <c r="G1412" s="73"/>
      <c r="H1412" s="109"/>
      <c r="I1412" s="109"/>
      <c r="J1412" s="109"/>
      <c r="K1412" s="109"/>
      <c r="L1412" s="109"/>
      <c r="M1412" s="109"/>
      <c r="N1412" s="109"/>
      <c r="O1412" s="109"/>
      <c r="P1412" s="109"/>
      <c r="Q1412" s="109"/>
      <c r="R1412" s="109"/>
      <c r="S1412" s="109"/>
      <c r="T1412" s="109"/>
      <c r="U1412" s="109"/>
      <c r="V1412" s="109"/>
      <c r="W1412" s="109"/>
      <c r="X1412" s="109"/>
      <c r="Y1412" s="109"/>
      <c r="Z1412" s="109"/>
      <c r="AA1412" s="109"/>
      <c r="AB1412" s="109"/>
      <c r="AC1412" s="109"/>
      <c r="AD1412" s="109"/>
      <c r="AE1412" s="109"/>
      <c r="AF1412" s="109"/>
      <c r="AG1412" s="109"/>
      <c r="AH1412" s="109">
        <v>1</v>
      </c>
      <c r="AI1412" s="109">
        <v>1</v>
      </c>
      <c r="AJ1412" s="73"/>
      <c r="AK1412" s="57"/>
      <c r="AL1412" s="45"/>
      <c r="AM1412" s="45"/>
      <c r="AN1412" s="45"/>
    </row>
    <row r="1413" spans="1:40" outlineLevel="2" x14ac:dyDescent="0.25">
      <c r="A1413" s="45"/>
      <c r="B1413" s="54"/>
      <c r="C1413" s="47">
        <f>INT($C$29)+2</f>
        <v>3</v>
      </c>
      <c r="D1413" s="73"/>
      <c r="E1413" s="406"/>
      <c r="F1413" s="406" t="s">
        <v>1985</v>
      </c>
      <c r="G1413" s="407"/>
      <c r="H1413" s="181" t="s">
        <v>1986</v>
      </c>
      <c r="I1413" s="181"/>
      <c r="J1413" s="181"/>
      <c r="K1413" s="181"/>
      <c r="L1413" s="181"/>
      <c r="M1413" s="181"/>
      <c r="N1413" s="181"/>
      <c r="O1413" s="181"/>
      <c r="P1413" s="181"/>
      <c r="Q1413" s="181"/>
      <c r="R1413" s="181"/>
      <c r="S1413" s="181"/>
      <c r="T1413" s="181"/>
      <c r="U1413" s="408">
        <v>3.157</v>
      </c>
      <c r="V1413" s="409">
        <f>U1413</f>
        <v>3.157</v>
      </c>
      <c r="W1413" s="409">
        <f t="shared" ref="W1413:X1415" si="330">U1413</f>
        <v>3.157</v>
      </c>
      <c r="X1413" s="409">
        <f t="shared" si="330"/>
        <v>3.157</v>
      </c>
      <c r="Y1413" s="409">
        <f>V1413</f>
        <v>3.157</v>
      </c>
      <c r="Z1413" s="409">
        <f>AA1413</f>
        <v>2.9750000000000001</v>
      </c>
      <c r="AA1413" s="408">
        <v>2.9750000000000001</v>
      </c>
      <c r="AB1413" s="409">
        <f t="shared" ref="AB1413:AD1415" si="331">AA1413</f>
        <v>2.9750000000000001</v>
      </c>
      <c r="AC1413" s="409">
        <f t="shared" si="331"/>
        <v>2.9750000000000001</v>
      </c>
      <c r="AD1413" s="409">
        <f t="shared" si="331"/>
        <v>2.9750000000000001</v>
      </c>
      <c r="AE1413" s="181"/>
      <c r="AF1413" s="408" t="s">
        <v>2589</v>
      </c>
      <c r="AG1413" s="181"/>
      <c r="AH1413" s="408">
        <v>1</v>
      </c>
      <c r="AI1413" s="408">
        <v>1</v>
      </c>
      <c r="AJ1413" s="73"/>
      <c r="AK1413" s="57"/>
      <c r="AL1413" s="45"/>
      <c r="AM1413" s="45"/>
      <c r="AN1413" s="45"/>
    </row>
    <row r="1414" spans="1:40" outlineLevel="2" x14ac:dyDescent="0.25">
      <c r="A1414" s="45"/>
      <c r="B1414" s="54"/>
      <c r="C1414" s="47">
        <f>INT($C$29)+2</f>
        <v>3</v>
      </c>
      <c r="D1414" s="73"/>
      <c r="E1414" s="70"/>
      <c r="F1414" s="70" t="s">
        <v>1987</v>
      </c>
      <c r="G1414" s="234"/>
      <c r="H1414" s="76" t="s">
        <v>1988</v>
      </c>
      <c r="I1414" s="76"/>
      <c r="J1414" s="76"/>
      <c r="K1414" s="76"/>
      <c r="L1414" s="76"/>
      <c r="M1414" s="76"/>
      <c r="N1414" s="76"/>
      <c r="O1414" s="76"/>
      <c r="P1414" s="76"/>
      <c r="Q1414" s="76"/>
      <c r="R1414" s="76"/>
      <c r="S1414" s="76"/>
      <c r="T1414" s="76"/>
      <c r="U1414" s="97">
        <v>-0.28570000000000001</v>
      </c>
      <c r="V1414" s="255">
        <f>U1414</f>
        <v>-0.28570000000000001</v>
      </c>
      <c r="W1414" s="255">
        <f t="shared" si="330"/>
        <v>-0.28570000000000001</v>
      </c>
      <c r="X1414" s="255">
        <f t="shared" si="330"/>
        <v>-0.28570000000000001</v>
      </c>
      <c r="Y1414" s="255">
        <f>V1414</f>
        <v>-0.28570000000000001</v>
      </c>
      <c r="Z1414" s="404">
        <f>AA1414</f>
        <v>-0.23649999999999999</v>
      </c>
      <c r="AA1414" s="97">
        <v>-0.23649999999999999</v>
      </c>
      <c r="AB1414" s="404">
        <f t="shared" si="331"/>
        <v>-0.23649999999999999</v>
      </c>
      <c r="AC1414" s="404">
        <f t="shared" si="331"/>
        <v>-0.23649999999999999</v>
      </c>
      <c r="AD1414" s="404">
        <f t="shared" si="331"/>
        <v>-0.23649999999999999</v>
      </c>
      <c r="AE1414" s="76"/>
      <c r="AF1414" s="76"/>
      <c r="AG1414" s="76"/>
      <c r="AH1414" s="97">
        <v>1</v>
      </c>
      <c r="AI1414" s="97">
        <v>1</v>
      </c>
      <c r="AJ1414" s="73"/>
      <c r="AK1414" s="57"/>
      <c r="AL1414" s="45"/>
      <c r="AM1414" s="45"/>
      <c r="AN1414" s="45"/>
    </row>
    <row r="1415" spans="1:40" outlineLevel="2" collapsed="1" x14ac:dyDescent="0.25">
      <c r="A1415" s="45"/>
      <c r="B1415" s="54"/>
      <c r="C1415" s="47">
        <f>INT($C$29)+2</f>
        <v>3</v>
      </c>
      <c r="D1415" s="73"/>
      <c r="E1415" s="70"/>
      <c r="F1415" s="70" t="s">
        <v>1989</v>
      </c>
      <c r="G1415" s="234"/>
      <c r="H1415" s="76" t="s">
        <v>1990</v>
      </c>
      <c r="I1415" s="76"/>
      <c r="J1415" s="76"/>
      <c r="K1415" s="76"/>
      <c r="L1415" s="76"/>
      <c r="M1415" s="76"/>
      <c r="N1415" s="76"/>
      <c r="O1415" s="76"/>
      <c r="P1415" s="76"/>
      <c r="Q1415" s="76"/>
      <c r="R1415" s="76"/>
      <c r="S1415" s="76"/>
      <c r="T1415" s="76"/>
      <c r="U1415" s="97">
        <v>-7.9950000000000004E-3</v>
      </c>
      <c r="V1415" s="255">
        <f>U1415</f>
        <v>-7.9950000000000004E-3</v>
      </c>
      <c r="W1415" s="255">
        <f t="shared" si="330"/>
        <v>-7.9950000000000004E-3</v>
      </c>
      <c r="X1415" s="255">
        <f t="shared" si="330"/>
        <v>-7.9950000000000004E-3</v>
      </c>
      <c r="Y1415" s="255">
        <f>V1415</f>
        <v>-7.9950000000000004E-3</v>
      </c>
      <c r="Z1415" s="404">
        <f>AA1415</f>
        <v>-1.761E-3</v>
      </c>
      <c r="AA1415" s="97">
        <v>-1.761E-3</v>
      </c>
      <c r="AB1415" s="404">
        <f t="shared" si="331"/>
        <v>-1.761E-3</v>
      </c>
      <c r="AC1415" s="404">
        <f t="shared" si="331"/>
        <v>-1.761E-3</v>
      </c>
      <c r="AD1415" s="404">
        <f t="shared" si="331"/>
        <v>-1.761E-3</v>
      </c>
      <c r="AE1415" s="76"/>
      <c r="AF1415" s="76"/>
      <c r="AG1415" s="76"/>
      <c r="AH1415" s="97">
        <v>1</v>
      </c>
      <c r="AI1415" s="97">
        <v>1</v>
      </c>
      <c r="AJ1415" s="73"/>
      <c r="AK1415" s="57"/>
      <c r="AL1415" s="45"/>
      <c r="AM1415" s="45"/>
      <c r="AN1415" s="45"/>
    </row>
    <row r="1416" spans="1:40" hidden="1" outlineLevel="3" x14ac:dyDescent="0.25">
      <c r="A1416" s="45"/>
      <c r="B1416" s="54"/>
      <c r="C1416" s="47">
        <f>INT($C$29)+3</f>
        <v>4</v>
      </c>
      <c r="D1416" s="73"/>
      <c r="E1416" s="70"/>
      <c r="F1416" s="70" t="s">
        <v>1991</v>
      </c>
      <c r="G1416" s="234"/>
      <c r="H1416" s="76" t="s">
        <v>2492</v>
      </c>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outlineLevel="2" x14ac:dyDescent="0.25">
      <c r="A1417" s="45"/>
      <c r="B1417" s="54"/>
      <c r="C1417" s="47">
        <f>INT($C$29)+2</f>
        <v>3</v>
      </c>
      <c r="D1417" s="73"/>
      <c r="E1417" s="70"/>
      <c r="F1417" s="70" t="s">
        <v>1993</v>
      </c>
      <c r="G1417" s="234"/>
      <c r="H1417" s="76" t="s">
        <v>1992</v>
      </c>
      <c r="I1417" s="76"/>
      <c r="J1417" s="76"/>
      <c r="K1417" s="76"/>
      <c r="L1417" s="76"/>
      <c r="M1417" s="76"/>
      <c r="N1417" s="76"/>
      <c r="O1417" s="76"/>
      <c r="P1417" s="76"/>
      <c r="Q1417" s="76"/>
      <c r="R1417" s="76"/>
      <c r="S1417" s="76"/>
      <c r="T1417" s="76"/>
      <c r="U1417" s="97">
        <f>0.001337*0</f>
        <v>0</v>
      </c>
      <c r="V1417" s="255">
        <f>U1417</f>
        <v>0</v>
      </c>
      <c r="W1417" s="255">
        <f>U1417</f>
        <v>0</v>
      </c>
      <c r="X1417" s="255">
        <f>V1417</f>
        <v>0</v>
      </c>
      <c r="Y1417" s="255">
        <f>V1417</f>
        <v>0</v>
      </c>
      <c r="Z1417" s="404">
        <f>AA1417</f>
        <v>0</v>
      </c>
      <c r="AA1417" s="97">
        <v>0</v>
      </c>
      <c r="AB1417" s="404">
        <f t="shared" ref="AB1417:AD1418" si="332">AA1417</f>
        <v>0</v>
      </c>
      <c r="AC1417" s="404">
        <f t="shared" si="332"/>
        <v>0</v>
      </c>
      <c r="AD1417" s="404">
        <f t="shared" si="332"/>
        <v>0</v>
      </c>
      <c r="AE1417" s="76"/>
      <c r="AF1417" s="76"/>
      <c r="AG1417" s="76"/>
      <c r="AH1417" s="97">
        <v>1</v>
      </c>
      <c r="AI1417" s="97">
        <v>1</v>
      </c>
      <c r="AJ1417" s="73"/>
      <c r="AK1417" s="57"/>
      <c r="AL1417" s="45"/>
      <c r="AM1417" s="45"/>
      <c r="AN1417" s="45"/>
    </row>
    <row r="1418" spans="1:40" outlineLevel="2" collapsed="1" x14ac:dyDescent="0.25">
      <c r="A1418" s="45"/>
      <c r="B1418" s="54"/>
      <c r="C1418" s="47">
        <f>INT($C$29)+2</f>
        <v>3</v>
      </c>
      <c r="D1418" s="73"/>
      <c r="E1418" s="70"/>
      <c r="F1418" s="70" t="s">
        <v>2495</v>
      </c>
      <c r="G1418" s="234"/>
      <c r="H1418" s="76" t="s">
        <v>1994</v>
      </c>
      <c r="I1418" s="76"/>
      <c r="J1418" s="76"/>
      <c r="K1418" s="76"/>
      <c r="L1418" s="76"/>
      <c r="M1418" s="76"/>
      <c r="N1418" s="76"/>
      <c r="O1418" s="76"/>
      <c r="P1418" s="76"/>
      <c r="Q1418" s="76"/>
      <c r="R1418" s="76"/>
      <c r="S1418" s="76"/>
      <c r="T1418" s="76"/>
      <c r="U1418" s="97">
        <f>-0.000000272*0</f>
        <v>0</v>
      </c>
      <c r="V1418" s="255">
        <f>U1418</f>
        <v>0</v>
      </c>
      <c r="W1418" s="255">
        <f>U1418</f>
        <v>0</v>
      </c>
      <c r="X1418" s="255">
        <f>V1418</f>
        <v>0</v>
      </c>
      <c r="Y1418" s="255">
        <f>V1418</f>
        <v>0</v>
      </c>
      <c r="Z1418" s="404">
        <f>AA1418</f>
        <v>0</v>
      </c>
      <c r="AA1418" s="97">
        <v>0</v>
      </c>
      <c r="AB1418" s="404">
        <f t="shared" si="332"/>
        <v>0</v>
      </c>
      <c r="AC1418" s="404">
        <f t="shared" si="332"/>
        <v>0</v>
      </c>
      <c r="AD1418" s="404">
        <f t="shared" si="332"/>
        <v>0</v>
      </c>
      <c r="AE1418" s="76"/>
      <c r="AF1418" s="76"/>
      <c r="AG1418" s="76"/>
      <c r="AH1418" s="97">
        <v>1</v>
      </c>
      <c r="AI1418" s="97">
        <v>1</v>
      </c>
      <c r="AJ1418" s="73"/>
      <c r="AK1418" s="57"/>
      <c r="AL1418" s="45"/>
      <c r="AM1418" s="45"/>
      <c r="AN1418" s="45"/>
    </row>
    <row r="1419" spans="1:40" hidden="1" outlineLevel="3" x14ac:dyDescent="0.25">
      <c r="A1419" s="45"/>
      <c r="B1419" s="54"/>
      <c r="C1419" s="47">
        <f t="shared" ref="C1419:C1426" si="333">INT($C$29)+3</f>
        <v>4</v>
      </c>
      <c r="D1419" s="73"/>
      <c r="E1419" s="70"/>
      <c r="F1419" s="70" t="s">
        <v>2496</v>
      </c>
      <c r="G1419" s="234"/>
      <c r="H1419" s="76" t="s">
        <v>2493</v>
      </c>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33"/>
        <v>4</v>
      </c>
      <c r="D1420" s="73"/>
      <c r="E1420" s="70"/>
      <c r="F1420" s="70" t="s">
        <v>2497</v>
      </c>
      <c r="G1420" s="234"/>
      <c r="H1420" s="76" t="s">
        <v>2494</v>
      </c>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33"/>
        <v>4</v>
      </c>
      <c r="D1421" s="73"/>
      <c r="E1421" s="70"/>
      <c r="F1421" s="70" t="str">
        <f>SUBSTITUTE(F1417,",4)",",8)")</f>
        <v>C(U2,8,8)</v>
      </c>
      <c r="G1421" s="73"/>
      <c r="H1421" s="76" t="s">
        <v>2747</v>
      </c>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33"/>
        <v>4</v>
      </c>
      <c r="D1422" s="73"/>
      <c r="E1422" s="70"/>
      <c r="F1422" s="70" t="str">
        <f>SUBSTITUTE(F1418,",5)",",9)")</f>
        <v>C(U2,8,9)</v>
      </c>
      <c r="G1422" s="73"/>
      <c r="H1422" s="76" t="s">
        <v>2748</v>
      </c>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33"/>
        <v>4</v>
      </c>
      <c r="D1423" s="73"/>
      <c r="E1423" s="70"/>
      <c r="F1423" s="70" t="str">
        <f>SUBSTITUTE(F1419,",6)",",10)")</f>
        <v>C(U2,8,10)</v>
      </c>
      <c r="G1423" s="73"/>
      <c r="H1423" s="76" t="s">
        <v>2749</v>
      </c>
      <c r="I1423" s="9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33"/>
        <v>4</v>
      </c>
      <c r="D1424" s="73"/>
      <c r="E1424" s="70"/>
      <c r="F1424" s="70" t="str">
        <f>SUBSTITUTE(F1420,",7)",",11)")</f>
        <v>C(U2,8,11)</v>
      </c>
      <c r="G1424" s="73"/>
      <c r="H1424" s="76" t="s">
        <v>2750</v>
      </c>
      <c r="I1424" s="9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33"/>
        <v>4</v>
      </c>
      <c r="D1425" s="73"/>
      <c r="E1425" s="70"/>
      <c r="F1425" s="70" t="str">
        <f>SUBSTITUTE(F1419,",6)",",12)")</f>
        <v>C(U2,8,12)</v>
      </c>
      <c r="G1425" s="73"/>
      <c r="H1425" s="76"/>
      <c r="I1425" s="9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33"/>
        <v>4</v>
      </c>
      <c r="D1426" s="73"/>
      <c r="E1426" s="70"/>
      <c r="F1426" s="70" t="str">
        <f>SUBSTITUTE(F1420,",7)",",13)")</f>
        <v>C(U2,8,13)</v>
      </c>
      <c r="G1426" s="73"/>
      <c r="H1426" s="76"/>
      <c r="I1426" s="9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outlineLevel="2" collapsed="1" x14ac:dyDescent="0.25">
      <c r="A1427" s="45"/>
      <c r="B1427" s="54"/>
      <c r="C1427" s="47">
        <f>INT($C$29)+2</f>
        <v>3</v>
      </c>
      <c r="D1427" s="73"/>
      <c r="E1427" s="410"/>
      <c r="F1427" s="410" t="s">
        <v>1995</v>
      </c>
      <c r="G1427" s="411"/>
      <c r="H1427" s="184" t="s">
        <v>2656</v>
      </c>
      <c r="I1427" s="184"/>
      <c r="J1427" s="184"/>
      <c r="K1427" s="184"/>
      <c r="L1427" s="184"/>
      <c r="M1427" s="184"/>
      <c r="N1427" s="184"/>
      <c r="O1427" s="184"/>
      <c r="P1427" s="184"/>
      <c r="Q1427" s="184"/>
      <c r="R1427" s="184"/>
      <c r="S1427" s="184"/>
      <c r="T1427" s="184" t="s">
        <v>3327</v>
      </c>
      <c r="U1427" s="413">
        <v>1.7397800000000001</v>
      </c>
      <c r="V1427" s="414">
        <f>U1427</f>
        <v>1.7397800000000001</v>
      </c>
      <c r="W1427" s="413">
        <v>1.88365</v>
      </c>
      <c r="X1427" s="413">
        <v>1.74003</v>
      </c>
      <c r="Y1427" s="413">
        <v>1.966477</v>
      </c>
      <c r="Z1427" s="414">
        <f>AA1427</f>
        <v>-4.3544999999999998</v>
      </c>
      <c r="AA1427" s="413">
        <v>-4.3544999999999998</v>
      </c>
      <c r="AB1427" s="414">
        <f>AA1427</f>
        <v>-4.3544999999999998</v>
      </c>
      <c r="AC1427" s="414">
        <f>AB1427</f>
        <v>-4.3544999999999998</v>
      </c>
      <c r="AD1427" s="414">
        <f>AC1427</f>
        <v>-4.3544999999999998</v>
      </c>
      <c r="AE1427" s="184"/>
      <c r="AF1427" s="184"/>
      <c r="AG1427" s="184"/>
      <c r="AH1427" s="413">
        <v>1</v>
      </c>
      <c r="AI1427" s="413">
        <v>1</v>
      </c>
      <c r="AJ1427" s="73"/>
      <c r="AK1427" s="57"/>
      <c r="AL1427" s="45"/>
      <c r="AM1427" s="45"/>
      <c r="AN1427" s="45"/>
    </row>
    <row r="1428" spans="1:40" hidden="1" outlineLevel="3" x14ac:dyDescent="0.25">
      <c r="A1428" s="45"/>
      <c r="B1428" s="54"/>
      <c r="C1428" s="47">
        <f>INT($C$29)+3</f>
        <v>4</v>
      </c>
      <c r="D1428" s="73"/>
      <c r="E1428" s="403"/>
      <c r="F1428" s="403" t="s">
        <v>1996</v>
      </c>
      <c r="G1428" s="73"/>
      <c r="H1428" s="105" t="s">
        <v>604</v>
      </c>
      <c r="I1428" s="105"/>
      <c r="J1428" s="105"/>
      <c r="K1428" s="105"/>
      <c r="L1428" s="105"/>
      <c r="M1428" s="105"/>
      <c r="N1428" s="105"/>
      <c r="O1428" s="105"/>
      <c r="P1428" s="105"/>
      <c r="Q1428" s="105"/>
      <c r="R1428" s="105"/>
      <c r="S1428" s="105"/>
      <c r="T1428" s="105"/>
      <c r="U1428" s="105"/>
      <c r="V1428" s="105"/>
      <c r="W1428" s="105"/>
      <c r="X1428" s="105"/>
      <c r="Y1428" s="105"/>
      <c r="Z1428" s="105"/>
      <c r="AA1428" s="105"/>
      <c r="AB1428" s="105"/>
      <c r="AC1428" s="105"/>
      <c r="AD1428" s="105"/>
      <c r="AE1428" s="105"/>
      <c r="AF1428" s="105"/>
      <c r="AG1428" s="105"/>
      <c r="AH1428" s="105">
        <v>1</v>
      </c>
      <c r="AI1428" s="105">
        <v>1</v>
      </c>
      <c r="AJ1428" s="73"/>
      <c r="AK1428" s="57"/>
      <c r="AL1428" s="45"/>
      <c r="AM1428" s="45"/>
      <c r="AN1428" s="45"/>
    </row>
    <row r="1429" spans="1:40" hidden="1" outlineLevel="3" x14ac:dyDescent="0.25">
      <c r="A1429" s="45"/>
      <c r="B1429" s="54"/>
      <c r="C1429" s="47">
        <f>INT($C$29)+3</f>
        <v>4</v>
      </c>
      <c r="D1429" s="73"/>
      <c r="E1429" s="70"/>
      <c r="F1429" s="70" t="s">
        <v>1997</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f>INT($C$29)+3</f>
        <v>4</v>
      </c>
      <c r="D1430" s="73"/>
      <c r="E1430" s="70"/>
      <c r="F1430" s="70" t="s">
        <v>1998</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
        <v>1999</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
        <v>2000</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c r="D1433" s="73"/>
      <c r="E1433" s="70"/>
      <c r="F1433" s="70" t="s">
        <v>2440</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c r="D1434" s="73"/>
      <c r="E1434" s="70"/>
      <c r="F1434" s="70" t="s">
        <v>2441</v>
      </c>
      <c r="G1434" s="73"/>
      <c r="H1434" s="76"/>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c r="D1435" s="73"/>
      <c r="E1435" s="70"/>
      <c r="F1435" s="70" t="s">
        <v>2442</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 t="shared" ref="C1436:C1447" si="334">INT($C$29)+3</f>
        <v>4</v>
      </c>
      <c r="D1436" s="73"/>
      <c r="E1436" s="70"/>
      <c r="F1436" s="70" t="str">
        <f>SUBSTITUTE(F1432,",4)",",8)")</f>
        <v>C(U2,9,8)</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 t="shared" si="334"/>
        <v>4</v>
      </c>
      <c r="D1437" s="73"/>
      <c r="E1437" s="70"/>
      <c r="F1437" s="70" t="str">
        <f>SUBSTITUTE(F1433,",5)",",9)")</f>
        <v>C(U2,9,9)</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hidden="1" outlineLevel="3" x14ac:dyDescent="0.25">
      <c r="A1438" s="45"/>
      <c r="B1438" s="54"/>
      <c r="C1438" s="47">
        <f t="shared" si="334"/>
        <v>4</v>
      </c>
      <c r="D1438" s="73"/>
      <c r="E1438" s="70"/>
      <c r="F1438" s="70" t="str">
        <f>SUBSTITUTE(F1434,",6)",",10)")</f>
        <v>C(U2,9,10)</v>
      </c>
      <c r="G1438" s="73"/>
      <c r="H1438" s="76"/>
      <c r="I1438" s="9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v>1</v>
      </c>
      <c r="AI1438" s="76">
        <v>1</v>
      </c>
      <c r="AJ1438" s="73"/>
      <c r="AK1438" s="57"/>
      <c r="AL1438" s="45"/>
      <c r="AM1438" s="45"/>
      <c r="AN1438" s="45"/>
    </row>
    <row r="1439" spans="1:40" hidden="1" outlineLevel="3" x14ac:dyDescent="0.25">
      <c r="A1439" s="45"/>
      <c r="B1439" s="54"/>
      <c r="C1439" s="47">
        <f t="shared" si="334"/>
        <v>4</v>
      </c>
      <c r="D1439" s="73"/>
      <c r="E1439" s="70"/>
      <c r="F1439" s="70" t="str">
        <f>SUBSTITUTE(F1435,",7)",",11)")</f>
        <v>C(U2,9,11)</v>
      </c>
      <c r="G1439" s="73"/>
      <c r="H1439" s="76"/>
      <c r="I1439" s="9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v>1</v>
      </c>
      <c r="AI1439" s="76">
        <v>1</v>
      </c>
      <c r="AJ1439" s="73"/>
      <c r="AK1439" s="57"/>
      <c r="AL1439" s="45"/>
      <c r="AM1439" s="45"/>
      <c r="AN1439" s="45"/>
    </row>
    <row r="1440" spans="1:40" hidden="1" outlineLevel="3" x14ac:dyDescent="0.25">
      <c r="A1440" s="45"/>
      <c r="B1440" s="54"/>
      <c r="C1440" s="47">
        <f t="shared" si="334"/>
        <v>4</v>
      </c>
      <c r="D1440" s="73"/>
      <c r="E1440" s="70"/>
      <c r="F1440" s="70" t="str">
        <f>SUBSTITUTE(F1434,",6)",",12)")</f>
        <v>C(U2,9,12)</v>
      </c>
      <c r="G1440" s="73"/>
      <c r="H1440" s="76"/>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hidden="1" outlineLevel="3" x14ac:dyDescent="0.25">
      <c r="A1441" s="45"/>
      <c r="B1441" s="54"/>
      <c r="C1441" s="47">
        <f t="shared" si="334"/>
        <v>4</v>
      </c>
      <c r="D1441" s="73"/>
      <c r="E1441" s="70"/>
      <c r="F1441" s="70" t="str">
        <f>SUBSTITUTE(F1435,",7)",",13)")</f>
        <v>C(U2,9,13)</v>
      </c>
      <c r="G1441" s="73"/>
      <c r="H1441" s="76"/>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3" x14ac:dyDescent="0.25">
      <c r="A1442" s="45"/>
      <c r="B1442" s="54"/>
      <c r="C1442" s="47">
        <f t="shared" si="334"/>
        <v>4</v>
      </c>
      <c r="D1442" s="73"/>
      <c r="E1442" s="70"/>
      <c r="F1442" s="70" t="s">
        <v>2001</v>
      </c>
      <c r="G1442" s="73"/>
      <c r="H1442" s="76"/>
      <c r="I1442" s="7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v>1</v>
      </c>
      <c r="AI1442" s="76">
        <v>1</v>
      </c>
      <c r="AJ1442" s="73"/>
      <c r="AK1442" s="57"/>
      <c r="AL1442" s="45"/>
      <c r="AM1442" s="45"/>
      <c r="AN1442" s="45"/>
    </row>
    <row r="1443" spans="1:40" hidden="1" outlineLevel="3" x14ac:dyDescent="0.25">
      <c r="A1443" s="45"/>
      <c r="B1443" s="54"/>
      <c r="C1443" s="47">
        <f t="shared" si="334"/>
        <v>4</v>
      </c>
      <c r="D1443" s="73"/>
      <c r="E1443" s="70"/>
      <c r="F1443" s="70" t="s">
        <v>2002</v>
      </c>
      <c r="G1443" s="73"/>
      <c r="H1443" s="76" t="s">
        <v>604</v>
      </c>
      <c r="I1443" s="7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25">
      <c r="A1444" s="45"/>
      <c r="B1444" s="54"/>
      <c r="C1444" s="47">
        <f t="shared" si="334"/>
        <v>4</v>
      </c>
      <c r="D1444" s="73"/>
      <c r="E1444" s="70"/>
      <c r="F1444" s="70" t="s">
        <v>2003</v>
      </c>
      <c r="G1444" s="73"/>
      <c r="H1444" s="76"/>
      <c r="I1444" s="7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34"/>
        <v>4</v>
      </c>
      <c r="D1445" s="73"/>
      <c r="E1445" s="70"/>
      <c r="F1445" s="70" t="s">
        <v>2004</v>
      </c>
      <c r="G1445" s="73"/>
      <c r="H1445" s="76"/>
      <c r="I1445" s="7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34"/>
        <v>4</v>
      </c>
      <c r="D1446" s="73"/>
      <c r="E1446" s="70"/>
      <c r="F1446" s="70" t="s">
        <v>2005</v>
      </c>
      <c r="G1446" s="73"/>
      <c r="H1446" s="76"/>
      <c r="I1446" s="7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34"/>
        <v>4</v>
      </c>
      <c r="D1447" s="73"/>
      <c r="E1447" s="70"/>
      <c r="F1447" s="70" t="s">
        <v>2006</v>
      </c>
      <c r="G1447" s="73"/>
      <c r="H1447" s="76"/>
      <c r="I1447" s="7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c r="D1448" s="73"/>
      <c r="E1448" s="70"/>
      <c r="F1448" s="70" t="s">
        <v>2443</v>
      </c>
      <c r="G1448" s="73"/>
      <c r="H1448" s="76"/>
      <c r="I1448" s="7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c r="D1449" s="73"/>
      <c r="E1449" s="70"/>
      <c r="F1449" s="70" t="s">
        <v>2444</v>
      </c>
      <c r="G1449" s="73"/>
      <c r="H1449" s="76"/>
      <c r="I1449" s="7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c r="D1450" s="73"/>
      <c r="E1450" s="70"/>
      <c r="F1450" s="70" t="s">
        <v>2445</v>
      </c>
      <c r="G1450" s="73"/>
      <c r="H1450" s="76"/>
      <c r="I1450" s="7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ref="C1451:C1462" si="335">INT($C$29)+3</f>
        <v>4</v>
      </c>
      <c r="D1451" s="73"/>
      <c r="E1451" s="70"/>
      <c r="F1451" s="70" t="str">
        <f>SUBSTITUTE(F1447,",4)",",8)")</f>
        <v>C(U2,10,8)</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3" x14ac:dyDescent="0.25">
      <c r="A1452" s="45"/>
      <c r="B1452" s="54"/>
      <c r="C1452" s="47">
        <f t="shared" si="335"/>
        <v>4</v>
      </c>
      <c r="D1452" s="73"/>
      <c r="E1452" s="70"/>
      <c r="F1452" s="70" t="str">
        <f>SUBSTITUTE(F1448,",5)",",9)")</f>
        <v>C(U2,10,9)</v>
      </c>
      <c r="G1452" s="73"/>
      <c r="H1452" s="76"/>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hidden="1" outlineLevel="3" x14ac:dyDescent="0.25">
      <c r="A1453" s="45"/>
      <c r="B1453" s="54"/>
      <c r="C1453" s="47">
        <f t="shared" si="335"/>
        <v>4</v>
      </c>
      <c r="D1453" s="73"/>
      <c r="E1453" s="70"/>
      <c r="F1453" s="70" t="str">
        <f>SUBSTITUTE(F1449,",6)",",10)")</f>
        <v>C(U2,10,10)</v>
      </c>
      <c r="G1453" s="73"/>
      <c r="H1453" s="76"/>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25">
      <c r="A1454" s="45"/>
      <c r="B1454" s="54"/>
      <c r="C1454" s="47">
        <f t="shared" si="335"/>
        <v>4</v>
      </c>
      <c r="D1454" s="73"/>
      <c r="E1454" s="70"/>
      <c r="F1454" s="70" t="str">
        <f>SUBSTITUTE(F1450,",7)",",11)")</f>
        <v>C(U2,10,11)</v>
      </c>
      <c r="G1454" s="73"/>
      <c r="H1454" s="76"/>
      <c r="I1454" s="9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 t="shared" si="335"/>
        <v>4</v>
      </c>
      <c r="D1455" s="73"/>
      <c r="E1455" s="70"/>
      <c r="F1455" s="70" t="str">
        <f>SUBSTITUTE(F1449,",6)",",12)")</f>
        <v>C(U2,10,12)</v>
      </c>
      <c r="G1455" s="73"/>
      <c r="H1455" s="76"/>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 t="shared" si="335"/>
        <v>4</v>
      </c>
      <c r="D1456" s="73"/>
      <c r="E1456" s="70"/>
      <c r="F1456" s="70" t="str">
        <f>SUBSTITUTE(F1450,",7)",",13)")</f>
        <v>C(U2,10,13)</v>
      </c>
      <c r="G1456" s="73"/>
      <c r="H1456" s="76"/>
      <c r="I1456" s="9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 t="shared" si="335"/>
        <v>4</v>
      </c>
      <c r="D1457" s="73"/>
      <c r="E1457" s="70"/>
      <c r="F1457" s="70" t="s">
        <v>2007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f t="shared" si="335"/>
        <v>4</v>
      </c>
      <c r="D1458" s="73"/>
      <c r="E1458" s="70"/>
      <c r="F1458" s="70" t="s">
        <v>2008</v>
      </c>
      <c r="G1458" s="73"/>
      <c r="H1458" s="76" t="s">
        <v>604</v>
      </c>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f t="shared" si="335"/>
        <v>4</v>
      </c>
      <c r="D1459" s="73"/>
      <c r="E1459" s="70"/>
      <c r="F1459" s="70" t="s">
        <v>2009</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f t="shared" si="335"/>
        <v>4</v>
      </c>
      <c r="D1460" s="73"/>
      <c r="E1460" s="70"/>
      <c r="F1460" s="70" t="s">
        <v>2010</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si="335"/>
        <v>4</v>
      </c>
      <c r="D1461" s="73"/>
      <c r="E1461" s="70"/>
      <c r="F1461" s="70" t="s">
        <v>2011</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35"/>
        <v>4</v>
      </c>
      <c r="D1462" s="73"/>
      <c r="E1462" s="70"/>
      <c r="F1462" s="70" t="s">
        <v>2012</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c r="D1463" s="73"/>
      <c r="E1463" s="70"/>
      <c r="F1463" s="70" t="s">
        <v>2446</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c r="D1464" s="73"/>
      <c r="E1464" s="70"/>
      <c r="F1464" s="70" t="s">
        <v>2447</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c r="D1465" s="73"/>
      <c r="E1465" s="70"/>
      <c r="F1465" s="70" t="s">
        <v>2448</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ref="C1466:C1477" si="336">INT($C$29)+3</f>
        <v>4</v>
      </c>
      <c r="D1466" s="73"/>
      <c r="E1466" s="70"/>
      <c r="F1466" s="70" t="str">
        <f>SUBSTITUTE(F1462,",4)",",8)")</f>
        <v>C(U2,11,8)</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36"/>
        <v>4</v>
      </c>
      <c r="D1467" s="73"/>
      <c r="E1467" s="70"/>
      <c r="F1467" s="70" t="str">
        <f>SUBSTITUTE(F1463,",5)",",9)")</f>
        <v>C(U2,11,9)</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36"/>
        <v>4</v>
      </c>
      <c r="D1468" s="73"/>
      <c r="E1468" s="70"/>
      <c r="F1468" s="70" t="str">
        <f>SUBSTITUTE(F1464,",6)",",10)")</f>
        <v>C(U2,11,10)</v>
      </c>
      <c r="G1468" s="73"/>
      <c r="H1468" s="76"/>
      <c r="I1468" s="9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36"/>
        <v>4</v>
      </c>
      <c r="D1469" s="73"/>
      <c r="E1469" s="70"/>
      <c r="F1469" s="70" t="str">
        <f>SUBSTITUTE(F1465,",7)",",11)")</f>
        <v>C(U2,11,11)</v>
      </c>
      <c r="G1469" s="73"/>
      <c r="H1469" s="76"/>
      <c r="I1469" s="9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36"/>
        <v>4</v>
      </c>
      <c r="D1470" s="73"/>
      <c r="E1470" s="70"/>
      <c r="F1470" s="70" t="str">
        <f>SUBSTITUTE(F1464,",6)",",12)")</f>
        <v>C(U2,11,12)</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36"/>
        <v>4</v>
      </c>
      <c r="D1471" s="73"/>
      <c r="E1471" s="70"/>
      <c r="F1471" s="70" t="str">
        <f>SUBSTITUTE(F1465,",7)",",13)")</f>
        <v>C(U2,11,13)</v>
      </c>
      <c r="G1471" s="73"/>
      <c r="H1471" s="76"/>
      <c r="I1471" s="9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36"/>
        <v>4</v>
      </c>
      <c r="D1472" s="73"/>
      <c r="E1472" s="70"/>
      <c r="F1472" s="70" t="s">
        <v>2013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f t="shared" si="336"/>
        <v>4</v>
      </c>
      <c r="D1473" s="73"/>
      <c r="E1473" s="70"/>
      <c r="F1473" s="70" t="s">
        <v>2014</v>
      </c>
      <c r="G1473" s="73"/>
      <c r="H1473" s="76" t="s">
        <v>604</v>
      </c>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f t="shared" si="336"/>
        <v>4</v>
      </c>
      <c r="D1474" s="73"/>
      <c r="E1474" s="70"/>
      <c r="F1474" s="70" t="s">
        <v>2015</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f t="shared" si="336"/>
        <v>4</v>
      </c>
      <c r="D1475" s="73"/>
      <c r="E1475" s="70"/>
      <c r="F1475" s="70" t="s">
        <v>2016</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si="336"/>
        <v>4</v>
      </c>
      <c r="D1476" s="73"/>
      <c r="E1476" s="70"/>
      <c r="F1476" s="70" t="s">
        <v>2017</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36"/>
        <v>4</v>
      </c>
      <c r="D1477" s="73"/>
      <c r="E1477" s="70"/>
      <c r="F1477" s="70" t="s">
        <v>2018</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c r="D1478" s="73"/>
      <c r="E1478" s="70"/>
      <c r="F1478" s="70" t="s">
        <v>2449</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c r="D1479" s="73"/>
      <c r="E1479" s="70"/>
      <c r="F1479" s="70" t="s">
        <v>2450</v>
      </c>
      <c r="G1479" s="73"/>
      <c r="H1479" s="76"/>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c r="D1480" s="73"/>
      <c r="E1480" s="70"/>
      <c r="F1480" s="70" t="s">
        <v>2451</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ref="C1481:C1492" si="337">INT($C$29)+3</f>
        <v>4</v>
      </c>
      <c r="D1481" s="73"/>
      <c r="E1481" s="70"/>
      <c r="F1481" s="70" t="str">
        <f>SUBSTITUTE(F1477,",4)",",8)")</f>
        <v>C(U2,12,8)</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37"/>
        <v>4</v>
      </c>
      <c r="D1482" s="73"/>
      <c r="E1482" s="70"/>
      <c r="F1482" s="70" t="str">
        <f>SUBSTITUTE(F1478,",5)",",9)")</f>
        <v>C(U2,12,9)</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37"/>
        <v>4</v>
      </c>
      <c r="D1483" s="73"/>
      <c r="E1483" s="70"/>
      <c r="F1483" s="70" t="str">
        <f>SUBSTITUTE(F1479,",6)",",10)")</f>
        <v>C(U2,12,10)</v>
      </c>
      <c r="G1483" s="73"/>
      <c r="H1483" s="76"/>
      <c r="I1483" s="9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37"/>
        <v>4</v>
      </c>
      <c r="D1484" s="73"/>
      <c r="E1484" s="70"/>
      <c r="F1484" s="70" t="str">
        <f>SUBSTITUTE(F1480,",7)",",11)")</f>
        <v>C(U2,12,11)</v>
      </c>
      <c r="G1484" s="73"/>
      <c r="H1484" s="76"/>
      <c r="I1484" s="9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37"/>
        <v>4</v>
      </c>
      <c r="D1485" s="73"/>
      <c r="E1485" s="70"/>
      <c r="F1485" s="70" t="str">
        <f>SUBSTITUTE(F1479,",6)",",12)")</f>
        <v>C(U2,12,12)</v>
      </c>
      <c r="G1485" s="73"/>
      <c r="H1485" s="76"/>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37"/>
        <v>4</v>
      </c>
      <c r="D1486" s="73"/>
      <c r="E1486" s="70"/>
      <c r="F1486" s="70" t="str">
        <f>SUBSTITUTE(F1480,",7)",",13)")</f>
        <v>C(U2,12,13)</v>
      </c>
      <c r="G1486" s="73"/>
      <c r="H1486" s="76"/>
      <c r="I1486" s="9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37"/>
        <v>4</v>
      </c>
      <c r="D1487" s="73"/>
      <c r="E1487" s="70"/>
      <c r="F1487" s="70" t="s">
        <v>2019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f t="shared" si="337"/>
        <v>4</v>
      </c>
      <c r="D1488" s="73"/>
      <c r="E1488" s="70"/>
      <c r="F1488" s="70" t="s">
        <v>2020</v>
      </c>
      <c r="G1488" s="73"/>
      <c r="H1488" s="76" t="s">
        <v>604</v>
      </c>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f t="shared" si="337"/>
        <v>4</v>
      </c>
      <c r="D1489" s="73"/>
      <c r="E1489" s="70"/>
      <c r="F1489" s="70" t="s">
        <v>2021</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f t="shared" si="337"/>
        <v>4</v>
      </c>
      <c r="D1490" s="73"/>
      <c r="E1490" s="70"/>
      <c r="F1490" s="70" t="s">
        <v>2022</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si="337"/>
        <v>4</v>
      </c>
      <c r="D1491" s="73"/>
      <c r="E1491" s="70"/>
      <c r="F1491" s="70" t="s">
        <v>2023</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37"/>
        <v>4</v>
      </c>
      <c r="D1492" s="73"/>
      <c r="E1492" s="70"/>
      <c r="F1492" s="70" t="s">
        <v>2024</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c r="D1493" s="73"/>
      <c r="E1493" s="70"/>
      <c r="F1493" s="70" t="s">
        <v>2452</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c r="D1494" s="73"/>
      <c r="E1494" s="70"/>
      <c r="F1494" s="70" t="s">
        <v>2453</v>
      </c>
      <c r="G1494" s="73"/>
      <c r="H1494" s="76"/>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c r="D1495" s="73"/>
      <c r="E1495" s="70"/>
      <c r="F1495" s="70" t="s">
        <v>2454</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ref="C1496:C1507" si="338">INT($C$29)+3</f>
        <v>4</v>
      </c>
      <c r="D1496" s="73"/>
      <c r="E1496" s="70"/>
      <c r="F1496" s="70" t="str">
        <f>SUBSTITUTE(F1492,",4)",",8)")</f>
        <v>C(U2,13,8)</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38"/>
        <v>4</v>
      </c>
      <c r="D1497" s="73"/>
      <c r="E1497" s="70"/>
      <c r="F1497" s="70" t="str">
        <f>SUBSTITUTE(F1493,",5)",",9)")</f>
        <v>C(U2,13,9)</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38"/>
        <v>4</v>
      </c>
      <c r="D1498" s="73"/>
      <c r="E1498" s="70"/>
      <c r="F1498" s="70" t="str">
        <f>SUBSTITUTE(F1494,",6)",",10)")</f>
        <v>C(U2,13,10)</v>
      </c>
      <c r="G1498" s="73"/>
      <c r="H1498" s="76"/>
      <c r="I1498" s="9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38"/>
        <v>4</v>
      </c>
      <c r="D1499" s="73"/>
      <c r="E1499" s="70"/>
      <c r="F1499" s="70" t="str">
        <f>SUBSTITUTE(F1495,",7)",",11)")</f>
        <v>C(U2,13,11)</v>
      </c>
      <c r="G1499" s="73"/>
      <c r="H1499" s="76"/>
      <c r="I1499" s="9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38"/>
        <v>4</v>
      </c>
      <c r="D1500" s="73"/>
      <c r="E1500" s="70"/>
      <c r="F1500" s="70" t="str">
        <f>SUBSTITUTE(F1494,",6)",",12)")</f>
        <v>C(U2,13,12)</v>
      </c>
      <c r="G1500" s="73"/>
      <c r="H1500" s="76"/>
      <c r="I1500" s="9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38"/>
        <v>4</v>
      </c>
      <c r="D1501" s="73"/>
      <c r="E1501" s="70"/>
      <c r="F1501" s="70" t="str">
        <f>SUBSTITUTE(F1495,",7)",",13)")</f>
        <v>C(U2,13,13)</v>
      </c>
      <c r="G1501" s="73"/>
      <c r="H1501" s="76"/>
      <c r="I1501" s="9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38"/>
        <v>4</v>
      </c>
      <c r="D1502" s="73"/>
      <c r="E1502" s="70"/>
      <c r="F1502" s="70" t="s">
        <v>2025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f t="shared" si="338"/>
        <v>4</v>
      </c>
      <c r="D1503" s="73"/>
      <c r="E1503" s="70"/>
      <c r="F1503" s="70" t="s">
        <v>2026</v>
      </c>
      <c r="G1503" s="73"/>
      <c r="H1503" s="76" t="s">
        <v>604</v>
      </c>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f t="shared" si="338"/>
        <v>4</v>
      </c>
      <c r="D1504" s="73"/>
      <c r="E1504" s="70"/>
      <c r="F1504" s="70" t="s">
        <v>2027</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f t="shared" si="338"/>
        <v>4</v>
      </c>
      <c r="D1505" s="73"/>
      <c r="E1505" s="70"/>
      <c r="F1505" s="70" t="s">
        <v>2028</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si="338"/>
        <v>4</v>
      </c>
      <c r="D1506" s="73"/>
      <c r="E1506" s="70"/>
      <c r="F1506" s="70" t="s">
        <v>2029</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38"/>
        <v>4</v>
      </c>
      <c r="D1507" s="73"/>
      <c r="E1507" s="70"/>
      <c r="F1507" s="70" t="s">
        <v>2030</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c r="D1508" s="73"/>
      <c r="E1508" s="70"/>
      <c r="F1508" s="70" t="s">
        <v>2455</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c r="D1509" s="73"/>
      <c r="E1509" s="70"/>
      <c r="F1509" s="70" t="s">
        <v>2456</v>
      </c>
      <c r="G1509" s="73"/>
      <c r="H1509" s="76"/>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c r="D1510" s="73"/>
      <c r="E1510" s="70"/>
      <c r="F1510" s="70" t="s">
        <v>2457</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ref="C1511:C1522" si="339">INT($C$29)+3</f>
        <v>4</v>
      </c>
      <c r="D1511" s="73"/>
      <c r="E1511" s="70"/>
      <c r="F1511" s="70" t="str">
        <f>SUBSTITUTE(F1507,",4)",",8)")</f>
        <v>C(U2,14,8)</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39"/>
        <v>4</v>
      </c>
      <c r="D1512" s="73"/>
      <c r="E1512" s="70"/>
      <c r="F1512" s="70" t="str">
        <f>SUBSTITUTE(F1508,",5)",",9)")</f>
        <v>C(U2,14,9)</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39"/>
        <v>4</v>
      </c>
      <c r="D1513" s="73"/>
      <c r="E1513" s="70"/>
      <c r="F1513" s="70" t="str">
        <f>SUBSTITUTE(F1509,",6)",",10)")</f>
        <v>C(U2,14,10)</v>
      </c>
      <c r="G1513" s="73"/>
      <c r="H1513" s="76"/>
      <c r="I1513" s="9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39"/>
        <v>4</v>
      </c>
      <c r="D1514" s="73"/>
      <c r="E1514" s="70"/>
      <c r="F1514" s="70" t="str">
        <f>SUBSTITUTE(F1510,",7)",",11)")</f>
        <v>C(U2,14,11)</v>
      </c>
      <c r="G1514" s="73"/>
      <c r="H1514" s="76"/>
      <c r="I1514" s="9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39"/>
        <v>4</v>
      </c>
      <c r="D1515" s="73"/>
      <c r="E1515" s="70"/>
      <c r="F1515" s="70" t="str">
        <f>SUBSTITUTE(F1509,",6)",",12)")</f>
        <v>C(U2,14,12)</v>
      </c>
      <c r="G1515" s="73"/>
      <c r="H1515" s="76"/>
      <c r="I1515" s="9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39"/>
        <v>4</v>
      </c>
      <c r="D1516" s="73"/>
      <c r="E1516" s="70"/>
      <c r="F1516" s="70" t="str">
        <f>SUBSTITUTE(F1510,",7)",",13)")</f>
        <v>C(U2,14,13)</v>
      </c>
      <c r="G1516" s="73"/>
      <c r="H1516" s="76"/>
      <c r="I1516" s="9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39"/>
        <v>4</v>
      </c>
      <c r="D1517" s="73"/>
      <c r="E1517" s="70"/>
      <c r="F1517" s="70" t="s">
        <v>2031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f t="shared" si="339"/>
        <v>4</v>
      </c>
      <c r="D1518" s="73"/>
      <c r="E1518" s="70"/>
      <c r="F1518" s="70" t="s">
        <v>2032</v>
      </c>
      <c r="G1518" s="73"/>
      <c r="H1518" s="76" t="s">
        <v>604</v>
      </c>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f t="shared" si="339"/>
        <v>4</v>
      </c>
      <c r="D1519" s="73"/>
      <c r="E1519" s="70"/>
      <c r="F1519" s="70" t="s">
        <v>2033</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f t="shared" si="339"/>
        <v>4</v>
      </c>
      <c r="D1520" s="73"/>
      <c r="E1520" s="70"/>
      <c r="F1520" s="70" t="s">
        <v>2034</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si="339"/>
        <v>4</v>
      </c>
      <c r="D1521" s="73"/>
      <c r="E1521" s="70"/>
      <c r="F1521" s="70" t="s">
        <v>2035</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39"/>
        <v>4</v>
      </c>
      <c r="D1522" s="73"/>
      <c r="E1522" s="70"/>
      <c r="F1522" s="70" t="s">
        <v>2036</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c r="D1523" s="73"/>
      <c r="E1523" s="70"/>
      <c r="F1523" s="70" t="s">
        <v>2458</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c r="D1524" s="73"/>
      <c r="E1524" s="70"/>
      <c r="F1524" s="70" t="s">
        <v>2459</v>
      </c>
      <c r="G1524" s="73"/>
      <c r="H1524" s="76"/>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c r="D1525" s="73"/>
      <c r="E1525" s="70"/>
      <c r="F1525" s="70" t="s">
        <v>2460</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ref="C1526:C1537" si="340">INT($C$29)+3</f>
        <v>4</v>
      </c>
      <c r="D1526" s="73"/>
      <c r="E1526" s="70"/>
      <c r="F1526" s="70" t="str">
        <f>SUBSTITUTE(F1522,",4)",",8)")</f>
        <v>C(U2,15,8)</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40"/>
        <v>4</v>
      </c>
      <c r="D1527" s="73"/>
      <c r="E1527" s="70"/>
      <c r="F1527" s="70" t="str">
        <f>SUBSTITUTE(F1523,",5)",",9)")</f>
        <v>C(U2,15,9)</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40"/>
        <v>4</v>
      </c>
      <c r="D1528" s="73"/>
      <c r="E1528" s="70"/>
      <c r="F1528" s="70" t="str">
        <f>SUBSTITUTE(F1524,",6)",",10)")</f>
        <v>C(U2,15,10)</v>
      </c>
      <c r="G1528" s="73"/>
      <c r="H1528" s="76"/>
      <c r="I1528" s="9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40"/>
        <v>4</v>
      </c>
      <c r="D1529" s="73"/>
      <c r="E1529" s="70"/>
      <c r="F1529" s="70" t="str">
        <f>SUBSTITUTE(F1525,",7)",",11)")</f>
        <v>C(U2,15,11)</v>
      </c>
      <c r="G1529" s="73"/>
      <c r="H1529" s="76"/>
      <c r="I1529" s="9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40"/>
        <v>4</v>
      </c>
      <c r="D1530" s="73"/>
      <c r="E1530" s="70"/>
      <c r="F1530" s="70" t="str">
        <f>SUBSTITUTE(F1524,",6)",",12)")</f>
        <v>C(U2,15,12)</v>
      </c>
      <c r="G1530" s="73"/>
      <c r="H1530" s="76"/>
      <c r="I1530" s="9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40"/>
        <v>4</v>
      </c>
      <c r="D1531" s="73"/>
      <c r="E1531" s="70"/>
      <c r="F1531" s="70" t="str">
        <f>SUBSTITUTE(F1525,",7)",",13)")</f>
        <v>C(U2,15,13)</v>
      </c>
      <c r="G1531" s="73"/>
      <c r="H1531" s="76"/>
      <c r="I1531" s="9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40"/>
        <v>4</v>
      </c>
      <c r="D1532" s="73"/>
      <c r="E1532" s="70"/>
      <c r="F1532" s="70" t="s">
        <v>2037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f t="shared" si="340"/>
        <v>4</v>
      </c>
      <c r="D1533" s="73"/>
      <c r="E1533" s="70"/>
      <c r="F1533" s="70" t="s">
        <v>2038</v>
      </c>
      <c r="G1533" s="73"/>
      <c r="H1533" s="76" t="s">
        <v>604</v>
      </c>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f t="shared" si="340"/>
        <v>4</v>
      </c>
      <c r="D1534" s="73"/>
      <c r="E1534" s="70"/>
      <c r="F1534" s="70" t="s">
        <v>2039</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f t="shared" si="340"/>
        <v>4</v>
      </c>
      <c r="D1535" s="73"/>
      <c r="E1535" s="70"/>
      <c r="F1535" s="70" t="s">
        <v>2040</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si="340"/>
        <v>4</v>
      </c>
      <c r="D1536" s="73"/>
      <c r="E1536" s="70"/>
      <c r="F1536" s="70" t="s">
        <v>2041</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40"/>
        <v>4</v>
      </c>
      <c r="D1537" s="73"/>
      <c r="E1537" s="70"/>
      <c r="F1537" s="70" t="s">
        <v>2042</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c r="D1538" s="73"/>
      <c r="E1538" s="70"/>
      <c r="F1538" s="70" t="s">
        <v>2461</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c r="D1539" s="73"/>
      <c r="E1539" s="70"/>
      <c r="F1539" s="70" t="s">
        <v>2462</v>
      </c>
      <c r="G1539" s="73"/>
      <c r="H1539" s="76"/>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c r="D1540" s="73"/>
      <c r="E1540" s="70"/>
      <c r="F1540" s="70" t="s">
        <v>2463</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ref="C1541:C1552" si="341">INT($C$29)+3</f>
        <v>4</v>
      </c>
      <c r="D1541" s="73"/>
      <c r="E1541" s="70"/>
      <c r="F1541" s="70" t="str">
        <f>SUBSTITUTE(F1537,",4)",",8)")</f>
        <v>C(U2,16,8)</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41"/>
        <v>4</v>
      </c>
      <c r="D1542" s="73"/>
      <c r="E1542" s="70"/>
      <c r="F1542" s="70" t="str">
        <f>SUBSTITUTE(F1538,",5)",",9)")</f>
        <v>C(U2,16,9)</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41"/>
        <v>4</v>
      </c>
      <c r="D1543" s="73"/>
      <c r="E1543" s="70"/>
      <c r="F1543" s="70" t="str">
        <f>SUBSTITUTE(F1539,",6)",",10)")</f>
        <v>C(U2,16,10)</v>
      </c>
      <c r="G1543" s="73"/>
      <c r="H1543" s="76"/>
      <c r="I1543" s="9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41"/>
        <v>4</v>
      </c>
      <c r="D1544" s="73"/>
      <c r="E1544" s="70"/>
      <c r="F1544" s="70" t="str">
        <f>SUBSTITUTE(F1540,",7)",",11)")</f>
        <v>C(U2,16,11)</v>
      </c>
      <c r="G1544" s="73"/>
      <c r="H1544" s="76"/>
      <c r="I1544" s="9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41"/>
        <v>4</v>
      </c>
      <c r="D1545" s="73"/>
      <c r="E1545" s="70"/>
      <c r="F1545" s="70" t="str">
        <f>SUBSTITUTE(F1539,",6)",",12)")</f>
        <v>C(U2,16,12)</v>
      </c>
      <c r="G1545" s="73"/>
      <c r="H1545" s="76"/>
      <c r="I1545" s="9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41"/>
        <v>4</v>
      </c>
      <c r="D1546" s="73"/>
      <c r="E1546" s="70"/>
      <c r="F1546" s="70" t="str">
        <f>SUBSTITUTE(F1540,",7)",",13)")</f>
        <v>C(U2,16,13)</v>
      </c>
      <c r="G1546" s="73"/>
      <c r="H1546" s="76"/>
      <c r="I1546" s="9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41"/>
        <v>4</v>
      </c>
      <c r="D1547" s="73"/>
      <c r="E1547" s="70"/>
      <c r="F1547" s="70" t="s">
        <v>2043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f t="shared" si="341"/>
        <v>4</v>
      </c>
      <c r="D1548" s="73"/>
      <c r="E1548" s="70"/>
      <c r="F1548" s="70" t="s">
        <v>2044</v>
      </c>
      <c r="G1548" s="73"/>
      <c r="H1548" s="76" t="s">
        <v>604</v>
      </c>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f t="shared" si="341"/>
        <v>4</v>
      </c>
      <c r="D1549" s="73"/>
      <c r="E1549" s="70"/>
      <c r="F1549" s="70" t="s">
        <v>2045</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f t="shared" si="341"/>
        <v>4</v>
      </c>
      <c r="D1550" s="73"/>
      <c r="E1550" s="70"/>
      <c r="F1550" s="70" t="s">
        <v>2046</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si="341"/>
        <v>4</v>
      </c>
      <c r="D1551" s="73"/>
      <c r="E1551" s="70"/>
      <c r="F1551" s="70" t="s">
        <v>2047</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41"/>
        <v>4</v>
      </c>
      <c r="D1552" s="73"/>
      <c r="E1552" s="70"/>
      <c r="F1552" s="70" t="s">
        <v>2048</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c r="D1553" s="73"/>
      <c r="E1553" s="70"/>
      <c r="F1553" s="70" t="s">
        <v>2464</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c r="D1554" s="73"/>
      <c r="E1554" s="70"/>
      <c r="F1554" s="70" t="s">
        <v>2465</v>
      </c>
      <c r="G1554" s="73"/>
      <c r="H1554" s="76"/>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c r="D1555" s="73"/>
      <c r="E1555" s="70"/>
      <c r="F1555" s="70" t="s">
        <v>2466</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ref="C1556:C1567" si="342">INT($C$29)+3</f>
        <v>4</v>
      </c>
      <c r="D1556" s="73"/>
      <c r="E1556" s="70"/>
      <c r="F1556" s="70" t="str">
        <f>SUBSTITUTE(F1552,",4)",",8)")</f>
        <v>C(U2,17,8)</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42"/>
        <v>4</v>
      </c>
      <c r="D1557" s="73"/>
      <c r="E1557" s="70"/>
      <c r="F1557" s="70" t="str">
        <f>SUBSTITUTE(F1553,",5)",",9)")</f>
        <v>C(U2,17,9)</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42"/>
        <v>4</v>
      </c>
      <c r="D1558" s="73"/>
      <c r="E1558" s="70"/>
      <c r="F1558" s="70" t="str">
        <f>SUBSTITUTE(F1554,",6)",",10)")</f>
        <v>C(U2,17,10)</v>
      </c>
      <c r="G1558" s="73"/>
      <c r="H1558" s="76"/>
      <c r="I1558" s="9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42"/>
        <v>4</v>
      </c>
      <c r="D1559" s="73"/>
      <c r="E1559" s="70"/>
      <c r="F1559" s="70" t="str">
        <f>SUBSTITUTE(F1555,",7)",",11)")</f>
        <v>C(U2,17,11)</v>
      </c>
      <c r="G1559" s="73"/>
      <c r="H1559" s="76"/>
      <c r="I1559" s="9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42"/>
        <v>4</v>
      </c>
      <c r="D1560" s="73"/>
      <c r="E1560" s="70"/>
      <c r="F1560" s="70" t="str">
        <f>SUBSTITUTE(F1554,",6)",",12)")</f>
        <v>C(U2,17,12)</v>
      </c>
      <c r="G1560" s="73"/>
      <c r="H1560" s="76"/>
      <c r="I1560" s="9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42"/>
        <v>4</v>
      </c>
      <c r="D1561" s="73"/>
      <c r="E1561" s="70"/>
      <c r="F1561" s="70" t="str">
        <f>SUBSTITUTE(F1555,",7)",",13)")</f>
        <v>C(U2,17,13)</v>
      </c>
      <c r="G1561" s="73"/>
      <c r="H1561" s="76"/>
      <c r="I1561" s="9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42"/>
        <v>4</v>
      </c>
      <c r="D1562" s="73"/>
      <c r="E1562" s="70"/>
      <c r="F1562" s="70" t="s">
        <v>2049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f t="shared" si="342"/>
        <v>4</v>
      </c>
      <c r="D1563" s="73"/>
      <c r="E1563" s="70"/>
      <c r="F1563" s="70" t="s">
        <v>2050</v>
      </c>
      <c r="G1563" s="73"/>
      <c r="H1563" s="76" t="s">
        <v>604</v>
      </c>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f t="shared" si="342"/>
        <v>4</v>
      </c>
      <c r="D1564" s="73"/>
      <c r="E1564" s="70"/>
      <c r="F1564" s="70" t="s">
        <v>2051</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f t="shared" si="342"/>
        <v>4</v>
      </c>
      <c r="D1565" s="73"/>
      <c r="E1565" s="70"/>
      <c r="F1565" s="70" t="s">
        <v>2052</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si="342"/>
        <v>4</v>
      </c>
      <c r="D1566" s="73"/>
      <c r="E1566" s="70"/>
      <c r="F1566" s="70" t="s">
        <v>2053</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42"/>
        <v>4</v>
      </c>
      <c r="D1567" s="73"/>
      <c r="E1567" s="70"/>
      <c r="F1567" s="70" t="s">
        <v>2054</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c r="D1568" s="73"/>
      <c r="E1568" s="70"/>
      <c r="F1568" s="70" t="s">
        <v>2467</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c r="D1569" s="73"/>
      <c r="E1569" s="70"/>
      <c r="F1569" s="70" t="s">
        <v>2468</v>
      </c>
      <c r="G1569" s="73"/>
      <c r="H1569" s="76"/>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c r="D1570" s="73"/>
      <c r="E1570" s="70"/>
      <c r="F1570" s="70" t="s">
        <v>2469</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ref="C1571:C1582" si="343">INT($C$29)+3</f>
        <v>4</v>
      </c>
      <c r="D1571" s="73"/>
      <c r="E1571" s="70"/>
      <c r="F1571" s="70" t="str">
        <f>SUBSTITUTE(F1567,",4)",",8)")</f>
        <v>C(U2,18,8)</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43"/>
        <v>4</v>
      </c>
      <c r="D1572" s="73"/>
      <c r="E1572" s="70"/>
      <c r="F1572" s="70" t="str">
        <f>SUBSTITUTE(F1568,",5)",",9)")</f>
        <v>C(U2,18,9)</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43"/>
        <v>4</v>
      </c>
      <c r="D1573" s="73"/>
      <c r="E1573" s="70"/>
      <c r="F1573" s="70" t="str">
        <f>SUBSTITUTE(F1569,",6)",",10)")</f>
        <v>C(U2,18,10)</v>
      </c>
      <c r="G1573" s="73"/>
      <c r="H1573" s="76"/>
      <c r="I1573" s="9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43"/>
        <v>4</v>
      </c>
      <c r="D1574" s="73"/>
      <c r="E1574" s="70"/>
      <c r="F1574" s="70" t="str">
        <f>SUBSTITUTE(F1570,",7)",",11)")</f>
        <v>C(U2,18,11)</v>
      </c>
      <c r="G1574" s="73"/>
      <c r="H1574" s="76"/>
      <c r="I1574" s="9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43"/>
        <v>4</v>
      </c>
      <c r="D1575" s="73"/>
      <c r="E1575" s="70"/>
      <c r="F1575" s="70" t="str">
        <f>SUBSTITUTE(F1569,",6)",",12)")</f>
        <v>C(U2,18,12)</v>
      </c>
      <c r="G1575" s="73"/>
      <c r="H1575" s="76"/>
      <c r="I1575" s="9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43"/>
        <v>4</v>
      </c>
      <c r="D1576" s="73"/>
      <c r="E1576" s="70"/>
      <c r="F1576" s="70" t="str">
        <f>SUBSTITUTE(F1570,",7)",",13)")</f>
        <v>C(U2,18,13)</v>
      </c>
      <c r="G1576" s="73"/>
      <c r="H1576" s="76"/>
      <c r="I1576" s="9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43"/>
        <v>4</v>
      </c>
      <c r="D1577" s="73"/>
      <c r="E1577" s="70"/>
      <c r="F1577" s="70" t="s">
        <v>2055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f t="shared" si="343"/>
        <v>4</v>
      </c>
      <c r="D1578" s="73"/>
      <c r="E1578" s="70"/>
      <c r="F1578" s="70" t="s">
        <v>2056</v>
      </c>
      <c r="G1578" s="73"/>
      <c r="H1578" s="76" t="s">
        <v>604</v>
      </c>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f t="shared" si="343"/>
        <v>4</v>
      </c>
      <c r="D1579" s="73"/>
      <c r="E1579" s="70"/>
      <c r="F1579" s="70" t="s">
        <v>2057</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f t="shared" si="343"/>
        <v>4</v>
      </c>
      <c r="D1580" s="73"/>
      <c r="E1580" s="70"/>
      <c r="F1580" s="70" t="s">
        <v>2058</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si="343"/>
        <v>4</v>
      </c>
      <c r="D1581" s="73"/>
      <c r="E1581" s="70"/>
      <c r="F1581" s="70" t="s">
        <v>2059</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43"/>
        <v>4</v>
      </c>
      <c r="D1582" s="73"/>
      <c r="E1582" s="70"/>
      <c r="F1582" s="70" t="s">
        <v>2060</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c r="D1583" s="73"/>
      <c r="E1583" s="70"/>
      <c r="F1583" s="70" t="s">
        <v>2470</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c r="D1584" s="73"/>
      <c r="E1584" s="70"/>
      <c r="F1584" s="70" t="s">
        <v>2471</v>
      </c>
      <c r="G1584" s="73"/>
      <c r="H1584" s="76"/>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c r="D1585" s="73"/>
      <c r="E1585" s="70"/>
      <c r="F1585" s="70" t="s">
        <v>2472</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INT($C$29)+3</f>
        <v>4</v>
      </c>
      <c r="D1586" s="73"/>
      <c r="E1586" s="70"/>
      <c r="F1586" s="70" t="str">
        <f>SUBSTITUTE(F1582,",4)",",8)")</f>
        <v>C(U2,19,8)</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INT($C$29)+3</f>
        <v>4</v>
      </c>
      <c r="D1587" s="73"/>
      <c r="E1587" s="70"/>
      <c r="F1587" s="70" t="str">
        <f>SUBSTITUTE(F1583,",5)",",9)")</f>
        <v>C(U2,19,9)</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INT($C$29)+3</f>
        <v>4</v>
      </c>
      <c r="D1588" s="73"/>
      <c r="E1588" s="70"/>
      <c r="F1588" s="70" t="str">
        <f>SUBSTITUTE(F1584,",6)",",10)")</f>
        <v>C(U2,19,10)</v>
      </c>
      <c r="G1588" s="73"/>
      <c r="H1588" s="76"/>
      <c r="I1588" s="9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INT($C$29)+3</f>
        <v>4</v>
      </c>
      <c r="D1589" s="73"/>
      <c r="E1589" s="70"/>
      <c r="F1589" s="70" t="str">
        <f>SUBSTITUTE(F1585,",7)",",11)")</f>
        <v>C(U2,19,11)</v>
      </c>
      <c r="G1589" s="73"/>
      <c r="H1589" s="76"/>
      <c r="I1589" s="9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ref="C1590:C1591" si="344">INT($C$29)+3</f>
        <v>4</v>
      </c>
      <c r="D1590" s="73"/>
      <c r="E1590" s="70"/>
      <c r="F1590" s="70" t="str">
        <f>SUBSTITUTE(F1584,",6)",",12)")</f>
        <v>C(U2,19,12)</v>
      </c>
      <c r="G1590" s="73"/>
      <c r="H1590" s="76"/>
      <c r="I1590" s="9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44"/>
        <v>4</v>
      </c>
      <c r="D1591" s="73"/>
      <c r="E1591" s="70"/>
      <c r="F1591" s="70" t="str">
        <f>SUBSTITUTE(F1585,",7)",",13)")</f>
        <v>C(U2,19,13)</v>
      </c>
      <c r="G1591" s="73"/>
      <c r="H1591" s="76"/>
      <c r="I1591" s="9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INT($C$29)+3</f>
        <v>4</v>
      </c>
      <c r="D1592" s="73"/>
      <c r="E1592" s="70"/>
      <c r="F1592" s="70" t="s">
        <v>2061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outlineLevel="2" x14ac:dyDescent="0.25">
      <c r="A1593" s="45"/>
      <c r="B1593" s="54"/>
      <c r="C1593" s="47">
        <f>INT($C$29)+2</f>
        <v>3</v>
      </c>
      <c r="D1593" s="73"/>
      <c r="E1593" s="70"/>
      <c r="F1593" s="70" t="s">
        <v>2062</v>
      </c>
      <c r="G1593" s="73"/>
      <c r="H1593" s="76" t="s">
        <v>2063</v>
      </c>
      <c r="I1593" s="76"/>
      <c r="J1593" s="76"/>
      <c r="K1593" s="76"/>
      <c r="L1593" s="76"/>
      <c r="M1593" s="76"/>
      <c r="N1593" s="76"/>
      <c r="O1593" s="76"/>
      <c r="P1593" s="76"/>
      <c r="Q1593" s="76"/>
      <c r="R1593" s="76"/>
      <c r="S1593" s="76"/>
      <c r="T1593" s="76"/>
      <c r="U1593" s="97">
        <v>0.57699999999999996</v>
      </c>
      <c r="V1593" s="97">
        <v>0.57699999999999996</v>
      </c>
      <c r="W1593" s="97">
        <v>0.57699999999999996</v>
      </c>
      <c r="X1593" s="97">
        <v>0.57699999999999996</v>
      </c>
      <c r="Y1593" s="97">
        <v>0.57699999999999996</v>
      </c>
      <c r="Z1593" s="255">
        <f t="shared" ref="Z1593:AD1594" si="345">Y1593</f>
        <v>0.57699999999999996</v>
      </c>
      <c r="AA1593" s="255">
        <f t="shared" si="345"/>
        <v>0.57699999999999996</v>
      </c>
      <c r="AB1593" s="255">
        <f t="shared" si="345"/>
        <v>0.57699999999999996</v>
      </c>
      <c r="AC1593" s="255">
        <f t="shared" si="345"/>
        <v>0.57699999999999996</v>
      </c>
      <c r="AD1593" s="255">
        <f t="shared" si="345"/>
        <v>0.57699999999999996</v>
      </c>
      <c r="AE1593" s="76"/>
      <c r="AF1593" s="97" t="s">
        <v>2064</v>
      </c>
      <c r="AG1593" s="76"/>
      <c r="AH1593" s="97">
        <v>1</v>
      </c>
      <c r="AI1593" s="97">
        <v>1</v>
      </c>
      <c r="AJ1593" s="73"/>
      <c r="AK1593" s="57"/>
      <c r="AL1593" s="45"/>
      <c r="AM1593" s="45"/>
      <c r="AN1593" s="45"/>
    </row>
    <row r="1594" spans="1:40" outlineLevel="2" collapsed="1" x14ac:dyDescent="0.25">
      <c r="A1594" s="45"/>
      <c r="B1594" s="54"/>
      <c r="C1594" s="47">
        <f>INT($C$29)+2</f>
        <v>3</v>
      </c>
      <c r="D1594" s="73"/>
      <c r="E1594" s="70"/>
      <c r="F1594" s="70" t="s">
        <v>2065</v>
      </c>
      <c r="G1594" s="73"/>
      <c r="H1594" s="76" t="s">
        <v>2066</v>
      </c>
      <c r="I1594" s="76"/>
      <c r="J1594" s="76"/>
      <c r="K1594" s="76"/>
      <c r="L1594" s="76"/>
      <c r="M1594" s="76"/>
      <c r="N1594" s="76"/>
      <c r="O1594" s="76"/>
      <c r="P1594" s="76"/>
      <c r="Q1594" s="76"/>
      <c r="R1594" s="76"/>
      <c r="S1594" s="76"/>
      <c r="T1594" s="76"/>
      <c r="U1594" s="97">
        <v>-1.2E-2</v>
      </c>
      <c r="V1594" s="97">
        <v>-1.2E-2</v>
      </c>
      <c r="W1594" s="97">
        <v>-1.2E-2</v>
      </c>
      <c r="X1594" s="97">
        <v>-1.2E-2</v>
      </c>
      <c r="Y1594" s="97">
        <v>-1.2E-2</v>
      </c>
      <c r="Z1594" s="255">
        <f t="shared" si="345"/>
        <v>-1.2E-2</v>
      </c>
      <c r="AA1594" s="255">
        <f t="shared" si="345"/>
        <v>-1.2E-2</v>
      </c>
      <c r="AB1594" s="255">
        <f t="shared" si="345"/>
        <v>-1.2E-2</v>
      </c>
      <c r="AC1594" s="255">
        <f t="shared" si="345"/>
        <v>-1.2E-2</v>
      </c>
      <c r="AD1594" s="255">
        <f t="shared" si="345"/>
        <v>-1.2E-2</v>
      </c>
      <c r="AE1594" s="76"/>
      <c r="AF1594" s="76"/>
      <c r="AG1594" s="76"/>
      <c r="AH1594" s="97">
        <v>1</v>
      </c>
      <c r="AI1594" s="97">
        <v>1</v>
      </c>
      <c r="AJ1594" s="73"/>
      <c r="AK1594" s="57"/>
      <c r="AL1594" s="45"/>
      <c r="AM1594" s="45"/>
      <c r="AN1594" s="45"/>
    </row>
    <row r="1595" spans="1:40" hidden="1" outlineLevel="3" x14ac:dyDescent="0.25">
      <c r="A1595" s="45"/>
      <c r="B1595" s="54"/>
      <c r="C1595" s="47">
        <f>INT($C$29)+2</f>
        <v>3</v>
      </c>
      <c r="D1595" s="73"/>
      <c r="E1595" s="70"/>
      <c r="F1595" s="70" t="s">
        <v>2067</v>
      </c>
      <c r="G1595" s="73"/>
      <c r="H1595" s="76" t="s">
        <v>2068</v>
      </c>
      <c r="I1595" s="76"/>
      <c r="J1595" s="76"/>
      <c r="K1595" s="76"/>
      <c r="L1595" s="76"/>
      <c r="M1595" s="76"/>
      <c r="N1595" s="76"/>
      <c r="O1595" s="76"/>
      <c r="P1595" s="76"/>
      <c r="Q1595" s="76"/>
      <c r="R1595" s="76"/>
      <c r="S1595" s="76"/>
      <c r="T1595" s="76"/>
      <c r="U1595" s="76">
        <v>0</v>
      </c>
      <c r="V1595" s="76">
        <v>0</v>
      </c>
      <c r="W1595" s="76">
        <v>0</v>
      </c>
      <c r="X1595" s="76">
        <v>0</v>
      </c>
      <c r="Y1595" s="76">
        <v>0</v>
      </c>
      <c r="Z1595" s="76">
        <v>0</v>
      </c>
      <c r="AA1595" s="76">
        <v>0</v>
      </c>
      <c r="AB1595" s="76">
        <v>0</v>
      </c>
      <c r="AC1595" s="76">
        <v>0</v>
      </c>
      <c r="AD1595" s="76">
        <v>0</v>
      </c>
      <c r="AE1595" s="76"/>
      <c r="AF1595" s="76"/>
      <c r="AG1595" s="76"/>
      <c r="AH1595" s="76">
        <v>1</v>
      </c>
      <c r="AI1595" s="76">
        <v>1</v>
      </c>
      <c r="AJ1595" s="73"/>
      <c r="AK1595" s="57"/>
      <c r="AL1595" s="45"/>
      <c r="AM1595" s="45"/>
      <c r="AN1595" s="45"/>
    </row>
    <row r="1596" spans="1:40" hidden="1" outlineLevel="3" x14ac:dyDescent="0.25">
      <c r="A1596" s="45"/>
      <c r="B1596" s="54"/>
      <c r="C1596" s="47">
        <f>INT($C$29)+3</f>
        <v>4</v>
      </c>
      <c r="D1596" s="73"/>
      <c r="E1596" s="70"/>
      <c r="F1596" s="70" t="s">
        <v>2069</v>
      </c>
      <c r="G1596" s="73"/>
      <c r="H1596" s="377" t="s">
        <v>2486</v>
      </c>
      <c r="I1596" s="76"/>
      <c r="J1596" s="76"/>
      <c r="K1596" s="76"/>
      <c r="L1596" s="76"/>
      <c r="M1596" s="76"/>
      <c r="N1596" s="76"/>
      <c r="O1596" s="76"/>
      <c r="P1596" s="76"/>
      <c r="Q1596" s="76"/>
      <c r="R1596" s="76"/>
      <c r="S1596" s="76"/>
      <c r="T1596" s="76"/>
      <c r="U1596" s="76">
        <v>0</v>
      </c>
      <c r="V1596" s="76">
        <v>0</v>
      </c>
      <c r="W1596" s="76">
        <v>0</v>
      </c>
      <c r="X1596" s="76">
        <v>0</v>
      </c>
      <c r="Y1596" s="76">
        <v>0</v>
      </c>
      <c r="Z1596" s="76">
        <v>0</v>
      </c>
      <c r="AA1596" s="76">
        <v>0</v>
      </c>
      <c r="AB1596" s="76">
        <v>0</v>
      </c>
      <c r="AC1596" s="76">
        <v>0</v>
      </c>
      <c r="AD1596" s="76">
        <v>0</v>
      </c>
      <c r="AE1596" s="76"/>
      <c r="AF1596" s="76"/>
      <c r="AG1596" s="76"/>
      <c r="AH1596" s="76">
        <v>1</v>
      </c>
      <c r="AI1596" s="76">
        <v>1</v>
      </c>
      <c r="AJ1596" s="73"/>
      <c r="AK1596" s="57"/>
      <c r="AL1596" s="45"/>
      <c r="AM1596" s="45"/>
      <c r="AN1596" s="45"/>
    </row>
    <row r="1597" spans="1:40" hidden="1" outlineLevel="3" x14ac:dyDescent="0.25">
      <c r="A1597" s="45"/>
      <c r="B1597" s="54"/>
      <c r="C1597" s="47">
        <f>INT($C$29)+2</f>
        <v>3</v>
      </c>
      <c r="D1597" s="73"/>
      <c r="E1597" s="70"/>
      <c r="F1597" s="70" t="s">
        <v>2071</v>
      </c>
      <c r="G1597" s="73"/>
      <c r="H1597" s="76" t="s">
        <v>2070</v>
      </c>
      <c r="I1597" s="76"/>
      <c r="J1597" s="76"/>
      <c r="K1597" s="76"/>
      <c r="L1597" s="76"/>
      <c r="M1597" s="76"/>
      <c r="N1597" s="76"/>
      <c r="O1597" s="76"/>
      <c r="P1597" s="76"/>
      <c r="Q1597" s="76"/>
      <c r="R1597" s="76"/>
      <c r="S1597" s="76"/>
      <c r="T1597" s="76"/>
      <c r="U1597" s="76">
        <v>0</v>
      </c>
      <c r="V1597" s="76">
        <v>0</v>
      </c>
      <c r="W1597" s="76">
        <v>0</v>
      </c>
      <c r="X1597" s="76">
        <v>0</v>
      </c>
      <c r="Y1597" s="76">
        <v>0</v>
      </c>
      <c r="Z1597" s="76">
        <v>0</v>
      </c>
      <c r="AA1597" s="76">
        <v>0</v>
      </c>
      <c r="AB1597" s="76">
        <v>0</v>
      </c>
      <c r="AC1597" s="76">
        <v>0</v>
      </c>
      <c r="AD1597" s="76">
        <v>0</v>
      </c>
      <c r="AE1597" s="76"/>
      <c r="AF1597" s="76"/>
      <c r="AG1597" s="76"/>
      <c r="AH1597" s="76">
        <v>1</v>
      </c>
      <c r="AI1597" s="76">
        <v>1</v>
      </c>
      <c r="AJ1597" s="73"/>
      <c r="AK1597" s="57"/>
      <c r="AL1597" s="45"/>
      <c r="AM1597" s="45"/>
      <c r="AN1597" s="45"/>
    </row>
    <row r="1598" spans="1:40" hidden="1" outlineLevel="3" x14ac:dyDescent="0.25">
      <c r="A1598" s="45"/>
      <c r="B1598" s="54"/>
      <c r="C1598" s="47">
        <f>INT($C$29)+2</f>
        <v>3</v>
      </c>
      <c r="D1598" s="73"/>
      <c r="E1598" s="70"/>
      <c r="F1598" s="70" t="s">
        <v>2491</v>
      </c>
      <c r="G1598" s="73"/>
      <c r="H1598" s="76" t="s">
        <v>2072</v>
      </c>
      <c r="I1598" s="76"/>
      <c r="J1598" s="76"/>
      <c r="K1598" s="76"/>
      <c r="L1598" s="76"/>
      <c r="M1598" s="76"/>
      <c r="N1598" s="76"/>
      <c r="O1598" s="76"/>
      <c r="P1598" s="76"/>
      <c r="Q1598" s="76"/>
      <c r="R1598" s="76"/>
      <c r="S1598" s="76"/>
      <c r="T1598" s="76"/>
      <c r="U1598" s="76">
        <v>0</v>
      </c>
      <c r="V1598" s="76">
        <v>0</v>
      </c>
      <c r="W1598" s="76">
        <v>0</v>
      </c>
      <c r="X1598" s="76">
        <v>0</v>
      </c>
      <c r="Y1598" s="76">
        <v>0</v>
      </c>
      <c r="Z1598" s="76">
        <v>0</v>
      </c>
      <c r="AA1598" s="76">
        <v>0</v>
      </c>
      <c r="AB1598" s="76">
        <v>0</v>
      </c>
      <c r="AC1598" s="76">
        <v>0</v>
      </c>
      <c r="AD1598" s="76">
        <v>0</v>
      </c>
      <c r="AE1598" s="76"/>
      <c r="AF1598" s="76"/>
      <c r="AG1598" s="76"/>
      <c r="AH1598" s="76">
        <v>1</v>
      </c>
      <c r="AI1598" s="76">
        <v>1</v>
      </c>
      <c r="AJ1598" s="73"/>
      <c r="AK1598" s="57"/>
      <c r="AL1598" s="45"/>
      <c r="AM1598" s="45"/>
      <c r="AN1598" s="45"/>
    </row>
    <row r="1599" spans="1:40" hidden="1" outlineLevel="3" x14ac:dyDescent="0.25">
      <c r="A1599" s="45"/>
      <c r="B1599" s="54"/>
      <c r="C1599" s="47">
        <f t="shared" ref="C1599:C1606" si="346">INT($C$29)+3</f>
        <v>4</v>
      </c>
      <c r="D1599" s="73"/>
      <c r="E1599" s="70"/>
      <c r="F1599" s="70" t="s">
        <v>2489</v>
      </c>
      <c r="G1599" s="73"/>
      <c r="H1599" s="377" t="s">
        <v>2487</v>
      </c>
      <c r="I1599" s="76"/>
      <c r="J1599" s="76"/>
      <c r="K1599" s="76"/>
      <c r="L1599" s="76"/>
      <c r="M1599" s="76"/>
      <c r="N1599" s="76"/>
      <c r="O1599" s="76"/>
      <c r="P1599" s="76"/>
      <c r="Q1599" s="76"/>
      <c r="R1599" s="76"/>
      <c r="S1599" s="76"/>
      <c r="T1599" s="76"/>
      <c r="U1599" s="76">
        <v>0</v>
      </c>
      <c r="V1599" s="76">
        <v>0</v>
      </c>
      <c r="W1599" s="76">
        <v>0</v>
      </c>
      <c r="X1599" s="76">
        <v>0</v>
      </c>
      <c r="Y1599" s="76">
        <v>0</v>
      </c>
      <c r="Z1599" s="76">
        <v>0</v>
      </c>
      <c r="AA1599" s="76">
        <v>0</v>
      </c>
      <c r="AB1599" s="76">
        <v>0</v>
      </c>
      <c r="AC1599" s="76">
        <v>0</v>
      </c>
      <c r="AD1599" s="76">
        <v>0</v>
      </c>
      <c r="AE1599" s="76"/>
      <c r="AF1599" s="76"/>
      <c r="AG1599" s="76"/>
      <c r="AH1599" s="76">
        <v>1</v>
      </c>
      <c r="AI1599" s="76">
        <v>1</v>
      </c>
      <c r="AJ1599" s="73"/>
      <c r="AK1599" s="57"/>
      <c r="AL1599" s="45"/>
      <c r="AM1599" s="45"/>
      <c r="AN1599" s="45"/>
    </row>
    <row r="1600" spans="1:40" hidden="1" outlineLevel="3" x14ac:dyDescent="0.25">
      <c r="A1600" s="45"/>
      <c r="B1600" s="54"/>
      <c r="C1600" s="47">
        <f t="shared" si="346"/>
        <v>4</v>
      </c>
      <c r="D1600" s="73"/>
      <c r="E1600" s="70"/>
      <c r="F1600" s="70" t="s">
        <v>2490</v>
      </c>
      <c r="G1600" s="73"/>
      <c r="H1600" s="377" t="s">
        <v>2488</v>
      </c>
      <c r="I1600" s="76"/>
      <c r="J1600" s="76"/>
      <c r="K1600" s="76"/>
      <c r="L1600" s="76"/>
      <c r="M1600" s="76"/>
      <c r="N1600" s="76"/>
      <c r="O1600" s="76"/>
      <c r="P1600" s="76"/>
      <c r="Q1600" s="76"/>
      <c r="R1600" s="76"/>
      <c r="S1600" s="76"/>
      <c r="T1600" s="76"/>
      <c r="U1600" s="76">
        <v>0</v>
      </c>
      <c r="V1600" s="76">
        <v>0</v>
      </c>
      <c r="W1600" s="76">
        <v>0</v>
      </c>
      <c r="X1600" s="76">
        <v>0</v>
      </c>
      <c r="Y1600" s="76">
        <v>0</v>
      </c>
      <c r="Z1600" s="76">
        <v>0</v>
      </c>
      <c r="AA1600" s="76">
        <v>0</v>
      </c>
      <c r="AB1600" s="76">
        <v>0</v>
      </c>
      <c r="AC1600" s="76">
        <v>0</v>
      </c>
      <c r="AD1600" s="76">
        <v>0</v>
      </c>
      <c r="AE1600" s="76"/>
      <c r="AF1600" s="76"/>
      <c r="AG1600" s="76"/>
      <c r="AH1600" s="76">
        <v>1</v>
      </c>
      <c r="AI1600" s="76">
        <v>1</v>
      </c>
      <c r="AJ1600" s="73"/>
      <c r="AK1600" s="57"/>
      <c r="AL1600" s="45"/>
      <c r="AM1600" s="45"/>
      <c r="AN1600" s="45"/>
    </row>
    <row r="1601" spans="1:40" hidden="1" outlineLevel="3" x14ac:dyDescent="0.25">
      <c r="A1601" s="45"/>
      <c r="B1601" s="54"/>
      <c r="C1601" s="47">
        <f t="shared" si="346"/>
        <v>4</v>
      </c>
      <c r="D1601" s="73"/>
      <c r="E1601" s="70"/>
      <c r="F1601" s="70" t="str">
        <f>SUBSTITUTE(F1597,",4)",",8)")</f>
        <v>C(U2,20,8)</v>
      </c>
      <c r="G1601" s="73"/>
      <c r="H1601" s="76" t="s">
        <v>2747</v>
      </c>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46"/>
        <v>4</v>
      </c>
      <c r="D1602" s="73"/>
      <c r="E1602" s="70"/>
      <c r="F1602" s="70" t="str">
        <f>SUBSTITUTE(F1598,",5)",",9)")</f>
        <v>C(U2,20,9)</v>
      </c>
      <c r="G1602" s="73"/>
      <c r="H1602" s="76" t="s">
        <v>2748</v>
      </c>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46"/>
        <v>4</v>
      </c>
      <c r="D1603" s="73"/>
      <c r="E1603" s="70"/>
      <c r="F1603" s="70" t="str">
        <f>SUBSTITUTE(F1599,",6)",",10)")</f>
        <v>C(U2,20,10)</v>
      </c>
      <c r="G1603" s="73"/>
      <c r="H1603" s="76" t="s">
        <v>2749</v>
      </c>
      <c r="I1603" s="9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46"/>
        <v>4</v>
      </c>
      <c r="D1604" s="73"/>
      <c r="E1604" s="70"/>
      <c r="F1604" s="70" t="str">
        <f>SUBSTITUTE(F1600,",7)",",11)")</f>
        <v>C(U2,20,11)</v>
      </c>
      <c r="G1604" s="73"/>
      <c r="H1604" s="76" t="s">
        <v>2750</v>
      </c>
      <c r="I1604" s="9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46"/>
        <v>4</v>
      </c>
      <c r="D1605" s="73"/>
      <c r="E1605" s="70"/>
      <c r="F1605" s="70" t="str">
        <f>SUBSTITUTE(F1599,",6)",",12)")</f>
        <v>C(U2,20,12)</v>
      </c>
      <c r="G1605" s="73"/>
      <c r="H1605" s="76"/>
      <c r="I1605" s="9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46"/>
        <v>4</v>
      </c>
      <c r="D1606" s="73"/>
      <c r="E1606" s="70"/>
      <c r="F1606" s="70" t="str">
        <f>SUBSTITUTE(F1600,",7)",",13)")</f>
        <v>C(U2,20,13)</v>
      </c>
      <c r="G1606" s="73"/>
      <c r="H1606" s="76"/>
      <c r="I1606" s="9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outlineLevel="2" collapsed="1" x14ac:dyDescent="0.25">
      <c r="A1607" s="45"/>
      <c r="B1607" s="54"/>
      <c r="C1607" s="47">
        <f>INT($C$29)+2</f>
        <v>3</v>
      </c>
      <c r="D1607" s="73"/>
      <c r="E1607" s="70"/>
      <c r="F1607" s="70" t="s">
        <v>2073</v>
      </c>
      <c r="G1607" s="73"/>
      <c r="H1607" s="76" t="s">
        <v>2074</v>
      </c>
      <c r="I1607" s="76"/>
      <c r="J1607" s="76"/>
      <c r="K1607" s="76"/>
      <c r="L1607" s="76"/>
      <c r="M1607" s="76"/>
      <c r="N1607" s="76"/>
      <c r="O1607" s="76"/>
      <c r="P1607" s="76"/>
      <c r="Q1607" s="76"/>
      <c r="R1607" s="76"/>
      <c r="S1607" s="76"/>
      <c r="T1607" s="76"/>
      <c r="U1607" s="97">
        <v>-4.07</v>
      </c>
      <c r="V1607" s="97">
        <v>-4.07</v>
      </c>
      <c r="W1607" s="97">
        <v>-4.07</v>
      </c>
      <c r="X1607" s="97">
        <v>-4.07</v>
      </c>
      <c r="Y1607" s="97">
        <v>-4.07</v>
      </c>
      <c r="Z1607" s="255">
        <f>Y1607</f>
        <v>-4.07</v>
      </c>
      <c r="AA1607" s="255">
        <f>Z1607</f>
        <v>-4.07</v>
      </c>
      <c r="AB1607" s="255">
        <f>AA1607</f>
        <v>-4.07</v>
      </c>
      <c r="AC1607" s="255">
        <f>AB1607</f>
        <v>-4.07</v>
      </c>
      <c r="AD1607" s="255">
        <f>AC1607</f>
        <v>-4.07</v>
      </c>
      <c r="AE1607" s="76"/>
      <c r="AF1607" s="76"/>
      <c r="AG1607" s="76"/>
      <c r="AH1607" s="97">
        <v>1</v>
      </c>
      <c r="AI1607" s="97">
        <v>1</v>
      </c>
      <c r="AJ1607" s="73"/>
      <c r="AK1607" s="57"/>
      <c r="AL1607" s="45"/>
      <c r="AM1607" s="45"/>
      <c r="AN1607" s="45"/>
    </row>
    <row r="1608" spans="1:40" hidden="1" outlineLevel="3" x14ac:dyDescent="0.25">
      <c r="A1608" s="45"/>
      <c r="B1608" s="54"/>
      <c r="C1608" s="47">
        <f>INT($C$29)+3</f>
        <v>4</v>
      </c>
      <c r="D1608" s="73"/>
      <c r="E1608" s="70"/>
      <c r="F1608" s="70" t="s">
        <v>2075</v>
      </c>
      <c r="G1608" s="73"/>
      <c r="H1608" s="76" t="s">
        <v>604</v>
      </c>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f>INT($C$29)+3</f>
        <v>4</v>
      </c>
      <c r="D1609" s="73"/>
      <c r="E1609" s="70"/>
      <c r="F1609" s="70" t="s">
        <v>2076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f>INT($C$29)+3</f>
        <v>4</v>
      </c>
      <c r="D1610" s="73"/>
      <c r="E1610" s="70"/>
      <c r="F1610" s="70" t="s">
        <v>2077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
        <v>2078</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
        <v>2079</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c r="D1613" s="73"/>
      <c r="E1613" s="70"/>
      <c r="F1613" s="70" t="s">
        <v>2473</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c r="D1614" s="73"/>
      <c r="E1614" s="70"/>
      <c r="F1614" s="70" t="s">
        <v>2474</v>
      </c>
      <c r="G1614" s="73"/>
      <c r="H1614" s="76"/>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c r="D1615" s="73"/>
      <c r="E1615" s="70"/>
      <c r="F1615" s="70" t="s">
        <v>2475</v>
      </c>
      <c r="G1615" s="73"/>
      <c r="H1615" s="76"/>
      <c r="I1615" s="7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INT($C$29)+3</f>
        <v>4</v>
      </c>
      <c r="D1616" s="73"/>
      <c r="E1616" s="70"/>
      <c r="F1616" s="70" t="str">
        <f>SUBSTITUTE(F1612,",4)",",8)")</f>
        <v>C(U2,21,8)</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INT($C$29)+3</f>
        <v>4</v>
      </c>
      <c r="D1617" s="73"/>
      <c r="E1617" s="70"/>
      <c r="F1617" s="70" t="str">
        <f>SUBSTITUTE(F1613,",5)",",9)")</f>
        <v>C(U2,21,9)</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3" x14ac:dyDescent="0.25">
      <c r="A1618" s="45"/>
      <c r="B1618" s="54"/>
      <c r="C1618" s="47">
        <f>INT($C$29)+3</f>
        <v>4</v>
      </c>
      <c r="D1618" s="73"/>
      <c r="E1618" s="70"/>
      <c r="F1618" s="70" t="str">
        <f>SUBSTITUTE(F1614,",6)",",10)")</f>
        <v>C(U2,21,10)</v>
      </c>
      <c r="G1618" s="73"/>
      <c r="H1618" s="76"/>
      <c r="I1618" s="9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v>1</v>
      </c>
      <c r="AI1618" s="76">
        <v>1</v>
      </c>
      <c r="AJ1618" s="73"/>
      <c r="AK1618" s="57"/>
      <c r="AL1618" s="45"/>
      <c r="AM1618" s="45"/>
      <c r="AN1618" s="45"/>
    </row>
    <row r="1619" spans="1:40" hidden="1" outlineLevel="3" x14ac:dyDescent="0.25">
      <c r="A1619" s="45"/>
      <c r="B1619" s="54"/>
      <c r="C1619" s="47">
        <f>INT($C$29)+3</f>
        <v>4</v>
      </c>
      <c r="D1619" s="73"/>
      <c r="E1619" s="70"/>
      <c r="F1619" s="70" t="str">
        <f>SUBSTITUTE(F1615,",7)",",11)")</f>
        <v>C(U2,21,11)</v>
      </c>
      <c r="G1619" s="73"/>
      <c r="H1619" s="76"/>
      <c r="I1619" s="9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v>1</v>
      </c>
      <c r="AI1619" s="76">
        <v>1</v>
      </c>
      <c r="AJ1619" s="73"/>
      <c r="AK1619" s="57"/>
      <c r="AL1619" s="45"/>
      <c r="AM1619" s="45"/>
      <c r="AN1619" s="45"/>
    </row>
    <row r="1620" spans="1:40" hidden="1" outlineLevel="3" x14ac:dyDescent="0.25">
      <c r="A1620" s="45"/>
      <c r="B1620" s="54"/>
      <c r="C1620" s="47">
        <f t="shared" ref="C1620:C1621" si="347">INT($C$29)+3</f>
        <v>4</v>
      </c>
      <c r="D1620" s="73"/>
      <c r="E1620" s="70"/>
      <c r="F1620" s="70" t="str">
        <f>SUBSTITUTE(F1614,",6)",",12)")</f>
        <v>C(U2,21,12)</v>
      </c>
      <c r="G1620" s="73"/>
      <c r="H1620" s="76"/>
      <c r="I1620" s="9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v>1</v>
      </c>
      <c r="AI1620" s="76">
        <v>1</v>
      </c>
      <c r="AJ1620" s="73"/>
      <c r="AK1620" s="57"/>
      <c r="AL1620" s="45"/>
      <c r="AM1620" s="45"/>
      <c r="AN1620" s="45"/>
    </row>
    <row r="1621" spans="1:40" hidden="1" outlineLevel="3" x14ac:dyDescent="0.25">
      <c r="A1621" s="45"/>
      <c r="B1621" s="54"/>
      <c r="C1621" s="47">
        <f t="shared" si="347"/>
        <v>4</v>
      </c>
      <c r="D1621" s="73"/>
      <c r="E1621" s="70"/>
      <c r="F1621" s="70" t="str">
        <f>SUBSTITUTE(F1615,",7)",",13)")</f>
        <v>C(U2,21,13)</v>
      </c>
      <c r="G1621" s="73"/>
      <c r="H1621" s="76"/>
      <c r="I1621" s="9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v>1</v>
      </c>
      <c r="AI1621" s="76">
        <v>1</v>
      </c>
      <c r="AJ1621" s="73"/>
      <c r="AK1621" s="57"/>
      <c r="AL1621" s="45"/>
      <c r="AM1621" s="45"/>
      <c r="AN1621" s="45"/>
    </row>
    <row r="1622" spans="1:40" hidden="1" outlineLevel="3" x14ac:dyDescent="0.25">
      <c r="A1622" s="45"/>
      <c r="B1622" s="54"/>
      <c r="C1622" s="47">
        <f>INT($C$29)+3</f>
        <v>4</v>
      </c>
      <c r="D1622" s="73"/>
      <c r="E1622" s="70"/>
      <c r="F1622" s="70" t="s">
        <v>2080</v>
      </c>
      <c r="G1622" s="73"/>
      <c r="H1622" s="76"/>
      <c r="I1622" s="7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v>1</v>
      </c>
      <c r="AI1622" s="76">
        <v>1</v>
      </c>
      <c r="AJ1622" s="73"/>
      <c r="AK1622" s="57"/>
      <c r="AL1622" s="45"/>
      <c r="AM1622" s="45"/>
      <c r="AN1622" s="45"/>
    </row>
    <row r="1623" spans="1:40" outlineLevel="2" x14ac:dyDescent="0.25">
      <c r="A1623" s="45"/>
      <c r="B1623" s="54"/>
      <c r="C1623" s="47">
        <f>INT($C$29)+2</f>
        <v>3</v>
      </c>
      <c r="D1623" s="73"/>
      <c r="E1623" s="70"/>
      <c r="F1623" s="70" t="s">
        <v>2081</v>
      </c>
      <c r="G1623" s="73"/>
      <c r="H1623" s="76" t="s">
        <v>2765</v>
      </c>
      <c r="I1623" s="76"/>
      <c r="J1623" s="76"/>
      <c r="K1623" s="76"/>
      <c r="L1623" s="76"/>
      <c r="M1623" s="76"/>
      <c r="N1623" s="76"/>
      <c r="O1623" s="76"/>
      <c r="P1623" s="76"/>
      <c r="Q1623" s="76"/>
      <c r="R1623" s="76"/>
      <c r="S1623" s="76"/>
      <c r="T1623" s="76"/>
      <c r="U1623" s="97">
        <v>-8.4959000000000007</v>
      </c>
      <c r="V1623" s="261">
        <f>U1623</f>
        <v>-8.4959000000000007</v>
      </c>
      <c r="W1623" s="261">
        <f>U1623</f>
        <v>-8.4959000000000007</v>
      </c>
      <c r="X1623" s="261">
        <f>V1623</f>
        <v>-8.4959000000000007</v>
      </c>
      <c r="Y1623" s="261">
        <f>V1623</f>
        <v>-8.4959000000000007</v>
      </c>
      <c r="Z1623" s="261">
        <f t="shared" ref="Z1623:AD1624" si="348">Y1623</f>
        <v>-8.4959000000000007</v>
      </c>
      <c r="AA1623" s="261">
        <f t="shared" si="348"/>
        <v>-8.4959000000000007</v>
      </c>
      <c r="AB1623" s="261">
        <f t="shared" si="348"/>
        <v>-8.4959000000000007</v>
      </c>
      <c r="AC1623" s="261">
        <f t="shared" si="348"/>
        <v>-8.4959000000000007</v>
      </c>
      <c r="AD1623" s="261">
        <f t="shared" si="348"/>
        <v>-8.4959000000000007</v>
      </c>
      <c r="AE1623" s="76"/>
      <c r="AF1623" s="97" t="s">
        <v>2766</v>
      </c>
      <c r="AG1623" s="76"/>
      <c r="AH1623" s="97">
        <v>1</v>
      </c>
      <c r="AI1623" s="97">
        <v>1</v>
      </c>
      <c r="AJ1623" s="73"/>
      <c r="AK1623" s="57"/>
      <c r="AL1623" s="45"/>
      <c r="AM1623" s="45"/>
      <c r="AN1623" s="45"/>
    </row>
    <row r="1624" spans="1:40" outlineLevel="2" x14ac:dyDescent="0.25">
      <c r="A1624" s="45"/>
      <c r="B1624" s="54"/>
      <c r="C1624" s="47">
        <f>INT($C$29)+2</f>
        <v>3</v>
      </c>
      <c r="D1624" s="73"/>
      <c r="E1624" s="70"/>
      <c r="F1624" s="70" t="s">
        <v>2082</v>
      </c>
      <c r="G1624" s="73"/>
      <c r="H1624" s="76" t="s">
        <v>2498</v>
      </c>
      <c r="I1624" s="76"/>
      <c r="J1624" s="76"/>
      <c r="K1624" s="76"/>
      <c r="L1624" s="76"/>
      <c r="M1624" s="76"/>
      <c r="N1624" s="76"/>
      <c r="O1624" s="76"/>
      <c r="P1624" s="76"/>
      <c r="Q1624" s="76"/>
      <c r="R1624" s="76"/>
      <c r="S1624" s="76"/>
      <c r="T1624" s="76"/>
      <c r="U1624" s="97">
        <v>1.38185</v>
      </c>
      <c r="V1624" s="261">
        <f>U1624</f>
        <v>1.38185</v>
      </c>
      <c r="W1624" s="261">
        <f>U1624</f>
        <v>1.38185</v>
      </c>
      <c r="X1624" s="261">
        <f>V1624</f>
        <v>1.38185</v>
      </c>
      <c r="Y1624" s="261">
        <f>V1624</f>
        <v>1.38185</v>
      </c>
      <c r="Z1624" s="261">
        <f t="shared" si="348"/>
        <v>1.38185</v>
      </c>
      <c r="AA1624" s="261">
        <f t="shared" si="348"/>
        <v>1.38185</v>
      </c>
      <c r="AB1624" s="261">
        <f t="shared" si="348"/>
        <v>1.38185</v>
      </c>
      <c r="AC1624" s="261">
        <f t="shared" si="348"/>
        <v>1.38185</v>
      </c>
      <c r="AD1624" s="261">
        <f t="shared" si="348"/>
        <v>1.38185</v>
      </c>
      <c r="AE1624" s="76"/>
      <c r="AF1624" s="76"/>
      <c r="AG1624" s="76"/>
      <c r="AH1624" s="97">
        <v>1</v>
      </c>
      <c r="AI1624" s="97">
        <v>1</v>
      </c>
      <c r="AJ1624" s="73"/>
      <c r="AK1624" s="57"/>
      <c r="AL1624" s="45"/>
      <c r="AM1624" s="45"/>
      <c r="AN1624" s="45"/>
    </row>
    <row r="1625" spans="1:40" outlineLevel="3" x14ac:dyDescent="0.25">
      <c r="A1625" s="45"/>
      <c r="B1625" s="54"/>
      <c r="C1625" s="47">
        <f t="shared" ref="C1625:C1636" si="349">INT($C$29)+3</f>
        <v>4</v>
      </c>
      <c r="D1625" s="73"/>
      <c r="E1625" s="70"/>
      <c r="F1625" s="70" t="s">
        <v>2083</v>
      </c>
      <c r="G1625" s="73"/>
      <c r="H1625" s="377" t="s">
        <v>2505</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outlineLevel="3" x14ac:dyDescent="0.25">
      <c r="A1626" s="45"/>
      <c r="B1626" s="54"/>
      <c r="C1626" s="47">
        <f t="shared" si="349"/>
        <v>4</v>
      </c>
      <c r="D1626" s="73"/>
      <c r="E1626" s="70"/>
      <c r="F1626" s="70" t="s">
        <v>2084</v>
      </c>
      <c r="G1626" s="73"/>
      <c r="H1626" s="377" t="s">
        <v>2506</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c r="AF1626" s="76"/>
      <c r="AG1626" s="76"/>
      <c r="AH1626" s="76">
        <v>1</v>
      </c>
      <c r="AI1626" s="76">
        <v>1</v>
      </c>
      <c r="AJ1626" s="73"/>
      <c r="AK1626" s="57"/>
      <c r="AL1626" s="45"/>
      <c r="AM1626" s="45"/>
      <c r="AN1626" s="45"/>
    </row>
    <row r="1627" spans="1:40" outlineLevel="3" x14ac:dyDescent="0.25">
      <c r="A1627" s="45"/>
      <c r="B1627" s="54"/>
      <c r="C1627" s="47">
        <f t="shared" si="349"/>
        <v>4</v>
      </c>
      <c r="D1627" s="73"/>
      <c r="E1627" s="70"/>
      <c r="F1627" s="70" t="s">
        <v>2085</v>
      </c>
      <c r="G1627" s="73"/>
      <c r="H1627" s="377" t="s">
        <v>2507</v>
      </c>
      <c r="I1627" s="76"/>
      <c r="J1627" s="76"/>
      <c r="K1627" s="76"/>
      <c r="L1627" s="76"/>
      <c r="M1627" s="76"/>
      <c r="N1627" s="76"/>
      <c r="O1627" s="76"/>
      <c r="P1627" s="76"/>
      <c r="Q1627" s="76"/>
      <c r="R1627" s="76"/>
      <c r="S1627" s="76"/>
      <c r="T1627" s="76"/>
      <c r="U1627" s="76">
        <v>0</v>
      </c>
      <c r="V1627" s="76">
        <v>0</v>
      </c>
      <c r="W1627" s="76">
        <v>0</v>
      </c>
      <c r="X1627" s="76">
        <v>0</v>
      </c>
      <c r="Y1627" s="76">
        <v>0</v>
      </c>
      <c r="Z1627" s="76">
        <v>0</v>
      </c>
      <c r="AA1627" s="76">
        <v>0</v>
      </c>
      <c r="AB1627" s="76">
        <v>0</v>
      </c>
      <c r="AC1627" s="76">
        <v>0</v>
      </c>
      <c r="AD1627" s="76">
        <v>0</v>
      </c>
      <c r="AE1627" s="76"/>
      <c r="AF1627" s="76"/>
      <c r="AG1627" s="76"/>
      <c r="AH1627" s="76">
        <v>1</v>
      </c>
      <c r="AI1627" s="76">
        <v>1</v>
      </c>
      <c r="AJ1627" s="73"/>
      <c r="AK1627" s="57"/>
      <c r="AL1627" s="45"/>
      <c r="AM1627" s="45"/>
      <c r="AN1627" s="45"/>
    </row>
    <row r="1628" spans="1:40" outlineLevel="3" x14ac:dyDescent="0.25">
      <c r="A1628" s="45"/>
      <c r="B1628" s="54"/>
      <c r="C1628" s="47">
        <f t="shared" si="349"/>
        <v>4</v>
      </c>
      <c r="D1628" s="73"/>
      <c r="E1628" s="70"/>
      <c r="F1628" s="70" t="s">
        <v>2407</v>
      </c>
      <c r="G1628" s="73"/>
      <c r="H1628" s="377" t="s">
        <v>2508</v>
      </c>
      <c r="I1628" s="76"/>
      <c r="J1628" s="76"/>
      <c r="K1628" s="76"/>
      <c r="L1628" s="76"/>
      <c r="M1628" s="76"/>
      <c r="N1628" s="76"/>
      <c r="O1628" s="76"/>
      <c r="P1628" s="76"/>
      <c r="Q1628" s="76"/>
      <c r="R1628" s="76"/>
      <c r="S1628" s="76"/>
      <c r="T1628" s="76"/>
      <c r="U1628" s="76">
        <v>0</v>
      </c>
      <c r="V1628" s="76">
        <v>0</v>
      </c>
      <c r="W1628" s="76">
        <v>0</v>
      </c>
      <c r="X1628" s="76">
        <v>0</v>
      </c>
      <c r="Y1628" s="76">
        <v>0</v>
      </c>
      <c r="Z1628" s="76">
        <v>0</v>
      </c>
      <c r="AA1628" s="76">
        <v>0</v>
      </c>
      <c r="AB1628" s="76">
        <v>0</v>
      </c>
      <c r="AC1628" s="76">
        <v>0</v>
      </c>
      <c r="AD1628" s="76">
        <v>0</v>
      </c>
      <c r="AE1628" s="76"/>
      <c r="AF1628" s="76"/>
      <c r="AG1628" s="76"/>
      <c r="AH1628" s="76">
        <v>1</v>
      </c>
      <c r="AI1628" s="76">
        <v>1</v>
      </c>
      <c r="AJ1628" s="73"/>
      <c r="AK1628" s="57"/>
      <c r="AL1628" s="45"/>
      <c r="AM1628" s="45"/>
      <c r="AN1628" s="45"/>
    </row>
    <row r="1629" spans="1:40" outlineLevel="3" x14ac:dyDescent="0.25">
      <c r="A1629" s="45"/>
      <c r="B1629" s="54"/>
      <c r="C1629" s="47">
        <f t="shared" si="349"/>
        <v>4</v>
      </c>
      <c r="D1629" s="73"/>
      <c r="E1629" s="70"/>
      <c r="F1629" s="70" t="s">
        <v>2408</v>
      </c>
      <c r="G1629" s="73"/>
      <c r="H1629" s="377" t="s">
        <v>2509</v>
      </c>
      <c r="I1629" s="76"/>
      <c r="J1629" s="76"/>
      <c r="K1629" s="76"/>
      <c r="L1629" s="76"/>
      <c r="M1629" s="76"/>
      <c r="N1629" s="76"/>
      <c r="O1629" s="76"/>
      <c r="P1629" s="76"/>
      <c r="Q1629" s="76"/>
      <c r="R1629" s="76"/>
      <c r="S1629" s="76"/>
      <c r="T1629" s="76"/>
      <c r="U1629" s="76">
        <v>0</v>
      </c>
      <c r="V1629" s="76">
        <v>0</v>
      </c>
      <c r="W1629" s="76">
        <v>0</v>
      </c>
      <c r="X1629" s="76">
        <v>0</v>
      </c>
      <c r="Y1629" s="76">
        <v>0</v>
      </c>
      <c r="Z1629" s="76">
        <v>0</v>
      </c>
      <c r="AA1629" s="76">
        <v>0</v>
      </c>
      <c r="AB1629" s="76">
        <v>0</v>
      </c>
      <c r="AC1629" s="76">
        <v>0</v>
      </c>
      <c r="AD1629" s="76">
        <v>0</v>
      </c>
      <c r="AE1629" s="76"/>
      <c r="AF1629" s="76"/>
      <c r="AG1629" s="76"/>
      <c r="AH1629" s="76">
        <v>1</v>
      </c>
      <c r="AI1629" s="76">
        <v>1</v>
      </c>
      <c r="AJ1629" s="73"/>
      <c r="AK1629" s="57"/>
      <c r="AL1629" s="45"/>
      <c r="AM1629" s="45"/>
      <c r="AN1629" s="45"/>
    </row>
    <row r="1630" spans="1:40" outlineLevel="3" x14ac:dyDescent="0.25">
      <c r="A1630" s="45"/>
      <c r="B1630" s="54"/>
      <c r="C1630" s="47">
        <f t="shared" si="349"/>
        <v>4</v>
      </c>
      <c r="D1630" s="73"/>
      <c r="E1630" s="70"/>
      <c r="F1630" s="70" t="s">
        <v>2409</v>
      </c>
      <c r="G1630" s="73"/>
      <c r="H1630" s="377" t="s">
        <v>2510</v>
      </c>
      <c r="I1630" s="76"/>
      <c r="J1630" s="76"/>
      <c r="K1630" s="76"/>
      <c r="L1630" s="76"/>
      <c r="M1630" s="76"/>
      <c r="N1630" s="76"/>
      <c r="O1630" s="76"/>
      <c r="P1630" s="76"/>
      <c r="Q1630" s="76"/>
      <c r="R1630" s="76"/>
      <c r="S1630" s="76"/>
      <c r="T1630" s="76"/>
      <c r="U1630" s="76">
        <v>0</v>
      </c>
      <c r="V1630" s="76">
        <v>0</v>
      </c>
      <c r="W1630" s="76">
        <v>0</v>
      </c>
      <c r="X1630" s="76">
        <v>0</v>
      </c>
      <c r="Y1630" s="76">
        <v>0</v>
      </c>
      <c r="Z1630" s="76">
        <v>0</v>
      </c>
      <c r="AA1630" s="76">
        <v>0</v>
      </c>
      <c r="AB1630" s="76">
        <v>0</v>
      </c>
      <c r="AC1630" s="76">
        <v>0</v>
      </c>
      <c r="AD1630" s="76">
        <v>0</v>
      </c>
      <c r="AE1630" s="76"/>
      <c r="AF1630" s="76"/>
      <c r="AG1630" s="76"/>
      <c r="AH1630" s="76">
        <v>1</v>
      </c>
      <c r="AI1630" s="76">
        <v>1</v>
      </c>
      <c r="AJ1630" s="73"/>
      <c r="AK1630" s="57"/>
      <c r="AL1630" s="45"/>
      <c r="AM1630" s="45"/>
      <c r="AN1630" s="45"/>
    </row>
    <row r="1631" spans="1:40" outlineLevel="3" x14ac:dyDescent="0.25">
      <c r="A1631" s="45"/>
      <c r="B1631" s="54"/>
      <c r="C1631" s="47">
        <f t="shared" si="349"/>
        <v>4</v>
      </c>
      <c r="D1631" s="73"/>
      <c r="E1631" s="70"/>
      <c r="F1631" s="70" t="str">
        <f>SUBSTITUTE(F1627,",4)",",8)")</f>
        <v>C(U2,22,8)</v>
      </c>
      <c r="G1631" s="73"/>
      <c r="H1631" s="377" t="s">
        <v>2772</v>
      </c>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outlineLevel="3" x14ac:dyDescent="0.25">
      <c r="A1632" s="45"/>
      <c r="B1632" s="54"/>
      <c r="C1632" s="47">
        <f t="shared" si="349"/>
        <v>4</v>
      </c>
      <c r="D1632" s="73"/>
      <c r="E1632" s="70"/>
      <c r="F1632" s="70" t="str">
        <f>SUBSTITUTE(F1628,",5)",",9)")</f>
        <v>C(U2,22,9)</v>
      </c>
      <c r="G1632" s="73"/>
      <c r="H1632" s="377" t="s">
        <v>2773</v>
      </c>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outlineLevel="3" x14ac:dyDescent="0.25">
      <c r="A1633" s="45"/>
      <c r="B1633" s="54"/>
      <c r="C1633" s="47">
        <f t="shared" si="349"/>
        <v>4</v>
      </c>
      <c r="D1633" s="73"/>
      <c r="E1633" s="70"/>
      <c r="F1633" s="70" t="str">
        <f>SUBSTITUTE(F1629,",6)",",10)")</f>
        <v>C(U2,22,10)</v>
      </c>
      <c r="G1633" s="73"/>
      <c r="H1633" s="377" t="s">
        <v>2774</v>
      </c>
      <c r="I1633" s="9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outlineLevel="3" x14ac:dyDescent="0.25">
      <c r="A1634" s="45"/>
      <c r="B1634" s="54"/>
      <c r="C1634" s="47">
        <f t="shared" si="349"/>
        <v>4</v>
      </c>
      <c r="D1634" s="73"/>
      <c r="E1634" s="70"/>
      <c r="F1634" s="70" t="str">
        <f>SUBSTITUTE(F1630,",7)",",11)")</f>
        <v>C(U2,22,11)</v>
      </c>
      <c r="G1634" s="73"/>
      <c r="H1634" s="377" t="s">
        <v>3376</v>
      </c>
      <c r="I1634" s="9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outlineLevel="3" x14ac:dyDescent="0.25">
      <c r="A1635" s="45"/>
      <c r="B1635" s="54"/>
      <c r="C1635" s="47">
        <f t="shared" si="349"/>
        <v>4</v>
      </c>
      <c r="D1635" s="73"/>
      <c r="E1635" s="70"/>
      <c r="F1635" s="70" t="str">
        <f>SUBSTITUTE(F1629,",6)",",12)")</f>
        <v>C(U2,22,12)</v>
      </c>
      <c r="G1635" s="73"/>
      <c r="H1635" s="377" t="s">
        <v>3377</v>
      </c>
      <c r="I1635" s="9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outlineLevel="3" x14ac:dyDescent="0.25">
      <c r="A1636" s="45"/>
      <c r="B1636" s="54"/>
      <c r="C1636" s="47">
        <f t="shared" si="349"/>
        <v>4</v>
      </c>
      <c r="D1636" s="73"/>
      <c r="E1636" s="70"/>
      <c r="F1636" s="70" t="str">
        <f>SUBSTITUTE(F1630,",7)",",13)")</f>
        <v>C(U2,22,13)</v>
      </c>
      <c r="G1636" s="73"/>
      <c r="H1636" s="377" t="s">
        <v>3378</v>
      </c>
      <c r="I1636" s="9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outlineLevel="2" x14ac:dyDescent="0.25">
      <c r="A1637" s="45"/>
      <c r="B1637" s="54"/>
      <c r="C1637" s="47">
        <f>INT($C$29)+2</f>
        <v>3</v>
      </c>
      <c r="D1637" s="73"/>
      <c r="E1637" s="70"/>
      <c r="F1637" s="70" t="s">
        <v>2086</v>
      </c>
      <c r="G1637" s="73"/>
      <c r="H1637" s="76" t="s">
        <v>2657</v>
      </c>
      <c r="I1637" s="76"/>
      <c r="J1637" s="76"/>
      <c r="K1637" s="76"/>
      <c r="L1637" s="76"/>
      <c r="M1637" s="76"/>
      <c r="N1637" s="76"/>
      <c r="O1637" s="76"/>
      <c r="P1637" s="76"/>
      <c r="Q1637" s="76"/>
      <c r="R1637" s="76"/>
      <c r="S1637" s="76"/>
      <c r="T1637" s="76"/>
      <c r="U1637" s="97">
        <v>7.50061</v>
      </c>
      <c r="V1637" s="261">
        <f>U1637</f>
        <v>7.50061</v>
      </c>
      <c r="W1637" s="261">
        <f t="shared" ref="W1637:X1640" si="350">U1637</f>
        <v>7.50061</v>
      </c>
      <c r="X1637" s="261">
        <f t="shared" si="350"/>
        <v>7.50061</v>
      </c>
      <c r="Y1637" s="261">
        <f>V1637</f>
        <v>7.50061</v>
      </c>
      <c r="Z1637" s="261">
        <f>Y1637</f>
        <v>7.50061</v>
      </c>
      <c r="AA1637" s="261">
        <f>Z1637</f>
        <v>7.50061</v>
      </c>
      <c r="AB1637" s="261">
        <f>AA1637</f>
        <v>7.50061</v>
      </c>
      <c r="AC1637" s="261">
        <f>AB1637</f>
        <v>7.50061</v>
      </c>
      <c r="AD1637" s="261">
        <f>AC1637</f>
        <v>7.50061</v>
      </c>
      <c r="AE1637" s="76"/>
      <c r="AF1637" s="97"/>
      <c r="AG1637" s="76"/>
      <c r="AH1637" s="97">
        <v>1</v>
      </c>
      <c r="AI1637" s="97">
        <v>1</v>
      </c>
      <c r="AJ1637" s="73"/>
      <c r="AK1637" s="57"/>
      <c r="AL1637" s="45"/>
      <c r="AM1637" s="45"/>
      <c r="AN1637" s="45"/>
    </row>
    <row r="1638" spans="1:40" outlineLevel="2" x14ac:dyDescent="0.25">
      <c r="A1638" s="45"/>
      <c r="B1638" s="54"/>
      <c r="C1638" s="47">
        <f>INT($C$29)+2</f>
        <v>3</v>
      </c>
      <c r="D1638" s="73"/>
      <c r="E1638" s="70"/>
      <c r="F1638" s="70" t="s">
        <v>2410</v>
      </c>
      <c r="G1638" s="73"/>
      <c r="H1638" s="76" t="s">
        <v>2768</v>
      </c>
      <c r="I1638" s="76"/>
      <c r="J1638" s="76"/>
      <c r="K1638" s="76"/>
      <c r="L1638" s="76"/>
      <c r="M1638" s="76"/>
      <c r="N1638" s="76"/>
      <c r="O1638" s="76"/>
      <c r="P1638" s="76"/>
      <c r="Q1638" s="76"/>
      <c r="R1638" s="76"/>
      <c r="S1638" s="76"/>
      <c r="T1638" s="76"/>
      <c r="U1638" s="97">
        <f>AA1638</f>
        <v>-4.5568499999999998</v>
      </c>
      <c r="V1638" s="255">
        <f>U1638</f>
        <v>-4.5568499999999998</v>
      </c>
      <c r="W1638" s="255">
        <f t="shared" si="350"/>
        <v>-4.5568499999999998</v>
      </c>
      <c r="X1638" s="255">
        <f t="shared" si="350"/>
        <v>-4.5568499999999998</v>
      </c>
      <c r="Y1638" s="255">
        <f>V1638</f>
        <v>-4.5568499999999998</v>
      </c>
      <c r="Z1638" s="255">
        <f>AA1638</f>
        <v>-4.5568499999999998</v>
      </c>
      <c r="AA1638" s="97">
        <f>-(4.55685)</f>
        <v>-4.5568499999999998</v>
      </c>
      <c r="AB1638" s="255">
        <f t="shared" ref="AB1638:AD1640" si="351">AA1638</f>
        <v>-4.5568499999999998</v>
      </c>
      <c r="AC1638" s="255">
        <f t="shared" si="351"/>
        <v>-4.5568499999999998</v>
      </c>
      <c r="AD1638" s="255">
        <f t="shared" si="351"/>
        <v>-4.5568499999999998</v>
      </c>
      <c r="AE1638" s="76"/>
      <c r="AF1638" s="97" t="s">
        <v>3374</v>
      </c>
      <c r="AG1638" s="76"/>
      <c r="AH1638" s="76">
        <v>1</v>
      </c>
      <c r="AI1638" s="76">
        <v>1</v>
      </c>
      <c r="AJ1638" s="73"/>
      <c r="AK1638" s="57"/>
      <c r="AL1638" s="45"/>
      <c r="AM1638" s="45"/>
      <c r="AN1638" s="45"/>
    </row>
    <row r="1639" spans="1:40" outlineLevel="2" x14ac:dyDescent="0.25">
      <c r="A1639" s="45"/>
      <c r="B1639" s="54"/>
      <c r="C1639" s="47">
        <f>INT($C$29)+2</f>
        <v>3</v>
      </c>
      <c r="D1639" s="73"/>
      <c r="E1639" s="70"/>
      <c r="F1639" s="70" t="s">
        <v>2411</v>
      </c>
      <c r="G1639" s="73"/>
      <c r="H1639" s="76" t="s">
        <v>2498</v>
      </c>
      <c r="I1639" s="76"/>
      <c r="J1639" s="76"/>
      <c r="K1639" s="76"/>
      <c r="L1639" s="76"/>
      <c r="M1639" s="76"/>
      <c r="N1639" s="76"/>
      <c r="O1639" s="76"/>
      <c r="P1639" s="76"/>
      <c r="Q1639" s="76"/>
      <c r="R1639" s="76"/>
      <c r="S1639" s="76"/>
      <c r="T1639" s="76"/>
      <c r="U1639" s="97">
        <f>AA1639</f>
        <v>0.69092500000000001</v>
      </c>
      <c r="V1639" s="255">
        <f>U1639</f>
        <v>0.69092500000000001</v>
      </c>
      <c r="W1639" s="255">
        <f t="shared" si="350"/>
        <v>0.69092500000000001</v>
      </c>
      <c r="X1639" s="255">
        <f t="shared" si="350"/>
        <v>0.69092500000000001</v>
      </c>
      <c r="Y1639" s="255">
        <f>V1639</f>
        <v>0.69092500000000001</v>
      </c>
      <c r="Z1639" s="255">
        <f>AA1639</f>
        <v>0.69092500000000001</v>
      </c>
      <c r="AA1639" s="97">
        <f>-(-0.690925)</f>
        <v>0.69092500000000001</v>
      </c>
      <c r="AB1639" s="255">
        <f t="shared" si="351"/>
        <v>0.69092500000000001</v>
      </c>
      <c r="AC1639" s="255">
        <f t="shared" si="351"/>
        <v>0.69092500000000001</v>
      </c>
      <c r="AD1639" s="255">
        <f t="shared" si="351"/>
        <v>0.69092500000000001</v>
      </c>
      <c r="AE1639" s="76"/>
      <c r="AF1639" s="76"/>
      <c r="AG1639" s="76"/>
      <c r="AH1639" s="76">
        <v>1</v>
      </c>
      <c r="AI1639" s="76">
        <v>1</v>
      </c>
      <c r="AJ1639" s="73"/>
      <c r="AK1639" s="57"/>
      <c r="AL1639" s="45"/>
      <c r="AM1639" s="45"/>
      <c r="AN1639" s="45"/>
    </row>
    <row r="1640" spans="1:40" outlineLevel="2" x14ac:dyDescent="0.25">
      <c r="A1640" s="45"/>
      <c r="B1640" s="54"/>
      <c r="C1640" s="47">
        <f t="shared" ref="C1640:C1651" si="352">INT($C$29)+3</f>
        <v>4</v>
      </c>
      <c r="D1640" s="73"/>
      <c r="E1640" s="70"/>
      <c r="F1640" s="70" t="s">
        <v>2412</v>
      </c>
      <c r="G1640" s="73"/>
      <c r="H1640" s="378" t="s">
        <v>2769</v>
      </c>
      <c r="I1640" s="76"/>
      <c r="J1640" s="76"/>
      <c r="K1640" s="76"/>
      <c r="L1640" s="76"/>
      <c r="M1640" s="76"/>
      <c r="N1640" s="76"/>
      <c r="O1640" s="76"/>
      <c r="P1640" s="76"/>
      <c r="Q1640" s="76"/>
      <c r="R1640" s="76"/>
      <c r="S1640" s="76"/>
      <c r="T1640" s="76"/>
      <c r="U1640" s="97">
        <f>AA1640</f>
        <v>-0.15570000000000001</v>
      </c>
      <c r="V1640" s="255">
        <f>U1640</f>
        <v>-0.15570000000000001</v>
      </c>
      <c r="W1640" s="255">
        <f t="shared" si="350"/>
        <v>-0.15570000000000001</v>
      </c>
      <c r="X1640" s="255">
        <f t="shared" si="350"/>
        <v>-0.15570000000000001</v>
      </c>
      <c r="Y1640" s="255">
        <f>V1640</f>
        <v>-0.15570000000000001</v>
      </c>
      <c r="Z1640" s="255">
        <f>AA1640</f>
        <v>-0.15570000000000001</v>
      </c>
      <c r="AA1640" s="97">
        <f>-(0.1557)</f>
        <v>-0.15570000000000001</v>
      </c>
      <c r="AB1640" s="255">
        <f t="shared" si="351"/>
        <v>-0.15570000000000001</v>
      </c>
      <c r="AC1640" s="255">
        <f t="shared" si="351"/>
        <v>-0.15570000000000001</v>
      </c>
      <c r="AD1640" s="255">
        <f t="shared" si="351"/>
        <v>-0.15570000000000001</v>
      </c>
      <c r="AE1640" s="76"/>
      <c r="AF1640" s="97"/>
      <c r="AG1640" s="76"/>
      <c r="AH1640" s="97">
        <v>1</v>
      </c>
      <c r="AI1640" s="97">
        <v>1</v>
      </c>
      <c r="AJ1640" s="73"/>
      <c r="AK1640" s="57"/>
      <c r="AL1640" s="45"/>
      <c r="AM1640" s="45"/>
      <c r="AN1640" s="45"/>
    </row>
    <row r="1641" spans="1:40" outlineLevel="3" collapsed="1" x14ac:dyDescent="0.25">
      <c r="A1641" s="45"/>
      <c r="B1641" s="54"/>
      <c r="C1641" s="47">
        <f t="shared" si="352"/>
        <v>4</v>
      </c>
      <c r="D1641" s="73"/>
      <c r="E1641" s="70"/>
      <c r="F1641" s="70" t="s">
        <v>2413</v>
      </c>
      <c r="G1641" s="73"/>
      <c r="H1641" s="378" t="s">
        <v>2770</v>
      </c>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outlineLevel="3" x14ac:dyDescent="0.25">
      <c r="A1642" s="45"/>
      <c r="B1642" s="54"/>
      <c r="C1642" s="47">
        <f t="shared" si="352"/>
        <v>4</v>
      </c>
      <c r="D1642" s="73"/>
      <c r="E1642" s="70"/>
      <c r="F1642" s="70" t="s">
        <v>2414</v>
      </c>
      <c r="G1642" s="73"/>
      <c r="H1642" s="377" t="s">
        <v>2507</v>
      </c>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outlineLevel="3" x14ac:dyDescent="0.25">
      <c r="A1643" s="45"/>
      <c r="B1643" s="54"/>
      <c r="C1643" s="47">
        <f t="shared" si="352"/>
        <v>4</v>
      </c>
      <c r="D1643" s="73"/>
      <c r="E1643" s="70"/>
      <c r="F1643" s="70" t="s">
        <v>2415</v>
      </c>
      <c r="G1643" s="73"/>
      <c r="H1643" s="377" t="s">
        <v>2508</v>
      </c>
      <c r="I1643" s="7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outlineLevel="3" x14ac:dyDescent="0.25">
      <c r="A1644" s="45"/>
      <c r="B1644" s="54"/>
      <c r="C1644" s="47">
        <f t="shared" si="352"/>
        <v>4</v>
      </c>
      <c r="D1644" s="73"/>
      <c r="E1644" s="70"/>
      <c r="F1644" s="70" t="s">
        <v>2416</v>
      </c>
      <c r="G1644" s="73"/>
      <c r="H1644" s="377" t="s">
        <v>2509</v>
      </c>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outlineLevel="3" x14ac:dyDescent="0.25">
      <c r="A1645" s="45"/>
      <c r="B1645" s="54"/>
      <c r="C1645" s="47">
        <f t="shared" si="352"/>
        <v>4</v>
      </c>
      <c r="D1645" s="73"/>
      <c r="E1645" s="70"/>
      <c r="F1645" s="70" t="s">
        <v>2417</v>
      </c>
      <c r="G1645" s="73"/>
      <c r="H1645" s="377" t="s">
        <v>2510</v>
      </c>
      <c r="I1645" s="7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outlineLevel="3" x14ac:dyDescent="0.25">
      <c r="A1646" s="45"/>
      <c r="B1646" s="54"/>
      <c r="C1646" s="47">
        <f t="shared" si="352"/>
        <v>4</v>
      </c>
      <c r="D1646" s="73"/>
      <c r="E1646" s="70"/>
      <c r="F1646" s="70" t="str">
        <f>SUBSTITUTE(F1642,",4)",",8)")</f>
        <v>C(U2,23,8)</v>
      </c>
      <c r="G1646" s="73"/>
      <c r="H1646" s="377" t="s">
        <v>2772</v>
      </c>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3" x14ac:dyDescent="0.25">
      <c r="A1647" s="45"/>
      <c r="B1647" s="54"/>
      <c r="C1647" s="47">
        <f t="shared" si="352"/>
        <v>4</v>
      </c>
      <c r="D1647" s="73"/>
      <c r="E1647" s="70"/>
      <c r="F1647" s="70" t="str">
        <f>SUBSTITUTE(F1643,",5)",",9)")</f>
        <v>C(U2,23,9)</v>
      </c>
      <c r="G1647" s="73"/>
      <c r="H1647" s="377" t="s">
        <v>2773</v>
      </c>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outlineLevel="3" x14ac:dyDescent="0.25">
      <c r="A1648" s="45"/>
      <c r="B1648" s="54"/>
      <c r="C1648" s="47">
        <f t="shared" si="352"/>
        <v>4</v>
      </c>
      <c r="D1648" s="73"/>
      <c r="E1648" s="70"/>
      <c r="F1648" s="70" t="str">
        <f>SUBSTITUTE(F1644,",6)",",10)")</f>
        <v>C(U2,23,10)</v>
      </c>
      <c r="G1648" s="73"/>
      <c r="H1648" s="377" t="s">
        <v>2774</v>
      </c>
      <c r="I1648" s="9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v>1</v>
      </c>
      <c r="AI1648" s="76">
        <v>1</v>
      </c>
      <c r="AJ1648" s="73"/>
      <c r="AK1648" s="57"/>
      <c r="AL1648" s="45"/>
      <c r="AM1648" s="45"/>
      <c r="AN1648" s="45"/>
    </row>
    <row r="1649" spans="1:40" outlineLevel="2" x14ac:dyDescent="0.25">
      <c r="A1649" s="45"/>
      <c r="B1649" s="54"/>
      <c r="C1649" s="47">
        <f t="shared" si="352"/>
        <v>4</v>
      </c>
      <c r="D1649" s="73"/>
      <c r="E1649" s="70"/>
      <c r="F1649" s="70" t="str">
        <f>SUBSTITUTE(F1645,",7)",",11)")</f>
        <v>C(U2,23,11)</v>
      </c>
      <c r="G1649" s="73"/>
      <c r="H1649" s="378" t="s">
        <v>2825</v>
      </c>
      <c r="I1649" s="96"/>
      <c r="J1649" s="76"/>
      <c r="K1649" s="76"/>
      <c r="L1649" s="76"/>
      <c r="M1649" s="76"/>
      <c r="N1649" s="76"/>
      <c r="O1649" s="76"/>
      <c r="P1649" s="76"/>
      <c r="Q1649" s="76"/>
      <c r="R1649" s="76"/>
      <c r="S1649" s="76"/>
      <c r="T1649" s="76"/>
      <c r="U1649" s="337">
        <f t="shared" ref="U1649:AD1651" si="353">-U$1638/(2*U$1639)</f>
        <v>3.2976444621340955</v>
      </c>
      <c r="V1649" s="337">
        <f t="shared" si="353"/>
        <v>3.2976444621340955</v>
      </c>
      <c r="W1649" s="337">
        <f t="shared" si="353"/>
        <v>3.2976444621340955</v>
      </c>
      <c r="X1649" s="337">
        <f t="shared" si="353"/>
        <v>3.2976444621340955</v>
      </c>
      <c r="Y1649" s="337">
        <f t="shared" si="353"/>
        <v>3.2976444621340955</v>
      </c>
      <c r="Z1649" s="337">
        <f t="shared" si="353"/>
        <v>3.2976444621340955</v>
      </c>
      <c r="AA1649" s="337">
        <f t="shared" si="353"/>
        <v>3.2976444621340955</v>
      </c>
      <c r="AB1649" s="337">
        <f t="shared" si="353"/>
        <v>3.2976444621340955</v>
      </c>
      <c r="AC1649" s="337">
        <f t="shared" si="353"/>
        <v>3.2976444621340955</v>
      </c>
      <c r="AD1649" s="337">
        <f t="shared" si="353"/>
        <v>3.2976444621340955</v>
      </c>
      <c r="AE1649" s="76"/>
      <c r="AF1649" s="246" t="s">
        <v>3393</v>
      </c>
      <c r="AG1649" s="76"/>
      <c r="AH1649" s="76">
        <v>1</v>
      </c>
      <c r="AI1649" s="76">
        <v>1</v>
      </c>
      <c r="AJ1649" s="73"/>
      <c r="AK1649" s="57"/>
      <c r="AL1649" s="45"/>
      <c r="AM1649" s="45"/>
      <c r="AN1649" s="45"/>
    </row>
    <row r="1650" spans="1:40" outlineLevel="3" x14ac:dyDescent="0.25">
      <c r="A1650" s="45"/>
      <c r="B1650" s="54"/>
      <c r="C1650" s="47">
        <f t="shared" si="352"/>
        <v>4</v>
      </c>
      <c r="D1650" s="73"/>
      <c r="E1650" s="70"/>
      <c r="F1650" s="70" t="str">
        <f>SUBSTITUTE(F1644,",6)",",12)")</f>
        <v>C(U2,23,12)</v>
      </c>
      <c r="G1650" s="73"/>
      <c r="H1650" s="76"/>
      <c r="I1650" s="9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v>1</v>
      </c>
      <c r="AI1650" s="76">
        <v>1</v>
      </c>
      <c r="AJ1650" s="73"/>
      <c r="AK1650" s="57"/>
      <c r="AL1650" s="45"/>
      <c r="AM1650" s="45"/>
      <c r="AN1650" s="45"/>
    </row>
    <row r="1651" spans="1:40" outlineLevel="3" x14ac:dyDescent="0.25">
      <c r="A1651" s="45"/>
      <c r="B1651" s="54"/>
      <c r="C1651" s="47">
        <f t="shared" si="352"/>
        <v>4</v>
      </c>
      <c r="D1651" s="73"/>
      <c r="E1651" s="70"/>
      <c r="F1651" s="70" t="str">
        <f>SUBSTITUTE(F1645,",7)",",13)")</f>
        <v>C(U2,23,13)</v>
      </c>
      <c r="G1651" s="73"/>
      <c r="H1651" s="378" t="s">
        <v>2825</v>
      </c>
      <c r="I1651" s="96"/>
      <c r="J1651" s="76"/>
      <c r="K1651" s="76"/>
      <c r="L1651" s="76"/>
      <c r="M1651" s="76"/>
      <c r="N1651" s="76"/>
      <c r="O1651" s="76"/>
      <c r="P1651" s="76"/>
      <c r="Q1651" s="76"/>
      <c r="R1651" s="76"/>
      <c r="S1651" s="76"/>
      <c r="T1651" s="76"/>
      <c r="U1651" s="337">
        <f t="shared" si="353"/>
        <v>3.2976444621340955</v>
      </c>
      <c r="V1651" s="337">
        <f t="shared" si="353"/>
        <v>3.2976444621340955</v>
      </c>
      <c r="W1651" s="337">
        <f t="shared" si="353"/>
        <v>3.2976444621340955</v>
      </c>
      <c r="X1651" s="337">
        <f t="shared" si="353"/>
        <v>3.2976444621340955</v>
      </c>
      <c r="Y1651" s="337">
        <f t="shared" si="353"/>
        <v>3.2976444621340955</v>
      </c>
      <c r="Z1651" s="337">
        <f t="shared" si="353"/>
        <v>3.2976444621340955</v>
      </c>
      <c r="AA1651" s="337">
        <f t="shared" si="353"/>
        <v>3.2976444621340955</v>
      </c>
      <c r="AB1651" s="337">
        <f t="shared" si="353"/>
        <v>3.2976444621340955</v>
      </c>
      <c r="AC1651" s="337">
        <f t="shared" si="353"/>
        <v>3.2976444621340955</v>
      </c>
      <c r="AD1651" s="337">
        <f t="shared" si="353"/>
        <v>3.2976444621340955</v>
      </c>
      <c r="AE1651" s="76"/>
      <c r="AF1651" s="76"/>
      <c r="AG1651" s="76"/>
      <c r="AH1651" s="76">
        <v>1</v>
      </c>
      <c r="AI1651" s="76">
        <v>1</v>
      </c>
      <c r="AJ1651" s="73"/>
      <c r="AK1651" s="57"/>
      <c r="AL1651" s="45"/>
      <c r="AM1651" s="45"/>
      <c r="AN1651" s="45"/>
    </row>
    <row r="1652" spans="1:40" outlineLevel="2" x14ac:dyDescent="0.25">
      <c r="A1652" s="45"/>
      <c r="B1652" s="54"/>
      <c r="C1652" s="47">
        <f>INT($C$29)+2</f>
        <v>3</v>
      </c>
      <c r="D1652" s="73"/>
      <c r="E1652" s="70"/>
      <c r="F1652" s="70" t="s">
        <v>2418</v>
      </c>
      <c r="G1652" s="73"/>
      <c r="H1652" s="76" t="s">
        <v>2771</v>
      </c>
      <c r="I1652" s="76"/>
      <c r="J1652" s="76"/>
      <c r="K1652" s="76"/>
      <c r="L1652" s="76"/>
      <c r="M1652" s="76"/>
      <c r="N1652" s="76"/>
      <c r="O1652" s="76"/>
      <c r="P1652" s="76"/>
      <c r="Q1652" s="76"/>
      <c r="R1652" s="76"/>
      <c r="S1652" s="76"/>
      <c r="T1652" s="76"/>
      <c r="U1652" s="97">
        <f>AA1652-(1.61859)</f>
        <v>2.0276899999999998</v>
      </c>
      <c r="V1652" s="255">
        <f t="shared" ref="V1652:V1657" si="354">U1652</f>
        <v>2.0276899999999998</v>
      </c>
      <c r="W1652" s="255">
        <f t="shared" ref="W1652:X1657" si="355">U1652</f>
        <v>2.0276899999999998</v>
      </c>
      <c r="X1652" s="255">
        <f t="shared" si="355"/>
        <v>2.0276899999999998</v>
      </c>
      <c r="Y1652" s="255">
        <f t="shared" ref="Y1652:Y1657" si="356">V1652</f>
        <v>2.0276899999999998</v>
      </c>
      <c r="Z1652" s="255">
        <f t="shared" ref="Z1652:Z1657" si="357">AA1652</f>
        <v>3.64628</v>
      </c>
      <c r="AA1652" s="97">
        <f>-(-3.64628)</f>
        <v>3.64628</v>
      </c>
      <c r="AB1652" s="255">
        <f t="shared" ref="AB1652:AD1657" si="358">AA1652</f>
        <v>3.64628</v>
      </c>
      <c r="AC1652" s="255">
        <f t="shared" si="358"/>
        <v>3.64628</v>
      </c>
      <c r="AD1652" s="255">
        <f t="shared" si="358"/>
        <v>3.64628</v>
      </c>
      <c r="AE1652" s="76"/>
      <c r="AF1652" s="97"/>
      <c r="AG1652" s="76"/>
      <c r="AH1652" s="97">
        <v>1</v>
      </c>
      <c r="AI1652" s="97">
        <v>1</v>
      </c>
      <c r="AJ1652" s="73"/>
      <c r="AK1652" s="57"/>
      <c r="AL1652" s="45"/>
      <c r="AM1652" s="45"/>
      <c r="AN1652" s="45"/>
    </row>
    <row r="1653" spans="1:40" outlineLevel="2" x14ac:dyDescent="0.25">
      <c r="A1653" s="45"/>
      <c r="B1653" s="54"/>
      <c r="C1653" s="47">
        <f>INT($C$29)+2</f>
        <v>3</v>
      </c>
      <c r="D1653" s="73"/>
      <c r="E1653" s="70"/>
      <c r="F1653" s="70" t="s">
        <v>2419</v>
      </c>
      <c r="G1653" s="73"/>
      <c r="H1653" s="76" t="s">
        <v>2485</v>
      </c>
      <c r="I1653" s="76"/>
      <c r="J1653" s="76"/>
      <c r="K1653" s="76"/>
      <c r="L1653" s="76"/>
      <c r="M1653" s="76"/>
      <c r="N1653" s="76"/>
      <c r="O1653" s="76"/>
      <c r="P1653" s="76"/>
      <c r="Q1653" s="76"/>
      <c r="R1653" s="76"/>
      <c r="S1653" s="76"/>
      <c r="T1653" s="76"/>
      <c r="U1653" s="97">
        <v>-0.43659999999999999</v>
      </c>
      <c r="V1653" s="255">
        <f t="shared" si="354"/>
        <v>-0.43659999999999999</v>
      </c>
      <c r="W1653" s="255">
        <f t="shared" si="355"/>
        <v>-0.43659999999999999</v>
      </c>
      <c r="X1653" s="255">
        <f t="shared" si="355"/>
        <v>-0.43659999999999999</v>
      </c>
      <c r="Y1653" s="255">
        <f t="shared" si="356"/>
        <v>-0.43659999999999999</v>
      </c>
      <c r="Z1653" s="255">
        <f t="shared" si="357"/>
        <v>-0.54688000000000003</v>
      </c>
      <c r="AA1653" s="97">
        <v>-0.54688000000000003</v>
      </c>
      <c r="AB1653" s="255">
        <f t="shared" si="358"/>
        <v>-0.54688000000000003</v>
      </c>
      <c r="AC1653" s="255">
        <f t="shared" si="358"/>
        <v>-0.54688000000000003</v>
      </c>
      <c r="AD1653" s="255">
        <f t="shared" si="358"/>
        <v>-0.54688000000000003</v>
      </c>
      <c r="AE1653" s="76"/>
      <c r="AF1653" s="97" t="s">
        <v>2584</v>
      </c>
      <c r="AG1653" s="76"/>
      <c r="AH1653" s="97">
        <v>1</v>
      </c>
      <c r="AI1653" s="97">
        <v>1</v>
      </c>
      <c r="AJ1653" s="73"/>
      <c r="AK1653" s="57"/>
      <c r="AL1653" s="45"/>
      <c r="AM1653" s="45"/>
      <c r="AN1653" s="45"/>
    </row>
    <row r="1654" spans="1:40" outlineLevel="2" x14ac:dyDescent="0.25">
      <c r="A1654" s="45"/>
      <c r="B1654" s="54"/>
      <c r="C1654" s="47">
        <f>INT($C$29)+2</f>
        <v>3</v>
      </c>
      <c r="D1654" s="73"/>
      <c r="E1654" s="70"/>
      <c r="F1654" s="70" t="s">
        <v>2420</v>
      </c>
      <c r="G1654" s="73"/>
      <c r="H1654" s="76" t="s">
        <v>2499</v>
      </c>
      <c r="I1654" s="76"/>
      <c r="J1654" s="76"/>
      <c r="K1654" s="76"/>
      <c r="L1654" s="76"/>
      <c r="M1654" s="76"/>
      <c r="N1654" s="76"/>
      <c r="O1654" s="76"/>
      <c r="P1654" s="76"/>
      <c r="Q1654" s="76"/>
      <c r="R1654" s="76"/>
      <c r="S1654" s="76"/>
      <c r="T1654" s="76"/>
      <c r="U1654" s="97">
        <v>3.7200000000000002E-3</v>
      </c>
      <c r="V1654" s="255">
        <f t="shared" si="354"/>
        <v>3.7200000000000002E-3</v>
      </c>
      <c r="W1654" s="255">
        <f t="shared" si="355"/>
        <v>3.7200000000000002E-3</v>
      </c>
      <c r="X1654" s="255">
        <f t="shared" si="355"/>
        <v>3.7200000000000002E-3</v>
      </c>
      <c r="Y1654" s="255">
        <f t="shared" si="356"/>
        <v>3.7200000000000002E-3</v>
      </c>
      <c r="Z1654" s="255">
        <f t="shared" si="357"/>
        <v>5.4739999999999997E-3</v>
      </c>
      <c r="AA1654" s="97">
        <v>5.4739999999999997E-3</v>
      </c>
      <c r="AB1654" s="255">
        <f t="shared" si="358"/>
        <v>5.4739999999999997E-3</v>
      </c>
      <c r="AC1654" s="255">
        <f t="shared" si="358"/>
        <v>5.4739999999999997E-3</v>
      </c>
      <c r="AD1654" s="255">
        <f t="shared" si="358"/>
        <v>5.4739999999999997E-3</v>
      </c>
      <c r="AE1654" s="76"/>
      <c r="AF1654" s="97" t="s">
        <v>3375</v>
      </c>
      <c r="AG1654" s="76"/>
      <c r="AH1654" s="97">
        <v>1</v>
      </c>
      <c r="AI1654" s="97">
        <v>1</v>
      </c>
      <c r="AJ1654" s="73"/>
      <c r="AK1654" s="57"/>
      <c r="AL1654" s="45"/>
      <c r="AM1654" s="45"/>
      <c r="AN1654" s="45"/>
    </row>
    <row r="1655" spans="1:40" outlineLevel="2" x14ac:dyDescent="0.25">
      <c r="A1655" s="45"/>
      <c r="B1655" s="54"/>
      <c r="C1655" s="47">
        <f t="shared" ref="C1655:C1666" si="359">INT($C$29)+3</f>
        <v>4</v>
      </c>
      <c r="D1655" s="73"/>
      <c r="E1655" s="70"/>
      <c r="F1655" s="70" t="s">
        <v>2421</v>
      </c>
      <c r="G1655" s="73"/>
      <c r="H1655" s="378" t="s">
        <v>2817</v>
      </c>
      <c r="I1655" s="76"/>
      <c r="J1655" s="76"/>
      <c r="K1655" s="76"/>
      <c r="L1655" s="76"/>
      <c r="M1655" s="76"/>
      <c r="N1655" s="76"/>
      <c r="O1655" s="76"/>
      <c r="P1655" s="76"/>
      <c r="Q1655" s="76"/>
      <c r="R1655" s="76"/>
      <c r="S1655" s="76"/>
      <c r="T1655" s="76"/>
      <c r="U1655" s="97">
        <v>-5.1499999999999997E-2</v>
      </c>
      <c r="V1655" s="255">
        <f t="shared" si="354"/>
        <v>-5.1499999999999997E-2</v>
      </c>
      <c r="W1655" s="255">
        <f t="shared" si="355"/>
        <v>-5.1499999999999997E-2</v>
      </c>
      <c r="X1655" s="255">
        <f t="shared" si="355"/>
        <v>-5.1499999999999997E-2</v>
      </c>
      <c r="Y1655" s="255">
        <f t="shared" si="356"/>
        <v>-5.1499999999999997E-2</v>
      </c>
      <c r="Z1655" s="255">
        <f t="shared" si="357"/>
        <v>-2.75E-2</v>
      </c>
      <c r="AA1655" s="97">
        <v>-2.75E-2</v>
      </c>
      <c r="AB1655" s="255">
        <f t="shared" si="358"/>
        <v>-2.75E-2</v>
      </c>
      <c r="AC1655" s="255">
        <f t="shared" si="358"/>
        <v>-2.75E-2</v>
      </c>
      <c r="AD1655" s="255">
        <f t="shared" si="358"/>
        <v>-2.75E-2</v>
      </c>
      <c r="AE1655" s="76"/>
      <c r="AF1655" s="76"/>
      <c r="AG1655" s="76"/>
      <c r="AH1655" s="97">
        <v>1</v>
      </c>
      <c r="AI1655" s="97">
        <v>1</v>
      </c>
      <c r="AJ1655" s="73"/>
      <c r="AK1655" s="57"/>
      <c r="AL1655" s="45"/>
      <c r="AM1655" s="45"/>
      <c r="AN1655" s="45"/>
    </row>
    <row r="1656" spans="1:40" outlineLevel="2" x14ac:dyDescent="0.25">
      <c r="A1656" s="45"/>
      <c r="B1656" s="54"/>
      <c r="C1656" s="47">
        <f t="shared" si="359"/>
        <v>4</v>
      </c>
      <c r="D1656" s="73"/>
      <c r="E1656" s="70"/>
      <c r="F1656" s="70" t="s">
        <v>2422</v>
      </c>
      <c r="G1656" s="73"/>
      <c r="H1656" s="378" t="s">
        <v>2818</v>
      </c>
      <c r="I1656" s="76"/>
      <c r="J1656" s="76"/>
      <c r="K1656" s="76"/>
      <c r="L1656" s="76"/>
      <c r="M1656" s="76"/>
      <c r="N1656" s="76"/>
      <c r="O1656" s="76"/>
      <c r="P1656" s="76"/>
      <c r="Q1656" s="76"/>
      <c r="R1656" s="76"/>
      <c r="S1656" s="76"/>
      <c r="T1656" s="76"/>
      <c r="U1656" s="97">
        <f>-U1655/(2*9.5*30.4)</f>
        <v>8.916204986149583E-5</v>
      </c>
      <c r="V1656" s="255">
        <f t="shared" si="354"/>
        <v>8.916204986149583E-5</v>
      </c>
      <c r="W1656" s="255">
        <f t="shared" si="355"/>
        <v>8.916204986149583E-5</v>
      </c>
      <c r="X1656" s="255">
        <f t="shared" si="355"/>
        <v>8.916204986149583E-5</v>
      </c>
      <c r="Y1656" s="255">
        <f t="shared" si="356"/>
        <v>8.916204986149583E-5</v>
      </c>
      <c r="Z1656" s="255">
        <f t="shared" si="357"/>
        <v>4.7610803324099718E-5</v>
      </c>
      <c r="AA1656" s="97">
        <f>-AA1655/(2*9.5*30.4)</f>
        <v>4.7610803324099718E-5</v>
      </c>
      <c r="AB1656" s="255">
        <f t="shared" si="358"/>
        <v>4.7610803324099718E-5</v>
      </c>
      <c r="AC1656" s="255">
        <f t="shared" si="358"/>
        <v>4.7610803324099718E-5</v>
      </c>
      <c r="AD1656" s="255">
        <f t="shared" si="358"/>
        <v>4.7610803324099718E-5</v>
      </c>
      <c r="AE1656" s="76"/>
      <c r="AF1656" s="76"/>
      <c r="AG1656" s="76"/>
      <c r="AH1656" s="76">
        <v>1</v>
      </c>
      <c r="AI1656" s="76">
        <v>1</v>
      </c>
      <c r="AJ1656" s="73"/>
      <c r="AK1656" s="57"/>
      <c r="AL1656" s="45"/>
      <c r="AM1656" s="45"/>
      <c r="AN1656" s="45"/>
    </row>
    <row r="1657" spans="1:40" outlineLevel="2" collapsed="1" x14ac:dyDescent="0.25">
      <c r="A1657" s="45"/>
      <c r="B1657" s="54"/>
      <c r="C1657" s="47">
        <f t="shared" si="359"/>
        <v>4</v>
      </c>
      <c r="D1657" s="73"/>
      <c r="E1657" s="70"/>
      <c r="F1657" s="70" t="s">
        <v>2423</v>
      </c>
      <c r="G1657" s="73"/>
      <c r="H1657" s="378" t="s">
        <v>2819</v>
      </c>
      <c r="I1657" s="76"/>
      <c r="J1657" s="76"/>
      <c r="K1657" s="76"/>
      <c r="L1657" s="76"/>
      <c r="M1657" s="76"/>
      <c r="N1657" s="76"/>
      <c r="O1657" s="76"/>
      <c r="P1657" s="76"/>
      <c r="Q1657" s="76"/>
      <c r="R1657" s="76"/>
      <c r="S1657" s="76"/>
      <c r="T1657" s="76"/>
      <c r="U1657" s="97">
        <v>-4.0000000000000001E-3</v>
      </c>
      <c r="V1657" s="255">
        <f t="shared" si="354"/>
        <v>-4.0000000000000001E-3</v>
      </c>
      <c r="W1657" s="255">
        <f t="shared" si="355"/>
        <v>-4.0000000000000001E-3</v>
      </c>
      <c r="X1657" s="255">
        <f t="shared" si="355"/>
        <v>-4.0000000000000001E-3</v>
      </c>
      <c r="Y1657" s="255">
        <f t="shared" si="356"/>
        <v>-4.0000000000000001E-3</v>
      </c>
      <c r="Z1657" s="255">
        <f t="shared" si="357"/>
        <v>-4.0000000000000001E-3</v>
      </c>
      <c r="AA1657" s="97">
        <v>-4.0000000000000001E-3</v>
      </c>
      <c r="AB1657" s="255">
        <f t="shared" si="358"/>
        <v>-4.0000000000000001E-3</v>
      </c>
      <c r="AC1657" s="255">
        <f t="shared" si="358"/>
        <v>-4.0000000000000001E-3</v>
      </c>
      <c r="AD1657" s="255">
        <f t="shared" si="358"/>
        <v>-4.0000000000000001E-3</v>
      </c>
      <c r="AE1657" s="76"/>
      <c r="AF1657" s="76"/>
      <c r="AG1657" s="76"/>
      <c r="AH1657" s="97">
        <v>1</v>
      </c>
      <c r="AI1657" s="97">
        <v>1</v>
      </c>
      <c r="AJ1657" s="73"/>
      <c r="AK1657" s="57"/>
      <c r="AL1657" s="45"/>
      <c r="AM1657" s="45"/>
      <c r="AN1657" s="45"/>
    </row>
    <row r="1658" spans="1:40" hidden="1" outlineLevel="3" x14ac:dyDescent="0.25">
      <c r="A1658" s="45"/>
      <c r="B1658" s="54"/>
      <c r="C1658" s="47">
        <f t="shared" si="359"/>
        <v>4</v>
      </c>
      <c r="D1658" s="73"/>
      <c r="E1658" s="70"/>
      <c r="F1658" s="70" t="s">
        <v>2424</v>
      </c>
      <c r="G1658" s="73"/>
      <c r="H1658" s="377" t="s">
        <v>2820</v>
      </c>
      <c r="I1658" s="76"/>
      <c r="J1658" s="76"/>
      <c r="K1658" s="76"/>
      <c r="L1658" s="76"/>
      <c r="M1658" s="76"/>
      <c r="N1658" s="76"/>
      <c r="O1658" s="76"/>
      <c r="P1658" s="76"/>
      <c r="Q1658" s="76"/>
      <c r="R1658" s="76"/>
      <c r="S1658" s="76"/>
      <c r="T1658" s="76"/>
      <c r="U1658" s="76">
        <v>0</v>
      </c>
      <c r="V1658" s="76">
        <v>0</v>
      </c>
      <c r="W1658" s="76">
        <v>0</v>
      </c>
      <c r="X1658" s="76">
        <v>0</v>
      </c>
      <c r="Y1658" s="76">
        <v>0</v>
      </c>
      <c r="Z1658" s="76">
        <v>0</v>
      </c>
      <c r="AA1658" s="76">
        <v>0</v>
      </c>
      <c r="AB1658" s="76">
        <v>0</v>
      </c>
      <c r="AC1658" s="76">
        <v>0</v>
      </c>
      <c r="AD1658" s="76">
        <v>0</v>
      </c>
      <c r="AE1658" s="76"/>
      <c r="AF1658" s="76"/>
      <c r="AG1658" s="76"/>
      <c r="AH1658" s="76">
        <v>1</v>
      </c>
      <c r="AI1658" s="76">
        <v>1</v>
      </c>
      <c r="AJ1658" s="73"/>
      <c r="AK1658" s="57"/>
      <c r="AL1658" s="45"/>
      <c r="AM1658" s="45"/>
      <c r="AN1658" s="45"/>
    </row>
    <row r="1659" spans="1:40" outlineLevel="2" collapsed="1" x14ac:dyDescent="0.25">
      <c r="A1659" s="45"/>
      <c r="B1659" s="54"/>
      <c r="C1659" s="47">
        <f t="shared" si="359"/>
        <v>4</v>
      </c>
      <c r="D1659" s="73"/>
      <c r="E1659" s="70"/>
      <c r="F1659" s="70" t="s">
        <v>2425</v>
      </c>
      <c r="G1659" s="73"/>
      <c r="H1659" s="378" t="s">
        <v>2821</v>
      </c>
      <c r="I1659" s="76"/>
      <c r="J1659" s="76"/>
      <c r="K1659" s="76"/>
      <c r="L1659" s="76"/>
      <c r="M1659" s="76"/>
      <c r="N1659" s="76"/>
      <c r="O1659" s="76"/>
      <c r="P1659" s="76"/>
      <c r="Q1659" s="76"/>
      <c r="R1659" s="76"/>
      <c r="S1659" s="76"/>
      <c r="T1659" s="76"/>
      <c r="U1659" s="97">
        <v>-2.75E-2</v>
      </c>
      <c r="V1659" s="255">
        <f>U1659</f>
        <v>-2.75E-2</v>
      </c>
      <c r="W1659" s="255">
        <f>U1659</f>
        <v>-2.75E-2</v>
      </c>
      <c r="X1659" s="255">
        <f>V1659</f>
        <v>-2.75E-2</v>
      </c>
      <c r="Y1659" s="255">
        <f>V1659</f>
        <v>-2.75E-2</v>
      </c>
      <c r="Z1659" s="255">
        <f>AA1659</f>
        <v>-2.5499999999999998E-2</v>
      </c>
      <c r="AA1659" s="97">
        <v>-2.5499999999999998E-2</v>
      </c>
      <c r="AB1659" s="255">
        <f>AA1659</f>
        <v>-2.5499999999999998E-2</v>
      </c>
      <c r="AC1659" s="255">
        <f>AB1659</f>
        <v>-2.5499999999999998E-2</v>
      </c>
      <c r="AD1659" s="255">
        <f>AC1659</f>
        <v>-2.5499999999999998E-2</v>
      </c>
      <c r="AE1659" s="76"/>
      <c r="AF1659" s="76"/>
      <c r="AG1659" s="76"/>
      <c r="AH1659" s="97">
        <v>1</v>
      </c>
      <c r="AI1659" s="97">
        <v>1</v>
      </c>
      <c r="AJ1659" s="73"/>
      <c r="AK1659" s="57"/>
      <c r="AL1659" s="45"/>
      <c r="AM1659" s="45"/>
      <c r="AN1659" s="45"/>
    </row>
    <row r="1660" spans="1:40" hidden="1" outlineLevel="3" x14ac:dyDescent="0.25">
      <c r="A1660" s="45"/>
      <c r="B1660" s="54"/>
      <c r="C1660" s="47">
        <f t="shared" si="359"/>
        <v>4</v>
      </c>
      <c r="D1660" s="73"/>
      <c r="E1660" s="70"/>
      <c r="F1660" s="70" t="s">
        <v>2426</v>
      </c>
      <c r="G1660" s="73"/>
      <c r="H1660" s="377" t="s">
        <v>2822</v>
      </c>
      <c r="I1660" s="76"/>
      <c r="J1660" s="76"/>
      <c r="K1660" s="76"/>
      <c r="L1660" s="76"/>
      <c r="M1660" s="76"/>
      <c r="N1660" s="76"/>
      <c r="O1660" s="76"/>
      <c r="P1660" s="76"/>
      <c r="Q1660" s="76"/>
      <c r="R1660" s="76"/>
      <c r="S1660" s="76"/>
      <c r="T1660" s="76"/>
      <c r="U1660" s="76">
        <v>0</v>
      </c>
      <c r="V1660" s="76">
        <v>0</v>
      </c>
      <c r="W1660" s="76">
        <v>0</v>
      </c>
      <c r="X1660" s="76">
        <v>0</v>
      </c>
      <c r="Y1660" s="76">
        <v>0</v>
      </c>
      <c r="Z1660" s="76">
        <v>0</v>
      </c>
      <c r="AA1660" s="76">
        <v>0</v>
      </c>
      <c r="AB1660" s="76">
        <v>0</v>
      </c>
      <c r="AC1660" s="76">
        <v>0</v>
      </c>
      <c r="AD1660" s="76">
        <v>0</v>
      </c>
      <c r="AE1660" s="76"/>
      <c r="AF1660" s="76"/>
      <c r="AG1660" s="76"/>
      <c r="AH1660" s="76">
        <v>1</v>
      </c>
      <c r="AI1660" s="76">
        <v>1</v>
      </c>
      <c r="AJ1660" s="73"/>
      <c r="AK1660" s="57"/>
      <c r="AL1660" s="45"/>
      <c r="AM1660" s="45"/>
      <c r="AN1660" s="45"/>
    </row>
    <row r="1661" spans="1:40" hidden="1" outlineLevel="3" x14ac:dyDescent="0.25">
      <c r="A1661" s="45"/>
      <c r="B1661" s="54"/>
      <c r="C1661" s="47">
        <f t="shared" si="359"/>
        <v>4</v>
      </c>
      <c r="D1661" s="73"/>
      <c r="E1661" s="70"/>
      <c r="F1661" s="70" t="str">
        <f>SUBSTITUTE(F1657,",4)",",8)")</f>
        <v>C(U2,24,8)</v>
      </c>
      <c r="G1661" s="73"/>
      <c r="H1661" s="378" t="s">
        <v>2816</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outlineLevel="2" x14ac:dyDescent="0.25">
      <c r="A1662" s="45"/>
      <c r="B1662" s="54"/>
      <c r="C1662" s="47">
        <f t="shared" si="359"/>
        <v>4</v>
      </c>
      <c r="D1662" s="73"/>
      <c r="E1662" s="70"/>
      <c r="F1662" s="70" t="str">
        <f>SUBSTITUTE(F1658,",5)",",9)")</f>
        <v>C(U2,24,9)</v>
      </c>
      <c r="G1662" s="73"/>
      <c r="H1662" s="378" t="s">
        <v>2813</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v>1</v>
      </c>
      <c r="AI1662" s="76">
        <v>1</v>
      </c>
      <c r="AJ1662" s="73"/>
      <c r="AK1662" s="57"/>
      <c r="AL1662" s="45"/>
      <c r="AM1662" s="45"/>
      <c r="AN1662" s="45"/>
    </row>
    <row r="1663" spans="1:40" outlineLevel="2" x14ac:dyDescent="0.25">
      <c r="A1663" s="45"/>
      <c r="B1663" s="54"/>
      <c r="C1663" s="47">
        <f t="shared" si="359"/>
        <v>4</v>
      </c>
      <c r="D1663" s="73"/>
      <c r="E1663" s="70"/>
      <c r="F1663" s="70" t="str">
        <f>SUBSTITUTE(F1659,",6)",",10)")</f>
        <v>C(U2,24,10)</v>
      </c>
      <c r="G1663" s="73"/>
      <c r="H1663" s="378" t="s">
        <v>2814</v>
      </c>
      <c r="I1663" s="96"/>
      <c r="J1663" s="76"/>
      <c r="K1663" s="76"/>
      <c r="L1663" s="76"/>
      <c r="M1663" s="76"/>
      <c r="N1663" s="76"/>
      <c r="O1663" s="76"/>
      <c r="P1663" s="76"/>
      <c r="Q1663" s="76"/>
      <c r="R1663" s="76"/>
      <c r="S1663" s="76"/>
      <c r="T1663" s="76"/>
      <c r="U1663" s="76"/>
      <c r="V1663" s="76"/>
      <c r="W1663" s="76"/>
      <c r="X1663" s="76"/>
      <c r="Y1663" s="76"/>
      <c r="Z1663" s="76"/>
      <c r="AA1663" s="76"/>
      <c r="AB1663" s="76"/>
      <c r="AC1663" s="76"/>
      <c r="AD1663" s="76"/>
      <c r="AE1663" s="76"/>
      <c r="AF1663" s="76"/>
      <c r="AG1663" s="76"/>
      <c r="AH1663" s="76">
        <v>1</v>
      </c>
      <c r="AI1663" s="76">
        <v>1</v>
      </c>
      <c r="AJ1663" s="73"/>
      <c r="AK1663" s="57"/>
      <c r="AL1663" s="45"/>
      <c r="AM1663" s="45"/>
      <c r="AN1663" s="45"/>
    </row>
    <row r="1664" spans="1:40" outlineLevel="2" x14ac:dyDescent="0.25">
      <c r="A1664" s="45"/>
      <c r="B1664" s="54"/>
      <c r="C1664" s="47">
        <f t="shared" si="359"/>
        <v>4</v>
      </c>
      <c r="D1664" s="73"/>
      <c r="E1664" s="70"/>
      <c r="F1664" s="70" t="str">
        <f>SUBSTITUTE(F1660,",7)",",11)")</f>
        <v>C(U2,24,11)</v>
      </c>
      <c r="G1664" s="73"/>
      <c r="H1664" s="378" t="s">
        <v>2815</v>
      </c>
      <c r="I1664" s="96"/>
      <c r="J1664" s="76"/>
      <c r="K1664" s="76"/>
      <c r="L1664" s="76"/>
      <c r="M1664" s="76"/>
      <c r="N1664" s="76"/>
      <c r="O1664" s="76"/>
      <c r="P1664" s="76"/>
      <c r="Q1664" s="76"/>
      <c r="R1664" s="76"/>
      <c r="S1664" s="76"/>
      <c r="T1664" s="76"/>
      <c r="U1664" s="76"/>
      <c r="V1664" s="76"/>
      <c r="W1664" s="76"/>
      <c r="X1664" s="76"/>
      <c r="Y1664" s="76"/>
      <c r="Z1664" s="76"/>
      <c r="AA1664" s="76"/>
      <c r="AB1664" s="76"/>
      <c r="AC1664" s="76"/>
      <c r="AD1664" s="76"/>
      <c r="AE1664" s="76"/>
      <c r="AF1664" s="76"/>
      <c r="AG1664" s="76"/>
      <c r="AH1664" s="76">
        <v>1</v>
      </c>
      <c r="AI1664" s="76">
        <v>1</v>
      </c>
      <c r="AJ1664" s="73"/>
      <c r="AK1664" s="57"/>
      <c r="AL1664" s="45"/>
      <c r="AM1664" s="45"/>
      <c r="AN1664" s="45"/>
    </row>
    <row r="1665" spans="1:40" outlineLevel="2" x14ac:dyDescent="0.25">
      <c r="A1665" s="45"/>
      <c r="B1665" s="54"/>
      <c r="C1665" s="47">
        <f t="shared" si="359"/>
        <v>4</v>
      </c>
      <c r="D1665" s="73"/>
      <c r="E1665" s="70"/>
      <c r="F1665" s="70" t="s">
        <v>3368</v>
      </c>
      <c r="G1665" s="73"/>
      <c r="H1665" s="378" t="s">
        <v>3367</v>
      </c>
      <c r="I1665" s="96"/>
      <c r="J1665" s="76"/>
      <c r="K1665" s="76"/>
      <c r="L1665" s="76"/>
      <c r="M1665" s="76"/>
      <c r="N1665" s="76"/>
      <c r="O1665" s="76"/>
      <c r="P1665" s="76"/>
      <c r="Q1665" s="76"/>
      <c r="R1665" s="76"/>
      <c r="S1665" s="76"/>
      <c r="T1665" s="76"/>
      <c r="U1665" s="97">
        <v>0</v>
      </c>
      <c r="V1665" s="97">
        <v>0</v>
      </c>
      <c r="W1665" s="97">
        <v>0</v>
      </c>
      <c r="X1665" s="97">
        <v>0</v>
      </c>
      <c r="Y1665" s="97">
        <v>0</v>
      </c>
      <c r="Z1665" s="97">
        <v>0</v>
      </c>
      <c r="AA1665" s="97">
        <v>0</v>
      </c>
      <c r="AB1665" s="97">
        <v>0</v>
      </c>
      <c r="AC1665" s="97">
        <v>0</v>
      </c>
      <c r="AD1665" s="97">
        <v>0</v>
      </c>
      <c r="AE1665" s="76"/>
      <c r="AF1665" s="76"/>
      <c r="AG1665" s="76"/>
      <c r="AH1665" s="76">
        <v>1</v>
      </c>
      <c r="AI1665" s="76">
        <v>1</v>
      </c>
      <c r="AJ1665" s="73"/>
      <c r="AK1665" s="57"/>
      <c r="AL1665" s="45"/>
      <c r="AM1665" s="45"/>
      <c r="AN1665" s="45"/>
    </row>
    <row r="1666" spans="1:40" outlineLevel="2" x14ac:dyDescent="0.25">
      <c r="A1666" s="45"/>
      <c r="B1666" s="54"/>
      <c r="C1666" s="47">
        <f t="shared" si="359"/>
        <v>4</v>
      </c>
      <c r="D1666" s="73"/>
      <c r="E1666" s="70"/>
      <c r="F1666" s="70" t="s">
        <v>3369</v>
      </c>
      <c r="G1666" s="73"/>
      <c r="H1666" s="378" t="s">
        <v>3366</v>
      </c>
      <c r="I1666" s="96"/>
      <c r="J1666" s="76"/>
      <c r="K1666" s="76"/>
      <c r="L1666" s="76"/>
      <c r="M1666" s="76"/>
      <c r="N1666" s="76"/>
      <c r="O1666" s="76"/>
      <c r="P1666" s="76"/>
      <c r="Q1666" s="76"/>
      <c r="R1666" s="76"/>
      <c r="S1666" s="76"/>
      <c r="T1666" s="76"/>
      <c r="U1666" s="97">
        <v>0</v>
      </c>
      <c r="V1666" s="97">
        <v>0</v>
      </c>
      <c r="W1666" s="97">
        <v>0</v>
      </c>
      <c r="X1666" s="97">
        <v>0</v>
      </c>
      <c r="Y1666" s="97">
        <v>0</v>
      </c>
      <c r="Z1666" s="97">
        <v>0</v>
      </c>
      <c r="AA1666" s="97">
        <v>0</v>
      </c>
      <c r="AB1666" s="97">
        <v>0</v>
      </c>
      <c r="AC1666" s="97">
        <v>0</v>
      </c>
      <c r="AD1666" s="97">
        <v>0</v>
      </c>
      <c r="AE1666" s="76"/>
      <c r="AF1666" s="76"/>
      <c r="AG1666" s="76"/>
      <c r="AH1666" s="76">
        <v>1</v>
      </c>
      <c r="AI1666" s="76">
        <v>1</v>
      </c>
      <c r="AJ1666" s="73"/>
      <c r="AK1666" s="57"/>
      <c r="AL1666" s="45"/>
      <c r="AM1666" s="45"/>
      <c r="AN1666" s="45"/>
    </row>
    <row r="1667" spans="1:40" outlineLevel="2" x14ac:dyDescent="0.25">
      <c r="A1667" s="45"/>
      <c r="B1667" s="54"/>
      <c r="C1667" s="47">
        <f>INT($C$29)+2</f>
        <v>3</v>
      </c>
      <c r="D1667" s="73"/>
      <c r="E1667" s="70"/>
      <c r="F1667" s="70" t="s">
        <v>2427</v>
      </c>
      <c r="G1667" s="73"/>
      <c r="H1667" s="76" t="s">
        <v>2823</v>
      </c>
      <c r="I1667" s="76"/>
      <c r="J1667" s="76"/>
      <c r="K1667" s="76"/>
      <c r="L1667" s="76"/>
      <c r="M1667" s="76"/>
      <c r="N1667" s="76"/>
      <c r="O1667" s="76"/>
      <c r="P1667" s="76"/>
      <c r="Q1667" s="76"/>
      <c r="R1667" s="76"/>
      <c r="S1667" s="76"/>
      <c r="T1667" s="76"/>
      <c r="U1667" s="97">
        <f>19.4829</f>
        <v>19.482900000000001</v>
      </c>
      <c r="V1667" s="255">
        <f>U1667</f>
        <v>19.482900000000001</v>
      </c>
      <c r="W1667" s="255">
        <f t="shared" ref="W1667:X1685" si="360">U1667</f>
        <v>19.482900000000001</v>
      </c>
      <c r="X1667" s="255">
        <f t="shared" si="360"/>
        <v>19.482900000000001</v>
      </c>
      <c r="Y1667" s="255">
        <f>V1667</f>
        <v>19.482900000000001</v>
      </c>
      <c r="Z1667" s="255">
        <f>AA1667</f>
        <v>16.702999999999999</v>
      </c>
      <c r="AA1667" s="97">
        <v>16.702999999999999</v>
      </c>
      <c r="AB1667" s="255">
        <f t="shared" ref="AB1667:AD1685" si="361">AA1667</f>
        <v>16.702999999999999</v>
      </c>
      <c r="AC1667" s="255">
        <f t="shared" si="361"/>
        <v>16.702999999999999</v>
      </c>
      <c r="AD1667" s="255">
        <f t="shared" si="361"/>
        <v>16.702999999999999</v>
      </c>
      <c r="AE1667" s="76"/>
      <c r="AF1667" s="76"/>
      <c r="AG1667" s="76"/>
      <c r="AH1667" s="97">
        <v>1</v>
      </c>
      <c r="AI1667" s="97">
        <v>1</v>
      </c>
      <c r="AJ1667" s="73"/>
      <c r="AK1667" s="57"/>
      <c r="AL1667" s="45"/>
      <c r="AM1667" s="45"/>
      <c r="AN1667" s="45"/>
    </row>
    <row r="1668" spans="1:40" outlineLevel="2" x14ac:dyDescent="0.25">
      <c r="A1668" s="45"/>
      <c r="B1668" s="54"/>
      <c r="C1668" s="47">
        <f>INT($C$29)+2</f>
        <v>3</v>
      </c>
      <c r="D1668" s="73"/>
      <c r="E1668" s="70"/>
      <c r="F1668" s="70" t="s">
        <v>2476</v>
      </c>
      <c r="G1668" s="73"/>
      <c r="H1668" s="76" t="s">
        <v>3363</v>
      </c>
      <c r="I1668" s="76"/>
      <c r="J1668" s="76"/>
      <c r="K1668" s="76"/>
      <c r="L1668" s="76"/>
      <c r="M1668" s="76"/>
      <c r="N1668" s="76"/>
      <c r="O1668" s="76"/>
      <c r="P1668" s="76"/>
      <c r="Q1668" s="76"/>
      <c r="R1668" s="76"/>
      <c r="S1668" s="76"/>
      <c r="T1668" s="76"/>
      <c r="U1668" s="97">
        <v>-9.8000000000000004E-2</v>
      </c>
      <c r="V1668" s="255">
        <f t="shared" ref="V1668:V1682" si="362">U1668</f>
        <v>-9.8000000000000004E-2</v>
      </c>
      <c r="W1668" s="255">
        <f t="shared" si="360"/>
        <v>-9.8000000000000004E-2</v>
      </c>
      <c r="X1668" s="255">
        <f t="shared" si="360"/>
        <v>-9.8000000000000004E-2</v>
      </c>
      <c r="Y1668" s="255">
        <f>V1668</f>
        <v>-9.8000000000000004E-2</v>
      </c>
      <c r="Z1668" s="255">
        <f>AA1668</f>
        <v>-3.9480000000000001E-2</v>
      </c>
      <c r="AA1668" s="97">
        <v>-3.9480000000000001E-2</v>
      </c>
      <c r="AB1668" s="255">
        <f t="shared" si="361"/>
        <v>-3.9480000000000001E-2</v>
      </c>
      <c r="AC1668" s="255">
        <f t="shared" si="361"/>
        <v>-3.9480000000000001E-2</v>
      </c>
      <c r="AD1668" s="255">
        <f t="shared" si="361"/>
        <v>-3.9480000000000001E-2</v>
      </c>
      <c r="AE1668" s="76"/>
      <c r="AF1668" s="97" t="s">
        <v>2824</v>
      </c>
      <c r="AG1668" s="76"/>
      <c r="AH1668" s="97">
        <v>1</v>
      </c>
      <c r="AI1668" s="97">
        <v>1</v>
      </c>
      <c r="AJ1668" s="73"/>
      <c r="AK1668" s="57"/>
      <c r="AL1668" s="45"/>
      <c r="AM1668" s="45"/>
      <c r="AN1668" s="45"/>
    </row>
    <row r="1669" spans="1:40" outlineLevel="2" collapsed="1" x14ac:dyDescent="0.25">
      <c r="A1669" s="45"/>
      <c r="B1669" s="54"/>
      <c r="C1669" s="47">
        <f>INT($C$29)+2</f>
        <v>3</v>
      </c>
      <c r="D1669" s="73"/>
      <c r="E1669" s="70"/>
      <c r="F1669" s="70" t="s">
        <v>2477</v>
      </c>
      <c r="G1669" s="73"/>
      <c r="H1669" s="76" t="s">
        <v>2500</v>
      </c>
      <c r="I1669" s="76"/>
      <c r="J1669" s="76"/>
      <c r="K1669" s="76"/>
      <c r="L1669" s="76"/>
      <c r="M1669" s="76"/>
      <c r="N1669" s="76"/>
      <c r="O1669" s="76"/>
      <c r="P1669" s="76"/>
      <c r="Q1669" s="76"/>
      <c r="R1669" s="76"/>
      <c r="S1669" s="76"/>
      <c r="T1669" s="76"/>
      <c r="U1669" s="97">
        <v>0</v>
      </c>
      <c r="V1669" s="255">
        <f t="shared" si="362"/>
        <v>0</v>
      </c>
      <c r="W1669" s="255">
        <f t="shared" si="360"/>
        <v>0</v>
      </c>
      <c r="X1669" s="255">
        <f t="shared" si="360"/>
        <v>0</v>
      </c>
      <c r="Y1669" s="255">
        <f>V1669</f>
        <v>0</v>
      </c>
      <c r="Z1669" s="255">
        <f>AA1669</f>
        <v>0</v>
      </c>
      <c r="AA1669" s="97">
        <v>0</v>
      </c>
      <c r="AB1669" s="255">
        <f t="shared" si="361"/>
        <v>0</v>
      </c>
      <c r="AC1669" s="255">
        <f t="shared" si="361"/>
        <v>0</v>
      </c>
      <c r="AD1669" s="255">
        <f t="shared" si="361"/>
        <v>0</v>
      </c>
      <c r="AE1669" s="76"/>
      <c r="AF1669" s="76"/>
      <c r="AG1669" s="76"/>
      <c r="AH1669" s="97">
        <v>1</v>
      </c>
      <c r="AI1669" s="97">
        <v>1</v>
      </c>
      <c r="AJ1669" s="73"/>
      <c r="AK1669" s="57"/>
      <c r="AL1669" s="45"/>
      <c r="AM1669" s="45"/>
      <c r="AN1669" s="45"/>
    </row>
    <row r="1670" spans="1:40" hidden="1" outlineLevel="3" collapsed="1" x14ac:dyDescent="0.25">
      <c r="A1670" s="45"/>
      <c r="B1670" s="54"/>
      <c r="C1670" s="47">
        <f t="shared" ref="C1670:C1681" si="363">INT($C$29)+3</f>
        <v>4</v>
      </c>
      <c r="D1670" s="73"/>
      <c r="E1670" s="70"/>
      <c r="F1670" s="70" t="s">
        <v>2478</v>
      </c>
      <c r="G1670" s="73"/>
      <c r="H1670" s="378" t="s">
        <v>2501</v>
      </c>
      <c r="I1670" s="76"/>
      <c r="J1670" s="76"/>
      <c r="K1670" s="76"/>
      <c r="L1670" s="76"/>
      <c r="M1670" s="76"/>
      <c r="N1670" s="76"/>
      <c r="O1670" s="76"/>
      <c r="P1670" s="76"/>
      <c r="Q1670" s="76"/>
      <c r="R1670" s="76"/>
      <c r="S1670" s="76"/>
      <c r="T1670" s="76"/>
      <c r="U1670" s="97">
        <v>0</v>
      </c>
      <c r="V1670" s="255">
        <f t="shared" si="362"/>
        <v>0</v>
      </c>
      <c r="W1670" s="255">
        <f t="shared" si="360"/>
        <v>0</v>
      </c>
      <c r="X1670" s="255">
        <f t="shared" si="360"/>
        <v>0</v>
      </c>
      <c r="Y1670" s="255">
        <f>V1670</f>
        <v>0</v>
      </c>
      <c r="Z1670" s="255">
        <f>AA1670</f>
        <v>0</v>
      </c>
      <c r="AA1670" s="97">
        <v>0</v>
      </c>
      <c r="AB1670" s="255">
        <f t="shared" si="361"/>
        <v>0</v>
      </c>
      <c r="AC1670" s="255">
        <f t="shared" si="361"/>
        <v>0</v>
      </c>
      <c r="AD1670" s="255">
        <f t="shared" si="361"/>
        <v>0</v>
      </c>
      <c r="AE1670" s="76"/>
      <c r="AF1670" s="76"/>
      <c r="AG1670" s="76"/>
      <c r="AH1670" s="97">
        <v>1</v>
      </c>
      <c r="AI1670" s="97">
        <v>1</v>
      </c>
      <c r="AJ1670" s="73"/>
      <c r="AK1670" s="57"/>
      <c r="AL1670" s="45"/>
      <c r="AM1670" s="45"/>
      <c r="AN1670" s="45"/>
    </row>
    <row r="1671" spans="1:40" hidden="1" outlineLevel="3" x14ac:dyDescent="0.25">
      <c r="A1671" s="45"/>
      <c r="B1671" s="54"/>
      <c r="C1671" s="47">
        <f t="shared" si="363"/>
        <v>4</v>
      </c>
      <c r="D1671" s="73"/>
      <c r="E1671" s="70"/>
      <c r="F1671" s="70" t="s">
        <v>2479</v>
      </c>
      <c r="G1671" s="73"/>
      <c r="H1671" s="378" t="s">
        <v>2759</v>
      </c>
      <c r="I1671" s="76"/>
      <c r="J1671" s="76"/>
      <c r="K1671" s="76"/>
      <c r="L1671" s="76"/>
      <c r="M1671" s="76"/>
      <c r="N1671" s="76"/>
      <c r="O1671" s="76"/>
      <c r="P1671" s="76"/>
      <c r="Q1671" s="76"/>
      <c r="R1671" s="76"/>
      <c r="S1671" s="76"/>
      <c r="T1671" s="76"/>
      <c r="U1671" s="76">
        <v>0</v>
      </c>
      <c r="V1671" s="255">
        <f t="shared" si="362"/>
        <v>0</v>
      </c>
      <c r="W1671" s="76">
        <v>0</v>
      </c>
      <c r="X1671" s="76">
        <v>0</v>
      </c>
      <c r="Y1671" s="76">
        <v>0</v>
      </c>
      <c r="Z1671" s="76">
        <v>0</v>
      </c>
      <c r="AA1671" s="76">
        <v>0</v>
      </c>
      <c r="AB1671" s="76">
        <v>0</v>
      </c>
      <c r="AC1671" s="76">
        <v>0</v>
      </c>
      <c r="AD1671" s="76">
        <v>0</v>
      </c>
      <c r="AE1671" s="76"/>
      <c r="AF1671" s="76"/>
      <c r="AG1671" s="76"/>
      <c r="AH1671" s="76">
        <v>1</v>
      </c>
      <c r="AI1671" s="76">
        <v>1</v>
      </c>
      <c r="AJ1671" s="73"/>
      <c r="AK1671" s="57"/>
      <c r="AL1671" s="45"/>
      <c r="AM1671" s="45"/>
      <c r="AN1671" s="45"/>
    </row>
    <row r="1672" spans="1:40" outlineLevel="2" collapsed="1" x14ac:dyDescent="0.25">
      <c r="A1672" s="45"/>
      <c r="B1672" s="54"/>
      <c r="C1672" s="47">
        <f t="shared" si="363"/>
        <v>4</v>
      </c>
      <c r="D1672" s="73"/>
      <c r="E1672" s="70"/>
      <c r="F1672" s="70" t="s">
        <v>2480</v>
      </c>
      <c r="G1672" s="73"/>
      <c r="H1672" s="378" t="s">
        <v>2502</v>
      </c>
      <c r="I1672" s="76"/>
      <c r="J1672" s="76"/>
      <c r="K1672" s="76"/>
      <c r="L1672" s="76"/>
      <c r="M1672" s="76"/>
      <c r="N1672" s="76"/>
      <c r="O1672" s="76"/>
      <c r="P1672" s="76"/>
      <c r="Q1672" s="76"/>
      <c r="R1672" s="76"/>
      <c r="S1672" s="76"/>
      <c r="T1672" s="76"/>
      <c r="U1672" s="97">
        <v>0</v>
      </c>
      <c r="V1672" s="255">
        <f t="shared" si="362"/>
        <v>0</v>
      </c>
      <c r="W1672" s="255">
        <f>U1672</f>
        <v>0</v>
      </c>
      <c r="X1672" s="255">
        <f>V1672</f>
        <v>0</v>
      </c>
      <c r="Y1672" s="255">
        <f>V1672</f>
        <v>0</v>
      </c>
      <c r="Z1672" s="255">
        <f>AA1672</f>
        <v>0</v>
      </c>
      <c r="AA1672" s="97">
        <v>0</v>
      </c>
      <c r="AB1672" s="255">
        <f>AA1672</f>
        <v>0</v>
      </c>
      <c r="AC1672" s="255">
        <f>AB1672</f>
        <v>0</v>
      </c>
      <c r="AD1672" s="255">
        <f>AC1672</f>
        <v>0</v>
      </c>
      <c r="AE1672" s="76"/>
      <c r="AF1672" s="76"/>
      <c r="AG1672" s="76"/>
      <c r="AH1672" s="97">
        <v>1</v>
      </c>
      <c r="AI1672" s="97">
        <v>1</v>
      </c>
      <c r="AJ1672" s="73"/>
      <c r="AK1672" s="57"/>
      <c r="AL1672" s="45"/>
      <c r="AM1672" s="45"/>
      <c r="AN1672" s="45"/>
    </row>
    <row r="1673" spans="1:40" hidden="1" outlineLevel="3" x14ac:dyDescent="0.25">
      <c r="A1673" s="45"/>
      <c r="B1673" s="54"/>
      <c r="C1673" s="47">
        <f t="shared" si="363"/>
        <v>4</v>
      </c>
      <c r="D1673" s="73"/>
      <c r="E1673" s="70"/>
      <c r="F1673" s="70" t="s">
        <v>2481</v>
      </c>
      <c r="G1673" s="73"/>
      <c r="H1673" s="377" t="s">
        <v>2758</v>
      </c>
      <c r="I1673" s="76"/>
      <c r="J1673" s="76"/>
      <c r="K1673" s="76"/>
      <c r="L1673" s="76"/>
      <c r="M1673" s="76"/>
      <c r="N1673" s="76"/>
      <c r="O1673" s="76"/>
      <c r="P1673" s="76"/>
      <c r="Q1673" s="76"/>
      <c r="R1673" s="76"/>
      <c r="S1673" s="76"/>
      <c r="T1673" s="76"/>
      <c r="U1673" s="76">
        <v>0</v>
      </c>
      <c r="V1673" s="255">
        <f t="shared" si="362"/>
        <v>0</v>
      </c>
      <c r="W1673" s="76">
        <v>0</v>
      </c>
      <c r="X1673" s="76">
        <v>0</v>
      </c>
      <c r="Y1673" s="76">
        <v>0</v>
      </c>
      <c r="Z1673" s="76">
        <v>0</v>
      </c>
      <c r="AA1673" s="76">
        <v>0</v>
      </c>
      <c r="AB1673" s="76">
        <v>0</v>
      </c>
      <c r="AC1673" s="76">
        <v>0</v>
      </c>
      <c r="AD1673" s="76">
        <v>0</v>
      </c>
      <c r="AE1673" s="76"/>
      <c r="AF1673" s="76"/>
      <c r="AG1673" s="76"/>
      <c r="AH1673" s="76">
        <v>1</v>
      </c>
      <c r="AI1673" s="76">
        <v>1</v>
      </c>
      <c r="AJ1673" s="73"/>
      <c r="AK1673" s="57"/>
      <c r="AL1673" s="45"/>
      <c r="AM1673" s="45"/>
      <c r="AN1673" s="45"/>
    </row>
    <row r="1674" spans="1:40" outlineLevel="2" collapsed="1" x14ac:dyDescent="0.25">
      <c r="A1674" s="45"/>
      <c r="B1674" s="54"/>
      <c r="C1674" s="47">
        <f t="shared" si="363"/>
        <v>4</v>
      </c>
      <c r="D1674" s="73"/>
      <c r="E1674" s="70"/>
      <c r="F1674" s="70" t="s">
        <v>2482</v>
      </c>
      <c r="G1674" s="73"/>
      <c r="H1674" s="378" t="s">
        <v>2503</v>
      </c>
      <c r="I1674" s="76"/>
      <c r="J1674" s="76"/>
      <c r="K1674" s="76"/>
      <c r="L1674" s="76"/>
      <c r="M1674" s="76"/>
      <c r="N1674" s="76"/>
      <c r="O1674" s="76"/>
      <c r="P1674" s="76"/>
      <c r="Q1674" s="76"/>
      <c r="R1674" s="76"/>
      <c r="S1674" s="76"/>
      <c r="T1674" s="76"/>
      <c r="U1674" s="97">
        <v>-3.7749999999999999E-2</v>
      </c>
      <c r="V1674" s="255">
        <f t="shared" si="362"/>
        <v>-3.7749999999999999E-2</v>
      </c>
      <c r="W1674" s="255">
        <f>U1674</f>
        <v>-3.7749999999999999E-2</v>
      </c>
      <c r="X1674" s="255">
        <f>V1674</f>
        <v>-3.7749999999999999E-2</v>
      </c>
      <c r="Y1674" s="255">
        <f>V1674</f>
        <v>-3.7749999999999999E-2</v>
      </c>
      <c r="Z1674" s="255">
        <f>AA1674</f>
        <v>-2.775E-2</v>
      </c>
      <c r="AA1674" s="97">
        <v>-2.775E-2</v>
      </c>
      <c r="AB1674" s="255">
        <f>AA1674</f>
        <v>-2.775E-2</v>
      </c>
      <c r="AC1674" s="255">
        <f>AB1674</f>
        <v>-2.775E-2</v>
      </c>
      <c r="AD1674" s="255">
        <f>AC1674</f>
        <v>-2.775E-2</v>
      </c>
      <c r="AE1674" s="76"/>
      <c r="AF1674" s="76"/>
      <c r="AG1674" s="76"/>
      <c r="AH1674" s="97">
        <v>1</v>
      </c>
      <c r="AI1674" s="97">
        <v>1</v>
      </c>
      <c r="AJ1674" s="73"/>
      <c r="AK1674" s="57"/>
      <c r="AL1674" s="45"/>
      <c r="AM1674" s="45"/>
      <c r="AN1674" s="45"/>
    </row>
    <row r="1675" spans="1:40" hidden="1" outlineLevel="3" x14ac:dyDescent="0.25">
      <c r="A1675" s="45"/>
      <c r="B1675" s="54"/>
      <c r="C1675" s="47">
        <f t="shared" si="363"/>
        <v>4</v>
      </c>
      <c r="D1675" s="73"/>
      <c r="E1675" s="70"/>
      <c r="F1675" s="70" t="s">
        <v>2483</v>
      </c>
      <c r="G1675" s="73"/>
      <c r="H1675" s="377" t="s">
        <v>2760</v>
      </c>
      <c r="I1675" s="76"/>
      <c r="J1675" s="76"/>
      <c r="K1675" s="76"/>
      <c r="L1675" s="76"/>
      <c r="M1675" s="76"/>
      <c r="N1675" s="76"/>
      <c r="O1675" s="76"/>
      <c r="P1675" s="76"/>
      <c r="Q1675" s="76"/>
      <c r="R1675" s="76"/>
      <c r="S1675" s="76"/>
      <c r="T1675" s="76"/>
      <c r="U1675" s="76">
        <v>0</v>
      </c>
      <c r="V1675" s="255">
        <f t="shared" si="362"/>
        <v>0</v>
      </c>
      <c r="W1675" s="76">
        <v>0</v>
      </c>
      <c r="X1675" s="76">
        <v>0</v>
      </c>
      <c r="Y1675" s="76">
        <v>0</v>
      </c>
      <c r="Z1675" s="76">
        <v>0</v>
      </c>
      <c r="AA1675" s="76">
        <v>0</v>
      </c>
      <c r="AB1675" s="76">
        <v>0</v>
      </c>
      <c r="AC1675" s="76">
        <v>0</v>
      </c>
      <c r="AD1675" s="76">
        <v>0</v>
      </c>
      <c r="AE1675" s="76"/>
      <c r="AF1675" s="76"/>
      <c r="AG1675" s="76"/>
      <c r="AH1675" s="76">
        <v>1</v>
      </c>
      <c r="AI1675" s="76">
        <v>1</v>
      </c>
      <c r="AJ1675" s="73"/>
      <c r="AK1675" s="57"/>
      <c r="AL1675" s="45"/>
      <c r="AM1675" s="45"/>
      <c r="AN1675" s="45"/>
    </row>
    <row r="1676" spans="1:40" outlineLevel="2" x14ac:dyDescent="0.25">
      <c r="A1676" s="45"/>
      <c r="B1676" s="54"/>
      <c r="C1676" s="47">
        <f t="shared" si="363"/>
        <v>4</v>
      </c>
      <c r="D1676" s="73"/>
      <c r="E1676" s="70"/>
      <c r="F1676" s="70" t="str">
        <f>SUBSTITUTE(F1672,",4)",",8)")</f>
        <v>C(U2,25,8)</v>
      </c>
      <c r="G1676" s="73"/>
      <c r="H1676" s="378" t="s">
        <v>2755</v>
      </c>
      <c r="I1676" s="96"/>
      <c r="J1676" s="76"/>
      <c r="K1676" s="76"/>
      <c r="L1676" s="76"/>
      <c r="M1676" s="76"/>
      <c r="N1676" s="76"/>
      <c r="O1676" s="76"/>
      <c r="P1676" s="76"/>
      <c r="Q1676" s="76"/>
      <c r="R1676" s="76"/>
      <c r="S1676" s="76"/>
      <c r="T1676" s="76"/>
      <c r="U1676" s="97">
        <v>0.05</v>
      </c>
      <c r="V1676" s="255">
        <f t="shared" si="362"/>
        <v>0.05</v>
      </c>
      <c r="W1676" s="255">
        <f t="shared" ref="W1676:W1682" si="364">U1676</f>
        <v>0.05</v>
      </c>
      <c r="X1676" s="255">
        <f t="shared" ref="X1676:X1682" si="365">V1676</f>
        <v>0.05</v>
      </c>
      <c r="Y1676" s="255">
        <f>V1676</f>
        <v>0.05</v>
      </c>
      <c r="Z1676" s="255">
        <f>AA1676</f>
        <v>0</v>
      </c>
      <c r="AA1676" s="97">
        <v>0</v>
      </c>
      <c r="AB1676" s="255">
        <f t="shared" ref="AB1676:AB1682" si="366">AA1676</f>
        <v>0</v>
      </c>
      <c r="AC1676" s="255">
        <f t="shared" ref="AC1676:AC1682" si="367">AB1676</f>
        <v>0</v>
      </c>
      <c r="AD1676" s="255">
        <f t="shared" ref="AD1676:AD1682" si="368">AC1676</f>
        <v>0</v>
      </c>
      <c r="AE1676" s="76"/>
      <c r="AF1676" s="76"/>
      <c r="AG1676" s="76"/>
      <c r="AH1676" s="76">
        <v>1</v>
      </c>
      <c r="AI1676" s="76">
        <v>1</v>
      </c>
      <c r="AJ1676" s="73"/>
      <c r="AK1676" s="57"/>
      <c r="AL1676" s="45"/>
      <c r="AM1676" s="45"/>
      <c r="AN1676" s="45"/>
    </row>
    <row r="1677" spans="1:40" outlineLevel="2" x14ac:dyDescent="0.25">
      <c r="A1677" s="45"/>
      <c r="B1677" s="54"/>
      <c r="C1677" s="47">
        <f t="shared" si="363"/>
        <v>4</v>
      </c>
      <c r="D1677" s="73"/>
      <c r="E1677" s="70"/>
      <c r="F1677" s="70" t="str">
        <f>SUBSTITUTE(F1673,",5)",",9)")</f>
        <v>C(U2,25,9)</v>
      </c>
      <c r="G1677" s="73"/>
      <c r="H1677" s="378" t="s">
        <v>2812</v>
      </c>
      <c r="I1677" s="96"/>
      <c r="J1677" s="76"/>
      <c r="K1677" s="76"/>
      <c r="L1677" s="76"/>
      <c r="M1677" s="76"/>
      <c r="N1677" s="76"/>
      <c r="O1677" s="76"/>
      <c r="P1677" s="76"/>
      <c r="Q1677" s="76"/>
      <c r="R1677" s="76"/>
      <c r="S1677" s="76"/>
      <c r="T1677" s="76"/>
      <c r="U1677" s="97">
        <v>-9.3500000000000007E-3</v>
      </c>
      <c r="V1677" s="255">
        <f t="shared" si="362"/>
        <v>-9.3500000000000007E-3</v>
      </c>
      <c r="W1677" s="255">
        <f t="shared" si="364"/>
        <v>-9.3500000000000007E-3</v>
      </c>
      <c r="X1677" s="255">
        <f t="shared" si="365"/>
        <v>-9.3500000000000007E-3</v>
      </c>
      <c r="Y1677" s="255">
        <f>V1677</f>
        <v>-9.3500000000000007E-3</v>
      </c>
      <c r="Z1677" s="255">
        <f>AA1677</f>
        <v>-9.3500000000000007E-3</v>
      </c>
      <c r="AA1677" s="97">
        <v>-9.3500000000000007E-3</v>
      </c>
      <c r="AB1677" s="255">
        <f t="shared" si="366"/>
        <v>-9.3500000000000007E-3</v>
      </c>
      <c r="AC1677" s="255">
        <f t="shared" si="367"/>
        <v>-9.3500000000000007E-3</v>
      </c>
      <c r="AD1677" s="255">
        <f t="shared" si="368"/>
        <v>-9.3500000000000007E-3</v>
      </c>
      <c r="AE1677" s="76"/>
      <c r="AF1677" s="76"/>
      <c r="AG1677" s="76"/>
      <c r="AH1677" s="76">
        <v>1</v>
      </c>
      <c r="AI1677" s="76">
        <v>1</v>
      </c>
      <c r="AJ1677" s="73"/>
      <c r="AK1677" s="57"/>
      <c r="AL1677" s="45"/>
      <c r="AM1677" s="45"/>
      <c r="AN1677" s="45"/>
    </row>
    <row r="1678" spans="1:40" outlineLevel="2" x14ac:dyDescent="0.25">
      <c r="A1678" s="45"/>
      <c r="B1678" s="54"/>
      <c r="C1678" s="47">
        <f t="shared" si="363"/>
        <v>4</v>
      </c>
      <c r="D1678" s="73"/>
      <c r="E1678" s="70"/>
      <c r="F1678" s="70" t="str">
        <f>SUBSTITUTE(F1674,",6)",",10)")</f>
        <v>C(U2,25,10)</v>
      </c>
      <c r="G1678" s="73"/>
      <c r="H1678" s="378" t="s">
        <v>2811</v>
      </c>
      <c r="I1678" s="96"/>
      <c r="J1678" s="76"/>
      <c r="K1678" s="76"/>
      <c r="L1678" s="76"/>
      <c r="M1678" s="76"/>
      <c r="N1678" s="76"/>
      <c r="O1678" s="76"/>
      <c r="P1678" s="76"/>
      <c r="Q1678" s="76"/>
      <c r="R1678" s="76"/>
      <c r="S1678" s="76"/>
      <c r="T1678" s="76"/>
      <c r="U1678" s="97">
        <v>-7.0369200000000003E-3</v>
      </c>
      <c r="V1678" s="255">
        <f t="shared" si="362"/>
        <v>-7.0369200000000003E-3</v>
      </c>
      <c r="W1678" s="255">
        <f t="shared" si="364"/>
        <v>-7.0369200000000003E-3</v>
      </c>
      <c r="X1678" s="255">
        <f t="shared" si="365"/>
        <v>-7.0369200000000003E-3</v>
      </c>
      <c r="Y1678" s="255">
        <f>V1678</f>
        <v>-7.0369200000000003E-3</v>
      </c>
      <c r="Z1678" s="255">
        <f>AA1678</f>
        <v>-7.0369200000000003E-3</v>
      </c>
      <c r="AA1678" s="97">
        <v>-7.0369200000000003E-3</v>
      </c>
      <c r="AB1678" s="255">
        <f t="shared" si="366"/>
        <v>-7.0369200000000003E-3</v>
      </c>
      <c r="AC1678" s="255">
        <f t="shared" si="367"/>
        <v>-7.0369200000000003E-3</v>
      </c>
      <c r="AD1678" s="255">
        <f t="shared" si="368"/>
        <v>-7.0369200000000003E-3</v>
      </c>
      <c r="AE1678" s="76"/>
      <c r="AF1678" s="76"/>
      <c r="AG1678" s="76"/>
      <c r="AH1678" s="76">
        <v>1</v>
      </c>
      <c r="AI1678" s="76">
        <v>1</v>
      </c>
      <c r="AJ1678" s="73"/>
      <c r="AK1678" s="57"/>
      <c r="AL1678" s="45"/>
      <c r="AM1678" s="45"/>
      <c r="AN1678" s="45"/>
    </row>
    <row r="1679" spans="1:40" outlineLevel="2" x14ac:dyDescent="0.25">
      <c r="A1679" s="45"/>
      <c r="B1679" s="54"/>
      <c r="C1679" s="47">
        <f t="shared" si="363"/>
        <v>4</v>
      </c>
      <c r="D1679" s="73"/>
      <c r="E1679" s="70"/>
      <c r="F1679" s="70" t="str">
        <f>SUBSTITUTE(F1675,",7)",",11)")</f>
        <v>C(U2,25,11)</v>
      </c>
      <c r="G1679" s="73"/>
      <c r="H1679" s="378" t="s">
        <v>2761</v>
      </c>
      <c r="I1679" s="96"/>
      <c r="J1679" s="76"/>
      <c r="K1679" s="76"/>
      <c r="L1679" s="76"/>
      <c r="M1679" s="76"/>
      <c r="N1679" s="76"/>
      <c r="O1679" s="76"/>
      <c r="P1679" s="76"/>
      <c r="Q1679" s="76"/>
      <c r="R1679" s="76"/>
      <c r="S1679" s="76"/>
      <c r="T1679" s="76"/>
      <c r="U1679" s="97">
        <v>7.4569999999999999E-5</v>
      </c>
      <c r="V1679" s="255">
        <f t="shared" si="362"/>
        <v>7.4569999999999999E-5</v>
      </c>
      <c r="W1679" s="255">
        <f t="shared" si="364"/>
        <v>7.4569999999999999E-5</v>
      </c>
      <c r="X1679" s="255">
        <f t="shared" si="365"/>
        <v>7.4569999999999999E-5</v>
      </c>
      <c r="Y1679" s="255">
        <f>V1679</f>
        <v>7.4569999999999999E-5</v>
      </c>
      <c r="Z1679" s="255">
        <f>AA1679</f>
        <v>7.4569999999999999E-5</v>
      </c>
      <c r="AA1679" s="97">
        <v>7.4569999999999999E-5</v>
      </c>
      <c r="AB1679" s="255">
        <f t="shared" si="366"/>
        <v>7.4569999999999999E-5</v>
      </c>
      <c r="AC1679" s="255">
        <f t="shared" si="367"/>
        <v>7.4569999999999999E-5</v>
      </c>
      <c r="AD1679" s="255">
        <f t="shared" si="368"/>
        <v>7.4569999999999999E-5</v>
      </c>
      <c r="AE1679" s="76"/>
      <c r="AF1679" s="76"/>
      <c r="AG1679" s="76"/>
      <c r="AH1679" s="76">
        <v>1</v>
      </c>
      <c r="AI1679" s="76">
        <v>1</v>
      </c>
      <c r="AJ1679" s="73"/>
      <c r="AK1679" s="57"/>
      <c r="AL1679" s="45"/>
      <c r="AM1679" s="45"/>
      <c r="AN1679" s="45"/>
    </row>
    <row r="1680" spans="1:40" outlineLevel="2" x14ac:dyDescent="0.25">
      <c r="A1680" s="45"/>
      <c r="B1680" s="54"/>
      <c r="C1680" s="47">
        <f t="shared" si="363"/>
        <v>4</v>
      </c>
      <c r="D1680" s="73"/>
      <c r="E1680" s="70"/>
      <c r="F1680" s="70" t="s">
        <v>3370</v>
      </c>
      <c r="G1680" s="73"/>
      <c r="H1680" s="378" t="s">
        <v>3367</v>
      </c>
      <c r="I1680" s="96"/>
      <c r="J1680" s="76"/>
      <c r="K1680" s="76"/>
      <c r="L1680" s="76"/>
      <c r="M1680" s="76"/>
      <c r="N1680" s="76"/>
      <c r="O1680" s="76"/>
      <c r="P1680" s="76"/>
      <c r="Q1680" s="76"/>
      <c r="R1680" s="76"/>
      <c r="S1680" s="76"/>
      <c r="T1680" s="76"/>
      <c r="U1680" s="97">
        <v>0</v>
      </c>
      <c r="V1680" s="255">
        <f t="shared" si="362"/>
        <v>0</v>
      </c>
      <c r="W1680" s="97">
        <v>0</v>
      </c>
      <c r="X1680" s="97">
        <v>0</v>
      </c>
      <c r="Y1680" s="97">
        <v>0</v>
      </c>
      <c r="Z1680" s="97">
        <v>0</v>
      </c>
      <c r="AA1680" s="97">
        <v>0</v>
      </c>
      <c r="AB1680" s="97">
        <v>0</v>
      </c>
      <c r="AC1680" s="97">
        <v>0</v>
      </c>
      <c r="AD1680" s="97">
        <v>0</v>
      </c>
      <c r="AE1680" s="76"/>
      <c r="AF1680" s="76"/>
      <c r="AG1680" s="76"/>
      <c r="AH1680" s="76">
        <v>1</v>
      </c>
      <c r="AI1680" s="76">
        <v>1</v>
      </c>
      <c r="AJ1680" s="73"/>
      <c r="AK1680" s="57"/>
      <c r="AL1680" s="45"/>
      <c r="AM1680" s="45"/>
      <c r="AN1680" s="45"/>
    </row>
    <row r="1681" spans="1:40" outlineLevel="2" x14ac:dyDescent="0.25">
      <c r="A1681" s="45"/>
      <c r="B1681" s="54"/>
      <c r="C1681" s="47">
        <f t="shared" si="363"/>
        <v>4</v>
      </c>
      <c r="D1681" s="73"/>
      <c r="E1681" s="70"/>
      <c r="F1681" s="70" t="s">
        <v>3371</v>
      </c>
      <c r="G1681" s="73"/>
      <c r="H1681" s="378" t="s">
        <v>3366</v>
      </c>
      <c r="I1681" s="96"/>
      <c r="J1681" s="76"/>
      <c r="K1681" s="76"/>
      <c r="L1681" s="76"/>
      <c r="M1681" s="76"/>
      <c r="N1681" s="76"/>
      <c r="O1681" s="76"/>
      <c r="P1681" s="76"/>
      <c r="Q1681" s="76"/>
      <c r="R1681" s="76"/>
      <c r="S1681" s="76"/>
      <c r="T1681" s="76"/>
      <c r="U1681" s="97">
        <v>0</v>
      </c>
      <c r="V1681" s="255">
        <f t="shared" si="362"/>
        <v>0</v>
      </c>
      <c r="W1681" s="97">
        <v>0</v>
      </c>
      <c r="X1681" s="97">
        <v>0</v>
      </c>
      <c r="Y1681" s="97">
        <v>0</v>
      </c>
      <c r="Z1681" s="97">
        <v>0</v>
      </c>
      <c r="AA1681" s="97">
        <v>0</v>
      </c>
      <c r="AB1681" s="97">
        <v>0</v>
      </c>
      <c r="AC1681" s="97">
        <v>0</v>
      </c>
      <c r="AD1681" s="97">
        <v>0</v>
      </c>
      <c r="AE1681" s="76"/>
      <c r="AF1681" s="76"/>
      <c r="AG1681" s="76"/>
      <c r="AH1681" s="76">
        <v>1</v>
      </c>
      <c r="AI1681" s="76">
        <v>1</v>
      </c>
      <c r="AJ1681" s="73"/>
      <c r="AK1681" s="57"/>
      <c r="AL1681" s="45"/>
      <c r="AM1681" s="45"/>
      <c r="AN1681" s="45"/>
    </row>
    <row r="1682" spans="1:40" outlineLevel="2" x14ac:dyDescent="0.25">
      <c r="A1682" s="45"/>
      <c r="B1682" s="54"/>
      <c r="C1682" s="47">
        <f>INT($C$29)+2</f>
        <v>3</v>
      </c>
      <c r="D1682" s="73"/>
      <c r="E1682" s="70"/>
      <c r="F1682" s="70" t="s">
        <v>2484</v>
      </c>
      <c r="G1682" s="73"/>
      <c r="H1682" s="76" t="s">
        <v>2504</v>
      </c>
      <c r="I1682" s="76"/>
      <c r="J1682" s="76"/>
      <c r="K1682" s="76"/>
      <c r="L1682" s="76"/>
      <c r="M1682" s="76"/>
      <c r="N1682" s="76"/>
      <c r="O1682" s="76"/>
      <c r="P1682" s="76"/>
      <c r="Q1682" s="76"/>
      <c r="R1682" s="76"/>
      <c r="S1682" s="76"/>
      <c r="T1682" s="76"/>
      <c r="U1682" s="97">
        <v>-1.8110552</v>
      </c>
      <c r="V1682" s="255">
        <f t="shared" si="362"/>
        <v>-1.8110552</v>
      </c>
      <c r="W1682" s="255">
        <f t="shared" si="364"/>
        <v>-1.8110552</v>
      </c>
      <c r="X1682" s="255">
        <f t="shared" si="365"/>
        <v>-1.8110552</v>
      </c>
      <c r="Y1682" s="255">
        <f>V1682</f>
        <v>-1.8110552</v>
      </c>
      <c r="Z1682" s="255">
        <f>AA1682</f>
        <v>-0.49941732500000002</v>
      </c>
      <c r="AA1682" s="97">
        <v>-0.49941732500000002</v>
      </c>
      <c r="AB1682" s="255">
        <f t="shared" si="366"/>
        <v>-0.49941732500000002</v>
      </c>
      <c r="AC1682" s="255">
        <f t="shared" si="367"/>
        <v>-0.49941732500000002</v>
      </c>
      <c r="AD1682" s="255">
        <f t="shared" si="368"/>
        <v>-0.49941732500000002</v>
      </c>
      <c r="AE1682" s="76"/>
      <c r="AF1682" s="97" t="s">
        <v>2757</v>
      </c>
      <c r="AG1682" s="76"/>
      <c r="AH1682" s="97">
        <v>1</v>
      </c>
      <c r="AI1682" s="97">
        <v>1</v>
      </c>
      <c r="AJ1682" s="73"/>
      <c r="AK1682" s="57"/>
      <c r="AL1682" s="45"/>
      <c r="AM1682" s="45"/>
      <c r="AN1682" s="45"/>
    </row>
    <row r="1683" spans="1:40" outlineLevel="2" x14ac:dyDescent="0.25">
      <c r="A1683" s="45"/>
      <c r="B1683" s="54"/>
      <c r="C1683" s="47">
        <f>INT($C$29)+2</f>
        <v>3</v>
      </c>
      <c r="D1683" s="73"/>
      <c r="E1683" s="70"/>
      <c r="F1683" s="70" t="s">
        <v>3341</v>
      </c>
      <c r="G1683" s="73"/>
      <c r="H1683" s="76" t="s">
        <v>2540</v>
      </c>
      <c r="I1683" s="76"/>
      <c r="J1683" s="76"/>
      <c r="K1683" s="76"/>
      <c r="L1683" s="76"/>
      <c r="M1683" s="76"/>
      <c r="N1683" s="76"/>
      <c r="O1683" s="76"/>
      <c r="P1683" s="76"/>
      <c r="Q1683" s="76"/>
      <c r="R1683" s="76"/>
      <c r="S1683" s="76"/>
      <c r="T1683" s="76"/>
      <c r="U1683" s="97">
        <v>-9.8000000000000004E-2</v>
      </c>
      <c r="V1683" s="255">
        <f>U1683</f>
        <v>-9.8000000000000004E-2</v>
      </c>
      <c r="W1683" s="255">
        <f t="shared" si="360"/>
        <v>-9.8000000000000004E-2</v>
      </c>
      <c r="X1683" s="255">
        <f t="shared" si="360"/>
        <v>-9.8000000000000004E-2</v>
      </c>
      <c r="Y1683" s="255">
        <f>V1683</f>
        <v>-9.8000000000000004E-2</v>
      </c>
      <c r="Z1683" s="255">
        <f>AA1683</f>
        <v>-3.9480000000000001E-2</v>
      </c>
      <c r="AA1683" s="97">
        <v>-3.9480000000000001E-2</v>
      </c>
      <c r="AB1683" s="255">
        <f t="shared" si="361"/>
        <v>-3.9480000000000001E-2</v>
      </c>
      <c r="AC1683" s="255">
        <f t="shared" si="361"/>
        <v>-3.9480000000000001E-2</v>
      </c>
      <c r="AD1683" s="255">
        <f t="shared" si="361"/>
        <v>-3.9480000000000001E-2</v>
      </c>
      <c r="AE1683" s="76"/>
      <c r="AF1683" s="97" t="s">
        <v>2824</v>
      </c>
      <c r="AG1683" s="76"/>
      <c r="AH1683" s="97">
        <v>1</v>
      </c>
      <c r="AI1683" s="97">
        <v>1</v>
      </c>
      <c r="AJ1683" s="73"/>
      <c r="AK1683" s="57"/>
      <c r="AL1683" s="45"/>
      <c r="AM1683" s="45"/>
      <c r="AN1683" s="45"/>
    </row>
    <row r="1684" spans="1:40" outlineLevel="2" collapsed="1" x14ac:dyDescent="0.25">
      <c r="A1684" s="45"/>
      <c r="B1684" s="54"/>
      <c r="C1684" s="47">
        <f>INT($C$29)+2</f>
        <v>3</v>
      </c>
      <c r="D1684" s="73"/>
      <c r="E1684" s="70"/>
      <c r="F1684" s="70" t="s">
        <v>3343</v>
      </c>
      <c r="G1684" s="73"/>
      <c r="H1684" s="76" t="s">
        <v>2500</v>
      </c>
      <c r="I1684" s="76"/>
      <c r="J1684" s="76"/>
      <c r="K1684" s="76"/>
      <c r="L1684" s="76"/>
      <c r="M1684" s="76"/>
      <c r="N1684" s="76"/>
      <c r="O1684" s="76"/>
      <c r="P1684" s="76"/>
      <c r="Q1684" s="76"/>
      <c r="R1684" s="76"/>
      <c r="S1684" s="76"/>
      <c r="T1684" s="76"/>
      <c r="U1684" s="97">
        <v>0</v>
      </c>
      <c r="V1684" s="255">
        <f>U1684</f>
        <v>0</v>
      </c>
      <c r="W1684" s="255">
        <f t="shared" si="360"/>
        <v>0</v>
      </c>
      <c r="X1684" s="255">
        <f t="shared" si="360"/>
        <v>0</v>
      </c>
      <c r="Y1684" s="255">
        <f>V1684</f>
        <v>0</v>
      </c>
      <c r="Z1684" s="255">
        <f>AA1684</f>
        <v>0</v>
      </c>
      <c r="AA1684" s="97">
        <v>0</v>
      </c>
      <c r="AB1684" s="255">
        <f t="shared" si="361"/>
        <v>0</v>
      </c>
      <c r="AC1684" s="255">
        <f t="shared" si="361"/>
        <v>0</v>
      </c>
      <c r="AD1684" s="255">
        <f t="shared" si="361"/>
        <v>0</v>
      </c>
      <c r="AE1684" s="76"/>
      <c r="AF1684" s="76"/>
      <c r="AG1684" s="76"/>
      <c r="AH1684" s="97">
        <v>1</v>
      </c>
      <c r="AI1684" s="97">
        <v>1</v>
      </c>
      <c r="AJ1684" s="73"/>
      <c r="AK1684" s="57"/>
      <c r="AL1684" s="45"/>
      <c r="AM1684" s="45"/>
      <c r="AN1684" s="45"/>
    </row>
    <row r="1685" spans="1:40" hidden="1" outlineLevel="3" collapsed="1" x14ac:dyDescent="0.25">
      <c r="A1685" s="45"/>
      <c r="B1685" s="54"/>
      <c r="C1685" s="47">
        <f t="shared" ref="C1685:C1696" si="369">INT($C$29)+3</f>
        <v>4</v>
      </c>
      <c r="D1685" s="73"/>
      <c r="E1685" s="70"/>
      <c r="F1685" s="70" t="s">
        <v>3342</v>
      </c>
      <c r="G1685" s="73"/>
      <c r="H1685" s="378" t="s">
        <v>2501</v>
      </c>
      <c r="I1685" s="76"/>
      <c r="J1685" s="76"/>
      <c r="K1685" s="76"/>
      <c r="L1685" s="76"/>
      <c r="M1685" s="76"/>
      <c r="N1685" s="76"/>
      <c r="O1685" s="76"/>
      <c r="P1685" s="76"/>
      <c r="Q1685" s="76"/>
      <c r="R1685" s="76"/>
      <c r="S1685" s="76"/>
      <c r="T1685" s="76"/>
      <c r="U1685" s="97">
        <v>0</v>
      </c>
      <c r="V1685" s="255">
        <f>U1685</f>
        <v>0</v>
      </c>
      <c r="W1685" s="255">
        <f t="shared" si="360"/>
        <v>0</v>
      </c>
      <c r="X1685" s="255">
        <f t="shared" si="360"/>
        <v>0</v>
      </c>
      <c r="Y1685" s="255">
        <f>V1685</f>
        <v>0</v>
      </c>
      <c r="Z1685" s="255">
        <f>AA1685</f>
        <v>0</v>
      </c>
      <c r="AA1685" s="97">
        <v>0</v>
      </c>
      <c r="AB1685" s="255">
        <f t="shared" si="361"/>
        <v>0</v>
      </c>
      <c r="AC1685" s="255">
        <f t="shared" si="361"/>
        <v>0</v>
      </c>
      <c r="AD1685" s="255">
        <f t="shared" si="361"/>
        <v>0</v>
      </c>
      <c r="AE1685" s="76"/>
      <c r="AF1685" s="76"/>
      <c r="AG1685" s="76"/>
      <c r="AH1685" s="97">
        <v>1</v>
      </c>
      <c r="AI1685" s="97">
        <v>1</v>
      </c>
      <c r="AJ1685" s="73"/>
      <c r="AK1685" s="57"/>
      <c r="AL1685" s="45"/>
      <c r="AM1685" s="45"/>
      <c r="AN1685" s="45"/>
    </row>
    <row r="1686" spans="1:40" hidden="1" outlineLevel="3" x14ac:dyDescent="0.25">
      <c r="A1686" s="45"/>
      <c r="B1686" s="54"/>
      <c r="C1686" s="47">
        <f t="shared" si="369"/>
        <v>4</v>
      </c>
      <c r="D1686" s="73"/>
      <c r="E1686" s="70"/>
      <c r="F1686" s="70" t="s">
        <v>3344</v>
      </c>
      <c r="G1686" s="73"/>
      <c r="H1686" s="378" t="s">
        <v>2759</v>
      </c>
      <c r="I1686" s="76"/>
      <c r="J1686" s="76"/>
      <c r="K1686" s="76"/>
      <c r="L1686" s="76"/>
      <c r="M1686" s="76"/>
      <c r="N1686" s="76"/>
      <c r="O1686" s="76"/>
      <c r="P1686" s="76"/>
      <c r="Q1686" s="76"/>
      <c r="R1686" s="76"/>
      <c r="S1686" s="76"/>
      <c r="T1686" s="76"/>
      <c r="U1686" s="76">
        <v>0</v>
      </c>
      <c r="V1686" s="76">
        <v>0</v>
      </c>
      <c r="W1686" s="76">
        <v>0</v>
      </c>
      <c r="X1686" s="76">
        <v>0</v>
      </c>
      <c r="Y1686" s="76">
        <v>0</v>
      </c>
      <c r="Z1686" s="76">
        <v>0</v>
      </c>
      <c r="AA1686" s="76">
        <v>0</v>
      </c>
      <c r="AB1686" s="76">
        <v>0</v>
      </c>
      <c r="AC1686" s="76">
        <v>0</v>
      </c>
      <c r="AD1686" s="76">
        <v>0</v>
      </c>
      <c r="AE1686" s="76"/>
      <c r="AF1686" s="76"/>
      <c r="AG1686" s="76"/>
      <c r="AH1686" s="76">
        <v>1</v>
      </c>
      <c r="AI1686" s="76">
        <v>1</v>
      </c>
      <c r="AJ1686" s="73"/>
      <c r="AK1686" s="57"/>
      <c r="AL1686" s="45"/>
      <c r="AM1686" s="45"/>
      <c r="AN1686" s="45"/>
    </row>
    <row r="1687" spans="1:40" outlineLevel="2" collapsed="1" x14ac:dyDescent="0.25">
      <c r="A1687" s="45"/>
      <c r="B1687" s="54"/>
      <c r="C1687" s="47">
        <f t="shared" si="369"/>
        <v>4</v>
      </c>
      <c r="D1687" s="73"/>
      <c r="E1687" s="70"/>
      <c r="F1687" s="70" t="s">
        <v>3345</v>
      </c>
      <c r="G1687" s="73"/>
      <c r="H1687" s="378" t="s">
        <v>2502</v>
      </c>
      <c r="I1687" s="76"/>
      <c r="J1687" s="76"/>
      <c r="K1687" s="76"/>
      <c r="L1687" s="76"/>
      <c r="M1687" s="76"/>
      <c r="N1687" s="76"/>
      <c r="O1687" s="76"/>
      <c r="P1687" s="76"/>
      <c r="Q1687" s="76"/>
      <c r="R1687" s="76"/>
      <c r="S1687" s="76"/>
      <c r="T1687" s="76"/>
      <c r="U1687" s="97">
        <v>0</v>
      </c>
      <c r="V1687" s="255">
        <f>U1687</f>
        <v>0</v>
      </c>
      <c r="W1687" s="255">
        <f>U1687</f>
        <v>0</v>
      </c>
      <c r="X1687" s="255">
        <f>V1687</f>
        <v>0</v>
      </c>
      <c r="Y1687" s="255">
        <f>V1687</f>
        <v>0</v>
      </c>
      <c r="Z1687" s="255">
        <f>AA1687</f>
        <v>0</v>
      </c>
      <c r="AA1687" s="97">
        <v>0</v>
      </c>
      <c r="AB1687" s="255">
        <f>AA1687</f>
        <v>0</v>
      </c>
      <c r="AC1687" s="255">
        <f>AB1687</f>
        <v>0</v>
      </c>
      <c r="AD1687" s="255">
        <f>AC1687</f>
        <v>0</v>
      </c>
      <c r="AE1687" s="76"/>
      <c r="AF1687" s="76"/>
      <c r="AG1687" s="76"/>
      <c r="AH1687" s="97">
        <v>1</v>
      </c>
      <c r="AI1687" s="97">
        <v>1</v>
      </c>
      <c r="AJ1687" s="73"/>
      <c r="AK1687" s="57"/>
      <c r="AL1687" s="45"/>
      <c r="AM1687" s="45"/>
      <c r="AN1687" s="45"/>
    </row>
    <row r="1688" spans="1:40" hidden="1" outlineLevel="3" x14ac:dyDescent="0.25">
      <c r="A1688" s="45"/>
      <c r="B1688" s="54"/>
      <c r="C1688" s="47">
        <f t="shared" si="369"/>
        <v>4</v>
      </c>
      <c r="D1688" s="73"/>
      <c r="E1688" s="70"/>
      <c r="F1688" s="70" t="s">
        <v>3346</v>
      </c>
      <c r="G1688" s="73"/>
      <c r="H1688" s="377" t="s">
        <v>2758</v>
      </c>
      <c r="I1688" s="76"/>
      <c r="J1688" s="76"/>
      <c r="K1688" s="76"/>
      <c r="L1688" s="76"/>
      <c r="M1688" s="76"/>
      <c r="N1688" s="76"/>
      <c r="O1688" s="76"/>
      <c r="P1688" s="76"/>
      <c r="Q1688" s="76"/>
      <c r="R1688" s="76"/>
      <c r="S1688" s="76"/>
      <c r="T1688" s="76"/>
      <c r="U1688" s="76">
        <v>0</v>
      </c>
      <c r="V1688" s="76">
        <v>0</v>
      </c>
      <c r="W1688" s="76">
        <v>0</v>
      </c>
      <c r="X1688" s="76">
        <v>0</v>
      </c>
      <c r="Y1688" s="76">
        <v>0</v>
      </c>
      <c r="Z1688" s="76">
        <v>0</v>
      </c>
      <c r="AA1688" s="76">
        <v>0</v>
      </c>
      <c r="AB1688" s="76">
        <v>0</v>
      </c>
      <c r="AC1688" s="76">
        <v>0</v>
      </c>
      <c r="AD1688" s="76">
        <v>0</v>
      </c>
      <c r="AE1688" s="76"/>
      <c r="AF1688" s="76"/>
      <c r="AG1688" s="76"/>
      <c r="AH1688" s="76">
        <v>1</v>
      </c>
      <c r="AI1688" s="76">
        <v>1</v>
      </c>
      <c r="AJ1688" s="73"/>
      <c r="AK1688" s="57"/>
      <c r="AL1688" s="45"/>
      <c r="AM1688" s="45"/>
      <c r="AN1688" s="45"/>
    </row>
    <row r="1689" spans="1:40" outlineLevel="2" collapsed="1" x14ac:dyDescent="0.25">
      <c r="A1689" s="45"/>
      <c r="B1689" s="54"/>
      <c r="C1689" s="47">
        <f t="shared" si="369"/>
        <v>4</v>
      </c>
      <c r="D1689" s="73"/>
      <c r="E1689" s="70"/>
      <c r="F1689" s="70" t="s">
        <v>3347</v>
      </c>
      <c r="G1689" s="73"/>
      <c r="H1689" s="378" t="s">
        <v>2503</v>
      </c>
      <c r="I1689" s="76"/>
      <c r="J1689" s="76"/>
      <c r="K1689" s="76"/>
      <c r="L1689" s="76"/>
      <c r="M1689" s="76"/>
      <c r="N1689" s="76"/>
      <c r="O1689" s="76"/>
      <c r="P1689" s="76"/>
      <c r="Q1689" s="76"/>
      <c r="R1689" s="76"/>
      <c r="S1689" s="76"/>
      <c r="T1689" s="76"/>
      <c r="U1689" s="97">
        <v>-3.7749999999999999E-2</v>
      </c>
      <c r="V1689" s="255">
        <f>U1689</f>
        <v>-3.7749999999999999E-2</v>
      </c>
      <c r="W1689" s="255">
        <f>U1689</f>
        <v>-3.7749999999999999E-2</v>
      </c>
      <c r="X1689" s="255">
        <f>V1689</f>
        <v>-3.7749999999999999E-2</v>
      </c>
      <c r="Y1689" s="255">
        <f>V1689</f>
        <v>-3.7749999999999999E-2</v>
      </c>
      <c r="Z1689" s="255">
        <f>AA1689</f>
        <v>-2.775E-2</v>
      </c>
      <c r="AA1689" s="97">
        <v>-2.775E-2</v>
      </c>
      <c r="AB1689" s="255">
        <f>AA1689</f>
        <v>-2.775E-2</v>
      </c>
      <c r="AC1689" s="255">
        <f>AB1689</f>
        <v>-2.775E-2</v>
      </c>
      <c r="AD1689" s="255">
        <f>AC1689</f>
        <v>-2.775E-2</v>
      </c>
      <c r="AE1689" s="76"/>
      <c r="AF1689" s="76"/>
      <c r="AG1689" s="76"/>
      <c r="AH1689" s="97">
        <v>1</v>
      </c>
      <c r="AI1689" s="97">
        <v>1</v>
      </c>
      <c r="AJ1689" s="73"/>
      <c r="AK1689" s="57"/>
      <c r="AL1689" s="45"/>
      <c r="AM1689" s="45"/>
      <c r="AN1689" s="45"/>
    </row>
    <row r="1690" spans="1:40" hidden="1" outlineLevel="3" x14ac:dyDescent="0.25">
      <c r="A1690" s="45"/>
      <c r="B1690" s="54"/>
      <c r="C1690" s="47">
        <f t="shared" si="369"/>
        <v>4</v>
      </c>
      <c r="D1690" s="73"/>
      <c r="E1690" s="70"/>
      <c r="F1690" s="70" t="s">
        <v>3348</v>
      </c>
      <c r="G1690" s="73"/>
      <c r="H1690" s="377" t="s">
        <v>2760</v>
      </c>
      <c r="I1690" s="76"/>
      <c r="J1690" s="76"/>
      <c r="K1690" s="76"/>
      <c r="L1690" s="76"/>
      <c r="M1690" s="76"/>
      <c r="N1690" s="76"/>
      <c r="O1690" s="76"/>
      <c r="P1690" s="76"/>
      <c r="Q1690" s="76"/>
      <c r="R1690" s="76"/>
      <c r="S1690" s="76"/>
      <c r="T1690" s="76"/>
      <c r="U1690" s="76">
        <v>0</v>
      </c>
      <c r="V1690" s="76">
        <v>0</v>
      </c>
      <c r="W1690" s="76">
        <v>0</v>
      </c>
      <c r="X1690" s="76">
        <v>0</v>
      </c>
      <c r="Y1690" s="76">
        <v>0</v>
      </c>
      <c r="Z1690" s="76">
        <v>0</v>
      </c>
      <c r="AA1690" s="76">
        <v>0</v>
      </c>
      <c r="AB1690" s="76">
        <v>0</v>
      </c>
      <c r="AC1690" s="76">
        <v>0</v>
      </c>
      <c r="AD1690" s="76">
        <v>0</v>
      </c>
      <c r="AE1690" s="76"/>
      <c r="AF1690" s="76"/>
      <c r="AG1690" s="76"/>
      <c r="AH1690" s="76">
        <v>1</v>
      </c>
      <c r="AI1690" s="76">
        <v>1</v>
      </c>
      <c r="AJ1690" s="73"/>
      <c r="AK1690" s="57"/>
      <c r="AL1690" s="45"/>
      <c r="AM1690" s="45"/>
      <c r="AN1690" s="45"/>
    </row>
    <row r="1691" spans="1:40" outlineLevel="2" x14ac:dyDescent="0.25">
      <c r="A1691" s="45"/>
      <c r="B1691" s="54"/>
      <c r="C1691" s="47">
        <f t="shared" si="369"/>
        <v>4</v>
      </c>
      <c r="D1691" s="73"/>
      <c r="E1691" s="70"/>
      <c r="F1691" s="70" t="s">
        <v>3349</v>
      </c>
      <c r="G1691" s="73"/>
      <c r="H1691" s="378" t="s">
        <v>2755</v>
      </c>
      <c r="I1691" s="96"/>
      <c r="J1691" s="76"/>
      <c r="K1691" s="76"/>
      <c r="L1691" s="76"/>
      <c r="M1691" s="76"/>
      <c r="N1691" s="76"/>
      <c r="O1691" s="76"/>
      <c r="P1691" s="76"/>
      <c r="Q1691" s="76"/>
      <c r="R1691" s="76"/>
      <c r="S1691" s="76"/>
      <c r="T1691" s="76"/>
      <c r="U1691" s="97">
        <v>0.05</v>
      </c>
      <c r="V1691" s="255">
        <f>U1691</f>
        <v>0.05</v>
      </c>
      <c r="W1691" s="255">
        <f t="shared" ref="W1691:X1700" si="370">U1691</f>
        <v>0.05</v>
      </c>
      <c r="X1691" s="255">
        <f t="shared" si="370"/>
        <v>0.05</v>
      </c>
      <c r="Y1691" s="255">
        <f>V1691</f>
        <v>0.05</v>
      </c>
      <c r="Z1691" s="255">
        <f>AA1691</f>
        <v>0</v>
      </c>
      <c r="AA1691" s="97">
        <v>0</v>
      </c>
      <c r="AB1691" s="255">
        <f t="shared" ref="AB1691:AD1700" si="371">AA1691</f>
        <v>0</v>
      </c>
      <c r="AC1691" s="255">
        <f t="shared" si="371"/>
        <v>0</v>
      </c>
      <c r="AD1691" s="255">
        <f t="shared" si="371"/>
        <v>0</v>
      </c>
      <c r="AE1691" s="76"/>
      <c r="AF1691" s="76"/>
      <c r="AG1691" s="76"/>
      <c r="AH1691" s="76">
        <v>1</v>
      </c>
      <c r="AI1691" s="76">
        <v>1</v>
      </c>
      <c r="AJ1691" s="73"/>
      <c r="AK1691" s="57"/>
      <c r="AL1691" s="45"/>
      <c r="AM1691" s="45"/>
      <c r="AN1691" s="45"/>
    </row>
    <row r="1692" spans="1:40" outlineLevel="2" x14ac:dyDescent="0.25">
      <c r="A1692" s="45"/>
      <c r="B1692" s="54"/>
      <c r="C1692" s="47">
        <f t="shared" si="369"/>
        <v>4</v>
      </c>
      <c r="D1692" s="73"/>
      <c r="E1692" s="70"/>
      <c r="F1692" s="70" t="s">
        <v>3350</v>
      </c>
      <c r="G1692" s="73"/>
      <c r="H1692" s="378" t="s">
        <v>2812</v>
      </c>
      <c r="I1692" s="96"/>
      <c r="J1692" s="76"/>
      <c r="K1692" s="76"/>
      <c r="L1692" s="76"/>
      <c r="M1692" s="76"/>
      <c r="N1692" s="76"/>
      <c r="O1692" s="76"/>
      <c r="P1692" s="76"/>
      <c r="Q1692" s="76"/>
      <c r="R1692" s="76"/>
      <c r="S1692" s="76"/>
      <c r="T1692" s="76"/>
      <c r="U1692" s="97">
        <v>-9.3500000000000007E-3</v>
      </c>
      <c r="V1692" s="255">
        <f>U1692</f>
        <v>-9.3500000000000007E-3</v>
      </c>
      <c r="W1692" s="255">
        <f t="shared" si="370"/>
        <v>-9.3500000000000007E-3</v>
      </c>
      <c r="X1692" s="255">
        <f t="shared" si="370"/>
        <v>-9.3500000000000007E-3</v>
      </c>
      <c r="Y1692" s="255">
        <f>V1692</f>
        <v>-9.3500000000000007E-3</v>
      </c>
      <c r="Z1692" s="255">
        <f>AA1692</f>
        <v>-9.3500000000000007E-3</v>
      </c>
      <c r="AA1692" s="97">
        <v>-9.3500000000000007E-3</v>
      </c>
      <c r="AB1692" s="255">
        <f t="shared" si="371"/>
        <v>-9.3500000000000007E-3</v>
      </c>
      <c r="AC1692" s="255">
        <f t="shared" si="371"/>
        <v>-9.3500000000000007E-3</v>
      </c>
      <c r="AD1692" s="255">
        <f t="shared" si="371"/>
        <v>-9.3500000000000007E-3</v>
      </c>
      <c r="AE1692" s="76"/>
      <c r="AF1692" s="76"/>
      <c r="AG1692" s="76"/>
      <c r="AH1692" s="76">
        <v>1</v>
      </c>
      <c r="AI1692" s="76">
        <v>1</v>
      </c>
      <c r="AJ1692" s="73"/>
      <c r="AK1692" s="57"/>
      <c r="AL1692" s="45"/>
      <c r="AM1692" s="45"/>
      <c r="AN1692" s="45"/>
    </row>
    <row r="1693" spans="1:40" outlineLevel="2" x14ac:dyDescent="0.25">
      <c r="A1693" s="45"/>
      <c r="B1693" s="54"/>
      <c r="C1693" s="47">
        <f t="shared" si="369"/>
        <v>4</v>
      </c>
      <c r="D1693" s="73"/>
      <c r="E1693" s="70"/>
      <c r="F1693" s="70" t="s">
        <v>3351</v>
      </c>
      <c r="G1693" s="73"/>
      <c r="H1693" s="378" t="s">
        <v>2811</v>
      </c>
      <c r="I1693" s="96"/>
      <c r="J1693" s="76"/>
      <c r="K1693" s="76"/>
      <c r="L1693" s="76"/>
      <c r="M1693" s="76"/>
      <c r="N1693" s="76"/>
      <c r="O1693" s="76"/>
      <c r="P1693" s="76"/>
      <c r="Q1693" s="76"/>
      <c r="R1693" s="76"/>
      <c r="S1693" s="76"/>
      <c r="T1693" s="76"/>
      <c r="U1693" s="97">
        <v>-7.0369200000000003E-3</v>
      </c>
      <c r="V1693" s="255">
        <f>U1693</f>
        <v>-7.0369200000000003E-3</v>
      </c>
      <c r="W1693" s="255">
        <f t="shared" si="370"/>
        <v>-7.0369200000000003E-3</v>
      </c>
      <c r="X1693" s="255">
        <f t="shared" si="370"/>
        <v>-7.0369200000000003E-3</v>
      </c>
      <c r="Y1693" s="255">
        <f>V1693</f>
        <v>-7.0369200000000003E-3</v>
      </c>
      <c r="Z1693" s="255">
        <f>AA1693</f>
        <v>-7.0369200000000003E-3</v>
      </c>
      <c r="AA1693" s="97">
        <v>-7.0369200000000003E-3</v>
      </c>
      <c r="AB1693" s="255">
        <f t="shared" si="371"/>
        <v>-7.0369200000000003E-3</v>
      </c>
      <c r="AC1693" s="255">
        <f t="shared" si="371"/>
        <v>-7.0369200000000003E-3</v>
      </c>
      <c r="AD1693" s="255">
        <f t="shared" si="371"/>
        <v>-7.0369200000000003E-3</v>
      </c>
      <c r="AE1693" s="76"/>
      <c r="AF1693" s="76"/>
      <c r="AG1693" s="76"/>
      <c r="AH1693" s="76">
        <v>1</v>
      </c>
      <c r="AI1693" s="76">
        <v>1</v>
      </c>
      <c r="AJ1693" s="73"/>
      <c r="AK1693" s="57"/>
      <c r="AL1693" s="45"/>
      <c r="AM1693" s="45"/>
      <c r="AN1693" s="45"/>
    </row>
    <row r="1694" spans="1:40" outlineLevel="2" x14ac:dyDescent="0.25">
      <c r="A1694" s="45"/>
      <c r="B1694" s="54"/>
      <c r="C1694" s="47">
        <f t="shared" si="369"/>
        <v>4</v>
      </c>
      <c r="D1694" s="73"/>
      <c r="E1694" s="70"/>
      <c r="F1694" s="70" t="s">
        <v>3352</v>
      </c>
      <c r="G1694" s="73"/>
      <c r="H1694" s="378" t="s">
        <v>2761</v>
      </c>
      <c r="I1694" s="96"/>
      <c r="J1694" s="76"/>
      <c r="K1694" s="76"/>
      <c r="L1694" s="76"/>
      <c r="M1694" s="76"/>
      <c r="N1694" s="76"/>
      <c r="O1694" s="76"/>
      <c r="P1694" s="76"/>
      <c r="Q1694" s="76"/>
      <c r="R1694" s="76"/>
      <c r="S1694" s="76"/>
      <c r="T1694" s="76"/>
      <c r="U1694" s="97">
        <v>7.4569999999999999E-5</v>
      </c>
      <c r="V1694" s="255">
        <f>U1694</f>
        <v>7.4569999999999999E-5</v>
      </c>
      <c r="W1694" s="255">
        <f t="shared" si="370"/>
        <v>7.4569999999999999E-5</v>
      </c>
      <c r="X1694" s="255">
        <f t="shared" si="370"/>
        <v>7.4569999999999999E-5</v>
      </c>
      <c r="Y1694" s="255">
        <f>V1694</f>
        <v>7.4569999999999999E-5</v>
      </c>
      <c r="Z1694" s="255">
        <f>AA1694</f>
        <v>7.4569999999999999E-5</v>
      </c>
      <c r="AA1694" s="97">
        <v>7.4569999999999999E-5</v>
      </c>
      <c r="AB1694" s="255">
        <f t="shared" si="371"/>
        <v>7.4569999999999999E-5</v>
      </c>
      <c r="AC1694" s="255">
        <f t="shared" si="371"/>
        <v>7.4569999999999999E-5</v>
      </c>
      <c r="AD1694" s="255">
        <f t="shared" si="371"/>
        <v>7.4569999999999999E-5</v>
      </c>
      <c r="AE1694" s="76"/>
      <c r="AF1694" s="76"/>
      <c r="AG1694" s="76"/>
      <c r="AH1694" s="76">
        <v>1</v>
      </c>
      <c r="AI1694" s="76">
        <v>1</v>
      </c>
      <c r="AJ1694" s="73"/>
      <c r="AK1694" s="57"/>
      <c r="AL1694" s="45"/>
      <c r="AM1694" s="45"/>
      <c r="AN1694" s="45"/>
    </row>
    <row r="1695" spans="1:40" outlineLevel="2" x14ac:dyDescent="0.25">
      <c r="A1695" s="45"/>
      <c r="B1695" s="54"/>
      <c r="C1695" s="47">
        <f t="shared" si="369"/>
        <v>4</v>
      </c>
      <c r="D1695" s="73"/>
      <c r="E1695" s="70"/>
      <c r="F1695" s="70" t="s">
        <v>3364</v>
      </c>
      <c r="G1695" s="73"/>
      <c r="H1695" s="378" t="s">
        <v>3367</v>
      </c>
      <c r="I1695" s="96"/>
      <c r="J1695" s="76"/>
      <c r="K1695" s="76"/>
      <c r="L1695" s="76"/>
      <c r="M1695" s="76"/>
      <c r="N1695" s="76"/>
      <c r="O1695" s="76"/>
      <c r="P1695" s="76"/>
      <c r="Q1695" s="76"/>
      <c r="R1695" s="76"/>
      <c r="S1695" s="76"/>
      <c r="T1695" s="76"/>
      <c r="U1695" s="97">
        <v>0</v>
      </c>
      <c r="V1695" s="97">
        <v>0</v>
      </c>
      <c r="W1695" s="97">
        <v>0</v>
      </c>
      <c r="X1695" s="97">
        <v>0</v>
      </c>
      <c r="Y1695" s="97">
        <v>0</v>
      </c>
      <c r="Z1695" s="97">
        <v>0</v>
      </c>
      <c r="AA1695" s="97">
        <v>0</v>
      </c>
      <c r="AB1695" s="97">
        <v>0</v>
      </c>
      <c r="AC1695" s="97">
        <v>0</v>
      </c>
      <c r="AD1695" s="97">
        <v>0</v>
      </c>
      <c r="AE1695" s="76"/>
      <c r="AF1695" s="76"/>
      <c r="AG1695" s="76"/>
      <c r="AH1695" s="76">
        <v>1</v>
      </c>
      <c r="AI1695" s="76">
        <v>1</v>
      </c>
      <c r="AJ1695" s="73"/>
      <c r="AK1695" s="57"/>
      <c r="AL1695" s="45"/>
      <c r="AM1695" s="45"/>
      <c r="AN1695" s="45"/>
    </row>
    <row r="1696" spans="1:40" outlineLevel="2" x14ac:dyDescent="0.25">
      <c r="A1696" s="45"/>
      <c r="B1696" s="54"/>
      <c r="C1696" s="47">
        <f t="shared" si="369"/>
        <v>4</v>
      </c>
      <c r="D1696" s="73"/>
      <c r="E1696" s="70"/>
      <c r="F1696" s="70" t="s">
        <v>3365</v>
      </c>
      <c r="G1696" s="73"/>
      <c r="H1696" s="378" t="s">
        <v>3366</v>
      </c>
      <c r="I1696" s="96"/>
      <c r="J1696" s="76"/>
      <c r="K1696" s="76"/>
      <c r="L1696" s="76"/>
      <c r="M1696" s="76"/>
      <c r="N1696" s="76"/>
      <c r="O1696" s="76"/>
      <c r="P1696" s="76"/>
      <c r="Q1696" s="76"/>
      <c r="R1696" s="76"/>
      <c r="S1696" s="76"/>
      <c r="T1696" s="76"/>
      <c r="U1696" s="97">
        <v>0</v>
      </c>
      <c r="V1696" s="97">
        <v>0</v>
      </c>
      <c r="W1696" s="97">
        <v>0</v>
      </c>
      <c r="X1696" s="97">
        <v>0</v>
      </c>
      <c r="Y1696" s="97">
        <v>0</v>
      </c>
      <c r="Z1696" s="97">
        <v>0</v>
      </c>
      <c r="AA1696" s="97">
        <v>0</v>
      </c>
      <c r="AB1696" s="97">
        <v>0</v>
      </c>
      <c r="AC1696" s="97">
        <v>0</v>
      </c>
      <c r="AD1696" s="97">
        <v>0</v>
      </c>
      <c r="AE1696" s="76"/>
      <c r="AF1696" s="76"/>
      <c r="AG1696" s="76"/>
      <c r="AH1696" s="76">
        <v>1</v>
      </c>
      <c r="AI1696" s="76">
        <v>1</v>
      </c>
      <c r="AJ1696" s="73"/>
      <c r="AK1696" s="57"/>
      <c r="AL1696" s="45"/>
      <c r="AM1696" s="45"/>
      <c r="AN1696" s="45"/>
    </row>
    <row r="1697" spans="1:40" outlineLevel="2" x14ac:dyDescent="0.25">
      <c r="A1697" s="45"/>
      <c r="B1697" s="54"/>
      <c r="C1697" s="47">
        <f>INT($C$29)+2</f>
        <v>3</v>
      </c>
      <c r="D1697" s="73"/>
      <c r="E1697" s="70"/>
      <c r="F1697" s="70" t="s">
        <v>3353</v>
      </c>
      <c r="G1697" s="73"/>
      <c r="H1697" s="76" t="s">
        <v>2504</v>
      </c>
      <c r="I1697" s="76"/>
      <c r="J1697" s="76"/>
      <c r="K1697" s="155"/>
      <c r="L1697" s="76"/>
      <c r="M1697" s="76"/>
      <c r="N1697" s="76"/>
      <c r="O1697" s="76"/>
      <c r="P1697" s="76"/>
      <c r="Q1697" s="76"/>
      <c r="R1697" s="76"/>
      <c r="S1697" s="76"/>
      <c r="T1697" s="76"/>
      <c r="U1697" s="97">
        <v>-1.8110552</v>
      </c>
      <c r="V1697" s="255">
        <f>U1697</f>
        <v>-1.8110552</v>
      </c>
      <c r="W1697" s="255">
        <f t="shared" si="370"/>
        <v>-1.8110552</v>
      </c>
      <c r="X1697" s="255">
        <f t="shared" si="370"/>
        <v>-1.8110552</v>
      </c>
      <c r="Y1697" s="255">
        <f>V1697</f>
        <v>-1.8110552</v>
      </c>
      <c r="Z1697" s="255">
        <f>AA1697</f>
        <v>-0.49941732500000002</v>
      </c>
      <c r="AA1697" s="97">
        <v>-0.49941732500000002</v>
      </c>
      <c r="AB1697" s="255">
        <f t="shared" si="371"/>
        <v>-0.49941732500000002</v>
      </c>
      <c r="AC1697" s="255">
        <f t="shared" si="371"/>
        <v>-0.49941732500000002</v>
      </c>
      <c r="AD1697" s="255">
        <f t="shared" si="371"/>
        <v>-0.49941732500000002</v>
      </c>
      <c r="AE1697" s="76"/>
      <c r="AF1697" s="97" t="s">
        <v>3405</v>
      </c>
      <c r="AG1697" s="76"/>
      <c r="AH1697" s="97">
        <v>1</v>
      </c>
      <c r="AI1697" s="97">
        <v>1</v>
      </c>
      <c r="AJ1697" s="73"/>
      <c r="AK1697" s="57"/>
      <c r="AL1697" s="45"/>
      <c r="AM1697" s="45"/>
      <c r="AN1697" s="45"/>
    </row>
    <row r="1698" spans="1:40" outlineLevel="2" x14ac:dyDescent="0.25">
      <c r="A1698" s="45"/>
      <c r="B1698" s="54"/>
      <c r="C1698" s="47">
        <f>INT($C$29)+2</f>
        <v>3</v>
      </c>
      <c r="D1698" s="73"/>
      <c r="E1698" s="70"/>
      <c r="F1698" s="70" t="s">
        <v>3394</v>
      </c>
      <c r="G1698" s="73"/>
      <c r="H1698" s="76" t="s">
        <v>3403</v>
      </c>
      <c r="I1698" s="76"/>
      <c r="J1698" s="76"/>
      <c r="K1698" s="76"/>
      <c r="L1698" s="76"/>
      <c r="M1698" s="76"/>
      <c r="N1698" s="76"/>
      <c r="O1698" s="76"/>
      <c r="P1698" s="76"/>
      <c r="Q1698" s="76"/>
      <c r="R1698" s="76"/>
      <c r="S1698" s="76"/>
      <c r="T1698" s="76"/>
      <c r="U1698" s="97">
        <v>1.034</v>
      </c>
      <c r="V1698" s="255">
        <f>U1698</f>
        <v>1.034</v>
      </c>
      <c r="W1698" s="255">
        <f t="shared" si="370"/>
        <v>1.034</v>
      </c>
      <c r="X1698" s="255">
        <f t="shared" si="370"/>
        <v>1.034</v>
      </c>
      <c r="Y1698" s="255">
        <f>V1698</f>
        <v>1.034</v>
      </c>
      <c r="Z1698" s="255">
        <f>AA1698</f>
        <v>1.034</v>
      </c>
      <c r="AA1698" s="97">
        <f>U1698</f>
        <v>1.034</v>
      </c>
      <c r="AB1698" s="255">
        <f t="shared" si="371"/>
        <v>1.034</v>
      </c>
      <c r="AC1698" s="255">
        <f t="shared" si="371"/>
        <v>1.034</v>
      </c>
      <c r="AD1698" s="255">
        <f t="shared" si="371"/>
        <v>1.034</v>
      </c>
      <c r="AE1698" s="76"/>
      <c r="AF1698" s="97" t="s">
        <v>3406</v>
      </c>
      <c r="AG1698" s="76"/>
      <c r="AH1698" s="76">
        <v>1</v>
      </c>
      <c r="AI1698" s="76">
        <v>1</v>
      </c>
      <c r="AJ1698" s="73"/>
      <c r="AK1698" s="57"/>
      <c r="AL1698" s="45"/>
      <c r="AM1698" s="45"/>
      <c r="AN1698" s="45"/>
    </row>
    <row r="1699" spans="1:40" outlineLevel="2" x14ac:dyDescent="0.25">
      <c r="A1699" s="45"/>
      <c r="B1699" s="54"/>
      <c r="C1699" s="47">
        <f>INT($C$29)+2</f>
        <v>3</v>
      </c>
      <c r="D1699" s="73"/>
      <c r="E1699" s="70"/>
      <c r="F1699" s="70" t="s">
        <v>3395</v>
      </c>
      <c r="G1699" s="73"/>
      <c r="H1699" s="76" t="s">
        <v>3404</v>
      </c>
      <c r="I1699" s="76"/>
      <c r="J1699" s="76"/>
      <c r="K1699" s="76"/>
      <c r="L1699" s="76"/>
      <c r="M1699" s="76"/>
      <c r="N1699" s="76"/>
      <c r="O1699" s="76"/>
      <c r="P1699" s="76"/>
      <c r="Q1699" s="76"/>
      <c r="R1699" s="76"/>
      <c r="S1699" s="76"/>
      <c r="T1699" s="76"/>
      <c r="U1699" s="97">
        <v>-7.4159999999999998E-3</v>
      </c>
      <c r="V1699" s="255">
        <f>U1699</f>
        <v>-7.4159999999999998E-3</v>
      </c>
      <c r="W1699" s="255">
        <f t="shared" si="370"/>
        <v>-7.4159999999999998E-3</v>
      </c>
      <c r="X1699" s="255">
        <f t="shared" si="370"/>
        <v>-7.4159999999999998E-3</v>
      </c>
      <c r="Y1699" s="255">
        <f>V1699</f>
        <v>-7.4159999999999998E-3</v>
      </c>
      <c r="Z1699" s="255">
        <f>AA1699</f>
        <v>-7.4159999999999998E-3</v>
      </c>
      <c r="AA1699" s="97">
        <f t="shared" ref="AA1699:AA1703" si="372">U1699</f>
        <v>-7.4159999999999998E-3</v>
      </c>
      <c r="AB1699" s="255">
        <f t="shared" si="371"/>
        <v>-7.4159999999999998E-3</v>
      </c>
      <c r="AC1699" s="255">
        <f t="shared" si="371"/>
        <v>-7.4159999999999998E-3</v>
      </c>
      <c r="AD1699" s="255">
        <f t="shared" si="371"/>
        <v>-7.4159999999999998E-3</v>
      </c>
      <c r="AE1699" s="76"/>
      <c r="AF1699" s="97" t="s">
        <v>3407</v>
      </c>
      <c r="AG1699" s="76"/>
      <c r="AH1699" s="76">
        <v>1</v>
      </c>
      <c r="AI1699" s="76">
        <v>1</v>
      </c>
      <c r="AJ1699" s="73"/>
      <c r="AK1699" s="57"/>
      <c r="AL1699" s="45"/>
      <c r="AM1699" s="45"/>
      <c r="AN1699" s="45"/>
    </row>
    <row r="1700" spans="1:40" outlineLevel="2" x14ac:dyDescent="0.25">
      <c r="A1700" s="45"/>
      <c r="B1700" s="54"/>
      <c r="C1700" s="47">
        <f t="shared" ref="C1700:C1711" si="373">INT($C$29)+3</f>
        <v>4</v>
      </c>
      <c r="D1700" s="73"/>
      <c r="E1700" s="70"/>
      <c r="F1700" s="70" t="s">
        <v>3396</v>
      </c>
      <c r="G1700" s="73"/>
      <c r="H1700" s="76" t="s">
        <v>3408</v>
      </c>
      <c r="I1700" s="76"/>
      <c r="J1700" s="76"/>
      <c r="K1700" s="76"/>
      <c r="L1700" s="76"/>
      <c r="M1700" s="76"/>
      <c r="N1700" s="76"/>
      <c r="O1700" s="76"/>
      <c r="P1700" s="76"/>
      <c r="Q1700" s="76"/>
      <c r="R1700" s="76"/>
      <c r="S1700" s="76"/>
      <c r="T1700" s="76"/>
      <c r="U1700" s="97">
        <v>0.24360000000000001</v>
      </c>
      <c r="V1700" s="255">
        <f>U1700</f>
        <v>0.24360000000000001</v>
      </c>
      <c r="W1700" s="255">
        <f t="shared" si="370"/>
        <v>0.24360000000000001</v>
      </c>
      <c r="X1700" s="255">
        <f t="shared" si="370"/>
        <v>0.24360000000000001</v>
      </c>
      <c r="Y1700" s="255">
        <f>V1700</f>
        <v>0.24360000000000001</v>
      </c>
      <c r="Z1700" s="255">
        <f>AA1700</f>
        <v>0.24360000000000001</v>
      </c>
      <c r="AA1700" s="97">
        <f t="shared" si="372"/>
        <v>0.24360000000000001</v>
      </c>
      <c r="AB1700" s="255">
        <f t="shared" si="371"/>
        <v>0.24360000000000001</v>
      </c>
      <c r="AC1700" s="255">
        <f t="shared" si="371"/>
        <v>0.24360000000000001</v>
      </c>
      <c r="AD1700" s="255">
        <f t="shared" si="371"/>
        <v>0.24360000000000001</v>
      </c>
      <c r="AE1700" s="76"/>
      <c r="AF1700" s="76"/>
      <c r="AG1700" s="76"/>
      <c r="AH1700" s="97">
        <v>1</v>
      </c>
      <c r="AI1700" s="97">
        <v>1</v>
      </c>
      <c r="AJ1700" s="73"/>
      <c r="AK1700" s="57"/>
      <c r="AL1700" s="45"/>
      <c r="AM1700" s="45"/>
      <c r="AN1700" s="45"/>
    </row>
    <row r="1701" spans="1:40" outlineLevel="2" collapsed="1" x14ac:dyDescent="0.25">
      <c r="A1701" s="45"/>
      <c r="B1701" s="54"/>
      <c r="C1701" s="47">
        <f t="shared" si="373"/>
        <v>4</v>
      </c>
      <c r="D1701" s="73"/>
      <c r="E1701" s="70"/>
      <c r="F1701" s="70" t="s">
        <v>3397</v>
      </c>
      <c r="G1701" s="73"/>
      <c r="H1701" s="76" t="s">
        <v>3409</v>
      </c>
      <c r="I1701" s="76"/>
      <c r="J1701" s="76"/>
      <c r="K1701" s="76"/>
      <c r="L1701" s="76"/>
      <c r="M1701" s="76"/>
      <c r="N1701" s="76"/>
      <c r="O1701" s="76"/>
      <c r="P1701" s="76"/>
      <c r="Q1701" s="76"/>
      <c r="R1701" s="76"/>
      <c r="S1701" s="76"/>
      <c r="T1701" s="76"/>
      <c r="U1701" s="97"/>
      <c r="V1701" s="255">
        <f t="shared" ref="V1701:V1703" si="374">U1701</f>
        <v>0</v>
      </c>
      <c r="W1701" s="255">
        <f t="shared" ref="W1701:W1703" si="375">U1701</f>
        <v>0</v>
      </c>
      <c r="X1701" s="255">
        <f t="shared" ref="X1701:X1703" si="376">V1701</f>
        <v>0</v>
      </c>
      <c r="Y1701" s="255">
        <f t="shared" ref="Y1701:Y1703" si="377">V1701</f>
        <v>0</v>
      </c>
      <c r="Z1701" s="255">
        <f t="shared" ref="Z1701:Z1703" si="378">AA1701</f>
        <v>0</v>
      </c>
      <c r="AA1701" s="97">
        <f t="shared" si="372"/>
        <v>0</v>
      </c>
      <c r="AB1701" s="255">
        <f t="shared" ref="AB1701:AB1703" si="379">AA1701</f>
        <v>0</v>
      </c>
      <c r="AC1701" s="255">
        <f t="shared" ref="AC1701:AC1703" si="380">AB1701</f>
        <v>0</v>
      </c>
      <c r="AD1701" s="255">
        <f t="shared" ref="AD1701:AD1703" si="381">AC1701</f>
        <v>0</v>
      </c>
      <c r="AE1701" s="76"/>
      <c r="AF1701" s="76"/>
      <c r="AG1701" s="76"/>
      <c r="AH1701" s="76">
        <v>1</v>
      </c>
      <c r="AI1701" s="76">
        <v>1</v>
      </c>
      <c r="AJ1701" s="73"/>
      <c r="AK1701" s="57"/>
      <c r="AL1701" s="45"/>
      <c r="AM1701" s="45"/>
      <c r="AN1701" s="45"/>
    </row>
    <row r="1702" spans="1:40" hidden="1" outlineLevel="3" x14ac:dyDescent="0.25">
      <c r="A1702" s="45"/>
      <c r="B1702" s="54"/>
      <c r="C1702" s="47">
        <f t="shared" si="373"/>
        <v>4</v>
      </c>
      <c r="D1702" s="73"/>
      <c r="E1702" s="70"/>
      <c r="F1702" s="70" t="s">
        <v>3398</v>
      </c>
      <c r="G1702" s="73"/>
      <c r="H1702" s="377" t="s">
        <v>3410</v>
      </c>
      <c r="I1702" s="76"/>
      <c r="J1702" s="76"/>
      <c r="K1702" s="76"/>
      <c r="L1702" s="76"/>
      <c r="M1702" s="76"/>
      <c r="N1702" s="76"/>
      <c r="O1702" s="76"/>
      <c r="P1702" s="76"/>
      <c r="Q1702" s="76"/>
      <c r="R1702" s="76"/>
      <c r="S1702" s="76"/>
      <c r="T1702" s="76"/>
      <c r="U1702" s="97"/>
      <c r="V1702" s="255">
        <f t="shared" si="374"/>
        <v>0</v>
      </c>
      <c r="W1702" s="255">
        <f t="shared" si="375"/>
        <v>0</v>
      </c>
      <c r="X1702" s="255">
        <f t="shared" si="376"/>
        <v>0</v>
      </c>
      <c r="Y1702" s="255">
        <f t="shared" si="377"/>
        <v>0</v>
      </c>
      <c r="Z1702" s="255">
        <f t="shared" si="378"/>
        <v>0</v>
      </c>
      <c r="AA1702" s="97">
        <f t="shared" si="372"/>
        <v>0</v>
      </c>
      <c r="AB1702" s="255">
        <f t="shared" si="379"/>
        <v>0</v>
      </c>
      <c r="AC1702" s="255">
        <f t="shared" si="380"/>
        <v>0</v>
      </c>
      <c r="AD1702" s="255">
        <f t="shared" si="381"/>
        <v>0</v>
      </c>
      <c r="AE1702" s="76"/>
      <c r="AF1702" s="76"/>
      <c r="AG1702" s="76"/>
      <c r="AH1702" s="76">
        <v>1</v>
      </c>
      <c r="AI1702" s="76">
        <v>1</v>
      </c>
      <c r="AJ1702" s="73"/>
      <c r="AK1702" s="57"/>
      <c r="AL1702" s="45"/>
      <c r="AM1702" s="45"/>
      <c r="AN1702" s="45"/>
    </row>
    <row r="1703" spans="1:40" hidden="1" outlineLevel="3" x14ac:dyDescent="0.25">
      <c r="A1703" s="45"/>
      <c r="B1703" s="54"/>
      <c r="C1703" s="47">
        <f t="shared" si="373"/>
        <v>4</v>
      </c>
      <c r="D1703" s="73"/>
      <c r="E1703" s="70"/>
      <c r="F1703" s="70" t="s">
        <v>3399</v>
      </c>
      <c r="G1703" s="73"/>
      <c r="H1703" s="377" t="s">
        <v>3411</v>
      </c>
      <c r="I1703" s="76"/>
      <c r="J1703" s="76"/>
      <c r="K1703" s="76"/>
      <c r="L1703" s="76"/>
      <c r="M1703" s="76"/>
      <c r="N1703" s="76"/>
      <c r="O1703" s="76"/>
      <c r="P1703" s="76"/>
      <c r="Q1703" s="76"/>
      <c r="R1703" s="76"/>
      <c r="S1703" s="76"/>
      <c r="T1703" s="76"/>
      <c r="U1703" s="97"/>
      <c r="V1703" s="255">
        <f t="shared" si="374"/>
        <v>0</v>
      </c>
      <c r="W1703" s="255">
        <f t="shared" si="375"/>
        <v>0</v>
      </c>
      <c r="X1703" s="255">
        <f t="shared" si="376"/>
        <v>0</v>
      </c>
      <c r="Y1703" s="255">
        <f t="shared" si="377"/>
        <v>0</v>
      </c>
      <c r="Z1703" s="255">
        <f t="shared" si="378"/>
        <v>0</v>
      </c>
      <c r="AA1703" s="97">
        <f t="shared" si="372"/>
        <v>0</v>
      </c>
      <c r="AB1703" s="255">
        <f t="shared" si="379"/>
        <v>0</v>
      </c>
      <c r="AC1703" s="255">
        <f t="shared" si="380"/>
        <v>0</v>
      </c>
      <c r="AD1703" s="255">
        <f t="shared" si="381"/>
        <v>0</v>
      </c>
      <c r="AE1703" s="76"/>
      <c r="AF1703" s="76"/>
      <c r="AG1703" s="76"/>
      <c r="AH1703" s="76">
        <v>1</v>
      </c>
      <c r="AI1703" s="76">
        <v>1</v>
      </c>
      <c r="AJ1703" s="73"/>
      <c r="AK1703" s="57"/>
      <c r="AL1703" s="45"/>
      <c r="AM1703" s="45"/>
      <c r="AN1703" s="45"/>
    </row>
    <row r="1704" spans="1:40" hidden="1" outlineLevel="3" x14ac:dyDescent="0.25">
      <c r="A1704" s="45"/>
      <c r="B1704" s="54"/>
      <c r="C1704" s="47">
        <f t="shared" si="373"/>
        <v>4</v>
      </c>
      <c r="D1704" s="73"/>
      <c r="E1704" s="70"/>
      <c r="F1704" s="70" t="s">
        <v>3400</v>
      </c>
      <c r="G1704" s="73"/>
      <c r="H1704" s="377" t="s">
        <v>3412</v>
      </c>
      <c r="I1704" s="76"/>
      <c r="J1704" s="76"/>
      <c r="K1704" s="76"/>
      <c r="L1704" s="76"/>
      <c r="M1704" s="76"/>
      <c r="N1704" s="76"/>
      <c r="O1704" s="76"/>
      <c r="P1704" s="76"/>
      <c r="Q1704" s="76"/>
      <c r="R1704" s="76"/>
      <c r="S1704" s="76"/>
      <c r="T1704" s="76"/>
      <c r="U1704" s="76"/>
      <c r="V1704" s="76"/>
      <c r="W1704" s="76"/>
      <c r="X1704" s="76"/>
      <c r="Y1704" s="76"/>
      <c r="Z1704" s="76"/>
      <c r="AA1704" s="76"/>
      <c r="AB1704" s="76"/>
      <c r="AC1704" s="76"/>
      <c r="AD1704" s="76"/>
      <c r="AE1704" s="76"/>
      <c r="AF1704" s="76"/>
      <c r="AG1704" s="76"/>
      <c r="AH1704" s="76">
        <v>1</v>
      </c>
      <c r="AI1704" s="76">
        <v>1</v>
      </c>
      <c r="AJ1704" s="73"/>
      <c r="AK1704" s="57"/>
      <c r="AL1704" s="45"/>
      <c r="AM1704" s="45"/>
      <c r="AN1704" s="45"/>
    </row>
    <row r="1705" spans="1:40" hidden="1" outlineLevel="3" x14ac:dyDescent="0.25">
      <c r="A1705" s="45"/>
      <c r="B1705" s="54"/>
      <c r="C1705" s="47">
        <f t="shared" si="373"/>
        <v>4</v>
      </c>
      <c r="D1705" s="73"/>
      <c r="E1705" s="70"/>
      <c r="F1705" s="70" t="s">
        <v>3401</v>
      </c>
      <c r="G1705" s="73"/>
      <c r="H1705" s="377" t="s">
        <v>3413</v>
      </c>
      <c r="I1705" s="76"/>
      <c r="J1705" s="76"/>
      <c r="K1705" s="76"/>
      <c r="L1705" s="76"/>
      <c r="M1705" s="76"/>
      <c r="N1705" s="76"/>
      <c r="O1705" s="76"/>
      <c r="P1705" s="76"/>
      <c r="Q1705" s="76"/>
      <c r="R1705" s="76"/>
      <c r="S1705" s="76"/>
      <c r="T1705" s="76"/>
      <c r="U1705" s="76"/>
      <c r="V1705" s="76"/>
      <c r="W1705" s="76"/>
      <c r="X1705" s="76"/>
      <c r="Y1705" s="76"/>
      <c r="Z1705" s="76"/>
      <c r="AA1705" s="76"/>
      <c r="AB1705" s="76"/>
      <c r="AC1705" s="76"/>
      <c r="AD1705" s="76"/>
      <c r="AE1705" s="76"/>
      <c r="AF1705" s="76"/>
      <c r="AG1705" s="76"/>
      <c r="AH1705" s="76">
        <v>1</v>
      </c>
      <c r="AI1705" s="76">
        <v>1</v>
      </c>
      <c r="AJ1705" s="73"/>
      <c r="AK1705" s="57"/>
      <c r="AL1705" s="45"/>
      <c r="AM1705" s="45"/>
      <c r="AN1705" s="45"/>
    </row>
    <row r="1706" spans="1:40" hidden="1" outlineLevel="3" x14ac:dyDescent="0.25">
      <c r="A1706" s="45"/>
      <c r="B1706" s="54"/>
      <c r="C1706" s="47">
        <f t="shared" si="373"/>
        <v>4</v>
      </c>
      <c r="D1706" s="73"/>
      <c r="E1706" s="70"/>
      <c r="F1706" s="70" t="str">
        <f>SUBSTITUTE(F1702,",4)",",8)")</f>
        <v>C(U2,27,8)</v>
      </c>
      <c r="G1706" s="73"/>
      <c r="H1706" s="377" t="s">
        <v>3414</v>
      </c>
      <c r="I1706" s="96"/>
      <c r="J1706" s="76"/>
      <c r="K1706" s="76"/>
      <c r="L1706" s="76"/>
      <c r="M1706" s="76"/>
      <c r="N1706" s="76"/>
      <c r="O1706" s="76"/>
      <c r="P1706" s="76"/>
      <c r="Q1706" s="76"/>
      <c r="R1706" s="76"/>
      <c r="S1706" s="76"/>
      <c r="T1706" s="76"/>
      <c r="U1706" s="76"/>
      <c r="V1706" s="76"/>
      <c r="W1706" s="76"/>
      <c r="X1706" s="76"/>
      <c r="Y1706" s="76"/>
      <c r="Z1706" s="76"/>
      <c r="AA1706" s="76"/>
      <c r="AB1706" s="76"/>
      <c r="AC1706" s="76"/>
      <c r="AD1706" s="76"/>
      <c r="AE1706" s="76"/>
      <c r="AF1706" s="76"/>
      <c r="AG1706" s="76"/>
      <c r="AH1706" s="76">
        <v>1</v>
      </c>
      <c r="AI1706" s="76">
        <v>1</v>
      </c>
      <c r="AJ1706" s="73"/>
      <c r="AK1706" s="57"/>
      <c r="AL1706" s="45"/>
      <c r="AM1706" s="45"/>
      <c r="AN1706" s="45"/>
    </row>
    <row r="1707" spans="1:40" hidden="1" outlineLevel="3" x14ac:dyDescent="0.25">
      <c r="A1707" s="45"/>
      <c r="B1707" s="54"/>
      <c r="C1707" s="47">
        <f t="shared" si="373"/>
        <v>4</v>
      </c>
      <c r="D1707" s="73"/>
      <c r="E1707" s="70"/>
      <c r="F1707" s="70" t="str">
        <f>SUBSTITUTE(F1703,",5)",",9)")</f>
        <v>C(U2,27,9)</v>
      </c>
      <c r="G1707" s="73"/>
      <c r="H1707" s="377" t="s">
        <v>3415</v>
      </c>
      <c r="I1707" s="96"/>
      <c r="J1707" s="76"/>
      <c r="K1707" s="76"/>
      <c r="L1707" s="76"/>
      <c r="M1707" s="76"/>
      <c r="N1707" s="76"/>
      <c r="O1707" s="76"/>
      <c r="P1707" s="76"/>
      <c r="Q1707" s="76"/>
      <c r="R1707" s="76"/>
      <c r="S1707" s="76"/>
      <c r="T1707" s="76"/>
      <c r="U1707" s="76"/>
      <c r="V1707" s="76"/>
      <c r="W1707" s="76"/>
      <c r="X1707" s="76"/>
      <c r="Y1707" s="76"/>
      <c r="Z1707" s="76"/>
      <c r="AA1707" s="76"/>
      <c r="AB1707" s="76"/>
      <c r="AC1707" s="76"/>
      <c r="AD1707" s="76"/>
      <c r="AE1707" s="76"/>
      <c r="AF1707" s="76"/>
      <c r="AG1707" s="76"/>
      <c r="AH1707" s="76">
        <v>1</v>
      </c>
      <c r="AI1707" s="76">
        <v>1</v>
      </c>
      <c r="AJ1707" s="73"/>
      <c r="AK1707" s="57"/>
      <c r="AL1707" s="45"/>
      <c r="AM1707" s="45"/>
      <c r="AN1707" s="45"/>
    </row>
    <row r="1708" spans="1:40" hidden="1" outlineLevel="3" x14ac:dyDescent="0.25">
      <c r="A1708" s="45"/>
      <c r="B1708" s="54"/>
      <c r="C1708" s="47">
        <f t="shared" si="373"/>
        <v>4</v>
      </c>
      <c r="D1708" s="73"/>
      <c r="E1708" s="70"/>
      <c r="F1708" s="70" t="str">
        <f>SUBSTITUTE(F1704,",6)",",10)")</f>
        <v>C(U2,27,10)</v>
      </c>
      <c r="G1708" s="73"/>
      <c r="H1708" s="377" t="s">
        <v>3416</v>
      </c>
      <c r="I1708" s="96"/>
      <c r="J1708" s="76"/>
      <c r="K1708" s="76"/>
      <c r="L1708" s="76"/>
      <c r="M1708" s="76"/>
      <c r="N1708" s="76"/>
      <c r="O1708" s="76"/>
      <c r="P1708" s="76"/>
      <c r="Q1708" s="76"/>
      <c r="R1708" s="76"/>
      <c r="S1708" s="76"/>
      <c r="T1708" s="76"/>
      <c r="U1708" s="76"/>
      <c r="V1708" s="76"/>
      <c r="W1708" s="76"/>
      <c r="X1708" s="76"/>
      <c r="Y1708" s="76"/>
      <c r="Z1708" s="76"/>
      <c r="AA1708" s="76"/>
      <c r="AB1708" s="76"/>
      <c r="AC1708" s="76"/>
      <c r="AD1708" s="76"/>
      <c r="AE1708" s="76"/>
      <c r="AF1708" s="76"/>
      <c r="AG1708" s="76"/>
      <c r="AH1708" s="76">
        <v>1</v>
      </c>
      <c r="AI1708" s="76">
        <v>1</v>
      </c>
      <c r="AJ1708" s="73"/>
      <c r="AK1708" s="57"/>
      <c r="AL1708" s="45"/>
      <c r="AM1708" s="45"/>
      <c r="AN1708" s="45"/>
    </row>
    <row r="1709" spans="1:40" hidden="1" outlineLevel="3" collapsed="1" x14ac:dyDescent="0.25">
      <c r="A1709" s="45"/>
      <c r="B1709" s="54"/>
      <c r="C1709" s="47">
        <f t="shared" si="373"/>
        <v>4</v>
      </c>
      <c r="D1709" s="73"/>
      <c r="E1709" s="70"/>
      <c r="F1709" s="70" t="str">
        <f>SUBSTITUTE(F1705,",7)",",11)")</f>
        <v>C(U2,27,11)</v>
      </c>
      <c r="G1709" s="73"/>
      <c r="H1709" s="377" t="s">
        <v>3417</v>
      </c>
      <c r="I1709" s="96"/>
      <c r="J1709" s="76"/>
      <c r="K1709" s="76"/>
      <c r="L1709" s="76"/>
      <c r="M1709" s="76"/>
      <c r="N1709" s="76"/>
      <c r="O1709" s="76"/>
      <c r="P1709" s="76"/>
      <c r="Q1709" s="76"/>
      <c r="R1709" s="76"/>
      <c r="S1709" s="76"/>
      <c r="T1709" s="76"/>
      <c r="U1709" s="76"/>
      <c r="V1709" s="76"/>
      <c r="W1709" s="76"/>
      <c r="X1709" s="76"/>
      <c r="Y1709" s="76"/>
      <c r="Z1709" s="76"/>
      <c r="AA1709" s="76"/>
      <c r="AB1709" s="76"/>
      <c r="AC1709" s="76"/>
      <c r="AD1709" s="76"/>
      <c r="AE1709" s="76"/>
      <c r="AF1709" s="76"/>
      <c r="AG1709" s="76"/>
      <c r="AH1709" s="76">
        <v>1</v>
      </c>
      <c r="AI1709" s="76">
        <v>1</v>
      </c>
      <c r="AJ1709" s="73"/>
      <c r="AK1709" s="57"/>
      <c r="AL1709" s="45"/>
      <c r="AM1709" s="45"/>
      <c r="AN1709" s="45"/>
    </row>
    <row r="1710" spans="1:40" hidden="1" outlineLevel="3" x14ac:dyDescent="0.25">
      <c r="A1710" s="45"/>
      <c r="B1710" s="54"/>
      <c r="C1710" s="47">
        <f t="shared" si="373"/>
        <v>4</v>
      </c>
      <c r="D1710" s="73"/>
      <c r="E1710" s="70"/>
      <c r="F1710" s="70" t="str">
        <f>SUBSTITUTE(F1704,",6)",",12)")</f>
        <v>C(U2,27,12)</v>
      </c>
      <c r="G1710" s="73"/>
      <c r="H1710" s="377" t="s">
        <v>3418</v>
      </c>
      <c r="I1710" s="96"/>
      <c r="J1710" s="76"/>
      <c r="K1710" s="76"/>
      <c r="L1710" s="76"/>
      <c r="M1710" s="76"/>
      <c r="N1710" s="76"/>
      <c r="O1710" s="76"/>
      <c r="P1710" s="76"/>
      <c r="Q1710" s="76"/>
      <c r="R1710" s="76"/>
      <c r="S1710" s="76"/>
      <c r="T1710" s="76"/>
      <c r="U1710" s="76"/>
      <c r="V1710" s="76"/>
      <c r="W1710" s="76"/>
      <c r="X1710" s="76"/>
      <c r="Y1710" s="76"/>
      <c r="Z1710" s="76"/>
      <c r="AA1710" s="76"/>
      <c r="AB1710" s="76"/>
      <c r="AC1710" s="76"/>
      <c r="AD1710" s="76"/>
      <c r="AE1710" s="76"/>
      <c r="AF1710" s="76"/>
      <c r="AG1710" s="76"/>
      <c r="AH1710" s="76">
        <v>1</v>
      </c>
      <c r="AI1710" s="76">
        <v>1</v>
      </c>
      <c r="AJ1710" s="73"/>
      <c r="AK1710" s="57"/>
      <c r="AL1710" s="45"/>
      <c r="AM1710" s="45"/>
      <c r="AN1710" s="45"/>
    </row>
    <row r="1711" spans="1:40" hidden="1" outlineLevel="3" x14ac:dyDescent="0.25">
      <c r="A1711" s="45"/>
      <c r="B1711" s="54"/>
      <c r="C1711" s="47">
        <f t="shared" si="373"/>
        <v>4</v>
      </c>
      <c r="D1711" s="73"/>
      <c r="E1711" s="70"/>
      <c r="F1711" s="70" t="str">
        <f>SUBSTITUTE(F1705,",7)",",13)")</f>
        <v>C(U2,27,13)</v>
      </c>
      <c r="G1711" s="73"/>
      <c r="H1711" s="377" t="s">
        <v>3419</v>
      </c>
      <c r="I1711" s="96"/>
      <c r="J1711" s="76"/>
      <c r="K1711" s="76"/>
      <c r="L1711" s="76"/>
      <c r="M1711" s="76"/>
      <c r="N1711" s="76"/>
      <c r="O1711" s="76"/>
      <c r="P1711" s="76"/>
      <c r="Q1711" s="76"/>
      <c r="R1711" s="76"/>
      <c r="S1711" s="76"/>
      <c r="T1711" s="76"/>
      <c r="U1711" s="76"/>
      <c r="V1711" s="76"/>
      <c r="W1711" s="76"/>
      <c r="X1711" s="76"/>
      <c r="Y1711" s="76"/>
      <c r="Z1711" s="76"/>
      <c r="AA1711" s="76"/>
      <c r="AB1711" s="76"/>
      <c r="AC1711" s="76"/>
      <c r="AD1711" s="76"/>
      <c r="AE1711" s="76"/>
      <c r="AF1711" s="76"/>
      <c r="AG1711" s="76"/>
      <c r="AH1711" s="76">
        <v>1</v>
      </c>
      <c r="AI1711" s="76">
        <v>1</v>
      </c>
      <c r="AJ1711" s="73"/>
      <c r="AK1711" s="57"/>
      <c r="AL1711" s="45"/>
      <c r="AM1711" s="45"/>
      <c r="AN1711" s="45"/>
    </row>
    <row r="1712" spans="1:40" outlineLevel="2" x14ac:dyDescent="0.25">
      <c r="A1712" s="45"/>
      <c r="B1712" s="54"/>
      <c r="C1712" s="47">
        <f>INT($C$29)+2</f>
        <v>3</v>
      </c>
      <c r="D1712" s="73"/>
      <c r="E1712" s="70"/>
      <c r="F1712" s="70" t="s">
        <v>3402</v>
      </c>
      <c r="G1712" s="73"/>
      <c r="H1712" s="76" t="s">
        <v>3420</v>
      </c>
      <c r="I1712" s="76"/>
      <c r="J1712" s="76"/>
      <c r="K1712" s="76"/>
      <c r="L1712" s="76"/>
      <c r="M1712" s="76"/>
      <c r="N1712" s="76"/>
      <c r="O1712" s="76"/>
      <c r="P1712" s="76"/>
      <c r="Q1712" s="76"/>
      <c r="R1712" s="76"/>
      <c r="S1712" s="76"/>
      <c r="T1712" s="76"/>
      <c r="U1712" s="97">
        <v>-28.27</v>
      </c>
      <c r="V1712" s="255">
        <f t="shared" ref="V1712" si="382">U1712</f>
        <v>-28.27</v>
      </c>
      <c r="W1712" s="255">
        <f t="shared" ref="W1712" si="383">U1712</f>
        <v>-28.27</v>
      </c>
      <c r="X1712" s="255">
        <f t="shared" ref="X1712" si="384">V1712</f>
        <v>-28.27</v>
      </c>
      <c r="Y1712" s="255">
        <f t="shared" ref="Y1712" si="385">V1712</f>
        <v>-28.27</v>
      </c>
      <c r="Z1712" s="255">
        <f t="shared" ref="Z1712" si="386">AA1712</f>
        <v>-28.27</v>
      </c>
      <c r="AA1712" s="97">
        <f>U1712</f>
        <v>-28.27</v>
      </c>
      <c r="AB1712" s="255">
        <f t="shared" ref="AB1712" si="387">AA1712</f>
        <v>-28.27</v>
      </c>
      <c r="AC1712" s="255">
        <f t="shared" ref="AC1712" si="388">AB1712</f>
        <v>-28.27</v>
      </c>
      <c r="AD1712" s="255">
        <f t="shared" ref="AD1712" si="389">AC1712</f>
        <v>-28.27</v>
      </c>
      <c r="AE1712" s="76"/>
      <c r="AF1712" s="97"/>
      <c r="AG1712" s="76"/>
      <c r="AH1712" s="97">
        <v>1</v>
      </c>
      <c r="AI1712" s="97">
        <v>1</v>
      </c>
      <c r="AJ1712" s="73"/>
      <c r="AK1712" s="57"/>
      <c r="AL1712" s="45"/>
      <c r="AM1712" s="45"/>
      <c r="AN1712" s="45"/>
    </row>
    <row r="1713" spans="1:40" outlineLevel="2" x14ac:dyDescent="0.25">
      <c r="A1713" s="45"/>
      <c r="B1713" s="54"/>
      <c r="C1713" s="47">
        <f>INT($C$29)+2</f>
        <v>3</v>
      </c>
      <c r="D1713" s="73"/>
      <c r="E1713" s="70"/>
      <c r="F1713" s="70"/>
      <c r="G1713" s="73"/>
      <c r="H1713" s="76"/>
      <c r="I1713" s="76"/>
      <c r="J1713" s="76"/>
      <c r="K1713" s="76"/>
      <c r="L1713" s="76"/>
      <c r="M1713" s="76"/>
      <c r="N1713" s="76"/>
      <c r="O1713" s="76"/>
      <c r="P1713" s="76"/>
      <c r="Q1713" s="76"/>
      <c r="R1713" s="76"/>
      <c r="S1713" s="76"/>
      <c r="T1713" s="76"/>
      <c r="U1713" s="76"/>
      <c r="V1713" s="76"/>
      <c r="W1713" s="76"/>
      <c r="X1713" s="76"/>
      <c r="Y1713" s="76"/>
      <c r="Z1713" s="76"/>
      <c r="AA1713" s="76"/>
      <c r="AB1713" s="76"/>
      <c r="AC1713" s="76"/>
      <c r="AD1713" s="76"/>
      <c r="AE1713" s="76"/>
      <c r="AF1713" s="76"/>
      <c r="AG1713" s="76"/>
      <c r="AH1713" s="76"/>
      <c r="AI1713" s="76"/>
      <c r="AJ1713" s="73"/>
      <c r="AK1713" s="57"/>
      <c r="AL1713" s="45"/>
      <c r="AM1713" s="45"/>
      <c r="AN1713" s="45"/>
    </row>
    <row r="1714" spans="1:40" outlineLevel="2" collapsed="1" x14ac:dyDescent="0.25">
      <c r="A1714" s="45"/>
      <c r="B1714" s="54"/>
      <c r="C1714" s="47">
        <f>INT($C$29)+2</f>
        <v>3</v>
      </c>
      <c r="D1714" s="73"/>
      <c r="E1714" s="70"/>
      <c r="F1714" s="70"/>
      <c r="G1714" s="73"/>
      <c r="H1714" s="76"/>
      <c r="I1714" s="76"/>
      <c r="J1714" s="76"/>
      <c r="K1714" s="76"/>
      <c r="L1714" s="76"/>
      <c r="M1714" s="76"/>
      <c r="N1714" s="76"/>
      <c r="O1714" s="76"/>
      <c r="P1714" s="76"/>
      <c r="Q1714" s="76"/>
      <c r="R1714" s="76"/>
      <c r="S1714" s="76"/>
      <c r="T1714" s="76"/>
      <c r="U1714" s="76"/>
      <c r="V1714" s="76"/>
      <c r="W1714" s="76"/>
      <c r="X1714" s="76"/>
      <c r="Y1714" s="76"/>
      <c r="Z1714" s="76"/>
      <c r="AA1714" s="76"/>
      <c r="AB1714" s="76"/>
      <c r="AC1714" s="76"/>
      <c r="AD1714" s="76"/>
      <c r="AE1714" s="76"/>
      <c r="AF1714" s="76"/>
      <c r="AG1714" s="76"/>
      <c r="AH1714" s="76"/>
      <c r="AI1714" s="76"/>
      <c r="AJ1714" s="73"/>
      <c r="AK1714" s="57"/>
      <c r="AL1714" s="45"/>
      <c r="AM1714" s="45"/>
      <c r="AN1714" s="45"/>
    </row>
    <row r="1715" spans="1:40" ht="5.0999999999999996" hidden="1" customHeight="1" outlineLevel="3" x14ac:dyDescent="0.25">
      <c r="A1715" s="45"/>
      <c r="B1715" s="54"/>
      <c r="C1715" s="47">
        <f>INT($C$29)+3.005</f>
        <v>4.0049999999999999</v>
      </c>
      <c r="D1715" s="73"/>
      <c r="E1715" s="73"/>
      <c r="F1715" s="73"/>
      <c r="G1715" s="73"/>
      <c r="H1715" s="73"/>
      <c r="I1715" s="73"/>
      <c r="J1715" s="73"/>
      <c r="K1715" s="73"/>
      <c r="L1715" s="73"/>
      <c r="M1715" s="73"/>
      <c r="N1715" s="73"/>
      <c r="O1715" s="73"/>
      <c r="P1715" s="73"/>
      <c r="Q1715" s="73"/>
      <c r="R1715" s="73"/>
      <c r="S1715" s="73"/>
      <c r="T1715" s="73"/>
      <c r="U1715" s="73"/>
      <c r="V1715" s="73"/>
      <c r="W1715" s="73"/>
      <c r="X1715" s="73"/>
      <c r="Y1715" s="73"/>
      <c r="Z1715" s="73"/>
      <c r="AA1715" s="73"/>
      <c r="AB1715" s="73"/>
      <c r="AC1715" s="73"/>
      <c r="AD1715" s="73"/>
      <c r="AE1715" s="73"/>
      <c r="AF1715" s="73"/>
      <c r="AG1715" s="73"/>
      <c r="AH1715" s="73"/>
      <c r="AI1715" s="73"/>
      <c r="AJ1715" s="73" t="s">
        <v>136</v>
      </c>
      <c r="AK1715" s="57"/>
      <c r="AL1715" s="45"/>
      <c r="AM1715" s="45"/>
      <c r="AN1715" s="45"/>
    </row>
    <row r="1716" spans="1:40" ht="5.0999999999999996" customHeight="1" outlineLevel="2" x14ac:dyDescent="0.25">
      <c r="A1716" s="45"/>
      <c r="B1716" s="54"/>
      <c r="C1716" s="47">
        <f>INT($C$29)+2.005</f>
        <v>3.0049999999999999</v>
      </c>
      <c r="D1716" s="73" t="s">
        <v>132</v>
      </c>
      <c r="E1716" s="73"/>
      <c r="F1716" s="73"/>
      <c r="G1716" s="73"/>
      <c r="H1716" s="73"/>
      <c r="I1716" s="73"/>
      <c r="J1716" s="73"/>
      <c r="K1716" s="73"/>
      <c r="L1716" s="73"/>
      <c r="M1716" s="73"/>
      <c r="N1716" s="73"/>
      <c r="O1716" s="73"/>
      <c r="P1716" s="73"/>
      <c r="Q1716" s="73"/>
      <c r="R1716" s="73"/>
      <c r="S1716" s="73"/>
      <c r="T1716" s="73"/>
      <c r="U1716" s="73"/>
      <c r="V1716" s="73"/>
      <c r="W1716" s="73"/>
      <c r="X1716" s="73"/>
      <c r="Y1716" s="73"/>
      <c r="Z1716" s="73"/>
      <c r="AA1716" s="73"/>
      <c r="AB1716" s="73"/>
      <c r="AC1716" s="73"/>
      <c r="AD1716" s="73"/>
      <c r="AE1716" s="73"/>
      <c r="AF1716" s="73"/>
      <c r="AG1716" s="73"/>
      <c r="AH1716" s="73"/>
      <c r="AI1716" s="73"/>
      <c r="AJ1716" s="73"/>
      <c r="AK1716" s="57"/>
      <c r="AL1716" s="45"/>
      <c r="AM1716" s="45"/>
      <c r="AN1716" s="45"/>
    </row>
    <row r="1717" spans="1:40" outlineLevel="2" x14ac:dyDescent="0.25">
      <c r="A1717" s="45"/>
      <c r="B1717" s="54"/>
      <c r="C1717" s="47">
        <f>INT($C$29)+2</f>
        <v>3</v>
      </c>
      <c r="D1717" s="73"/>
      <c r="E1717" s="70"/>
      <c r="F1717" s="70"/>
      <c r="G1717" s="73"/>
      <c r="H1717" s="76"/>
      <c r="I1717" s="76"/>
      <c r="J1717" s="76"/>
      <c r="K1717" s="76"/>
      <c r="L1717" s="76"/>
      <c r="M1717" s="76"/>
      <c r="N1717" s="76"/>
      <c r="O1717" s="76"/>
      <c r="P1717" s="76"/>
      <c r="Q1717" s="76"/>
      <c r="R1717" s="76"/>
      <c r="S1717" s="76"/>
      <c r="T1717" s="76"/>
      <c r="U1717" s="76"/>
      <c r="V1717" s="76"/>
      <c r="W1717" s="76"/>
      <c r="X1717" s="76"/>
      <c r="Y1717" s="76"/>
      <c r="Z1717" s="76"/>
      <c r="AA1717" s="76"/>
      <c r="AB1717" s="76"/>
      <c r="AC1717" s="76"/>
      <c r="AD1717" s="76"/>
      <c r="AE1717" s="76"/>
      <c r="AF1717" s="76"/>
      <c r="AG1717" s="76"/>
      <c r="AH1717" s="76"/>
      <c r="AI1717" s="76"/>
      <c r="AJ1717" s="73"/>
      <c r="AK1717" s="57"/>
      <c r="AL1717" s="45"/>
      <c r="AM1717" s="45"/>
      <c r="AN1717" s="45"/>
    </row>
    <row r="1718" spans="1:40" outlineLevel="2" collapsed="1" x14ac:dyDescent="0.25">
      <c r="A1718" s="45"/>
      <c r="B1718" s="54"/>
      <c r="C1718" s="47">
        <f>INT($C$29)+2</f>
        <v>3</v>
      </c>
      <c r="D1718" s="73"/>
      <c r="E1718" s="70"/>
      <c r="F1718" s="70"/>
      <c r="G1718" s="73"/>
      <c r="H1718" s="76"/>
      <c r="I1718" s="76"/>
      <c r="J1718" s="76"/>
      <c r="K1718" s="76"/>
      <c r="L1718" s="76"/>
      <c r="M1718" s="76"/>
      <c r="N1718" s="76"/>
      <c r="O1718" s="76"/>
      <c r="P1718" s="76"/>
      <c r="Q1718" s="76"/>
      <c r="R1718" s="76"/>
      <c r="S1718" s="76"/>
      <c r="T1718" s="76"/>
      <c r="U1718" s="76"/>
      <c r="V1718" s="76"/>
      <c r="W1718" s="76"/>
      <c r="X1718" s="76"/>
      <c r="Y1718" s="76"/>
      <c r="Z1718" s="76"/>
      <c r="AA1718" s="76"/>
      <c r="AB1718" s="76"/>
      <c r="AC1718" s="76"/>
      <c r="AD1718" s="76"/>
      <c r="AE1718" s="76"/>
      <c r="AF1718" s="76"/>
      <c r="AG1718" s="76"/>
      <c r="AH1718" s="76"/>
      <c r="AI1718" s="76"/>
      <c r="AJ1718" s="73"/>
      <c r="AK1718" s="57"/>
      <c r="AL1718" s="45"/>
      <c r="AM1718" s="45"/>
      <c r="AN1718" s="45"/>
    </row>
    <row r="1719" spans="1:40" hidden="1" outlineLevel="3" x14ac:dyDescent="0.25">
      <c r="A1719" s="45"/>
      <c r="B1719" s="54"/>
      <c r="C1719" s="47">
        <f>INT($C$29)+3</f>
        <v>4</v>
      </c>
      <c r="D1719" s="73"/>
      <c r="E1719" s="70"/>
      <c r="F1719" s="70"/>
      <c r="G1719" s="73"/>
      <c r="H1719" s="76"/>
      <c r="I1719" s="76"/>
      <c r="J1719" s="76"/>
      <c r="K1719" s="76"/>
      <c r="L1719" s="76"/>
      <c r="M1719" s="76"/>
      <c r="N1719" s="76"/>
      <c r="O1719" s="76"/>
      <c r="P1719" s="76"/>
      <c r="Q1719" s="76"/>
      <c r="R1719" s="76"/>
      <c r="S1719" s="76"/>
      <c r="T1719" s="76"/>
      <c r="U1719" s="76"/>
      <c r="V1719" s="76"/>
      <c r="W1719" s="76"/>
      <c r="X1719" s="76"/>
      <c r="Y1719" s="76"/>
      <c r="Z1719" s="76"/>
      <c r="AA1719" s="76"/>
      <c r="AB1719" s="76"/>
      <c r="AC1719" s="76"/>
      <c r="AD1719" s="76"/>
      <c r="AE1719" s="76"/>
      <c r="AF1719" s="76"/>
      <c r="AG1719" s="76"/>
      <c r="AH1719" s="76"/>
      <c r="AI1719" s="76"/>
      <c r="AJ1719" s="73"/>
      <c r="AK1719" s="57"/>
      <c r="AL1719" s="45"/>
      <c r="AM1719" s="45"/>
      <c r="AN1719" s="45"/>
    </row>
    <row r="1720" spans="1:40" hidden="1" outlineLevel="3" x14ac:dyDescent="0.25">
      <c r="A1720" s="45"/>
      <c r="B1720" s="54"/>
      <c r="C1720" s="47">
        <f>INT($C$29)+3</f>
        <v>4</v>
      </c>
      <c r="D1720" s="73"/>
      <c r="E1720" s="70"/>
      <c r="F1720" s="70"/>
      <c r="G1720" s="73"/>
      <c r="H1720" s="76"/>
      <c r="I1720" s="76"/>
      <c r="J1720" s="76"/>
      <c r="K1720" s="76"/>
      <c r="L1720" s="76"/>
      <c r="M1720" s="76"/>
      <c r="N1720" s="76"/>
      <c r="O1720" s="76"/>
      <c r="P1720" s="76"/>
      <c r="Q1720" s="76"/>
      <c r="R1720" s="76"/>
      <c r="S1720" s="76"/>
      <c r="T1720" s="76"/>
      <c r="U1720" s="76"/>
      <c r="V1720" s="76"/>
      <c r="W1720" s="76"/>
      <c r="X1720" s="76"/>
      <c r="Y1720" s="76"/>
      <c r="Z1720" s="76"/>
      <c r="AA1720" s="76"/>
      <c r="AB1720" s="76"/>
      <c r="AC1720" s="76"/>
      <c r="AD1720" s="76"/>
      <c r="AE1720" s="76"/>
      <c r="AF1720" s="76"/>
      <c r="AG1720" s="76"/>
      <c r="AH1720" s="76"/>
      <c r="AI1720" s="76"/>
      <c r="AJ1720" s="73"/>
      <c r="AK1720" s="57"/>
      <c r="AL1720" s="45"/>
      <c r="AM1720" s="45"/>
      <c r="AN1720" s="45"/>
    </row>
    <row r="1721" spans="1:40" hidden="1" outlineLevel="3" x14ac:dyDescent="0.25">
      <c r="A1721" s="45"/>
      <c r="B1721" s="54"/>
      <c r="C1721" s="47">
        <f>INT($C$29)+3</f>
        <v>4</v>
      </c>
      <c r="D1721" s="73"/>
      <c r="E1721" s="70"/>
      <c r="F1721" s="70"/>
      <c r="G1721" s="73"/>
      <c r="H1721" s="76"/>
      <c r="I1721" s="76"/>
      <c r="J1721" s="76"/>
      <c r="K1721" s="76"/>
      <c r="L1721" s="76"/>
      <c r="M1721" s="76"/>
      <c r="N1721" s="76"/>
      <c r="O1721" s="76"/>
      <c r="P1721" s="76"/>
      <c r="Q1721" s="76"/>
      <c r="R1721" s="76"/>
      <c r="S1721" s="76"/>
      <c r="T1721" s="76"/>
      <c r="U1721" s="76"/>
      <c r="V1721" s="76"/>
      <c r="W1721" s="76"/>
      <c r="X1721" s="76"/>
      <c r="Y1721" s="76"/>
      <c r="Z1721" s="76"/>
      <c r="AA1721" s="76"/>
      <c r="AB1721" s="76"/>
      <c r="AC1721" s="76"/>
      <c r="AD1721" s="76"/>
      <c r="AE1721" s="76"/>
      <c r="AF1721" s="76"/>
      <c r="AG1721" s="76"/>
      <c r="AH1721" s="76"/>
      <c r="AI1721" s="76"/>
      <c r="AJ1721" s="73"/>
      <c r="AK1721" s="57"/>
      <c r="AL1721" s="45"/>
      <c r="AM1721" s="45"/>
      <c r="AN1721" s="45"/>
    </row>
    <row r="1722" spans="1:40" ht="5.0999999999999996" hidden="1" customHeight="1" outlineLevel="3" x14ac:dyDescent="0.25">
      <c r="A1722" s="45"/>
      <c r="B1722" s="54"/>
      <c r="C1722" s="47">
        <f>INT($C$29)+3.005</f>
        <v>4.0049999999999999</v>
      </c>
      <c r="D1722" s="73"/>
      <c r="E1722" s="73"/>
      <c r="F1722" s="73"/>
      <c r="G1722" s="73"/>
      <c r="H1722" s="73"/>
      <c r="I1722" s="73"/>
      <c r="J1722" s="73"/>
      <c r="K1722" s="73"/>
      <c r="L1722" s="73"/>
      <c r="M1722" s="73"/>
      <c r="N1722" s="73"/>
      <c r="O1722" s="73"/>
      <c r="P1722" s="73"/>
      <c r="Q1722" s="73"/>
      <c r="R1722" s="73"/>
      <c r="S1722" s="73"/>
      <c r="T1722" s="73"/>
      <c r="U1722" s="73"/>
      <c r="V1722" s="73"/>
      <c r="W1722" s="73"/>
      <c r="X1722" s="73"/>
      <c r="Y1722" s="73"/>
      <c r="Z1722" s="73"/>
      <c r="AA1722" s="73"/>
      <c r="AB1722" s="73"/>
      <c r="AC1722" s="73"/>
      <c r="AD1722" s="73"/>
      <c r="AE1722" s="76"/>
      <c r="AF1722" s="73"/>
      <c r="AG1722" s="73"/>
      <c r="AH1722" s="73"/>
      <c r="AI1722" s="73"/>
      <c r="AJ1722" s="73" t="s">
        <v>136</v>
      </c>
      <c r="AK1722" s="57"/>
      <c r="AL1722" s="45"/>
      <c r="AM1722" s="45"/>
      <c r="AN1722" s="45"/>
    </row>
    <row r="1723" spans="1:40" ht="5.0999999999999996" customHeight="1" outlineLevel="2" x14ac:dyDescent="0.25">
      <c r="A1723" s="45"/>
      <c r="B1723" s="54"/>
      <c r="C1723" s="47">
        <f>INT($C$29)+2.005</f>
        <v>3.0049999999999999</v>
      </c>
      <c r="D1723" s="73"/>
      <c r="E1723" s="73"/>
      <c r="F1723" s="73"/>
      <c r="G1723" s="73"/>
      <c r="H1723" s="73"/>
      <c r="I1723" s="73"/>
      <c r="J1723" s="73"/>
      <c r="K1723" s="73"/>
      <c r="L1723" s="73"/>
      <c r="M1723" s="73"/>
      <c r="N1723" s="73"/>
      <c r="O1723" s="73"/>
      <c r="P1723" s="73"/>
      <c r="Q1723" s="73"/>
      <c r="R1723" s="73"/>
      <c r="S1723" s="73"/>
      <c r="T1723" s="73"/>
      <c r="U1723" s="73"/>
      <c r="V1723" s="73"/>
      <c r="W1723" s="73"/>
      <c r="X1723" s="73"/>
      <c r="Y1723" s="73"/>
      <c r="Z1723" s="73"/>
      <c r="AA1723" s="73"/>
      <c r="AB1723" s="73"/>
      <c r="AC1723" s="73"/>
      <c r="AD1723" s="73"/>
      <c r="AE1723" s="76"/>
      <c r="AF1723" s="73"/>
      <c r="AG1723" s="73"/>
      <c r="AH1723" s="73"/>
      <c r="AI1723" s="73"/>
      <c r="AJ1723" s="73"/>
      <c r="AK1723" s="57"/>
      <c r="AL1723" s="45"/>
      <c r="AM1723" s="45"/>
      <c r="AN1723" s="45"/>
    </row>
    <row r="1724" spans="1:40" ht="5.0999999999999996" customHeight="1" outlineLevel="1" x14ac:dyDescent="0.25">
      <c r="A1724" s="45"/>
      <c r="B1724" s="81"/>
      <c r="C1724" s="82">
        <f>INT($C$29)+1.005</f>
        <v>2.0049999999999999</v>
      </c>
      <c r="D1724" s="83"/>
      <c r="E1724" s="83"/>
      <c r="F1724" s="83"/>
      <c r="G1724" s="83"/>
      <c r="H1724" s="83"/>
      <c r="I1724" s="83"/>
      <c r="J1724" s="83"/>
      <c r="K1724" s="83"/>
      <c r="L1724" s="83"/>
      <c r="M1724" s="83"/>
      <c r="N1724" s="83"/>
      <c r="O1724" s="83"/>
      <c r="P1724" s="83"/>
      <c r="Q1724" s="83"/>
      <c r="R1724" s="83"/>
      <c r="S1724" s="83"/>
      <c r="T1724" s="83"/>
      <c r="U1724" s="83"/>
      <c r="V1724" s="83"/>
      <c r="W1724" s="83"/>
      <c r="X1724" s="83"/>
      <c r="Y1724" s="83"/>
      <c r="Z1724" s="83"/>
      <c r="AA1724" s="83"/>
      <c r="AB1724" s="83"/>
      <c r="AC1724" s="83"/>
      <c r="AD1724" s="83"/>
      <c r="AE1724" s="83"/>
      <c r="AF1724" s="83"/>
      <c r="AG1724" s="83"/>
      <c r="AH1724" s="83"/>
      <c r="AI1724" s="83"/>
      <c r="AJ1724" s="83"/>
      <c r="AK1724" s="84" t="s">
        <v>145</v>
      </c>
      <c r="AL1724" s="45"/>
      <c r="AM1724" s="45"/>
      <c r="AN1724" s="45"/>
    </row>
    <row r="1725" spans="1:40" ht="5.0999999999999996" customHeight="1" collapsed="1" x14ac:dyDescent="0.25">
      <c r="A1725" s="45"/>
      <c r="B1725" s="85"/>
      <c r="C1725" s="86">
        <f>INT($C$29)+0.005</f>
        <v>1.0049999999999999</v>
      </c>
      <c r="D1725" s="85"/>
      <c r="E1725" s="85"/>
      <c r="F1725" s="85"/>
      <c r="G1725" s="85"/>
      <c r="H1725" s="85"/>
      <c r="I1725" s="85"/>
      <c r="J1725" s="85"/>
      <c r="K1725" s="85"/>
      <c r="L1725" s="85"/>
      <c r="M1725" s="85"/>
      <c r="N1725" s="85"/>
      <c r="O1725" s="85"/>
      <c r="P1725" s="85"/>
      <c r="Q1725" s="85"/>
      <c r="R1725" s="85"/>
      <c r="S1725" s="85"/>
      <c r="T1725" s="85"/>
      <c r="U1725" s="85"/>
      <c r="V1725" s="85"/>
      <c r="W1725" s="85"/>
      <c r="X1725" s="85"/>
      <c r="Y1725" s="85"/>
      <c r="Z1725" s="85"/>
      <c r="AA1725" s="85"/>
      <c r="AB1725" s="85"/>
      <c r="AC1725" s="85"/>
      <c r="AD1725" s="85"/>
      <c r="AE1725" s="85"/>
      <c r="AF1725" s="85"/>
      <c r="AG1725" s="85"/>
      <c r="AH1725" s="85"/>
      <c r="AI1725" s="85"/>
      <c r="AJ1725" s="85"/>
      <c r="AK1725" s="85"/>
      <c r="AL1725" s="45"/>
      <c r="AM1725" s="45"/>
      <c r="AN1725" s="45"/>
    </row>
    <row r="1726" spans="1:40" hidden="1" outlineLevel="2" x14ac:dyDescent="0.25">
      <c r="A1726" s="45"/>
      <c r="B1726" s="45"/>
      <c r="C1726" s="47">
        <f>INT($C$29)+2</f>
        <v>3</v>
      </c>
      <c r="D1726" s="45"/>
      <c r="E1726" s="45"/>
      <c r="F1726" s="45"/>
      <c r="G1726" s="45"/>
      <c r="H1726" s="45"/>
      <c r="I1726" s="45"/>
      <c r="J1726" s="45"/>
      <c r="K1726" s="45"/>
      <c r="L1726" s="45"/>
      <c r="M1726" s="45"/>
      <c r="N1726" s="45"/>
      <c r="O1726" s="45"/>
      <c r="P1726" s="45"/>
      <c r="Q1726" s="45"/>
      <c r="R1726" s="45"/>
      <c r="S1726" s="45"/>
      <c r="T1726" s="45"/>
      <c r="U1726" s="45"/>
      <c r="V1726" s="45"/>
      <c r="W1726" s="45"/>
      <c r="X1726" s="45"/>
      <c r="Y1726" s="45"/>
      <c r="Z1726" s="45"/>
      <c r="AA1726" s="45"/>
      <c r="AB1726" s="45"/>
      <c r="AC1726" s="45"/>
      <c r="AD1726" s="45"/>
      <c r="AE1726" s="45"/>
      <c r="AF1726" s="45"/>
      <c r="AG1726" s="45"/>
      <c r="AH1726" s="45"/>
      <c r="AI1726" s="45"/>
      <c r="AJ1726" s="45"/>
      <c r="AK1726" s="45"/>
      <c r="AL1726" s="45"/>
      <c r="AM1726" s="45"/>
      <c r="AN1726" s="45"/>
    </row>
    <row r="1727" spans="1:40" x14ac:dyDescent="0.25">
      <c r="A1727" s="45"/>
      <c r="B1727" s="45"/>
      <c r="C1727" s="46"/>
      <c r="D1727" s="45"/>
      <c r="E1727" s="45"/>
      <c r="F1727" s="45"/>
      <c r="G1727" s="45"/>
      <c r="H1727" s="45"/>
      <c r="I1727" s="45"/>
      <c r="J1727" s="45"/>
      <c r="K1727" s="45"/>
      <c r="L1727" s="45"/>
      <c r="M1727" s="45"/>
      <c r="N1727" s="45"/>
      <c r="O1727" s="45"/>
      <c r="P1727" s="45"/>
      <c r="Q1727" s="45"/>
      <c r="R1727" s="45"/>
      <c r="S1727" s="45"/>
      <c r="T1727" s="45"/>
      <c r="U1727" s="45"/>
      <c r="V1727" s="45"/>
      <c r="W1727" s="45"/>
      <c r="X1727" s="45"/>
      <c r="Y1727" s="45"/>
      <c r="Z1727" s="45"/>
      <c r="AA1727" s="45"/>
      <c r="AB1727" s="45"/>
      <c r="AC1727" s="45"/>
      <c r="AD1727" s="45"/>
      <c r="AE1727" s="45"/>
      <c r="AF1727" s="45"/>
      <c r="AG1727" s="45"/>
      <c r="AH1727" s="45"/>
      <c r="AI1727" s="45"/>
      <c r="AJ1727" s="45"/>
      <c r="AK1727" s="45"/>
      <c r="AL1727" s="45"/>
      <c r="AM1727" s="45"/>
      <c r="AN1727" s="45"/>
    </row>
    <row r="1728" spans="1:40" x14ac:dyDescent="0.25">
      <c r="A1728" s="45"/>
      <c r="B1728" s="45"/>
      <c r="C1728" s="46"/>
      <c r="D1728" s="45"/>
      <c r="E1728" s="45"/>
      <c r="F1728" s="45"/>
      <c r="G1728" s="45"/>
      <c r="H1728" s="45"/>
      <c r="I1728" s="45"/>
      <c r="J1728" s="45"/>
      <c r="K1728" s="45"/>
      <c r="L1728" s="45"/>
      <c r="M1728" s="45"/>
      <c r="N1728" s="45"/>
      <c r="O1728" s="45"/>
      <c r="P1728" s="45"/>
      <c r="Q1728" s="45"/>
      <c r="R1728" s="45"/>
      <c r="S1728" s="45"/>
      <c r="T1728" s="45"/>
      <c r="U1728" s="45"/>
      <c r="V1728" s="45"/>
      <c r="W1728" s="45"/>
      <c r="X1728" s="45"/>
      <c r="Y1728" s="45"/>
      <c r="Z1728" s="45"/>
      <c r="AA1728" s="45"/>
      <c r="AB1728" s="45"/>
      <c r="AC1728" s="45"/>
      <c r="AD1728" s="45"/>
      <c r="AE1728" s="45"/>
      <c r="AF1728" s="45"/>
      <c r="AG1728" s="45"/>
      <c r="AH1728" s="45"/>
      <c r="AI1728" s="45"/>
      <c r="AJ1728" s="45"/>
      <c r="AK1728" s="45"/>
      <c r="AL1728" s="45"/>
      <c r="AM1728" s="45"/>
      <c r="AN1728" s="45"/>
    </row>
    <row r="1729" spans="1:40" x14ac:dyDescent="0.25">
      <c r="A1729" s="45"/>
      <c r="B1729" s="45"/>
      <c r="C1729" s="46"/>
      <c r="D1729" s="45"/>
      <c r="E1729" s="45"/>
      <c r="F1729" s="45"/>
      <c r="G1729" s="45"/>
      <c r="H1729" s="45"/>
      <c r="I1729" s="45"/>
      <c r="J1729" s="45"/>
      <c r="K1729" s="45"/>
      <c r="L1729" s="45"/>
      <c r="M1729" s="45"/>
      <c r="N1729" s="45"/>
      <c r="O1729" s="45"/>
      <c r="P1729" s="45"/>
      <c r="Q1729" s="45"/>
      <c r="R1729" s="45"/>
      <c r="S1729" s="45"/>
      <c r="T1729" s="45"/>
      <c r="U1729" s="45"/>
      <c r="V1729" s="45"/>
      <c r="W1729" s="45"/>
      <c r="X1729" s="45"/>
      <c r="Y1729" s="45"/>
      <c r="Z1729" s="45"/>
      <c r="AA1729" s="45"/>
      <c r="AB1729" s="45"/>
      <c r="AC1729" s="45"/>
      <c r="AD1729" s="45"/>
      <c r="AE1729" s="45"/>
      <c r="AF1729" s="45"/>
      <c r="AG1729" s="45"/>
      <c r="AH1729" s="45"/>
      <c r="AI1729" s="45"/>
      <c r="AJ1729" s="45"/>
      <c r="AK1729" s="45"/>
      <c r="AL1729" s="45"/>
      <c r="AM1729" s="45"/>
      <c r="AN1729" s="45"/>
    </row>
    <row r="1730" spans="1:40" x14ac:dyDescent="0.25">
      <c r="A1730" s="45"/>
      <c r="B1730" s="45"/>
      <c r="C1730" s="46"/>
      <c r="D1730" s="45"/>
      <c r="E1730" s="45"/>
      <c r="F1730" s="45"/>
      <c r="G1730" s="45"/>
      <c r="H1730" s="45"/>
      <c r="I1730" s="45"/>
      <c r="J1730" s="45"/>
      <c r="K1730" s="45"/>
      <c r="L1730" s="45"/>
      <c r="M1730" s="45"/>
      <c r="N1730" s="45"/>
      <c r="O1730" s="45"/>
      <c r="P1730" s="45"/>
      <c r="Q1730" s="45"/>
      <c r="R1730" s="45"/>
      <c r="S1730" s="45"/>
      <c r="T1730" s="45"/>
      <c r="U1730" s="45"/>
      <c r="V1730" s="45"/>
      <c r="W1730" s="45"/>
      <c r="X1730" s="45"/>
      <c r="Y1730" s="45"/>
      <c r="Z1730" s="45"/>
      <c r="AA1730" s="45"/>
      <c r="AB1730" s="45"/>
      <c r="AC1730" s="45"/>
      <c r="AD1730" s="45"/>
      <c r="AE1730" s="45"/>
      <c r="AF1730" s="45"/>
      <c r="AG1730" s="45"/>
      <c r="AH1730" s="45"/>
      <c r="AI1730" s="45"/>
      <c r="AJ1730" s="45"/>
      <c r="AK1730" s="45"/>
      <c r="AL1730" s="45"/>
      <c r="AM1730" s="45"/>
      <c r="AN1730" s="45"/>
    </row>
    <row r="1731" spans="1:40" x14ac:dyDescent="0.25">
      <c r="A1731" s="45"/>
      <c r="B1731" s="45"/>
      <c r="C1731" s="46"/>
      <c r="D1731" s="45"/>
      <c r="E1731" s="45"/>
      <c r="F1731" s="45"/>
      <c r="G1731" s="45"/>
      <c r="H1731" s="45"/>
      <c r="I1731" s="45"/>
      <c r="J1731" s="45"/>
      <c r="K1731" s="45"/>
      <c r="L1731" s="45"/>
      <c r="M1731" s="45"/>
      <c r="N1731" s="45"/>
      <c r="O1731" s="45"/>
      <c r="P1731" s="45"/>
      <c r="Q1731" s="45"/>
      <c r="R1731" s="45"/>
      <c r="S1731" s="45"/>
      <c r="T1731" s="45"/>
      <c r="U1731" s="45"/>
      <c r="V1731" s="45"/>
      <c r="W1731" s="45"/>
      <c r="X1731" s="45"/>
      <c r="Y1731" s="45"/>
      <c r="Z1731" s="45"/>
      <c r="AA1731" s="45"/>
      <c r="AB1731" s="45"/>
      <c r="AC1731" s="45"/>
      <c r="AD1731" s="45"/>
      <c r="AE1731" s="45"/>
      <c r="AF1731" s="45"/>
      <c r="AG1731" s="45"/>
      <c r="AH1731" s="45"/>
      <c r="AI1731" s="45"/>
      <c r="AJ1731" s="45"/>
      <c r="AK1731" s="45"/>
      <c r="AL1731" s="45"/>
      <c r="AM1731" s="45"/>
      <c r="AN1731" s="45"/>
    </row>
    <row r="1732" spans="1:40" x14ac:dyDescent="0.25">
      <c r="A1732" s="45"/>
      <c r="B1732" s="45"/>
      <c r="C1732" s="46"/>
      <c r="D1732" s="45"/>
      <c r="E1732" s="45"/>
      <c r="F1732" s="45"/>
      <c r="G1732" s="45"/>
      <c r="H1732" s="45"/>
      <c r="I1732" s="45"/>
      <c r="J1732" s="45"/>
      <c r="K1732" s="45"/>
      <c r="L1732" s="45"/>
      <c r="M1732" s="45"/>
      <c r="N1732" s="45"/>
      <c r="O1732" s="45"/>
      <c r="P1732" s="45"/>
      <c r="Q1732" s="45"/>
      <c r="R1732" s="45"/>
      <c r="S1732" s="45"/>
      <c r="T1732" s="45"/>
      <c r="U1732" s="45"/>
      <c r="V1732" s="45"/>
      <c r="W1732" s="45"/>
      <c r="X1732" s="45"/>
      <c r="Y1732" s="45"/>
      <c r="Z1732" s="45"/>
      <c r="AA1732" s="45"/>
      <c r="AB1732" s="45"/>
      <c r="AC1732" s="45"/>
      <c r="AD1732" s="45"/>
      <c r="AE1732" s="45"/>
      <c r="AF1732" s="45"/>
      <c r="AG1732" s="45"/>
      <c r="AH1732" s="45"/>
      <c r="AI1732" s="45"/>
      <c r="AJ1732" s="45"/>
      <c r="AK1732" s="45"/>
      <c r="AL1732" s="45"/>
      <c r="AM1732" s="45"/>
      <c r="AN1732" s="45"/>
    </row>
    <row r="1733" spans="1:40" x14ac:dyDescent="0.25">
      <c r="C1733" s="233" t="s">
        <v>419</v>
      </c>
    </row>
  </sheetData>
  <autoFilter ref="E36:AJ1726" xr:uid="{3C3415A5-FB2E-4A7F-A830-CC02AF06DF76}"/>
  <mergeCells count="2">
    <mergeCell ref="J11:AA11"/>
    <mergeCell ref="J12:AA12"/>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83" activePane="bottomRight" state="frozen"/>
      <selection activeCell="A3" sqref="A3"/>
      <selection pane="topRight" activeCell="K3" sqref="K3"/>
      <selection pane="bottomLeft" activeCell="A51" sqref="A51"/>
      <selection pane="bottomRight" activeCell="H125" sqref="H125"/>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31" t="s">
        <v>2375</v>
      </c>
      <c r="K11" s="627"/>
      <c r="L11" s="627"/>
      <c r="M11" s="627"/>
      <c r="N11" s="627"/>
      <c r="O11" s="627"/>
      <c r="P11" s="627"/>
      <c r="Q11" s="627"/>
      <c r="R11" s="627"/>
      <c r="S11" s="627"/>
      <c r="T11" s="627"/>
      <c r="U11" s="627"/>
      <c r="V11" s="627"/>
      <c r="W11" s="627"/>
      <c r="X11" s="627"/>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28" t="s">
        <v>2386</v>
      </c>
      <c r="K12" s="629"/>
      <c r="L12" s="629"/>
      <c r="M12" s="629"/>
      <c r="N12" s="629"/>
      <c r="O12" s="629"/>
      <c r="P12" s="629"/>
      <c r="Q12" s="629"/>
      <c r="R12" s="629"/>
      <c r="S12" s="629"/>
      <c r="T12" s="629"/>
      <c r="U12" s="629"/>
      <c r="V12" s="629"/>
      <c r="W12" s="629"/>
      <c r="X12" s="630"/>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2087</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2251</v>
      </c>
      <c r="L35" s="72"/>
      <c r="M35" s="72"/>
      <c r="N35" s="72"/>
      <c r="O35" s="72"/>
      <c r="P35" s="72"/>
      <c r="Q35" s="72"/>
      <c r="R35" s="72" t="s">
        <v>2088</v>
      </c>
      <c r="S35" s="239" t="s">
        <v>2377</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2089</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2090</v>
      </c>
      <c r="I41" s="76" t="s">
        <v>2091</v>
      </c>
      <c r="J41" s="76"/>
      <c r="K41" s="97">
        <f>30/1000</f>
        <v>0.03</v>
      </c>
      <c r="L41" s="76"/>
      <c r="M41" s="76"/>
      <c r="N41" s="76"/>
      <c r="O41" s="76"/>
      <c r="P41" s="76"/>
      <c r="Q41" s="76"/>
      <c r="R41" s="97" t="s">
        <v>2360</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2361</v>
      </c>
      <c r="I42" s="76" t="s">
        <v>2362</v>
      </c>
      <c r="J42" s="76"/>
      <c r="K42" s="97">
        <v>200</v>
      </c>
      <c r="L42" s="76"/>
      <c r="M42" s="76"/>
      <c r="N42" s="76"/>
      <c r="O42" s="76"/>
      <c r="P42" s="76"/>
      <c r="Q42" s="76"/>
      <c r="R42" s="97" t="s">
        <v>2385</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2092</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1719</v>
      </c>
      <c r="G47" s="73"/>
      <c r="H47" s="304" t="s">
        <v>2093</v>
      </c>
      <c r="I47" s="110">
        <v>2</v>
      </c>
      <c r="J47" s="305" t="s">
        <v>1045</v>
      </c>
      <c r="K47" s="110">
        <v>3</v>
      </c>
      <c r="L47" s="110">
        <v>10</v>
      </c>
      <c r="M47" s="155"/>
      <c r="N47" s="155"/>
      <c r="O47" s="155"/>
      <c r="P47" s="155"/>
      <c r="Q47" s="155"/>
      <c r="R47" s="153" t="s">
        <v>2094</v>
      </c>
      <c r="S47" s="155"/>
      <c r="T47" s="155"/>
      <c r="U47" s="155"/>
      <c r="V47" s="155"/>
      <c r="W47" s="155"/>
      <c r="X47" s="155"/>
      <c r="Y47" s="155"/>
      <c r="Z47" s="73"/>
      <c r="AA47" s="57"/>
      <c r="AB47" s="45"/>
      <c r="AC47" s="45"/>
      <c r="AD47" s="45"/>
    </row>
    <row r="48" spans="1:30" outlineLevel="2" x14ac:dyDescent="0.25">
      <c r="A48" s="45"/>
      <c r="B48" s="54"/>
      <c r="C48" s="87">
        <f>INT($C$29)+2</f>
        <v>3</v>
      </c>
      <c r="D48" s="73"/>
      <c r="E48" s="70" t="s">
        <v>2095</v>
      </c>
      <c r="F48" s="70" t="s">
        <v>2096</v>
      </c>
      <c r="G48" s="73"/>
      <c r="H48" s="306" t="s">
        <v>2363</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2097</v>
      </c>
      <c r="G49" s="73"/>
      <c r="H49" s="76" t="s">
        <v>2247</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2098</v>
      </c>
      <c r="G50" s="73"/>
      <c r="H50" s="76" t="s">
        <v>2099</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2100</v>
      </c>
      <c r="G51" s="73"/>
      <c r="H51" s="76" t="s">
        <v>2248</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2101</v>
      </c>
      <c r="G52" s="73"/>
      <c r="H52" s="76" t="s">
        <v>2102</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2103</v>
      </c>
      <c r="G53" s="73"/>
      <c r="H53" s="76" t="s">
        <v>2249</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2101</v>
      </c>
      <c r="G54" s="73"/>
      <c r="H54" s="76" t="s">
        <v>2288</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2103</v>
      </c>
      <c r="G55" s="73"/>
      <c r="H55" s="76" t="s">
        <v>2250</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2101</v>
      </c>
      <c r="G56" s="73"/>
      <c r="H56" s="76" t="s">
        <v>2288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2103</v>
      </c>
      <c r="G57" s="73"/>
      <c r="H57" s="218" t="s">
        <v>2250</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2104</v>
      </c>
      <c r="G58" s="73"/>
      <c r="H58" s="306" t="s">
        <v>2364</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2105</v>
      </c>
      <c r="G59" s="73"/>
      <c r="H59" s="76" t="s">
        <v>2247</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2106</v>
      </c>
      <c r="G60" s="73"/>
      <c r="H60" s="76" t="s">
        <v>2099</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2107</v>
      </c>
      <c r="G61" s="73"/>
      <c r="H61" s="76" t="s">
        <v>2248</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2108</v>
      </c>
      <c r="G62" s="73"/>
      <c r="H62" s="76" t="s">
        <v>2102</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2109</v>
      </c>
      <c r="G63" s="73"/>
      <c r="H63" s="76" t="s">
        <v>2249</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2101</v>
      </c>
      <c r="G64" s="73"/>
      <c r="H64" s="76" t="s">
        <v>2288</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2103</v>
      </c>
      <c r="G65" s="73"/>
      <c r="H65" s="76" t="s">
        <v>2250</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2101</v>
      </c>
      <c r="G66" s="73"/>
      <c r="H66" s="76" t="s">
        <v>2288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2103</v>
      </c>
      <c r="G67" s="73"/>
      <c r="H67" s="218" t="s">
        <v>2250</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2110</v>
      </c>
      <c r="G68" s="73"/>
      <c r="H68" s="306" t="s">
        <v>2365</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2111</v>
      </c>
      <c r="G69" s="73"/>
      <c r="H69" s="76" t="s">
        <v>2247</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2112</v>
      </c>
      <c r="G70" s="73"/>
      <c r="H70" s="76" t="s">
        <v>2099</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2113</v>
      </c>
      <c r="G71" s="73"/>
      <c r="H71" s="76" t="s">
        <v>2248</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2114</v>
      </c>
      <c r="G72" s="73"/>
      <c r="H72" s="76" t="s">
        <v>2102</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2115</v>
      </c>
      <c r="G73" s="73"/>
      <c r="H73" s="76" t="s">
        <v>2249</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2114</v>
      </c>
      <c r="G74" s="73"/>
      <c r="H74" s="76" t="s">
        <v>2288</v>
      </c>
      <c r="I74" s="76"/>
      <c r="J74" s="76"/>
      <c r="K74" s="97">
        <v>-200</v>
      </c>
      <c r="L74" s="97"/>
      <c r="M74" s="97"/>
      <c r="N74" s="97"/>
      <c r="O74" s="76"/>
      <c r="P74" s="76"/>
      <c r="Q74" s="76"/>
      <c r="R74" s="97" t="s">
        <v>2289</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2115</v>
      </c>
      <c r="G75" s="73"/>
      <c r="H75" s="76" t="s">
        <v>2250</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2114</v>
      </c>
      <c r="G76" s="73"/>
      <c r="H76" s="76" t="s">
        <v>2291</v>
      </c>
      <c r="I76" s="76"/>
      <c r="J76" s="76"/>
      <c r="K76" s="97">
        <v>-100</v>
      </c>
      <c r="L76" s="97"/>
      <c r="M76" s="97"/>
      <c r="N76" s="97"/>
      <c r="O76" s="76"/>
      <c r="P76" s="76"/>
      <c r="Q76" s="76"/>
      <c r="R76" s="97" t="s">
        <v>2290</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2115</v>
      </c>
      <c r="G77" s="73"/>
      <c r="H77" s="218" t="s">
        <v>2250</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1719</v>
      </c>
      <c r="G78" s="73"/>
      <c r="H78" s="267" t="s">
        <v>2116</v>
      </c>
      <c r="I78" s="129"/>
      <c r="J78" s="129" t="s">
        <v>1045</v>
      </c>
      <c r="K78" s="79">
        <v>6</v>
      </c>
      <c r="L78" s="79">
        <v>10</v>
      </c>
      <c r="M78" s="76"/>
      <c r="N78" s="76"/>
      <c r="O78" s="76"/>
      <c r="P78" s="76"/>
      <c r="Q78" s="76"/>
      <c r="R78" s="97" t="s">
        <v>2094</v>
      </c>
      <c r="S78" s="76" t="s">
        <v>2372</v>
      </c>
      <c r="T78" s="76"/>
      <c r="U78" s="76" t="s">
        <v>2373</v>
      </c>
      <c r="V78" s="76" t="s">
        <v>2374</v>
      </c>
      <c r="W78" s="76"/>
      <c r="X78" s="76"/>
      <c r="Y78" s="76"/>
      <c r="Z78" s="73"/>
      <c r="AA78" s="57"/>
      <c r="AB78" s="45"/>
      <c r="AC78" s="45"/>
      <c r="AD78" s="45"/>
    </row>
    <row r="79" spans="1:30" outlineLevel="3" x14ac:dyDescent="0.25">
      <c r="A79" s="45"/>
      <c r="B79" s="54"/>
      <c r="C79" s="87">
        <f t="shared" si="0"/>
        <v>4</v>
      </c>
      <c r="D79" s="73"/>
      <c r="E79" s="70" t="s">
        <v>2117</v>
      </c>
      <c r="F79" s="70" t="s">
        <v>2118</v>
      </c>
      <c r="G79" s="73"/>
      <c r="H79" s="306" t="s">
        <v>2366</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2119</v>
      </c>
      <c r="G80" s="73"/>
      <c r="H80" s="76" t="s">
        <v>2247</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2120</v>
      </c>
      <c r="G81" s="73"/>
      <c r="H81" s="76" t="s">
        <v>2099</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2121</v>
      </c>
      <c r="G82" s="73"/>
      <c r="H82" s="76" t="s">
        <v>2248</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2376</v>
      </c>
      <c r="Y82" s="76" t="s">
        <v>2378</v>
      </c>
      <c r="Z82" s="73"/>
      <c r="AA82" s="57"/>
      <c r="AB82" s="45"/>
      <c r="AC82" s="45"/>
      <c r="AD82" s="45"/>
    </row>
    <row r="83" spans="1:30" outlineLevel="3" x14ac:dyDescent="0.25">
      <c r="A83" s="45"/>
      <c r="B83" s="54"/>
      <c r="C83" s="87">
        <f t="shared" si="0"/>
        <v>4</v>
      </c>
      <c r="D83" s="73"/>
      <c r="E83" s="70"/>
      <c r="F83" s="70" t="s">
        <v>2122</v>
      </c>
      <c r="G83" s="73"/>
      <c r="H83" s="76" t="s">
        <v>2102</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2123</v>
      </c>
      <c r="G84" s="73"/>
      <c r="H84" s="76" t="s">
        <v>2249</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2114</v>
      </c>
      <c r="G85" s="73"/>
      <c r="H85" s="76" t="s">
        <v>2288</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2123</v>
      </c>
      <c r="G86" s="73"/>
      <c r="H86" s="76" t="s">
        <v>2249</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2114</v>
      </c>
      <c r="G87" s="73"/>
      <c r="H87" s="76" t="s">
        <v>2291</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2115</v>
      </c>
      <c r="G88" s="73"/>
      <c r="H88" s="218" t="s">
        <v>2250</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2124</v>
      </c>
      <c r="G89" s="73"/>
      <c r="H89" s="306" t="s">
        <v>2367</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2125</v>
      </c>
      <c r="G90" s="73"/>
      <c r="H90" s="76" t="s">
        <v>2247</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2126</v>
      </c>
      <c r="G91" s="73"/>
      <c r="H91" s="76" t="s">
        <v>2099</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2127</v>
      </c>
      <c r="G92" s="73"/>
      <c r="H92" s="76" t="s">
        <v>2248</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2128</v>
      </c>
      <c r="G93" s="73"/>
      <c r="H93" s="76" t="s">
        <v>2102</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2129</v>
      </c>
      <c r="G94" s="73"/>
      <c r="H94" s="76" t="s">
        <v>2249</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2114</v>
      </c>
      <c r="G95" s="73"/>
      <c r="H95" s="76" t="s">
        <v>2288</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2123</v>
      </c>
      <c r="G96" s="73"/>
      <c r="H96" s="76" t="s">
        <v>2249</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2114</v>
      </c>
      <c r="G97" s="73"/>
      <c r="H97" s="76" t="s">
        <v>2291</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2115</v>
      </c>
      <c r="G98" s="73"/>
      <c r="H98" s="218" t="s">
        <v>2250</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2130</v>
      </c>
      <c r="G99" s="73"/>
      <c r="H99" s="306" t="s">
        <v>2368</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2131</v>
      </c>
      <c r="G100" s="73"/>
      <c r="H100" s="76" t="s">
        <v>2247</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2132</v>
      </c>
      <c r="G101" s="73"/>
      <c r="H101" s="76" t="s">
        <v>2099</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2133</v>
      </c>
      <c r="G102" s="73"/>
      <c r="H102" s="76" t="s">
        <v>2248</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2134</v>
      </c>
      <c r="G103" s="73"/>
      <c r="H103" s="76" t="s">
        <v>2102</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2135</v>
      </c>
      <c r="G104" s="73"/>
      <c r="H104" s="76" t="s">
        <v>2249</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2114</v>
      </c>
      <c r="G105" s="73"/>
      <c r="H105" s="76" t="s">
        <v>2288</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2123</v>
      </c>
      <c r="G106" s="73"/>
      <c r="H106" s="76" t="s">
        <v>2249</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2114</v>
      </c>
      <c r="G107" s="73"/>
      <c r="H107" s="76" t="s">
        <v>2291</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2115</v>
      </c>
      <c r="G108" s="73"/>
      <c r="H108" s="218" t="s">
        <v>2250</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2136</v>
      </c>
      <c r="G109" s="73"/>
      <c r="H109" s="306" t="s">
        <v>2369</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2137</v>
      </c>
      <c r="G110" s="73"/>
      <c r="H110" s="76" t="s">
        <v>2247</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2138</v>
      </c>
      <c r="G111" s="73"/>
      <c r="H111" s="76" t="s">
        <v>2099</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2139</v>
      </c>
      <c r="G112" s="73"/>
      <c r="H112" s="76" t="s">
        <v>2248</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2140</v>
      </c>
      <c r="G113" s="73"/>
      <c r="H113" s="76" t="s">
        <v>2102</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2141</v>
      </c>
      <c r="G114" s="73"/>
      <c r="H114" s="76" t="s">
        <v>2249</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2114</v>
      </c>
      <c r="G115" s="73"/>
      <c r="H115" s="76" t="s">
        <v>2288</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2123</v>
      </c>
      <c r="G116" s="73"/>
      <c r="H116" s="76" t="s">
        <v>2249</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2114</v>
      </c>
      <c r="G117" s="73"/>
      <c r="H117" s="76" t="s">
        <v>2291</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2115</v>
      </c>
      <c r="G118" s="73"/>
      <c r="H118" s="218" t="s">
        <v>2250</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2142</v>
      </c>
      <c r="G119" s="73"/>
      <c r="H119" s="306" t="s">
        <v>2370</v>
      </c>
      <c r="I119" s="306" t="s">
        <v>2143</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2144</v>
      </c>
      <c r="G120" s="73"/>
      <c r="H120" s="76" t="s">
        <v>2247</v>
      </c>
      <c r="I120" s="76" t="s">
        <v>2143</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2145</v>
      </c>
      <c r="G121" s="73"/>
      <c r="H121" s="76" t="s">
        <v>2099</v>
      </c>
      <c r="I121" s="76" t="s">
        <v>2143</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2146</v>
      </c>
      <c r="G122" s="73"/>
      <c r="H122" s="76" t="s">
        <v>2248</v>
      </c>
      <c r="I122" s="76" t="s">
        <v>2143</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2147</v>
      </c>
      <c r="G123" s="73"/>
      <c r="H123" s="76" t="s">
        <v>2102</v>
      </c>
      <c r="I123" s="76" t="s">
        <v>2143</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2148</v>
      </c>
      <c r="G124" s="73"/>
      <c r="H124" s="76" t="s">
        <v>2249</v>
      </c>
      <c r="I124" s="76" t="s">
        <v>2143</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2114</v>
      </c>
      <c r="G125" s="73"/>
      <c r="H125" s="76" t="s">
        <v>2288</v>
      </c>
      <c r="I125" s="76" t="s">
        <v>2143</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2123</v>
      </c>
      <c r="G126" s="73"/>
      <c r="H126" s="76" t="s">
        <v>2249</v>
      </c>
      <c r="I126" s="76" t="s">
        <v>2143</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2114</v>
      </c>
      <c r="G127" s="73"/>
      <c r="H127" s="76" t="s">
        <v>2291</v>
      </c>
      <c r="I127" s="76" t="s">
        <v>2143</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2115</v>
      </c>
      <c r="G128" s="73"/>
      <c r="H128" s="218" t="s">
        <v>2250</v>
      </c>
      <c r="I128" s="218" t="s">
        <v>2143</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2149</v>
      </c>
      <c r="G129" s="73"/>
      <c r="H129" s="306" t="s">
        <v>2371</v>
      </c>
      <c r="I129" s="306" t="s">
        <v>2150</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2151</v>
      </c>
      <c r="G130" s="73"/>
      <c r="H130" s="76" t="s">
        <v>2247</v>
      </c>
      <c r="I130" s="76" t="s">
        <v>2150</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2152</v>
      </c>
      <c r="G131" s="73"/>
      <c r="H131" s="76" t="s">
        <v>2099</v>
      </c>
      <c r="I131" s="76" t="s">
        <v>2150</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2153</v>
      </c>
      <c r="G132" s="73"/>
      <c r="H132" s="76" t="s">
        <v>2248</v>
      </c>
      <c r="I132" s="76" t="s">
        <v>2150</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2154</v>
      </c>
      <c r="G133" s="73"/>
      <c r="H133" s="76" t="s">
        <v>2102</v>
      </c>
      <c r="I133" s="76" t="s">
        <v>2150</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2155</v>
      </c>
      <c r="G134" s="73"/>
      <c r="H134" s="76" t="s">
        <v>2249</v>
      </c>
      <c r="I134" s="76" t="s">
        <v>2150</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2154</v>
      </c>
      <c r="G135" s="73"/>
      <c r="H135" s="76" t="s">
        <v>2288</v>
      </c>
      <c r="I135" s="76" t="s">
        <v>2150</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2123</v>
      </c>
      <c r="G136" s="73"/>
      <c r="H136" s="76" t="s">
        <v>2249</v>
      </c>
      <c r="I136" s="76" t="s">
        <v>2150</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2114</v>
      </c>
      <c r="G137" s="73"/>
      <c r="H137" s="76" t="s">
        <v>2291</v>
      </c>
      <c r="I137" s="76" t="s">
        <v>2150</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2155</v>
      </c>
      <c r="G138" s="73"/>
      <c r="H138" s="218" t="s">
        <v>2250</v>
      </c>
      <c r="I138" s="218" t="s">
        <v>2150</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2917</v>
      </c>
      <c r="B3" s="491">
        <v>6.9999999999999994E-5</v>
      </c>
      <c r="C3" s="1" t="s">
        <v>2921</v>
      </c>
    </row>
    <row r="4" spans="1:3" x14ac:dyDescent="0.25">
      <c r="A4" t="s">
        <v>2918</v>
      </c>
      <c r="B4" s="491">
        <v>1.2999999999999999E-4</v>
      </c>
      <c r="C4" s="1" t="s">
        <v>2922</v>
      </c>
    </row>
    <row r="5" spans="1:3" x14ac:dyDescent="0.25">
      <c r="A5" t="s">
        <v>2919</v>
      </c>
      <c r="B5" s="491">
        <v>1.9000000000000001E-4</v>
      </c>
      <c r="C5" s="1" t="s">
        <v>2923</v>
      </c>
    </row>
    <row r="6" spans="1:3" x14ac:dyDescent="0.25">
      <c r="A6" t="s">
        <v>2920</v>
      </c>
      <c r="B6" s="491">
        <v>1.9000000000000001E-4</v>
      </c>
      <c r="C6" s="1" t="s">
        <v>2922</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2929</v>
      </c>
      <c r="B14"/>
    </row>
    <row r="15" spans="1:3" x14ac:dyDescent="0.25">
      <c r="A15" s="341" t="str">
        <f>General!G37</f>
        <v>b</v>
      </c>
      <c r="B15">
        <v>20</v>
      </c>
      <c r="C15" s="1" t="s">
        <v>2927</v>
      </c>
    </row>
    <row r="16" spans="1:3" x14ac:dyDescent="0.25">
      <c r="A16" s="341" t="str">
        <f>General!G38</f>
        <v>bd</v>
      </c>
      <c r="B16">
        <v>20</v>
      </c>
      <c r="C16" s="1" t="s">
        <v>2927</v>
      </c>
    </row>
    <row r="17" spans="1:3" x14ac:dyDescent="0.25">
      <c r="A17" s="341" t="str">
        <f>General!G39</f>
        <v>f</v>
      </c>
      <c r="B17">
        <v>7</v>
      </c>
      <c r="C17" s="1" t="s">
        <v>2927</v>
      </c>
    </row>
    <row r="18" spans="1:3" x14ac:dyDescent="0.25">
      <c r="A18" s="341" t="str">
        <f>General!G40</f>
        <v>h</v>
      </c>
      <c r="B18">
        <v>20</v>
      </c>
      <c r="C18" s="1" t="s">
        <v>2927</v>
      </c>
    </row>
    <row r="19" spans="1:3" x14ac:dyDescent="0.25">
      <c r="A19" s="341" t="str">
        <f>General!G41</f>
        <v>i</v>
      </c>
      <c r="B19">
        <v>7</v>
      </c>
      <c r="C19" s="1" t="s">
        <v>2927</v>
      </c>
    </row>
    <row r="20" spans="1:3" x14ac:dyDescent="0.25">
      <c r="A20" s="341" t="str">
        <f>General!G42</f>
        <v>k</v>
      </c>
      <c r="B20">
        <v>7</v>
      </c>
      <c r="C20" s="1" t="s">
        <v>2927</v>
      </c>
    </row>
    <row r="21" spans="1:3" x14ac:dyDescent="0.25">
      <c r="A21" s="341" t="str">
        <f>General!G43</f>
        <v>l</v>
      </c>
      <c r="B21">
        <v>7</v>
      </c>
      <c r="C21" s="1" t="s">
        <v>2927</v>
      </c>
    </row>
    <row r="22" spans="1:3" x14ac:dyDescent="0.25">
      <c r="A22" s="341" t="str">
        <f>General!G44</f>
        <v>lf</v>
      </c>
      <c r="B22">
        <v>7</v>
      </c>
      <c r="C22" s="1" t="s">
        <v>2927</v>
      </c>
    </row>
    <row r="23" spans="1:3" x14ac:dyDescent="0.25">
      <c r="A23" s="341" t="str">
        <f>General!G45</f>
        <v>ms</v>
      </c>
      <c r="B23" s="528">
        <f>0.65*B15+0.35*B21</f>
        <v>15.45</v>
      </c>
      <c r="C23" s="1" t="s">
        <v>2927</v>
      </c>
    </row>
    <row r="24" spans="1:3" x14ac:dyDescent="0.25">
      <c r="A24" s="341" t="str">
        <f>General!G46</f>
        <v>o</v>
      </c>
      <c r="B24">
        <v>20</v>
      </c>
      <c r="C24" s="1" t="s">
        <v>2927</v>
      </c>
    </row>
    <row r="25" spans="1:3" x14ac:dyDescent="0.25">
      <c r="A25" s="341" t="str">
        <f>General!G47</f>
        <v>od</v>
      </c>
      <c r="B25">
        <v>20</v>
      </c>
      <c r="C25" s="1" t="s">
        <v>2927</v>
      </c>
    </row>
    <row r="26" spans="1:3" x14ac:dyDescent="0.25">
      <c r="A26" s="341" t="str">
        <f>General!G48</f>
        <v>of</v>
      </c>
      <c r="B26">
        <v>20</v>
      </c>
      <c r="C26" s="1" t="s">
        <v>2927</v>
      </c>
    </row>
    <row r="27" spans="1:3" x14ac:dyDescent="0.25">
      <c r="A27" s="341" t="str">
        <f>General!G49</f>
        <v>r</v>
      </c>
      <c r="B27">
        <v>7</v>
      </c>
      <c r="C27" s="1" t="s">
        <v>2927</v>
      </c>
    </row>
    <row r="28" spans="1:3" x14ac:dyDescent="0.25">
      <c r="A28" s="341" t="str">
        <f>General!G50</f>
        <v>rd</v>
      </c>
      <c r="B28">
        <v>7</v>
      </c>
      <c r="C28" s="1" t="s">
        <v>2927</v>
      </c>
    </row>
    <row r="29" spans="1:3" x14ac:dyDescent="0.25">
      <c r="A29" s="341" t="str">
        <f>General!G51</f>
        <v>v</v>
      </c>
      <c r="B29">
        <v>7</v>
      </c>
      <c r="C29" s="1" t="s">
        <v>2927</v>
      </c>
    </row>
    <row r="30" spans="1:3" x14ac:dyDescent="0.25">
      <c r="A30" s="341" t="str">
        <f>General!G52</f>
        <v>w</v>
      </c>
      <c r="B30">
        <v>20</v>
      </c>
      <c r="C30" s="1" t="s">
        <v>2927</v>
      </c>
    </row>
    <row r="31" spans="1:3" x14ac:dyDescent="0.25">
      <c r="A31" s="341" t="str">
        <f>General!G53</f>
        <v>wd</v>
      </c>
      <c r="B31">
        <v>20</v>
      </c>
      <c r="C31" s="1" t="s">
        <v>2927</v>
      </c>
    </row>
    <row r="32" spans="1:3" x14ac:dyDescent="0.25">
      <c r="A32" s="341" t="str">
        <f>General!G54</f>
        <v>z</v>
      </c>
      <c r="B32">
        <v>7</v>
      </c>
      <c r="C32" s="1" t="s">
        <v>2927</v>
      </c>
    </row>
    <row r="33" spans="1:3" x14ac:dyDescent="0.25">
      <c r="A33" s="341" t="str">
        <f>General!G55</f>
        <v>zd</v>
      </c>
      <c r="B33">
        <v>7</v>
      </c>
      <c r="C33" s="1" t="s">
        <v>2927</v>
      </c>
    </row>
    <row r="35" spans="1:3" x14ac:dyDescent="0.25">
      <c r="A35" t="s">
        <v>80</v>
      </c>
      <c r="B35" s="385">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2165</v>
      </c>
    </row>
    <row r="11" spans="1:17" x14ac:dyDescent="0.25">
      <c r="A11" t="s">
        <v>70</v>
      </c>
      <c r="B11" t="s">
        <v>71</v>
      </c>
      <c r="C11" t="s">
        <v>120</v>
      </c>
      <c r="D11" t="s">
        <v>121</v>
      </c>
      <c r="E11" t="s">
        <v>2924</v>
      </c>
      <c r="F11" t="s">
        <v>2925</v>
      </c>
    </row>
    <row r="12" spans="1:17" x14ac:dyDescent="0.25">
      <c r="A12" t="s">
        <v>2794</v>
      </c>
      <c r="B12">
        <v>188000</v>
      </c>
      <c r="C12" s="44">
        <v>1</v>
      </c>
      <c r="D12" s="44">
        <v>0</v>
      </c>
      <c r="E12" s="44">
        <v>0</v>
      </c>
      <c r="F12" s="44">
        <v>0</v>
      </c>
    </row>
    <row r="13" spans="1:17" x14ac:dyDescent="0.25">
      <c r="A13" t="s">
        <v>2792</v>
      </c>
      <c r="B13">
        <v>87000</v>
      </c>
      <c r="C13" s="44">
        <v>1</v>
      </c>
      <c r="D13" s="44">
        <v>0</v>
      </c>
      <c r="E13" s="44">
        <v>0</v>
      </c>
      <c r="F13" s="44">
        <v>0</v>
      </c>
    </row>
    <row r="14" spans="1:17" x14ac:dyDescent="0.25">
      <c r="A14" t="s">
        <v>2793</v>
      </c>
      <c r="B14">
        <v>297000</v>
      </c>
      <c r="C14" s="44">
        <v>0</v>
      </c>
      <c r="D14" s="44">
        <v>1</v>
      </c>
      <c r="E14" s="44">
        <v>0</v>
      </c>
      <c r="F14" s="44">
        <v>0</v>
      </c>
    </row>
    <row r="15" spans="1:17" x14ac:dyDescent="0.25">
      <c r="A15" t="s">
        <v>119</v>
      </c>
      <c r="B15">
        <v>30000</v>
      </c>
      <c r="C15" s="44">
        <v>0</v>
      </c>
      <c r="D15" s="44">
        <v>1</v>
      </c>
      <c r="E15" s="44">
        <v>0</v>
      </c>
      <c r="F15" s="44">
        <v>0</v>
      </c>
      <c r="Q15" s="481"/>
    </row>
    <row r="16" spans="1:17" x14ac:dyDescent="0.25">
      <c r="A16" t="s">
        <v>2795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2797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2796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2790</v>
      </c>
      <c r="B30" s="436">
        <v>1</v>
      </c>
    </row>
    <row r="31" spans="1:6" ht="7.35" customHeight="1" x14ac:dyDescent="0.25"/>
    <row r="32" spans="1:6" x14ac:dyDescent="0.25">
      <c r="A32" t="s">
        <v>2931</v>
      </c>
      <c r="B32">
        <v>8.6999999999999993</v>
      </c>
      <c r="C32" s="1" t="s">
        <v>2930</v>
      </c>
    </row>
    <row r="33" spans="1:3" ht="7.15" customHeight="1" x14ac:dyDescent="0.25"/>
    <row r="34" spans="1:3" x14ac:dyDescent="0.25">
      <c r="A34" t="s">
        <v>3321</v>
      </c>
      <c r="B34">
        <v>50</v>
      </c>
      <c r="C34" s="1" t="s">
        <v>2933</v>
      </c>
    </row>
    <row r="35" spans="1:3" ht="7.15" customHeight="1" x14ac:dyDescent="0.25"/>
    <row r="36" spans="1:3" x14ac:dyDescent="0.25">
      <c r="A36" t="s">
        <v>3322</v>
      </c>
      <c r="B36">
        <v>60</v>
      </c>
      <c r="C36" s="1" t="s">
        <v>3324</v>
      </c>
    </row>
    <row r="37" spans="1:3" ht="7.15" customHeight="1" x14ac:dyDescent="0.25"/>
    <row r="38" spans="1:3" x14ac:dyDescent="0.25">
      <c r="A38" t="s">
        <v>54</v>
      </c>
      <c r="B38"/>
    </row>
    <row r="39" spans="1:3" x14ac:dyDescent="0.25">
      <c r="A39" s="341" t="str">
        <f>General!I37</f>
        <v>a</v>
      </c>
      <c r="B39">
        <v>1</v>
      </c>
    </row>
    <row r="40" spans="1:3" x14ac:dyDescent="0.25">
      <c r="A40" s="341" t="str">
        <f>General!I38</f>
        <v>a2</v>
      </c>
      <c r="B40">
        <v>1</v>
      </c>
    </row>
    <row r="41" spans="1:3" x14ac:dyDescent="0.25">
      <c r="A41" s="341" t="str">
        <f>General!I39</f>
        <v>b</v>
      </c>
      <c r="B41">
        <v>1</v>
      </c>
    </row>
    <row r="42" spans="1:3" x14ac:dyDescent="0.25">
      <c r="A42" s="341" t="str">
        <f>General!I40</f>
        <v>bd</v>
      </c>
      <c r="B42">
        <v>1</v>
      </c>
    </row>
    <row r="43" spans="1:3" x14ac:dyDescent="0.25">
      <c r="A43" s="341" t="str">
        <f>General!I41</f>
        <v>f</v>
      </c>
      <c r="B43">
        <v>1</v>
      </c>
    </row>
    <row r="44" spans="1:3" x14ac:dyDescent="0.25">
      <c r="A44" s="341" t="str">
        <f>General!I42</f>
        <v>h</v>
      </c>
      <c r="B44">
        <v>1</v>
      </c>
    </row>
    <row r="45" spans="1:3" x14ac:dyDescent="0.25">
      <c r="A45" s="341" t="str">
        <f>General!I43</f>
        <v>i</v>
      </c>
      <c r="B45">
        <v>1</v>
      </c>
    </row>
    <row r="46" spans="1:3" x14ac:dyDescent="0.25">
      <c r="A46" s="341" t="str">
        <f>General!I44</f>
        <v>j</v>
      </c>
      <c r="B46">
        <v>1</v>
      </c>
    </row>
    <row r="47" spans="1:3" x14ac:dyDescent="0.25">
      <c r="A47" s="341" t="str">
        <f>General!I45</f>
        <v>jc</v>
      </c>
      <c r="B47">
        <v>1</v>
      </c>
    </row>
    <row r="48" spans="1:3" x14ac:dyDescent="0.25">
      <c r="A48" s="341" t="str">
        <f>General!I46</f>
        <v>k</v>
      </c>
      <c r="B48">
        <v>1</v>
      </c>
    </row>
    <row r="49" spans="1:2" x14ac:dyDescent="0.25">
      <c r="A49" s="341" t="str">
        <f>General!I47</f>
        <v>l</v>
      </c>
      <c r="B49">
        <v>1</v>
      </c>
    </row>
    <row r="50" spans="1:2" x14ac:dyDescent="0.25">
      <c r="A50" s="341" t="str">
        <f>General!I48</f>
        <v>lf</v>
      </c>
      <c r="B50">
        <v>1</v>
      </c>
    </row>
    <row r="51" spans="1:2" x14ac:dyDescent="0.25">
      <c r="A51" s="341" t="str">
        <f>General!I49</f>
        <v>m</v>
      </c>
      <c r="B51">
        <v>1</v>
      </c>
    </row>
    <row r="52" spans="1:2" x14ac:dyDescent="0.25">
      <c r="A52" s="341" t="str">
        <f>General!I50</f>
        <v>ms</v>
      </c>
      <c r="B52">
        <v>1</v>
      </c>
    </row>
    <row r="53" spans="1:2" x14ac:dyDescent="0.25">
      <c r="A53" s="341" t="str">
        <f>General!I51</f>
        <v>o</v>
      </c>
      <c r="B53">
        <v>1</v>
      </c>
    </row>
    <row r="54" spans="1:2" x14ac:dyDescent="0.25">
      <c r="A54" s="341" t="str">
        <f>General!I52</f>
        <v>od</v>
      </c>
      <c r="B54">
        <v>1</v>
      </c>
    </row>
    <row r="55" spans="1:2" x14ac:dyDescent="0.25">
      <c r="A55" s="341" t="str">
        <f>General!I53</f>
        <v>of</v>
      </c>
      <c r="B55">
        <v>1</v>
      </c>
    </row>
    <row r="56" spans="1:2" x14ac:dyDescent="0.25">
      <c r="A56" s="341" t="str">
        <f>General!I54</f>
        <v>r</v>
      </c>
      <c r="B56">
        <v>1</v>
      </c>
    </row>
    <row r="57" spans="1:2" x14ac:dyDescent="0.25">
      <c r="A57" s="341" t="str">
        <f>General!I55</f>
        <v>rd</v>
      </c>
      <c r="B57">
        <v>1</v>
      </c>
    </row>
    <row r="58" spans="1:2" x14ac:dyDescent="0.25">
      <c r="A58" s="341" t="str">
        <f>General!I56</f>
        <v>s</v>
      </c>
      <c r="B58">
        <v>1</v>
      </c>
    </row>
    <row r="59" spans="1:2" x14ac:dyDescent="0.25">
      <c r="A59" s="341" t="str">
        <f>General!I57</f>
        <v>sp</v>
      </c>
      <c r="B59">
        <v>1</v>
      </c>
    </row>
    <row r="60" spans="1:2" x14ac:dyDescent="0.25">
      <c r="A60" s="341" t="str">
        <f>General!I58</f>
        <v>t</v>
      </c>
      <c r="B60">
        <v>1</v>
      </c>
    </row>
    <row r="61" spans="1:2" x14ac:dyDescent="0.25">
      <c r="A61" s="341" t="str">
        <f>General!I59</f>
        <v>tc</v>
      </c>
      <c r="B61">
        <v>1</v>
      </c>
    </row>
    <row r="62" spans="1:2" x14ac:dyDescent="0.25">
      <c r="A62" s="341" t="str">
        <f>General!I60</f>
        <v>u</v>
      </c>
      <c r="B62">
        <v>1</v>
      </c>
    </row>
    <row r="63" spans="1:2" x14ac:dyDescent="0.25">
      <c r="A63" s="341" t="str">
        <f>General!I61</f>
        <v>uc</v>
      </c>
      <c r="B63">
        <v>1</v>
      </c>
    </row>
    <row r="64" spans="1:2" x14ac:dyDescent="0.25">
      <c r="A64" s="341" t="str">
        <f>General!I62</f>
        <v>v</v>
      </c>
      <c r="B64">
        <v>1</v>
      </c>
    </row>
    <row r="65" spans="1:5" x14ac:dyDescent="0.25">
      <c r="A65" s="341" t="str">
        <f>General!I63</f>
        <v>w</v>
      </c>
      <c r="B65">
        <v>1</v>
      </c>
    </row>
    <row r="66" spans="1:5" x14ac:dyDescent="0.25">
      <c r="A66" s="341" t="str">
        <f>General!I64</f>
        <v>wd</v>
      </c>
      <c r="B66">
        <v>1</v>
      </c>
    </row>
    <row r="67" spans="1:5" x14ac:dyDescent="0.25">
      <c r="A67" s="341" t="str">
        <f>General!I65</f>
        <v>x</v>
      </c>
      <c r="B67">
        <v>1</v>
      </c>
    </row>
    <row r="68" spans="1:5" x14ac:dyDescent="0.25">
      <c r="A68" s="341" t="str">
        <f>General!I66</f>
        <v>xc</v>
      </c>
      <c r="B68">
        <v>1</v>
      </c>
    </row>
    <row r="69" spans="1:5" x14ac:dyDescent="0.25">
      <c r="A69" s="341" t="str">
        <f>General!I67</f>
        <v>z</v>
      </c>
      <c r="B69">
        <v>1</v>
      </c>
    </row>
    <row r="70" spans="1:5" x14ac:dyDescent="0.25">
      <c r="A70" s="341" t="str">
        <f>General!I68</f>
        <v>zd</v>
      </c>
      <c r="B70">
        <v>1</v>
      </c>
    </row>
    <row r="72" spans="1:5" x14ac:dyDescent="0.25">
      <c r="A72" s="3" t="s">
        <v>35</v>
      </c>
    </row>
    <row r="73" spans="1:5" x14ac:dyDescent="0.25">
      <c r="A73" t="s">
        <v>2791</v>
      </c>
      <c r="B73" s="436">
        <v>1</v>
      </c>
    </row>
    <row r="74" spans="1:5" ht="7.35" customHeight="1" x14ac:dyDescent="0.25"/>
    <row r="75" spans="1:5" x14ac:dyDescent="0.25">
      <c r="A75" t="s">
        <v>2916</v>
      </c>
      <c r="B75">
        <v>63</v>
      </c>
    </row>
    <row r="76" spans="1:5" ht="7.15" customHeight="1" x14ac:dyDescent="0.25"/>
    <row r="77" spans="1:5" x14ac:dyDescent="0.25">
      <c r="A77" t="s">
        <v>3325</v>
      </c>
      <c r="B77">
        <f>0.3*harvest_maint</f>
        <v>16.5</v>
      </c>
      <c r="C77" s="1" t="s">
        <v>3326</v>
      </c>
    </row>
    <row r="78" spans="1:5" ht="7.15" customHeight="1" x14ac:dyDescent="0.25"/>
    <row r="79" spans="1:5" x14ac:dyDescent="0.25">
      <c r="A79" t="s">
        <v>2926</v>
      </c>
      <c r="B79"/>
    </row>
    <row r="80" spans="1:5" x14ac:dyDescent="0.25">
      <c r="A80" s="341" t="str">
        <f>General!G37</f>
        <v>b</v>
      </c>
      <c r="B80">
        <v>20</v>
      </c>
      <c r="C80" s="1" t="s">
        <v>2927</v>
      </c>
      <c r="E80" s="1" t="s">
        <v>2928</v>
      </c>
    </row>
    <row r="81" spans="1:3" x14ac:dyDescent="0.25">
      <c r="A81" s="341" t="str">
        <f>General!G38</f>
        <v>bd</v>
      </c>
      <c r="B81">
        <v>20</v>
      </c>
      <c r="C81" s="1" t="s">
        <v>2927</v>
      </c>
    </row>
    <row r="82" spans="1:3" x14ac:dyDescent="0.25">
      <c r="A82" s="341" t="str">
        <f>General!G39</f>
        <v>f</v>
      </c>
      <c r="B82">
        <v>12</v>
      </c>
      <c r="C82" s="1" t="s">
        <v>2927</v>
      </c>
    </row>
    <row r="83" spans="1:3" x14ac:dyDescent="0.25">
      <c r="A83" s="341" t="str">
        <f>General!G40</f>
        <v>h</v>
      </c>
      <c r="B83">
        <v>20</v>
      </c>
      <c r="C83" s="1" t="s">
        <v>2927</v>
      </c>
    </row>
    <row r="84" spans="1:3" x14ac:dyDescent="0.25">
      <c r="A84" s="341" t="str">
        <f>General!G41</f>
        <v>i</v>
      </c>
      <c r="B84">
        <v>12</v>
      </c>
      <c r="C84" s="1" t="s">
        <v>2927</v>
      </c>
    </row>
    <row r="85" spans="1:3" x14ac:dyDescent="0.25">
      <c r="A85" s="341" t="str">
        <f>General!G42</f>
        <v>k</v>
      </c>
      <c r="B85">
        <v>12</v>
      </c>
      <c r="C85" s="1" t="s">
        <v>2927</v>
      </c>
    </row>
    <row r="86" spans="1:3" x14ac:dyDescent="0.25">
      <c r="A86" s="341" t="str">
        <f>General!G43</f>
        <v>l</v>
      </c>
      <c r="B86">
        <v>12</v>
      </c>
      <c r="C86" s="1" t="s">
        <v>2927</v>
      </c>
    </row>
    <row r="87" spans="1:3" x14ac:dyDescent="0.25">
      <c r="A87" s="341" t="str">
        <f>General!G44</f>
        <v>lf</v>
      </c>
      <c r="B87">
        <v>12</v>
      </c>
      <c r="C87" s="1" t="s">
        <v>2927</v>
      </c>
    </row>
    <row r="88" spans="1:3" x14ac:dyDescent="0.25">
      <c r="A88" s="341" t="str">
        <f>General!G45</f>
        <v>ms</v>
      </c>
      <c r="B88" s="528">
        <f>0.65*B80+0.35*B86</f>
        <v>17.2</v>
      </c>
      <c r="C88" s="1" t="s">
        <v>2927</v>
      </c>
    </row>
    <row r="89" spans="1:3" x14ac:dyDescent="0.25">
      <c r="A89" s="341" t="str">
        <f>General!G46</f>
        <v>o</v>
      </c>
      <c r="B89">
        <v>20</v>
      </c>
      <c r="C89" s="1" t="s">
        <v>2927</v>
      </c>
    </row>
    <row r="90" spans="1:3" x14ac:dyDescent="0.25">
      <c r="A90" s="341" t="str">
        <f>General!G47</f>
        <v>od</v>
      </c>
      <c r="B90">
        <v>20</v>
      </c>
      <c r="C90" s="1" t="s">
        <v>2927</v>
      </c>
    </row>
    <row r="91" spans="1:3" x14ac:dyDescent="0.25">
      <c r="A91" s="341" t="str">
        <f>General!G48</f>
        <v>of</v>
      </c>
      <c r="B91">
        <v>20</v>
      </c>
      <c r="C91" s="1" t="s">
        <v>2927</v>
      </c>
    </row>
    <row r="92" spans="1:3" x14ac:dyDescent="0.25">
      <c r="A92" s="341" t="str">
        <f>General!G49</f>
        <v>r</v>
      </c>
      <c r="B92">
        <v>7</v>
      </c>
      <c r="C92" s="1" t="s">
        <v>2927</v>
      </c>
    </row>
    <row r="93" spans="1:3" x14ac:dyDescent="0.25">
      <c r="A93" s="341" t="str">
        <f>General!G50</f>
        <v>rd</v>
      </c>
      <c r="B93">
        <v>7</v>
      </c>
      <c r="C93" s="1" t="s">
        <v>2927</v>
      </c>
    </row>
    <row r="94" spans="1:3" x14ac:dyDescent="0.25">
      <c r="A94" s="341" t="str">
        <f>General!G51</f>
        <v>v</v>
      </c>
      <c r="B94">
        <v>12</v>
      </c>
      <c r="C94" s="1" t="s">
        <v>2927</v>
      </c>
    </row>
    <row r="95" spans="1:3" x14ac:dyDescent="0.25">
      <c r="A95" s="341" t="str">
        <f>General!G52</f>
        <v>w</v>
      </c>
      <c r="B95">
        <v>20</v>
      </c>
      <c r="C95" s="1" t="s">
        <v>2927</v>
      </c>
    </row>
    <row r="96" spans="1:3" x14ac:dyDescent="0.25">
      <c r="A96" s="341" t="str">
        <f>General!G53</f>
        <v>wd</v>
      </c>
      <c r="B96">
        <v>20</v>
      </c>
      <c r="C96" s="1" t="s">
        <v>2927</v>
      </c>
    </row>
    <row r="97" spans="1:3" x14ac:dyDescent="0.25">
      <c r="A97" s="341" t="str">
        <f>General!G54</f>
        <v>z</v>
      </c>
      <c r="B97">
        <v>7</v>
      </c>
      <c r="C97" s="1" t="s">
        <v>2927</v>
      </c>
    </row>
    <row r="98" spans="1:3" x14ac:dyDescent="0.25">
      <c r="A98" s="341" t="str">
        <f>General!G55</f>
        <v>zd</v>
      </c>
      <c r="B98">
        <v>7</v>
      </c>
      <c r="C98" s="1" t="s">
        <v>2927</v>
      </c>
    </row>
    <row r="100" spans="1:3" x14ac:dyDescent="0.25">
      <c r="A100" t="s">
        <v>37</v>
      </c>
      <c r="B100">
        <v>55</v>
      </c>
      <c r="C100" s="1" t="s">
        <v>2915</v>
      </c>
    </row>
    <row r="101" spans="1:3" ht="9" customHeight="1" x14ac:dyDescent="0.25"/>
    <row r="102" spans="1:3" x14ac:dyDescent="0.25">
      <c r="A102" t="s">
        <v>37</v>
      </c>
      <c r="B102" t="s">
        <v>3323</v>
      </c>
    </row>
    <row r="103" spans="1:3" x14ac:dyDescent="0.25">
      <c r="A103" s="341" t="str">
        <f>General!G37</f>
        <v>b</v>
      </c>
      <c r="B103" s="326">
        <v>1</v>
      </c>
    </row>
    <row r="104" spans="1:3" x14ac:dyDescent="0.25">
      <c r="A104" s="341" t="str">
        <f>General!G38</f>
        <v>bd</v>
      </c>
      <c r="B104" s="326">
        <v>1</v>
      </c>
    </row>
    <row r="105" spans="1:3" x14ac:dyDescent="0.25">
      <c r="A105" s="341" t="str">
        <f>General!G39</f>
        <v>f</v>
      </c>
      <c r="B105" s="326">
        <f>38/33</f>
        <v>1.1515151515151516</v>
      </c>
    </row>
    <row r="106" spans="1:3" x14ac:dyDescent="0.25">
      <c r="A106" s="341" t="str">
        <f>General!G40</f>
        <v>h</v>
      </c>
      <c r="B106" s="326">
        <v>1</v>
      </c>
    </row>
    <row r="107" spans="1:3" x14ac:dyDescent="0.25">
      <c r="A107" s="341" t="str">
        <f>General!G41</f>
        <v>i</v>
      </c>
      <c r="B107" s="326">
        <f t="shared" ref="B107:B108" si="0">38/33</f>
        <v>1.1515151515151516</v>
      </c>
    </row>
    <row r="108" spans="1:3" x14ac:dyDescent="0.25">
      <c r="A108" s="341" t="str">
        <f>General!G42</f>
        <v>k</v>
      </c>
      <c r="B108" s="326">
        <f t="shared" si="0"/>
        <v>1.1515151515151516</v>
      </c>
    </row>
    <row r="109" spans="1:3" x14ac:dyDescent="0.25">
      <c r="A109" s="341" t="str">
        <f>General!G43</f>
        <v>l</v>
      </c>
      <c r="B109" s="326">
        <v>1</v>
      </c>
    </row>
    <row r="110" spans="1:3" x14ac:dyDescent="0.25">
      <c r="A110" s="341" t="str">
        <f>General!G44</f>
        <v>lf</v>
      </c>
      <c r="B110" s="326">
        <v>1</v>
      </c>
    </row>
    <row r="111" spans="1:3" x14ac:dyDescent="0.25">
      <c r="A111" s="341" t="str">
        <f>General!G45</f>
        <v>ms</v>
      </c>
      <c r="B111" s="618">
        <f>0.65*B103+0.35*B109</f>
        <v>1</v>
      </c>
    </row>
    <row r="112" spans="1:3" x14ac:dyDescent="0.25">
      <c r="A112" s="341" t="str">
        <f>General!G46</f>
        <v>o</v>
      </c>
      <c r="B112" s="326">
        <v>1</v>
      </c>
    </row>
    <row r="113" spans="1:3" x14ac:dyDescent="0.25">
      <c r="A113" s="341" t="str">
        <f>General!G47</f>
        <v>od</v>
      </c>
      <c r="B113" s="326">
        <v>1</v>
      </c>
    </row>
    <row r="114" spans="1:3" x14ac:dyDescent="0.25">
      <c r="A114" s="341" t="str">
        <f>General!G48</f>
        <v>of</v>
      </c>
      <c r="B114" s="326">
        <v>1</v>
      </c>
    </row>
    <row r="115" spans="1:3" x14ac:dyDescent="0.25">
      <c r="A115" s="341" t="str">
        <f>General!G49</f>
        <v>r</v>
      </c>
      <c r="B115" s="326">
        <f t="shared" ref="B115:B117" si="1">38/33</f>
        <v>1.1515151515151516</v>
      </c>
    </row>
    <row r="116" spans="1:3" x14ac:dyDescent="0.25">
      <c r="A116" s="341" t="str">
        <f>General!G50</f>
        <v>rd</v>
      </c>
      <c r="B116" s="326">
        <f t="shared" si="1"/>
        <v>1.1515151515151516</v>
      </c>
    </row>
    <row r="117" spans="1:3" x14ac:dyDescent="0.25">
      <c r="A117" s="341" t="str">
        <f>General!G51</f>
        <v>v</v>
      </c>
      <c r="B117" s="326">
        <f t="shared" si="1"/>
        <v>1.1515151515151516</v>
      </c>
    </row>
    <row r="118" spans="1:3" x14ac:dyDescent="0.25">
      <c r="A118" s="341" t="str">
        <f>General!G52</f>
        <v>w</v>
      </c>
      <c r="B118" s="326">
        <v>1</v>
      </c>
    </row>
    <row r="119" spans="1:3" x14ac:dyDescent="0.25">
      <c r="A119" s="341" t="str">
        <f>General!G53</f>
        <v>wd</v>
      </c>
      <c r="B119" s="326">
        <v>1</v>
      </c>
    </row>
    <row r="120" spans="1:3" x14ac:dyDescent="0.25">
      <c r="A120" s="341" t="str">
        <f>General!G54</f>
        <v>z</v>
      </c>
      <c r="B120" s="326">
        <f t="shared" ref="B120:B121" si="2">38/33</f>
        <v>1.1515151515151516</v>
      </c>
    </row>
    <row r="121" spans="1:3" x14ac:dyDescent="0.25">
      <c r="A121" s="341" t="str">
        <f>General!G55</f>
        <v>zd</v>
      </c>
      <c r="B121" s="326">
        <f t="shared" si="2"/>
        <v>1.1515151515151516</v>
      </c>
    </row>
    <row r="123" spans="1:3" x14ac:dyDescent="0.25">
      <c r="A123" s="3" t="s">
        <v>38</v>
      </c>
    </row>
    <row r="124" spans="1:3" x14ac:dyDescent="0.25">
      <c r="A124" t="s">
        <v>2932</v>
      </c>
      <c r="B124">
        <v>33</v>
      </c>
      <c r="C124" s="1" t="s">
        <v>2934</v>
      </c>
    </row>
    <row r="125" spans="1:3" ht="4.1500000000000004" customHeight="1" x14ac:dyDescent="0.25"/>
    <row r="126" spans="1:3" x14ac:dyDescent="0.25">
      <c r="A126" t="s">
        <v>39</v>
      </c>
      <c r="B126">
        <v>30</v>
      </c>
      <c r="C126" s="1" t="s">
        <v>2933</v>
      </c>
    </row>
    <row r="127" spans="1:3" ht="3" customHeight="1" x14ac:dyDescent="0.25"/>
    <row r="128" spans="1:3" x14ac:dyDescent="0.25">
      <c r="A128" t="s">
        <v>40</v>
      </c>
      <c r="B128">
        <v>35</v>
      </c>
      <c r="C128" s="1" t="s">
        <v>3324</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General!K37</f>
        <v>lime</v>
      </c>
      <c r="C134">
        <v>15</v>
      </c>
    </row>
    <row r="135" spans="1:3" x14ac:dyDescent="0.25">
      <c r="A135" s="431" t="s">
        <v>44</v>
      </c>
      <c r="B135" t="str">
        <f>General!K38</f>
        <v>early</v>
      </c>
      <c r="C135">
        <v>25</v>
      </c>
    </row>
    <row r="136" spans="1:3" x14ac:dyDescent="0.25">
      <c r="A136" s="431" t="s">
        <v>69</v>
      </c>
      <c r="B136" t="str">
        <f>General!K39</f>
        <v>at_seeding</v>
      </c>
      <c r="C136"/>
    </row>
    <row r="137" spans="1:3" x14ac:dyDescent="0.25">
      <c r="A137" s="431" t="s">
        <v>2935</v>
      </c>
      <c r="B137" t="str">
        <f>General!K40</f>
        <v>mid</v>
      </c>
      <c r="C137">
        <v>25</v>
      </c>
    </row>
    <row r="138" spans="1:3" x14ac:dyDescent="0.25">
      <c r="A138" s="431" t="s">
        <v>2569</v>
      </c>
      <c r="B138" t="str">
        <f>General!K41</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3306</v>
      </c>
      <c r="B156" s="6" t="s">
        <v>92</v>
      </c>
      <c r="C156" s="6" t="s">
        <v>93</v>
      </c>
    </row>
    <row r="157" spans="1:3" x14ac:dyDescent="0.25">
      <c r="A157" s="342" t="str">
        <f>General!G37</f>
        <v>b</v>
      </c>
      <c r="B157" s="6">
        <v>1</v>
      </c>
      <c r="C157" s="6">
        <v>1</v>
      </c>
    </row>
    <row r="158" spans="1:3" x14ac:dyDescent="0.25">
      <c r="A158" s="342" t="str">
        <f>General!G38</f>
        <v>bd</v>
      </c>
      <c r="B158" s="6">
        <v>1</v>
      </c>
      <c r="C158" s="6">
        <v>1</v>
      </c>
    </row>
    <row r="159" spans="1:3" x14ac:dyDescent="0.25">
      <c r="A159" s="342" t="str">
        <f>General!G39</f>
        <v>f</v>
      </c>
      <c r="B159" s="6">
        <v>1</v>
      </c>
      <c r="C159" s="6">
        <v>1</v>
      </c>
    </row>
    <row r="160" spans="1:3" x14ac:dyDescent="0.25">
      <c r="A160" s="342" t="str">
        <f>General!G40</f>
        <v>h</v>
      </c>
      <c r="B160" s="6">
        <v>1</v>
      </c>
      <c r="C160" s="6">
        <v>3</v>
      </c>
    </row>
    <row r="161" spans="1:3" x14ac:dyDescent="0.25">
      <c r="A161" s="342" t="str">
        <f>General!G41</f>
        <v>i</v>
      </c>
      <c r="B161" s="6">
        <v>1</v>
      </c>
      <c r="C161" s="6">
        <v>1</v>
      </c>
    </row>
    <row r="162" spans="1:3" x14ac:dyDescent="0.25">
      <c r="A162" s="342" t="str">
        <f>General!G42</f>
        <v>k</v>
      </c>
      <c r="B162" s="6">
        <v>1</v>
      </c>
      <c r="C162" s="6">
        <v>1</v>
      </c>
    </row>
    <row r="163" spans="1:3" x14ac:dyDescent="0.25">
      <c r="A163" s="342" t="str">
        <f>General!G43</f>
        <v>l</v>
      </c>
      <c r="B163" s="6">
        <v>1</v>
      </c>
      <c r="C163" s="6">
        <v>1</v>
      </c>
    </row>
    <row r="164" spans="1:3" x14ac:dyDescent="0.25">
      <c r="A164" s="342" t="str">
        <f>General!G44</f>
        <v>lf</v>
      </c>
      <c r="B164" s="6">
        <v>1</v>
      </c>
      <c r="C164" s="6">
        <v>1</v>
      </c>
    </row>
    <row r="165" spans="1:3" x14ac:dyDescent="0.25">
      <c r="A165" s="342" t="str">
        <f>General!G45</f>
        <v>ms</v>
      </c>
      <c r="B165" s="6">
        <v>1</v>
      </c>
      <c r="C165" s="6">
        <v>1</v>
      </c>
    </row>
    <row r="166" spans="1:3" x14ac:dyDescent="0.25">
      <c r="A166" s="342" t="str">
        <f>General!G46</f>
        <v>o</v>
      </c>
      <c r="B166" s="6">
        <v>1</v>
      </c>
      <c r="C166" s="6">
        <v>1</v>
      </c>
    </row>
    <row r="167" spans="1:3" x14ac:dyDescent="0.25">
      <c r="A167" s="342" t="str">
        <f>General!G47</f>
        <v>od</v>
      </c>
      <c r="B167" s="6">
        <v>1</v>
      </c>
      <c r="C167" s="6">
        <v>1</v>
      </c>
    </row>
    <row r="168" spans="1:3" x14ac:dyDescent="0.25">
      <c r="A168" s="342" t="str">
        <f>General!G48</f>
        <v>of</v>
      </c>
      <c r="B168" s="6">
        <v>1</v>
      </c>
      <c r="C168" s="6">
        <v>1</v>
      </c>
    </row>
    <row r="169" spans="1:3" x14ac:dyDescent="0.25">
      <c r="A169" s="342" t="str">
        <f>General!G49</f>
        <v>r</v>
      </c>
      <c r="B169" s="6">
        <v>1</v>
      </c>
      <c r="C169" s="6">
        <v>1</v>
      </c>
    </row>
    <row r="170" spans="1:3" x14ac:dyDescent="0.25">
      <c r="A170" s="342" t="str">
        <f>General!G50</f>
        <v>rd</v>
      </c>
      <c r="B170" s="6">
        <v>1</v>
      </c>
      <c r="C170" s="6">
        <v>1</v>
      </c>
    </row>
    <row r="171" spans="1:3" x14ac:dyDescent="0.25">
      <c r="A171" s="342" t="str">
        <f>General!G51</f>
        <v>v</v>
      </c>
      <c r="B171" s="6">
        <v>1</v>
      </c>
      <c r="C171" s="6">
        <v>1</v>
      </c>
    </row>
    <row r="172" spans="1:3" x14ac:dyDescent="0.25">
      <c r="A172" s="342" t="str">
        <f>General!G52</f>
        <v>w</v>
      </c>
      <c r="B172" s="6">
        <v>1</v>
      </c>
      <c r="C172" s="6">
        <v>1</v>
      </c>
    </row>
    <row r="173" spans="1:3" x14ac:dyDescent="0.25">
      <c r="A173" s="342" t="str">
        <f>General!G53</f>
        <v>wd</v>
      </c>
      <c r="B173" s="6">
        <v>1</v>
      </c>
      <c r="C173" s="6">
        <v>1</v>
      </c>
    </row>
    <row r="174" spans="1:3" x14ac:dyDescent="0.25">
      <c r="A174" s="342" t="str">
        <f>General!G54</f>
        <v>z</v>
      </c>
      <c r="B174" s="6">
        <v>1</v>
      </c>
      <c r="C174" s="6">
        <v>1</v>
      </c>
    </row>
    <row r="175" spans="1:3" x14ac:dyDescent="0.25">
      <c r="A175" s="342" t="str">
        <f>General!G55</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2165</v>
      </c>
    </row>
    <row r="11" spans="1:6" x14ac:dyDescent="0.25">
      <c r="A11" t="s">
        <v>70</v>
      </c>
      <c r="B11" t="s">
        <v>71</v>
      </c>
      <c r="C11" t="s">
        <v>120</v>
      </c>
      <c r="D11" t="s">
        <v>121</v>
      </c>
      <c r="E11" t="s">
        <v>2924</v>
      </c>
      <c r="F11" t="s">
        <v>2925</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2790</v>
      </c>
      <c r="B29" s="436">
        <v>1</v>
      </c>
    </row>
    <row r="30" spans="1:6" ht="7.35" customHeight="1" x14ac:dyDescent="0.25"/>
    <row r="31" spans="1:6" ht="4.9000000000000004" customHeight="1" x14ac:dyDescent="0.25"/>
    <row r="32" spans="1:6" x14ac:dyDescent="0.25">
      <c r="A32" t="s">
        <v>2931</v>
      </c>
      <c r="B32">
        <v>4</v>
      </c>
      <c r="C32" s="1" t="s">
        <v>2930</v>
      </c>
    </row>
    <row r="33" spans="1:3" ht="7.15" customHeight="1" x14ac:dyDescent="0.25"/>
    <row r="34" spans="1:3" x14ac:dyDescent="0.25">
      <c r="A34" t="s">
        <v>3321</v>
      </c>
      <c r="B34">
        <v>40</v>
      </c>
      <c r="C34" s="1" t="s">
        <v>2933</v>
      </c>
    </row>
    <row r="35" spans="1:3" ht="7.15" customHeight="1" x14ac:dyDescent="0.25"/>
    <row r="36" spans="1:3" x14ac:dyDescent="0.25">
      <c r="A36" t="s">
        <v>3322</v>
      </c>
      <c r="B36">
        <v>35</v>
      </c>
      <c r="C36" s="1" t="s">
        <v>3324</v>
      </c>
    </row>
    <row r="37" spans="1:3" ht="7.15" customHeight="1" x14ac:dyDescent="0.25"/>
    <row r="38" spans="1:3" x14ac:dyDescent="0.25">
      <c r="A38" t="s">
        <v>54</v>
      </c>
      <c r="B38"/>
    </row>
    <row r="39" spans="1:3" x14ac:dyDescent="0.25">
      <c r="A39" s="341" t="str">
        <f>General!I37</f>
        <v>a</v>
      </c>
      <c r="B39">
        <v>1</v>
      </c>
    </row>
    <row r="40" spans="1:3" x14ac:dyDescent="0.25">
      <c r="A40" s="341" t="str">
        <f>General!I38</f>
        <v>a2</v>
      </c>
      <c r="B40">
        <v>1</v>
      </c>
    </row>
    <row r="41" spans="1:3" x14ac:dyDescent="0.25">
      <c r="A41" s="341" t="str">
        <f>General!I39</f>
        <v>b</v>
      </c>
      <c r="B41">
        <v>1</v>
      </c>
    </row>
    <row r="42" spans="1:3" x14ac:dyDescent="0.25">
      <c r="A42" s="341" t="str">
        <f>General!I40</f>
        <v>bd</v>
      </c>
      <c r="B42">
        <v>1</v>
      </c>
    </row>
    <row r="43" spans="1:3" x14ac:dyDescent="0.25">
      <c r="A43" s="341" t="str">
        <f>General!I41</f>
        <v>f</v>
      </c>
      <c r="B43">
        <v>1</v>
      </c>
    </row>
    <row r="44" spans="1:3" x14ac:dyDescent="0.25">
      <c r="A44" s="341" t="str">
        <f>General!I42</f>
        <v>h</v>
      </c>
      <c r="B44">
        <v>1</v>
      </c>
    </row>
    <row r="45" spans="1:3" x14ac:dyDescent="0.25">
      <c r="A45" s="341" t="str">
        <f>General!I43</f>
        <v>i</v>
      </c>
      <c r="B45">
        <v>1</v>
      </c>
    </row>
    <row r="46" spans="1:3" x14ac:dyDescent="0.25">
      <c r="A46" s="341" t="str">
        <f>General!I44</f>
        <v>j</v>
      </c>
      <c r="B46">
        <v>1</v>
      </c>
    </row>
    <row r="47" spans="1:3" x14ac:dyDescent="0.25">
      <c r="A47" s="341" t="str">
        <f>General!I45</f>
        <v>jc</v>
      </c>
      <c r="B47">
        <v>1</v>
      </c>
    </row>
    <row r="48" spans="1:3" x14ac:dyDescent="0.25">
      <c r="A48" s="341" t="str">
        <f>General!I46</f>
        <v>k</v>
      </c>
      <c r="B48">
        <v>1</v>
      </c>
    </row>
    <row r="49" spans="1:2" x14ac:dyDescent="0.25">
      <c r="A49" s="341" t="str">
        <f>General!I47</f>
        <v>l</v>
      </c>
      <c r="B49">
        <v>1</v>
      </c>
    </row>
    <row r="50" spans="1:2" x14ac:dyDescent="0.25">
      <c r="A50" s="341" t="str">
        <f>General!I48</f>
        <v>lf</v>
      </c>
      <c r="B50">
        <v>1</v>
      </c>
    </row>
    <row r="51" spans="1:2" x14ac:dyDescent="0.25">
      <c r="A51" s="341" t="str">
        <f>General!I49</f>
        <v>m</v>
      </c>
      <c r="B51">
        <v>1</v>
      </c>
    </row>
    <row r="52" spans="1:2" x14ac:dyDescent="0.25">
      <c r="A52" s="341" t="str">
        <f>General!I50</f>
        <v>ms</v>
      </c>
      <c r="B52">
        <v>1</v>
      </c>
    </row>
    <row r="53" spans="1:2" x14ac:dyDescent="0.25">
      <c r="A53" s="341" t="str">
        <f>General!I51</f>
        <v>o</v>
      </c>
      <c r="B53">
        <v>1</v>
      </c>
    </row>
    <row r="54" spans="1:2" x14ac:dyDescent="0.25">
      <c r="A54" s="341" t="str">
        <f>General!I52</f>
        <v>od</v>
      </c>
      <c r="B54">
        <v>1</v>
      </c>
    </row>
    <row r="55" spans="1:2" x14ac:dyDescent="0.25">
      <c r="A55" s="341" t="str">
        <f>General!I53</f>
        <v>of</v>
      </c>
      <c r="B55">
        <v>1</v>
      </c>
    </row>
    <row r="56" spans="1:2" x14ac:dyDescent="0.25">
      <c r="A56" s="341" t="str">
        <f>General!I54</f>
        <v>r</v>
      </c>
      <c r="B56">
        <v>1</v>
      </c>
    </row>
    <row r="57" spans="1:2" x14ac:dyDescent="0.25">
      <c r="A57" s="341" t="str">
        <f>General!I55</f>
        <v>rd</v>
      </c>
      <c r="B57">
        <v>1</v>
      </c>
    </row>
    <row r="58" spans="1:2" x14ac:dyDescent="0.25">
      <c r="A58" s="341" t="str">
        <f>General!I56</f>
        <v>s</v>
      </c>
      <c r="B58">
        <v>1</v>
      </c>
    </row>
    <row r="59" spans="1:2" x14ac:dyDescent="0.25">
      <c r="A59" s="341" t="str">
        <f>General!I57</f>
        <v>sp</v>
      </c>
      <c r="B59">
        <v>1</v>
      </c>
    </row>
    <row r="60" spans="1:2" x14ac:dyDescent="0.25">
      <c r="A60" s="341" t="str">
        <f>General!I58</f>
        <v>t</v>
      </c>
      <c r="B60">
        <v>1</v>
      </c>
    </row>
    <row r="61" spans="1:2" x14ac:dyDescent="0.25">
      <c r="A61" s="341" t="str">
        <f>General!I59</f>
        <v>tc</v>
      </c>
      <c r="B61">
        <v>1</v>
      </c>
    </row>
    <row r="62" spans="1:2" x14ac:dyDescent="0.25">
      <c r="A62" s="341" t="str">
        <f>General!I60</f>
        <v>u</v>
      </c>
      <c r="B62">
        <v>1</v>
      </c>
    </row>
    <row r="63" spans="1:2" x14ac:dyDescent="0.25">
      <c r="A63" s="341" t="str">
        <f>General!I61</f>
        <v>uc</v>
      </c>
      <c r="B63">
        <v>1</v>
      </c>
    </row>
    <row r="64" spans="1:2" x14ac:dyDescent="0.25">
      <c r="A64" s="341" t="str">
        <f>General!I62</f>
        <v>v</v>
      </c>
      <c r="B64">
        <v>1</v>
      </c>
    </row>
    <row r="65" spans="1:3" x14ac:dyDescent="0.25">
      <c r="A65" s="341" t="str">
        <f>General!I63</f>
        <v>w</v>
      </c>
      <c r="B65">
        <v>1</v>
      </c>
    </row>
    <row r="66" spans="1:3" x14ac:dyDescent="0.25">
      <c r="A66" s="341" t="str">
        <f>General!I64</f>
        <v>wd</v>
      </c>
      <c r="B66">
        <v>1</v>
      </c>
    </row>
    <row r="67" spans="1:3" x14ac:dyDescent="0.25">
      <c r="A67" s="341" t="str">
        <f>General!I65</f>
        <v>x</v>
      </c>
      <c r="B67">
        <v>1</v>
      </c>
    </row>
    <row r="68" spans="1:3" x14ac:dyDescent="0.25">
      <c r="A68" s="341" t="str">
        <f>General!I66</f>
        <v>xc</v>
      </c>
      <c r="B68">
        <v>1</v>
      </c>
    </row>
    <row r="69" spans="1:3" x14ac:dyDescent="0.25">
      <c r="A69" s="341" t="str">
        <f>General!I67</f>
        <v>z</v>
      </c>
      <c r="B69">
        <v>1</v>
      </c>
    </row>
    <row r="70" spans="1:3" x14ac:dyDescent="0.25">
      <c r="A70" s="341" t="str">
        <f>General!I68</f>
        <v>zd</v>
      </c>
      <c r="B70">
        <v>1</v>
      </c>
    </row>
    <row r="72" spans="1:3" x14ac:dyDescent="0.25">
      <c r="A72" s="3" t="s">
        <v>35</v>
      </c>
    </row>
    <row r="73" spans="1:3" x14ac:dyDescent="0.25">
      <c r="A73" t="s">
        <v>2791</v>
      </c>
      <c r="B73" s="436">
        <v>1</v>
      </c>
    </row>
    <row r="74" spans="1:3" ht="7.35" customHeight="1" x14ac:dyDescent="0.25"/>
    <row r="75" spans="1:3" x14ac:dyDescent="0.25">
      <c r="A75" t="s">
        <v>36</v>
      </c>
      <c r="B75">
        <v>50</v>
      </c>
    </row>
    <row r="76" spans="1:3" ht="7.15" customHeight="1" x14ac:dyDescent="0.25"/>
    <row r="77" spans="1:3" x14ac:dyDescent="0.25">
      <c r="A77" t="s">
        <v>3325</v>
      </c>
      <c r="B77">
        <f>0.3*harvest_maint</f>
        <v>12</v>
      </c>
      <c r="C77" s="1" t="s">
        <v>3326</v>
      </c>
    </row>
    <row r="78" spans="1:3" ht="7.15" customHeight="1" x14ac:dyDescent="0.25"/>
    <row r="79" spans="1:3" x14ac:dyDescent="0.25">
      <c r="A79" t="s">
        <v>2926</v>
      </c>
      <c r="B79"/>
    </row>
    <row r="80" spans="1:3" x14ac:dyDescent="0.25">
      <c r="A80" s="341" t="str">
        <f>General!G37</f>
        <v>b</v>
      </c>
      <c r="B80">
        <f>'Mach 1'!B80*0.66</f>
        <v>13.200000000000001</v>
      </c>
      <c r="C80" s="1" t="s">
        <v>2927</v>
      </c>
    </row>
    <row r="81" spans="1:3" x14ac:dyDescent="0.25">
      <c r="A81" s="341" t="str">
        <f>General!G38</f>
        <v>bd</v>
      </c>
      <c r="B81">
        <f>'Mach 1'!B81*0.66</f>
        <v>13.200000000000001</v>
      </c>
      <c r="C81" s="1" t="s">
        <v>2927</v>
      </c>
    </row>
    <row r="82" spans="1:3" x14ac:dyDescent="0.25">
      <c r="A82" s="341" t="str">
        <f>General!G39</f>
        <v>f</v>
      </c>
      <c r="B82">
        <f>'Mach 1'!B82*0.66</f>
        <v>7.92</v>
      </c>
      <c r="C82" s="1" t="s">
        <v>2927</v>
      </c>
    </row>
    <row r="83" spans="1:3" x14ac:dyDescent="0.25">
      <c r="A83" s="341" t="str">
        <f>General!G40</f>
        <v>h</v>
      </c>
      <c r="B83">
        <f>'Mach 1'!B83*0.66</f>
        <v>13.200000000000001</v>
      </c>
      <c r="C83" s="1" t="s">
        <v>2927</v>
      </c>
    </row>
    <row r="84" spans="1:3" x14ac:dyDescent="0.25">
      <c r="A84" s="341" t="str">
        <f>General!G41</f>
        <v>i</v>
      </c>
      <c r="B84">
        <f>'Mach 1'!B84*0.66</f>
        <v>7.92</v>
      </c>
      <c r="C84" s="1" t="s">
        <v>2927</v>
      </c>
    </row>
    <row r="85" spans="1:3" x14ac:dyDescent="0.25">
      <c r="A85" s="341" t="str">
        <f>General!G42</f>
        <v>k</v>
      </c>
      <c r="B85">
        <f>'Mach 1'!B85*0.66</f>
        <v>7.92</v>
      </c>
      <c r="C85" s="1" t="s">
        <v>2927</v>
      </c>
    </row>
    <row r="86" spans="1:3" x14ac:dyDescent="0.25">
      <c r="A86" s="341" t="str">
        <f>General!G43</f>
        <v>l</v>
      </c>
      <c r="B86">
        <f>'Mach 1'!B86*0.66</f>
        <v>7.92</v>
      </c>
      <c r="C86" s="1" t="s">
        <v>2927</v>
      </c>
    </row>
    <row r="87" spans="1:3" x14ac:dyDescent="0.25">
      <c r="A87" s="341" t="str">
        <f>General!G44</f>
        <v>lf</v>
      </c>
      <c r="B87">
        <f>'Mach 1'!B87*0.66</f>
        <v>7.92</v>
      </c>
      <c r="C87" s="1" t="s">
        <v>2927</v>
      </c>
    </row>
    <row r="88" spans="1:3" x14ac:dyDescent="0.25">
      <c r="A88" s="341" t="str">
        <f>General!G45</f>
        <v>ms</v>
      </c>
      <c r="B88" s="528">
        <f>0.65*B80+0.35*B86</f>
        <v>11.352000000000002</v>
      </c>
      <c r="C88" s="1" t="s">
        <v>2927</v>
      </c>
    </row>
    <row r="89" spans="1:3" x14ac:dyDescent="0.25">
      <c r="A89" s="341" t="str">
        <f>General!G46</f>
        <v>o</v>
      </c>
      <c r="B89">
        <f>'Mach 1'!B89*0.66</f>
        <v>13.200000000000001</v>
      </c>
      <c r="C89" s="1" t="s">
        <v>2927</v>
      </c>
    </row>
    <row r="90" spans="1:3" x14ac:dyDescent="0.25">
      <c r="A90" s="341" t="str">
        <f>General!G47</f>
        <v>od</v>
      </c>
      <c r="B90">
        <f>'Mach 1'!B90*0.66</f>
        <v>13.200000000000001</v>
      </c>
      <c r="C90" s="1" t="s">
        <v>2927</v>
      </c>
    </row>
    <row r="91" spans="1:3" x14ac:dyDescent="0.25">
      <c r="A91" s="341" t="str">
        <f>General!G48</f>
        <v>of</v>
      </c>
      <c r="B91">
        <f>'Mach 1'!B91*0.66</f>
        <v>13.200000000000001</v>
      </c>
      <c r="C91" s="1" t="s">
        <v>2927</v>
      </c>
    </row>
    <row r="92" spans="1:3" x14ac:dyDescent="0.25">
      <c r="A92" s="341" t="str">
        <f>General!G49</f>
        <v>r</v>
      </c>
      <c r="B92">
        <f>'Mach 1'!B92*0.66</f>
        <v>4.62</v>
      </c>
      <c r="C92" s="1" t="s">
        <v>2927</v>
      </c>
    </row>
    <row r="93" spans="1:3" x14ac:dyDescent="0.25">
      <c r="A93" s="341" t="str">
        <f>General!G50</f>
        <v>rd</v>
      </c>
      <c r="B93">
        <f>'Mach 1'!B93*0.66</f>
        <v>4.62</v>
      </c>
      <c r="C93" s="1" t="s">
        <v>2927</v>
      </c>
    </row>
    <row r="94" spans="1:3" x14ac:dyDescent="0.25">
      <c r="A94" s="341" t="str">
        <f>General!G51</f>
        <v>v</v>
      </c>
      <c r="B94">
        <f>'Mach 1'!B94*0.66</f>
        <v>7.92</v>
      </c>
      <c r="C94" s="1" t="s">
        <v>2927</v>
      </c>
    </row>
    <row r="95" spans="1:3" x14ac:dyDescent="0.25">
      <c r="A95" s="341" t="str">
        <f>General!G52</f>
        <v>w</v>
      </c>
      <c r="B95">
        <f>'Mach 1'!B95*0.66</f>
        <v>13.200000000000001</v>
      </c>
      <c r="C95" s="1" t="s">
        <v>2927</v>
      </c>
    </row>
    <row r="96" spans="1:3" x14ac:dyDescent="0.25">
      <c r="A96" s="341" t="str">
        <f>General!G53</f>
        <v>wd</v>
      </c>
      <c r="B96">
        <f>'Mach 1'!B96*0.66</f>
        <v>13.200000000000001</v>
      </c>
      <c r="C96" s="1" t="s">
        <v>2927</v>
      </c>
    </row>
    <row r="97" spans="1:3" x14ac:dyDescent="0.25">
      <c r="A97" s="341" t="str">
        <f>General!G54</f>
        <v>z</v>
      </c>
      <c r="B97">
        <f>'Mach 1'!B97*0.66</f>
        <v>4.62</v>
      </c>
      <c r="C97" s="1" t="s">
        <v>2927</v>
      </c>
    </row>
    <row r="98" spans="1:3" x14ac:dyDescent="0.25">
      <c r="A98" s="341" t="str">
        <f>General!G55</f>
        <v>zd</v>
      </c>
      <c r="B98">
        <f>'Mach 1'!B98*0.66</f>
        <v>4.62</v>
      </c>
      <c r="C98" s="1" t="s">
        <v>2927</v>
      </c>
    </row>
    <row r="100" spans="1:3" x14ac:dyDescent="0.25">
      <c r="A100" t="s">
        <v>37</v>
      </c>
      <c r="B100">
        <v>40</v>
      </c>
      <c r="C100" s="1" t="s">
        <v>2915</v>
      </c>
    </row>
    <row r="102" spans="1:3" x14ac:dyDescent="0.25">
      <c r="A102" t="s">
        <v>37</v>
      </c>
      <c r="B102" t="s">
        <v>3323</v>
      </c>
    </row>
    <row r="103" spans="1:3" x14ac:dyDescent="0.25">
      <c r="A103" s="341" t="str">
        <f>General!G37</f>
        <v>b</v>
      </c>
      <c r="B103" s="326">
        <v>1</v>
      </c>
    </row>
    <row r="104" spans="1:3" x14ac:dyDescent="0.25">
      <c r="A104" s="341" t="str">
        <f>General!G38</f>
        <v>bd</v>
      </c>
      <c r="B104" s="326">
        <v>1</v>
      </c>
    </row>
    <row r="105" spans="1:3" x14ac:dyDescent="0.25">
      <c r="A105" s="341" t="str">
        <f>General!G39</f>
        <v>f</v>
      </c>
      <c r="B105" s="326">
        <f>38/33</f>
        <v>1.1515151515151516</v>
      </c>
    </row>
    <row r="106" spans="1:3" x14ac:dyDescent="0.25">
      <c r="A106" s="341" t="str">
        <f>General!G40</f>
        <v>h</v>
      </c>
      <c r="B106" s="326">
        <v>1</v>
      </c>
    </row>
    <row r="107" spans="1:3" x14ac:dyDescent="0.25">
      <c r="A107" s="341" t="str">
        <f>General!G41</f>
        <v>i</v>
      </c>
      <c r="B107" s="326">
        <f t="shared" ref="B107:B108" si="0">38/33</f>
        <v>1.1515151515151516</v>
      </c>
    </row>
    <row r="108" spans="1:3" x14ac:dyDescent="0.25">
      <c r="A108" s="341" t="str">
        <f>General!G42</f>
        <v>k</v>
      </c>
      <c r="B108" s="326">
        <f t="shared" si="0"/>
        <v>1.1515151515151516</v>
      </c>
    </row>
    <row r="109" spans="1:3" x14ac:dyDescent="0.25">
      <c r="A109" s="341" t="str">
        <f>General!G43</f>
        <v>l</v>
      </c>
      <c r="B109" s="326">
        <v>1</v>
      </c>
    </row>
    <row r="110" spans="1:3" x14ac:dyDescent="0.25">
      <c r="A110" s="341" t="str">
        <f>General!G44</f>
        <v>lf</v>
      </c>
      <c r="B110" s="326">
        <v>1</v>
      </c>
    </row>
    <row r="111" spans="1:3" x14ac:dyDescent="0.25">
      <c r="A111" s="341" t="str">
        <f>General!G45</f>
        <v>ms</v>
      </c>
      <c r="B111" s="618">
        <f>0.65*B103+0.35*B109</f>
        <v>1</v>
      </c>
    </row>
    <row r="112" spans="1:3" x14ac:dyDescent="0.25">
      <c r="A112" s="341" t="str">
        <f>General!G46</f>
        <v>o</v>
      </c>
      <c r="B112" s="326">
        <v>1</v>
      </c>
    </row>
    <row r="113" spans="1:3" x14ac:dyDescent="0.25">
      <c r="A113" s="341" t="str">
        <f>General!G47</f>
        <v>od</v>
      </c>
      <c r="B113" s="326">
        <v>1</v>
      </c>
    </row>
    <row r="114" spans="1:3" x14ac:dyDescent="0.25">
      <c r="A114" s="341" t="str">
        <f>General!G48</f>
        <v>of</v>
      </c>
      <c r="B114" s="326">
        <v>1</v>
      </c>
    </row>
    <row r="115" spans="1:3" x14ac:dyDescent="0.25">
      <c r="A115" s="341" t="str">
        <f>General!G49</f>
        <v>r</v>
      </c>
      <c r="B115" s="326">
        <f t="shared" ref="B115:B117" si="1">38/33</f>
        <v>1.1515151515151516</v>
      </c>
    </row>
    <row r="116" spans="1:3" x14ac:dyDescent="0.25">
      <c r="A116" s="341" t="str">
        <f>General!G50</f>
        <v>rd</v>
      </c>
      <c r="B116" s="326">
        <f t="shared" si="1"/>
        <v>1.1515151515151516</v>
      </c>
    </row>
    <row r="117" spans="1:3" x14ac:dyDescent="0.25">
      <c r="A117" s="341" t="str">
        <f>General!G51</f>
        <v>v</v>
      </c>
      <c r="B117" s="326">
        <f t="shared" si="1"/>
        <v>1.1515151515151516</v>
      </c>
    </row>
    <row r="118" spans="1:3" x14ac:dyDescent="0.25">
      <c r="A118" s="341" t="str">
        <f>General!G52</f>
        <v>w</v>
      </c>
      <c r="B118" s="326">
        <v>1</v>
      </c>
    </row>
    <row r="119" spans="1:3" x14ac:dyDescent="0.25">
      <c r="A119" s="341" t="str">
        <f>General!G53</f>
        <v>wd</v>
      </c>
      <c r="B119" s="326">
        <v>1</v>
      </c>
    </row>
    <row r="120" spans="1:3" x14ac:dyDescent="0.25">
      <c r="A120" s="341" t="str">
        <f>General!G54</f>
        <v>z</v>
      </c>
      <c r="B120" s="326">
        <f t="shared" ref="B120:B121" si="2">38/33</f>
        <v>1.1515151515151516</v>
      </c>
    </row>
    <row r="121" spans="1:3" x14ac:dyDescent="0.25">
      <c r="A121" s="341" t="str">
        <f>General!G55</f>
        <v>zd</v>
      </c>
      <c r="B121" s="326">
        <f t="shared" si="2"/>
        <v>1.1515151515151516</v>
      </c>
    </row>
    <row r="123" spans="1:3" x14ac:dyDescent="0.25">
      <c r="A123" s="3" t="s">
        <v>38</v>
      </c>
    </row>
    <row r="124" spans="1:3" x14ac:dyDescent="0.25">
      <c r="A124" t="s">
        <v>2932</v>
      </c>
      <c r="B124">
        <v>23</v>
      </c>
      <c r="C124" s="1" t="s">
        <v>2934</v>
      </c>
    </row>
    <row r="125" spans="1:3" ht="4.1500000000000004" customHeight="1" x14ac:dyDescent="0.25"/>
    <row r="126" spans="1:3" x14ac:dyDescent="0.25">
      <c r="A126" t="s">
        <v>39</v>
      </c>
      <c r="B126">
        <v>20</v>
      </c>
      <c r="C126" s="1" t="s">
        <v>2933</v>
      </c>
    </row>
    <row r="127" spans="1:3" ht="3" customHeight="1" x14ac:dyDescent="0.25"/>
    <row r="128" spans="1:3" x14ac:dyDescent="0.25">
      <c r="A128" t="s">
        <v>40</v>
      </c>
      <c r="B128">
        <v>22</v>
      </c>
      <c r="C128" s="1" t="s">
        <v>3324</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General!K37</f>
        <v>lime</v>
      </c>
      <c r="C134">
        <v>15</v>
      </c>
    </row>
    <row r="135" spans="1:3" x14ac:dyDescent="0.25">
      <c r="A135" s="431" t="s">
        <v>44</v>
      </c>
      <c r="B135" t="str">
        <f>General!K38</f>
        <v>early</v>
      </c>
      <c r="C135">
        <v>20</v>
      </c>
    </row>
    <row r="136" spans="1:3" x14ac:dyDescent="0.25">
      <c r="A136" s="431" t="s">
        <v>69</v>
      </c>
      <c r="B136" t="str">
        <f>General!K39</f>
        <v>at_seeding</v>
      </c>
      <c r="C136"/>
    </row>
    <row r="137" spans="1:3" x14ac:dyDescent="0.25">
      <c r="A137" s="431" t="s">
        <v>2935</v>
      </c>
      <c r="B137" t="str">
        <f>General!K40</f>
        <v>mid</v>
      </c>
      <c r="C137">
        <v>20</v>
      </c>
    </row>
    <row r="138" spans="1:3" x14ac:dyDescent="0.25">
      <c r="A138" s="431" t="s">
        <v>2569</v>
      </c>
      <c r="B138" t="str">
        <f>General!K41</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General!G37</f>
        <v>b</v>
      </c>
      <c r="B157" s="6">
        <v>1</v>
      </c>
      <c r="C157" s="6">
        <v>1</v>
      </c>
    </row>
    <row r="158" spans="1:3" x14ac:dyDescent="0.25">
      <c r="A158" s="342" t="str">
        <f>General!G38</f>
        <v>bd</v>
      </c>
      <c r="B158" s="6">
        <v>1</v>
      </c>
      <c r="C158" s="6">
        <v>1</v>
      </c>
    </row>
    <row r="159" spans="1:3" x14ac:dyDescent="0.25">
      <c r="A159" s="342" t="str">
        <f>General!G39</f>
        <v>f</v>
      </c>
      <c r="B159" s="6">
        <v>1</v>
      </c>
      <c r="C159" s="6">
        <v>1</v>
      </c>
    </row>
    <row r="160" spans="1:3" x14ac:dyDescent="0.25">
      <c r="A160" s="342" t="str">
        <f>General!G40</f>
        <v>h</v>
      </c>
      <c r="B160" s="6">
        <v>1</v>
      </c>
      <c r="C160" s="6">
        <v>3</v>
      </c>
    </row>
    <row r="161" spans="1:3" x14ac:dyDescent="0.25">
      <c r="A161" s="342" t="str">
        <f>General!G41</f>
        <v>i</v>
      </c>
      <c r="B161" s="6">
        <v>1</v>
      </c>
      <c r="C161" s="6">
        <v>1</v>
      </c>
    </row>
    <row r="162" spans="1:3" x14ac:dyDescent="0.25">
      <c r="A162" s="342" t="str">
        <f>General!G42</f>
        <v>k</v>
      </c>
      <c r="B162" s="6">
        <v>1</v>
      </c>
      <c r="C162" s="6">
        <v>1</v>
      </c>
    </row>
    <row r="163" spans="1:3" x14ac:dyDescent="0.25">
      <c r="A163" s="342" t="str">
        <f>General!G43</f>
        <v>l</v>
      </c>
      <c r="B163" s="6">
        <v>1</v>
      </c>
      <c r="C163" s="6">
        <v>1</v>
      </c>
    </row>
    <row r="164" spans="1:3" x14ac:dyDescent="0.25">
      <c r="A164" s="342" t="str">
        <f>General!G44</f>
        <v>lf</v>
      </c>
      <c r="B164" s="6">
        <v>1</v>
      </c>
      <c r="C164" s="6">
        <v>1</v>
      </c>
    </row>
    <row r="165" spans="1:3" x14ac:dyDescent="0.25">
      <c r="A165" s="342" t="str">
        <f>General!G45</f>
        <v>ms</v>
      </c>
      <c r="B165" s="6">
        <v>1</v>
      </c>
      <c r="C165" s="6">
        <v>1</v>
      </c>
    </row>
    <row r="166" spans="1:3" x14ac:dyDescent="0.25">
      <c r="A166" s="342" t="str">
        <f>General!G46</f>
        <v>o</v>
      </c>
      <c r="B166" s="6">
        <v>1</v>
      </c>
      <c r="C166" s="6">
        <v>1</v>
      </c>
    </row>
    <row r="167" spans="1:3" x14ac:dyDescent="0.25">
      <c r="A167" s="342" t="str">
        <f>General!G47</f>
        <v>od</v>
      </c>
      <c r="B167" s="6">
        <v>1</v>
      </c>
      <c r="C167" s="6">
        <v>1</v>
      </c>
    </row>
    <row r="168" spans="1:3" x14ac:dyDescent="0.25">
      <c r="A168" s="342" t="str">
        <f>General!G48</f>
        <v>of</v>
      </c>
      <c r="B168" s="6">
        <v>1</v>
      </c>
      <c r="C168" s="6">
        <v>1</v>
      </c>
    </row>
    <row r="169" spans="1:3" x14ac:dyDescent="0.25">
      <c r="A169" s="342" t="str">
        <f>General!G49</f>
        <v>r</v>
      </c>
      <c r="B169" s="6">
        <v>1</v>
      </c>
      <c r="C169" s="6">
        <v>1</v>
      </c>
    </row>
    <row r="170" spans="1:3" x14ac:dyDescent="0.25">
      <c r="A170" s="342" t="str">
        <f>General!G50</f>
        <v>rd</v>
      </c>
      <c r="B170" s="6">
        <v>1</v>
      </c>
      <c r="C170" s="6">
        <v>1</v>
      </c>
    </row>
    <row r="171" spans="1:3" x14ac:dyDescent="0.25">
      <c r="A171" s="342" t="str">
        <f>General!G51</f>
        <v>v</v>
      </c>
      <c r="B171" s="6">
        <v>1</v>
      </c>
      <c r="C171" s="6">
        <v>1</v>
      </c>
    </row>
    <row r="172" spans="1:3" x14ac:dyDescent="0.25">
      <c r="A172" s="342" t="str">
        <f>General!G52</f>
        <v>w</v>
      </c>
      <c r="B172" s="6">
        <v>1</v>
      </c>
      <c r="C172" s="6">
        <v>1</v>
      </c>
    </row>
    <row r="173" spans="1:3" x14ac:dyDescent="0.25">
      <c r="A173" s="342" t="str">
        <f>General!G53</f>
        <v>wd</v>
      </c>
      <c r="B173" s="6">
        <v>1</v>
      </c>
      <c r="C173" s="6">
        <v>1</v>
      </c>
    </row>
    <row r="174" spans="1:3" x14ac:dyDescent="0.25">
      <c r="A174" s="342" t="str">
        <f>General!G54</f>
        <v>z</v>
      </c>
      <c r="B174" s="6">
        <v>1</v>
      </c>
      <c r="C174" s="6">
        <v>1</v>
      </c>
    </row>
    <row r="175" spans="1:3" x14ac:dyDescent="0.25">
      <c r="A175" s="342" t="str">
        <f>General!G55</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2165</v>
      </c>
    </row>
    <row r="11" spans="1:17" x14ac:dyDescent="0.25">
      <c r="A11" t="s">
        <v>70</v>
      </c>
      <c r="B11" t="s">
        <v>71</v>
      </c>
      <c r="C11" t="s">
        <v>120</v>
      </c>
      <c r="D11" t="s">
        <v>121</v>
      </c>
      <c r="E11" t="s">
        <v>2924</v>
      </c>
      <c r="F11" t="s">
        <v>2925</v>
      </c>
    </row>
    <row r="12" spans="1:17" x14ac:dyDescent="0.25">
      <c r="A12" t="s">
        <v>2794</v>
      </c>
      <c r="B12">
        <v>250000</v>
      </c>
      <c r="C12" s="44">
        <v>1</v>
      </c>
      <c r="D12" s="44">
        <v>0</v>
      </c>
      <c r="E12" s="44">
        <v>0</v>
      </c>
      <c r="F12" s="44">
        <v>0</v>
      </c>
    </row>
    <row r="13" spans="1:17" x14ac:dyDescent="0.25">
      <c r="A13" t="s">
        <v>2792</v>
      </c>
      <c r="B13">
        <v>115000</v>
      </c>
      <c r="C13" s="44">
        <v>1</v>
      </c>
      <c r="D13" s="44">
        <v>0</v>
      </c>
      <c r="E13" s="44">
        <v>0</v>
      </c>
      <c r="F13" s="44">
        <v>0</v>
      </c>
    </row>
    <row r="14" spans="1:17" x14ac:dyDescent="0.25">
      <c r="A14" t="s">
        <v>2793</v>
      </c>
      <c r="B14">
        <v>500000</v>
      </c>
      <c r="C14" s="44">
        <v>0</v>
      </c>
      <c r="D14" s="44">
        <v>1</v>
      </c>
      <c r="E14" s="44">
        <v>0</v>
      </c>
      <c r="F14" s="44">
        <v>0</v>
      </c>
    </row>
    <row r="15" spans="1:17" x14ac:dyDescent="0.25">
      <c r="A15" t="s">
        <v>119</v>
      </c>
      <c r="B15">
        <v>50000</v>
      </c>
      <c r="C15" s="44">
        <v>0</v>
      </c>
      <c r="D15" s="44">
        <v>1</v>
      </c>
      <c r="E15" s="44">
        <v>0</v>
      </c>
      <c r="F15" s="44">
        <v>0</v>
      </c>
      <c r="Q15" s="481"/>
    </row>
    <row r="16" spans="1:17" x14ac:dyDescent="0.25">
      <c r="A16" t="s">
        <v>2795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2797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2796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2790</v>
      </c>
      <c r="B29" s="436">
        <v>1</v>
      </c>
    </row>
    <row r="30" spans="1:6" ht="7.35" customHeight="1" x14ac:dyDescent="0.25"/>
    <row r="31" spans="1:6" x14ac:dyDescent="0.25">
      <c r="A31" t="s">
        <v>2931</v>
      </c>
      <c r="B31">
        <v>12.5</v>
      </c>
      <c r="C31" s="1" t="s">
        <v>2930</v>
      </c>
      <c r="D31" s="1" t="s">
        <v>3053</v>
      </c>
    </row>
    <row r="32" spans="1:6" ht="7.15" customHeight="1" x14ac:dyDescent="0.25"/>
    <row r="33" spans="1:3" x14ac:dyDescent="0.25">
      <c r="A33" t="s">
        <v>3321</v>
      </c>
      <c r="B33">
        <v>60</v>
      </c>
      <c r="C33" s="1" t="s">
        <v>2933</v>
      </c>
    </row>
    <row r="34" spans="1:3" ht="7.15" customHeight="1" x14ac:dyDescent="0.25"/>
    <row r="35" spans="1:3" x14ac:dyDescent="0.25">
      <c r="A35" t="s">
        <v>3322</v>
      </c>
      <c r="B35">
        <v>78</v>
      </c>
      <c r="C35" s="1" t="s">
        <v>3324</v>
      </c>
    </row>
    <row r="36" spans="1:3" ht="7.15" customHeight="1" x14ac:dyDescent="0.25"/>
    <row r="37" spans="1:3" x14ac:dyDescent="0.25">
      <c r="A37" t="s">
        <v>54</v>
      </c>
      <c r="B37"/>
    </row>
    <row r="38" spans="1:3" x14ac:dyDescent="0.25">
      <c r="A38" s="341" t="str">
        <f>General!I37</f>
        <v>a</v>
      </c>
      <c r="B38">
        <v>1</v>
      </c>
    </row>
    <row r="39" spans="1:3" x14ac:dyDescent="0.25">
      <c r="A39" s="341" t="str">
        <f>General!I38</f>
        <v>a2</v>
      </c>
      <c r="B39">
        <v>1</v>
      </c>
    </row>
    <row r="40" spans="1:3" x14ac:dyDescent="0.25">
      <c r="A40" s="341" t="str">
        <f>General!I39</f>
        <v>b</v>
      </c>
      <c r="B40">
        <v>1</v>
      </c>
    </row>
    <row r="41" spans="1:3" x14ac:dyDescent="0.25">
      <c r="A41" s="341" t="str">
        <f>General!I40</f>
        <v>bd</v>
      </c>
      <c r="B41">
        <v>1</v>
      </c>
    </row>
    <row r="42" spans="1:3" x14ac:dyDescent="0.25">
      <c r="A42" s="341" t="str">
        <f>General!I41</f>
        <v>f</v>
      </c>
      <c r="B42">
        <v>1</v>
      </c>
    </row>
    <row r="43" spans="1:3" x14ac:dyDescent="0.25">
      <c r="A43" s="341" t="str">
        <f>General!I42</f>
        <v>h</v>
      </c>
      <c r="B43">
        <v>1</v>
      </c>
    </row>
    <row r="44" spans="1:3" x14ac:dyDescent="0.25">
      <c r="A44" s="341" t="str">
        <f>General!I43</f>
        <v>i</v>
      </c>
      <c r="B44">
        <v>1</v>
      </c>
    </row>
    <row r="45" spans="1:3" x14ac:dyDescent="0.25">
      <c r="A45" s="341" t="str">
        <f>General!I44</f>
        <v>j</v>
      </c>
      <c r="B45">
        <v>1</v>
      </c>
    </row>
    <row r="46" spans="1:3" x14ac:dyDescent="0.25">
      <c r="A46" s="341" t="str">
        <f>General!I45</f>
        <v>jc</v>
      </c>
      <c r="B46">
        <v>1</v>
      </c>
    </row>
    <row r="47" spans="1:3" x14ac:dyDescent="0.25">
      <c r="A47" s="341" t="str">
        <f>General!I46</f>
        <v>k</v>
      </c>
      <c r="B47">
        <v>1</v>
      </c>
    </row>
    <row r="48" spans="1:3" x14ac:dyDescent="0.25">
      <c r="A48" s="341" t="str">
        <f>General!I47</f>
        <v>l</v>
      </c>
      <c r="B48">
        <v>1</v>
      </c>
    </row>
    <row r="49" spans="1:2" x14ac:dyDescent="0.25">
      <c r="A49" s="341" t="str">
        <f>General!I48</f>
        <v>lf</v>
      </c>
      <c r="B49">
        <v>1</v>
      </c>
    </row>
    <row r="50" spans="1:2" x14ac:dyDescent="0.25">
      <c r="A50" s="341" t="str">
        <f>General!I49</f>
        <v>m</v>
      </c>
      <c r="B50">
        <v>1</v>
      </c>
    </row>
    <row r="51" spans="1:2" x14ac:dyDescent="0.25">
      <c r="A51" s="341" t="str">
        <f>General!I50</f>
        <v>ms</v>
      </c>
      <c r="B51">
        <v>1</v>
      </c>
    </row>
    <row r="52" spans="1:2" x14ac:dyDescent="0.25">
      <c r="A52" s="341" t="str">
        <f>General!I51</f>
        <v>o</v>
      </c>
      <c r="B52">
        <v>1</v>
      </c>
    </row>
    <row r="53" spans="1:2" x14ac:dyDescent="0.25">
      <c r="A53" s="341" t="str">
        <f>General!I52</f>
        <v>od</v>
      </c>
      <c r="B53">
        <v>1</v>
      </c>
    </row>
    <row r="54" spans="1:2" x14ac:dyDescent="0.25">
      <c r="A54" s="341" t="str">
        <f>General!I53</f>
        <v>of</v>
      </c>
      <c r="B54">
        <v>1</v>
      </c>
    </row>
    <row r="55" spans="1:2" x14ac:dyDescent="0.25">
      <c r="A55" s="341" t="str">
        <f>General!I54</f>
        <v>r</v>
      </c>
      <c r="B55">
        <v>1</v>
      </c>
    </row>
    <row r="56" spans="1:2" x14ac:dyDescent="0.25">
      <c r="A56" s="341" t="str">
        <f>General!I55</f>
        <v>rd</v>
      </c>
      <c r="B56">
        <v>1</v>
      </c>
    </row>
    <row r="57" spans="1:2" x14ac:dyDescent="0.25">
      <c r="A57" s="341" t="str">
        <f>General!I56</f>
        <v>s</v>
      </c>
      <c r="B57">
        <v>1</v>
      </c>
    </row>
    <row r="58" spans="1:2" x14ac:dyDescent="0.25">
      <c r="A58" s="341" t="str">
        <f>General!I57</f>
        <v>sp</v>
      </c>
      <c r="B58">
        <v>1</v>
      </c>
    </row>
    <row r="59" spans="1:2" x14ac:dyDescent="0.25">
      <c r="A59" s="341" t="str">
        <f>General!I58</f>
        <v>t</v>
      </c>
      <c r="B59">
        <v>1</v>
      </c>
    </row>
    <row r="60" spans="1:2" x14ac:dyDescent="0.25">
      <c r="A60" s="341" t="str">
        <f>General!I59</f>
        <v>tc</v>
      </c>
      <c r="B60">
        <v>1</v>
      </c>
    </row>
    <row r="61" spans="1:2" x14ac:dyDescent="0.25">
      <c r="A61" s="341" t="str">
        <f>General!I60</f>
        <v>u</v>
      </c>
      <c r="B61">
        <v>1</v>
      </c>
    </row>
    <row r="62" spans="1:2" x14ac:dyDescent="0.25">
      <c r="A62" s="341" t="str">
        <f>General!I61</f>
        <v>uc</v>
      </c>
      <c r="B62">
        <v>1</v>
      </c>
    </row>
    <row r="63" spans="1:2" x14ac:dyDescent="0.25">
      <c r="A63" s="341" t="str">
        <f>General!I62</f>
        <v>v</v>
      </c>
      <c r="B63">
        <v>1</v>
      </c>
    </row>
    <row r="64" spans="1:2" x14ac:dyDescent="0.25">
      <c r="A64" s="341" t="str">
        <f>General!I63</f>
        <v>w</v>
      </c>
      <c r="B64">
        <v>1</v>
      </c>
    </row>
    <row r="65" spans="1:3" x14ac:dyDescent="0.25">
      <c r="A65" s="341" t="str">
        <f>General!I64</f>
        <v>wd</v>
      </c>
      <c r="B65">
        <v>1</v>
      </c>
    </row>
    <row r="66" spans="1:3" x14ac:dyDescent="0.25">
      <c r="A66" s="341" t="str">
        <f>General!I65</f>
        <v>x</v>
      </c>
      <c r="B66">
        <v>1</v>
      </c>
    </row>
    <row r="67" spans="1:3" x14ac:dyDescent="0.25">
      <c r="A67" s="341" t="str">
        <f>General!I66</f>
        <v>xc</v>
      </c>
      <c r="B67">
        <v>1</v>
      </c>
    </row>
    <row r="68" spans="1:3" x14ac:dyDescent="0.25">
      <c r="A68" s="341" t="str">
        <f>General!I67</f>
        <v>z</v>
      </c>
      <c r="B68">
        <v>1</v>
      </c>
    </row>
    <row r="69" spans="1:3" x14ac:dyDescent="0.25">
      <c r="A69" s="341" t="str">
        <f>General!I68</f>
        <v>zd</v>
      </c>
      <c r="B69">
        <v>1</v>
      </c>
    </row>
    <row r="71" spans="1:3" x14ac:dyDescent="0.25">
      <c r="A71" s="3" t="s">
        <v>35</v>
      </c>
    </row>
    <row r="72" spans="1:3" x14ac:dyDescent="0.25">
      <c r="A72" t="s">
        <v>2791</v>
      </c>
      <c r="B72" s="436">
        <v>1</v>
      </c>
    </row>
    <row r="73" spans="1:3" ht="7.35" customHeight="1" x14ac:dyDescent="0.25"/>
    <row r="74" spans="1:3" x14ac:dyDescent="0.25">
      <c r="A74" t="s">
        <v>2916</v>
      </c>
      <c r="B74">
        <v>63</v>
      </c>
    </row>
    <row r="75" spans="1:3" ht="7.15" customHeight="1" x14ac:dyDescent="0.25"/>
    <row r="76" spans="1:3" x14ac:dyDescent="0.25">
      <c r="A76" t="s">
        <v>3325</v>
      </c>
      <c r="B76">
        <f>0.3*harvest_maint</f>
        <v>24</v>
      </c>
      <c r="C76" s="1" t="s">
        <v>3326</v>
      </c>
    </row>
    <row r="77" spans="1:3" ht="7.15" customHeight="1" x14ac:dyDescent="0.25"/>
    <row r="78" spans="1:3" x14ac:dyDescent="0.25">
      <c r="A78" t="s">
        <v>2926</v>
      </c>
      <c r="B78"/>
    </row>
    <row r="79" spans="1:3" x14ac:dyDescent="0.25">
      <c r="A79" s="341" t="str">
        <f>General!G37</f>
        <v>b</v>
      </c>
      <c r="B79">
        <v>30</v>
      </c>
      <c r="C79" s="1" t="s">
        <v>2927</v>
      </c>
    </row>
    <row r="80" spans="1:3" x14ac:dyDescent="0.25">
      <c r="A80" s="341" t="str">
        <f>General!G38</f>
        <v>bd</v>
      </c>
      <c r="B80">
        <v>30</v>
      </c>
      <c r="C80" s="1" t="s">
        <v>2927</v>
      </c>
    </row>
    <row r="81" spans="1:3" x14ac:dyDescent="0.25">
      <c r="A81" s="341" t="str">
        <f>General!G39</f>
        <v>f</v>
      </c>
      <c r="B81">
        <v>18</v>
      </c>
      <c r="C81" s="1" t="s">
        <v>2927</v>
      </c>
    </row>
    <row r="82" spans="1:3" x14ac:dyDescent="0.25">
      <c r="A82" s="341" t="str">
        <f>General!G40</f>
        <v>h</v>
      </c>
      <c r="B82">
        <v>30</v>
      </c>
      <c r="C82" s="1" t="s">
        <v>2927</v>
      </c>
    </row>
    <row r="83" spans="1:3" x14ac:dyDescent="0.25">
      <c r="A83" s="341" t="str">
        <f>General!G41</f>
        <v>i</v>
      </c>
      <c r="B83">
        <v>18</v>
      </c>
      <c r="C83" s="1" t="s">
        <v>2927</v>
      </c>
    </row>
    <row r="84" spans="1:3" x14ac:dyDescent="0.25">
      <c r="A84" s="341" t="str">
        <f>General!G42</f>
        <v>k</v>
      </c>
      <c r="B84">
        <v>18</v>
      </c>
      <c r="C84" s="1" t="s">
        <v>2927</v>
      </c>
    </row>
    <row r="85" spans="1:3" x14ac:dyDescent="0.25">
      <c r="A85" s="341" t="str">
        <f>General!G43</f>
        <v>l</v>
      </c>
      <c r="B85">
        <v>18</v>
      </c>
      <c r="C85" s="1" t="s">
        <v>2927</v>
      </c>
    </row>
    <row r="86" spans="1:3" x14ac:dyDescent="0.25">
      <c r="A86" s="341" t="str">
        <f>General!G44</f>
        <v>lf</v>
      </c>
      <c r="B86">
        <v>18</v>
      </c>
      <c r="C86" s="1" t="s">
        <v>2927</v>
      </c>
    </row>
    <row r="87" spans="1:3" x14ac:dyDescent="0.25">
      <c r="A87" s="341" t="str">
        <f>General!G45</f>
        <v>ms</v>
      </c>
      <c r="B87" s="528">
        <f>0.65*B79+0.35*B85</f>
        <v>25.8</v>
      </c>
      <c r="C87" s="1" t="s">
        <v>2927</v>
      </c>
    </row>
    <row r="88" spans="1:3" x14ac:dyDescent="0.25">
      <c r="A88" s="341" t="str">
        <f>General!G46</f>
        <v>o</v>
      </c>
      <c r="B88">
        <v>30</v>
      </c>
      <c r="C88" s="1" t="s">
        <v>2927</v>
      </c>
    </row>
    <row r="89" spans="1:3" x14ac:dyDescent="0.25">
      <c r="A89" s="341" t="str">
        <f>General!G47</f>
        <v>od</v>
      </c>
      <c r="B89">
        <v>30</v>
      </c>
      <c r="C89" s="1" t="s">
        <v>2927</v>
      </c>
    </row>
    <row r="90" spans="1:3" x14ac:dyDescent="0.25">
      <c r="A90" s="341" t="str">
        <f>General!G48</f>
        <v>of</v>
      </c>
      <c r="B90">
        <v>30</v>
      </c>
      <c r="C90" s="1" t="s">
        <v>2927</v>
      </c>
    </row>
    <row r="91" spans="1:3" x14ac:dyDescent="0.25">
      <c r="A91" s="341" t="str">
        <f>General!G49</f>
        <v>r</v>
      </c>
      <c r="B91">
        <v>12</v>
      </c>
      <c r="C91" s="1" t="s">
        <v>2927</v>
      </c>
    </row>
    <row r="92" spans="1:3" x14ac:dyDescent="0.25">
      <c r="A92" s="341" t="str">
        <f>General!G50</f>
        <v>rd</v>
      </c>
      <c r="B92">
        <v>12</v>
      </c>
      <c r="C92" s="1" t="s">
        <v>2927</v>
      </c>
    </row>
    <row r="93" spans="1:3" x14ac:dyDescent="0.25">
      <c r="A93" s="341" t="str">
        <f>General!G51</f>
        <v>v</v>
      </c>
      <c r="B93">
        <v>18</v>
      </c>
      <c r="C93" s="1" t="s">
        <v>2927</v>
      </c>
    </row>
    <row r="94" spans="1:3" x14ac:dyDescent="0.25">
      <c r="A94" s="341" t="str">
        <f>General!G52</f>
        <v>w</v>
      </c>
      <c r="B94">
        <v>30</v>
      </c>
      <c r="C94" s="1" t="s">
        <v>2927</v>
      </c>
    </row>
    <row r="95" spans="1:3" x14ac:dyDescent="0.25">
      <c r="A95" s="341" t="str">
        <f>General!G53</f>
        <v>wd</v>
      </c>
      <c r="B95">
        <v>30</v>
      </c>
      <c r="C95" s="1" t="s">
        <v>2927</v>
      </c>
    </row>
    <row r="96" spans="1:3" x14ac:dyDescent="0.25">
      <c r="A96" s="341" t="str">
        <f>General!G54</f>
        <v>z</v>
      </c>
      <c r="B96">
        <v>12</v>
      </c>
      <c r="C96" s="1" t="s">
        <v>2927</v>
      </c>
    </row>
    <row r="97" spans="1:3" x14ac:dyDescent="0.25">
      <c r="A97" s="341" t="str">
        <f>General!G55</f>
        <v>zd</v>
      </c>
      <c r="B97">
        <v>12</v>
      </c>
      <c r="C97" s="1" t="s">
        <v>2927</v>
      </c>
    </row>
    <row r="99" spans="1:3" x14ac:dyDescent="0.25">
      <c r="A99" t="s">
        <v>37</v>
      </c>
      <c r="B99">
        <v>80</v>
      </c>
      <c r="C99" s="1" t="s">
        <v>2915</v>
      </c>
    </row>
    <row r="101" spans="1:3" x14ac:dyDescent="0.25">
      <c r="A101" t="s">
        <v>37</v>
      </c>
      <c r="B101" t="s">
        <v>3323</v>
      </c>
    </row>
    <row r="102" spans="1:3" x14ac:dyDescent="0.25">
      <c r="A102" s="341" t="str">
        <f>General!G37</f>
        <v>b</v>
      </c>
      <c r="B102" s="326">
        <v>1</v>
      </c>
    </row>
    <row r="103" spans="1:3" x14ac:dyDescent="0.25">
      <c r="A103" s="341" t="str">
        <f>General!G38</f>
        <v>bd</v>
      </c>
      <c r="B103" s="326">
        <v>1</v>
      </c>
    </row>
    <row r="104" spans="1:3" x14ac:dyDescent="0.25">
      <c r="A104" s="341" t="str">
        <f>General!G39</f>
        <v>f</v>
      </c>
      <c r="B104" s="326">
        <f>38/33</f>
        <v>1.1515151515151516</v>
      </c>
    </row>
    <row r="105" spans="1:3" x14ac:dyDescent="0.25">
      <c r="A105" s="341" t="str">
        <f>General!G40</f>
        <v>h</v>
      </c>
      <c r="B105" s="326">
        <v>1</v>
      </c>
    </row>
    <row r="106" spans="1:3" x14ac:dyDescent="0.25">
      <c r="A106" s="341" t="str">
        <f>General!G41</f>
        <v>i</v>
      </c>
      <c r="B106" s="326">
        <f t="shared" ref="B106:B107" si="0">38/33</f>
        <v>1.1515151515151516</v>
      </c>
    </row>
    <row r="107" spans="1:3" x14ac:dyDescent="0.25">
      <c r="A107" s="341" t="str">
        <f>General!G42</f>
        <v>k</v>
      </c>
      <c r="B107" s="326">
        <f t="shared" si="0"/>
        <v>1.1515151515151516</v>
      </c>
    </row>
    <row r="108" spans="1:3" x14ac:dyDescent="0.25">
      <c r="A108" s="341" t="str">
        <f>General!G43</f>
        <v>l</v>
      </c>
      <c r="B108" s="326">
        <v>1</v>
      </c>
    </row>
    <row r="109" spans="1:3" x14ac:dyDescent="0.25">
      <c r="A109" s="341" t="str">
        <f>General!G44</f>
        <v>lf</v>
      </c>
      <c r="B109" s="326">
        <v>1</v>
      </c>
    </row>
    <row r="110" spans="1:3" x14ac:dyDescent="0.25">
      <c r="A110" s="341" t="str">
        <f>General!G45</f>
        <v>ms</v>
      </c>
      <c r="B110" s="618">
        <f>0.65*B102+0.35*B108</f>
        <v>1</v>
      </c>
    </row>
    <row r="111" spans="1:3" x14ac:dyDescent="0.25">
      <c r="A111" s="341" t="str">
        <f>General!G46</f>
        <v>o</v>
      </c>
      <c r="B111" s="326">
        <v>1</v>
      </c>
    </row>
    <row r="112" spans="1:3" x14ac:dyDescent="0.25">
      <c r="A112" s="341" t="str">
        <f>General!G47</f>
        <v>od</v>
      </c>
      <c r="B112" s="326">
        <v>1</v>
      </c>
    </row>
    <row r="113" spans="1:3" x14ac:dyDescent="0.25">
      <c r="A113" s="341" t="str">
        <f>General!G48</f>
        <v>of</v>
      </c>
      <c r="B113" s="326">
        <v>1</v>
      </c>
    </row>
    <row r="114" spans="1:3" x14ac:dyDescent="0.25">
      <c r="A114" s="341" t="str">
        <f>General!G49</f>
        <v>r</v>
      </c>
      <c r="B114" s="326">
        <f t="shared" ref="B114:B116" si="1">38/33</f>
        <v>1.1515151515151516</v>
      </c>
    </row>
    <row r="115" spans="1:3" x14ac:dyDescent="0.25">
      <c r="A115" s="341" t="str">
        <f>General!G50</f>
        <v>rd</v>
      </c>
      <c r="B115" s="326">
        <f t="shared" si="1"/>
        <v>1.1515151515151516</v>
      </c>
    </row>
    <row r="116" spans="1:3" x14ac:dyDescent="0.25">
      <c r="A116" s="341" t="str">
        <f>General!G51</f>
        <v>v</v>
      </c>
      <c r="B116" s="326">
        <f t="shared" si="1"/>
        <v>1.1515151515151516</v>
      </c>
    </row>
    <row r="117" spans="1:3" x14ac:dyDescent="0.25">
      <c r="A117" s="341" t="str">
        <f>General!G52</f>
        <v>w</v>
      </c>
      <c r="B117" s="326">
        <v>1</v>
      </c>
    </row>
    <row r="118" spans="1:3" x14ac:dyDescent="0.25">
      <c r="A118" s="341" t="str">
        <f>General!G53</f>
        <v>wd</v>
      </c>
      <c r="B118" s="326">
        <v>1</v>
      </c>
    </row>
    <row r="119" spans="1:3" x14ac:dyDescent="0.25">
      <c r="A119" s="341" t="str">
        <f>General!G54</f>
        <v>z</v>
      </c>
      <c r="B119" s="326">
        <f t="shared" ref="B119:B120" si="2">38/33</f>
        <v>1.1515151515151516</v>
      </c>
    </row>
    <row r="120" spans="1:3" x14ac:dyDescent="0.25">
      <c r="A120" s="341" t="str">
        <f>General!G55</f>
        <v>zd</v>
      </c>
      <c r="B120" s="326">
        <f t="shared" si="2"/>
        <v>1.1515151515151516</v>
      </c>
    </row>
    <row r="122" spans="1:3" x14ac:dyDescent="0.25">
      <c r="A122" s="3" t="s">
        <v>38</v>
      </c>
    </row>
    <row r="123" spans="1:3" x14ac:dyDescent="0.25">
      <c r="A123" t="s">
        <v>2932</v>
      </c>
      <c r="B123">
        <v>50</v>
      </c>
      <c r="C123" s="1" t="s">
        <v>2934</v>
      </c>
    </row>
    <row r="124" spans="1:3" ht="4.1500000000000004" customHeight="1" x14ac:dyDescent="0.25"/>
    <row r="125" spans="1:3" x14ac:dyDescent="0.25">
      <c r="A125" t="s">
        <v>39</v>
      </c>
      <c r="B125">
        <v>40</v>
      </c>
      <c r="C125" s="1" t="s">
        <v>2933</v>
      </c>
    </row>
    <row r="126" spans="1:3" ht="3" customHeight="1" x14ac:dyDescent="0.25"/>
    <row r="127" spans="1:3" x14ac:dyDescent="0.25">
      <c r="A127" t="s">
        <v>40</v>
      </c>
      <c r="B127">
        <v>50</v>
      </c>
      <c r="C127" s="1" t="s">
        <v>3324</v>
      </c>
    </row>
    <row r="129" spans="1:3" x14ac:dyDescent="0.25">
      <c r="A129" s="3" t="s">
        <v>41</v>
      </c>
    </row>
    <row r="130" spans="1:3" x14ac:dyDescent="0.25">
      <c r="A130" t="s">
        <v>42</v>
      </c>
      <c r="B130">
        <v>20</v>
      </c>
      <c r="C130" s="1" t="s">
        <v>116</v>
      </c>
    </row>
    <row r="132" spans="1:3" x14ac:dyDescent="0.25">
      <c r="B132" t="s">
        <v>43</v>
      </c>
      <c r="C132"/>
    </row>
    <row r="133" spans="1:3" x14ac:dyDescent="0.25">
      <c r="A133" s="431" t="s">
        <v>45</v>
      </c>
      <c r="B133" t="str">
        <f>General!K37</f>
        <v>lime</v>
      </c>
      <c r="C133">
        <v>15</v>
      </c>
    </row>
    <row r="134" spans="1:3" x14ac:dyDescent="0.25">
      <c r="A134" s="431" t="s">
        <v>44</v>
      </c>
      <c r="B134" t="str">
        <f>General!K38</f>
        <v>early</v>
      </c>
      <c r="C134">
        <v>25</v>
      </c>
    </row>
    <row r="135" spans="1:3" x14ac:dyDescent="0.25">
      <c r="A135" s="431" t="s">
        <v>69</v>
      </c>
      <c r="B135" t="str">
        <f>General!K39</f>
        <v>at_seeding</v>
      </c>
      <c r="C135"/>
    </row>
    <row r="136" spans="1:3" x14ac:dyDescent="0.25">
      <c r="A136" s="431" t="s">
        <v>2935</v>
      </c>
      <c r="B136" t="str">
        <f>General!K40</f>
        <v>mid</v>
      </c>
      <c r="C136">
        <v>25</v>
      </c>
    </row>
    <row r="137" spans="1:3" x14ac:dyDescent="0.25">
      <c r="A137" s="431" t="s">
        <v>2569</v>
      </c>
      <c r="B137" t="str">
        <f>General!K41</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General!G37</f>
        <v>b</v>
      </c>
      <c r="B156" s="6">
        <v>1</v>
      </c>
      <c r="C156" s="6">
        <v>1</v>
      </c>
    </row>
    <row r="157" spans="1:3" x14ac:dyDescent="0.25">
      <c r="A157" s="342" t="str">
        <f>General!G38</f>
        <v>bd</v>
      </c>
      <c r="B157" s="6">
        <v>1</v>
      </c>
      <c r="C157" s="6">
        <v>1</v>
      </c>
    </row>
    <row r="158" spans="1:3" x14ac:dyDescent="0.25">
      <c r="A158" s="342" t="str">
        <f>General!G39</f>
        <v>f</v>
      </c>
      <c r="B158" s="6">
        <v>1</v>
      </c>
      <c r="C158" s="6">
        <v>1</v>
      </c>
    </row>
    <row r="159" spans="1:3" x14ac:dyDescent="0.25">
      <c r="A159" s="342" t="str">
        <f>General!G40</f>
        <v>h</v>
      </c>
      <c r="B159" s="6">
        <v>1</v>
      </c>
      <c r="C159" s="6">
        <v>3</v>
      </c>
    </row>
    <row r="160" spans="1:3" x14ac:dyDescent="0.25">
      <c r="A160" s="342" t="str">
        <f>General!G41</f>
        <v>i</v>
      </c>
      <c r="B160" s="6">
        <v>1</v>
      </c>
      <c r="C160" s="6">
        <v>1</v>
      </c>
    </row>
    <row r="161" spans="1:3" x14ac:dyDescent="0.25">
      <c r="A161" s="342" t="str">
        <f>General!G42</f>
        <v>k</v>
      </c>
      <c r="B161" s="6">
        <v>1</v>
      </c>
      <c r="C161" s="6">
        <v>1</v>
      </c>
    </row>
    <row r="162" spans="1:3" x14ac:dyDescent="0.25">
      <c r="A162" s="342" t="str">
        <f>General!G43</f>
        <v>l</v>
      </c>
      <c r="B162" s="6">
        <v>1</v>
      </c>
      <c r="C162" s="6">
        <v>1</v>
      </c>
    </row>
    <row r="163" spans="1:3" x14ac:dyDescent="0.25">
      <c r="A163" s="342" t="str">
        <f>General!G44</f>
        <v>lf</v>
      </c>
      <c r="B163" s="6">
        <v>1</v>
      </c>
      <c r="C163" s="6">
        <v>1</v>
      </c>
    </row>
    <row r="164" spans="1:3" x14ac:dyDescent="0.25">
      <c r="A164" s="342" t="str">
        <f>General!G45</f>
        <v>ms</v>
      </c>
      <c r="B164" s="6">
        <v>1</v>
      </c>
      <c r="C164" s="6">
        <v>1</v>
      </c>
    </row>
    <row r="165" spans="1:3" x14ac:dyDescent="0.25">
      <c r="A165" s="342" t="str">
        <f>General!G46</f>
        <v>o</v>
      </c>
      <c r="B165" s="6">
        <v>1</v>
      </c>
      <c r="C165" s="6">
        <v>1</v>
      </c>
    </row>
    <row r="166" spans="1:3" x14ac:dyDescent="0.25">
      <c r="A166" s="342" t="str">
        <f>General!G47</f>
        <v>od</v>
      </c>
      <c r="B166" s="6">
        <v>1</v>
      </c>
      <c r="C166" s="6">
        <v>1</v>
      </c>
    </row>
    <row r="167" spans="1:3" x14ac:dyDescent="0.25">
      <c r="A167" s="342" t="str">
        <f>General!G48</f>
        <v>of</v>
      </c>
      <c r="B167" s="6">
        <v>1</v>
      </c>
      <c r="C167" s="6">
        <v>1</v>
      </c>
    </row>
    <row r="168" spans="1:3" x14ac:dyDescent="0.25">
      <c r="A168" s="342" t="str">
        <f>General!G49</f>
        <v>r</v>
      </c>
      <c r="B168" s="6">
        <v>1</v>
      </c>
      <c r="C168" s="6">
        <v>1</v>
      </c>
    </row>
    <row r="169" spans="1:3" x14ac:dyDescent="0.25">
      <c r="A169" s="342" t="str">
        <f>General!G50</f>
        <v>rd</v>
      </c>
      <c r="B169" s="6">
        <v>1</v>
      </c>
      <c r="C169" s="6">
        <v>1</v>
      </c>
    </row>
    <row r="170" spans="1:3" x14ac:dyDescent="0.25">
      <c r="A170" s="342" t="str">
        <f>General!G51</f>
        <v>v</v>
      </c>
      <c r="B170" s="6">
        <v>1</v>
      </c>
      <c r="C170" s="6">
        <v>1</v>
      </c>
    </row>
    <row r="171" spans="1:3" x14ac:dyDescent="0.25">
      <c r="A171" s="342" t="str">
        <f>General!G52</f>
        <v>w</v>
      </c>
      <c r="B171" s="6">
        <v>1</v>
      </c>
      <c r="C171" s="6">
        <v>1</v>
      </c>
    </row>
    <row r="172" spans="1:3" x14ac:dyDescent="0.25">
      <c r="A172" s="342" t="str">
        <f>General!G53</f>
        <v>wd</v>
      </c>
      <c r="B172" s="6">
        <v>1</v>
      </c>
      <c r="C172" s="6">
        <v>1</v>
      </c>
    </row>
    <row r="173" spans="1:3" x14ac:dyDescent="0.25">
      <c r="A173" s="342" t="str">
        <f>General!G54</f>
        <v>z</v>
      </c>
      <c r="B173" s="6">
        <v>1</v>
      </c>
      <c r="C173" s="6">
        <v>1</v>
      </c>
    </row>
    <row r="174" spans="1:3" x14ac:dyDescent="0.25">
      <c r="A174" s="342" t="str">
        <f>General!G55</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519</vt:i4>
      </vt:variant>
    </vt:vector>
  </HeadingPairs>
  <TitlesOfParts>
    <vt:vector size="533"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General!i_crra_initial_wealth</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Emissions!i_ef_ch4_burning</vt:lpstr>
      <vt:lpstr>Emissions!i_ef_diesel_ch4</vt:lpstr>
      <vt:lpstr>Emissions!i_ef_diesel_co2</vt:lpstr>
      <vt:lpstr>Emissions!i_ef_diesel_n2o</vt:lpstr>
      <vt:lpstr>Emissions!i_ef_dolomite</vt:lpstr>
      <vt:lpstr>Emissions!i_ef_fert</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General!i_inc_risk</vt:lpstr>
      <vt:lpstr>i_infrastructure_asset_h1</vt:lpstr>
      <vt:lpstr>i_infrastructure_costfixed_h1</vt:lpstr>
      <vt:lpstr>i_infrastructure_costvariable_h1</vt:lpstr>
      <vt:lpstr>i_infrastructure_labourfixed_h1</vt:lpstr>
      <vt:lpstr>i_infrastructure_labourvariable_h1</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2025-07-05T09:39:27Z</dcterms:modified>
</cp:coreProperties>
</file>