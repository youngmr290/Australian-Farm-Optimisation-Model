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8FCEE99F-FDC5-45E7-8C38-4F662F83C01C}" xr6:coauthVersionLast="47" xr6:coauthVersionMax="47" xr10:uidLastSave="{00000000-0000-0000-0000-000000000000}"/>
  <bookViews>
    <workbookView xWindow="29580" yWindow="0" windowWidth="28110" windowHeight="162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22" i="24" l="1"/>
  <c r="X922" i="24" s="1"/>
  <c r="U921" i="24"/>
  <c r="W921" i="24" s="1"/>
  <c r="W922" i="24" l="1"/>
  <c r="V922" i="24"/>
  <c r="V921" i="24"/>
  <c r="X921" i="24"/>
  <c r="AM233" i="22" l="1"/>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Y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Y364" i="24"/>
  <c r="Z364" i="24"/>
  <c r="AA364" i="24"/>
  <c r="AB364" i="24"/>
  <c r="AC364" i="24"/>
  <c r="AD364" i="24"/>
  <c r="C365" i="24"/>
  <c r="U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W365" i="24" l="1"/>
  <c r="V365" i="24"/>
  <c r="X365" i="24"/>
  <c r="AA1676" i="24"/>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<sst xmlns="http://schemas.openxmlformats.org/spreadsheetml/2006/main" count="6654" uniqueCount="3820">
  <si>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</si>
  <si>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</si>
  <si>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</si>
  <si>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</si>
  <si>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</si>
  <si>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</si>
  <si>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</si>
  <si>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</si>
  <si>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</si>
  <si>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</si>
  <si>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</si>
  <si>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</si>
  <si>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</si>
  <si>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</si>
  <si>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</si>
  <si>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</si>
  <si>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</si>
  <si>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</si>
  <si>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</si>
  <si>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</si>
  <si>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</si>
  <si>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</si>
  <si>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</si>
  <si>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</si>
  <si>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</si>
  <si>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</si>
  <si>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</si>
  <si>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</si>
  <si>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</si>
  <si>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</si>
  <si>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</si>
  <si>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</si>
  <si>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</si>
  <si>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</si>
  <si>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</si>
  <si>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</si>
  <si>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</si>
  <si>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</si>
  <si>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</si>
  <si>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</si>
  <si>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</si>
  <si>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</si>
  <si>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</si>
  <si>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</si>
  <si>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</si>
  <si>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</si>
  <si>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</si>
  <si>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</si>
  <si>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</si>
  <si>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</si>
  <si>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</si>
  <si>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</si>
  <si>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</si>
  <si>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</si>
  <si>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</si>
  <si>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</si>
  <si>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</si>
  <si>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</si>
  <si>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</si>
  <si>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</si>
  <si>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</si>
  <si>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</si>
  <si>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</si>
  <si>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</si>
  <si>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</si>
  <si>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</si>
  <si>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</si>
  <si>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</si>
  <si>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</si>
  <si>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</si>
  <si>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</si>
  <si>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</si>
  <si>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</si>
  <si>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</si>
  <si>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</si>
  <si>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</si>
  <si>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</si>
  <si>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</si>
  <si>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</si>
  <si>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</si>
  <si>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</si>
  <si>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</si>
  <si>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</si>
  <si>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</si>
  <si>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</si>
  <si>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</si>
  <si>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</si>
  <si>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</si>
  <si>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</si>
  <si>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</si>
  <si>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</si>
  <si>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</si>
  <si>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</si>
  <si>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</si>
  <si>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</si>
  <si>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</si>
  <si>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</si>
  <si>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</si>
  <si>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</si>
  <si>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</si>
  <si>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</si>
  <si>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</si>
  <si>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</si>
  <si>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</si>
  <si>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</si>
  <si>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</si>
  <si>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</si>
  <si>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</si>
  <si>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</si>
  <si>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</si>
  <si>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</si>
  <si>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</si>
  <si>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</si>
  <si>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</si>
  <si>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</si>
  <si>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</si>
  <si>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</si>
  <si>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</si>
  <si>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</si>
  <si>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</si>
  <si>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</si>
  <si>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</si>
  <si>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</si>
  <si>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</si>
  <si>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</si>
  <si>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</si>
  <si>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</si>
  <si>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</si>
  <si>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</si>
  <si>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</si>
  <si>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</si>
  <si>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</si>
  <si>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</si>
  <si>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</si>
  <si>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</si>
  <si>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</si>
  <si>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</si>
  <si>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</si>
  <si>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</si>
  <si>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</si>
  <si>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</si>
  <si>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</si>
  <si>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</si>
  <si>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</si>
  <si>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</si>
  <si>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</si>
  <si>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</si>
  <si>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</si>
  <si>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</si>
  <si>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</si>
  <si>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</si>
  <si>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</si>
  <si>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</si>
  <si>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</si>
  <si>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</si>
  <si>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</si>
  <si>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</si>
  <si>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</si>
  <si>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</si>
  <si>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</si>
  <si>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</si>
  <si>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</si>
  <si>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</si>
  <si>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</si>
  <si>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</si>
  <si>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</si>
  <si>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</si>
  <si>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</si>
  <si>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</si>
  <si>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</si>
  <si>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</si>
  <si>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</si>
  <si>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</si>
  <si>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</si>
  <si>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</si>
  <si>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</si>
  <si>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</si>
  <si>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</si>
  <si>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</si>
  <si>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</si>
  <si>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</si>
  <si>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</si>
  <si>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</si>
  <si>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</si>
  <si>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</si>
  <si>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</si>
  <si>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</si>
  <si>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</si>
  <si>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</si>
  <si>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</si>
  <si>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</si>
  <si>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</si>
  <si>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</si>
  <si>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</si>
  <si>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</si>
  <si>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</si>
  <si>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</si>
  <si>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</si>
  <si>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</si>
  <si>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</si>
  <si>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</si>
  <si>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</si>
  <si>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</si>
  <si>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</si>
  <si>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</si>
  <si>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</si>
  <si>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</si>
  <si>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</si>
  <si>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</si>
  <si>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</si>
  <si>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</si>
  <si>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</si>
  <si>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</si>
  <si>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</si>
  <si>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</si>
  <si>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</si>
  <si>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</si>
  <si>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</si>
  <si>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</si>
  <si>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</si>
  <si>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</si>
  <si>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</si>
  <si>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</si>
  <si>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</si>
  <si>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</si>
  <si>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</si>
  <si>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</si>
  <si>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</si>
  <si>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</si>
  <si>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</si>
  <si>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</si>
  <si>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</si>
  <si>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</si>
  <si>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</si>
  <si>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</si>
  <si>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</si>
  <si>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</si>
  <si>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</si>
  <si>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</si>
  <si>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</si>
  <si>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</si>
  <si>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</si>
  <si>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</si>
  <si>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</si>
  <si>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</si>
  <si>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</si>
  <si>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</si>
  <si>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</si>
  <si>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</si>
  <si>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</si>
  <si>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</si>
  <si>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</si>
  <si>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</si>
  <si>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</si>
  <si>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</si>
  <si>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</si>
  <si>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</si>
  <si>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</si>
  <si>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</si>
  <si>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</si>
  <si>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</si>
  <si>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</si>
  <si>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</si>
  <si>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</si>
  <si>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</si>
  <si>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</si>
  <si>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</si>
  <si>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</si>
  <si>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</si>
  <si>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</si>
  <si>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</si>
  <si>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</si>
  <si>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</si>
  <si>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</si>
  <si>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</si>
  <si>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</si>
  <si>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</si>
  <si>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</si>
  <si>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</si>
  <si>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</si>
  <si>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</si>
  <si>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</si>
  <si>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</si>
  <si>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</si>
  <si>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</si>
  <si>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</si>
  <si>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</si>
  <si>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</si>
  <si>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</si>
  <si>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</si>
  <si>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</si>
  <si>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</si>
  <si>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</si>
  <si>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</si>
  <si>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</si>
  <si>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</si>
  <si>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</si>
  <si>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</si>
  <si>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</si>
  <si>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</si>
  <si>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</si>
  <si>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</si>
  <si>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</si>
  <si>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</si>
  <si>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</si>
  <si>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</si>
  <si>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</si>
  <si>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</si>
  <si>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</si>
  <si>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</si>
  <si>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</si>
  <si>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</si>
  <si>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</si>
  <si>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</si>
  <si>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</si>
  <si>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</si>
  <si>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</si>
  <si>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</si>
  <si>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</si>
  <si>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</si>
  <si>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</si>
  <si>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</si>
  <si>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</si>
  <si>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</si>
  <si>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</si>
  <si>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</si>
  <si>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</si>
  <si>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</si>
  <si>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</si>
  <si>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</si>
  <si>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</si>
  <si>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</si>
  <si>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</si>
  <si>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</si>
  <si>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</si>
  <si>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</si>
  <si>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</si>
  <si>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</si>
  <si>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</si>
  <si>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</si>
  <si>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</si>
  <si>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</si>
  <si>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</si>
  <si>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</si>
  <si>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</si>
  <si>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</si>
  <si>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</si>
  <si>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</si>
  <si>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</si>
  <si>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</si>
  <si>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</si>
  <si>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</si>
  <si>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</si>
  <si>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</si>
  <si>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</si>
  <si>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</si>
  <si>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</si>
  <si>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</si>
  <si>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</si>
  <si>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</si>
  <si>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</si>
  <si>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</si>
  <si>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</si>
  <si>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</si>
  <si>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</si>
  <si>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</si>
  <si>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</si>
  <si>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</si>
  <si>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</si>
  <si>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</si>
  <si>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</si>
  <si>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</si>
  <si>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</si>
  <si>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</si>
  <si>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</si>
  <si>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</si>
  <si>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</si>
  <si>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</si>
  <si>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</si>
  <si>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</si>
  <si>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</si>
  <si>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</si>
  <si>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</si>
  <si>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</si>
  <si>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</si>
  <si>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</si>
  <si>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</si>
  <si>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</si>
  <si>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</si>
  <si>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</si>
  <si>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</si>
  <si>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</si>
  <si>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</si>
  <si>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</si>
  <si>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</si>
  <si>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</si>
  <si>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</si>
  <si>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</si>
  <si>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</si>
  <si>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</si>
  <si>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</si>
  <si>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</si>
  <si>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</si>
  <si>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</si>
  <si>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</si>
  <si>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</si>
  <si>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</si>
  <si>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</si>
  <si>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</si>
  <si>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</si>
  <si>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</si>
  <si>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</si>
  <si>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</si>
  <si>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</si>
  <si>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</si>
  <si>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</si>
  <si>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</si>
  <si>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</si>
  <si>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</si>
  <si>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</si>
  <si>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</si>
  <si>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</si>
  <si>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</si>
  <si>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</si>
  <si>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</si>
  <si>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</si>
  <si>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</si>
  <si>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</si>
  <si>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</si>
  <si>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</si>
  <si>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</si>
  <si>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</si>
  <si>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</si>
  <si>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</si>
  <si>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</si>
  <si>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</si>
  <si>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</si>
  <si>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</si>
  <si>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</si>
  <si>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</si>
  <si>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</si>
  <si>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</si>
  <si>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</si>
  <si>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</si>
  <si>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</si>
  <si>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</si>
  <si>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</si>
  <si>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</si>
  <si>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</si>
  <si>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</si>
  <si>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</si>
  <si>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</si>
  <si>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</si>
  <si>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</si>
  <si>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</si>
  <si>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</si>
  <si>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</si>
  <si>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</si>
  <si>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</si>
  <si>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</si>
  <si>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</si>
  <si>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</si>
  <si>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</si>
  <si>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</si>
  <si>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</si>
  <si>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</si>
  <si>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</si>
  <si>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</si>
  <si>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</si>
  <si>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</si>
  <si>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</si>
  <si>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</si>
  <si>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</si>
  <si>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</si>
  <si>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</si>
  <si>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</si>
  <si>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</si>
  <si>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</si>
  <si>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</si>
  <si>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</si>
  <si>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</si>
  <si>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</si>
  <si>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</si>
  <si>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</si>
  <si>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</si>
  <si>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</si>
  <si>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</si>
  <si>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</si>
  <si>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</si>
  <si>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</si>
  <si>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</si>
  <si>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</si>
  <si>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</si>
  <si>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</si>
  <si>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</si>
  <si>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</si>
  <si>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</si>
  <si>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</si>
  <si>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</si>
  <si>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</si>
  <si>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</si>
  <si>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</si>
  <si>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</si>
  <si>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</si>
  <si>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</si>
  <si>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</si>
  <si>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</si>
  <si>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</si>
  <si>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</si>
  <si>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</si>
  <si>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</si>
  <si>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</si>
  <si>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</si>
  <si>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</si>
  <si>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</si>
  <si>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</si>
  <si>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</si>
  <si>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</si>
  <si>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</si>
  <si>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</si>
  <si>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</si>
  <si>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</si>
  <si>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</si>
  <si>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</si>
  <si>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</si>
  <si>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</si>
  <si>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</si>
  <si>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</si>
  <si>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</si>
  <si>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</si>
  <si>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</si>
  <si>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</si>
  <si>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</si>
  <si>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</si>
  <si>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</si>
  <si>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</si>
  <si>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</si>
  <si>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</si>
  <si>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</si>
  <si>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</si>
  <si>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</si>
  <si>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</si>
  <si>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</si>
  <si>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</si>
  <si>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</si>
  <si>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</si>
  <si>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</si>
  <si>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</si>
  <si>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</si>
  <si>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</si>
  <si>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</si>
  <si>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</si>
  <si>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</si>
  <si>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</si>
  <si>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</si>
  <si>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</si>
  <si>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</si>
  <si>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</si>
  <si>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</si>
  <si>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</si>
  <si>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</si>
  <si>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</si>
  <si>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</si>
  <si>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</si>
  <si>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</si>
  <si>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</si>
  <si>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</si>
  <si>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</si>
  <si>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</si>
  <si>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</si>
  <si>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</si>
  <si>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</si>
  <si>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</si>
  <si>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</si>
  <si>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</si>
  <si>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</si>
  <si>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</si>
  <si>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</si>
  <si>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</si>
  <si>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</si>
  <si>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</si>
  <si>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</si>
  <si>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</si>
  <si>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</si>
  <si>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</si>
  <si>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</si>
  <si>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</si>
  <si>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</si>
  <si>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</si>
  <si>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</si>
  <si>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</si>
  <si>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</si>
  <si>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</si>
  <si>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</si>
  <si>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</si>
  <si>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</si>
  <si>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</si>
  <si>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</si>
  <si>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</si>
  <si>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</si>
  <si>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</si>
  <si>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</si>
  <si>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</si>
  <si>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</si>
  <si>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</si>
  <si>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</si>
  <si>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</si>
  <si>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</si>
  <si>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</si>
  <si>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</si>
  <si>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</si>
  <si>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</si>
  <si>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</si>
  <si>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</si>
  <si>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</si>
  <si>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</si>
  <si>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</si>
  <si>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</si>
  <si>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</si>
  <si>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</si>
  <si>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</si>
  <si>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</si>
  <si>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</si>
  <si>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</si>
  <si>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</si>
  <si>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</si>
  <si>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</si>
  <si>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</si>
  <si>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</si>
  <si>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</si>
  <si>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</si>
  <si>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</si>
  <si>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</si>
  <si>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</si>
  <si>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</si>
  <si>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</si>
  <si>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</si>
  <si>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</si>
  <si>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</si>
  <si>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</si>
  <si>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</si>
  <si>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</si>
  <si>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</si>
  <si>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</si>
  <si>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</si>
  <si>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</si>
  <si>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</si>
  <si>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</si>
  <si>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</si>
  <si>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</si>
  <si>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</si>
  <si>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</si>
  <si>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</si>
  <si>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</si>
  <si>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</si>
  <si>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</si>
  <si>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</si>
  <si>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</si>
  <si>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</si>
  <si>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</si>
  <si>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</si>
  <si>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</si>
  <si>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</si>
  <si>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</si>
  <si>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</si>
  <si>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</si>
  <si>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</si>
  <si>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</si>
  <si>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</si>
  <si>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</si>
  <si>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</si>
  <si>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</si>
  <si>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</si>
  <si>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</si>
  <si>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</si>
  <si>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</si>
  <si>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</si>
  <si>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</si>
  <si>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</si>
  <si>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</si>
  <si>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</si>
  <si>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</si>
  <si>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</si>
  <si>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</si>
  <si>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</si>
  <si>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</si>
  <si>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</si>
  <si>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</si>
  <si>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</si>
  <si>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</si>
  <si>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</si>
  <si>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</si>
  <si>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</si>
  <si>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</si>
  <si>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</si>
  <si>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</si>
  <si>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</si>
  <si>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</si>
  <si>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</si>
  <si>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</si>
  <si>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</si>
  <si>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</si>
  <si>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</si>
  <si>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</si>
  <si>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</si>
  <si>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</si>
  <si>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</si>
  <si>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</si>
  <si>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</si>
  <si>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</si>
  <si>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</si>
  <si>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</si>
  <si>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</si>
  <si>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</si>
  <si>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</si>
  <si>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</si>
  <si>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</si>
  <si>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</si>
  <si>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</si>
  <si>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</si>
  <si>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</si>
  <si>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</si>
  <si>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</si>
  <si>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</si>
  <si>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</si>
  <si>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</si>
  <si>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</si>
  <si>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</si>
  <si>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</si>
  <si>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</si>
  <si>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</si>
  <si>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</si>
  <si>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</si>
  <si>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</si>
  <si>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</si>
  <si>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</si>
  <si>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</si>
  <si>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</si>
  <si>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</si>
  <si>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</si>
  <si>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</si>
  <si>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</si>
  <si>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</si>
  <si>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</si>
  <si>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</si>
  <si>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</si>
  <si>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</si>
  <si>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</si>
  <si>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</si>
  <si>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</si>
  <si>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</si>
  <si>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</si>
  <si>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</si>
  <si>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</si>
  <si>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</si>
  <si>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</si>
  <si>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</si>
  <si>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</si>
  <si>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</si>
  <si>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</si>
  <si>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</si>
  <si>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</si>
  <si>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</si>
  <si>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</si>
  <si>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</si>
  <si>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</si>
  <si>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</si>
  <si>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</si>
  <si>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</si>
  <si>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</si>
  <si>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</si>
  <si>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</si>
  <si>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</si>
  <si>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</si>
  <si>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</si>
  <si>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</si>
  <si>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</si>
  <si>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</si>
  <si>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</si>
  <si>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</si>
  <si>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</si>
  <si>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</si>
  <si>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</si>
  <si>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</si>
  <si>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</si>
  <si>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</si>
  <si>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</si>
  <si>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</si>
  <si>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</si>
  <si>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</si>
  <si>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</si>
  <si>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</si>
  <si>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</si>
  <si>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</si>
  <si>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</si>
  <si>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</si>
  <si>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</si>
  <si>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</si>
  <si>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</si>
  <si>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</si>
  <si>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</si>
  <si>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</si>
  <si>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</si>
  <si>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</si>
  <si>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</si>
  <si>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</si>
  <si>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</si>
  <si>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</si>
  <si>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</si>
  <si>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</si>
  <si>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</si>
  <si>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</si>
  <si>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</si>
  <si>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</si>
  <si>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</si>
  <si>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</si>
  <si>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</si>
  <si>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</si>
  <si>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</si>
  <si>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</si>
  <si>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</si>
  <si>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</si>
  <si>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</si>
  <si>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</si>
  <si>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</si>
  <si>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</si>
  <si>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</si>
  <si>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</si>
  <si>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</si>
  <si>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</si>
  <si>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</si>
  <si>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</si>
  <si>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</si>
  <si>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</si>
  <si>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</si>
  <si>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</si>
  <si>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</si>
  <si>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</si>
  <si>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</si>
  <si>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</si>
  <si>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</si>
  <si>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</si>
  <si>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</si>
  <si>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</si>
  <si>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</si>
  <si>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</si>
  <si>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</si>
  <si>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</si>
  <si>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</si>
  <si>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</si>
  <si>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</si>
  <si>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</si>
  <si>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</si>
  <si>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</si>
  <si>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</si>
  <si>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</si>
  <si>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</si>
  <si>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</si>
  <si>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</si>
  <si>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</si>
  <si>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</si>
  <si>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</si>
  <si>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</si>
  <si>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</si>
  <si>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</si>
  <si>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</si>
  <si>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</si>
  <si>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</si>
  <si>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</si>
  <si>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</si>
  <si>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</si>
  <si>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</si>
  <si>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</si>
  <si>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</si>
  <si>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</si>
  <si>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</si>
  <si>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</si>
  <si>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</si>
  <si>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</si>
  <si>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</si>
  <si>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</si>
  <si>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</si>
  <si>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</si>
  <si>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</si>
  <si>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</si>
  <si>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</si>
  <si>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</si>
  <si>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</si>
  <si>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</si>
  <si>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</si>
  <si>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</si>
  <si>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</si>
  <si>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</si>
  <si>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</si>
  <si>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</si>
  <si>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</si>
  <si>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</si>
  <si>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</si>
  <si>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</si>
  <si>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</si>
  <si>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</si>
  <si>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</si>
  <si>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</si>
  <si>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</si>
  <si>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</si>
  <si>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</si>
  <si>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</si>
  <si>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</si>
  <si>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</si>
  <si>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</si>
  <si>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</si>
  <si>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</si>
  <si>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</si>
  <si>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</si>
  <si>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</si>
  <si>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</si>
  <si>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</si>
  <si>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</si>
  <si>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</si>
  <si>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</si>
  <si>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</si>
  <si>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</si>
  <si>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</si>
  <si>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</si>
  <si>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</si>
  <si>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</si>
  <si>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</si>
  <si>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</si>
  <si>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</si>
  <si>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</si>
  <si>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</si>
  <si>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</si>
  <si>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</si>
  <si>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</si>
  <si>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</si>
  <si>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</si>
  <si>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</si>
  <si>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</si>
  <si>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</si>
  <si>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</si>
  <si>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</si>
  <si>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</si>
  <si>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</si>
  <si>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</si>
  <si>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</si>
  <si>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</si>
  <si>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</si>
  <si>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</si>
  <si>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</si>
  <si>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</si>
  <si>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</si>
  <si>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</si>
  <si>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</si>
  <si>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</si>
  <si>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</si>
  <si>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</si>
  <si>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</si>
  <si>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</si>
  <si>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</si>
  <si>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</si>
  <si>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</si>
  <si>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</si>
  <si>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</si>
  <si>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</si>
  <si>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</si>
  <si>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</si>
  <si>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</si>
  <si>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</si>
  <si>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</si>
  <si>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</si>
  <si>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</si>
  <si>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</si>
  <si>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</si>
  <si>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</si>
  <si>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</si>
  <si>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</si>
  <si>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</si>
  <si>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</si>
  <si>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</si>
  <si>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</si>
  <si>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</si>
  <si>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</si>
  <si>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</si>
  <si>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</si>
  <si>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</si>
  <si>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</si>
  <si>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</si>
  <si>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</si>
  <si>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</si>
  <si>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</si>
  <si>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</si>
  <si>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</si>
  <si>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</si>
  <si>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</si>
  <si>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</si>
  <si>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</si>
  <si>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</si>
  <si>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</si>
  <si>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</si>
  <si>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</si>
  <si>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</si>
  <si>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</si>
  <si>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</si>
  <si>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</si>
  <si>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</si>
  <si>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</si>
  <si>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</si>
  <si>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</si>
  <si>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</si>
  <si>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</si>
  <si>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</si>
  <si>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</si>
  <si>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</si>
  <si>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</si>
  <si>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</si>
  <si>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</si>
  <si>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</si>
  <si>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</si>
  <si>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</si>
  <si>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</si>
  <si>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</si>
  <si>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</si>
  <si>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</si>
  <si>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</si>
  <si>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</si>
  <si>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</si>
  <si>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</si>
  <si>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</si>
  <si>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</si>
  <si>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</si>
  <si>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</si>
  <si>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</si>
  <si>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</si>
  <si>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</si>
  <si>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</si>
  <si>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</si>
  <si>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</si>
  <si>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</si>
  <si>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</si>
  <si>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</si>
  <si>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</si>
  <si>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</si>
  <si>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</si>
  <si>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</si>
  <si>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</si>
  <si>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</si>
  <si>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</si>
  <si>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</si>
  <si>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</si>
  <si>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</si>
  <si>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</si>
  <si>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</si>
  <si>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</si>
  <si>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</si>
  <si>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</si>
  <si>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</si>
  <si>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</si>
  <si>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</si>
  <si>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</si>
  <si>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</si>
  <si>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</si>
  <si>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</si>
  <si>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</si>
  <si>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</si>
  <si>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</si>
  <si>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</si>
  <si>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</si>
  <si>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</si>
  <si>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</si>
  <si>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</si>
  <si>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</si>
  <si>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</si>
  <si>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</si>
  <si>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</si>
  <si>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</si>
  <si>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</si>
  <si>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</si>
  <si>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</si>
  <si>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</si>
  <si>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</si>
  <si>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</si>
  <si>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</si>
  <si>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</si>
  <si>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</si>
  <si>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</si>
  <si>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</si>
  <si>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</si>
  <si>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</si>
  <si>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</si>
  <si>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</si>
  <si>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</si>
  <si>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</si>
  <si>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</si>
  <si>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</si>
  <si>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</si>
  <si>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</si>
  <si>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</si>
  <si>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</si>
  <si>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</si>
  <si>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</si>
  <si>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</si>
  <si>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</si>
  <si>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</si>
  <si>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</si>
  <si>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</si>
  <si>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</si>
  <si>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</si>
  <si>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</si>
  <si>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</si>
  <si>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</si>
  <si>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</si>
  <si>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</si>
  <si>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</si>
  <si>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</si>
  <si>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</si>
  <si>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</si>
  <si>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</si>
  <si>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</si>
  <si>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</si>
  <si>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</si>
  <si>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</si>
  <si>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</si>
  <si>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</si>
  <si>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</si>
  <si>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</si>
  <si>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</si>
  <si>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</si>
  <si>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</si>
  <si>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</si>
  <si>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</si>
  <si>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</si>
  <si>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</si>
  <si>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</si>
  <si>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</si>
  <si>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</si>
  <si>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</si>
  <si>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</si>
  <si>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</si>
  <si>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</si>
  <si>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</si>
  <si>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</si>
  <si>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</si>
  <si>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</si>
  <si>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</si>
  <si>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</si>
  <si>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</si>
  <si>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</si>
  <si>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</si>
  <si>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</si>
  <si>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</si>
  <si>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</si>
  <si>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</si>
  <si>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</si>
  <si>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</si>
  <si>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</si>
  <si>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</si>
  <si>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</si>
  <si>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</si>
  <si>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</si>
  <si>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</si>
  <si>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</si>
  <si>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</si>
  <si>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</si>
  <si>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</si>
  <si>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</si>
  <si>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</si>
  <si>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</si>
  <si>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</si>
  <si>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</si>
  <si>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</si>
  <si>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</si>
  <si>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</si>
  <si>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</si>
  <si>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</si>
  <si>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</si>
  <si>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</si>
  <si>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</si>
  <si>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</si>
  <si>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</si>
  <si>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</si>
  <si>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</si>
  <si>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</si>
  <si>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</si>
  <si>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</si>
  <si>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</si>
  <si>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</si>
  <si>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</si>
  <si>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</si>
  <si>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</si>
  <si>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</si>
  <si>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</si>
  <si>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</si>
  <si>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</si>
  <si>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</si>
  <si>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</si>
  <si>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</si>
  <si>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</si>
  <si>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</si>
  <si>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</si>
  <si>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</si>
  <si>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</si>
  <si>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</si>
  <si>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</si>
  <si>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</si>
  <si>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</si>
  <si>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</si>
  <si>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</si>
  <si>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</si>
  <si>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</si>
  <si>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</si>
  <si>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</si>
  <si>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</si>
  <si>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</si>
  <si>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</si>
  <si>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</si>
  <si>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</si>
  <si>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</si>
  <si>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</si>
  <si>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</si>
  <si>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</si>
  <si>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</si>
  <si>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</si>
  <si>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</si>
  <si>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</si>
  <si>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</si>
  <si>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</si>
  <si>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</si>
  <si>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</si>
  <si>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</si>
  <si>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</si>
  <si>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</si>
  <si>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</si>
  <si>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</si>
  <si>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</si>
  <si>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</si>
  <si>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</si>
  <si>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</si>
  <si>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</si>
  <si>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</si>
  <si>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</si>
  <si>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</si>
  <si>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</si>
  <si>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</si>
  <si>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</si>
  <si>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</si>
  <si>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</si>
  <si>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</si>
  <si>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</si>
  <si>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</si>
  <si>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</si>
  <si>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</si>
  <si>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</si>
  <si>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</si>
  <si>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</si>
  <si>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</si>
  <si>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</si>
  <si>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</si>
  <si>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</si>
  <si>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</si>
  <si>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</si>
  <si>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</si>
  <si>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</si>
  <si>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</si>
  <si>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</si>
  <si>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</si>
  <si>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</si>
  <si>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</si>
  <si>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</si>
  <si>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</si>
  <si>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</si>
  <si>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</si>
  <si>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</si>
  <si>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</si>
  <si>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</si>
  <si>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</si>
  <si>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</si>
  <si>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</si>
  <si>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</si>
  <si>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</si>
  <si>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</si>
  <si>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</si>
  <si>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</si>
  <si>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</si>
  <si>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</si>
  <si>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</si>
  <si>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</si>
  <si>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</si>
  <si>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</si>
  <si>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</si>
  <si>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</si>
  <si>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</si>
  <si>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</si>
  <si>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</si>
  <si>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</si>
  <si>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</si>
  <si>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</si>
  <si>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</si>
  <si>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</si>
  <si>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</si>
  <si>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</si>
  <si>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</si>
  <si>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</si>
  <si>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</si>
  <si>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</si>
  <si>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</si>
  <si>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</si>
  <si>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</si>
  <si>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</si>
  <si>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</si>
  <si>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</si>
  <si>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</si>
  <si>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</si>
  <si>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</si>
  <si>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</si>
  <si>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</si>
  <si>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</si>
  <si>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</si>
  <si>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</si>
  <si>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</si>
  <si>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</si>
  <si>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</si>
  <si>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</si>
  <si>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</si>
  <si>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</si>
  <si>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</si>
  <si>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</si>
  <si>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</si>
  <si>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</si>
  <si>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</si>
  <si>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</si>
  <si>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</si>
  <si>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</si>
  <si>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</si>
  <si>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</si>
  <si>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</si>
  <si>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</si>
  <si>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</si>
  <si>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</si>
  <si>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</si>
  <si>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</si>
  <si>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</si>
  <si>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</si>
  <si>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</si>
  <si>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</si>
  <si>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</si>
  <si>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</si>
  <si>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</si>
  <si>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</si>
  <si>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</si>
  <si>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</si>
  <si>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</si>
  <si>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</si>
  <si>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</si>
  <si>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</si>
  <si>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</si>
  <si>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</si>
  <si>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</si>
  <si>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</si>
  <si>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</si>
  <si>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</si>
  <si>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</si>
  <si>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</si>
  <si>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</si>
  <si>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</si>
  <si>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</si>
  <si>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</si>
  <si>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</si>
  <si>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</si>
  <si>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</si>
  <si>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</si>
  <si>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</si>
  <si>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</si>
  <si>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</si>
  <si>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</si>
  <si>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</si>
  <si>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</si>
  <si>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</si>
  <si>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</si>
  <si>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</si>
  <si>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</si>
  <si>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</si>
  <si>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</si>
  <si>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</si>
  <si>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</si>
  <si>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</si>
  <si>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</si>
  <si>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</si>
  <si>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</si>
  <si>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</si>
  <si>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</si>
  <si>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</si>
  <si>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</si>
  <si>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</si>
  <si>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</si>
  <si>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</si>
  <si>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</si>
  <si>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</si>
  <si>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</si>
  <si>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</si>
  <si>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</si>
  <si>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</si>
  <si>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</si>
  <si>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</si>
  <si>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</si>
  <si>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</si>
  <si>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</si>
  <si>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</si>
  <si>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</si>
  <si>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</si>
  <si>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</si>
  <si>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</si>
  <si>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</si>
  <si>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</si>
  <si>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</si>
  <si>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</si>
  <si>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</si>
  <si>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</si>
  <si>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</si>
  <si>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</si>
  <si>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</si>
  <si>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</si>
  <si>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</si>
  <si>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</si>
  <si>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</si>
  <si>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</si>
  <si>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</si>
  <si>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</si>
  <si>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</si>
  <si>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</si>
  <si>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</si>
  <si>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</si>
  <si>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</si>
  <si>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</si>
  <si>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</si>
  <si>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</si>
  <si>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</si>
  <si>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</si>
  <si>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</si>
  <si>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</si>
  <si>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</si>
  <si>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</si>
  <si>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</si>
  <si>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</si>
  <si>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</si>
  <si>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</si>
  <si>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</si>
  <si>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</si>
  <si>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</si>
  <si>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</si>
  <si>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</si>
  <si>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</si>
  <si>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</si>
  <si>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</si>
  <si>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</si>
  <si>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</si>
  <si>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</si>
  <si>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</si>
  <si>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</si>
  <si>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</si>
  <si>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</si>
  <si>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</si>
  <si>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</si>
  <si>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</si>
  <si>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</si>
  <si>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</si>
  <si>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</si>
  <si>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</si>
  <si>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</si>
  <si>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</si>
  <si>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</si>
  <si>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</si>
  <si>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</si>
  <si>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</si>
  <si>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</si>
  <si>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</si>
  <si>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</si>
  <si>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</si>
  <si>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</si>
  <si>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</si>
  <si>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</si>
  <si>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</si>
  <si>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</si>
  <si>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</si>
  <si>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</si>
  <si>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</si>
  <si>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</si>
  <si>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</si>
  <si>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</si>
  <si>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</si>
  <si>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</si>
  <si>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</si>
  <si>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</si>
  <si>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</si>
  <si>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</si>
  <si>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</si>
  <si>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</si>
  <si>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</si>
  <si>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</si>
  <si>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</si>
  <si>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</si>
  <si>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</si>
  <si>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</si>
  <si>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</si>
  <si>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</si>
  <si>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</si>
  <si>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</si>
  <si>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</si>
  <si>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</si>
  <si>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</si>
  <si>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</si>
  <si>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</si>
  <si>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</si>
  <si>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</si>
  <si>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</si>
  <si>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</si>
  <si>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</si>
  <si>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</si>
  <si>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</si>
  <si>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</si>
  <si>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</si>
  <si>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</si>
  <si>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</si>
  <si>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</si>
  <si>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</si>
  <si>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</si>
  <si>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</si>
  <si>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</si>
  <si>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</si>
  <si>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</si>
  <si>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</si>
  <si>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</si>
  <si>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</si>
  <si>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</si>
  <si>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</si>
  <si>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</si>
  <si>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</si>
  <si>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</si>
  <si>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</si>
  <si>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</si>
  <si>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</si>
  <si>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</si>
  <si>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</si>
  <si>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</si>
  <si>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</si>
  <si>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</si>
  <si>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</si>
  <si>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</si>
  <si>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</si>
  <si>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</si>
  <si>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</si>
  <si>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</si>
  <si>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</si>
  <si>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</si>
  <si>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</si>
  <si>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</si>
  <si>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</si>
  <si>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</si>
  <si>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</si>
  <si>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</si>
  <si>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</si>
  <si>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</si>
  <si>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</si>
  <si>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</si>
  <si>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</si>
  <si>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</si>
  <si>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</si>
  <si>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</si>
  <si>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</si>
  <si>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</si>
  <si>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</si>
  <si>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</si>
  <si>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</si>
  <si>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</si>
  <si>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</si>
  <si>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</si>
  <si>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</si>
  <si>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</si>
  <si>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</si>
  <si>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</si>
  <si>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</si>
  <si>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</si>
  <si>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</si>
  <si>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</si>
  <si>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</si>
  <si>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</si>
  <si>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</si>
  <si>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</si>
  <si>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</si>
  <si>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</si>
  <si>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</si>
  <si>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</si>
  <si>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</si>
  <si>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</si>
  <si>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</si>
  <si>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</si>
  <si>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</si>
  <si>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</si>
  <si>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</si>
  <si>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</si>
  <si>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</si>
  <si>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</si>
  <si>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</si>
  <si>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</si>
  <si>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</si>
  <si>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</si>
  <si>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</si>
  <si>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</si>
  <si>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</si>
  <si>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</si>
  <si>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</si>
  <si>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</si>
  <si>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</si>
  <si>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</si>
  <si>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</si>
  <si>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</si>
  <si>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</si>
  <si>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</si>
  <si>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</si>
  <si>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</si>
  <si>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</si>
  <si>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</si>
  <si>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</si>
  <si>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</si>
  <si>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</si>
  <si>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</si>
  <si>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</si>
  <si>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</si>
  <si>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</si>
  <si>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</si>
  <si>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</si>
  <si>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</si>
  <si>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</si>
  <si>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</si>
  <si>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</si>
  <si>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</si>
  <si>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</si>
  <si>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</si>
  <si>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</si>
  <si>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</si>
  <si>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</si>
  <si>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</si>
  <si>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</si>
  <si>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</si>
  <si>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</si>
  <si>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</si>
  <si>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</si>
  <si>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</si>
  <si>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</si>
  <si>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</si>
  <si>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</si>
  <si>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</si>
  <si>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</si>
  <si>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</si>
  <si>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</si>
  <si>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</si>
  <si>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</si>
  <si>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</si>
  <si>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</si>
  <si>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</si>
  <si>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</si>
  <si>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</si>
  <si>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</si>
  <si>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</si>
  <si>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</si>
  <si>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</si>
  <si>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</si>
  <si>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</si>
  <si>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</si>
  <si>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</si>
  <si>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</si>
  <si>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</si>
  <si>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</si>
  <si>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</si>
  <si>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</si>
  <si>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</si>
  <si>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</si>
  <si>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</si>
  <si>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</si>
  <si>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</si>
  <si>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</si>
  <si>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</si>
  <si>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</si>
  <si>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</si>
  <si>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</si>
  <si>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</si>
  <si>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</si>
  <si>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</si>
  <si>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</si>
  <si>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</si>
  <si>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</si>
  <si>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</si>
  <si>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</si>
  <si>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</si>
  <si>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</si>
  <si>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</si>
  <si>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</si>
  <si>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</si>
  <si>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</si>
  <si>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</si>
  <si>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</si>
  <si>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</si>
  <si>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</si>
  <si>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</si>
  <si>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</si>
  <si>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</si>
  <si>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</si>
  <si>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</si>
  <si>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</si>
  <si>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</si>
  <si>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</si>
  <si>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</si>
  <si>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</si>
  <si>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</si>
  <si>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</si>
  <si>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</si>
  <si>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</si>
  <si>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</si>
  <si>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</si>
  <si>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</si>
  <si>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</si>
  <si>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</si>
  <si>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</si>
  <si>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</si>
  <si>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</si>
  <si>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</si>
  <si>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</si>
  <si>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</si>
  <si>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</si>
  <si>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</si>
  <si>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</si>
  <si>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</si>
  <si>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</si>
  <si>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</si>
  <si>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</si>
  <si>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</si>
  <si>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</si>
  <si>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</si>
  <si>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</si>
  <si>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</si>
  <si>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</si>
  <si>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</si>
  <si>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</si>
  <si>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</si>
  <si>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</si>
  <si>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</si>
  <si>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</si>
  <si>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</si>
  <si>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</si>
  <si>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</si>
  <si>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</si>
  <si>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</si>
  <si>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</si>
  <si>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</si>
  <si>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</si>
  <si>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</si>
  <si>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</si>
  <si>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</si>
  <si>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</si>
  <si>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</si>
  <si>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</si>
  <si>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</si>
  <si>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</si>
  <si>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</si>
  <si>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</si>
  <si>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</si>
  <si>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</si>
  <si>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</si>
  <si>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</si>
  <si>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</si>
  <si>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</si>
  <si>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</si>
  <si>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</si>
  <si>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</si>
  <si>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</si>
  <si>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</si>
  <si>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</si>
  <si>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</si>
  <si>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</si>
  <si>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</si>
  <si>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</si>
  <si>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</si>
  <si>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</si>
  <si>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</si>
  <si>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</si>
  <si>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</si>
  <si>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</si>
  <si>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</si>
  <si>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</si>
  <si>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</si>
  <si>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</si>
  <si>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</si>
  <si>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</si>
  <si>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</si>
  <si>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</si>
  <si>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</si>
  <si>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</si>
  <si>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</si>
  <si>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</si>
  <si>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</si>
  <si>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</si>
  <si>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</si>
  <si>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</si>
  <si>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</si>
  <si>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</si>
  <si>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</si>
  <si>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</si>
  <si>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</si>
  <si>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</si>
  <si>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</si>
  <si>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</si>
  <si>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</si>
  <si>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</si>
  <si>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</si>
  <si>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</si>
  <si>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</si>
  <si>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</si>
  <si>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</si>
  <si>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</si>
  <si>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</si>
  <si>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</si>
  <si>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</si>
  <si>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</si>
  <si>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</si>
  <si>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</si>
  <si>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</si>
  <si>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</si>
  <si>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</si>
  <si>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</si>
  <si>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</si>
  <si>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</si>
  <si>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</si>
  <si>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</si>
  <si>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</si>
  <si>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</si>
  <si>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</si>
  <si>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</si>
  <si>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</si>
  <si>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</si>
  <si>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</si>
  <si>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</si>
  <si>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</si>
  <si>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</si>
  <si>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</si>
  <si>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</si>
  <si>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</si>
  <si>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</si>
  <si>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</si>
  <si>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</si>
  <si>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</si>
  <si>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</si>
  <si>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</si>
  <si>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</si>
  <si>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</si>
  <si>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</si>
  <si>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</si>
  <si>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</si>
  <si>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</si>
  <si>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</si>
  <si>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</si>
  <si>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</si>
  <si>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</si>
  <si>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</si>
  <si>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</si>
  <si>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</si>
  <si>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</si>
  <si>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</si>
  <si>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</si>
  <si>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</si>
  <si>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</si>
  <si>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</si>
  <si>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</si>
  <si>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</si>
  <si>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</si>
  <si>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</si>
  <si>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</si>
  <si>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</si>
  <si>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</si>
  <si>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</si>
  <si>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</si>
  <si>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</si>
  <si>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</si>
  <si>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</si>
  <si>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</si>
  <si>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</si>
  <si>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</si>
  <si>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</si>
  <si>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</si>
  <si>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</si>
  <si>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</si>
  <si>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</si>
  <si>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</si>
  <si>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</si>
  <si>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</si>
  <si>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</si>
  <si>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</si>
  <si>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</si>
  <si>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</si>
  <si>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</si>
  <si>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</si>
  <si>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</si>
  <si>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</si>
  <si>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</si>
  <si>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</si>
  <si>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</si>
  <si>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</si>
  <si>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</si>
  <si>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</si>
  <si>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</si>
  <si>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</si>
  <si>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</si>
  <si>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</si>
  <si>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</si>
  <si>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</si>
  <si>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</si>
  <si>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</si>
  <si>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</si>
  <si>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</si>
  <si>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</si>
  <si>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</si>
  <si>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</si>
  <si>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</si>
  <si>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</si>
  <si>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</si>
  <si>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</si>
  <si>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</si>
  <si>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</si>
  <si>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</si>
  <si>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</si>
  <si>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</si>
  <si>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</si>
  <si>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</si>
  <si>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</si>
  <si>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</si>
  <si>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</si>
  <si>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</si>
  <si>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</si>
  <si>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</si>
  <si>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</si>
  <si>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</si>
  <si>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</si>
  <si>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</si>
  <si>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</si>
  <si>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</si>
  <si>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</si>
  <si>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</si>
  <si>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</si>
  <si>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</si>
  <si>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</si>
  <si>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</si>
  <si>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</si>
  <si>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</si>
  <si>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</si>
  <si>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</si>
  <si>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</si>
  <si>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</si>
  <si>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</si>
  <si>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</si>
  <si>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</si>
  <si>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</si>
  <si>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</si>
  <si>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</si>
  <si>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</si>
  <si>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</si>
  <si>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</si>
  <si>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</si>
  <si>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</si>
  <si>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</si>
  <si>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</si>
  <si>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</si>
  <si>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</si>
  <si>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</si>
  <si>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</si>
  <si>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</si>
  <si>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</si>
  <si>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</si>
  <si>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</si>
  <si>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</si>
  <si>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</si>
  <si>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</si>
  <si>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</si>
  <si>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</si>
  <si>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</si>
  <si>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</si>
  <si>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</si>
  <si>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</si>
  <si>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</si>
  <si>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</si>
  <si>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</si>
  <si>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</si>
  <si>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</si>
  <si>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</si>
  <si>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</si>
  <si>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</si>
  <si>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</si>
  <si>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</si>
  <si>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</si>
  <si>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</si>
  <si>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</si>
  <si>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</si>
  <si>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</si>
  <si>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</si>
  <si>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</si>
  <si>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</si>
  <si>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</si>
  <si>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</si>
  <si>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</si>
  <si>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</si>
  <si>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</si>
  <si>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</si>
  <si>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</si>
  <si>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</si>
  <si>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</si>
  <si>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</si>
  <si>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</si>
  <si>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</si>
  <si>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</si>
  <si>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</si>
  <si>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</si>
  <si>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</si>
  <si>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</si>
  <si>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</si>
  <si>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</si>
  <si>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</si>
  <si>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</si>
  <si>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</si>
  <si>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</si>
  <si>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</si>
  <si>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</si>
  <si>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</si>
  <si>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</si>
  <si>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</si>
  <si>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</si>
  <si>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</si>
  <si>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</si>
  <si>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</si>
  <si>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</si>
  <si>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</si>
  <si>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</si>
  <si>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</si>
  <si>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</si>
  <si>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</si>
  <si>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</si>
  <si>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</si>
  <si>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</si>
  <si>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</si>
  <si>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</si>
  <si>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</si>
  <si>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</si>
  <si>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</si>
  <si>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</si>
  <si>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</si>
  <si>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</si>
  <si>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</si>
  <si>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</si>
  <si>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</si>
  <si>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</si>
  <si>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</si>
  <si>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</si>
  <si>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</si>
  <si>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</si>
  <si>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</si>
  <si>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</si>
  <si>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</si>
  <si>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</si>
  <si>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</si>
  <si>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</si>
  <si>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</si>
  <si>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</si>
  <si>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</si>
  <si>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</si>
  <si>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</si>
  <si>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</si>
  <si>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</si>
  <si>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</si>
  <si>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</si>
  <si>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</si>
  <si>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</si>
  <si>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</si>
  <si>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</si>
  <si>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</si>
  <si>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</si>
  <si>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</si>
  <si>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</si>
  <si>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</si>
  <si>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</si>
  <si>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</si>
  <si>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</si>
  <si>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</si>
  <si>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</si>
  <si>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</si>
  <si>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</si>
  <si>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</si>
  <si>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</si>
  <si>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</si>
  <si>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</si>
  <si>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</si>
  <si>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</si>
  <si>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</si>
  <si>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</si>
  <si>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</si>
  <si>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</si>
  <si>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</si>
  <si>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</si>
  <si>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</si>
  <si>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</si>
  <si>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</si>
  <si>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</si>
  <si>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</si>
  <si>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</si>
  <si>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</si>
  <si>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</si>
  <si>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</si>
  <si>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</si>
  <si>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</si>
  <si>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</si>
  <si>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</si>
  <si>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</si>
  <si>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</si>
  <si>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</si>
  <si>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</si>
  <si>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</si>
  <si>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</si>
  <si>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</si>
  <si>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</si>
  <si>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</si>
  <si>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</si>
  <si>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</si>
  <si>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</si>
  <si>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</si>
  <si>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</si>
  <si>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</si>
  <si>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</si>
  <si>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</si>
  <si>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</si>
  <si>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</si>
  <si>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</si>
  <si>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</si>
  <si>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</si>
  <si>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</si>
  <si>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</si>
  <si>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</si>
  <si>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</si>
  <si>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</si>
  <si>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</si>
  <si>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</si>
  <si>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</si>
  <si>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</si>
  <si>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</si>
  <si>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</si>
  <si>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</si>
  <si>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</si>
  <si>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</si>
  <si>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</si>
  <si>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</si>
  <si>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</si>
  <si>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</si>
  <si>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</si>
  <si>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</si>
  <si>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</si>
  <si>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</si>
  <si>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</si>
  <si>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</si>
  <si>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</si>
  <si>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</si>
  <si>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</si>
  <si>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</si>
  <si>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</si>
  <si>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</si>
  <si>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</si>
  <si>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</si>
  <si>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</si>
  <si>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</si>
  <si>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</si>
  <si>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</si>
  <si>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</si>
  <si>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</si>
  <si>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</si>
  <si>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</si>
  <si>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</si>
  <si>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</si>
  <si>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</si>
  <si>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</si>
  <si>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</si>
  <si>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</si>
  <si>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</si>
  <si>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</si>
  <si>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</si>
  <si>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</si>
  <si>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</si>
  <si>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</si>
  <si>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</si>
  <si>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</si>
  <si>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</si>
  <si>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</si>
  <si>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</si>
  <si>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</si>
  <si>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</si>
  <si>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</si>
  <si>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</si>
  <si>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</si>
  <si>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</si>
  <si>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</si>
  <si>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</si>
  <si>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</si>
  <si>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</si>
  <si>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</si>
  <si>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</si>
  <si>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</si>
  <si>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</si>
  <si>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</si>
  <si>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</si>
  <si>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</si>
  <si>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</si>
  <si>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</si>
  <si>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</si>
  <si>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</si>
  <si>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</si>
  <si>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</si>
  <si>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</si>
  <si>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</si>
  <si>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</si>
  <si>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</si>
  <si>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</si>
  <si>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</si>
  <si>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</si>
  <si>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</si>
  <si>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</si>
  <si>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</si>
  <si>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</si>
  <si>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</si>
  <si>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</si>
  <si>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</si>
  <si>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</si>
  <si>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</si>
  <si>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</si>
  <si>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</si>
  <si>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</si>
  <si>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</si>
  <si>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</si>
  <si>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</si>
  <si>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</si>
  <si>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</si>
  <si>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</si>
  <si>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</si>
  <si>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</si>
  <si>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</si>
  <si>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</si>
  <si>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</si>
  <si>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</si>
  <si>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</si>
  <si>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</si>
  <si>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</si>
  <si>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</si>
  <si>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</si>
  <si>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</si>
  <si>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</si>
  <si>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</si>
  <si>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</si>
  <si>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</si>
  <si>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</si>
  <si>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</si>
  <si>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</si>
  <si>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</si>
  <si>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</si>
  <si>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</si>
  <si>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</si>
  <si>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</si>
  <si>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</si>
  <si>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</si>
  <si>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</si>
  <si>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</si>
  <si>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</si>
  <si>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</si>
  <si>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</si>
  <si>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</si>
  <si>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</si>
  <si>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</si>
  <si>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</si>
  <si>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</si>
  <si>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</si>
  <si>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</si>
  <si>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</si>
  <si>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</si>
  <si>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</si>
  <si>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</si>
  <si>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</si>
  <si>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</si>
  <si>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</si>
  <si>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</si>
  <si>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</si>
  <si>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</si>
  <si>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</si>
  <si>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</si>
  <si>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</si>
  <si>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</si>
  <si>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</si>
  <si>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</si>
  <si>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</si>
  <si>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</si>
  <si>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</si>
  <si>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</si>
  <si>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</si>
  <si>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</si>
  <si>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</si>
  <si>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</si>
  <si>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</si>
  <si>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</si>
  <si>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</si>
  <si>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</si>
  <si>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</si>
  <si>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</si>
  <si>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</si>
  <si>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</si>
  <si>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</si>
  <si>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</si>
  <si>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</si>
  <si>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</si>
  <si>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</si>
  <si>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</si>
  <si>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</si>
  <si>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</si>
  <si>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</si>
  <si>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</si>
  <si>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</si>
  <si>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</si>
  <si>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</si>
  <si>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</si>
  <si>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</si>
  <si>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</si>
  <si>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</si>
  <si>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</si>
  <si>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</si>
  <si>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</si>
  <si>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</si>
  <si>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</si>
  <si>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</si>
  <si>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</si>
  <si>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</si>
  <si>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</si>
  <si>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</si>
  <si>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</si>
  <si>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</si>
  <si>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</si>
  <si>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</si>
  <si>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</si>
  <si>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</si>
  <si>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</si>
  <si>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</si>
  <si>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</si>
  <si>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</si>
  <si>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</si>
  <si>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</si>
  <si>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</si>
  <si>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</si>
  <si>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</si>
  <si>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</si>
  <si>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</si>
  <si>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</si>
  <si>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</si>
  <si>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</si>
  <si>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</si>
  <si>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</si>
  <si>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</si>
  <si>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</si>
  <si>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</si>
  <si>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</si>
  <si>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</si>
  <si>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</si>
  <si>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</si>
  <si>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</si>
  <si>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</si>
  <si>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</si>
  <si>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</si>
  <si>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</si>
  <si>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</si>
  <si>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</si>
  <si>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</si>
  <si>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</si>
  <si>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</si>
  <si>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</si>
  <si>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</si>
  <si>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</si>
  <si>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</si>
  <si>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</si>
  <si>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</si>
  <si>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</si>
  <si>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</si>
  <si>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</si>
  <si>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</si>
  <si>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</si>
  <si>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</si>
  <si>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</si>
  <si>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</si>
  <si>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</si>
  <si>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</si>
  <si>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</si>
  <si>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</si>
  <si>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</si>
  <si>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</si>
  <si>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</si>
  <si>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</si>
  <si>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</si>
  <si>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</si>
  <si>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</si>
  <si>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</si>
  <si>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</si>
  <si>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</si>
  <si>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</si>
  <si>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</si>
  <si>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</si>
  <si>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</si>
  <si>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</si>
  <si>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</si>
  <si>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</si>
  <si>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</si>
  <si>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</si>
  <si>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</si>
  <si>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</si>
  <si>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</si>
  <si>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</si>
  <si>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</si>
  <si>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</si>
  <si>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</si>
  <si>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</si>
  <si>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</si>
  <si>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</si>
  <si>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</si>
  <si>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</si>
  <si>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</si>
  <si>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</si>
  <si>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</si>
  <si>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</si>
  <si>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</si>
  <si>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</si>
  <si>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</si>
  <si>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</si>
  <si>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</si>
  <si>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</si>
  <si>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</si>
  <si>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</si>
  <si>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</si>
  <si>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</si>
  <si>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</si>
  <si>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</si>
  <si>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</si>
  <si>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</si>
  <si>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</si>
  <si>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</si>
  <si>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</si>
  <si>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</si>
  <si>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</si>
  <si>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</si>
  <si>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</si>
  <si>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</si>
  <si>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</si>
  <si>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</si>
  <si>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</si>
  <si>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</si>
  <si>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</si>
  <si>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</si>
  <si>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</si>
  <si>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</si>
  <si>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</si>
  <si>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</si>
  <si>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</si>
  <si>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</si>
  <si>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</si>
  <si>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</si>
  <si>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</si>
  <si>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</si>
  <si>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</si>
  <si>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</si>
  <si>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</si>
  <si>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</si>
  <si>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</si>
  <si>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</si>
  <si>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</si>
  <si>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</si>
  <si>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</si>
  <si>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</si>
  <si>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</si>
  <si>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</si>
  <si>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</si>
  <si>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</si>
  <si>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</si>
  <si>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</si>
  <si>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</si>
  <si>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</si>
  <si>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</si>
  <si>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</si>
  <si>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</si>
  <si>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</si>
  <si>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</si>
  <si>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</si>
  <si>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</si>
  <si>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</si>
  <si>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</si>
  <si>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</si>
  <si>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</si>
  <si>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</si>
  <si>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</si>
  <si>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</si>
  <si>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</si>
  <si>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</si>
  <si>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</si>
  <si>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</si>
  <si>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</si>
  <si>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</si>
  <si>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</si>
  <si>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</si>
  <si>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</si>
  <si>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</si>
  <si>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</si>
  <si>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</si>
  <si>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</si>
  <si>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</si>
  <si>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</si>
  <si>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</si>
  <si>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</si>
  <si>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</si>
  <si>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</si>
  <si>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</si>
  <si>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</si>
  <si>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</si>
  <si>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</si>
  <si>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</si>
  <si>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</si>
  <si>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</si>
  <si>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</si>
  <si>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</si>
  <si>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</si>
  <si>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</si>
  <si>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</si>
  <si>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</si>
  <si>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</si>
  <si>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</si>
  <si>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</si>
  <si>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</si>
  <si>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</si>
  <si>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</si>
  <si>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</si>
  <si>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</si>
  <si>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</si>
  <si>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</si>
  <si>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</si>
  <si>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</si>
  <si>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</si>
  <si>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</si>
  <si>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</si>
  <si>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</si>
  <si>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</si>
  <si>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</si>
  <si>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</si>
  <si>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</si>
  <si>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</si>
  <si>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</si>
  <si>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</si>
  <si>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</si>
  <si>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</si>
  <si>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</si>
  <si>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</si>
  <si>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</si>
  <si>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</si>
  <si>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</si>
  <si>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</si>
  <si>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</si>
  <si>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</si>
  <si>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</si>
  <si>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</si>
  <si>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</si>
  <si>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</si>
  <si>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</si>
  <si>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</si>
  <si>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</si>
  <si>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</si>
  <si>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</si>
  <si>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</si>
  <si>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</si>
  <si>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</si>
  <si>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</si>
  <si>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</si>
  <si>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</si>
  <si>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</si>
  <si>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</si>
  <si>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</si>
  <si>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</si>
  <si>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</si>
  <si>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</si>
  <si>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</si>
  <si>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</si>
  <si>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</si>
  <si>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</si>
  <si>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</si>
  <si>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</si>
  <si>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</si>
  <si>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</si>
  <si>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</si>
  <si>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</si>
  <si>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</si>
  <si>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</si>
  <si>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</si>
  <si>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</si>
  <si>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</si>
  <si>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</si>
  <si>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</si>
  <si>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</si>
  <si>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</si>
  <si>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</si>
  <si>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</si>
  <si>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</si>
  <si>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</si>
  <si>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</si>
  <si>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</si>
  <si>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</si>
  <si>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</si>
  <si>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</si>
  <si>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</si>
  <si>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</si>
  <si>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</si>
  <si>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</si>
  <si>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</si>
  <si>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</si>
  <si>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</si>
  <si>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</si>
  <si>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</si>
  <si>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</si>
  <si>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</si>
  <si>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</si>
  <si>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</si>
  <si>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</si>
  <si>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</si>
  <si>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</si>
  <si>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</si>
  <si>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</si>
  <si>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</si>
  <si>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</si>
  <si>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</si>
  <si>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</si>
  <si>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</si>
  <si>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</si>
  <si>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</si>
  <si>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</si>
  <si>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</si>
  <si>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</si>
  <si>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</si>
  <si>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</si>
  <si>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</si>
  <si>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</si>
  <si>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</si>
  <si>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</si>
  <si>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</si>
  <si>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</si>
  <si>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</si>
  <si>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</si>
  <si>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</si>
  <si>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</si>
  <si>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</si>
  <si>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</si>
  <si>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</si>
  <si>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</si>
  <si>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</si>
  <si>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</si>
  <si>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</si>
  <si>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</si>
  <si>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</si>
  <si>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</si>
  <si>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</si>
  <si>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</si>
  <si>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</si>
  <si>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</si>
  <si>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</si>
  <si>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</si>
  <si>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</si>
  <si>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</si>
  <si>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</si>
  <si>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</si>
  <si>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</si>
  <si>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</si>
  <si>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</si>
  <si>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</si>
  <si>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</si>
  <si>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</si>
  <si>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</si>
  <si>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</si>
  <si>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</si>
  <si>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</si>
  <si>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</si>
  <si>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</si>
  <si>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</si>
  <si>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</si>
  <si>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</si>
  <si>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</si>
  <si>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</si>
  <si>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</si>
  <si>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</si>
  <si>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</si>
  <si>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</si>
  <si>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</si>
  <si>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</si>
  <si>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</si>
  <si>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</si>
  <si>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</si>
  <si>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</si>
  <si>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</si>
  <si>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</si>
  <si>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</si>
  <si>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</si>
  <si>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</si>
  <si>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</si>
  <si>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</si>
  <si>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</si>
  <si>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</si>
  <si>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</si>
  <si>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</si>
  <si>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</si>
  <si>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</si>
  <si>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</si>
  <si>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</si>
  <si>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</si>
  <si>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</si>
  <si>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</si>
  <si>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</si>
  <si>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</si>
  <si>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</si>
  <si>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</si>
  <si>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</si>
  <si>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</si>
  <si>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</si>
  <si>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</si>
  <si>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</si>
  <si>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</si>
  <si>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</si>
  <si>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</si>
  <si>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</si>
  <si>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</si>
  <si>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</si>
  <si>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</si>
  <si>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</si>
  <si>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</si>
  <si>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</si>
  <si>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</si>
  <si>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</si>
  <si>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</si>
  <si>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</si>
  <si>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</si>
  <si>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</si>
  <si>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</si>
  <si>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</si>
  <si>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</si>
  <si>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</si>
  <si>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</si>
  <si>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</si>
  <si>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</si>
  <si>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</si>
  <si>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</si>
  <si>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</si>
  <si>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</si>
  <si>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</si>
  <si>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</si>
  <si>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</si>
  <si>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</si>
  <si>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</si>
  <si>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</si>
  <si>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</si>
  <si>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</si>
  <si>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</si>
  <si>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</si>
  <si>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</si>
  <si>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</si>
  <si>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</si>
  <si>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</si>
  <si>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</si>
  <si>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</si>
  <si>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</si>
  <si>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</si>
  <si>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</si>
  <si>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</si>
  <si>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</si>
  <si>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</si>
  <si>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</si>
  <si>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</si>
  <si>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</si>
  <si>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</si>
  <si>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</si>
  <si>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</si>
  <si>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</si>
  <si>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</si>
  <si>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</si>
  <si>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</si>
  <si>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</si>
  <si>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</si>
  <si>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</si>
  <si>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</si>
  <si>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</si>
  <si>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</si>
  <si>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</si>
  <si>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</si>
  <si>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</si>
  <si>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</si>
  <si>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</si>
  <si>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</si>
  <si>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</si>
  <si>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</si>
  <si>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</si>
  <si>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</si>
  <si>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</si>
  <si>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</si>
  <si>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</si>
  <si>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</si>
  <si>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</si>
  <si>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</si>
  <si>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</si>
  <si>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</si>
  <si>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</si>
  <si>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</si>
  <si>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</si>
  <si>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</si>
  <si>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</si>
  <si>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</si>
  <si>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</si>
  <si>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</si>
  <si>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</si>
  <si>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</si>
  <si>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</si>
  <si>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</si>
  <si>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</si>
  <si>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</si>
  <si>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</si>
  <si>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</si>
  <si>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</si>
  <si>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</si>
  <si>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</si>
  <si>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</si>
  <si>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</si>
  <si>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</si>
  <si>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</si>
  <si>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</si>
  <si>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</si>
  <si>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</si>
  <si>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</si>
  <si>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</si>
  <si>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</si>
  <si>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</si>
  <si>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</si>
  <si>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</si>
  <si>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</si>
  <si>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</si>
  <si>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</si>
  <si>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</si>
  <si>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</si>
  <si>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</si>
  <si>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</si>
  <si>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</si>
  <si>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</si>
  <si>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</si>
  <si>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</si>
  <si>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</si>
  <si>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</si>
  <si>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</si>
  <si>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</si>
  <si>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</si>
  <si>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</si>
  <si>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</si>
  <si>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</si>
  <si>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</si>
  <si>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</si>
  <si>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</si>
  <si>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</si>
  <si>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</si>
  <si>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</si>
  <si>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</si>
  <si>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</si>
  <si>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</si>
  <si>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</si>
  <si>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</si>
  <si>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</si>
  <si>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</si>
  <si>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</si>
  <si>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</si>
  <si>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</si>
  <si>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</si>
  <si>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</si>
  <si>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</si>
  <si>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</si>
  <si>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</si>
  <si>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</si>
  <si>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</si>
  <si>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</si>
  <si>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</si>
  <si>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</si>
  <si>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</si>
  <si>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</si>
  <si>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</si>
  <si>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</si>
  <si>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</si>
  <si>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</si>
  <si>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</si>
  <si>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</si>
  <si>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</si>
  <si>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</si>
  <si>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</si>
  <si>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</si>
  <si>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</si>
  <si>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</si>
  <si>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</si>
  <si>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</si>
  <si>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</si>
  <si>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</si>
  <si>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</si>
  <si>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</si>
  <si>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</si>
  <si>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</si>
  <si>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</si>
  <si>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</si>
  <si>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</si>
  <si>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</si>
  <si>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</si>
  <si>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</si>
  <si>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</si>
  <si>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</si>
  <si>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</si>
  <si>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</si>
  <si>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</si>
  <si>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</si>
  <si>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</si>
  <si>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</si>
  <si>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</si>
  <si>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</si>
  <si>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</si>
  <si>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</si>
  <si>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</si>
  <si>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</si>
  <si>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</si>
  <si>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</si>
  <si>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</si>
  <si>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</si>
  <si>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</si>
  <si>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</si>
  <si>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</si>
  <si>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</si>
  <si>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</si>
  <si>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</si>
  <si>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</si>
  <si>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</si>
  <si>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</si>
  <si>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</si>
  <si>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</si>
  <si>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</si>
  <si>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</si>
  <si>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</si>
  <si>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</si>
  <si>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</si>
  <si>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</si>
  <si>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</si>
  <si>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</si>
  <si>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</si>
  <si>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</si>
  <si>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</si>
  <si>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</si>
  <si>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</si>
  <si>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</si>
  <si>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</si>
  <si>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</si>
  <si>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</si>
  <si>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</si>
  <si>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</si>
  <si>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</si>
  <si>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</si>
  <si>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</si>
  <si>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</si>
  <si>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</si>
  <si>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</si>
  <si>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</si>
  <si>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</si>
  <si>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</si>
  <si>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</si>
  <si>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</si>
  <si>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</si>
  <si>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</si>
  <si>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</si>
  <si>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</si>
  <si>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</si>
  <si>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</si>
  <si>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</si>
  <si>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</si>
  <si>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</si>
  <si>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</si>
  <si>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</si>
  <si>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</si>
  <si>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</si>
  <si>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</si>
  <si>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</si>
  <si>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</si>
  <si>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</si>
  <si>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</si>
  <si>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</si>
  <si>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</si>
  <si>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</si>
  <si>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</si>
  <si>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</si>
  <si>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</si>
  <si>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</si>
  <si>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</si>
  <si>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</si>
  <si>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</si>
  <si>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</si>
  <si>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</si>
  <si>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</si>
  <si>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</si>
  <si>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</si>
  <si>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</si>
  <si>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</si>
  <si>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</si>
  <si>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</si>
  <si>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</si>
  <si>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</si>
  <si>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</si>
  <si>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</si>
  <si>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</si>
  <si>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</si>
  <si>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</si>
  <si>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</si>
  <si>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</si>
  <si>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</si>
  <si>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</si>
  <si>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</si>
  <si>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</si>
  <si>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</si>
  <si>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</si>
  <si>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</si>
  <si>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</si>
  <si>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</si>
  <si>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</si>
  <si>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</si>
  <si>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</si>
  <si>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</si>
  <si>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</si>
  <si>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</si>
  <si>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</si>
  <si>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</si>
  <si>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</si>
  <si>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</si>
  <si>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</si>
  <si>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</si>
  <si>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</si>
  <si>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</si>
  <si>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</si>
  <si>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</si>
  <si>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</si>
  <si>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</si>
  <si>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</si>
  <si>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</si>
  <si>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</si>
  <si>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</si>
  <si>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</si>
  <si>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</si>
  <si>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</si>
  <si>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</si>
  <si>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</si>
  <si>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</si>
  <si>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</si>
  <si>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</si>
  <si>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</si>
  <si>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</si>
  <si>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</si>
  <si>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</si>
  <si>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</si>
  <si>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</si>
  <si>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</si>
  <si>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</si>
  <si>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</si>
  <si>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</si>
  <si>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</si>
  <si>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</si>
  <si>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</si>
  <si>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</si>
  <si>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</si>
  <si>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</si>
  <si>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</si>
  <si>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</si>
  <si>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</si>
  <si>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</si>
  <si>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</si>
  <si>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</si>
  <si>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</si>
  <si>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</si>
  <si>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</si>
  <si>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</si>
  <si>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</si>
  <si>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</si>
  <si>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</si>
  <si>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</si>
  <si>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</si>
  <si>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</si>
  <si>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</si>
  <si>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</si>
  <si>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</si>
  <si>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</si>
  <si>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</si>
  <si>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</si>
  <si>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</si>
  <si>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</si>
  <si>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</si>
  <si>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</si>
  <si>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</si>
  <si>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</si>
  <si>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</si>
  <si>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</si>
  <si>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</si>
  <si>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</si>
  <si>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</si>
  <si>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</si>
  <si>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</si>
  <si>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</si>
  <si>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</si>
  <si>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</si>
  <si>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</si>
  <si>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</si>
  <si>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</si>
  <si>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</si>
  <si>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</si>
  <si>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</si>
  <si>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</si>
  <si>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</si>
  <si>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</si>
  <si>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</si>
  <si>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</si>
  <si>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</si>
  <si>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</si>
  <si>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</si>
  <si>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</si>
  <si>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</si>
  <si>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</si>
  <si>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</si>
  <si>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</si>
  <si>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</si>
  <si>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</si>
  <si>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</si>
  <si>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</si>
  <si>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</si>
  <si>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</si>
  <si>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</si>
  <si>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</si>
  <si>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</si>
  <si>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</si>
  <si>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</si>
  <si>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</si>
  <si>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</si>
  <si>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</si>
  <si>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</si>
  <si>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</si>
  <si>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</si>
  <si>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</si>
  <si>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</si>
  <si>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</si>
  <si>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</si>
  <si>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</si>
  <si>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</si>
  <si>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</si>
  <si>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</si>
  <si>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</si>
  <si>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</si>
  <si>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</si>
  <si>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</si>
  <si>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</si>
  <si>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</si>
  <si>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</si>
  <si>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</si>
  <si>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</si>
  <si>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</si>
  <si>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</si>
  <si>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</si>
  <si>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</si>
  <si>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</si>
  <si>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</si>
  <si>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</si>
  <si>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</si>
  <si>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</si>
  <si>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</si>
  <si>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</si>
  <si>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</si>
  <si>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</si>
  <si>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</si>
  <si>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</si>
  <si>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</si>
  <si>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</si>
  <si>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</si>
  <si>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</si>
  <si>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</si>
  <si>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</si>
  <si>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</si>
  <si>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</si>
  <si>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</si>
  <si>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</si>
  <si>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</si>
  <si>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</si>
  <si>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</si>
  <si>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</si>
  <si>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</si>
  <si>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</si>
  <si>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</si>
  <si>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</si>
  <si>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</si>
  <si>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</si>
  <si>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</si>
  <si>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</si>
  <si>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</si>
  <si>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</si>
  <si>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</si>
  <si>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</si>
  <si>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</si>
  <si>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</si>
  <si>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</si>
  <si>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</si>
  <si>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</si>
  <si>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</si>
  <si>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</si>
  <si>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</si>
  <si>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</si>
  <si>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</si>
  <si>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</si>
  <si>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</si>
  <si>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</si>
  <si>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</si>
  <si>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</si>
  <si>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</si>
  <si>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</si>
  <si>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</si>
  <si>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</si>
  <si>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</si>
  <si>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</si>
  <si>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</si>
  <si>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</si>
  <si>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</si>
  <si>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</si>
  <si>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</si>
  <si>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</si>
  <si>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</si>
  <si>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</si>
  <si>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</si>
  <si>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</si>
  <si>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</si>
  <si>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</si>
  <si>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</si>
  <si>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</si>
  <si>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</si>
  <si>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</si>
  <si>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</si>
  <si>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</si>
  <si>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</si>
  <si>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</si>
  <si>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</si>
  <si>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</si>
  <si>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</si>
  <si>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</si>
  <si>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</si>
  <si>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</si>
  <si>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</si>
  <si>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</si>
  <si>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</si>
  <si>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</si>
  <si>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</si>
  <si>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</si>
  <si>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</si>
  <si>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</si>
  <si>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</si>
  <si>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</si>
  <si>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</si>
  <si>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</si>
  <si>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</si>
  <si>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</si>
  <si>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</si>
  <si>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</si>
  <si>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</si>
  <si>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</si>
  <si>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</si>
  <si>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</si>
  <si>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</si>
  <si>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</si>
  <si>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</si>
  <si>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</si>
  <si>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</si>
  <si>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</si>
  <si>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</si>
  <si>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</si>
  <si>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</si>
  <si>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</si>
  <si>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</si>
  <si>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</si>
  <si>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</si>
  <si>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</si>
  <si>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</si>
  <si>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</si>
  <si>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</si>
  <si>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</si>
  <si>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</si>
  <si>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</si>
  <si>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</si>
  <si>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</si>
  <si>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</si>
  <si>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</si>
  <si>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</si>
  <si>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</si>
  <si>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</si>
  <si>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</si>
  <si>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</si>
  <si>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</si>
  <si>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</si>
  <si>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</si>
  <si>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</si>
  <si>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</si>
  <si>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</si>
  <si>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</si>
  <si>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</si>
  <si>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</si>
  <si>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</si>
  <si>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</si>
  <si>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</si>
  <si>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</si>
  <si>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</si>
  <si>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</si>
  <si>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</si>
  <si>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</si>
  <si>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</si>
  <si>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</si>
  <si>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</si>
  <si>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</si>
  <si>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</si>
  <si>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</si>
  <si>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</si>
  <si>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</si>
  <si>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</si>
  <si>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</si>
  <si>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</si>
  <si>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</si>
  <si>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</si>
  <si>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</si>
  <si>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</si>
  <si>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</si>
  <si>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</si>
  <si>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</si>
  <si>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</si>
  <si>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</si>
  <si>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</si>
  <si>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</si>
  <si>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</si>
  <si>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</si>
  <si>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</si>
  <si>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</si>
  <si>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</si>
  <si>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</si>
  <si>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</si>
  <si>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</si>
  <si>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</si>
  <si>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</si>
  <si>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</si>
  <si>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</si>
  <si>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</si>
  <si>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</si>
  <si>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</si>
  <si>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</si>
  <si>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</si>
  <si>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</si>
  <si>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</si>
  <si>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</si>
  <si>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</si>
  <si>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</si>
  <si>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</si>
  <si>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</si>
  <si>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</si>
  <si>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</si>
  <si>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</si>
  <si>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</si>
  <si>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</si>
  <si>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</si>
  <si>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</si>
  <si>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</si>
  <si>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</si>
  <si>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</si>
  <si>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</si>
  <si>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</si>
  <si>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</si>
  <si>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</si>
  <si>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</si>
  <si>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</si>
  <si>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</si>
  <si>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</si>
  <si>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</si>
  <si>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</si>
  <si>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</si>
  <si>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</si>
  <si>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</si>
  <si>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</si>
  <si>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</si>
  <si>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</si>
  <si>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</si>
  <si>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</si>
  <si>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</si>
  <si>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</si>
  <si>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</si>
  <si>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</si>
  <si>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</si>
  <si>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</si>
  <si>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</si>
  <si>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</si>
  <si>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</si>
  <si>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</si>
  <si>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</si>
  <si>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</si>
  <si>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</si>
  <si>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</si>
  <si>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</si>
  <si>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</si>
  <si>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</si>
  <si>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</si>
  <si>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</si>
  <si>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</si>
  <si>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</si>
  <si>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</si>
  <si>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</si>
  <si>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</si>
  <si>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</si>
  <si>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</si>
  <si>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</si>
  <si>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</si>
  <si>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</si>
  <si>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</si>
  <si>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</si>
  <si>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</si>
  <si>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</si>
  <si>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</si>
  <si>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</si>
  <si>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</si>
  <si>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</si>
  <si>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</si>
  <si>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</si>
  <si>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</si>
  <si>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</si>
  <si>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</si>
  <si>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</si>
  <si>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</si>
  <si>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</si>
  <si>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</si>
  <si>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</si>
  <si>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</si>
  <si>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</si>
  <si>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</si>
  <si>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</si>
  <si>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</si>
  <si>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</si>
  <si>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</si>
  <si>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</si>
  <si>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</si>
  <si>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</si>
  <si>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</si>
  <si>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</si>
  <si>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</si>
  <si>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</si>
  <si>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</si>
  <si>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</si>
  <si>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</si>
  <si>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</si>
  <si>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</si>
  <si>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</si>
  <si>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</si>
  <si>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</si>
  <si>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</si>
  <si>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</si>
  <si>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</si>
  <si>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</si>
  <si>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</si>
  <si>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</si>
  <si>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</si>
  <si>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</si>
  <si>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</si>
  <si>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</si>
  <si>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</si>
  <si>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</si>
  <si>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</si>
  <si>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</si>
  <si>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</si>
  <si>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</si>
  <si>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</si>
  <si>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</si>
  <si>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</si>
  <si>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</si>
  <si>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</si>
  <si>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</si>
  <si>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</si>
  <si>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</si>
  <si>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</si>
  <si>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</si>
  <si>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</si>
  <si>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</si>
  <si>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</si>
  <si>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</si>
  <si>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</si>
  <si>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</si>
  <si>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</si>
  <si>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</si>
  <si>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</si>
  <si>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</si>
  <si>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</si>
  <si>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</si>
  <si>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</si>
  <si>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</si>
  <si>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</si>
  <si>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</si>
  <si>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</si>
  <si>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</si>
  <si>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</si>
  <si>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</si>
  <si>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</si>
  <si>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</si>
  <si>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</si>
  <si>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</si>
  <si>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</si>
  <si>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</si>
  <si>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</si>
  <si>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</si>
  <si>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</si>
  <si>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</si>
  <si>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</si>
  <si>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</si>
  <si>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</si>
  <si>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</si>
  <si>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</si>
  <si>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</si>
  <si>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</si>
  <si>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</si>
  <si>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</si>
  <si>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</si>
  <si>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</si>
  <si>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</si>
  <si>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</si>
  <si>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</si>
  <si>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</si>
  <si>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</si>
  <si>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</si>
  <si>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</si>
  <si>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</si>
  <si>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</si>
  <si>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</si>
  <si>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</si>
  <si>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</si>
  <si>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</si>
  <si>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</si>
  <si>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</si>
  <si>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</si>
  <si>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</si>
  <si>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</si>
  <si>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</si>
  <si>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</si>
  <si>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</si>
  <si>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</si>
  <si>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</si>
  <si>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</si>
  <si>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</si>
  <si>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</si>
  <si>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</si>
  <si>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</si>
  <si>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</si>
  <si>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</si>
  <si>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</si>
  <si>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</si>
  <si>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</si>
  <si>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</si>
  <si>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</si>
  <si>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</si>
  <si>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</si>
  <si>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</si>
  <si>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</si>
  <si>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</si>
  <si>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</si>
  <si>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</si>
  <si>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</si>
  <si>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</si>
  <si>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</si>
  <si>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</si>
  <si>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</si>
  <si>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</si>
  <si>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</si>
  <si>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</si>
  <si>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</si>
  <si>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</si>
  <si>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</si>
  <si>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</si>
  <si>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</si>
  <si>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</si>
  <si>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</si>
  <si>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</si>
  <si>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</si>
  <si>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</si>
  <si>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</si>
  <si>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</si>
  <si>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</si>
  <si>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</si>
  <si>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</si>
  <si>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</si>
  <si>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</si>
  <si>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</si>
  <si>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</si>
  <si>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</si>
  <si>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</si>
  <si>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</si>
  <si>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</si>
  <si>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</si>
  <si>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</si>
  <si>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</si>
  <si>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</si>
  <si>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</si>
  <si>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</si>
  <si>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</si>
  <si>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</si>
  <si>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</si>
  <si>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</si>
  <si>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</si>
  <si>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</si>
  <si>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</si>
  <si>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</si>
  <si>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</si>
  <si>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</si>
  <si>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</si>
  <si>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</si>
  <si>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</si>
  <si>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</si>
  <si>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</si>
  <si>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</si>
  <si>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</si>
  <si>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</si>
  <si>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</si>
  <si>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</si>
  <si>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</si>
  <si>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</si>
  <si>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</si>
  <si>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</si>
  <si>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</si>
  <si>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</si>
  <si>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</si>
  <si>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</si>
  <si>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</si>
  <si>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</si>
  <si>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</si>
  <si>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</si>
  <si>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</si>
  <si>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</si>
  <si>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</si>
  <si>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</si>
  <si>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</si>
  <si>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</si>
  <si>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</si>
  <si>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</si>
  <si>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</si>
  <si>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</si>
  <si>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</si>
  <si>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</si>
  <si>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</si>
  <si>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</si>
  <si>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</si>
  <si>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</si>
  <si>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</si>
  <si>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</si>
  <si>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</si>
  <si>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</si>
  <si>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</si>
  <si>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</si>
  <si>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</si>
  <si>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</si>
  <si>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</si>
  <si>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</si>
  <si>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</si>
  <si>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</si>
  <si>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</si>
  <si>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</si>
  <si>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</si>
  <si>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</si>
  <si>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</si>
  <si>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</si>
  <si>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</si>
  <si>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</si>
  <si>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</si>
  <si>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</si>
  <si>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</si>
  <si>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</si>
  <si>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</si>
  <si>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</si>
  <si>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</si>
  <si>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</si>
  <si>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</si>
  <si>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</si>
  <si>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</si>
  <si>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</si>
  <si>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</si>
  <si>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</si>
  <si>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</si>
  <si>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</si>
  <si>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</si>
  <si>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</si>
  <si>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</si>
  <si>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</si>
  <si>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</si>
  <si>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</si>
  <si>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</si>
  <si>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</si>
  <si>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</si>
  <si>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</si>
  <si>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</si>
  <si>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</si>
  <si>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</si>
  <si>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</si>
  <si>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</si>
  <si>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</si>
  <si>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</si>
  <si>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</si>
  <si>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</si>
  <si>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</si>
  <si>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</si>
  <si>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</si>
  <si>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</si>
  <si>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</si>
  <si>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</si>
  <si>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</si>
  <si>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</si>
  <si>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</si>
  <si>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</si>
  <si>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</si>
  <si>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</si>
  <si>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</si>
  <si>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</si>
  <si>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</si>
  <si>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</si>
  <si>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</si>
  <si>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</si>
  <si>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</si>
  <si>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</si>
  <si>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</si>
  <si>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</si>
  <si>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</si>
  <si>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</si>
  <si>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</si>
  <si>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</si>
  <si>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</si>
  <si>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</si>
  <si>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</si>
  <si>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</si>
  <si>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</si>
  <si>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</si>
  <si>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</si>
  <si>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</si>
  <si>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</si>
  <si>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</si>
  <si>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</si>
  <si>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</si>
  <si>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</si>
  <si>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</si>
  <si>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</si>
  <si>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</si>
  <si>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</si>
  <si>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</si>
  <si>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</si>
  <si>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</si>
  <si>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</si>
  <si>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</si>
  <si>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</si>
  <si>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</si>
  <si>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</si>
  <si>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</si>
  <si>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</si>
  <si>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</si>
  <si>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</si>
  <si>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</si>
  <si>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</si>
  <si>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</si>
  <si>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</si>
  <si>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</si>
  <si>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</si>
  <si>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</si>
  <si>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</si>
  <si>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</si>
  <si>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</si>
  <si>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</si>
  <si>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</si>
  <si>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</si>
  <si>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</si>
  <si>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</si>
  <si>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</si>
  <si>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</si>
  <si>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</si>
  <si>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</si>
  <si>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</si>
  <si>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</si>
  <si>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</si>
  <si>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</si>
  <si>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</si>
  <si>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</si>
  <si>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</si>
  <si>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</si>
  <si>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</si>
  <si>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</si>
  <si>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</si>
  <si>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</si>
  <si>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</si>
  <si>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</si>
  <si>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</si>
  <si>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</si>
  <si>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</si>
  <si>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</si>
  <si>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</si>
  <si>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</si>
  <si>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</si>
  <si>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</si>
  <si>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</si>
  <si>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</si>
  <si>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</si>
  <si>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</si>
  <si>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</si>
  <si>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</si>
  <si>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LiveEx1</t>
  </si>
  <si>
    <t>LiveEx2</t>
  </si>
  <si>
    <t>25May26: Update coefficients of genotypes for LiveEx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</si>
</sst>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14" fillId="35" borderId="16" xfId="16" applyFill="1">
      <alignment vertical="top"/>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8" t="s">
        <v>3782</v>
      </c>
      <c r="H23" s="76"/>
      <c r="I23" s="76"/>
      <c r="J23" s="76"/>
      <c r="K23" s="354" t="s">
        <v>2321</v>
      </c>
      <c r="L23" s="351">
        <v>1.1999999999999999E-6</v>
      </c>
      <c r="M23" s="76"/>
      <c r="N23" s="354" t="s">
        <v>2322</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3"/>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4">
        <f>29+22</f>
        <v>51</v>
      </c>
      <c r="I44" s="614">
        <v>1.3</v>
      </c>
      <c r="J44" s="614">
        <v>0</v>
      </c>
      <c r="K44" s="621">
        <v>0</v>
      </c>
      <c r="L44" s="615"/>
      <c r="M44" s="615"/>
      <c r="N44" s="615"/>
      <c r="O44" s="615"/>
      <c r="P44" s="615"/>
      <c r="Q44" s="616"/>
      <c r="R44" s="616"/>
      <c r="S44" s="616"/>
      <c r="T44" s="616"/>
      <c r="U44" s="616"/>
      <c r="V44" s="617"/>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4">
        <v>536</v>
      </c>
      <c r="I45" s="614">
        <v>1.17</v>
      </c>
      <c r="J45" s="614">
        <v>0</v>
      </c>
      <c r="K45" s="621">
        <v>0</v>
      </c>
      <c r="L45" s="615"/>
      <c r="M45" s="615"/>
      <c r="N45" s="615"/>
      <c r="O45" s="615"/>
      <c r="P45" s="615"/>
      <c r="Q45" s="616"/>
      <c r="R45" s="616"/>
      <c r="S45" s="616"/>
      <c r="T45" s="616"/>
      <c r="U45" s="616"/>
      <c r="V45" s="617"/>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4">
        <v>1017</v>
      </c>
      <c r="I46" s="614">
        <f>0.6*I49+0.4*I48</f>
        <v>0.99800000000000011</v>
      </c>
      <c r="J46" s="626">
        <f>0.6*J49+0.4*J48</f>
        <v>6.6000000000000003E-2</v>
      </c>
      <c r="K46" s="621">
        <v>0</v>
      </c>
      <c r="L46" s="615"/>
      <c r="M46" s="615"/>
      <c r="N46" s="615"/>
      <c r="O46" s="615"/>
      <c r="P46" s="615"/>
      <c r="Q46" s="616"/>
      <c r="R46" s="616"/>
      <c r="S46" s="616"/>
      <c r="T46" s="616"/>
      <c r="U46" s="616"/>
      <c r="V46" s="617"/>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4">
        <f>453+22</f>
        <v>475</v>
      </c>
      <c r="I47" s="614">
        <v>1.08</v>
      </c>
      <c r="J47" s="626">
        <v>0.21</v>
      </c>
      <c r="K47" s="621">
        <v>0</v>
      </c>
      <c r="L47" s="615"/>
      <c r="M47" s="615"/>
      <c r="N47" s="615"/>
      <c r="O47" s="615"/>
      <c r="P47" s="615"/>
      <c r="Q47" s="616"/>
      <c r="R47" s="616"/>
      <c r="S47" s="616"/>
      <c r="T47" s="616"/>
      <c r="U47" s="616"/>
      <c r="V47" s="617"/>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4">
        <f>676+22</f>
        <v>698</v>
      </c>
      <c r="I48" s="614">
        <v>1.1000000000000001</v>
      </c>
      <c r="J48" s="614">
        <v>0</v>
      </c>
      <c r="K48" s="621">
        <v>0</v>
      </c>
      <c r="L48" s="615"/>
      <c r="M48" s="615"/>
      <c r="N48" s="615"/>
      <c r="O48" s="615"/>
      <c r="P48" s="615"/>
      <c r="Q48" s="616"/>
      <c r="R48" s="616"/>
      <c r="S48" s="616"/>
      <c r="T48" s="616"/>
      <c r="U48" s="616"/>
      <c r="V48" s="617"/>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4">
        <f>1209+22</f>
        <v>1231</v>
      </c>
      <c r="I49" s="614">
        <v>0.93</v>
      </c>
      <c r="J49" s="621">
        <v>0.11</v>
      </c>
      <c r="K49" s="621">
        <v>0</v>
      </c>
      <c r="L49" s="615"/>
      <c r="M49" s="615"/>
      <c r="N49" s="615"/>
      <c r="O49" s="615"/>
      <c r="P49" s="615"/>
      <c r="Q49" s="616"/>
      <c r="R49" s="616"/>
      <c r="S49" s="616"/>
      <c r="T49" s="616"/>
      <c r="U49" s="616"/>
      <c r="V49" s="617"/>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4">
        <f>674+22</f>
        <v>696</v>
      </c>
      <c r="I50" s="614">
        <v>0.95</v>
      </c>
      <c r="J50" s="621">
        <v>0.34300000000000003</v>
      </c>
      <c r="K50" s="621">
        <v>0.6</v>
      </c>
      <c r="L50" s="615"/>
      <c r="M50" s="615"/>
      <c r="N50" s="615"/>
      <c r="O50" s="615"/>
      <c r="P50" s="615"/>
      <c r="Q50" s="616"/>
      <c r="R50" s="616"/>
      <c r="S50" s="616"/>
      <c r="T50" s="616"/>
      <c r="U50" s="616"/>
      <c r="V50" s="617"/>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8" t="s">
        <v>69</v>
      </c>
      <c r="H51" s="614">
        <f>1083+22</f>
        <v>1105</v>
      </c>
      <c r="I51" s="614">
        <v>0.97</v>
      </c>
      <c r="J51" s="619">
        <v>0.27600000000000002</v>
      </c>
      <c r="K51" s="621">
        <v>0</v>
      </c>
      <c r="L51" s="615"/>
      <c r="M51" s="615"/>
      <c r="N51" s="615"/>
      <c r="O51" s="615"/>
      <c r="P51" s="615"/>
      <c r="Q51" s="616"/>
      <c r="R51" s="616"/>
      <c r="S51" s="616"/>
      <c r="T51" s="616"/>
      <c r="U51" s="616"/>
      <c r="V51" s="617"/>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0" t="s">
        <v>2905</v>
      </c>
      <c r="H52" s="614">
        <f>830+30</f>
        <v>860</v>
      </c>
      <c r="I52" s="614">
        <v>0.7</v>
      </c>
      <c r="J52" s="626">
        <v>0.46</v>
      </c>
      <c r="K52" s="621">
        <v>1</v>
      </c>
      <c r="L52" s="615"/>
      <c r="M52" s="615"/>
      <c r="N52" s="615"/>
      <c r="O52" s="615"/>
      <c r="Q52" s="616"/>
      <c r="R52" s="616"/>
      <c r="S52" s="616"/>
      <c r="T52" s="616"/>
      <c r="U52" s="616"/>
      <c r="V52" s="617"/>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0" t="s">
        <v>2543</v>
      </c>
      <c r="H53" s="614">
        <f>621+22</f>
        <v>643</v>
      </c>
      <c r="I53" s="614">
        <v>1.32</v>
      </c>
      <c r="J53" s="621">
        <v>0.32</v>
      </c>
      <c r="K53" s="621">
        <v>0.35</v>
      </c>
      <c r="L53" s="615"/>
      <c r="M53" s="615"/>
      <c r="N53" s="615"/>
      <c r="O53" s="615"/>
      <c r="P53" s="28"/>
      <c r="Q53" s="616"/>
      <c r="R53" s="616"/>
      <c r="S53" s="616"/>
      <c r="T53" s="616"/>
      <c r="U53" s="616"/>
      <c r="V53" s="617"/>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2"/>
      <c r="S54" s="622"/>
      <c r="T54" s="622"/>
      <c r="U54" s="622"/>
      <c r="V54" s="617"/>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3"/>
      <c r="K55" s="623"/>
      <c r="L55" s="623"/>
      <c r="M55" s="623"/>
      <c r="N55" s="623"/>
      <c r="O55" s="623"/>
      <c r="Q55" s="623"/>
      <c r="R55" s="622"/>
      <c r="S55" s="622"/>
      <c r="T55" s="622"/>
      <c r="U55" s="622"/>
      <c r="V55" s="617"/>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5"/>
      <c r="Q56" s="616"/>
      <c r="R56" s="616"/>
      <c r="S56" s="616"/>
      <c r="T56" s="616"/>
      <c r="U56" s="616"/>
      <c r="V56" s="617"/>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5"/>
      <c r="P57" s="615"/>
      <c r="Q57" s="616"/>
      <c r="R57" s="616"/>
      <c r="S57" s="616"/>
      <c r="T57" s="616"/>
      <c r="U57" s="616"/>
      <c r="V57" s="617"/>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5"/>
      <c r="P58" s="615"/>
      <c r="Q58" s="616"/>
      <c r="R58" s="616"/>
      <c r="S58" s="616"/>
      <c r="T58" s="616"/>
      <c r="U58" s="616"/>
      <c r="V58" s="617"/>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5"/>
      <c r="P59" s="615"/>
      <c r="Q59" s="616"/>
      <c r="R59" s="616"/>
      <c r="S59" s="616"/>
      <c r="T59" s="616"/>
      <c r="U59" s="616"/>
      <c r="V59" s="61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3804</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3805</v>
      </c>
      <c r="Y205" s="21" t="s">
        <v>3806</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3808</v>
      </c>
      <c r="AM205" s="21" t="s">
        <v>3809</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6" activePane="bottomLeft" state="frozen"/>
      <selection pane="bottomLeft" activeCell="A401" sqref="A401:XFD40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3800</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3488</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5">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4">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filterMode="1">
    <outlinePr summaryBelow="0" summaryRight="0"/>
  </sheetPr>
  <dimension ref="A1:AN2119"/>
  <sheetViews>
    <sheetView tabSelected="1" topLeftCell="A3" zoomScale="85" zoomScaleNormal="85" workbookViewId="0">
      <pane xSplit="9" ySplit="36" topLeftCell="J44" activePane="bottomRight" state="frozen"/>
      <selection activeCell="A3" sqref="A3"/>
      <selection pane="topRight" activeCell="J3" sqref="J3"/>
      <selection pane="bottomLeft" activeCell="A39" sqref="A39"/>
      <selection pane="bottomRight" activeCell="X51" sqref="X5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1" t="s">
        <v>3816</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46167.296395601901</v>
      </c>
      <c r="J12" s="634" t="s">
        <v>3819</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3817</v>
      </c>
      <c r="X35" s="611" t="s">
        <v>3818</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hidden="1"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3290</v>
      </c>
      <c r="G44" s="73"/>
      <c r="H44" s="129" t="s">
        <v>2962</v>
      </c>
      <c r="I44" s="96" t="s">
        <v>692</v>
      </c>
      <c r="J44" s="96"/>
      <c r="K44" s="76"/>
      <c r="L44" s="76"/>
      <c r="M44" s="76"/>
      <c r="N44" s="76"/>
      <c r="O44" s="76"/>
      <c r="P44" s="76"/>
      <c r="Q44" s="76"/>
      <c r="R44" s="76"/>
      <c r="S44" s="76"/>
      <c r="T44" s="76" t="s">
        <v>3287</v>
      </c>
      <c r="U44" s="248">
        <v>45</v>
      </c>
      <c r="V44" s="97">
        <v>65</v>
      </c>
      <c r="W44" s="97">
        <v>65</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39.769907963185268</v>
      </c>
      <c r="W45" s="610">
        <f t="shared" si="1"/>
        <v>39.769907963185268</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3289</v>
      </c>
      <c r="G50" s="73"/>
      <c r="H50" s="129" t="s">
        <v>464</v>
      </c>
      <c r="I50" s="96" t="s">
        <v>465</v>
      </c>
      <c r="J50" s="96"/>
      <c r="K50" s="76"/>
      <c r="L50" s="76"/>
      <c r="M50" s="76"/>
      <c r="N50" s="76"/>
      <c r="O50" s="76"/>
      <c r="P50" s="76"/>
      <c r="Q50" s="76"/>
      <c r="R50" s="76"/>
      <c r="S50" s="76"/>
      <c r="T50" s="76" t="s">
        <v>3287</v>
      </c>
      <c r="U50" s="97">
        <v>3.5</v>
      </c>
      <c r="V50" s="97">
        <v>3.8</v>
      </c>
      <c r="W50" s="97">
        <v>4.1500000000000004</v>
      </c>
      <c r="X50" s="97">
        <v>4.0999999999999996</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3288</v>
      </c>
      <c r="G51" s="73"/>
      <c r="H51" s="129" t="s">
        <v>466</v>
      </c>
      <c r="I51" s="96" t="s">
        <v>1402</v>
      </c>
      <c r="J51" s="96"/>
      <c r="K51" s="76"/>
      <c r="L51" s="76"/>
      <c r="M51" s="76"/>
      <c r="N51" s="76"/>
      <c r="O51" s="76"/>
      <c r="P51" s="76"/>
      <c r="Q51" s="76"/>
      <c r="R51" s="76"/>
      <c r="S51" s="76"/>
      <c r="T51" s="76" t="s">
        <v>3287</v>
      </c>
      <c r="U51" s="97">
        <v>17.5</v>
      </c>
      <c r="V51" s="97">
        <v>19</v>
      </c>
      <c r="W51" s="97">
        <v>19</v>
      </c>
      <c r="X51" s="97">
        <v>19</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hidden="1" outlineLevel="1" collapsed="1" x14ac:dyDescent="0.2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3287</v>
      </c>
      <c r="U104" s="253">
        <f t="shared" ref="U104:AD107" si="16">INDEX($K104:$Q104,1,U$43)</f>
        <v>1.5699999999999999E-2</v>
      </c>
      <c r="V104" s="97">
        <v>8.9999999999999993E-3</v>
      </c>
      <c r="W104" s="97">
        <v>7.9299999999999995E-3</v>
      </c>
      <c r="X104" s="97">
        <v>7.3800000000000003E-3</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3287</v>
      </c>
      <c r="U128" s="253">
        <f t="shared" ref="U128:V142" si="19">INDEX($K128:$Q128,1,U$43)</f>
        <v>0.04</v>
      </c>
      <c r="V128" s="97">
        <v>0.04</v>
      </c>
      <c r="W128" s="97">
        <v>4.0899999999999999E-2</v>
      </c>
      <c r="X128" s="97">
        <v>4.2000000000000003E-2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3287</v>
      </c>
      <c r="U283" s="97">
        <v>1</v>
      </c>
      <c r="V283" s="97">
        <v>1.71</v>
      </c>
      <c r="W283" s="97">
        <v>1.661</v>
      </c>
      <c r="X283" s="97">
        <v>1.635</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3287</v>
      </c>
      <c r="U321" s="97">
        <v>60000000</v>
      </c>
      <c r="V321" s="97">
        <v>61000000</v>
      </c>
      <c r="W321" s="97">
        <v>67232200</v>
      </c>
      <c r="X321" s="97">
        <v>71830100</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3287</v>
      </c>
      <c r="U326" s="253">
        <f>INDEX($K326:$Q326,1,U$43)</f>
        <v>51</v>
      </c>
      <c r="V326" s="97">
        <v>42</v>
      </c>
      <c r="W326" s="97">
        <v>42</v>
      </c>
      <c r="X326" s="97">
        <v>42</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3291</v>
      </c>
      <c r="G333" s="73"/>
      <c r="H333" s="76" t="s">
        <v>3294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3293</v>
      </c>
      <c r="G334" s="73"/>
      <c r="H334" s="76" t="s">
        <v>3296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outlineLevel="2" x14ac:dyDescent="0.25">
      <c r="A335" s="45"/>
      <c r="B335" s="54"/>
      <c r="C335" s="47">
        <f t="shared" si="54"/>
        <v>3</v>
      </c>
      <c r="D335" s="73"/>
      <c r="E335" s="70"/>
      <c r="F335" s="70" t="s">
        <v>3295</v>
      </c>
      <c r="G335" s="73"/>
      <c r="H335" s="76" t="s">
        <v>3299</v>
      </c>
      <c r="I335" s="96"/>
      <c r="J335" s="96"/>
      <c r="K335" s="76"/>
      <c r="L335" s="76"/>
      <c r="M335" s="76"/>
      <c r="N335" s="76"/>
      <c r="O335" s="76"/>
      <c r="P335" s="76"/>
      <c r="Q335" s="76"/>
      <c r="R335" s="76"/>
      <c r="S335" s="76"/>
      <c r="T335" s="76" t="s">
        <v>3287</v>
      </c>
      <c r="U335" s="97">
        <v>0.85</v>
      </c>
      <c r="V335" s="97">
        <v>0.77</v>
      </c>
      <c r="W335" s="97">
        <v>0.86</v>
      </c>
      <c r="X335" s="97">
        <v>0.87</v>
      </c>
      <c r="Y335" s="97">
        <v>0.85</v>
      </c>
      <c r="Z335" s="97">
        <v>0.85</v>
      </c>
      <c r="AA335" s="97">
        <v>0.85</v>
      </c>
      <c r="AB335" s="97">
        <v>0.85</v>
      </c>
      <c r="AC335" s="97">
        <v>0.85</v>
      </c>
      <c r="AD335" s="97">
        <v>0.85</v>
      </c>
      <c r="AE335" s="76"/>
      <c r="AF335" s="97" t="s">
        <v>3292</v>
      </c>
      <c r="AG335" s="76"/>
      <c r="AH335" s="97">
        <v>1</v>
      </c>
      <c r="AI335" s="97">
        <v>1</v>
      </c>
      <c r="AJ335" s="73"/>
      <c r="AK335" s="57"/>
      <c r="AL335" s="45"/>
      <c r="AM335" s="45"/>
      <c r="AN335" s="45"/>
    </row>
    <row r="336" spans="1:40" outlineLevel="2" x14ac:dyDescent="0.25">
      <c r="A336" s="45"/>
      <c r="B336" s="54"/>
      <c r="C336" s="47">
        <f t="shared" si="54"/>
        <v>3</v>
      </c>
      <c r="D336" s="73"/>
      <c r="E336" s="70"/>
      <c r="F336" s="70" t="s">
        <v>3298</v>
      </c>
      <c r="G336" s="73"/>
      <c r="H336" s="76" t="s">
        <v>3300</v>
      </c>
      <c r="I336" s="96"/>
      <c r="J336" s="96"/>
      <c r="K336" s="76"/>
      <c r="L336" s="76"/>
      <c r="M336" s="76"/>
      <c r="N336" s="76"/>
      <c r="O336" s="76"/>
      <c r="P336" s="76"/>
      <c r="Q336" s="76"/>
      <c r="R336" s="76"/>
      <c r="S336" s="76"/>
      <c r="T336" s="76" t="s">
        <v>3287</v>
      </c>
      <c r="U336" s="97">
        <v>1</v>
      </c>
      <c r="V336" s="97">
        <v>1.2</v>
      </c>
      <c r="W336" s="97">
        <v>1.07</v>
      </c>
      <c r="X336" s="97">
        <v>1.02</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3287</v>
      </c>
      <c r="U364" s="253">
        <f t="shared" ref="U364:V371" si="68">INDEX($K364:$Q364,1,U$43)</f>
        <v>27</v>
      </c>
      <c r="V364" s="97">
        <v>23.7</v>
      </c>
      <c r="W364" s="370">
        <v>22.638000000000002</v>
      </c>
      <c r="X364" s="370">
        <v>22.584</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3287</v>
      </c>
      <c r="U365" s="253">
        <f t="shared" si="68"/>
        <v>20.3</v>
      </c>
      <c r="V365" s="261">
        <f>$U365+(V364-$U364)</f>
        <v>17</v>
      </c>
      <c r="W365" s="261">
        <f t="shared" ref="W365:X365" si="71">$U365+(W364-$U364)</f>
        <v>15.938000000000002</v>
      </c>
      <c r="X365" s="261">
        <f t="shared" si="71"/>
        <v>15.884</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2">INDEX($K366:$Q366,1,W$43)</f>
        <v>2</v>
      </c>
      <c r="X366" s="253">
        <f t="shared" si="72"/>
        <v>2</v>
      </c>
      <c r="Y366" s="253">
        <f t="shared" si="69"/>
        <v>2</v>
      </c>
      <c r="Z366" s="253">
        <f t="shared" si="69"/>
        <v>2</v>
      </c>
      <c r="AA366" s="253">
        <f t="shared" ref="AA366:AA371" si="73">INDEX($K366:$Q366,1,AA$43)</f>
        <v>2</v>
      </c>
      <c r="AB366" s="253">
        <f t="shared" si="70"/>
        <v>2</v>
      </c>
      <c r="AC366" s="253">
        <f t="shared" si="70"/>
        <v>2</v>
      </c>
      <c r="AD366" s="253">
        <f t="shared" ref="AD366:AD371" si="74">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2"/>
        <v>13.8</v>
      </c>
      <c r="X367" s="253">
        <f t="shared" si="72"/>
        <v>13.8</v>
      </c>
      <c r="Y367" s="253">
        <f t="shared" si="69"/>
        <v>13.8</v>
      </c>
      <c r="Z367" s="253">
        <f t="shared" si="69"/>
        <v>13.8</v>
      </c>
      <c r="AA367" s="253">
        <f t="shared" si="73"/>
        <v>13.8</v>
      </c>
      <c r="AB367" s="253">
        <f t="shared" si="70"/>
        <v>13.8</v>
      </c>
      <c r="AC367" s="253">
        <f t="shared" si="70"/>
        <v>13.8</v>
      </c>
      <c r="AD367" s="253">
        <f t="shared" si="74"/>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2"/>
        <v>7.1999999999999995E-2</v>
      </c>
      <c r="X368" s="253">
        <f t="shared" si="72"/>
        <v>7.1999999999999995E-2</v>
      </c>
      <c r="Y368" s="253">
        <f t="shared" si="69"/>
        <v>7.1999999999999995E-2</v>
      </c>
      <c r="Z368" s="253">
        <f t="shared" si="69"/>
        <v>7.1999999999999995E-2</v>
      </c>
      <c r="AA368" s="253">
        <f t="shared" si="73"/>
        <v>7.1999999999999995E-2</v>
      </c>
      <c r="AB368" s="253">
        <f t="shared" si="70"/>
        <v>7.1999999999999995E-2</v>
      </c>
      <c r="AC368" s="253">
        <f t="shared" si="70"/>
        <v>7.1999999999999995E-2</v>
      </c>
      <c r="AD368" s="253">
        <f t="shared" si="74"/>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2"/>
        <v>0.14000000000000001</v>
      </c>
      <c r="X369" s="253">
        <f t="shared" si="72"/>
        <v>0.14000000000000001</v>
      </c>
      <c r="Y369" s="253">
        <f t="shared" si="69"/>
        <v>0.14000000000000001</v>
      </c>
      <c r="Z369" s="253">
        <f t="shared" si="69"/>
        <v>0.14000000000000001</v>
      </c>
      <c r="AA369" s="253">
        <f t="shared" si="73"/>
        <v>0.14000000000000001</v>
      </c>
      <c r="AB369" s="253">
        <f t="shared" si="70"/>
        <v>0.14000000000000001</v>
      </c>
      <c r="AC369" s="253">
        <f t="shared" si="70"/>
        <v>0.14000000000000001</v>
      </c>
      <c r="AD369" s="253">
        <f t="shared" si="74"/>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2"/>
        <v>8.0000000000000002E-3</v>
      </c>
      <c r="X370" s="253">
        <f t="shared" si="72"/>
        <v>8.0000000000000002E-3</v>
      </c>
      <c r="Y370" s="253">
        <f t="shared" si="69"/>
        <v>8.0000000000000002E-3</v>
      </c>
      <c r="Z370" s="253">
        <f t="shared" si="69"/>
        <v>8.0000000000000002E-3</v>
      </c>
      <c r="AA370" s="253">
        <f t="shared" si="73"/>
        <v>8.0000000000000002E-3</v>
      </c>
      <c r="AB370" s="253">
        <f t="shared" si="70"/>
        <v>8.0000000000000002E-3</v>
      </c>
      <c r="AC370" s="253">
        <f t="shared" si="70"/>
        <v>8.0000000000000002E-3</v>
      </c>
      <c r="AD370" s="253">
        <f t="shared" si="74"/>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2"/>
        <v>0.115</v>
      </c>
      <c r="X371" s="253">
        <f t="shared" si="72"/>
        <v>0.115</v>
      </c>
      <c r="Y371" s="253">
        <f t="shared" si="69"/>
        <v>0.115</v>
      </c>
      <c r="Z371" s="253">
        <f t="shared" si="69"/>
        <v>0.115</v>
      </c>
      <c r="AA371" s="253">
        <f t="shared" si="73"/>
        <v>0.115</v>
      </c>
      <c r="AB371" s="253">
        <f t="shared" si="70"/>
        <v>0.115</v>
      </c>
      <c r="AC371" s="253">
        <f t="shared" si="70"/>
        <v>0.115</v>
      </c>
      <c r="AD371" s="253">
        <f t="shared" si="74"/>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5">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6">INDEX($K374:$Q374,1,U$43)</f>
        <v>1.0900000000000001</v>
      </c>
      <c r="V374" s="253">
        <f t="shared" si="76"/>
        <v>1.0900000000000001</v>
      </c>
      <c r="W374" s="253">
        <f t="shared" si="76"/>
        <v>1.0900000000000001</v>
      </c>
      <c r="X374" s="253">
        <f t="shared" si="76"/>
        <v>1.0900000000000001</v>
      </c>
      <c r="Y374" s="253">
        <f t="shared" si="76"/>
        <v>1.0900000000000001</v>
      </c>
      <c r="Z374" s="253">
        <f t="shared" si="76"/>
        <v>1.0900000000000001</v>
      </c>
      <c r="AA374" s="253">
        <f t="shared" si="76"/>
        <v>1.0900000000000001</v>
      </c>
      <c r="AB374" s="253">
        <f t="shared" si="76"/>
        <v>1.0900000000000001</v>
      </c>
      <c r="AC374" s="253">
        <f t="shared" si="76"/>
        <v>1.0900000000000001</v>
      </c>
      <c r="AD374" s="253">
        <f t="shared" si="76"/>
        <v>1.0900000000000001</v>
      </c>
      <c r="AE374" s="76"/>
      <c r="AF374" s="76"/>
      <c r="AG374" s="76"/>
      <c r="AH374" s="97">
        <v>1</v>
      </c>
      <c r="AI374" s="97">
        <v>1</v>
      </c>
      <c r="AJ374" s="73"/>
      <c r="AK374" s="57"/>
      <c r="AL374" s="45"/>
      <c r="AM374" s="45"/>
      <c r="AN374" s="45"/>
    </row>
    <row r="375" spans="1:40" hidden="1" outlineLevel="2" x14ac:dyDescent="0.25">
      <c r="A375" s="45"/>
      <c r="B375" s="54"/>
      <c r="C375" s="47">
        <f t="shared" si="75"/>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5"/>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7">INDEX($K376:$Q376,1,U$43)</f>
        <v>39.6</v>
      </c>
      <c r="V376" s="253">
        <f t="shared" si="77"/>
        <v>39.6</v>
      </c>
      <c r="W376" s="253">
        <f t="shared" si="77"/>
        <v>39.6</v>
      </c>
      <c r="X376" s="253">
        <f t="shared" si="77"/>
        <v>39.6</v>
      </c>
      <c r="Y376" s="253">
        <f t="shared" si="77"/>
        <v>39.6</v>
      </c>
      <c r="Z376" s="253">
        <f t="shared" si="77"/>
        <v>39.6</v>
      </c>
      <c r="AA376" s="253">
        <f t="shared" si="77"/>
        <v>39.6</v>
      </c>
      <c r="AB376" s="253">
        <f t="shared" si="77"/>
        <v>39.6</v>
      </c>
      <c r="AC376" s="253">
        <f t="shared" si="77"/>
        <v>39.6</v>
      </c>
      <c r="AD376" s="253">
        <f t="shared" si="77"/>
        <v>39.6</v>
      </c>
      <c r="AE376" s="76"/>
      <c r="AF376" s="76"/>
      <c r="AG376" s="76"/>
      <c r="AH376" s="97">
        <v>1</v>
      </c>
      <c r="AI376" s="97">
        <v>1</v>
      </c>
      <c r="AJ376" s="73"/>
      <c r="AK376" s="57"/>
      <c r="AL376" s="45"/>
      <c r="AM376" s="45"/>
      <c r="AN376" s="45"/>
    </row>
    <row r="377" spans="1:40" hidden="1" outlineLevel="2" x14ac:dyDescent="0.25">
      <c r="A377" s="45"/>
      <c r="B377" s="54"/>
      <c r="C377" s="47">
        <f t="shared" si="75"/>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7"/>
        <v>23.8</v>
      </c>
      <c r="V377" s="253">
        <f t="shared" si="77"/>
        <v>23.8</v>
      </c>
      <c r="W377" s="253">
        <f t="shared" si="77"/>
        <v>23.8</v>
      </c>
      <c r="X377" s="253">
        <f t="shared" si="77"/>
        <v>23.8</v>
      </c>
      <c r="Y377" s="253">
        <f t="shared" si="77"/>
        <v>23.8</v>
      </c>
      <c r="Z377" s="253">
        <f t="shared" si="77"/>
        <v>23.8</v>
      </c>
      <c r="AA377" s="253">
        <f t="shared" si="77"/>
        <v>23.8</v>
      </c>
      <c r="AB377" s="253">
        <f t="shared" si="77"/>
        <v>23.8</v>
      </c>
      <c r="AC377" s="253">
        <f t="shared" si="77"/>
        <v>23.8</v>
      </c>
      <c r="AD377" s="253">
        <f t="shared" si="77"/>
        <v>23.8</v>
      </c>
      <c r="AE377" s="76"/>
      <c r="AF377" s="76"/>
      <c r="AG377" s="76"/>
      <c r="AH377" s="97">
        <v>1</v>
      </c>
      <c r="AI377" s="97">
        <v>1</v>
      </c>
      <c r="AJ377" s="73"/>
      <c r="AK377" s="57"/>
      <c r="AL377" s="45"/>
      <c r="AM377" s="45"/>
      <c r="AN377" s="45"/>
    </row>
    <row r="378" spans="1:40" hidden="1" outlineLevel="2" x14ac:dyDescent="0.25">
      <c r="A378" s="45"/>
      <c r="B378" s="54"/>
      <c r="C378" s="47">
        <f t="shared" si="75"/>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7"/>
        <v>23.8</v>
      </c>
      <c r="V378" s="253">
        <f t="shared" si="77"/>
        <v>23.8</v>
      </c>
      <c r="W378" s="253">
        <f t="shared" si="77"/>
        <v>23.8</v>
      </c>
      <c r="X378" s="253">
        <f t="shared" si="77"/>
        <v>23.8</v>
      </c>
      <c r="Y378" s="253">
        <f t="shared" si="77"/>
        <v>23.8</v>
      </c>
      <c r="Z378" s="253">
        <f t="shared" si="77"/>
        <v>23.8</v>
      </c>
      <c r="AA378" s="253">
        <f t="shared" si="77"/>
        <v>23.8</v>
      </c>
      <c r="AB378" s="253">
        <f t="shared" si="77"/>
        <v>23.8</v>
      </c>
      <c r="AC378" s="253">
        <f t="shared" si="77"/>
        <v>23.8</v>
      </c>
      <c r="AD378" s="253">
        <f t="shared" si="77"/>
        <v>23.8</v>
      </c>
      <c r="AE378" s="76"/>
      <c r="AF378" s="76"/>
      <c r="AG378" s="76"/>
      <c r="AH378" s="97">
        <v>1</v>
      </c>
      <c r="AI378" s="97">
        <v>1</v>
      </c>
      <c r="AJ378" s="73"/>
      <c r="AK378" s="57"/>
      <c r="AL378" s="45"/>
      <c r="AM378" s="45"/>
      <c r="AN378" s="45"/>
    </row>
    <row r="379" spans="1:40" hidden="1" outlineLevel="2" x14ac:dyDescent="0.25">
      <c r="A379" s="45"/>
      <c r="B379" s="54"/>
      <c r="C379" s="47">
        <f t="shared" si="75"/>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7"/>
        <v>23.8</v>
      </c>
      <c r="V379" s="253">
        <f t="shared" si="77"/>
        <v>23.8</v>
      </c>
      <c r="W379" s="253">
        <f t="shared" si="77"/>
        <v>23.8</v>
      </c>
      <c r="X379" s="253">
        <f t="shared" si="77"/>
        <v>23.8</v>
      </c>
      <c r="Y379" s="253">
        <f t="shared" si="77"/>
        <v>23.8</v>
      </c>
      <c r="Z379" s="253">
        <f t="shared" si="77"/>
        <v>23.8</v>
      </c>
      <c r="AA379" s="253">
        <f t="shared" si="77"/>
        <v>23.8</v>
      </c>
      <c r="AB379" s="253">
        <f t="shared" si="77"/>
        <v>23.8</v>
      </c>
      <c r="AC379" s="253">
        <f t="shared" si="77"/>
        <v>23.8</v>
      </c>
      <c r="AD379" s="253">
        <f t="shared" si="77"/>
        <v>23.8</v>
      </c>
      <c r="AE379" s="76"/>
      <c r="AF379" s="76"/>
      <c r="AG379" s="76"/>
      <c r="AH379" s="97">
        <v>1</v>
      </c>
      <c r="AI379" s="97">
        <v>1</v>
      </c>
      <c r="AJ379" s="73"/>
      <c r="AK379" s="57"/>
      <c r="AL379" s="45"/>
      <c r="AM379" s="45"/>
      <c r="AN379" s="45"/>
    </row>
    <row r="380" spans="1:40" hidden="1" outlineLevel="2" x14ac:dyDescent="0.25">
      <c r="A380" s="45"/>
      <c r="B380" s="54"/>
      <c r="C380" s="47">
        <f t="shared" si="75"/>
        <v>3</v>
      </c>
      <c r="D380" s="73"/>
      <c r="E380" s="70"/>
      <c r="F380" s="70" t="s">
        <v>2798</v>
      </c>
      <c r="G380" s="73"/>
      <c r="H380" s="76" t="s">
        <v>2812</v>
      </c>
      <c r="I380" s="96" t="s">
        <v>2963</v>
      </c>
      <c r="J380" s="96"/>
      <c r="K380" s="76"/>
      <c r="L380" s="76"/>
      <c r="M380" s="76"/>
      <c r="N380" s="76"/>
      <c r="O380" s="76"/>
      <c r="P380" s="76"/>
      <c r="Q380" s="76"/>
      <c r="R380" s="76"/>
      <c r="S380" s="76"/>
      <c r="T380" s="76"/>
      <c r="U380" s="253">
        <f t="shared" si="77"/>
        <v>0</v>
      </c>
      <c r="V380" s="253">
        <f t="shared" si="77"/>
        <v>0</v>
      </c>
      <c r="W380" s="253">
        <f t="shared" si="77"/>
        <v>0</v>
      </c>
      <c r="X380" s="253">
        <f t="shared" si="77"/>
        <v>0</v>
      </c>
      <c r="Y380" s="253">
        <f t="shared" si="77"/>
        <v>0</v>
      </c>
      <c r="Z380" s="253">
        <f t="shared" si="77"/>
        <v>0</v>
      </c>
      <c r="AA380" s="253">
        <f t="shared" si="77"/>
        <v>0</v>
      </c>
      <c r="AB380" s="253">
        <f t="shared" si="77"/>
        <v>0</v>
      </c>
      <c r="AC380" s="253">
        <f t="shared" si="77"/>
        <v>0</v>
      </c>
      <c r="AD380" s="253">
        <f t="shared" si="77"/>
        <v>0</v>
      </c>
      <c r="AE380" s="76"/>
      <c r="AF380" s="76"/>
      <c r="AG380" s="76"/>
      <c r="AH380" s="76">
        <v>1</v>
      </c>
      <c r="AI380" s="76">
        <v>1</v>
      </c>
      <c r="AJ380" s="73"/>
      <c r="AK380" s="57"/>
      <c r="AL380" s="45"/>
      <c r="AM380" s="45"/>
      <c r="AN380" s="45"/>
    </row>
    <row r="381" spans="1:40" hidden="1" outlineLevel="2" x14ac:dyDescent="0.25">
      <c r="A381" s="45"/>
      <c r="B381" s="54"/>
      <c r="C381" s="47">
        <f t="shared" si="75"/>
        <v>3</v>
      </c>
      <c r="D381" s="73"/>
      <c r="E381" s="70"/>
      <c r="F381" s="70" t="s">
        <v>2799</v>
      </c>
      <c r="G381" s="73"/>
      <c r="H381" s="76" t="s">
        <v>2813</v>
      </c>
      <c r="I381" s="96" t="s">
        <v>2963</v>
      </c>
      <c r="J381" s="96"/>
      <c r="K381" s="76"/>
      <c r="L381" s="76"/>
      <c r="M381" s="76"/>
      <c r="N381" s="76"/>
      <c r="O381" s="76"/>
      <c r="P381" s="76"/>
      <c r="Q381" s="76"/>
      <c r="R381" s="76"/>
      <c r="S381" s="76"/>
      <c r="T381" s="76"/>
      <c r="U381" s="253">
        <f t="shared" si="77"/>
        <v>0</v>
      </c>
      <c r="V381" s="253">
        <f t="shared" si="77"/>
        <v>0</v>
      </c>
      <c r="W381" s="253">
        <f t="shared" si="77"/>
        <v>0</v>
      </c>
      <c r="X381" s="253">
        <f t="shared" si="77"/>
        <v>0</v>
      </c>
      <c r="Y381" s="253">
        <f t="shared" si="77"/>
        <v>0</v>
      </c>
      <c r="Z381" s="253">
        <f t="shared" si="77"/>
        <v>0</v>
      </c>
      <c r="AA381" s="253">
        <f t="shared" si="77"/>
        <v>0</v>
      </c>
      <c r="AB381" s="253">
        <f t="shared" si="77"/>
        <v>0</v>
      </c>
      <c r="AC381" s="253">
        <f t="shared" si="77"/>
        <v>0</v>
      </c>
      <c r="AD381" s="253">
        <f t="shared" si="77"/>
        <v>0</v>
      </c>
      <c r="AE381" s="76"/>
      <c r="AF381" s="76"/>
      <c r="AG381" s="76"/>
      <c r="AH381" s="76">
        <v>1</v>
      </c>
      <c r="AI381" s="76">
        <v>1</v>
      </c>
      <c r="AJ381" s="73"/>
      <c r="AK381" s="57"/>
      <c r="AL381" s="45"/>
      <c r="AM381" s="45"/>
      <c r="AN381" s="45"/>
    </row>
    <row r="382" spans="1:40" hidden="1" outlineLevel="2" x14ac:dyDescent="0.25">
      <c r="A382" s="45"/>
      <c r="B382" s="54"/>
      <c r="C382" s="47">
        <f t="shared" si="75"/>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7"/>
        <v>1</v>
      </c>
      <c r="V382" s="253">
        <f t="shared" si="77"/>
        <v>1</v>
      </c>
      <c r="W382" s="253">
        <f t="shared" si="77"/>
        <v>1</v>
      </c>
      <c r="X382" s="253">
        <f t="shared" si="77"/>
        <v>1</v>
      </c>
      <c r="Y382" s="253">
        <f t="shared" si="77"/>
        <v>1</v>
      </c>
      <c r="Z382" s="253">
        <f t="shared" si="77"/>
        <v>1</v>
      </c>
      <c r="AA382" s="253">
        <f t="shared" si="77"/>
        <v>1</v>
      </c>
      <c r="AB382" s="253">
        <f t="shared" si="77"/>
        <v>1</v>
      </c>
      <c r="AC382" s="253">
        <f t="shared" si="77"/>
        <v>1</v>
      </c>
      <c r="AD382" s="253">
        <f t="shared" si="77"/>
        <v>1</v>
      </c>
      <c r="AE382" s="76"/>
      <c r="AF382" s="76"/>
      <c r="AG382" s="76"/>
      <c r="AH382" s="97">
        <v>1</v>
      </c>
      <c r="AI382" s="97">
        <v>1</v>
      </c>
      <c r="AJ382" s="73"/>
      <c r="AK382" s="57"/>
      <c r="AL382" s="45"/>
      <c r="AM382" s="45"/>
      <c r="AN382" s="45"/>
    </row>
    <row r="383" spans="1:40" hidden="1" outlineLevel="2" x14ac:dyDescent="0.25">
      <c r="A383" s="45"/>
      <c r="B383" s="54"/>
      <c r="C383" s="47">
        <f t="shared" si="75"/>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7"/>
        <v>0.21</v>
      </c>
      <c r="V383" s="253">
        <f t="shared" si="77"/>
        <v>0.21</v>
      </c>
      <c r="W383" s="253">
        <f t="shared" si="77"/>
        <v>0.21</v>
      </c>
      <c r="X383" s="253">
        <f t="shared" si="77"/>
        <v>0.21</v>
      </c>
      <c r="Y383" s="253">
        <f t="shared" si="77"/>
        <v>0.21</v>
      </c>
      <c r="Z383" s="253">
        <f t="shared" si="77"/>
        <v>0.21</v>
      </c>
      <c r="AA383" s="253">
        <f t="shared" si="77"/>
        <v>0.21</v>
      </c>
      <c r="AB383" s="253">
        <f t="shared" si="77"/>
        <v>0.21</v>
      </c>
      <c r="AC383" s="253">
        <f t="shared" si="77"/>
        <v>0.21</v>
      </c>
      <c r="AD383" s="253">
        <f t="shared" si="77"/>
        <v>0.21</v>
      </c>
      <c r="AE383" s="76"/>
      <c r="AF383" s="76"/>
      <c r="AG383" s="76"/>
      <c r="AH383" s="97">
        <v>1</v>
      </c>
      <c r="AI383" s="97">
        <v>1</v>
      </c>
      <c r="AJ383" s="73"/>
      <c r="AK383" s="57"/>
      <c r="AL383" s="45"/>
      <c r="AM383" s="45"/>
      <c r="AN383" s="45"/>
    </row>
    <row r="384" spans="1:40" hidden="1" outlineLevel="2" x14ac:dyDescent="0.25">
      <c r="A384" s="45"/>
      <c r="B384" s="54"/>
      <c r="C384" s="47">
        <f t="shared" si="75"/>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7"/>
        <v>0.157</v>
      </c>
      <c r="V384" s="253">
        <f t="shared" si="77"/>
        <v>0.157</v>
      </c>
      <c r="W384" s="253">
        <f t="shared" si="77"/>
        <v>0.157</v>
      </c>
      <c r="X384" s="253">
        <f t="shared" si="77"/>
        <v>0.157</v>
      </c>
      <c r="Y384" s="253">
        <f t="shared" si="77"/>
        <v>0.157</v>
      </c>
      <c r="Z384" s="253">
        <f t="shared" si="77"/>
        <v>0.157</v>
      </c>
      <c r="AA384" s="253">
        <f t="shared" si="77"/>
        <v>0.157</v>
      </c>
      <c r="AB384" s="253">
        <f t="shared" si="77"/>
        <v>0.157</v>
      </c>
      <c r="AC384" s="253">
        <f t="shared" si="77"/>
        <v>0.157</v>
      </c>
      <c r="AD384" s="253">
        <f t="shared" si="77"/>
        <v>0.157</v>
      </c>
      <c r="AE384" s="76"/>
      <c r="AF384" s="76"/>
      <c r="AG384" s="76"/>
      <c r="AH384" s="97">
        <v>1</v>
      </c>
      <c r="AI384" s="97">
        <v>1</v>
      </c>
      <c r="AJ384" s="73"/>
      <c r="AK384" s="57"/>
      <c r="AL384" s="45"/>
      <c r="AM384" s="45"/>
      <c r="AN384" s="45"/>
    </row>
    <row r="385" spans="1:40" hidden="1" outlineLevel="2" x14ac:dyDescent="0.25">
      <c r="A385" s="45"/>
      <c r="B385" s="54"/>
      <c r="C385" s="47">
        <f t="shared" si="75"/>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7"/>
        <v>0.85</v>
      </c>
      <c r="V385" s="253">
        <f t="shared" si="77"/>
        <v>0.85</v>
      </c>
      <c r="W385" s="253">
        <f t="shared" si="77"/>
        <v>0.85</v>
      </c>
      <c r="X385" s="253">
        <f t="shared" si="77"/>
        <v>0.85</v>
      </c>
      <c r="Y385" s="253">
        <f t="shared" si="77"/>
        <v>0.85</v>
      </c>
      <c r="Z385" s="253">
        <f t="shared" si="77"/>
        <v>0.85</v>
      </c>
      <c r="AA385" s="253">
        <f t="shared" si="77"/>
        <v>0.85</v>
      </c>
      <c r="AB385" s="253">
        <f t="shared" si="77"/>
        <v>0.85</v>
      </c>
      <c r="AC385" s="253">
        <f t="shared" si="77"/>
        <v>0.85</v>
      </c>
      <c r="AD385" s="253">
        <f t="shared" si="77"/>
        <v>0.85</v>
      </c>
      <c r="AE385" s="76"/>
      <c r="AF385" s="76"/>
      <c r="AG385" s="76"/>
      <c r="AH385" s="97">
        <v>1</v>
      </c>
      <c r="AI385" s="97">
        <v>1</v>
      </c>
      <c r="AJ385" s="73"/>
      <c r="AK385" s="57"/>
      <c r="AL385" s="45"/>
      <c r="AM385" s="45"/>
      <c r="AN385" s="45"/>
    </row>
    <row r="386" spans="1:40" hidden="1" outlineLevel="2" x14ac:dyDescent="0.25">
      <c r="A386" s="45"/>
      <c r="B386" s="54"/>
      <c r="C386" s="47">
        <f t="shared" si="75"/>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8">INDEX($K386:$Q386,1,U$43)</f>
        <v>0</v>
      </c>
      <c r="V386" s="253">
        <f t="shared" si="78"/>
        <v>0</v>
      </c>
      <c r="W386" s="253">
        <f t="shared" si="78"/>
        <v>0</v>
      </c>
      <c r="X386" s="253">
        <f t="shared" si="78"/>
        <v>0</v>
      </c>
      <c r="Y386" s="253">
        <f t="shared" si="78"/>
        <v>0</v>
      </c>
      <c r="Z386" s="253">
        <f t="shared" si="78"/>
        <v>0</v>
      </c>
      <c r="AA386" s="253">
        <f t="shared" si="78"/>
        <v>0</v>
      </c>
      <c r="AB386" s="253">
        <f t="shared" si="78"/>
        <v>0</v>
      </c>
      <c r="AC386" s="253">
        <f t="shared" si="78"/>
        <v>0</v>
      </c>
      <c r="AD386" s="253">
        <f t="shared" si="78"/>
        <v>0</v>
      </c>
      <c r="AE386" s="76"/>
      <c r="AF386" s="76"/>
      <c r="AG386" s="76"/>
      <c r="AH386" s="76">
        <v>1</v>
      </c>
      <c r="AI386" s="76">
        <v>1</v>
      </c>
      <c r="AJ386" s="73"/>
      <c r="AK386" s="57"/>
      <c r="AL386" s="45"/>
      <c r="AM386" s="45"/>
      <c r="AN386" s="45"/>
    </row>
    <row r="387" spans="1:40" hidden="1" outlineLevel="2" x14ac:dyDescent="0.25">
      <c r="A387" s="45"/>
      <c r="B387" s="54"/>
      <c r="C387" s="47">
        <f t="shared" si="75"/>
        <v>3</v>
      </c>
      <c r="D387" s="73"/>
      <c r="E387" s="70"/>
      <c r="F387" s="70" t="s">
        <v>2839</v>
      </c>
      <c r="G387" s="73"/>
      <c r="H387" s="76" t="s">
        <v>2813</v>
      </c>
      <c r="I387" s="96" t="s">
        <v>502</v>
      </c>
      <c r="J387" s="96"/>
      <c r="K387" s="76"/>
      <c r="L387" s="76"/>
      <c r="M387" s="76"/>
      <c r="N387" s="76"/>
      <c r="O387" s="76"/>
      <c r="P387" s="76"/>
      <c r="Q387" s="76"/>
      <c r="R387" s="76"/>
      <c r="S387" s="76"/>
      <c r="T387" s="76"/>
      <c r="U387" s="253">
        <f t="shared" si="78"/>
        <v>0</v>
      </c>
      <c r="V387" s="253">
        <f t="shared" si="78"/>
        <v>0</v>
      </c>
      <c r="W387" s="253">
        <f t="shared" si="78"/>
        <v>0</v>
      </c>
      <c r="X387" s="253">
        <f t="shared" si="78"/>
        <v>0</v>
      </c>
      <c r="Y387" s="253">
        <f t="shared" si="78"/>
        <v>0</v>
      </c>
      <c r="Z387" s="253">
        <f t="shared" si="78"/>
        <v>0</v>
      </c>
      <c r="AA387" s="253">
        <f t="shared" si="78"/>
        <v>0</v>
      </c>
      <c r="AB387" s="253">
        <f t="shared" si="78"/>
        <v>0</v>
      </c>
      <c r="AC387" s="253">
        <f t="shared" si="78"/>
        <v>0</v>
      </c>
      <c r="AD387" s="253">
        <f t="shared" si="78"/>
        <v>0</v>
      </c>
      <c r="AE387" s="76"/>
      <c r="AF387" s="76"/>
      <c r="AG387" s="76"/>
      <c r="AH387" s="76">
        <v>1</v>
      </c>
      <c r="AI387" s="76">
        <v>1</v>
      </c>
      <c r="AJ387" s="73"/>
      <c r="AK387" s="57"/>
      <c r="AL387" s="45"/>
      <c r="AM387" s="45"/>
      <c r="AN387" s="45"/>
    </row>
    <row r="388" spans="1:40" hidden="1" outlineLevel="2" x14ac:dyDescent="0.25">
      <c r="A388" s="45"/>
      <c r="B388" s="54"/>
      <c r="C388" s="47">
        <f t="shared" si="75"/>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8"/>
        <v>0.22600000000000001</v>
      </c>
      <c r="V388" s="253">
        <f t="shared" si="78"/>
        <v>0.22600000000000001</v>
      </c>
      <c r="W388" s="253">
        <f t="shared" si="78"/>
        <v>0.22600000000000001</v>
      </c>
      <c r="X388" s="253">
        <f t="shared" si="78"/>
        <v>0.22600000000000001</v>
      </c>
      <c r="Y388" s="253">
        <f t="shared" si="78"/>
        <v>0.22600000000000001</v>
      </c>
      <c r="Z388" s="253">
        <f t="shared" si="78"/>
        <v>0.22600000000000001</v>
      </c>
      <c r="AA388" s="253">
        <f t="shared" si="78"/>
        <v>0.22600000000000001</v>
      </c>
      <c r="AB388" s="253">
        <f t="shared" si="78"/>
        <v>0.22600000000000001</v>
      </c>
      <c r="AC388" s="253">
        <f t="shared" si="78"/>
        <v>0.22600000000000001</v>
      </c>
      <c r="AD388" s="253">
        <f t="shared" si="78"/>
        <v>0.22600000000000001</v>
      </c>
      <c r="AE388" s="76"/>
      <c r="AF388" s="76"/>
      <c r="AG388" s="76"/>
      <c r="AH388" s="97">
        <v>1</v>
      </c>
      <c r="AI388" s="97">
        <v>1</v>
      </c>
      <c r="AJ388" s="73"/>
      <c r="AK388" s="57"/>
      <c r="AL388" s="45"/>
      <c r="AM388" s="45"/>
      <c r="AN388" s="45"/>
    </row>
    <row r="389" spans="1:40" hidden="1" outlineLevel="2" x14ac:dyDescent="0.25">
      <c r="A389" s="45"/>
      <c r="B389" s="54"/>
      <c r="C389" s="47">
        <f t="shared" si="75"/>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8"/>
        <v>0.05</v>
      </c>
      <c r="V389" s="253">
        <f t="shared" si="78"/>
        <v>0.05</v>
      </c>
      <c r="W389" s="253">
        <f t="shared" si="78"/>
        <v>0.05</v>
      </c>
      <c r="X389" s="253">
        <f t="shared" si="78"/>
        <v>0.05</v>
      </c>
      <c r="Y389" s="253">
        <f t="shared" si="78"/>
        <v>0.05</v>
      </c>
      <c r="Z389" s="253">
        <f t="shared" si="78"/>
        <v>0.05</v>
      </c>
      <c r="AA389" s="253">
        <f t="shared" si="78"/>
        <v>0.05</v>
      </c>
      <c r="AB389" s="253">
        <f t="shared" si="78"/>
        <v>0.05</v>
      </c>
      <c r="AC389" s="253">
        <f t="shared" si="78"/>
        <v>0.05</v>
      </c>
      <c r="AD389" s="253">
        <f t="shared" si="78"/>
        <v>0.05</v>
      </c>
      <c r="AE389" s="76"/>
      <c r="AF389" s="76"/>
      <c r="AG389" s="76"/>
      <c r="AH389" s="97">
        <v>1</v>
      </c>
      <c r="AI389" s="97">
        <v>1</v>
      </c>
      <c r="AJ389" s="73"/>
      <c r="AK389" s="57"/>
      <c r="AL389" s="45"/>
      <c r="AM389" s="45"/>
      <c r="AN389" s="45"/>
    </row>
    <row r="390" spans="1:40" hidden="1" outlineLevel="2" x14ac:dyDescent="0.25">
      <c r="A390" s="45"/>
      <c r="B390" s="54"/>
      <c r="C390" s="47">
        <f t="shared" si="75"/>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8"/>
        <v>0.24859999999999999</v>
      </c>
      <c r="V390" s="253">
        <f t="shared" si="78"/>
        <v>0.24859999999999999</v>
      </c>
      <c r="W390" s="253">
        <f t="shared" si="78"/>
        <v>0.24859999999999999</v>
      </c>
      <c r="X390" s="253">
        <f t="shared" si="78"/>
        <v>0.24859999999999999</v>
      </c>
      <c r="Y390" s="253">
        <f t="shared" si="78"/>
        <v>0.24859999999999999</v>
      </c>
      <c r="Z390" s="253">
        <f t="shared" si="78"/>
        <v>0.24859999999999999</v>
      </c>
      <c r="AA390" s="253">
        <f t="shared" si="78"/>
        <v>0.24859999999999999</v>
      </c>
      <c r="AB390" s="253">
        <f t="shared" si="78"/>
        <v>0.24859999999999999</v>
      </c>
      <c r="AC390" s="253">
        <f t="shared" si="78"/>
        <v>0.24859999999999999</v>
      </c>
      <c r="AD390" s="253">
        <f t="shared" si="78"/>
        <v>0.24859999999999999</v>
      </c>
      <c r="AE390" s="76"/>
      <c r="AF390" s="76"/>
      <c r="AG390" s="76"/>
      <c r="AH390" s="97">
        <v>1</v>
      </c>
      <c r="AI390" s="97">
        <v>1</v>
      </c>
      <c r="AJ390" s="73"/>
      <c r="AK390" s="57"/>
      <c r="AL390" s="45"/>
      <c r="AM390" s="45"/>
      <c r="AN390" s="45"/>
    </row>
    <row r="391" spans="1:40" hidden="1" outlineLevel="2" x14ac:dyDescent="0.25">
      <c r="A391" s="45"/>
      <c r="B391" s="54"/>
      <c r="C391" s="47">
        <f t="shared" si="75"/>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8"/>
        <v>0.67600000000000005</v>
      </c>
      <c r="V391" s="253">
        <f t="shared" si="78"/>
        <v>0.67600000000000005</v>
      </c>
      <c r="W391" s="253">
        <f t="shared" si="78"/>
        <v>0.67600000000000005</v>
      </c>
      <c r="X391" s="253">
        <f t="shared" si="78"/>
        <v>0.67600000000000005</v>
      </c>
      <c r="Y391" s="253">
        <f t="shared" si="78"/>
        <v>0.67600000000000005</v>
      </c>
      <c r="Z391" s="253">
        <f t="shared" si="78"/>
        <v>0.67600000000000005</v>
      </c>
      <c r="AA391" s="253">
        <f t="shared" si="78"/>
        <v>0.67600000000000005</v>
      </c>
      <c r="AB391" s="253">
        <f t="shared" si="78"/>
        <v>0.67600000000000005</v>
      </c>
      <c r="AC391" s="253">
        <f t="shared" si="78"/>
        <v>0.67600000000000005</v>
      </c>
      <c r="AD391" s="253">
        <f t="shared" si="78"/>
        <v>0.67600000000000005</v>
      </c>
      <c r="AE391" s="76"/>
      <c r="AF391" s="76"/>
      <c r="AG391" s="76"/>
      <c r="AH391" s="97">
        <v>1</v>
      </c>
      <c r="AI391" s="97">
        <v>1</v>
      </c>
      <c r="AJ391" s="73"/>
      <c r="AK391" s="57"/>
      <c r="AL391" s="45"/>
      <c r="AM391" s="45"/>
      <c r="AN391" s="45"/>
    </row>
    <row r="392" spans="1:40" hidden="1" outlineLevel="2" x14ac:dyDescent="0.25">
      <c r="A392" s="45"/>
      <c r="B392" s="54"/>
      <c r="C392" s="47">
        <f t="shared" si="75"/>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8"/>
        <v>2.0609999999999999</v>
      </c>
      <c r="V392" s="253">
        <f t="shared" si="78"/>
        <v>2.0609999999999999</v>
      </c>
      <c r="W392" s="253">
        <f t="shared" si="78"/>
        <v>2.0609999999999999</v>
      </c>
      <c r="X392" s="253">
        <f t="shared" si="78"/>
        <v>2.0609999999999999</v>
      </c>
      <c r="Y392" s="253">
        <f t="shared" si="78"/>
        <v>2.0609999999999999</v>
      </c>
      <c r="Z392" s="253">
        <f t="shared" si="78"/>
        <v>2.0609999999999999</v>
      </c>
      <c r="AA392" s="253">
        <f t="shared" si="78"/>
        <v>2.0609999999999999</v>
      </c>
      <c r="AB392" s="253">
        <f t="shared" si="78"/>
        <v>2.0609999999999999</v>
      </c>
      <c r="AC392" s="253">
        <f t="shared" si="78"/>
        <v>2.0609999999999999</v>
      </c>
      <c r="AD392" s="253">
        <f t="shared" si="78"/>
        <v>2.0609999999999999</v>
      </c>
      <c r="AE392" s="76"/>
      <c r="AF392" s="76"/>
      <c r="AG392" s="76"/>
      <c r="AH392" s="97">
        <v>1</v>
      </c>
      <c r="AI392" s="97">
        <v>1</v>
      </c>
      <c r="AJ392" s="73"/>
      <c r="AK392" s="57"/>
      <c r="AL392" s="45"/>
      <c r="AM392" s="45"/>
      <c r="AN392" s="45"/>
    </row>
    <row r="393" spans="1:40" hidden="1" outlineLevel="2" x14ac:dyDescent="0.25">
      <c r="A393" s="45"/>
      <c r="B393" s="54"/>
      <c r="C393" s="47">
        <f t="shared" si="75"/>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8"/>
        <v>-0.53</v>
      </c>
      <c r="V393" s="253">
        <f t="shared" si="78"/>
        <v>-0.53</v>
      </c>
      <c r="W393" s="253">
        <f t="shared" si="78"/>
        <v>-0.53</v>
      </c>
      <c r="X393" s="253">
        <f t="shared" si="78"/>
        <v>-0.53</v>
      </c>
      <c r="Y393" s="253">
        <f t="shared" si="78"/>
        <v>-0.53</v>
      </c>
      <c r="Z393" s="253">
        <f t="shared" si="78"/>
        <v>-0.53</v>
      </c>
      <c r="AA393" s="253">
        <f t="shared" si="78"/>
        <v>-0.53</v>
      </c>
      <c r="AB393" s="253">
        <f t="shared" si="78"/>
        <v>-0.53</v>
      </c>
      <c r="AC393" s="253">
        <f t="shared" si="78"/>
        <v>-0.53</v>
      </c>
      <c r="AD393" s="253">
        <f t="shared" si="78"/>
        <v>-0.53</v>
      </c>
      <c r="AE393" s="76"/>
      <c r="AF393" s="76"/>
      <c r="AG393" s="76"/>
      <c r="AH393" s="97">
        <v>1</v>
      </c>
      <c r="AI393" s="97">
        <v>1</v>
      </c>
      <c r="AJ393" s="73"/>
      <c r="AK393" s="57"/>
      <c r="AL393" s="45"/>
      <c r="AM393" s="45"/>
      <c r="AN393" s="45"/>
    </row>
    <row r="394" spans="1:40" hidden="1" outlineLevel="2" x14ac:dyDescent="0.25">
      <c r="A394" s="45"/>
      <c r="B394" s="54"/>
      <c r="C394" s="47">
        <f t="shared" si="75"/>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8"/>
        <v>0.1</v>
      </c>
      <c r="V394" s="253">
        <f t="shared" si="78"/>
        <v>0.1</v>
      </c>
      <c r="W394" s="253">
        <f t="shared" si="78"/>
        <v>0.1</v>
      </c>
      <c r="X394" s="253">
        <f t="shared" si="78"/>
        <v>0.1</v>
      </c>
      <c r="Y394" s="253">
        <f t="shared" si="78"/>
        <v>0.1</v>
      </c>
      <c r="Z394" s="253">
        <f t="shared" si="78"/>
        <v>0.1</v>
      </c>
      <c r="AA394" s="253">
        <f t="shared" si="78"/>
        <v>0.1</v>
      </c>
      <c r="AB394" s="253">
        <f t="shared" si="78"/>
        <v>0.1</v>
      </c>
      <c r="AC394" s="253">
        <f t="shared" si="78"/>
        <v>0.1</v>
      </c>
      <c r="AD394" s="253">
        <f t="shared" si="78"/>
        <v>0.1</v>
      </c>
      <c r="AE394" s="76"/>
      <c r="AF394" s="76"/>
      <c r="AG394" s="76"/>
      <c r="AH394" s="97">
        <v>1</v>
      </c>
      <c r="AI394" s="97">
        <v>1</v>
      </c>
      <c r="AJ394" s="73"/>
      <c r="AK394" s="57"/>
      <c r="AL394" s="45"/>
      <c r="AM394" s="45"/>
      <c r="AN394" s="45"/>
    </row>
    <row r="395" spans="1:40" hidden="1" outlineLevel="2" x14ac:dyDescent="0.25">
      <c r="A395" s="45"/>
      <c r="B395" s="54"/>
      <c r="C395" s="47">
        <f t="shared" si="75"/>
        <v>3</v>
      </c>
      <c r="D395" s="73"/>
      <c r="E395" s="70"/>
      <c r="F395" s="70" t="s">
        <v>3265</v>
      </c>
      <c r="G395" s="73"/>
      <c r="H395" s="76" t="s">
        <v>3262</v>
      </c>
      <c r="I395" s="96" t="s">
        <v>502</v>
      </c>
      <c r="J395" s="96"/>
      <c r="K395" s="281">
        <f t="shared" ref="K395:P395" si="79">(K394*K$383*K$377) / (K394*K$383*K$377 + (1-K394)*K$384*K$378)</f>
        <v>0.12939001848428835</v>
      </c>
      <c r="L395" s="281">
        <f t="shared" si="79"/>
        <v>0.12939001848428835</v>
      </c>
      <c r="M395" s="281">
        <f t="shared" si="79"/>
        <v>0.12939001848428835</v>
      </c>
      <c r="N395" s="281">
        <f t="shared" si="79"/>
        <v>0.12939001848428835</v>
      </c>
      <c r="O395" s="281">
        <f t="shared" si="79"/>
        <v>0.12939001848428835</v>
      </c>
      <c r="P395" s="281">
        <f t="shared" si="79"/>
        <v>0.12939001848428835</v>
      </c>
      <c r="Q395" s="76"/>
      <c r="R395" s="76" t="s">
        <v>3264</v>
      </c>
      <c r="S395" s="76" t="s">
        <v>3241</v>
      </c>
      <c r="T395" s="76"/>
      <c r="U395" s="253">
        <f t="shared" si="78"/>
        <v>0.12939001848428835</v>
      </c>
      <c r="V395" s="253">
        <f t="shared" si="78"/>
        <v>0.12939001848428835</v>
      </c>
      <c r="W395" s="253">
        <f t="shared" si="78"/>
        <v>0.12939001848428835</v>
      </c>
      <c r="X395" s="253">
        <f t="shared" si="78"/>
        <v>0.12939001848428835</v>
      </c>
      <c r="Y395" s="253">
        <f t="shared" si="78"/>
        <v>0.12939001848428835</v>
      </c>
      <c r="Z395" s="253">
        <f t="shared" si="78"/>
        <v>0.12939001848428835</v>
      </c>
      <c r="AA395" s="253">
        <f t="shared" si="78"/>
        <v>0.12939001848428835</v>
      </c>
      <c r="AB395" s="253">
        <f t="shared" si="78"/>
        <v>0.12939001848428835</v>
      </c>
      <c r="AC395" s="253">
        <f t="shared" si="78"/>
        <v>0.12939001848428835</v>
      </c>
      <c r="AD395" s="253">
        <f t="shared" si="78"/>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80">INDEX($K398:$Q398,1,U$43)</f>
        <v>1.84E-2</v>
      </c>
      <c r="V398" s="253">
        <f t="shared" si="80"/>
        <v>1.84E-2</v>
      </c>
      <c r="W398" s="253">
        <f t="shared" si="80"/>
        <v>1.84E-2</v>
      </c>
      <c r="X398" s="253">
        <f t="shared" si="80"/>
        <v>1.84E-2</v>
      </c>
      <c r="Y398" s="253">
        <f t="shared" si="80"/>
        <v>1.84E-2</v>
      </c>
      <c r="Z398" s="253">
        <f t="shared" si="80"/>
        <v>1.84E-2</v>
      </c>
      <c r="AA398" s="253">
        <f t="shared" si="80"/>
        <v>1.84E-2</v>
      </c>
      <c r="AB398" s="253">
        <f t="shared" si="80"/>
        <v>1.84E-2</v>
      </c>
      <c r="AC398" s="253">
        <f t="shared" si="80"/>
        <v>1.84E-2</v>
      </c>
      <c r="AD398" s="253">
        <f t="shared" si="80"/>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80"/>
        <v>13</v>
      </c>
      <c r="V399" s="253">
        <f t="shared" si="80"/>
        <v>13</v>
      </c>
      <c r="W399" s="253">
        <f t="shared" si="80"/>
        <v>13</v>
      </c>
      <c r="X399" s="253">
        <f t="shared" si="80"/>
        <v>13</v>
      </c>
      <c r="Y399" s="253">
        <f t="shared" si="80"/>
        <v>13</v>
      </c>
      <c r="Z399" s="253">
        <f t="shared" si="80"/>
        <v>13</v>
      </c>
      <c r="AA399" s="253">
        <f t="shared" si="80"/>
        <v>13</v>
      </c>
      <c r="AB399" s="253">
        <f t="shared" si="80"/>
        <v>13</v>
      </c>
      <c r="AC399" s="253">
        <f t="shared" si="80"/>
        <v>13</v>
      </c>
      <c r="AD399" s="253">
        <f t="shared" si="80"/>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80"/>
        <v>7.52</v>
      </c>
      <c r="V400" s="253">
        <f t="shared" si="80"/>
        <v>7.52</v>
      </c>
      <c r="W400" s="253">
        <f t="shared" si="80"/>
        <v>7.52</v>
      </c>
      <c r="X400" s="253">
        <f t="shared" si="80"/>
        <v>7.52</v>
      </c>
      <c r="Y400" s="253">
        <f t="shared" si="80"/>
        <v>7.52</v>
      </c>
      <c r="Z400" s="253">
        <f t="shared" si="80"/>
        <v>7.52</v>
      </c>
      <c r="AA400" s="253">
        <f t="shared" si="80"/>
        <v>7.52</v>
      </c>
      <c r="AB400" s="253">
        <f t="shared" si="80"/>
        <v>7.52</v>
      </c>
      <c r="AC400" s="253">
        <f t="shared" si="80"/>
        <v>7.52</v>
      </c>
      <c r="AD400" s="253">
        <f t="shared" si="80"/>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80"/>
        <v>23.7</v>
      </c>
      <c r="V401" s="253">
        <f t="shared" si="80"/>
        <v>23.7</v>
      </c>
      <c r="W401" s="253">
        <f t="shared" si="80"/>
        <v>23.7</v>
      </c>
      <c r="X401" s="253">
        <f t="shared" si="80"/>
        <v>23.7</v>
      </c>
      <c r="Y401" s="253">
        <f t="shared" si="80"/>
        <v>23.7</v>
      </c>
      <c r="Z401" s="253">
        <f t="shared" si="80"/>
        <v>23.7</v>
      </c>
      <c r="AA401" s="253">
        <f t="shared" si="80"/>
        <v>23.7</v>
      </c>
      <c r="AB401" s="253">
        <f t="shared" si="80"/>
        <v>23.7</v>
      </c>
      <c r="AC401" s="253">
        <f t="shared" si="80"/>
        <v>23.7</v>
      </c>
      <c r="AD401" s="253">
        <f t="shared" si="80"/>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80"/>
        <v>3.36</v>
      </c>
      <c r="V402" s="253">
        <f t="shared" si="80"/>
        <v>3.36</v>
      </c>
      <c r="W402" s="253">
        <f t="shared" si="80"/>
        <v>3.36</v>
      </c>
      <c r="X402" s="253">
        <f t="shared" si="80"/>
        <v>3.36</v>
      </c>
      <c r="Y402" s="253">
        <f t="shared" si="80"/>
        <v>3.36</v>
      </c>
      <c r="Z402" s="253">
        <f t="shared" si="80"/>
        <v>3.36</v>
      </c>
      <c r="AA402" s="253">
        <f t="shared" si="80"/>
        <v>3.36</v>
      </c>
      <c r="AB402" s="253">
        <f t="shared" si="80"/>
        <v>3.36</v>
      </c>
      <c r="AC402" s="253">
        <f t="shared" si="80"/>
        <v>3.36</v>
      </c>
      <c r="AD402" s="253">
        <f t="shared" si="80"/>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1">INDEX($K405:$Q405,1,U$43)</f>
        <v>9.375E-2</v>
      </c>
      <c r="V405" s="253">
        <f t="shared" si="81"/>
        <v>9.375E-2</v>
      </c>
      <c r="W405" s="253">
        <f t="shared" si="81"/>
        <v>9.375E-2</v>
      </c>
      <c r="X405" s="253">
        <f t="shared" si="81"/>
        <v>9.375E-2</v>
      </c>
      <c r="Y405" s="253">
        <f t="shared" si="81"/>
        <v>9.375E-2</v>
      </c>
      <c r="Z405" s="253">
        <f t="shared" si="81"/>
        <v>0.20499999999999999</v>
      </c>
      <c r="AA405" s="253">
        <f t="shared" si="81"/>
        <v>0.20499999999999999</v>
      </c>
      <c r="AB405" s="253">
        <f t="shared" si="81"/>
        <v>0.20499999999999999</v>
      </c>
      <c r="AC405" s="253">
        <f t="shared" si="81"/>
        <v>0.20499999999999999</v>
      </c>
      <c r="AD405" s="253">
        <f t="shared" si="81"/>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2">INDEX($K408:$Q408,1,U$43)</f>
        <v>17</v>
      </c>
      <c r="V408" s="253">
        <f t="shared" si="82"/>
        <v>17</v>
      </c>
      <c r="W408" s="253">
        <f t="shared" si="82"/>
        <v>17</v>
      </c>
      <c r="X408" s="253">
        <f t="shared" si="82"/>
        <v>17</v>
      </c>
      <c r="Y408" s="253">
        <f t="shared" si="82"/>
        <v>17</v>
      </c>
      <c r="Z408" s="253">
        <f t="shared" si="82"/>
        <v>17</v>
      </c>
      <c r="AA408" s="253">
        <f t="shared" si="82"/>
        <v>17</v>
      </c>
      <c r="AB408" s="253">
        <f t="shared" si="82"/>
        <v>17</v>
      </c>
      <c r="AC408" s="253">
        <f t="shared" si="82"/>
        <v>17</v>
      </c>
      <c r="AD408" s="253">
        <f t="shared" si="82"/>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3802</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3801</v>
      </c>
      <c r="G410" s="73"/>
      <c r="H410" s="76" t="s">
        <v>3803</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hidden="1" outlineLevel="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3287</v>
      </c>
      <c r="U413" s="253">
        <f t="shared" ref="U413:V415" si="83">INDEX($K413:$Q413,1,U$43)</f>
        <v>8.219178082191781E-5</v>
      </c>
      <c r="V413" s="260">
        <v>2.8399999999999999E-5</v>
      </c>
      <c r="W413" s="260">
        <v>8.5359999999999996E-5</v>
      </c>
      <c r="X413" s="260">
        <v>6.9504000000000004E-5</v>
      </c>
      <c r="Y413" s="253">
        <f t="shared" ref="Y413:AD415" si="84">INDEX($K413:$Q413,1,Y$43)</f>
        <v>8.219178082191781E-5</v>
      </c>
      <c r="Z413" s="253">
        <f t="shared" si="84"/>
        <v>8.219178082191781E-5</v>
      </c>
      <c r="AA413" s="253">
        <f t="shared" si="84"/>
        <v>8.219178082191781E-5</v>
      </c>
      <c r="AB413" s="253">
        <f t="shared" si="84"/>
        <v>8.219178082191781E-5</v>
      </c>
      <c r="AC413" s="253">
        <f t="shared" si="84"/>
        <v>8.219178082191781E-5</v>
      </c>
      <c r="AD413" s="253">
        <f t="shared" si="84"/>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3"/>
        <v>0.3</v>
      </c>
      <c r="V414" s="253">
        <f t="shared" si="83"/>
        <v>0.3</v>
      </c>
      <c r="W414" s="253">
        <f>INDEX($K414:$Q414,1,W$43)</f>
        <v>0.3</v>
      </c>
      <c r="X414" s="253">
        <f>INDEX($K414:$Q414,1,X$43)</f>
        <v>0.3</v>
      </c>
      <c r="Y414" s="253">
        <f t="shared" si="84"/>
        <v>0.3</v>
      </c>
      <c r="Z414" s="253">
        <f t="shared" si="84"/>
        <v>0.3</v>
      </c>
      <c r="AA414" s="253">
        <f t="shared" si="84"/>
        <v>0.3</v>
      </c>
      <c r="AB414" s="253">
        <f t="shared" si="84"/>
        <v>0.3</v>
      </c>
      <c r="AC414" s="253">
        <f t="shared" si="84"/>
        <v>0.3</v>
      </c>
      <c r="AD414" s="253">
        <f t="shared" si="84"/>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3"/>
        <v>0.6</v>
      </c>
      <c r="V415" s="253">
        <f t="shared" si="83"/>
        <v>0.6</v>
      </c>
      <c r="W415" s="253">
        <f>INDEX($K415:$Q415,1,W$43)</f>
        <v>0.6</v>
      </c>
      <c r="X415" s="253">
        <f>INDEX($K415:$Q415,1,X$43)</f>
        <v>0.6</v>
      </c>
      <c r="Y415" s="253">
        <f t="shared" si="84"/>
        <v>0.6</v>
      </c>
      <c r="Z415" s="253">
        <f t="shared" si="84"/>
        <v>0.6</v>
      </c>
      <c r="AA415" s="253">
        <f t="shared" si="84"/>
        <v>0.6</v>
      </c>
      <c r="AB415" s="253">
        <f t="shared" si="84"/>
        <v>0.6</v>
      </c>
      <c r="AC415" s="253">
        <f t="shared" si="84"/>
        <v>0.6</v>
      </c>
      <c r="AD415" s="253">
        <f t="shared" si="84"/>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5">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6">INDEX($K424:$Q424,1,U$43)</f>
        <v>0.1</v>
      </c>
      <c r="V424" s="253">
        <f t="shared" si="86"/>
        <v>0.1</v>
      </c>
      <c r="W424" s="253">
        <f t="shared" si="86"/>
        <v>0.1</v>
      </c>
      <c r="X424" s="253">
        <f t="shared" si="86"/>
        <v>0.1</v>
      </c>
      <c r="Y424" s="253">
        <f t="shared" si="86"/>
        <v>0.1</v>
      </c>
      <c r="Z424" s="253">
        <f t="shared" si="86"/>
        <v>0.1</v>
      </c>
      <c r="AA424" s="253">
        <f t="shared" si="86"/>
        <v>0.1</v>
      </c>
      <c r="AB424" s="253">
        <f t="shared" si="86"/>
        <v>0.1</v>
      </c>
      <c r="AC424" s="253">
        <f t="shared" si="86"/>
        <v>0.1</v>
      </c>
      <c r="AD424" s="253">
        <f t="shared" si="86"/>
        <v>0.1</v>
      </c>
      <c r="AE424" s="76"/>
      <c r="AF424" s="76"/>
      <c r="AG424" s="76"/>
      <c r="AH424" s="97">
        <v>1</v>
      </c>
      <c r="AI424" s="97">
        <v>1</v>
      </c>
      <c r="AJ424" s="73"/>
      <c r="AK424" s="57"/>
      <c r="AL424" s="45"/>
      <c r="AM424" s="45"/>
      <c r="AN424" s="45"/>
    </row>
    <row r="425" spans="1:40" hidden="1" outlineLevel="2" x14ac:dyDescent="0.25">
      <c r="A425" s="45"/>
      <c r="B425" s="54"/>
      <c r="C425" s="47">
        <f t="shared" si="85"/>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7">0.1/365</f>
        <v>2.7397260273972606E-4</v>
      </c>
      <c r="V425" s="97">
        <f t="shared" si="87"/>
        <v>2.7397260273972606E-4</v>
      </c>
      <c r="W425" s="97">
        <f t="shared" si="87"/>
        <v>2.7397260273972606E-4</v>
      </c>
      <c r="X425" s="97">
        <f t="shared" si="87"/>
        <v>2.7397260273972606E-4</v>
      </c>
      <c r="Y425" s="97">
        <f t="shared" si="87"/>
        <v>2.7397260273972606E-4</v>
      </c>
      <c r="Z425" s="97">
        <f t="shared" si="87"/>
        <v>2.7397260273972606E-4</v>
      </c>
      <c r="AA425" s="97">
        <f t="shared" si="87"/>
        <v>2.7397260273972606E-4</v>
      </c>
      <c r="AB425" s="97">
        <f t="shared" si="87"/>
        <v>2.7397260273972606E-4</v>
      </c>
      <c r="AC425" s="97">
        <f t="shared" si="87"/>
        <v>2.7397260273972606E-4</v>
      </c>
      <c r="AD425" s="97">
        <f t="shared" si="87"/>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5"/>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8">INDEX($K426:$Q426,1,U$43)</f>
        <v>300</v>
      </c>
      <c r="V426" s="253">
        <f t="shared" si="88"/>
        <v>300</v>
      </c>
      <c r="W426" s="253">
        <f t="shared" si="88"/>
        <v>300</v>
      </c>
      <c r="X426" s="253">
        <f t="shared" si="88"/>
        <v>300</v>
      </c>
      <c r="Y426" s="253">
        <f t="shared" si="88"/>
        <v>300</v>
      </c>
      <c r="Z426" s="253">
        <f t="shared" si="88"/>
        <v>300</v>
      </c>
      <c r="AA426" s="253">
        <f t="shared" si="88"/>
        <v>300</v>
      </c>
      <c r="AB426" s="253">
        <f t="shared" si="88"/>
        <v>300</v>
      </c>
      <c r="AC426" s="253">
        <f t="shared" si="88"/>
        <v>300</v>
      </c>
      <c r="AD426" s="253">
        <f t="shared" si="88"/>
        <v>300</v>
      </c>
      <c r="AE426" s="76"/>
      <c r="AF426" s="76"/>
      <c r="AG426" s="76"/>
      <c r="AH426" s="97">
        <v>1</v>
      </c>
      <c r="AI426" s="97">
        <v>1</v>
      </c>
      <c r="AJ426" s="73"/>
      <c r="AK426" s="57"/>
      <c r="AL426" s="45"/>
      <c r="AM426" s="45"/>
      <c r="AN426" s="45"/>
    </row>
    <row r="427" spans="1:40" hidden="1" outlineLevel="2" x14ac:dyDescent="0.25">
      <c r="A427" s="45"/>
      <c r="B427" s="54"/>
      <c r="C427" s="47">
        <f t="shared" si="85"/>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8"/>
        <v>365</v>
      </c>
      <c r="V427" s="253">
        <f t="shared" si="88"/>
        <v>365</v>
      </c>
      <c r="W427" s="253">
        <f t="shared" si="88"/>
        <v>365</v>
      </c>
      <c r="X427" s="253">
        <f t="shared" si="88"/>
        <v>365</v>
      </c>
      <c r="Y427" s="253">
        <f t="shared" si="88"/>
        <v>365</v>
      </c>
      <c r="Z427" s="253">
        <f t="shared" si="88"/>
        <v>365</v>
      </c>
      <c r="AA427" s="253">
        <f t="shared" si="88"/>
        <v>365</v>
      </c>
      <c r="AB427" s="253">
        <f t="shared" si="88"/>
        <v>365</v>
      </c>
      <c r="AC427" s="253">
        <f t="shared" si="88"/>
        <v>365</v>
      </c>
      <c r="AD427" s="253">
        <f t="shared" si="88"/>
        <v>365</v>
      </c>
      <c r="AE427" s="76"/>
      <c r="AF427" s="76"/>
      <c r="AG427" s="76"/>
      <c r="AH427" s="97">
        <v>1</v>
      </c>
      <c r="AI427" s="97">
        <v>1</v>
      </c>
      <c r="AJ427" s="73"/>
      <c r="AK427" s="57"/>
      <c r="AL427" s="45"/>
      <c r="AM427" s="45"/>
      <c r="AN427" s="45"/>
    </row>
    <row r="428" spans="1:40" hidden="1" outlineLevel="2" x14ac:dyDescent="0.25">
      <c r="A428" s="45"/>
      <c r="B428" s="54"/>
      <c r="C428" s="47">
        <f t="shared" si="85"/>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8"/>
        <v>0.2</v>
      </c>
      <c r="V428" s="253">
        <f t="shared" si="88"/>
        <v>0.2</v>
      </c>
      <c r="W428" s="253">
        <f t="shared" si="88"/>
        <v>0.2</v>
      </c>
      <c r="X428" s="253">
        <f t="shared" si="88"/>
        <v>0.2</v>
      </c>
      <c r="Y428" s="253">
        <f t="shared" si="88"/>
        <v>0.2</v>
      </c>
      <c r="Z428" s="253">
        <f t="shared" si="88"/>
        <v>0.2</v>
      </c>
      <c r="AA428" s="253">
        <f t="shared" si="88"/>
        <v>0.2</v>
      </c>
      <c r="AB428" s="253">
        <f t="shared" si="88"/>
        <v>0.2</v>
      </c>
      <c r="AC428" s="253">
        <f t="shared" si="88"/>
        <v>0.2</v>
      </c>
      <c r="AD428" s="253">
        <f t="shared" si="88"/>
        <v>0.2</v>
      </c>
      <c r="AE428" s="76"/>
      <c r="AF428" s="76"/>
      <c r="AG428" s="76"/>
      <c r="AH428" s="97">
        <v>1</v>
      </c>
      <c r="AI428" s="97">
        <v>1</v>
      </c>
      <c r="AJ428" s="73"/>
      <c r="AK428" s="57"/>
      <c r="AL428" s="45"/>
      <c r="AM428" s="45"/>
      <c r="AN428" s="45"/>
    </row>
    <row r="429" spans="1:40" hidden="1" outlineLevel="2" x14ac:dyDescent="0.25">
      <c r="A429" s="45"/>
      <c r="B429" s="54"/>
      <c r="C429" s="47">
        <f t="shared" si="85"/>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8"/>
        <v>0.5</v>
      </c>
      <c r="V429" s="253">
        <f t="shared" si="88"/>
        <v>0.5</v>
      </c>
      <c r="W429" s="253">
        <f t="shared" si="88"/>
        <v>0.5</v>
      </c>
      <c r="X429" s="253">
        <f t="shared" si="88"/>
        <v>0.5</v>
      </c>
      <c r="Y429" s="253">
        <f t="shared" si="88"/>
        <v>0.5</v>
      </c>
      <c r="Z429" s="253">
        <f t="shared" si="88"/>
        <v>0.5</v>
      </c>
      <c r="AA429" s="253">
        <f t="shared" si="88"/>
        <v>0.5</v>
      </c>
      <c r="AB429" s="253">
        <f t="shared" si="88"/>
        <v>0.5</v>
      </c>
      <c r="AC429" s="253">
        <f t="shared" si="88"/>
        <v>0.5</v>
      </c>
      <c r="AD429" s="253">
        <f t="shared" si="88"/>
        <v>0.5</v>
      </c>
      <c r="AE429" s="76"/>
      <c r="AF429" s="76"/>
      <c r="AG429" s="76"/>
      <c r="AH429" s="97">
        <v>1</v>
      </c>
      <c r="AI429" s="97">
        <v>1</v>
      </c>
      <c r="AJ429" s="73"/>
      <c r="AK429" s="57"/>
      <c r="AL429" s="45"/>
      <c r="AM429" s="45"/>
      <c r="AN429" s="45"/>
    </row>
    <row r="430" spans="1:40" hidden="1" outlineLevel="2" x14ac:dyDescent="0.25">
      <c r="A430" s="45"/>
      <c r="B430" s="54"/>
      <c r="C430" s="47">
        <f t="shared" si="85"/>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8"/>
        <v>0.1</v>
      </c>
      <c r="V430" s="253">
        <f t="shared" si="88"/>
        <v>0.1</v>
      </c>
      <c r="W430" s="253">
        <f t="shared" si="88"/>
        <v>0.1</v>
      </c>
      <c r="X430" s="253">
        <f t="shared" si="88"/>
        <v>0.1</v>
      </c>
      <c r="Y430" s="253">
        <f t="shared" si="88"/>
        <v>0.1</v>
      </c>
      <c r="Z430" s="253">
        <f t="shared" si="88"/>
        <v>0</v>
      </c>
      <c r="AA430" s="253">
        <f t="shared" si="88"/>
        <v>0</v>
      </c>
      <c r="AB430" s="253">
        <f t="shared" si="88"/>
        <v>0</v>
      </c>
      <c r="AC430" s="253">
        <f t="shared" si="88"/>
        <v>0</v>
      </c>
      <c r="AD430" s="253">
        <f t="shared" si="88"/>
        <v>0</v>
      </c>
      <c r="AE430" s="76"/>
      <c r="AF430" s="76"/>
      <c r="AG430" s="76"/>
      <c r="AH430" s="97">
        <v>1</v>
      </c>
      <c r="AI430" s="97">
        <v>1</v>
      </c>
      <c r="AJ430" s="73"/>
      <c r="AK430" s="57"/>
      <c r="AL430" s="45"/>
      <c r="AM430" s="45"/>
      <c r="AN430" s="45"/>
    </row>
    <row r="431" spans="1:40" hidden="1" outlineLevel="2" x14ac:dyDescent="0.25">
      <c r="A431" s="45"/>
      <c r="B431" s="54"/>
      <c r="C431" s="47">
        <f t="shared" si="85"/>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8"/>
        <v>0.03</v>
      </c>
      <c r="V431" s="253">
        <f t="shared" si="88"/>
        <v>0.03</v>
      </c>
      <c r="W431" s="253">
        <f t="shared" si="88"/>
        <v>0.03</v>
      </c>
      <c r="X431" s="253">
        <f t="shared" si="88"/>
        <v>0.03</v>
      </c>
      <c r="Y431" s="253">
        <f t="shared" si="88"/>
        <v>0.03</v>
      </c>
      <c r="Z431" s="253">
        <f t="shared" si="88"/>
        <v>0</v>
      </c>
      <c r="AA431" s="253">
        <f t="shared" si="88"/>
        <v>0</v>
      </c>
      <c r="AB431" s="253">
        <f t="shared" si="88"/>
        <v>0</v>
      </c>
      <c r="AC431" s="253">
        <f t="shared" si="88"/>
        <v>0</v>
      </c>
      <c r="AD431" s="253">
        <f t="shared" si="88"/>
        <v>0</v>
      </c>
      <c r="AE431" s="76"/>
      <c r="AF431" s="76"/>
      <c r="AG431" s="76"/>
      <c r="AH431" s="97">
        <v>1</v>
      </c>
      <c r="AI431" s="97">
        <v>1</v>
      </c>
      <c r="AJ431" s="73"/>
      <c r="AK431" s="57"/>
      <c r="AL431" s="45"/>
      <c r="AM431" s="45"/>
      <c r="AN431" s="45"/>
    </row>
    <row r="432" spans="1:40" hidden="1" outlineLevel="2" x14ac:dyDescent="0.25">
      <c r="A432" s="45"/>
      <c r="B432" s="54"/>
      <c r="C432" s="47">
        <f t="shared" si="85"/>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8"/>
        <v>0.01</v>
      </c>
      <c r="V432" s="253">
        <f t="shared" si="88"/>
        <v>0.01</v>
      </c>
      <c r="W432" s="253">
        <f t="shared" si="88"/>
        <v>0.01</v>
      </c>
      <c r="X432" s="253">
        <f t="shared" si="88"/>
        <v>0.01</v>
      </c>
      <c r="Y432" s="253">
        <f t="shared" si="88"/>
        <v>0.01</v>
      </c>
      <c r="Z432" s="253">
        <f t="shared" si="88"/>
        <v>0</v>
      </c>
      <c r="AA432" s="253">
        <f t="shared" si="88"/>
        <v>0</v>
      </c>
      <c r="AB432" s="253">
        <f t="shared" si="88"/>
        <v>0</v>
      </c>
      <c r="AC432" s="253">
        <f t="shared" si="88"/>
        <v>0</v>
      </c>
      <c r="AD432" s="253">
        <f t="shared" si="88"/>
        <v>0</v>
      </c>
      <c r="AE432" s="76"/>
      <c r="AF432" s="76"/>
      <c r="AG432" s="76"/>
      <c r="AH432" s="97">
        <v>1</v>
      </c>
      <c r="AI432" s="97">
        <v>1</v>
      </c>
      <c r="AJ432" s="73"/>
      <c r="AK432" s="57"/>
      <c r="AL432" s="45"/>
      <c r="AM432" s="45"/>
      <c r="AN432" s="45"/>
    </row>
    <row r="433" spans="1:40" hidden="1" outlineLevel="2" x14ac:dyDescent="0.25">
      <c r="A433" s="45"/>
      <c r="B433" s="54"/>
      <c r="C433" s="47">
        <f t="shared" si="85"/>
        <v>3</v>
      </c>
      <c r="D433" s="73"/>
      <c r="E433" s="70"/>
      <c r="F433" s="70" t="s">
        <v>1040</v>
      </c>
      <c r="G433" s="73"/>
      <c r="H433" s="76" t="s">
        <v>1041</v>
      </c>
      <c r="I433" s="96" t="s">
        <v>502</v>
      </c>
      <c r="J433" s="96"/>
      <c r="K433" s="118">
        <v>0</v>
      </c>
      <c r="L433" s="97"/>
      <c r="M433" s="76"/>
      <c r="N433" s="76"/>
      <c r="O433" s="76"/>
      <c r="P433" s="76"/>
      <c r="Q433" s="76"/>
      <c r="R433" s="76"/>
      <c r="S433" s="76"/>
      <c r="T433" s="76"/>
      <c r="U433" s="253">
        <f t="shared" si="88"/>
        <v>0</v>
      </c>
      <c r="V433" s="253">
        <f t="shared" si="88"/>
        <v>0</v>
      </c>
      <c r="W433" s="253">
        <f t="shared" si="88"/>
        <v>0</v>
      </c>
      <c r="X433" s="253">
        <f t="shared" si="88"/>
        <v>0</v>
      </c>
      <c r="Y433" s="253">
        <f t="shared" si="88"/>
        <v>0</v>
      </c>
      <c r="Z433" s="253">
        <f t="shared" si="88"/>
        <v>0</v>
      </c>
      <c r="AA433" s="253">
        <f t="shared" si="88"/>
        <v>0</v>
      </c>
      <c r="AB433" s="253">
        <f t="shared" si="88"/>
        <v>0</v>
      </c>
      <c r="AC433" s="253">
        <f t="shared" si="88"/>
        <v>0</v>
      </c>
      <c r="AD433" s="253">
        <f t="shared" si="88"/>
        <v>0</v>
      </c>
      <c r="AE433" s="76"/>
      <c r="AF433" s="76"/>
      <c r="AG433" s="76"/>
      <c r="AH433" s="97">
        <v>1</v>
      </c>
      <c r="AI433" s="97">
        <v>1</v>
      </c>
      <c r="AJ433" s="73"/>
      <c r="AK433" s="57"/>
      <c r="AL433" s="45"/>
      <c r="AM433" s="45"/>
      <c r="AN433" s="45"/>
    </row>
    <row r="434" spans="1:40" hidden="1" outlineLevel="2" x14ac:dyDescent="0.25">
      <c r="A434" s="45"/>
      <c r="B434" s="54"/>
      <c r="C434" s="47">
        <f t="shared" si="85"/>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9">0.1/365</f>
        <v>2.7397260273972606E-4</v>
      </c>
      <c r="V434" s="97">
        <f t="shared" si="89"/>
        <v>2.7397260273972606E-4</v>
      </c>
      <c r="W434" s="97">
        <f t="shared" si="89"/>
        <v>2.7397260273972606E-4</v>
      </c>
      <c r="X434" s="97">
        <f t="shared" si="89"/>
        <v>2.7397260273972606E-4</v>
      </c>
      <c r="Y434" s="97">
        <f t="shared" si="89"/>
        <v>2.7397260273972606E-4</v>
      </c>
      <c r="Z434" s="97">
        <f t="shared" si="89"/>
        <v>2.7397260273972606E-4</v>
      </c>
      <c r="AA434" s="97">
        <f t="shared" si="89"/>
        <v>2.7397260273972606E-4</v>
      </c>
      <c r="AB434" s="97">
        <f t="shared" si="89"/>
        <v>2.7397260273972606E-4</v>
      </c>
      <c r="AC434" s="97">
        <f t="shared" si="89"/>
        <v>2.7397260273972606E-4</v>
      </c>
      <c r="AD434" s="97">
        <f t="shared" si="89"/>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5"/>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5"/>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5"/>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5"/>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hidden="1"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90">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90"/>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90"/>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90"/>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x14ac:dyDescent="0.25">
      <c r="A444" s="45"/>
      <c r="B444" s="54"/>
      <c r="C444" s="47">
        <f t="shared" si="90"/>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90"/>
        <v>3</v>
      </c>
      <c r="D445" s="73"/>
      <c r="E445" s="70"/>
      <c r="F445" s="70" t="s">
        <v>1050</v>
      </c>
      <c r="G445" s="73"/>
      <c r="H445" s="76" t="s">
        <v>2247</v>
      </c>
      <c r="I445" s="96"/>
      <c r="J445" s="96"/>
      <c r="K445" s="76"/>
      <c r="L445" s="76"/>
      <c r="M445" s="76"/>
      <c r="N445" s="76"/>
      <c r="O445" s="76"/>
      <c r="P445" s="76"/>
      <c r="Q445" s="76"/>
      <c r="R445" s="76"/>
      <c r="S445" s="76"/>
      <c r="T445" s="76"/>
      <c r="U445" s="261">
        <f t="shared" ref="U445:AD445" si="91">U444</f>
        <v>0.33</v>
      </c>
      <c r="V445" s="261">
        <f t="shared" si="91"/>
        <v>0.33</v>
      </c>
      <c r="W445" s="261">
        <f t="shared" si="91"/>
        <v>0.33</v>
      </c>
      <c r="X445" s="261">
        <f t="shared" si="91"/>
        <v>0.33</v>
      </c>
      <c r="Y445" s="261">
        <f t="shared" si="91"/>
        <v>0.33</v>
      </c>
      <c r="Z445" s="261">
        <f t="shared" si="91"/>
        <v>0.33</v>
      </c>
      <c r="AA445" s="261">
        <f t="shared" si="91"/>
        <v>0.33</v>
      </c>
      <c r="AB445" s="261">
        <f t="shared" si="91"/>
        <v>0.33</v>
      </c>
      <c r="AC445" s="261">
        <f t="shared" si="91"/>
        <v>0.33</v>
      </c>
      <c r="AD445" s="261">
        <f t="shared" si="91"/>
        <v>0.33</v>
      </c>
      <c r="AE445" s="76"/>
      <c r="AF445" s="76"/>
      <c r="AG445" s="76"/>
      <c r="AH445" s="261">
        <f t="shared" ref="AH445:AI445" si="92">AH444</f>
        <v>1</v>
      </c>
      <c r="AI445" s="261">
        <f t="shared" si="92"/>
        <v>1</v>
      </c>
      <c r="AJ445" s="73"/>
      <c r="AK445" s="57"/>
      <c r="AL445" s="45"/>
      <c r="AM445" s="45"/>
      <c r="AN445" s="45"/>
    </row>
    <row r="446" spans="1:40" hidden="1" outlineLevel="3" x14ac:dyDescent="0.25">
      <c r="A446" s="45"/>
      <c r="B446" s="54"/>
      <c r="C446" s="47">
        <f t="shared" si="90"/>
        <v>3</v>
      </c>
      <c r="D446" s="73"/>
      <c r="E446" s="70"/>
      <c r="F446" s="70" t="s">
        <v>1051</v>
      </c>
      <c r="G446" s="73"/>
      <c r="H446" s="76" t="s">
        <v>2248</v>
      </c>
      <c r="I446" s="96"/>
      <c r="J446" s="96"/>
      <c r="K446" s="76"/>
      <c r="L446" s="76"/>
      <c r="M446" s="76"/>
      <c r="N446" s="76"/>
      <c r="O446" s="76"/>
      <c r="P446" s="76"/>
      <c r="Q446" s="76"/>
      <c r="R446" s="76"/>
      <c r="S446" s="76"/>
      <c r="T446" s="76"/>
      <c r="U446" s="261">
        <f t="shared" ref="U446:AD446" si="93">U445</f>
        <v>0.33</v>
      </c>
      <c r="V446" s="261">
        <f t="shared" si="93"/>
        <v>0.33</v>
      </c>
      <c r="W446" s="261">
        <f t="shared" si="93"/>
        <v>0.33</v>
      </c>
      <c r="X446" s="261">
        <f t="shared" si="93"/>
        <v>0.33</v>
      </c>
      <c r="Y446" s="261">
        <f t="shared" si="93"/>
        <v>0.33</v>
      </c>
      <c r="Z446" s="261">
        <f t="shared" si="93"/>
        <v>0.33</v>
      </c>
      <c r="AA446" s="261">
        <f t="shared" si="93"/>
        <v>0.33</v>
      </c>
      <c r="AB446" s="261">
        <f t="shared" si="93"/>
        <v>0.33</v>
      </c>
      <c r="AC446" s="261">
        <f t="shared" si="93"/>
        <v>0.33</v>
      </c>
      <c r="AD446" s="261">
        <f t="shared" si="93"/>
        <v>0.33</v>
      </c>
      <c r="AE446" s="76"/>
      <c r="AF446" s="76"/>
      <c r="AG446" s="76"/>
      <c r="AH446" s="261">
        <f t="shared" ref="AH446:AI446" si="94">AH445</f>
        <v>1</v>
      </c>
      <c r="AI446" s="261">
        <f t="shared" si="94"/>
        <v>1</v>
      </c>
      <c r="AJ446" s="73"/>
      <c r="AK446" s="57"/>
      <c r="AL446" s="45"/>
      <c r="AM446" s="45"/>
      <c r="AN446" s="45"/>
    </row>
    <row r="447" spans="1:40" hidden="1" outlineLevel="3" x14ac:dyDescent="0.25">
      <c r="A447" s="45"/>
      <c r="B447" s="54"/>
      <c r="C447" s="47">
        <f t="shared" si="90"/>
        <v>3</v>
      </c>
      <c r="D447" s="73"/>
      <c r="E447" s="70"/>
      <c r="F447" s="70" t="s">
        <v>1052</v>
      </c>
      <c r="G447" s="73"/>
      <c r="H447" s="76" t="s">
        <v>2249</v>
      </c>
      <c r="I447" s="96"/>
      <c r="J447" s="96"/>
      <c r="K447" s="76"/>
      <c r="L447" s="76"/>
      <c r="M447" s="76"/>
      <c r="N447" s="76"/>
      <c r="O447" s="76"/>
      <c r="P447" s="76"/>
      <c r="Q447" s="76"/>
      <c r="R447" s="76"/>
      <c r="S447" s="76"/>
      <c r="T447" s="76"/>
      <c r="U447" s="261">
        <f t="shared" ref="U447:AD447" si="95">U446</f>
        <v>0.33</v>
      </c>
      <c r="V447" s="261">
        <f t="shared" si="95"/>
        <v>0.33</v>
      </c>
      <c r="W447" s="261">
        <f t="shared" si="95"/>
        <v>0.33</v>
      </c>
      <c r="X447" s="261">
        <f t="shared" si="95"/>
        <v>0.33</v>
      </c>
      <c r="Y447" s="261">
        <f t="shared" si="95"/>
        <v>0.33</v>
      </c>
      <c r="Z447" s="261">
        <f t="shared" si="95"/>
        <v>0.33</v>
      </c>
      <c r="AA447" s="261">
        <f t="shared" si="95"/>
        <v>0.33</v>
      </c>
      <c r="AB447" s="261">
        <f t="shared" si="95"/>
        <v>0.33</v>
      </c>
      <c r="AC447" s="261">
        <f t="shared" si="95"/>
        <v>0.33</v>
      </c>
      <c r="AD447" s="261">
        <f t="shared" si="95"/>
        <v>0.33</v>
      </c>
      <c r="AE447" s="76"/>
      <c r="AF447" s="76"/>
      <c r="AG447" s="76"/>
      <c r="AH447" s="261">
        <f t="shared" ref="AH447:AI447" si="96">AH446</f>
        <v>1</v>
      </c>
      <c r="AI447" s="261">
        <f t="shared" si="96"/>
        <v>1</v>
      </c>
      <c r="AJ447" s="73"/>
      <c r="AK447" s="57"/>
      <c r="AL447" s="45"/>
      <c r="AM447" s="45"/>
      <c r="AN447" s="45"/>
    </row>
    <row r="448" spans="1:40" hidden="1" outlineLevel="3" x14ac:dyDescent="0.25">
      <c r="A448" s="45"/>
      <c r="B448" s="54"/>
      <c r="C448" s="47">
        <f t="shared" si="90"/>
        <v>3</v>
      </c>
      <c r="D448" s="73"/>
      <c r="E448" s="70"/>
      <c r="F448" s="70" t="s">
        <v>1053</v>
      </c>
      <c r="G448" s="73"/>
      <c r="H448" s="76" t="s">
        <v>3476</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90"/>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0"/>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0"/>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0"/>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0"/>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0"/>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0"/>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0"/>
        <v>3</v>
      </c>
      <c r="D456" s="73"/>
      <c r="E456" s="70"/>
      <c r="F456" s="70" t="s">
        <v>1061</v>
      </c>
      <c r="G456" s="73"/>
      <c r="H456" s="76" t="s">
        <v>3480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0"/>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0"/>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0"/>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0"/>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0"/>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0"/>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90"/>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90"/>
        <v>3</v>
      </c>
      <c r="D464" s="73"/>
      <c r="E464" s="70"/>
      <c r="F464" s="70" t="s">
        <v>1069</v>
      </c>
      <c r="G464" s="73"/>
      <c r="H464" s="76" t="s">
        <v>3477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0"/>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0"/>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0"/>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0"/>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0"/>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0"/>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0"/>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97">INT($C$29)+2</f>
        <v>3</v>
      </c>
      <c r="D472" s="73"/>
      <c r="E472" s="70"/>
      <c r="F472" s="70" t="s">
        <v>1077</v>
      </c>
      <c r="G472" s="73"/>
      <c r="H472" s="76" t="s">
        <v>3478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7"/>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7"/>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7"/>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7"/>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7"/>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7"/>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7"/>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7"/>
        <v>3</v>
      </c>
      <c r="D480" s="73"/>
      <c r="E480" s="70"/>
      <c r="F480" s="70" t="s">
        <v>1085</v>
      </c>
      <c r="G480" s="73"/>
      <c r="H480" s="76" t="s">
        <v>3479</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7"/>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7"/>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7"/>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7"/>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7"/>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7"/>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7"/>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7"/>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7"/>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7"/>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7"/>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7"/>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7"/>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7"/>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7"/>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7"/>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7"/>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7"/>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7"/>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7"/>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7"/>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7"/>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7"/>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98">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98"/>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x14ac:dyDescent="0.25">
      <c r="A506" s="45"/>
      <c r="B506" s="54"/>
      <c r="C506" s="47">
        <f t="shared" si="98"/>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98"/>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8"/>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8"/>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8"/>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98"/>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8"/>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8"/>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8"/>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8"/>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8"/>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8"/>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8"/>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8"/>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8"/>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8"/>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8"/>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8"/>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8"/>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8"/>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8"/>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8"/>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8"/>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8"/>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8"/>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8"/>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8"/>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8"/>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8"/>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8"/>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99">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100">Y536</f>
        <v>-0.2</v>
      </c>
      <c r="AA536" s="255">
        <f t="shared" si="100"/>
        <v>-0.2</v>
      </c>
      <c r="AB536" s="255">
        <f t="shared" si="100"/>
        <v>-0.2</v>
      </c>
      <c r="AC536" s="255">
        <f t="shared" si="100"/>
        <v>-0.2</v>
      </c>
      <c r="AD536" s="255">
        <f t="shared" si="100"/>
        <v>-0.2</v>
      </c>
      <c r="AE536" s="76"/>
      <c r="AF536" s="97" t="s">
        <v>1145</v>
      </c>
      <c r="AG536" s="76"/>
      <c r="AH536" s="97">
        <v>1</v>
      </c>
      <c r="AI536" s="97">
        <v>1</v>
      </c>
      <c r="AJ536" s="73"/>
      <c r="AK536" s="57"/>
      <c r="AL536" s="45"/>
      <c r="AM536" s="45"/>
      <c r="AN536" s="45"/>
    </row>
    <row r="537" spans="1:40" hidden="1" outlineLevel="2" x14ac:dyDescent="0.25">
      <c r="A537" s="45"/>
      <c r="B537" s="54"/>
      <c r="C537" s="47">
        <f t="shared" si="99"/>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100"/>
        <v>-0.1</v>
      </c>
      <c r="AA537" s="255">
        <f t="shared" si="100"/>
        <v>-0.1</v>
      </c>
      <c r="AB537" s="255">
        <f t="shared" si="100"/>
        <v>-0.1</v>
      </c>
      <c r="AC537" s="255">
        <f t="shared" si="100"/>
        <v>-0.1</v>
      </c>
      <c r="AD537" s="255">
        <f t="shared" si="100"/>
        <v>-0.1</v>
      </c>
      <c r="AE537" s="76"/>
      <c r="AF537" s="97" t="s">
        <v>2568</v>
      </c>
      <c r="AG537" s="76"/>
      <c r="AH537" s="97">
        <v>1</v>
      </c>
      <c r="AI537" s="97">
        <v>1</v>
      </c>
      <c r="AJ537" s="73"/>
      <c r="AK537" s="57"/>
      <c r="AL537" s="45"/>
      <c r="AM537" s="45"/>
      <c r="AN537" s="45"/>
    </row>
    <row r="538" spans="1:40" hidden="1" outlineLevel="2" x14ac:dyDescent="0.25">
      <c r="A538" s="45"/>
      <c r="B538" s="54"/>
      <c r="C538" s="47">
        <f t="shared" si="99"/>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100"/>
        <v>0</v>
      </c>
      <c r="AA538" s="255">
        <f t="shared" si="100"/>
        <v>0</v>
      </c>
      <c r="AB538" s="255">
        <f t="shared" si="100"/>
        <v>0</v>
      </c>
      <c r="AC538" s="255">
        <f t="shared" si="100"/>
        <v>0</v>
      </c>
      <c r="AD538" s="255">
        <f t="shared" si="100"/>
        <v>0</v>
      </c>
      <c r="AE538" s="76"/>
      <c r="AF538" s="97"/>
      <c r="AG538" s="76"/>
      <c r="AH538" s="97">
        <v>1</v>
      </c>
      <c r="AI538" s="97">
        <v>1</v>
      </c>
      <c r="AJ538" s="73"/>
      <c r="AK538" s="57"/>
      <c r="AL538" s="45"/>
      <c r="AM538" s="45"/>
      <c r="AN538" s="45"/>
    </row>
    <row r="539" spans="1:40" hidden="1" outlineLevel="2" x14ac:dyDescent="0.25">
      <c r="A539" s="45"/>
      <c r="B539" s="54"/>
      <c r="C539" s="47">
        <f t="shared" si="99"/>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100"/>
        <v>0</v>
      </c>
      <c r="AA539" s="255">
        <f t="shared" si="100"/>
        <v>0</v>
      </c>
      <c r="AB539" s="255">
        <f t="shared" si="100"/>
        <v>0</v>
      </c>
      <c r="AC539" s="255">
        <f t="shared" si="100"/>
        <v>0</v>
      </c>
      <c r="AD539" s="255">
        <f t="shared" si="100"/>
        <v>0</v>
      </c>
      <c r="AE539" s="76"/>
      <c r="AF539" s="97"/>
      <c r="AG539" s="76"/>
      <c r="AH539" s="97">
        <v>1</v>
      </c>
      <c r="AI539" s="97">
        <v>1</v>
      </c>
      <c r="AJ539" s="73"/>
      <c r="AK539" s="57"/>
      <c r="AL539" s="45"/>
      <c r="AM539" s="45"/>
      <c r="AN539" s="45"/>
    </row>
    <row r="540" spans="1:40" hidden="1" outlineLevel="2" x14ac:dyDescent="0.25">
      <c r="A540" s="45"/>
      <c r="B540" s="54"/>
      <c r="C540" s="47">
        <f t="shared" si="99"/>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100"/>
        <v>0</v>
      </c>
      <c r="AA540" s="255">
        <f t="shared" si="100"/>
        <v>0</v>
      </c>
      <c r="AB540" s="255">
        <f t="shared" si="100"/>
        <v>0</v>
      </c>
      <c r="AC540" s="255">
        <f t="shared" si="100"/>
        <v>0</v>
      </c>
      <c r="AD540" s="255">
        <f t="shared" si="100"/>
        <v>0</v>
      </c>
      <c r="AE540" s="76"/>
      <c r="AF540" s="97"/>
      <c r="AG540" s="76"/>
      <c r="AH540" s="97">
        <v>1</v>
      </c>
      <c r="AI540" s="97">
        <v>1</v>
      </c>
      <c r="AJ540" s="73"/>
      <c r="AK540" s="57"/>
      <c r="AL540" s="45"/>
      <c r="AM540" s="45"/>
      <c r="AN540" s="45"/>
    </row>
    <row r="541" spans="1:40" hidden="1" outlineLevel="3" x14ac:dyDescent="0.25">
      <c r="A541" s="45"/>
      <c r="B541" s="54"/>
      <c r="C541" s="47">
        <f t="shared" si="99"/>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1">U540</f>
        <v>0</v>
      </c>
      <c r="V541" s="261">
        <f t="shared" si="101"/>
        <v>0</v>
      </c>
      <c r="W541" s="261">
        <f t="shared" si="101"/>
        <v>0</v>
      </c>
      <c r="X541" s="261">
        <f t="shared" si="101"/>
        <v>0</v>
      </c>
      <c r="Y541" s="261">
        <f t="shared" si="101"/>
        <v>0</v>
      </c>
      <c r="Z541" s="261">
        <f t="shared" si="101"/>
        <v>0</v>
      </c>
      <c r="AA541" s="261">
        <f t="shared" si="101"/>
        <v>0</v>
      </c>
      <c r="AB541" s="261">
        <f t="shared" si="101"/>
        <v>0</v>
      </c>
      <c r="AC541" s="261">
        <f t="shared" si="101"/>
        <v>0</v>
      </c>
      <c r="AD541" s="261">
        <f t="shared" si="101"/>
        <v>0</v>
      </c>
      <c r="AE541" s="76"/>
      <c r="AF541" s="97"/>
      <c r="AG541" s="76"/>
      <c r="AH541" s="97">
        <v>1</v>
      </c>
      <c r="AI541" s="97">
        <v>1</v>
      </c>
      <c r="AJ541" s="73"/>
      <c r="AK541" s="57"/>
      <c r="AL541" s="45"/>
      <c r="AM541" s="45"/>
      <c r="AN541" s="45"/>
    </row>
    <row r="542" spans="1:40" hidden="1" outlineLevel="3" x14ac:dyDescent="0.25">
      <c r="A542" s="45"/>
      <c r="B542" s="54"/>
      <c r="C542" s="47">
        <f t="shared" si="99"/>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1"/>
        <v>0</v>
      </c>
      <c r="V542" s="261">
        <f t="shared" si="101"/>
        <v>0</v>
      </c>
      <c r="W542" s="261">
        <f t="shared" si="101"/>
        <v>0</v>
      </c>
      <c r="X542" s="261">
        <f t="shared" si="101"/>
        <v>0</v>
      </c>
      <c r="Y542" s="261">
        <f t="shared" si="101"/>
        <v>0</v>
      </c>
      <c r="Z542" s="261">
        <f t="shared" si="101"/>
        <v>0</v>
      </c>
      <c r="AA542" s="261">
        <f t="shared" si="101"/>
        <v>0</v>
      </c>
      <c r="AB542" s="261">
        <f t="shared" si="101"/>
        <v>0</v>
      </c>
      <c r="AC542" s="261">
        <f t="shared" si="101"/>
        <v>0</v>
      </c>
      <c r="AD542" s="261">
        <f t="shared" si="101"/>
        <v>0</v>
      </c>
      <c r="AE542" s="76"/>
      <c r="AF542" s="97"/>
      <c r="AG542" s="76"/>
      <c r="AH542" s="97">
        <v>1</v>
      </c>
      <c r="AI542" s="97">
        <v>1</v>
      </c>
      <c r="AJ542" s="73"/>
      <c r="AK542" s="57"/>
      <c r="AL542" s="45"/>
      <c r="AM542" s="45"/>
      <c r="AN542" s="45"/>
    </row>
    <row r="543" spans="1:40" hidden="1" outlineLevel="3" x14ac:dyDescent="0.25">
      <c r="A543" s="45"/>
      <c r="B543" s="54"/>
      <c r="C543" s="47">
        <f t="shared" si="99"/>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1"/>
        <v>0</v>
      </c>
      <c r="V543" s="261">
        <f t="shared" si="101"/>
        <v>0</v>
      </c>
      <c r="W543" s="261">
        <f t="shared" si="101"/>
        <v>0</v>
      </c>
      <c r="X543" s="261">
        <f t="shared" si="101"/>
        <v>0</v>
      </c>
      <c r="Y543" s="261">
        <f t="shared" si="101"/>
        <v>0</v>
      </c>
      <c r="Z543" s="261">
        <f t="shared" si="101"/>
        <v>0</v>
      </c>
      <c r="AA543" s="261">
        <f t="shared" si="101"/>
        <v>0</v>
      </c>
      <c r="AB543" s="261">
        <f t="shared" si="101"/>
        <v>0</v>
      </c>
      <c r="AC543" s="261">
        <f t="shared" si="101"/>
        <v>0</v>
      </c>
      <c r="AD543" s="261">
        <f t="shared" si="101"/>
        <v>0</v>
      </c>
      <c r="AE543" s="76"/>
      <c r="AF543" s="97"/>
      <c r="AG543" s="76"/>
      <c r="AH543" s="97">
        <v>1</v>
      </c>
      <c r="AI543" s="97">
        <v>1</v>
      </c>
      <c r="AJ543" s="73"/>
      <c r="AK543" s="57"/>
      <c r="AL543" s="45"/>
      <c r="AM543" s="45"/>
      <c r="AN543" s="45"/>
    </row>
    <row r="544" spans="1:40" hidden="1" outlineLevel="2" x14ac:dyDescent="0.25">
      <c r="A544" s="45"/>
      <c r="B544" s="54"/>
      <c r="C544" s="47">
        <f t="shared" si="99"/>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2">Y544</f>
        <v>0</v>
      </c>
      <c r="AA544" s="255">
        <f t="shared" si="102"/>
        <v>0</v>
      </c>
      <c r="AB544" s="255">
        <f t="shared" si="102"/>
        <v>0</v>
      </c>
      <c r="AC544" s="255">
        <f t="shared" si="102"/>
        <v>0</v>
      </c>
      <c r="AD544" s="255">
        <f t="shared" si="102"/>
        <v>0</v>
      </c>
      <c r="AE544" s="76"/>
      <c r="AF544" s="97"/>
      <c r="AG544" s="76"/>
      <c r="AH544" s="97">
        <v>1</v>
      </c>
      <c r="AI544" s="97">
        <v>1</v>
      </c>
      <c r="AJ544" s="73"/>
      <c r="AK544" s="57"/>
      <c r="AL544" s="45"/>
      <c r="AM544" s="45"/>
      <c r="AN544" s="45"/>
    </row>
    <row r="545" spans="1:40" hidden="1" outlineLevel="2" x14ac:dyDescent="0.25">
      <c r="A545" s="45"/>
      <c r="B545" s="54"/>
      <c r="C545" s="47">
        <f t="shared" si="99"/>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2"/>
        <v>0</v>
      </c>
      <c r="AA545" s="255">
        <f t="shared" si="102"/>
        <v>0</v>
      </c>
      <c r="AB545" s="255">
        <f t="shared" si="102"/>
        <v>0</v>
      </c>
      <c r="AC545" s="255">
        <f t="shared" si="102"/>
        <v>0</v>
      </c>
      <c r="AD545" s="255">
        <f t="shared" si="102"/>
        <v>0</v>
      </c>
      <c r="AE545" s="76"/>
      <c r="AF545" s="97"/>
      <c r="AG545" s="76"/>
      <c r="AH545" s="97">
        <v>1</v>
      </c>
      <c r="AI545" s="97">
        <v>1</v>
      </c>
      <c r="AJ545" s="73"/>
      <c r="AK545" s="57"/>
      <c r="AL545" s="45"/>
      <c r="AM545" s="45"/>
      <c r="AN545" s="45"/>
    </row>
    <row r="546" spans="1:40" hidden="1" outlineLevel="2" x14ac:dyDescent="0.25">
      <c r="A546" s="45"/>
      <c r="B546" s="54"/>
      <c r="C546" s="47">
        <f t="shared" si="99"/>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2"/>
        <v>0</v>
      </c>
      <c r="AA546" s="255">
        <f t="shared" si="102"/>
        <v>0</v>
      </c>
      <c r="AB546" s="255">
        <f t="shared" si="102"/>
        <v>0</v>
      </c>
      <c r="AC546" s="255">
        <f t="shared" si="102"/>
        <v>0</v>
      </c>
      <c r="AD546" s="255">
        <f t="shared" si="102"/>
        <v>0</v>
      </c>
      <c r="AE546" s="76"/>
      <c r="AF546" s="97"/>
      <c r="AG546" s="76"/>
      <c r="AH546" s="97">
        <v>1</v>
      </c>
      <c r="AI546" s="97">
        <v>1</v>
      </c>
      <c r="AJ546" s="73"/>
      <c r="AK546" s="57"/>
      <c r="AL546" s="45"/>
      <c r="AM546" s="45"/>
      <c r="AN546" s="45"/>
    </row>
    <row r="547" spans="1:40" hidden="1" outlineLevel="2" x14ac:dyDescent="0.25">
      <c r="A547" s="45"/>
      <c r="B547" s="54"/>
      <c r="C547" s="47">
        <f t="shared" si="99"/>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2"/>
        <v>0</v>
      </c>
      <c r="AA547" s="255">
        <f t="shared" si="102"/>
        <v>0</v>
      </c>
      <c r="AB547" s="255">
        <f t="shared" si="102"/>
        <v>0</v>
      </c>
      <c r="AC547" s="255">
        <f t="shared" si="102"/>
        <v>0</v>
      </c>
      <c r="AD547" s="255">
        <f t="shared" si="102"/>
        <v>0</v>
      </c>
      <c r="AE547" s="76"/>
      <c r="AF547" s="97"/>
      <c r="AG547" s="76"/>
      <c r="AH547" s="97">
        <v>1</v>
      </c>
      <c r="AI547" s="97">
        <v>1</v>
      </c>
      <c r="AJ547" s="73"/>
      <c r="AK547" s="57"/>
      <c r="AL547" s="45"/>
      <c r="AM547" s="45"/>
      <c r="AN547" s="45"/>
    </row>
    <row r="548" spans="1:40" hidden="1" outlineLevel="2" x14ac:dyDescent="0.25">
      <c r="A548" s="45"/>
      <c r="B548" s="54"/>
      <c r="C548" s="47">
        <f t="shared" si="99"/>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2"/>
        <v>0</v>
      </c>
      <c r="AA548" s="255">
        <f t="shared" si="102"/>
        <v>0</v>
      </c>
      <c r="AB548" s="255">
        <f t="shared" si="102"/>
        <v>0</v>
      </c>
      <c r="AC548" s="255">
        <f t="shared" si="102"/>
        <v>0</v>
      </c>
      <c r="AD548" s="255">
        <f t="shared" si="102"/>
        <v>0</v>
      </c>
      <c r="AE548" s="76"/>
      <c r="AF548" s="97"/>
      <c r="AG548" s="76"/>
      <c r="AH548" s="97">
        <v>1</v>
      </c>
      <c r="AI548" s="97">
        <v>1</v>
      </c>
      <c r="AJ548" s="73"/>
      <c r="AK548" s="57"/>
      <c r="AL548" s="45"/>
      <c r="AM548" s="45"/>
      <c r="AN548" s="45"/>
    </row>
    <row r="549" spans="1:40" hidden="1" outlineLevel="3" x14ac:dyDescent="0.25">
      <c r="A549" s="45"/>
      <c r="B549" s="54"/>
      <c r="C549" s="47">
        <f t="shared" si="99"/>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3">U548</f>
        <v>0</v>
      </c>
      <c r="V549" s="261">
        <f t="shared" si="103"/>
        <v>0</v>
      </c>
      <c r="W549" s="261">
        <f t="shared" si="103"/>
        <v>0</v>
      </c>
      <c r="X549" s="261">
        <f t="shared" si="103"/>
        <v>0</v>
      </c>
      <c r="Y549" s="261">
        <f t="shared" si="103"/>
        <v>0</v>
      </c>
      <c r="Z549" s="261">
        <f t="shared" si="103"/>
        <v>0</v>
      </c>
      <c r="AA549" s="261">
        <f t="shared" si="103"/>
        <v>0</v>
      </c>
      <c r="AB549" s="261">
        <f t="shared" si="103"/>
        <v>0</v>
      </c>
      <c r="AC549" s="261">
        <f t="shared" si="103"/>
        <v>0</v>
      </c>
      <c r="AD549" s="261">
        <f t="shared" si="103"/>
        <v>0</v>
      </c>
      <c r="AE549" s="76"/>
      <c r="AF549" s="97"/>
      <c r="AG549" s="76"/>
      <c r="AH549" s="97">
        <v>1</v>
      </c>
      <c r="AI549" s="97">
        <v>1</v>
      </c>
      <c r="AJ549" s="73"/>
      <c r="AK549" s="57"/>
      <c r="AL549" s="45"/>
      <c r="AM549" s="45"/>
      <c r="AN549" s="45"/>
    </row>
    <row r="550" spans="1:40" hidden="1" outlineLevel="3" x14ac:dyDescent="0.25">
      <c r="A550" s="45"/>
      <c r="B550" s="54"/>
      <c r="C550" s="47">
        <f t="shared" si="99"/>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3"/>
        <v>0</v>
      </c>
      <c r="V550" s="261">
        <f t="shared" si="103"/>
        <v>0</v>
      </c>
      <c r="W550" s="261">
        <f t="shared" si="103"/>
        <v>0</v>
      </c>
      <c r="X550" s="261">
        <f t="shared" si="103"/>
        <v>0</v>
      </c>
      <c r="Y550" s="261">
        <f t="shared" si="103"/>
        <v>0</v>
      </c>
      <c r="Z550" s="261">
        <f t="shared" si="103"/>
        <v>0</v>
      </c>
      <c r="AA550" s="261">
        <f t="shared" si="103"/>
        <v>0</v>
      </c>
      <c r="AB550" s="261">
        <f t="shared" si="103"/>
        <v>0</v>
      </c>
      <c r="AC550" s="261">
        <f t="shared" si="103"/>
        <v>0</v>
      </c>
      <c r="AD550" s="261">
        <f t="shared" si="103"/>
        <v>0</v>
      </c>
      <c r="AE550" s="76"/>
      <c r="AF550" s="97"/>
      <c r="AG550" s="76"/>
      <c r="AH550" s="97">
        <v>1</v>
      </c>
      <c r="AI550" s="97">
        <v>1</v>
      </c>
      <c r="AJ550" s="73"/>
      <c r="AK550" s="57"/>
      <c r="AL550" s="45"/>
      <c r="AM550" s="45"/>
      <c r="AN550" s="45"/>
    </row>
    <row r="551" spans="1:40" hidden="1" outlineLevel="3" collapsed="1" x14ac:dyDescent="0.25">
      <c r="A551" s="45"/>
      <c r="B551" s="54"/>
      <c r="C551" s="47">
        <f t="shared" si="99"/>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3"/>
        <v>0</v>
      </c>
      <c r="V551" s="261">
        <f t="shared" si="103"/>
        <v>0</v>
      </c>
      <c r="W551" s="261">
        <f t="shared" si="103"/>
        <v>0</v>
      </c>
      <c r="X551" s="261">
        <f t="shared" si="103"/>
        <v>0</v>
      </c>
      <c r="Y551" s="261">
        <f t="shared" si="103"/>
        <v>0</v>
      </c>
      <c r="Z551" s="261">
        <f t="shared" si="103"/>
        <v>0</v>
      </c>
      <c r="AA551" s="261">
        <f t="shared" si="103"/>
        <v>0</v>
      </c>
      <c r="AB551" s="261">
        <f t="shared" si="103"/>
        <v>0</v>
      </c>
      <c r="AC551" s="261">
        <f t="shared" si="103"/>
        <v>0</v>
      </c>
      <c r="AD551" s="261">
        <f t="shared" si="103"/>
        <v>0</v>
      </c>
      <c r="AE551" s="76"/>
      <c r="AF551" s="97"/>
      <c r="AG551" s="76"/>
      <c r="AH551" s="97">
        <v>1</v>
      </c>
      <c r="AI551" s="97">
        <v>1</v>
      </c>
      <c r="AJ551" s="73"/>
      <c r="AK551" s="57"/>
      <c r="AL551" s="45"/>
      <c r="AM551" s="45"/>
      <c r="AN551" s="45"/>
    </row>
    <row r="552" spans="1:40" hidden="1" outlineLevel="3" x14ac:dyDescent="0.25">
      <c r="A552" s="45"/>
      <c r="B552" s="54"/>
      <c r="C552" s="47">
        <f t="shared" si="99"/>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9"/>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9"/>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9"/>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9"/>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9"/>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9"/>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9"/>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99"/>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99"/>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9"/>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9"/>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9"/>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9"/>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9"/>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9"/>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4">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5">AA568</f>
        <v>-0.55000000000000004</v>
      </c>
      <c r="AA568" s="255">
        <f t="shared" si="105"/>
        <v>-0.55000000000000004</v>
      </c>
      <c r="AB568" s="97">
        <v>-0.55000000000000004</v>
      </c>
      <c r="AC568" s="255">
        <f t="shared" ref="AC568:AD591" si="106">AB568</f>
        <v>-0.55000000000000004</v>
      </c>
      <c r="AD568" s="255">
        <f t="shared" si="106"/>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4"/>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5"/>
        <v>-0.2</v>
      </c>
      <c r="AA569" s="255">
        <f t="shared" si="105"/>
        <v>-0.2</v>
      </c>
      <c r="AB569" s="97">
        <v>-0.2</v>
      </c>
      <c r="AC569" s="255">
        <f t="shared" si="106"/>
        <v>-0.2</v>
      </c>
      <c r="AD569" s="255">
        <f t="shared" si="106"/>
        <v>-0.2</v>
      </c>
      <c r="AE569" s="76"/>
      <c r="AF569" s="97" t="s">
        <v>2698</v>
      </c>
      <c r="AG569" s="76"/>
      <c r="AH569" s="97">
        <v>1</v>
      </c>
      <c r="AI569" s="97">
        <v>1</v>
      </c>
      <c r="AJ569" s="73"/>
      <c r="AK569" s="57"/>
      <c r="AL569" s="45"/>
      <c r="AM569" s="45"/>
      <c r="AN569" s="45"/>
    </row>
    <row r="570" spans="1:40" hidden="1" outlineLevel="2" x14ac:dyDescent="0.25">
      <c r="A570" s="45"/>
      <c r="B570" s="54"/>
      <c r="C570" s="47">
        <f t="shared" si="104"/>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5"/>
        <v>0</v>
      </c>
      <c r="AA570" s="255">
        <f t="shared" si="105"/>
        <v>0</v>
      </c>
      <c r="AB570" s="97">
        <v>0</v>
      </c>
      <c r="AC570" s="255">
        <f t="shared" si="106"/>
        <v>0</v>
      </c>
      <c r="AD570" s="255">
        <f t="shared" si="106"/>
        <v>0</v>
      </c>
      <c r="AE570" s="76"/>
      <c r="AF570" s="97"/>
      <c r="AG570" s="76"/>
      <c r="AH570" s="97">
        <v>1</v>
      </c>
      <c r="AI570" s="97">
        <v>1</v>
      </c>
      <c r="AJ570" s="73"/>
      <c r="AK570" s="57"/>
      <c r="AL570" s="45"/>
      <c r="AM570" s="45"/>
      <c r="AN570" s="45"/>
    </row>
    <row r="571" spans="1:40" hidden="1" outlineLevel="2" x14ac:dyDescent="0.25">
      <c r="A571" s="45"/>
      <c r="B571" s="54"/>
      <c r="C571" s="47">
        <f t="shared" si="104"/>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5"/>
        <v>0</v>
      </c>
      <c r="AA571" s="255">
        <f t="shared" si="105"/>
        <v>0</v>
      </c>
      <c r="AB571" s="97">
        <v>0</v>
      </c>
      <c r="AC571" s="255">
        <f t="shared" si="106"/>
        <v>0</v>
      </c>
      <c r="AD571" s="255">
        <f t="shared" si="106"/>
        <v>0</v>
      </c>
      <c r="AE571" s="76"/>
      <c r="AF571" s="97"/>
      <c r="AG571" s="76"/>
      <c r="AH571" s="97">
        <v>1</v>
      </c>
      <c r="AI571" s="97">
        <v>1</v>
      </c>
      <c r="AJ571" s="73"/>
      <c r="AK571" s="57"/>
      <c r="AL571" s="45"/>
      <c r="AM571" s="45"/>
      <c r="AN571" s="45"/>
    </row>
    <row r="572" spans="1:40" hidden="1" outlineLevel="2" x14ac:dyDescent="0.25">
      <c r="A572" s="45"/>
      <c r="B572" s="54"/>
      <c r="C572" s="47">
        <f t="shared" si="104"/>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5"/>
        <v>0</v>
      </c>
      <c r="AA572" s="255">
        <f t="shared" si="105"/>
        <v>0</v>
      </c>
      <c r="AB572" s="97">
        <v>0</v>
      </c>
      <c r="AC572" s="255">
        <f t="shared" si="106"/>
        <v>0</v>
      </c>
      <c r="AD572" s="255">
        <f t="shared" si="106"/>
        <v>0</v>
      </c>
      <c r="AE572" s="76"/>
      <c r="AF572" s="97"/>
      <c r="AG572" s="76"/>
      <c r="AH572" s="97">
        <v>1</v>
      </c>
      <c r="AI572" s="97">
        <v>1</v>
      </c>
      <c r="AJ572" s="73"/>
      <c r="AK572" s="57"/>
      <c r="AL572" s="45"/>
      <c r="AM572" s="45"/>
      <c r="AN572" s="45"/>
    </row>
    <row r="573" spans="1:40" hidden="1" outlineLevel="2" x14ac:dyDescent="0.25">
      <c r="A573" s="45"/>
      <c r="B573" s="54"/>
      <c r="C573" s="47">
        <f t="shared" si="104"/>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5"/>
        <v>0</v>
      </c>
      <c r="AA573" s="255">
        <f t="shared" si="105"/>
        <v>0</v>
      </c>
      <c r="AB573" s="97">
        <v>0</v>
      </c>
      <c r="AC573" s="255">
        <f t="shared" si="106"/>
        <v>0</v>
      </c>
      <c r="AD573" s="255">
        <f t="shared" si="106"/>
        <v>0</v>
      </c>
      <c r="AE573" s="76"/>
      <c r="AF573" s="97"/>
      <c r="AG573" s="76"/>
      <c r="AH573" s="97">
        <v>1</v>
      </c>
      <c r="AI573" s="97">
        <v>1</v>
      </c>
      <c r="AJ573" s="73"/>
      <c r="AK573" s="57"/>
      <c r="AL573" s="45"/>
      <c r="AM573" s="45"/>
      <c r="AN573" s="45"/>
    </row>
    <row r="574" spans="1:40" hidden="1" outlineLevel="2" x14ac:dyDescent="0.25">
      <c r="A574" s="45"/>
      <c r="B574" s="54"/>
      <c r="C574" s="47">
        <f t="shared" si="104"/>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5"/>
        <v>0</v>
      </c>
      <c r="AA574" s="255">
        <f t="shared" si="105"/>
        <v>0</v>
      </c>
      <c r="AB574" s="97">
        <v>0</v>
      </c>
      <c r="AC574" s="255">
        <f t="shared" si="106"/>
        <v>0</v>
      </c>
      <c r="AD574" s="255">
        <f t="shared" si="106"/>
        <v>0</v>
      </c>
      <c r="AE574" s="76"/>
      <c r="AF574" s="97"/>
      <c r="AG574" s="76"/>
      <c r="AH574" s="97">
        <v>1</v>
      </c>
      <c r="AI574" s="97">
        <v>1</v>
      </c>
      <c r="AJ574" s="73"/>
      <c r="AK574" s="57"/>
      <c r="AL574" s="45"/>
      <c r="AM574" s="45"/>
      <c r="AN574" s="45"/>
    </row>
    <row r="575" spans="1:40" hidden="1" outlineLevel="2" x14ac:dyDescent="0.25">
      <c r="A575" s="45"/>
      <c r="B575" s="54"/>
      <c r="C575" s="47">
        <f t="shared" si="104"/>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5"/>
        <v>-0.2</v>
      </c>
      <c r="AA575" s="255">
        <f t="shared" si="105"/>
        <v>-0.2</v>
      </c>
      <c r="AB575" s="97">
        <f>AB569</f>
        <v>-0.2</v>
      </c>
      <c r="AC575" s="255">
        <f t="shared" si="106"/>
        <v>-0.2</v>
      </c>
      <c r="AD575" s="255">
        <f t="shared" si="106"/>
        <v>-0.2</v>
      </c>
      <c r="AE575" s="76"/>
      <c r="AF575" s="97"/>
      <c r="AG575" s="76"/>
      <c r="AH575" s="97">
        <v>1</v>
      </c>
      <c r="AI575" s="97">
        <v>1</v>
      </c>
      <c r="AJ575" s="73"/>
      <c r="AK575" s="57"/>
      <c r="AL575" s="45"/>
      <c r="AM575" s="45"/>
      <c r="AN575" s="45"/>
    </row>
    <row r="576" spans="1:40" hidden="1" outlineLevel="2" x14ac:dyDescent="0.25">
      <c r="A576" s="45"/>
      <c r="B576" s="54"/>
      <c r="C576" s="47">
        <f t="shared" si="104"/>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7">Y576</f>
        <v>0</v>
      </c>
      <c r="AA576" s="255">
        <f t="shared" si="107"/>
        <v>0</v>
      </c>
      <c r="AB576" s="255">
        <f t="shared" si="107"/>
        <v>0</v>
      </c>
      <c r="AC576" s="255">
        <f t="shared" si="106"/>
        <v>0</v>
      </c>
      <c r="AD576" s="255">
        <f t="shared" si="106"/>
        <v>0</v>
      </c>
      <c r="AE576" s="76"/>
      <c r="AF576" s="97"/>
      <c r="AG576" s="76"/>
      <c r="AH576" s="97">
        <v>1</v>
      </c>
      <c r="AI576" s="97">
        <v>1</v>
      </c>
      <c r="AJ576" s="73"/>
      <c r="AK576" s="57"/>
      <c r="AL576" s="45"/>
      <c r="AM576" s="45"/>
      <c r="AN576" s="45"/>
    </row>
    <row r="577" spans="1:40" hidden="1" outlineLevel="2" x14ac:dyDescent="0.25">
      <c r="A577" s="45"/>
      <c r="B577" s="54"/>
      <c r="C577" s="47">
        <f t="shared" si="104"/>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7"/>
        <v>0</v>
      </c>
      <c r="AA577" s="255">
        <f t="shared" si="107"/>
        <v>0</v>
      </c>
      <c r="AB577" s="255">
        <f t="shared" si="107"/>
        <v>0</v>
      </c>
      <c r="AC577" s="255">
        <f t="shared" si="106"/>
        <v>0</v>
      </c>
      <c r="AD577" s="255">
        <f t="shared" si="106"/>
        <v>0</v>
      </c>
      <c r="AE577" s="76"/>
      <c r="AF577" s="97"/>
      <c r="AG577" s="76"/>
      <c r="AH577" s="97">
        <v>1</v>
      </c>
      <c r="AI577" s="97">
        <v>1</v>
      </c>
      <c r="AJ577" s="73"/>
      <c r="AK577" s="57"/>
      <c r="AL577" s="45"/>
      <c r="AM577" s="45"/>
      <c r="AN577" s="45"/>
    </row>
    <row r="578" spans="1:40" hidden="1" outlineLevel="2" x14ac:dyDescent="0.25">
      <c r="A578" s="45"/>
      <c r="B578" s="54"/>
      <c r="C578" s="47">
        <f t="shared" si="104"/>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7"/>
        <v>0</v>
      </c>
      <c r="AA578" s="255">
        <f t="shared" si="107"/>
        <v>0</v>
      </c>
      <c r="AB578" s="255">
        <f t="shared" si="107"/>
        <v>0</v>
      </c>
      <c r="AC578" s="255">
        <f t="shared" si="106"/>
        <v>0</v>
      </c>
      <c r="AD578" s="255">
        <f t="shared" si="106"/>
        <v>0</v>
      </c>
      <c r="AE578" s="76"/>
      <c r="AF578" s="97"/>
      <c r="AG578" s="76"/>
      <c r="AH578" s="97">
        <v>1</v>
      </c>
      <c r="AI578" s="97">
        <v>1</v>
      </c>
      <c r="AJ578" s="73"/>
      <c r="AK578" s="57"/>
      <c r="AL578" s="45"/>
      <c r="AM578" s="45"/>
      <c r="AN578" s="45"/>
    </row>
    <row r="579" spans="1:40" hidden="1" outlineLevel="3" x14ac:dyDescent="0.25">
      <c r="A579" s="45"/>
      <c r="B579" s="54"/>
      <c r="C579" s="47">
        <f t="shared" si="104"/>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7"/>
        <v>0</v>
      </c>
      <c r="AA579" s="255">
        <f t="shared" si="107"/>
        <v>0</v>
      </c>
      <c r="AB579" s="255">
        <f t="shared" si="107"/>
        <v>0</v>
      </c>
      <c r="AC579" s="255">
        <f t="shared" si="106"/>
        <v>0</v>
      </c>
      <c r="AD579" s="255">
        <f t="shared" si="106"/>
        <v>0</v>
      </c>
      <c r="AE579" s="76"/>
      <c r="AF579" s="97"/>
      <c r="AG579" s="76"/>
      <c r="AH579" s="97">
        <v>1</v>
      </c>
      <c r="AI579" s="97">
        <v>1</v>
      </c>
      <c r="AJ579" s="73"/>
      <c r="AK579" s="57"/>
      <c r="AL579" s="45"/>
      <c r="AM579" s="45"/>
      <c r="AN579" s="45"/>
    </row>
    <row r="580" spans="1:40" hidden="1" outlineLevel="3" x14ac:dyDescent="0.25">
      <c r="A580" s="45"/>
      <c r="B580" s="54"/>
      <c r="C580" s="47">
        <f t="shared" si="104"/>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7"/>
        <v>0</v>
      </c>
      <c r="AA580" s="255">
        <f t="shared" si="107"/>
        <v>0</v>
      </c>
      <c r="AB580" s="255">
        <f t="shared" si="107"/>
        <v>0</v>
      </c>
      <c r="AC580" s="255">
        <f t="shared" si="106"/>
        <v>0</v>
      </c>
      <c r="AD580" s="255">
        <f t="shared" si="106"/>
        <v>0</v>
      </c>
      <c r="AE580" s="76"/>
      <c r="AF580" s="97"/>
      <c r="AG580" s="76"/>
      <c r="AH580" s="97">
        <v>1</v>
      </c>
      <c r="AI580" s="97">
        <v>1</v>
      </c>
      <c r="AJ580" s="73"/>
      <c r="AK580" s="57"/>
      <c r="AL580" s="45"/>
      <c r="AM580" s="45"/>
      <c r="AN580" s="45"/>
    </row>
    <row r="581" spans="1:40" hidden="1" outlineLevel="3" x14ac:dyDescent="0.25">
      <c r="A581" s="45"/>
      <c r="B581" s="54"/>
      <c r="C581" s="47">
        <f t="shared" si="104"/>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7"/>
        <v>0</v>
      </c>
      <c r="AA581" s="255">
        <f t="shared" si="107"/>
        <v>0</v>
      </c>
      <c r="AB581" s="255">
        <f t="shared" si="107"/>
        <v>0</v>
      </c>
      <c r="AC581" s="255">
        <f t="shared" si="106"/>
        <v>0</v>
      </c>
      <c r="AD581" s="255">
        <f t="shared" si="106"/>
        <v>0</v>
      </c>
      <c r="AE581" s="76"/>
      <c r="AF581" s="97"/>
      <c r="AG581" s="76"/>
      <c r="AH581" s="97">
        <v>1</v>
      </c>
      <c r="AI581" s="97">
        <v>1</v>
      </c>
      <c r="AJ581" s="73"/>
      <c r="AK581" s="57"/>
      <c r="AL581" s="45"/>
      <c r="AM581" s="45"/>
      <c r="AN581" s="45"/>
    </row>
    <row r="582" spans="1:40" hidden="1" outlineLevel="3" x14ac:dyDescent="0.25">
      <c r="A582" s="45"/>
      <c r="B582" s="54"/>
      <c r="C582" s="47">
        <f t="shared" si="104"/>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7"/>
        <v>0</v>
      </c>
      <c r="AA582" s="255">
        <f t="shared" si="107"/>
        <v>0</v>
      </c>
      <c r="AB582" s="255">
        <f t="shared" si="107"/>
        <v>0</v>
      </c>
      <c r="AC582" s="255">
        <f t="shared" si="106"/>
        <v>0</v>
      </c>
      <c r="AD582" s="255">
        <f t="shared" si="106"/>
        <v>0</v>
      </c>
      <c r="AE582" s="76"/>
      <c r="AF582" s="97"/>
      <c r="AG582" s="76"/>
      <c r="AH582" s="97">
        <v>1</v>
      </c>
      <c r="AI582" s="97">
        <v>1</v>
      </c>
      <c r="AJ582" s="73"/>
      <c r="AK582" s="57"/>
      <c r="AL582" s="45"/>
      <c r="AM582" s="45"/>
      <c r="AN582" s="45"/>
    </row>
    <row r="583" spans="1:40" hidden="1" outlineLevel="3" x14ac:dyDescent="0.25">
      <c r="A583" s="45"/>
      <c r="B583" s="54"/>
      <c r="C583" s="47">
        <f t="shared" si="104"/>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7"/>
        <v>0</v>
      </c>
      <c r="AA583" s="255">
        <f t="shared" si="107"/>
        <v>0</v>
      </c>
      <c r="AB583" s="255">
        <f t="shared" si="107"/>
        <v>0</v>
      </c>
      <c r="AC583" s="255">
        <f t="shared" si="106"/>
        <v>0</v>
      </c>
      <c r="AD583" s="255">
        <f t="shared" si="106"/>
        <v>0</v>
      </c>
      <c r="AE583" s="76"/>
      <c r="AF583" s="97"/>
      <c r="AG583" s="76"/>
      <c r="AH583" s="97">
        <v>1</v>
      </c>
      <c r="AI583" s="97">
        <v>1</v>
      </c>
      <c r="AJ583" s="73"/>
      <c r="AK583" s="57"/>
      <c r="AL583" s="45"/>
      <c r="AM583" s="45"/>
      <c r="AN583" s="45"/>
    </row>
    <row r="584" spans="1:40" hidden="1" outlineLevel="2" x14ac:dyDescent="0.25">
      <c r="A584" s="45"/>
      <c r="B584" s="54"/>
      <c r="C584" s="47">
        <f t="shared" si="104"/>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7"/>
        <v>0</v>
      </c>
      <c r="AA584" s="255">
        <f t="shared" si="107"/>
        <v>0</v>
      </c>
      <c r="AB584" s="255">
        <f t="shared" si="107"/>
        <v>0</v>
      </c>
      <c r="AC584" s="255">
        <f t="shared" si="106"/>
        <v>0</v>
      </c>
      <c r="AD584" s="255">
        <f t="shared" si="106"/>
        <v>0</v>
      </c>
      <c r="AE584" s="76"/>
      <c r="AF584" s="97"/>
      <c r="AG584" s="76"/>
      <c r="AH584" s="97">
        <v>1</v>
      </c>
      <c r="AI584" s="97">
        <v>1</v>
      </c>
      <c r="AJ584" s="73"/>
      <c r="AK584" s="57"/>
      <c r="AL584" s="45"/>
      <c r="AM584" s="45"/>
      <c r="AN584" s="45"/>
    </row>
    <row r="585" spans="1:40" hidden="1" outlineLevel="2" x14ac:dyDescent="0.25">
      <c r="A585" s="45"/>
      <c r="B585" s="54"/>
      <c r="C585" s="47">
        <f t="shared" si="104"/>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7"/>
        <v>0</v>
      </c>
      <c r="AA585" s="255">
        <f t="shared" si="107"/>
        <v>0</v>
      </c>
      <c r="AB585" s="255">
        <f t="shared" si="107"/>
        <v>0</v>
      </c>
      <c r="AC585" s="255">
        <f t="shared" si="106"/>
        <v>0</v>
      </c>
      <c r="AD585" s="255">
        <f t="shared" si="106"/>
        <v>0</v>
      </c>
      <c r="AE585" s="76"/>
      <c r="AF585" s="97"/>
      <c r="AG585" s="76"/>
      <c r="AH585" s="97">
        <v>1</v>
      </c>
      <c r="AI585" s="97">
        <v>1</v>
      </c>
      <c r="AJ585" s="73"/>
      <c r="AK585" s="57"/>
      <c r="AL585" s="45"/>
      <c r="AM585" s="45"/>
      <c r="AN585" s="45"/>
    </row>
    <row r="586" spans="1:40" hidden="1" outlineLevel="2" x14ac:dyDescent="0.25">
      <c r="A586" s="45"/>
      <c r="B586" s="54"/>
      <c r="C586" s="47">
        <f t="shared" si="104"/>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7"/>
        <v>0</v>
      </c>
      <c r="AA586" s="255">
        <f t="shared" si="107"/>
        <v>0</v>
      </c>
      <c r="AB586" s="255">
        <f t="shared" si="107"/>
        <v>0</v>
      </c>
      <c r="AC586" s="255">
        <f t="shared" si="106"/>
        <v>0</v>
      </c>
      <c r="AD586" s="255">
        <f t="shared" si="106"/>
        <v>0</v>
      </c>
      <c r="AE586" s="76"/>
      <c r="AF586" s="97"/>
      <c r="AG586" s="76"/>
      <c r="AH586" s="97">
        <v>1</v>
      </c>
      <c r="AI586" s="97">
        <v>1</v>
      </c>
      <c r="AJ586" s="73"/>
      <c r="AK586" s="57"/>
      <c r="AL586" s="45"/>
      <c r="AM586" s="45"/>
      <c r="AN586" s="45"/>
    </row>
    <row r="587" spans="1:40" hidden="1" outlineLevel="3" x14ac:dyDescent="0.25">
      <c r="A587" s="45"/>
      <c r="B587" s="54"/>
      <c r="C587" s="47">
        <f t="shared" si="104"/>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7"/>
        <v>0</v>
      </c>
      <c r="AA587" s="255">
        <f t="shared" si="107"/>
        <v>0</v>
      </c>
      <c r="AB587" s="255">
        <f t="shared" si="107"/>
        <v>0</v>
      </c>
      <c r="AC587" s="255">
        <f t="shared" si="106"/>
        <v>0</v>
      </c>
      <c r="AD587" s="255">
        <f t="shared" si="106"/>
        <v>0</v>
      </c>
      <c r="AE587" s="76"/>
      <c r="AF587" s="97"/>
      <c r="AG587" s="76"/>
      <c r="AH587" s="97">
        <v>1</v>
      </c>
      <c r="AI587" s="97">
        <v>1</v>
      </c>
      <c r="AJ587" s="73"/>
      <c r="AK587" s="57"/>
      <c r="AL587" s="45"/>
      <c r="AM587" s="45"/>
      <c r="AN587" s="45"/>
    </row>
    <row r="588" spans="1:40" hidden="1" outlineLevel="3" x14ac:dyDescent="0.25">
      <c r="A588" s="45"/>
      <c r="B588" s="54"/>
      <c r="C588" s="47">
        <f t="shared" si="104"/>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7"/>
        <v>0</v>
      </c>
      <c r="AA588" s="255">
        <f t="shared" si="107"/>
        <v>0</v>
      </c>
      <c r="AB588" s="255">
        <f t="shared" si="107"/>
        <v>0</v>
      </c>
      <c r="AC588" s="255">
        <f t="shared" si="106"/>
        <v>0</v>
      </c>
      <c r="AD588" s="255">
        <f t="shared" si="106"/>
        <v>0</v>
      </c>
      <c r="AE588" s="76"/>
      <c r="AF588" s="97"/>
      <c r="AG588" s="76"/>
      <c r="AH588" s="97">
        <v>1</v>
      </c>
      <c r="AI588" s="97">
        <v>1</v>
      </c>
      <c r="AJ588" s="73"/>
      <c r="AK588" s="57"/>
      <c r="AL588" s="45"/>
      <c r="AM588" s="45"/>
      <c r="AN588" s="45"/>
    </row>
    <row r="589" spans="1:40" hidden="1" outlineLevel="3" x14ac:dyDescent="0.25">
      <c r="A589" s="45"/>
      <c r="B589" s="54"/>
      <c r="C589" s="47">
        <f t="shared" si="104"/>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7"/>
        <v>0</v>
      </c>
      <c r="AA589" s="255">
        <f t="shared" si="107"/>
        <v>0</v>
      </c>
      <c r="AB589" s="255">
        <f t="shared" si="107"/>
        <v>0</v>
      </c>
      <c r="AC589" s="255">
        <f t="shared" si="106"/>
        <v>0</v>
      </c>
      <c r="AD589" s="255">
        <f t="shared" si="106"/>
        <v>0</v>
      </c>
      <c r="AE589" s="76"/>
      <c r="AF589" s="97"/>
      <c r="AG589" s="76"/>
      <c r="AH589" s="97">
        <v>1</v>
      </c>
      <c r="AI589" s="97">
        <v>1</v>
      </c>
      <c r="AJ589" s="73"/>
      <c r="AK589" s="57"/>
      <c r="AL589" s="45"/>
      <c r="AM589" s="45"/>
      <c r="AN589" s="45"/>
    </row>
    <row r="590" spans="1:40" hidden="1" outlineLevel="3" x14ac:dyDescent="0.25">
      <c r="A590" s="45"/>
      <c r="B590" s="54"/>
      <c r="C590" s="47">
        <f t="shared" si="104"/>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7"/>
        <v>0</v>
      </c>
      <c r="AA590" s="255">
        <f t="shared" si="107"/>
        <v>0</v>
      </c>
      <c r="AB590" s="255">
        <f t="shared" si="107"/>
        <v>0</v>
      </c>
      <c r="AC590" s="255">
        <f t="shared" si="106"/>
        <v>0</v>
      </c>
      <c r="AD590" s="255">
        <f t="shared" si="106"/>
        <v>0</v>
      </c>
      <c r="AE590" s="76"/>
      <c r="AF590" s="97"/>
      <c r="AG590" s="76"/>
      <c r="AH590" s="97">
        <v>1</v>
      </c>
      <c r="AI590" s="97">
        <v>1</v>
      </c>
      <c r="AJ590" s="73"/>
      <c r="AK590" s="57"/>
      <c r="AL590" s="45"/>
      <c r="AM590" s="45"/>
      <c r="AN590" s="45"/>
    </row>
    <row r="591" spans="1:40" hidden="1" outlineLevel="3" x14ac:dyDescent="0.25">
      <c r="A591" s="45"/>
      <c r="B591" s="54"/>
      <c r="C591" s="47">
        <f t="shared" si="104"/>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7"/>
        <v>0</v>
      </c>
      <c r="AA591" s="255">
        <f t="shared" si="107"/>
        <v>0</v>
      </c>
      <c r="AB591" s="255">
        <f t="shared" si="107"/>
        <v>0</v>
      </c>
      <c r="AC591" s="255">
        <f t="shared" si="106"/>
        <v>0</v>
      </c>
      <c r="AD591" s="255">
        <f t="shared" si="106"/>
        <v>0</v>
      </c>
      <c r="AE591" s="76"/>
      <c r="AF591" s="97"/>
      <c r="AG591" s="76"/>
      <c r="AH591" s="97">
        <v>1</v>
      </c>
      <c r="AI591" s="97">
        <v>1</v>
      </c>
      <c r="AJ591" s="73"/>
      <c r="AK591" s="57"/>
      <c r="AL591" s="45"/>
      <c r="AM591" s="45"/>
      <c r="AN591" s="45"/>
    </row>
    <row r="592" spans="1:40" hidden="1" outlineLevel="3" x14ac:dyDescent="0.25">
      <c r="A592" s="45"/>
      <c r="B592" s="54"/>
      <c r="C592" s="47">
        <f t="shared" si="104"/>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4"/>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4"/>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4"/>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4"/>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4"/>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4"/>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4"/>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08">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x14ac:dyDescent="0.25">
      <c r="A601" s="45"/>
      <c r="B601" s="54"/>
      <c r="C601" s="47">
        <f t="shared" si="108"/>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8"/>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8"/>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8"/>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8"/>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8"/>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8"/>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8"/>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8"/>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8"/>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8"/>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8"/>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8"/>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8"/>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8"/>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08"/>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x14ac:dyDescent="0.25">
      <c r="A617" s="45"/>
      <c r="B617" s="54"/>
      <c r="C617" s="47">
        <f t="shared" si="108"/>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8"/>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8"/>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8"/>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8"/>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8"/>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8"/>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08"/>
        <v>3</v>
      </c>
      <c r="D624" s="73"/>
      <c r="E624" s="70"/>
      <c r="F624" s="70" t="s">
        <v>2749</v>
      </c>
      <c r="G624" s="73"/>
      <c r="H624" s="76" t="s">
        <v>2748</v>
      </c>
      <c r="I624" s="96">
        <v>1</v>
      </c>
      <c r="J624" s="96"/>
      <c r="K624" s="76"/>
      <c r="L624" s="76"/>
      <c r="M624" s="76"/>
      <c r="N624" s="76"/>
      <c r="O624" s="76"/>
      <c r="P624" s="76"/>
      <c r="Q624" s="76"/>
      <c r="R624" s="76"/>
      <c r="S624" s="76"/>
      <c r="T624" s="76"/>
      <c r="U624" s="97">
        <f t="shared" ref="U624:U631" si="109">AA624-($I624*-0.3347)</f>
        <v>0.39093</v>
      </c>
      <c r="V624" s="255">
        <f t="shared" ref="V624:V631" si="110">U624</f>
        <v>0.39093</v>
      </c>
      <c r="W624" s="255">
        <f t="shared" ref="W624:X631" si="111">U624</f>
        <v>0.39093</v>
      </c>
      <c r="X624" s="255">
        <f t="shared" si="111"/>
        <v>0.39093</v>
      </c>
      <c r="Y624" s="255">
        <f t="shared" ref="Y624:Y631" si="112">V624</f>
        <v>0.39093</v>
      </c>
      <c r="Z624" s="255">
        <f t="shared" ref="Z624:Z631" si="113">AA624</f>
        <v>5.6230000000000002E-2</v>
      </c>
      <c r="AA624" s="97">
        <f t="shared" ref="AA624:AA631" si="114">-($I624*-0.05623)</f>
        <v>5.6230000000000002E-2</v>
      </c>
      <c r="AB624" s="255">
        <f t="shared" ref="AB624:AD631" si="115">AA624</f>
        <v>5.6230000000000002E-2</v>
      </c>
      <c r="AC624" s="255">
        <f t="shared" si="115"/>
        <v>5.6230000000000002E-2</v>
      </c>
      <c r="AD624" s="255">
        <f t="shared" si="115"/>
        <v>5.6230000000000002E-2</v>
      </c>
      <c r="AE624" s="76"/>
      <c r="AF624" s="97" t="s">
        <v>3487</v>
      </c>
      <c r="AG624" s="76"/>
      <c r="AH624" s="97">
        <v>1</v>
      </c>
      <c r="AI624" s="97">
        <v>1</v>
      </c>
      <c r="AJ624" s="73"/>
      <c r="AK624" s="57"/>
      <c r="AL624" s="45"/>
      <c r="AM624" s="45"/>
      <c r="AN624" s="45"/>
    </row>
    <row r="625" spans="1:40" hidden="1" outlineLevel="2" x14ac:dyDescent="0.25">
      <c r="A625" s="45"/>
      <c r="B625" s="54"/>
      <c r="C625" s="47">
        <f t="shared" si="108"/>
        <v>3</v>
      </c>
      <c r="D625" s="73"/>
      <c r="E625" s="70"/>
      <c r="F625" s="70" t="s">
        <v>2750</v>
      </c>
      <c r="G625" s="73"/>
      <c r="H625" s="76" t="s">
        <v>2663</v>
      </c>
      <c r="I625" s="96">
        <v>2</v>
      </c>
      <c r="J625" s="96"/>
      <c r="K625" s="76"/>
      <c r="L625" s="76"/>
      <c r="M625" s="76"/>
      <c r="N625" s="76"/>
      <c r="O625" s="76"/>
      <c r="P625" s="76"/>
      <c r="Q625" s="76"/>
      <c r="R625" s="76"/>
      <c r="S625" s="76"/>
      <c r="T625" s="76"/>
      <c r="U625" s="97">
        <f t="shared" si="109"/>
        <v>0.78186</v>
      </c>
      <c r="V625" s="255">
        <f t="shared" si="110"/>
        <v>0.78186</v>
      </c>
      <c r="W625" s="255">
        <f t="shared" si="111"/>
        <v>0.78186</v>
      </c>
      <c r="X625" s="255">
        <f t="shared" si="111"/>
        <v>0.78186</v>
      </c>
      <c r="Y625" s="255">
        <f t="shared" si="112"/>
        <v>0.78186</v>
      </c>
      <c r="Z625" s="255">
        <f t="shared" si="113"/>
        <v>0.11246</v>
      </c>
      <c r="AA625" s="97">
        <f t="shared" si="114"/>
        <v>0.11246</v>
      </c>
      <c r="AB625" s="255">
        <f t="shared" si="115"/>
        <v>0.11246</v>
      </c>
      <c r="AC625" s="255">
        <f t="shared" si="115"/>
        <v>0.11246</v>
      </c>
      <c r="AD625" s="255">
        <f t="shared" si="115"/>
        <v>0.11246</v>
      </c>
      <c r="AE625" s="76"/>
      <c r="AF625" s="97" t="s">
        <v>3486</v>
      </c>
      <c r="AG625" s="76"/>
      <c r="AH625" s="97">
        <v>1</v>
      </c>
      <c r="AI625" s="97">
        <v>1</v>
      </c>
      <c r="AJ625" s="73"/>
      <c r="AK625" s="57"/>
      <c r="AL625" s="45"/>
      <c r="AM625" s="45"/>
      <c r="AN625" s="45"/>
    </row>
    <row r="626" spans="1:40" hidden="1" outlineLevel="2" x14ac:dyDescent="0.25">
      <c r="A626" s="45"/>
      <c r="B626" s="54"/>
      <c r="C626" s="47">
        <f t="shared" si="108"/>
        <v>3</v>
      </c>
      <c r="D626" s="73"/>
      <c r="E626" s="70"/>
      <c r="F626" s="70" t="s">
        <v>2751</v>
      </c>
      <c r="G626" s="73"/>
      <c r="H626" s="76" t="s">
        <v>2664</v>
      </c>
      <c r="I626" s="96">
        <v>3</v>
      </c>
      <c r="J626" s="96"/>
      <c r="K626" s="76"/>
      <c r="L626" s="76"/>
      <c r="M626" s="76"/>
      <c r="N626" s="76"/>
      <c r="O626" s="76"/>
      <c r="P626" s="76"/>
      <c r="Q626" s="76"/>
      <c r="R626" s="76"/>
      <c r="S626" s="76"/>
      <c r="T626" s="76"/>
      <c r="U626" s="97">
        <f t="shared" si="109"/>
        <v>1.17279</v>
      </c>
      <c r="V626" s="255">
        <f t="shared" si="110"/>
        <v>1.17279</v>
      </c>
      <c r="W626" s="255">
        <f t="shared" si="111"/>
        <v>1.17279</v>
      </c>
      <c r="X626" s="255">
        <f t="shared" si="111"/>
        <v>1.17279</v>
      </c>
      <c r="Y626" s="255">
        <f t="shared" si="112"/>
        <v>1.17279</v>
      </c>
      <c r="Z626" s="255">
        <f t="shared" si="113"/>
        <v>0.16869000000000001</v>
      </c>
      <c r="AA626" s="97">
        <f t="shared" si="114"/>
        <v>0.16869000000000001</v>
      </c>
      <c r="AB626" s="255">
        <f t="shared" si="115"/>
        <v>0.16869000000000001</v>
      </c>
      <c r="AC626" s="255">
        <f t="shared" si="115"/>
        <v>0.16869000000000001</v>
      </c>
      <c r="AD626" s="255">
        <f t="shared" si="115"/>
        <v>0.16869000000000001</v>
      </c>
      <c r="AE626" s="76"/>
      <c r="AF626" s="76"/>
      <c r="AG626" s="76"/>
      <c r="AH626" s="97">
        <v>1</v>
      </c>
      <c r="AI626" s="97">
        <v>1</v>
      </c>
      <c r="AJ626" s="73"/>
      <c r="AK626" s="57"/>
      <c r="AL626" s="45"/>
      <c r="AM626" s="45"/>
      <c r="AN626" s="45"/>
    </row>
    <row r="627" spans="1:40" hidden="1" outlineLevel="2" x14ac:dyDescent="0.25">
      <c r="A627" s="45"/>
      <c r="B627" s="54"/>
      <c r="C627" s="47">
        <f t="shared" si="108"/>
        <v>3</v>
      </c>
      <c r="D627" s="73"/>
      <c r="E627" s="70"/>
      <c r="F627" s="70" t="s">
        <v>2752</v>
      </c>
      <c r="G627" s="73"/>
      <c r="H627" s="76" t="s">
        <v>2665</v>
      </c>
      <c r="I627" s="96">
        <v>4</v>
      </c>
      <c r="J627" s="96"/>
      <c r="K627" s="76"/>
      <c r="L627" s="76"/>
      <c r="M627" s="76"/>
      <c r="N627" s="76"/>
      <c r="O627" s="76"/>
      <c r="P627" s="76"/>
      <c r="Q627" s="76"/>
      <c r="R627" s="76"/>
      <c r="S627" s="76"/>
      <c r="T627" s="76"/>
      <c r="U627" s="97">
        <f t="shared" si="109"/>
        <v>1.56372</v>
      </c>
      <c r="V627" s="255">
        <f t="shared" si="110"/>
        <v>1.56372</v>
      </c>
      <c r="W627" s="255">
        <f t="shared" si="111"/>
        <v>1.56372</v>
      </c>
      <c r="X627" s="255">
        <f t="shared" si="111"/>
        <v>1.56372</v>
      </c>
      <c r="Y627" s="255">
        <f t="shared" si="112"/>
        <v>1.56372</v>
      </c>
      <c r="Z627" s="255">
        <f t="shared" si="113"/>
        <v>0.22492000000000001</v>
      </c>
      <c r="AA627" s="97">
        <f t="shared" si="114"/>
        <v>0.22492000000000001</v>
      </c>
      <c r="AB627" s="255">
        <f t="shared" si="115"/>
        <v>0.22492000000000001</v>
      </c>
      <c r="AC627" s="255">
        <f t="shared" si="115"/>
        <v>0.22492000000000001</v>
      </c>
      <c r="AD627" s="255">
        <f t="shared" si="115"/>
        <v>0.22492000000000001</v>
      </c>
      <c r="AE627" s="76"/>
      <c r="AF627" s="76"/>
      <c r="AG627" s="76"/>
      <c r="AH627" s="97">
        <v>1</v>
      </c>
      <c r="AI627" s="97">
        <v>1</v>
      </c>
      <c r="AJ627" s="73"/>
      <c r="AK627" s="57"/>
      <c r="AL627" s="45"/>
      <c r="AM627" s="45"/>
      <c r="AN627" s="45"/>
    </row>
    <row r="628" spans="1:40" hidden="1" outlineLevel="2" x14ac:dyDescent="0.25">
      <c r="A628" s="45"/>
      <c r="B628" s="54"/>
      <c r="C628" s="47">
        <f t="shared" si="108"/>
        <v>3</v>
      </c>
      <c r="D628" s="73"/>
      <c r="E628" s="70"/>
      <c r="F628" s="70" t="s">
        <v>2753</v>
      </c>
      <c r="G628" s="73"/>
      <c r="H628" s="76" t="s">
        <v>2666</v>
      </c>
      <c r="I628" s="96">
        <v>5</v>
      </c>
      <c r="J628" s="96"/>
      <c r="K628" s="76"/>
      <c r="L628" s="76"/>
      <c r="M628" s="76"/>
      <c r="N628" s="76"/>
      <c r="O628" s="76"/>
      <c r="P628" s="76"/>
      <c r="Q628" s="76"/>
      <c r="R628" s="76"/>
      <c r="S628" s="76"/>
      <c r="T628" s="76"/>
      <c r="U628" s="97">
        <f t="shared" si="109"/>
        <v>1.95465</v>
      </c>
      <c r="V628" s="255">
        <f t="shared" si="110"/>
        <v>1.95465</v>
      </c>
      <c r="W628" s="255">
        <f t="shared" si="111"/>
        <v>1.95465</v>
      </c>
      <c r="X628" s="255">
        <f t="shared" si="111"/>
        <v>1.95465</v>
      </c>
      <c r="Y628" s="255">
        <f t="shared" si="112"/>
        <v>1.95465</v>
      </c>
      <c r="Z628" s="255">
        <f t="shared" si="113"/>
        <v>0.28115000000000001</v>
      </c>
      <c r="AA628" s="97">
        <f t="shared" si="114"/>
        <v>0.28115000000000001</v>
      </c>
      <c r="AB628" s="255">
        <f t="shared" si="115"/>
        <v>0.28115000000000001</v>
      </c>
      <c r="AC628" s="255">
        <f t="shared" si="115"/>
        <v>0.28115000000000001</v>
      </c>
      <c r="AD628" s="255">
        <f t="shared" si="115"/>
        <v>0.28115000000000001</v>
      </c>
      <c r="AE628" s="76"/>
      <c r="AF628" s="76"/>
      <c r="AG628" s="76"/>
      <c r="AH628" s="97">
        <v>1</v>
      </c>
      <c r="AI628" s="97">
        <v>1</v>
      </c>
      <c r="AJ628" s="73"/>
      <c r="AK628" s="57"/>
      <c r="AL628" s="45"/>
      <c r="AM628" s="45"/>
      <c r="AN628" s="45"/>
    </row>
    <row r="629" spans="1:40" hidden="1" outlineLevel="2" x14ac:dyDescent="0.25">
      <c r="A629" s="45"/>
      <c r="B629" s="54"/>
      <c r="C629" s="47">
        <f t="shared" si="108"/>
        <v>3</v>
      </c>
      <c r="D629" s="73"/>
      <c r="E629" s="70"/>
      <c r="F629" s="70" t="s">
        <v>2754</v>
      </c>
      <c r="G629" s="73"/>
      <c r="H629" s="76" t="s">
        <v>2667</v>
      </c>
      <c r="I629" s="96">
        <v>6</v>
      </c>
      <c r="J629" s="96"/>
      <c r="K629" s="76"/>
      <c r="L629" s="76"/>
      <c r="M629" s="76"/>
      <c r="N629" s="76"/>
      <c r="O629" s="76"/>
      <c r="P629" s="76"/>
      <c r="Q629" s="76"/>
      <c r="R629" s="76"/>
      <c r="S629" s="76"/>
      <c r="T629" s="76"/>
      <c r="U629" s="97">
        <f t="shared" si="109"/>
        <v>2.34558</v>
      </c>
      <c r="V629" s="255">
        <f t="shared" si="110"/>
        <v>2.34558</v>
      </c>
      <c r="W629" s="255">
        <f t="shared" si="111"/>
        <v>2.34558</v>
      </c>
      <c r="X629" s="255">
        <f t="shared" si="111"/>
        <v>2.34558</v>
      </c>
      <c r="Y629" s="255">
        <f t="shared" si="112"/>
        <v>2.34558</v>
      </c>
      <c r="Z629" s="255">
        <f t="shared" si="113"/>
        <v>0.33738000000000001</v>
      </c>
      <c r="AA629" s="97">
        <f t="shared" si="114"/>
        <v>0.33738000000000001</v>
      </c>
      <c r="AB629" s="255">
        <f t="shared" si="115"/>
        <v>0.33738000000000001</v>
      </c>
      <c r="AC629" s="255">
        <f t="shared" si="115"/>
        <v>0.33738000000000001</v>
      </c>
      <c r="AD629" s="255">
        <f t="shared" si="115"/>
        <v>0.33738000000000001</v>
      </c>
      <c r="AE629" s="76"/>
      <c r="AF629" s="76"/>
      <c r="AG629" s="76"/>
      <c r="AH629" s="97">
        <v>1</v>
      </c>
      <c r="AI629" s="97">
        <v>1</v>
      </c>
      <c r="AJ629" s="73"/>
      <c r="AK629" s="57"/>
      <c r="AL629" s="45"/>
      <c r="AM629" s="45"/>
      <c r="AN629" s="45"/>
    </row>
    <row r="630" spans="1:40" hidden="1" outlineLevel="2" x14ac:dyDescent="0.25">
      <c r="A630" s="45"/>
      <c r="B630" s="54"/>
      <c r="C630" s="47">
        <f t="shared" si="108"/>
        <v>3</v>
      </c>
      <c r="D630" s="73"/>
      <c r="E630" s="70"/>
      <c r="F630" s="70" t="s">
        <v>2755</v>
      </c>
      <c r="G630" s="73"/>
      <c r="H630" s="76" t="s">
        <v>2668</v>
      </c>
      <c r="I630" s="96">
        <v>7</v>
      </c>
      <c r="J630" s="96"/>
      <c r="K630" s="76"/>
      <c r="L630" s="76"/>
      <c r="M630" s="76"/>
      <c r="N630" s="76"/>
      <c r="O630" s="76"/>
      <c r="P630" s="76"/>
      <c r="Q630" s="76"/>
      <c r="R630" s="76"/>
      <c r="S630" s="76"/>
      <c r="T630" s="76"/>
      <c r="U630" s="97">
        <f t="shared" si="109"/>
        <v>2.73651</v>
      </c>
      <c r="V630" s="255">
        <f t="shared" si="110"/>
        <v>2.73651</v>
      </c>
      <c r="W630" s="255">
        <f t="shared" si="111"/>
        <v>2.73651</v>
      </c>
      <c r="X630" s="255">
        <f t="shared" si="111"/>
        <v>2.73651</v>
      </c>
      <c r="Y630" s="255">
        <f t="shared" si="112"/>
        <v>2.73651</v>
      </c>
      <c r="Z630" s="255">
        <f t="shared" si="113"/>
        <v>0.39361000000000002</v>
      </c>
      <c r="AA630" s="97">
        <f t="shared" si="114"/>
        <v>0.39361000000000002</v>
      </c>
      <c r="AB630" s="255">
        <f t="shared" si="115"/>
        <v>0.39361000000000002</v>
      </c>
      <c r="AC630" s="255">
        <f t="shared" si="115"/>
        <v>0.39361000000000002</v>
      </c>
      <c r="AD630" s="255">
        <f t="shared" si="115"/>
        <v>0.39361000000000002</v>
      </c>
      <c r="AE630" s="76"/>
      <c r="AF630" s="76"/>
      <c r="AG630" s="76"/>
      <c r="AH630" s="97">
        <v>1</v>
      </c>
      <c r="AI630" s="97">
        <v>1</v>
      </c>
      <c r="AJ630" s="73"/>
      <c r="AK630" s="57"/>
      <c r="AL630" s="45"/>
      <c r="AM630" s="45"/>
      <c r="AN630" s="45"/>
    </row>
    <row r="631" spans="1:40" hidden="1" outlineLevel="2" x14ac:dyDescent="0.25">
      <c r="A631" s="45"/>
      <c r="B631" s="54"/>
      <c r="C631" s="47">
        <f t="shared" si="108"/>
        <v>3</v>
      </c>
      <c r="D631" s="73"/>
      <c r="E631" s="70"/>
      <c r="F631" s="70" t="s">
        <v>2756</v>
      </c>
      <c r="G631" s="73"/>
      <c r="H631" s="76" t="s">
        <v>2669</v>
      </c>
      <c r="I631" s="96">
        <v>8</v>
      </c>
      <c r="J631" s="96"/>
      <c r="K631" s="76"/>
      <c r="L631" s="76"/>
      <c r="M631" s="76"/>
      <c r="N631" s="76"/>
      <c r="O631" s="76"/>
      <c r="P631" s="76"/>
      <c r="Q631" s="76"/>
      <c r="R631" s="76"/>
      <c r="S631" s="76"/>
      <c r="T631" s="76"/>
      <c r="U631" s="97">
        <f t="shared" si="109"/>
        <v>3.12744</v>
      </c>
      <c r="V631" s="255">
        <f t="shared" si="110"/>
        <v>3.12744</v>
      </c>
      <c r="W631" s="255">
        <f t="shared" si="111"/>
        <v>3.12744</v>
      </c>
      <c r="X631" s="255">
        <f t="shared" si="111"/>
        <v>3.12744</v>
      </c>
      <c r="Y631" s="255">
        <f t="shared" si="112"/>
        <v>3.12744</v>
      </c>
      <c r="Z631" s="255">
        <f t="shared" si="113"/>
        <v>0.44984000000000002</v>
      </c>
      <c r="AA631" s="97">
        <f t="shared" si="114"/>
        <v>0.44984000000000002</v>
      </c>
      <c r="AB631" s="255">
        <f t="shared" si="115"/>
        <v>0.44984000000000002</v>
      </c>
      <c r="AC631" s="255">
        <f t="shared" si="115"/>
        <v>0.44984000000000002</v>
      </c>
      <c r="AD631" s="255">
        <f t="shared" si="115"/>
        <v>0.44984000000000002</v>
      </c>
      <c r="AE631" s="76"/>
      <c r="AF631" s="76"/>
      <c r="AG631" s="76"/>
      <c r="AH631" s="97">
        <v>1</v>
      </c>
      <c r="AI631" s="97">
        <v>1</v>
      </c>
      <c r="AJ631" s="73"/>
      <c r="AK631" s="57"/>
      <c r="AL631" s="45"/>
      <c r="AM631" s="45"/>
      <c r="AN631" s="45"/>
    </row>
    <row r="632" spans="1:40" hidden="1"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x14ac:dyDescent="0.25">
      <c r="A633" s="45"/>
      <c r="B633" s="54"/>
      <c r="C633" s="47">
        <f t="shared" ref="C633:C650" si="116">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6"/>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6"/>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6"/>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6"/>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x14ac:dyDescent="0.25">
      <c r="A638" s="45"/>
      <c r="B638" s="54"/>
      <c r="C638" s="47">
        <f t="shared" si="116"/>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6"/>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6"/>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6"/>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6"/>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6"/>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6"/>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6"/>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6"/>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6"/>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6"/>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6"/>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6"/>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17">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7"/>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7"/>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7"/>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7"/>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7"/>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18">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9">AA657</f>
        <v>-0.26729999999999998</v>
      </c>
      <c r="AC657" s="255">
        <f t="shared" si="119"/>
        <v>-0.26729999999999998</v>
      </c>
      <c r="AD657" s="255">
        <f t="shared" si="119"/>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18"/>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9"/>
        <v>0</v>
      </c>
      <c r="AC658" s="255">
        <f t="shared" si="119"/>
        <v>0</v>
      </c>
      <c r="AD658" s="255">
        <f t="shared" si="119"/>
        <v>0</v>
      </c>
      <c r="AE658" s="76"/>
      <c r="AF658" s="76" t="s">
        <v>2560</v>
      </c>
      <c r="AG658" s="76"/>
      <c r="AH658" s="97">
        <v>1</v>
      </c>
      <c r="AI658" s="97">
        <v>1</v>
      </c>
      <c r="AJ658" s="73"/>
      <c r="AK658" s="57"/>
      <c r="AL658" s="45"/>
      <c r="AM658" s="45"/>
      <c r="AN658" s="45"/>
    </row>
    <row r="659" spans="1:40" hidden="1" outlineLevel="2" x14ac:dyDescent="0.25">
      <c r="A659" s="45"/>
      <c r="B659" s="54"/>
      <c r="C659" s="47">
        <f t="shared" si="118"/>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20">U657</f>
        <v>0</v>
      </c>
      <c r="V659" s="253">
        <f t="shared" si="120"/>
        <v>0</v>
      </c>
      <c r="W659" s="253">
        <f t="shared" si="120"/>
        <v>0</v>
      </c>
      <c r="X659" s="253">
        <f t="shared" si="120"/>
        <v>0</v>
      </c>
      <c r="Y659" s="253">
        <f t="shared" si="120"/>
        <v>0</v>
      </c>
      <c r="Z659" s="253">
        <f t="shared" si="120"/>
        <v>-0.26729999999999998</v>
      </c>
      <c r="AA659" s="253">
        <f t="shared" si="120"/>
        <v>-0.26729999999999998</v>
      </c>
      <c r="AB659" s="253">
        <f t="shared" si="120"/>
        <v>-0.26729999999999998</v>
      </c>
      <c r="AC659" s="253">
        <f t="shared" si="120"/>
        <v>-0.26729999999999998</v>
      </c>
      <c r="AD659" s="253">
        <f t="shared" si="120"/>
        <v>-0.26729999999999998</v>
      </c>
      <c r="AE659" s="76"/>
      <c r="AF659" s="76"/>
      <c r="AG659" s="76"/>
      <c r="AH659" s="97">
        <v>1</v>
      </c>
      <c r="AI659" s="97">
        <v>1</v>
      </c>
      <c r="AJ659" s="73"/>
      <c r="AK659" s="57"/>
      <c r="AL659" s="45"/>
      <c r="AM659" s="45"/>
      <c r="AN659" s="45"/>
    </row>
    <row r="660" spans="1:40" hidden="1" outlineLevel="2" x14ac:dyDescent="0.25">
      <c r="A660" s="45"/>
      <c r="B660" s="54"/>
      <c r="C660" s="47">
        <f t="shared" si="118"/>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1">AA660</f>
        <v>0</v>
      </c>
      <c r="AC660" s="255">
        <f t="shared" si="121"/>
        <v>0</v>
      </c>
      <c r="AD660" s="255">
        <f t="shared" si="121"/>
        <v>0</v>
      </c>
      <c r="AE660" s="76"/>
      <c r="AF660" s="76" t="s">
        <v>1235</v>
      </c>
      <c r="AG660" s="76"/>
      <c r="AH660" s="97">
        <v>1</v>
      </c>
      <c r="AI660" s="97">
        <v>1</v>
      </c>
      <c r="AJ660" s="73"/>
      <c r="AK660" s="57"/>
      <c r="AL660" s="45"/>
      <c r="AM660" s="45"/>
      <c r="AN660" s="45"/>
    </row>
    <row r="661" spans="1:40" hidden="1" outlineLevel="2" x14ac:dyDescent="0.25">
      <c r="A661" s="45"/>
      <c r="B661" s="54"/>
      <c r="C661" s="47">
        <f t="shared" si="118"/>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1"/>
        <v>0</v>
      </c>
      <c r="AC661" s="255">
        <f t="shared" si="121"/>
        <v>0</v>
      </c>
      <c r="AD661" s="255">
        <f t="shared" si="121"/>
        <v>0</v>
      </c>
      <c r="AE661" s="76"/>
      <c r="AF661" s="76"/>
      <c r="AG661" s="76"/>
      <c r="AH661" s="97">
        <v>1</v>
      </c>
      <c r="AI661" s="97">
        <v>1</v>
      </c>
      <c r="AJ661" s="73"/>
      <c r="AK661" s="57"/>
      <c r="AL661" s="45"/>
      <c r="AM661" s="45"/>
      <c r="AN661" s="45"/>
    </row>
    <row r="662" spans="1:40" hidden="1" outlineLevel="2" x14ac:dyDescent="0.25">
      <c r="A662" s="45"/>
      <c r="B662" s="54"/>
      <c r="C662" s="47">
        <f t="shared" si="118"/>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1"/>
        <v>0</v>
      </c>
      <c r="AC662" s="255">
        <f t="shared" si="121"/>
        <v>0</v>
      </c>
      <c r="AD662" s="255">
        <f t="shared" si="121"/>
        <v>0</v>
      </c>
      <c r="AE662" s="76"/>
      <c r="AF662" s="76"/>
      <c r="AG662" s="76"/>
      <c r="AH662" s="97">
        <v>1</v>
      </c>
      <c r="AI662" s="97">
        <v>1</v>
      </c>
      <c r="AJ662" s="73"/>
      <c r="AK662" s="57"/>
      <c r="AL662" s="45"/>
      <c r="AM662" s="45"/>
      <c r="AN662" s="45"/>
    </row>
    <row r="663" spans="1:40" hidden="1" outlineLevel="2" x14ac:dyDescent="0.25">
      <c r="A663" s="45"/>
      <c r="B663" s="54"/>
      <c r="C663" s="47">
        <f t="shared" si="118"/>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2">INDEX($K663:$Q663,1,U$43)</f>
        <v>1.1499999999999999</v>
      </c>
      <c r="V663" s="253">
        <f t="shared" si="122"/>
        <v>1.1499999999999999</v>
      </c>
      <c r="W663" s="253">
        <f t="shared" si="122"/>
        <v>1.1499999999999999</v>
      </c>
      <c r="X663" s="253">
        <f t="shared" si="122"/>
        <v>1.1499999999999999</v>
      </c>
      <c r="Y663" s="253">
        <f t="shared" si="122"/>
        <v>1.1499999999999999</v>
      </c>
      <c r="Z663" s="253">
        <f t="shared" si="122"/>
        <v>1.1499999999999999</v>
      </c>
      <c r="AA663" s="253">
        <f t="shared" si="122"/>
        <v>1.1499999999999999</v>
      </c>
      <c r="AB663" s="253">
        <f t="shared" si="122"/>
        <v>1.1499999999999999</v>
      </c>
      <c r="AC663" s="253">
        <f t="shared" si="122"/>
        <v>1.1499999999999999</v>
      </c>
      <c r="AD663" s="253">
        <f t="shared" si="122"/>
        <v>1.1499999999999999</v>
      </c>
      <c r="AE663" s="76"/>
      <c r="AF663" s="76"/>
      <c r="AG663" s="76"/>
      <c r="AH663" s="97">
        <v>1</v>
      </c>
      <c r="AI663" s="97">
        <v>1</v>
      </c>
      <c r="AJ663" s="73"/>
      <c r="AK663" s="57"/>
      <c r="AL663" s="45"/>
      <c r="AM663" s="45"/>
      <c r="AN663" s="45"/>
    </row>
    <row r="664" spans="1:40" hidden="1" outlineLevel="2" x14ac:dyDescent="0.25">
      <c r="A664" s="45"/>
      <c r="B664" s="54"/>
      <c r="C664" s="47">
        <f t="shared" si="118"/>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2"/>
        <v>1</v>
      </c>
      <c r="V664" s="253">
        <f t="shared" si="122"/>
        <v>1</v>
      </c>
      <c r="W664" s="253">
        <f t="shared" si="122"/>
        <v>1</v>
      </c>
      <c r="X664" s="253">
        <f t="shared" si="122"/>
        <v>1</v>
      </c>
      <c r="Y664" s="253">
        <f t="shared" si="122"/>
        <v>1</v>
      </c>
      <c r="Z664" s="253">
        <f t="shared" si="122"/>
        <v>1</v>
      </c>
      <c r="AA664" s="253">
        <f t="shared" si="122"/>
        <v>1</v>
      </c>
      <c r="AB664" s="253">
        <f t="shared" si="122"/>
        <v>1</v>
      </c>
      <c r="AC664" s="253">
        <f t="shared" si="122"/>
        <v>1</v>
      </c>
      <c r="AD664" s="253">
        <f t="shared" si="122"/>
        <v>1</v>
      </c>
      <c r="AE664" s="76"/>
      <c r="AF664" s="76"/>
      <c r="AG664" s="76"/>
      <c r="AH664" s="97">
        <v>1</v>
      </c>
      <c r="AI664" s="97">
        <v>1</v>
      </c>
      <c r="AJ664" s="73"/>
      <c r="AK664" s="57"/>
      <c r="AL664" s="45"/>
      <c r="AM664" s="45"/>
      <c r="AN664" s="45"/>
    </row>
    <row r="665" spans="1:40" hidden="1" outlineLevel="2" x14ac:dyDescent="0.25">
      <c r="A665" s="45"/>
      <c r="B665" s="54"/>
      <c r="C665" s="47">
        <f t="shared" si="118"/>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2"/>
        <v>1</v>
      </c>
      <c r="V665" s="253">
        <f t="shared" si="122"/>
        <v>1</v>
      </c>
      <c r="W665" s="253">
        <f t="shared" si="122"/>
        <v>1</v>
      </c>
      <c r="X665" s="253">
        <f t="shared" si="122"/>
        <v>1</v>
      </c>
      <c r="Y665" s="253">
        <f t="shared" si="122"/>
        <v>1</v>
      </c>
      <c r="Z665" s="253">
        <f t="shared" si="122"/>
        <v>1</v>
      </c>
      <c r="AA665" s="253">
        <f t="shared" si="122"/>
        <v>1</v>
      </c>
      <c r="AB665" s="253">
        <f t="shared" si="122"/>
        <v>1</v>
      </c>
      <c r="AC665" s="253">
        <f t="shared" si="122"/>
        <v>1</v>
      </c>
      <c r="AD665" s="253">
        <f t="shared" si="122"/>
        <v>1</v>
      </c>
      <c r="AE665" s="76"/>
      <c r="AF665" s="76"/>
      <c r="AG665" s="76"/>
      <c r="AH665" s="97">
        <v>1</v>
      </c>
      <c r="AI665" s="97">
        <v>1</v>
      </c>
      <c r="AJ665" s="73"/>
      <c r="AK665" s="57"/>
      <c r="AL665" s="45"/>
      <c r="AM665" s="45"/>
      <c r="AN665" s="45"/>
    </row>
    <row r="666" spans="1:40" hidden="1" outlineLevel="2" x14ac:dyDescent="0.25">
      <c r="A666" s="45"/>
      <c r="B666" s="54"/>
      <c r="C666" s="47">
        <f t="shared" si="118"/>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2"/>
        <v>1.4</v>
      </c>
      <c r="V666" s="253">
        <f t="shared" si="122"/>
        <v>1.4</v>
      </c>
      <c r="W666" s="253">
        <f t="shared" si="122"/>
        <v>1.4</v>
      </c>
      <c r="X666" s="253">
        <f t="shared" si="122"/>
        <v>1.4</v>
      </c>
      <c r="Y666" s="253">
        <f t="shared" si="122"/>
        <v>1.4</v>
      </c>
      <c r="Z666" s="253">
        <f t="shared" si="122"/>
        <v>1.4</v>
      </c>
      <c r="AA666" s="253">
        <f t="shared" si="122"/>
        <v>1.4</v>
      </c>
      <c r="AB666" s="253">
        <f t="shared" si="122"/>
        <v>1.4</v>
      </c>
      <c r="AC666" s="253">
        <f t="shared" si="122"/>
        <v>1.4</v>
      </c>
      <c r="AD666" s="253">
        <f t="shared" si="122"/>
        <v>1.4</v>
      </c>
      <c r="AE666" s="76"/>
      <c r="AF666" s="76"/>
      <c r="AG666" s="76"/>
      <c r="AH666" s="97">
        <v>1</v>
      </c>
      <c r="AI666" s="97">
        <v>1</v>
      </c>
      <c r="AJ666" s="73"/>
      <c r="AK666" s="57"/>
      <c r="AL666" s="45"/>
      <c r="AM666" s="45"/>
      <c r="AN666" s="45"/>
    </row>
    <row r="667" spans="1:40" hidden="1" outlineLevel="2" x14ac:dyDescent="0.25">
      <c r="A667" s="45"/>
      <c r="B667" s="54"/>
      <c r="C667" s="47">
        <f t="shared" si="118"/>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2"/>
        <v>1</v>
      </c>
      <c r="V667" s="253">
        <f t="shared" si="122"/>
        <v>1</v>
      </c>
      <c r="W667" s="253">
        <f t="shared" si="122"/>
        <v>1</v>
      </c>
      <c r="X667" s="253">
        <f t="shared" si="122"/>
        <v>1</v>
      </c>
      <c r="Y667" s="253">
        <f t="shared" si="122"/>
        <v>1</v>
      </c>
      <c r="Z667" s="253">
        <f t="shared" si="122"/>
        <v>1</v>
      </c>
      <c r="AA667" s="253">
        <f t="shared" si="122"/>
        <v>1</v>
      </c>
      <c r="AB667" s="253">
        <f t="shared" si="122"/>
        <v>1</v>
      </c>
      <c r="AC667" s="253">
        <f t="shared" si="122"/>
        <v>1</v>
      </c>
      <c r="AD667" s="253">
        <f t="shared" si="122"/>
        <v>1</v>
      </c>
      <c r="AE667" s="76"/>
      <c r="AF667" s="76"/>
      <c r="AG667" s="76"/>
      <c r="AH667" s="97">
        <v>1</v>
      </c>
      <c r="AI667" s="97">
        <v>1</v>
      </c>
      <c r="AJ667" s="73"/>
      <c r="AK667" s="57"/>
      <c r="AL667" s="45"/>
      <c r="AM667" s="45"/>
      <c r="AN667" s="45"/>
    </row>
    <row r="668" spans="1:40" hidden="1" outlineLevel="2" x14ac:dyDescent="0.25">
      <c r="A668" s="45"/>
      <c r="B668" s="54"/>
      <c r="C668" s="47">
        <f t="shared" si="118"/>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2"/>
        <v>1.2</v>
      </c>
      <c r="V668" s="253">
        <f t="shared" si="122"/>
        <v>1.2</v>
      </c>
      <c r="W668" s="253">
        <f t="shared" si="122"/>
        <v>1.2</v>
      </c>
      <c r="X668" s="253">
        <f t="shared" si="122"/>
        <v>1.2</v>
      </c>
      <c r="Y668" s="253">
        <f t="shared" si="122"/>
        <v>1.2</v>
      </c>
      <c r="Z668" s="253">
        <f t="shared" si="122"/>
        <v>1.2</v>
      </c>
      <c r="AA668" s="253">
        <f t="shared" si="122"/>
        <v>1.2</v>
      </c>
      <c r="AB668" s="253">
        <f t="shared" si="122"/>
        <v>1.2</v>
      </c>
      <c r="AC668" s="253">
        <f t="shared" si="122"/>
        <v>1.2</v>
      </c>
      <c r="AD668" s="253">
        <f t="shared" si="122"/>
        <v>1.2</v>
      </c>
      <c r="AE668" s="76"/>
      <c r="AF668" s="76"/>
      <c r="AG668" s="76"/>
      <c r="AH668" s="97">
        <v>1</v>
      </c>
      <c r="AI668" s="97">
        <v>1</v>
      </c>
      <c r="AJ668" s="73"/>
      <c r="AK668" s="57"/>
      <c r="AL668" s="45"/>
      <c r="AM668" s="45"/>
      <c r="AN668" s="45"/>
    </row>
    <row r="669" spans="1:40" hidden="1" outlineLevel="2" x14ac:dyDescent="0.25">
      <c r="A669" s="45"/>
      <c r="B669" s="54"/>
      <c r="C669" s="47">
        <f t="shared" si="118"/>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3">Y669</f>
        <v>0</v>
      </c>
      <c r="AA669" s="255">
        <f t="shared" si="123"/>
        <v>0</v>
      </c>
      <c r="AB669" s="255">
        <f t="shared" si="123"/>
        <v>0</v>
      </c>
      <c r="AC669" s="255">
        <f t="shared" si="123"/>
        <v>0</v>
      </c>
      <c r="AD669" s="255">
        <f t="shared" si="123"/>
        <v>0</v>
      </c>
      <c r="AE669" s="76"/>
      <c r="AF669" s="76"/>
      <c r="AG669" s="76"/>
      <c r="AH669" s="97">
        <v>1</v>
      </c>
      <c r="AI669" s="97">
        <v>1</v>
      </c>
      <c r="AJ669" s="73"/>
      <c r="AK669" s="57"/>
      <c r="AL669" s="45"/>
      <c r="AM669" s="45"/>
      <c r="AN669" s="45"/>
    </row>
    <row r="670" spans="1:40" hidden="1" outlineLevel="2" x14ac:dyDescent="0.25">
      <c r="A670" s="45"/>
      <c r="B670" s="54"/>
      <c r="C670" s="47">
        <f t="shared" si="118"/>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3"/>
        <v>0</v>
      </c>
      <c r="AA670" s="255">
        <f t="shared" si="123"/>
        <v>0</v>
      </c>
      <c r="AB670" s="255">
        <f t="shared" si="123"/>
        <v>0</v>
      </c>
      <c r="AC670" s="255">
        <f t="shared" si="123"/>
        <v>0</v>
      </c>
      <c r="AD670" s="255">
        <f t="shared" si="123"/>
        <v>0</v>
      </c>
      <c r="AE670" s="76"/>
      <c r="AF670" s="76"/>
      <c r="AG670" s="76"/>
      <c r="AH670" s="97">
        <v>1</v>
      </c>
      <c r="AI670" s="97">
        <v>1</v>
      </c>
      <c r="AJ670" s="73"/>
      <c r="AK670" s="57"/>
      <c r="AL670" s="45"/>
      <c r="AM670" s="45"/>
      <c r="AN670" s="45"/>
    </row>
    <row r="671" spans="1:40" hidden="1" outlineLevel="2" x14ac:dyDescent="0.25">
      <c r="A671" s="45"/>
      <c r="B671" s="54"/>
      <c r="C671" s="47">
        <f t="shared" si="118"/>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3"/>
        <v>0</v>
      </c>
      <c r="AA671" s="255">
        <f t="shared" si="123"/>
        <v>0</v>
      </c>
      <c r="AB671" s="255">
        <f t="shared" si="123"/>
        <v>0</v>
      </c>
      <c r="AC671" s="255">
        <f t="shared" si="123"/>
        <v>0</v>
      </c>
      <c r="AD671" s="255">
        <f t="shared" si="123"/>
        <v>0</v>
      </c>
      <c r="AE671" s="76"/>
      <c r="AF671" s="76"/>
      <c r="AG671" s="76"/>
      <c r="AH671" s="97">
        <v>1</v>
      </c>
      <c r="AI671" s="97">
        <v>1</v>
      </c>
      <c r="AJ671" s="73"/>
      <c r="AK671" s="57"/>
      <c r="AL671" s="45"/>
      <c r="AM671" s="45"/>
      <c r="AN671" s="45"/>
    </row>
    <row r="672" spans="1:40" hidden="1" outlineLevel="2" x14ac:dyDescent="0.25">
      <c r="A672" s="45"/>
      <c r="B672" s="54"/>
      <c r="C672" s="47">
        <f t="shared" si="118"/>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3"/>
        <v>0</v>
      </c>
      <c r="AA672" s="255">
        <f t="shared" si="123"/>
        <v>0</v>
      </c>
      <c r="AB672" s="255">
        <f t="shared" si="123"/>
        <v>0</v>
      </c>
      <c r="AC672" s="255">
        <f t="shared" si="123"/>
        <v>0</v>
      </c>
      <c r="AD672" s="255">
        <f t="shared" si="123"/>
        <v>0</v>
      </c>
      <c r="AE672" s="76"/>
      <c r="AF672" s="76"/>
      <c r="AG672" s="76"/>
      <c r="AH672" s="97">
        <v>1</v>
      </c>
      <c r="AI672" s="97">
        <v>1</v>
      </c>
      <c r="AJ672" s="73"/>
      <c r="AK672" s="57"/>
      <c r="AL672" s="45"/>
      <c r="AM672" s="45"/>
      <c r="AN672" s="45"/>
    </row>
    <row r="673" spans="1:40" hidden="1" outlineLevel="2" x14ac:dyDescent="0.25">
      <c r="A673" s="45"/>
      <c r="B673" s="54"/>
      <c r="C673" s="47">
        <f t="shared" si="118"/>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3"/>
        <v>0.26</v>
      </c>
      <c r="AA673" s="255">
        <f t="shared" si="123"/>
        <v>0.26</v>
      </c>
      <c r="AB673" s="255">
        <f t="shared" si="123"/>
        <v>0.26</v>
      </c>
      <c r="AC673" s="255">
        <f t="shared" si="123"/>
        <v>0.26</v>
      </c>
      <c r="AD673" s="255">
        <f t="shared" si="123"/>
        <v>0.26</v>
      </c>
      <c r="AE673" s="76"/>
      <c r="AF673" s="97" t="s">
        <v>1256</v>
      </c>
      <c r="AG673" s="76"/>
      <c r="AH673" s="97">
        <v>1</v>
      </c>
      <c r="AI673" s="97">
        <v>1</v>
      </c>
      <c r="AJ673" s="73"/>
      <c r="AK673" s="57"/>
      <c r="AL673" s="45"/>
      <c r="AM673" s="45"/>
      <c r="AN673" s="45"/>
    </row>
    <row r="674" spans="1:40" hidden="1" outlineLevel="2" x14ac:dyDescent="0.25">
      <c r="A674" s="45"/>
      <c r="B674" s="54"/>
      <c r="C674" s="47">
        <f t="shared" si="118"/>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3"/>
        <v>0</v>
      </c>
      <c r="AA674" s="255">
        <f t="shared" si="123"/>
        <v>0</v>
      </c>
      <c r="AB674" s="255">
        <f t="shared" si="123"/>
        <v>0</v>
      </c>
      <c r="AC674" s="255">
        <f t="shared" si="123"/>
        <v>0</v>
      </c>
      <c r="AD674" s="255">
        <f t="shared" si="123"/>
        <v>0</v>
      </c>
      <c r="AE674" s="76"/>
      <c r="AF674" s="76"/>
      <c r="AG674" s="76"/>
      <c r="AH674" s="97">
        <v>1</v>
      </c>
      <c r="AI674" s="97">
        <v>1</v>
      </c>
      <c r="AJ674" s="73"/>
      <c r="AK674" s="57"/>
      <c r="AL674" s="45"/>
      <c r="AM674" s="45"/>
      <c r="AN674" s="45"/>
    </row>
    <row r="675" spans="1:40" hidden="1" outlineLevel="3" x14ac:dyDescent="0.25">
      <c r="A675" s="45"/>
      <c r="B675" s="54"/>
      <c r="C675" s="47">
        <f t="shared" si="118"/>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8"/>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8"/>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18"/>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4">INDEX($K678:$Q678,1,U$43)</f>
        <v>1.02</v>
      </c>
      <c r="V678" s="253">
        <f t="shared" si="124"/>
        <v>1.02</v>
      </c>
      <c r="W678" s="253">
        <f t="shared" si="124"/>
        <v>1.02</v>
      </c>
      <c r="X678" s="253">
        <f t="shared" si="124"/>
        <v>1.02</v>
      </c>
      <c r="Y678" s="253">
        <f t="shared" si="124"/>
        <v>1.02</v>
      </c>
      <c r="Z678" s="253">
        <f t="shared" si="124"/>
        <v>1.02</v>
      </c>
      <c r="AA678" s="253">
        <f t="shared" si="124"/>
        <v>1.02</v>
      </c>
      <c r="AB678" s="253">
        <f t="shared" si="124"/>
        <v>1.02</v>
      </c>
      <c r="AC678" s="253">
        <f t="shared" si="124"/>
        <v>1.02</v>
      </c>
      <c r="AD678" s="253">
        <f t="shared" si="124"/>
        <v>1.02</v>
      </c>
      <c r="AE678" s="76"/>
      <c r="AF678" s="76"/>
      <c r="AG678" s="76"/>
      <c r="AH678" s="97">
        <v>1</v>
      </c>
      <c r="AI678" s="97">
        <v>1</v>
      </c>
      <c r="AJ678" s="73"/>
      <c r="AK678" s="57"/>
      <c r="AL678" s="45"/>
      <c r="AM678" s="45"/>
      <c r="AN678" s="45"/>
    </row>
    <row r="679" spans="1:40" hidden="1" outlineLevel="2" x14ac:dyDescent="0.25">
      <c r="A679" s="45"/>
      <c r="B679" s="54"/>
      <c r="C679" s="47">
        <f t="shared" si="118"/>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4"/>
        <v>0.98000000000000009</v>
      </c>
      <c r="V679" s="253">
        <f t="shared" si="124"/>
        <v>0.98000000000000009</v>
      </c>
      <c r="W679" s="253">
        <f t="shared" si="124"/>
        <v>0.98000000000000009</v>
      </c>
      <c r="X679" s="253">
        <f t="shared" si="124"/>
        <v>0.98000000000000009</v>
      </c>
      <c r="Y679" s="253">
        <f t="shared" si="124"/>
        <v>0.98000000000000009</v>
      </c>
      <c r="Z679" s="253">
        <f t="shared" si="124"/>
        <v>0.98000000000000009</v>
      </c>
      <c r="AA679" s="253">
        <f t="shared" si="124"/>
        <v>0.98000000000000009</v>
      </c>
      <c r="AB679" s="253">
        <f t="shared" si="124"/>
        <v>0.98000000000000009</v>
      </c>
      <c r="AC679" s="253">
        <f t="shared" si="124"/>
        <v>0.98000000000000009</v>
      </c>
      <c r="AD679" s="253">
        <f t="shared" si="124"/>
        <v>0.98000000000000009</v>
      </c>
      <c r="AE679" s="76"/>
      <c r="AF679" s="76"/>
      <c r="AG679" s="76"/>
      <c r="AH679" s="97">
        <v>1</v>
      </c>
      <c r="AI679" s="97">
        <v>1</v>
      </c>
      <c r="AJ679" s="73"/>
      <c r="AK679" s="57"/>
      <c r="AL679" s="45"/>
      <c r="AM679" s="45"/>
      <c r="AN679" s="45"/>
    </row>
    <row r="680" spans="1:40" hidden="1" outlineLevel="2" x14ac:dyDescent="0.25">
      <c r="A680" s="45"/>
      <c r="B680" s="54"/>
      <c r="C680" s="47">
        <f t="shared" si="118"/>
        <v>3</v>
      </c>
      <c r="D680" s="73"/>
      <c r="E680" s="70"/>
      <c r="F680" s="70" t="s">
        <v>1267</v>
      </c>
      <c r="G680" s="73"/>
      <c r="H680" s="76" t="s">
        <v>2326</v>
      </c>
      <c r="I680" s="96"/>
      <c r="J680" s="96" t="s">
        <v>1172</v>
      </c>
      <c r="K680" s="253">
        <f t="shared" ref="K680:P680" si="125">K678</f>
        <v>1.02</v>
      </c>
      <c r="L680" s="253">
        <f t="shared" si="125"/>
        <v>1.02</v>
      </c>
      <c r="M680" s="253">
        <f t="shared" si="125"/>
        <v>1</v>
      </c>
      <c r="N680" s="253">
        <f t="shared" si="125"/>
        <v>1</v>
      </c>
      <c r="O680" s="253">
        <f t="shared" si="125"/>
        <v>1</v>
      </c>
      <c r="P680" s="253">
        <f t="shared" si="125"/>
        <v>1</v>
      </c>
      <c r="Q680" s="76"/>
      <c r="R680" s="76"/>
      <c r="S680" s="76"/>
      <c r="T680" s="76"/>
      <c r="U680" s="253">
        <f t="shared" si="124"/>
        <v>1.02</v>
      </c>
      <c r="V680" s="253">
        <f t="shared" si="124"/>
        <v>1.02</v>
      </c>
      <c r="W680" s="253">
        <f t="shared" si="124"/>
        <v>1.02</v>
      </c>
      <c r="X680" s="253">
        <f t="shared" si="124"/>
        <v>1.02</v>
      </c>
      <c r="Y680" s="253">
        <f t="shared" si="124"/>
        <v>1.02</v>
      </c>
      <c r="Z680" s="253">
        <f t="shared" si="124"/>
        <v>1.02</v>
      </c>
      <c r="AA680" s="253">
        <f t="shared" si="124"/>
        <v>1.02</v>
      </c>
      <c r="AB680" s="253">
        <f t="shared" si="124"/>
        <v>1.02</v>
      </c>
      <c r="AC680" s="253">
        <f t="shared" si="124"/>
        <v>1.02</v>
      </c>
      <c r="AD680" s="253">
        <f t="shared" si="124"/>
        <v>1.02</v>
      </c>
      <c r="AE680" s="76"/>
      <c r="AF680" s="76"/>
      <c r="AG680" s="76"/>
      <c r="AH680" s="97">
        <v>1</v>
      </c>
      <c r="AI680" s="97">
        <v>1</v>
      </c>
      <c r="AJ680" s="73"/>
      <c r="AK680" s="57"/>
      <c r="AL680" s="45"/>
      <c r="AM680" s="45"/>
      <c r="AN680" s="45"/>
    </row>
    <row r="681" spans="1:40" hidden="1" outlineLevel="2" x14ac:dyDescent="0.25">
      <c r="A681" s="45"/>
      <c r="B681" s="54"/>
      <c r="C681" s="47">
        <f t="shared" si="118"/>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6">AA681</f>
        <v>0.35589999999999999</v>
      </c>
      <c r="AA681" s="255">
        <f t="shared" si="126"/>
        <v>0.35589999999999999</v>
      </c>
      <c r="AB681" s="97">
        <v>0.35589999999999999</v>
      </c>
      <c r="AC681" s="255">
        <f t="shared" ref="AC681:AD689" si="127">AB681</f>
        <v>0.35589999999999999</v>
      </c>
      <c r="AD681" s="255">
        <f t="shared" si="127"/>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18"/>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6"/>
        <v>0</v>
      </c>
      <c r="AA682" s="255">
        <f t="shared" si="126"/>
        <v>0</v>
      </c>
      <c r="AB682" s="97">
        <v>0</v>
      </c>
      <c r="AC682" s="255">
        <f t="shared" si="127"/>
        <v>0</v>
      </c>
      <c r="AD682" s="255">
        <f t="shared" si="127"/>
        <v>0</v>
      </c>
      <c r="AE682" s="76"/>
      <c r="AF682" s="76"/>
      <c r="AG682" s="76"/>
      <c r="AH682" s="97">
        <v>1</v>
      </c>
      <c r="AI682" s="97">
        <v>1</v>
      </c>
      <c r="AJ682" s="73"/>
      <c r="AK682" s="57"/>
      <c r="AL682" s="45"/>
      <c r="AM682" s="45"/>
      <c r="AN682" s="45"/>
    </row>
    <row r="683" spans="1:40" hidden="1" outlineLevel="2" x14ac:dyDescent="0.25">
      <c r="A683" s="45"/>
      <c r="B683" s="54"/>
      <c r="C683" s="47">
        <f t="shared" si="118"/>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6"/>
        <v>0.35589999999999999</v>
      </c>
      <c r="AA683" s="255">
        <f t="shared" si="126"/>
        <v>0.35589999999999999</v>
      </c>
      <c r="AB683" s="253">
        <f>AB681</f>
        <v>0.35589999999999999</v>
      </c>
      <c r="AC683" s="255">
        <f t="shared" si="127"/>
        <v>0.35589999999999999</v>
      </c>
      <c r="AD683" s="255">
        <f t="shared" si="127"/>
        <v>0.35589999999999999</v>
      </c>
      <c r="AE683" s="76"/>
      <c r="AF683" s="76"/>
      <c r="AG683" s="76"/>
      <c r="AH683" s="97">
        <v>1</v>
      </c>
      <c r="AI683" s="97">
        <v>1</v>
      </c>
      <c r="AJ683" s="73"/>
      <c r="AK683" s="57"/>
      <c r="AL683" s="45"/>
      <c r="AM683" s="45"/>
      <c r="AN683" s="45"/>
    </row>
    <row r="684" spans="1:40" hidden="1" outlineLevel="2" x14ac:dyDescent="0.25">
      <c r="A684" s="45"/>
      <c r="B684" s="54"/>
      <c r="C684" s="47">
        <f t="shared" si="118"/>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8">Y684</f>
        <v>0</v>
      </c>
      <c r="AA684" s="97">
        <v>1.42</v>
      </c>
      <c r="AB684" s="255">
        <f t="shared" ref="AB684:AB689" si="129">AA684</f>
        <v>1.42</v>
      </c>
      <c r="AC684" s="255">
        <f t="shared" si="127"/>
        <v>1.42</v>
      </c>
      <c r="AD684" s="255">
        <f t="shared" si="127"/>
        <v>1.42</v>
      </c>
      <c r="AE684" s="76"/>
      <c r="AF684" s="97" t="s">
        <v>2159</v>
      </c>
      <c r="AG684" s="76"/>
      <c r="AH684" s="97">
        <v>1</v>
      </c>
      <c r="AI684" s="97">
        <v>1</v>
      </c>
      <c r="AJ684" s="73"/>
      <c r="AK684" s="57"/>
      <c r="AL684" s="45"/>
      <c r="AM684" s="45"/>
      <c r="AN684" s="45"/>
    </row>
    <row r="685" spans="1:40" hidden="1" outlineLevel="2" x14ac:dyDescent="0.25">
      <c r="A685" s="45"/>
      <c r="B685" s="54"/>
      <c r="C685" s="47">
        <f t="shared" si="118"/>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8"/>
        <v>-0.72</v>
      </c>
      <c r="AA685" s="97">
        <v>0</v>
      </c>
      <c r="AB685" s="255">
        <f t="shared" si="129"/>
        <v>0</v>
      </c>
      <c r="AC685" s="255">
        <f t="shared" si="127"/>
        <v>0</v>
      </c>
      <c r="AD685" s="255">
        <f t="shared" si="127"/>
        <v>0</v>
      </c>
      <c r="AE685" s="76"/>
      <c r="AF685" s="97" t="s">
        <v>1275</v>
      </c>
      <c r="AG685" s="76"/>
      <c r="AH685" s="97">
        <v>1</v>
      </c>
      <c r="AI685" s="97">
        <v>1</v>
      </c>
      <c r="AJ685" s="73"/>
      <c r="AK685" s="57"/>
      <c r="AL685" s="45"/>
      <c r="AM685" s="45"/>
      <c r="AN685" s="45"/>
    </row>
    <row r="686" spans="1:40" hidden="1" outlineLevel="2" x14ac:dyDescent="0.25">
      <c r="A686" s="45"/>
      <c r="B686" s="54"/>
      <c r="C686" s="47">
        <f t="shared" si="118"/>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8"/>
        <v>0</v>
      </c>
      <c r="AA686" s="253">
        <f>AA684</f>
        <v>1.42</v>
      </c>
      <c r="AB686" s="255">
        <f t="shared" si="129"/>
        <v>1.42</v>
      </c>
      <c r="AC686" s="255">
        <f t="shared" si="127"/>
        <v>1.42</v>
      </c>
      <c r="AD686" s="255">
        <f t="shared" si="127"/>
        <v>1.42</v>
      </c>
      <c r="AE686" s="76"/>
      <c r="AF686" s="76"/>
      <c r="AG686" s="76"/>
      <c r="AH686" s="97">
        <v>1</v>
      </c>
      <c r="AI686" s="97">
        <v>1</v>
      </c>
      <c r="AJ686" s="73"/>
      <c r="AK686" s="57"/>
      <c r="AL686" s="45"/>
      <c r="AM686" s="45"/>
      <c r="AN686" s="45"/>
    </row>
    <row r="687" spans="1:40" hidden="1" outlineLevel="2" x14ac:dyDescent="0.25">
      <c r="A687" s="45"/>
      <c r="B687" s="54"/>
      <c r="C687" s="47">
        <f t="shared" si="118"/>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8"/>
        <v>0</v>
      </c>
      <c r="AA687" s="255">
        <f>Z687</f>
        <v>0</v>
      </c>
      <c r="AB687" s="255">
        <f t="shared" si="129"/>
        <v>0</v>
      </c>
      <c r="AC687" s="255">
        <f t="shared" si="127"/>
        <v>0</v>
      </c>
      <c r="AD687" s="255">
        <f t="shared" si="127"/>
        <v>0</v>
      </c>
      <c r="AE687" s="76"/>
      <c r="AF687" s="76"/>
      <c r="AG687" s="76"/>
      <c r="AH687" s="97">
        <v>1</v>
      </c>
      <c r="AI687" s="97">
        <v>1</v>
      </c>
      <c r="AJ687" s="73"/>
      <c r="AK687" s="57"/>
      <c r="AL687" s="45"/>
      <c r="AM687" s="45"/>
      <c r="AN687" s="45"/>
    </row>
    <row r="688" spans="1:40" hidden="1" outlineLevel="2" x14ac:dyDescent="0.25">
      <c r="A688" s="45"/>
      <c r="B688" s="54"/>
      <c r="C688" s="47">
        <f t="shared" si="118"/>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8"/>
        <v>-7.0000000000000001E-3</v>
      </c>
      <c r="AA688" s="255">
        <f>Z688</f>
        <v>-7.0000000000000001E-3</v>
      </c>
      <c r="AB688" s="255">
        <f t="shared" si="129"/>
        <v>-7.0000000000000001E-3</v>
      </c>
      <c r="AC688" s="255">
        <f t="shared" si="127"/>
        <v>-7.0000000000000001E-3</v>
      </c>
      <c r="AD688" s="255">
        <f t="shared" si="127"/>
        <v>-7.0000000000000001E-3</v>
      </c>
      <c r="AE688" s="76"/>
      <c r="AF688" s="97" t="s">
        <v>1280</v>
      </c>
      <c r="AG688" s="76"/>
      <c r="AH688" s="97">
        <v>1</v>
      </c>
      <c r="AI688" s="97">
        <v>1</v>
      </c>
      <c r="AJ688" s="73"/>
      <c r="AK688" s="57"/>
      <c r="AL688" s="45"/>
      <c r="AM688" s="45"/>
      <c r="AN688" s="45"/>
    </row>
    <row r="689" spans="1:40" hidden="1" outlineLevel="2" x14ac:dyDescent="0.25">
      <c r="A689" s="45"/>
      <c r="B689" s="54"/>
      <c r="C689" s="47">
        <f t="shared" si="118"/>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8"/>
        <v>0</v>
      </c>
      <c r="AA689" s="255">
        <f>Z689</f>
        <v>0</v>
      </c>
      <c r="AB689" s="255">
        <f t="shared" si="129"/>
        <v>0</v>
      </c>
      <c r="AC689" s="255">
        <f t="shared" si="127"/>
        <v>0</v>
      </c>
      <c r="AD689" s="255">
        <f t="shared" si="127"/>
        <v>0</v>
      </c>
      <c r="AE689" s="76"/>
      <c r="AF689" s="76"/>
      <c r="AG689" s="76"/>
      <c r="AH689" s="97">
        <v>1</v>
      </c>
      <c r="AI689" s="97">
        <v>1</v>
      </c>
      <c r="AJ689" s="73"/>
      <c r="AK689" s="57"/>
      <c r="AL689" s="45"/>
      <c r="AM689" s="45"/>
      <c r="AN689" s="45"/>
    </row>
    <row r="690" spans="1:40" hidden="1" outlineLevel="3" x14ac:dyDescent="0.25">
      <c r="A690" s="45"/>
      <c r="B690" s="54"/>
      <c r="C690" s="47">
        <f t="shared" si="118"/>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8"/>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8"/>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18"/>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18"/>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18"/>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18"/>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30">Y696</f>
        <v>0</v>
      </c>
      <c r="AA696" s="255">
        <f t="shared" si="130"/>
        <v>0</v>
      </c>
      <c r="AB696" s="255">
        <f t="shared" si="130"/>
        <v>0</v>
      </c>
      <c r="AC696" s="255">
        <f t="shared" si="130"/>
        <v>0</v>
      </c>
      <c r="AD696" s="255">
        <f t="shared" si="130"/>
        <v>0</v>
      </c>
      <c r="AE696" s="76"/>
      <c r="AF696" s="76"/>
      <c r="AG696" s="76"/>
      <c r="AH696" s="97">
        <v>1</v>
      </c>
      <c r="AI696" s="97">
        <v>1</v>
      </c>
      <c r="AJ696" s="73"/>
      <c r="AK696" s="57"/>
      <c r="AL696" s="45"/>
      <c r="AM696" s="45"/>
      <c r="AN696" s="45"/>
    </row>
    <row r="697" spans="1:40" hidden="1" outlineLevel="2" x14ac:dyDescent="0.25">
      <c r="A697" s="45"/>
      <c r="B697" s="54"/>
      <c r="C697" s="47">
        <f t="shared" si="118"/>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30"/>
        <v>0</v>
      </c>
      <c r="AA697" s="255">
        <f t="shared" si="130"/>
        <v>0</v>
      </c>
      <c r="AB697" s="255">
        <f t="shared" si="130"/>
        <v>0</v>
      </c>
      <c r="AC697" s="255">
        <f t="shared" si="130"/>
        <v>0</v>
      </c>
      <c r="AD697" s="255">
        <f t="shared" si="130"/>
        <v>0</v>
      </c>
      <c r="AE697" s="76"/>
      <c r="AF697" s="76"/>
      <c r="AG697" s="76"/>
      <c r="AH697" s="97">
        <v>1</v>
      </c>
      <c r="AI697" s="97">
        <v>1</v>
      </c>
      <c r="AJ697" s="73"/>
      <c r="AK697" s="57"/>
      <c r="AL697" s="45"/>
      <c r="AM697" s="45"/>
      <c r="AN697" s="45"/>
    </row>
    <row r="698" spans="1:40" hidden="1" outlineLevel="2" x14ac:dyDescent="0.25">
      <c r="A698" s="45"/>
      <c r="B698" s="54"/>
      <c r="C698" s="47">
        <f t="shared" si="118"/>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30"/>
        <v>0</v>
      </c>
      <c r="AA698" s="255">
        <f t="shared" si="130"/>
        <v>0</v>
      </c>
      <c r="AB698" s="255">
        <f t="shared" si="130"/>
        <v>0</v>
      </c>
      <c r="AC698" s="255">
        <f t="shared" si="130"/>
        <v>0</v>
      </c>
      <c r="AD698" s="255">
        <f t="shared" si="130"/>
        <v>0</v>
      </c>
      <c r="AE698" s="76"/>
      <c r="AF698" s="76"/>
      <c r="AG698" s="76"/>
      <c r="AH698" s="97">
        <v>1</v>
      </c>
      <c r="AI698" s="97">
        <v>1</v>
      </c>
      <c r="AJ698" s="73"/>
      <c r="AK698" s="57"/>
      <c r="AL698" s="45"/>
      <c r="AM698" s="45"/>
      <c r="AN698" s="45"/>
    </row>
    <row r="699" spans="1:40" hidden="1" outlineLevel="2" x14ac:dyDescent="0.25">
      <c r="A699" s="45"/>
      <c r="B699" s="54"/>
      <c r="C699" s="47">
        <f t="shared" si="118"/>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18"/>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x14ac:dyDescent="0.25">
      <c r="A701" s="45"/>
      <c r="B701" s="54"/>
      <c r="C701" s="47">
        <f t="shared" si="118"/>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18"/>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8"/>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8"/>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x14ac:dyDescent="0.25">
      <c r="A706" s="45"/>
      <c r="B706" s="54"/>
      <c r="C706" s="47">
        <f t="shared" ref="C706:C753" si="131">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1"/>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1"/>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1"/>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1"/>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1"/>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1"/>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1"/>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1"/>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1"/>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1"/>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1"/>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1"/>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1"/>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1"/>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1"/>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1"/>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1"/>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1"/>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1"/>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1"/>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1"/>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1"/>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1"/>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1"/>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1"/>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1"/>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1"/>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1"/>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1"/>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1"/>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1"/>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1"/>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1"/>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1"/>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1"/>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1"/>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1"/>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1"/>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1"/>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1"/>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1"/>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1"/>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1"/>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1"/>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1"/>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1"/>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1"/>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2">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3">U$854</f>
        <v>0</v>
      </c>
      <c r="V754" s="261">
        <f t="shared" si="133"/>
        <v>0</v>
      </c>
      <c r="W754" s="261">
        <f t="shared" si="133"/>
        <v>0</v>
      </c>
      <c r="X754" s="261">
        <f t="shared" si="133"/>
        <v>0</v>
      </c>
      <c r="Y754" s="261">
        <f t="shared" si="133"/>
        <v>0</v>
      </c>
      <c r="Z754" s="261">
        <f t="shared" si="133"/>
        <v>0</v>
      </c>
      <c r="AA754" s="261">
        <f t="shared" si="133"/>
        <v>0</v>
      </c>
      <c r="AB754" s="261">
        <f t="shared" si="133"/>
        <v>0</v>
      </c>
      <c r="AC754" s="261">
        <f t="shared" si="133"/>
        <v>0</v>
      </c>
      <c r="AD754" s="261">
        <f t="shared" si="133"/>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2"/>
        <v>3</v>
      </c>
      <c r="D755" s="73"/>
      <c r="E755" s="70"/>
      <c r="F755" s="70" t="s">
        <v>1356</v>
      </c>
      <c r="G755" s="73"/>
      <c r="H755" s="76" t="s">
        <v>1357</v>
      </c>
      <c r="I755" s="96"/>
      <c r="J755" s="96"/>
      <c r="K755" s="76"/>
      <c r="L755" s="76"/>
      <c r="M755" s="76"/>
      <c r="N755" s="76"/>
      <c r="O755" s="76"/>
      <c r="P755" s="76"/>
      <c r="Q755" s="76"/>
      <c r="R755" s="76"/>
      <c r="S755" s="76"/>
      <c r="T755" s="76"/>
      <c r="U755" s="261">
        <f t="shared" ref="U755:AD755" si="134">U$855</f>
        <v>-0.71226</v>
      </c>
      <c r="V755" s="261">
        <f t="shared" si="134"/>
        <v>-0.71226</v>
      </c>
      <c r="W755" s="261">
        <f t="shared" si="134"/>
        <v>-0.9</v>
      </c>
      <c r="X755" s="261">
        <f t="shared" si="134"/>
        <v>-0.9</v>
      </c>
      <c r="Y755" s="261">
        <f t="shared" si="134"/>
        <v>-0.71226</v>
      </c>
      <c r="Z755" s="261">
        <f t="shared" si="134"/>
        <v>-0.21895000000000001</v>
      </c>
      <c r="AA755" s="261">
        <f t="shared" si="134"/>
        <v>-0.21895000000000001</v>
      </c>
      <c r="AB755" s="261">
        <f t="shared" si="134"/>
        <v>-0.21895000000000001</v>
      </c>
      <c r="AC755" s="261">
        <f t="shared" si="134"/>
        <v>-0.21895000000000001</v>
      </c>
      <c r="AD755" s="261">
        <f t="shared" si="134"/>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2"/>
        <v>3</v>
      </c>
      <c r="D756" s="73"/>
      <c r="E756" s="70"/>
      <c r="F756" s="70" t="s">
        <v>1358</v>
      </c>
      <c r="G756" s="73"/>
      <c r="H756" s="76" t="s">
        <v>1359</v>
      </c>
      <c r="I756" s="96"/>
      <c r="J756" s="96"/>
      <c r="K756" s="76"/>
      <c r="L756" s="76"/>
      <c r="M756" s="76"/>
      <c r="N756" s="76"/>
      <c r="O756" s="76"/>
      <c r="P756" s="76"/>
      <c r="Q756" s="76"/>
      <c r="R756" s="76"/>
      <c r="S756" s="76"/>
      <c r="T756" s="76"/>
      <c r="U756" s="261">
        <f t="shared" ref="U756:AD756" si="135">U$856</f>
        <v>-0.90173999999999999</v>
      </c>
      <c r="V756" s="261">
        <f t="shared" si="135"/>
        <v>-0.90173999999999999</v>
      </c>
      <c r="W756" s="261">
        <f t="shared" si="135"/>
        <v>-0.90173999999999999</v>
      </c>
      <c r="X756" s="261">
        <f t="shared" si="135"/>
        <v>-0.90173999999999999</v>
      </c>
      <c r="Y756" s="261">
        <f t="shared" si="135"/>
        <v>-0.90173999999999999</v>
      </c>
      <c r="Z756" s="261">
        <f t="shared" si="135"/>
        <v>-0.37940000000000002</v>
      </c>
      <c r="AA756" s="261">
        <f t="shared" si="135"/>
        <v>-0.37940000000000002</v>
      </c>
      <c r="AB756" s="261">
        <f t="shared" si="135"/>
        <v>-0.37940000000000002</v>
      </c>
      <c r="AC756" s="261">
        <f t="shared" si="135"/>
        <v>-0.37940000000000002</v>
      </c>
      <c r="AD756" s="261">
        <f t="shared" si="135"/>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2"/>
        <v>3</v>
      </c>
      <c r="D757" s="73"/>
      <c r="E757" s="70"/>
      <c r="F757" s="70" t="s">
        <v>1360</v>
      </c>
      <c r="G757" s="73"/>
      <c r="H757" s="76" t="s">
        <v>1361</v>
      </c>
      <c r="I757" s="96"/>
      <c r="J757" s="96"/>
      <c r="K757" s="76"/>
      <c r="L757" s="76"/>
      <c r="M757" s="76"/>
      <c r="N757" s="76"/>
      <c r="O757" s="76"/>
      <c r="P757" s="76"/>
      <c r="Q757" s="76"/>
      <c r="R757" s="76"/>
      <c r="S757" s="76"/>
      <c r="T757" s="76"/>
      <c r="U757" s="261">
        <f t="shared" ref="U757:AD757" si="136">$855:$855</f>
        <v>-0.71226</v>
      </c>
      <c r="V757" s="261">
        <f t="shared" si="136"/>
        <v>-0.71226</v>
      </c>
      <c r="W757" s="261">
        <f t="shared" si="136"/>
        <v>-0.9</v>
      </c>
      <c r="X757" s="261">
        <f t="shared" si="136"/>
        <v>-0.9</v>
      </c>
      <c r="Y757" s="261">
        <f t="shared" si="136"/>
        <v>-0.71226</v>
      </c>
      <c r="Z757" s="261">
        <f t="shared" si="136"/>
        <v>-0.21895000000000001</v>
      </c>
      <c r="AA757" s="261">
        <f t="shared" si="136"/>
        <v>-0.21895000000000001</v>
      </c>
      <c r="AB757" s="261">
        <f t="shared" si="136"/>
        <v>-0.21895000000000001</v>
      </c>
      <c r="AC757" s="261">
        <f t="shared" si="136"/>
        <v>-0.21895000000000001</v>
      </c>
      <c r="AD757" s="261">
        <f t="shared" si="136"/>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2"/>
        <v>3</v>
      </c>
      <c r="D758" s="73"/>
      <c r="E758" s="70"/>
      <c r="F758" s="70" t="s">
        <v>1362</v>
      </c>
      <c r="G758" s="73"/>
      <c r="H758" s="76" t="s">
        <v>1363</v>
      </c>
      <c r="I758" s="96"/>
      <c r="J758" s="96"/>
      <c r="K758" s="76"/>
      <c r="L758" s="76"/>
      <c r="M758" s="76"/>
      <c r="N758" s="76"/>
      <c r="O758" s="76"/>
      <c r="P758" s="76"/>
      <c r="Q758" s="76"/>
      <c r="R758" s="76"/>
      <c r="S758" s="76"/>
      <c r="T758" s="76"/>
      <c r="U758" s="261">
        <f t="shared" ref="U758:AD759" si="137">$856:$856</f>
        <v>-0.90173999999999999</v>
      </c>
      <c r="V758" s="261">
        <f t="shared" si="137"/>
        <v>-0.90173999999999999</v>
      </c>
      <c r="W758" s="261">
        <f t="shared" si="137"/>
        <v>-0.90173999999999999</v>
      </c>
      <c r="X758" s="261">
        <f t="shared" si="137"/>
        <v>-0.90173999999999999</v>
      </c>
      <c r="Y758" s="261">
        <f t="shared" si="137"/>
        <v>-0.90173999999999999</v>
      </c>
      <c r="Z758" s="261">
        <f t="shared" si="137"/>
        <v>-0.37940000000000002</v>
      </c>
      <c r="AA758" s="261">
        <f t="shared" si="137"/>
        <v>-0.37940000000000002</v>
      </c>
      <c r="AB758" s="261">
        <f t="shared" si="137"/>
        <v>-0.37940000000000002</v>
      </c>
      <c r="AC758" s="261">
        <f t="shared" si="137"/>
        <v>-0.37940000000000002</v>
      </c>
      <c r="AD758" s="261">
        <f t="shared" si="137"/>
        <v>-0.37940000000000002</v>
      </c>
      <c r="AE758" s="76"/>
      <c r="AF758" s="76"/>
      <c r="AG758" s="76"/>
      <c r="AH758" s="261">
        <f>$856:$856</f>
        <v>1</v>
      </c>
      <c r="AI758" s="261">
        <f>$856:$856</f>
        <v>1</v>
      </c>
      <c r="AJ758" s="73"/>
      <c r="AK758" s="57"/>
      <c r="AL758" s="45"/>
      <c r="AM758" s="45"/>
      <c r="AN758" s="45"/>
    </row>
    <row r="759" spans="1:40" hidden="1" outlineLevel="2" x14ac:dyDescent="0.25">
      <c r="A759" s="45">
        <f>A758</f>
        <v>4</v>
      </c>
      <c r="B759" s="54"/>
      <c r="C759" s="47">
        <f t="shared" si="132"/>
        <v>3</v>
      </c>
      <c r="D759" s="73"/>
      <c r="E759" s="70"/>
      <c r="F759" s="70" t="s">
        <v>1364</v>
      </c>
      <c r="G759" s="73"/>
      <c r="H759" s="76" t="s">
        <v>1365</v>
      </c>
      <c r="I759" s="96"/>
      <c r="J759" s="96"/>
      <c r="K759" s="76"/>
      <c r="L759" s="76"/>
      <c r="M759" s="76"/>
      <c r="N759" s="76"/>
      <c r="O759" s="76"/>
      <c r="P759" s="76"/>
      <c r="Q759" s="76"/>
      <c r="R759" s="76"/>
      <c r="S759" s="76"/>
      <c r="T759" s="76"/>
      <c r="U759" s="261">
        <f t="shared" si="137"/>
        <v>-0.90173999999999999</v>
      </c>
      <c r="V759" s="261">
        <f t="shared" si="137"/>
        <v>-0.90173999999999999</v>
      </c>
      <c r="W759" s="261">
        <f t="shared" si="137"/>
        <v>-0.90173999999999999</v>
      </c>
      <c r="X759" s="261">
        <f t="shared" si="137"/>
        <v>-0.90173999999999999</v>
      </c>
      <c r="Y759" s="261">
        <f t="shared" si="137"/>
        <v>-0.90173999999999999</v>
      </c>
      <c r="Z759" s="261">
        <f t="shared" si="137"/>
        <v>-0.37940000000000002</v>
      </c>
      <c r="AA759" s="261">
        <f t="shared" si="137"/>
        <v>-0.37940000000000002</v>
      </c>
      <c r="AB759" s="261">
        <f t="shared" si="137"/>
        <v>-0.37940000000000002</v>
      </c>
      <c r="AC759" s="261">
        <f t="shared" si="137"/>
        <v>-0.37940000000000002</v>
      </c>
      <c r="AD759" s="261">
        <f t="shared" si="137"/>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38">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8"/>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8"/>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8"/>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38"/>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38"/>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8"/>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8"/>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8"/>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8"/>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38"/>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38"/>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38"/>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9">U772</f>
        <v>1</v>
      </c>
      <c r="W772" s="336">
        <f t="shared" ref="W772:X777" si="140">U772</f>
        <v>1</v>
      </c>
      <c r="X772" s="336">
        <f t="shared" si="140"/>
        <v>1</v>
      </c>
      <c r="Y772" s="336">
        <f t="shared" ref="Y772:Y777" si="141">V772</f>
        <v>1</v>
      </c>
      <c r="Z772" s="336">
        <f t="shared" ref="Z772:AD781" si="142">Y772</f>
        <v>1</v>
      </c>
      <c r="AA772" s="336">
        <f t="shared" si="142"/>
        <v>1</v>
      </c>
      <c r="AB772" s="336">
        <f t="shared" si="142"/>
        <v>1</v>
      </c>
      <c r="AC772" s="336">
        <f t="shared" si="142"/>
        <v>1</v>
      </c>
      <c r="AD772" s="336">
        <f t="shared" si="142"/>
        <v>1</v>
      </c>
      <c r="AE772" s="76"/>
      <c r="AF772" s="97" t="s">
        <v>2711</v>
      </c>
      <c r="AG772" s="76"/>
      <c r="AH772" s="97">
        <v>1</v>
      </c>
      <c r="AI772" s="97">
        <v>1</v>
      </c>
      <c r="AJ772" s="73"/>
      <c r="AK772" s="57"/>
      <c r="AL772" s="45"/>
      <c r="AM772" s="45"/>
      <c r="AN772" s="45"/>
    </row>
    <row r="773" spans="1:40" hidden="1" outlineLevel="2" x14ac:dyDescent="0.25">
      <c r="A773" s="45"/>
      <c r="B773" s="54"/>
      <c r="C773" s="47">
        <f t="shared" si="138"/>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9"/>
        <v>0.95399999999999996</v>
      </c>
      <c r="W773" s="336">
        <f t="shared" si="140"/>
        <v>0.95399999999999996</v>
      </c>
      <c r="X773" s="336">
        <f t="shared" si="140"/>
        <v>0.95399999999999996</v>
      </c>
      <c r="Y773" s="336">
        <f t="shared" si="141"/>
        <v>0.95399999999999996</v>
      </c>
      <c r="Z773" s="336">
        <f t="shared" si="142"/>
        <v>0.95399999999999996</v>
      </c>
      <c r="AA773" s="336">
        <f t="shared" si="142"/>
        <v>0.95399999999999996</v>
      </c>
      <c r="AB773" s="336">
        <f t="shared" si="142"/>
        <v>0.95399999999999996</v>
      </c>
      <c r="AC773" s="336">
        <f t="shared" si="142"/>
        <v>0.95399999999999996</v>
      </c>
      <c r="AD773" s="336">
        <f t="shared" si="142"/>
        <v>0.95399999999999996</v>
      </c>
      <c r="AE773" s="76"/>
      <c r="AF773" s="76"/>
      <c r="AG773" s="76"/>
      <c r="AH773" s="97">
        <v>1</v>
      </c>
      <c r="AI773" s="97">
        <v>1</v>
      </c>
      <c r="AJ773" s="73"/>
      <c r="AK773" s="57"/>
      <c r="AL773" s="45"/>
      <c r="AM773" s="45"/>
      <c r="AN773" s="45"/>
    </row>
    <row r="774" spans="1:40" hidden="1" outlineLevel="2" x14ac:dyDescent="0.25">
      <c r="A774" s="45"/>
      <c r="B774" s="54"/>
      <c r="C774" s="47">
        <f t="shared" si="138"/>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9"/>
        <v>0.90800000000000003</v>
      </c>
      <c r="W774" s="336">
        <f t="shared" si="140"/>
        <v>0.90800000000000003</v>
      </c>
      <c r="X774" s="336">
        <f t="shared" si="140"/>
        <v>0.90800000000000003</v>
      </c>
      <c r="Y774" s="336">
        <f t="shared" si="141"/>
        <v>0.90800000000000003</v>
      </c>
      <c r="Z774" s="336">
        <f t="shared" si="142"/>
        <v>0.90800000000000003</v>
      </c>
      <c r="AA774" s="336">
        <f t="shared" si="142"/>
        <v>0.90800000000000003</v>
      </c>
      <c r="AB774" s="336">
        <f t="shared" si="142"/>
        <v>0.90800000000000003</v>
      </c>
      <c r="AC774" s="336">
        <f t="shared" si="142"/>
        <v>0.90800000000000003</v>
      </c>
      <c r="AD774" s="336">
        <f t="shared" si="142"/>
        <v>0.90800000000000003</v>
      </c>
      <c r="AE774" s="76"/>
      <c r="AF774" s="76"/>
      <c r="AG774" s="76"/>
      <c r="AH774" s="97">
        <v>1</v>
      </c>
      <c r="AI774" s="97">
        <v>1</v>
      </c>
      <c r="AJ774" s="73"/>
      <c r="AK774" s="57"/>
      <c r="AL774" s="45"/>
      <c r="AM774" s="45"/>
      <c r="AN774" s="45"/>
    </row>
    <row r="775" spans="1:40" hidden="1" outlineLevel="2" x14ac:dyDescent="0.25">
      <c r="A775" s="45"/>
      <c r="B775" s="54"/>
      <c r="C775" s="47">
        <f t="shared" si="138"/>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9"/>
        <v>0.97</v>
      </c>
      <c r="W775" s="336">
        <f t="shared" si="140"/>
        <v>0.97</v>
      </c>
      <c r="X775" s="336">
        <f t="shared" si="140"/>
        <v>0.97</v>
      </c>
      <c r="Y775" s="336">
        <f t="shared" si="141"/>
        <v>0.97</v>
      </c>
      <c r="Z775" s="336">
        <f t="shared" si="142"/>
        <v>0.97</v>
      </c>
      <c r="AA775" s="336">
        <f t="shared" si="142"/>
        <v>0.97</v>
      </c>
      <c r="AB775" s="336">
        <f t="shared" si="142"/>
        <v>0.97</v>
      </c>
      <c r="AC775" s="336">
        <f t="shared" si="142"/>
        <v>0.97</v>
      </c>
      <c r="AD775" s="336">
        <f t="shared" si="142"/>
        <v>0.97</v>
      </c>
      <c r="AE775" s="76"/>
      <c r="AF775" s="76"/>
      <c r="AG775" s="76"/>
      <c r="AH775" s="97">
        <v>1</v>
      </c>
      <c r="AI775" s="97">
        <v>1</v>
      </c>
      <c r="AJ775" s="73"/>
      <c r="AK775" s="57"/>
      <c r="AL775" s="45"/>
      <c r="AM775" s="45"/>
      <c r="AN775" s="45"/>
    </row>
    <row r="776" spans="1:40" hidden="1" outlineLevel="2" x14ac:dyDescent="0.25">
      <c r="A776" s="45">
        <v>4</v>
      </c>
      <c r="B776" s="54"/>
      <c r="C776" s="47">
        <f t="shared" si="138"/>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9"/>
        <v>0.92400000000000004</v>
      </c>
      <c r="W776" s="336">
        <f t="shared" si="140"/>
        <v>0.92400000000000004</v>
      </c>
      <c r="X776" s="336">
        <f t="shared" si="140"/>
        <v>0.92400000000000004</v>
      </c>
      <c r="Y776" s="336">
        <f t="shared" si="141"/>
        <v>0.92400000000000004</v>
      </c>
      <c r="Z776" s="336">
        <f t="shared" si="142"/>
        <v>0.92400000000000004</v>
      </c>
      <c r="AA776" s="336">
        <f t="shared" si="142"/>
        <v>0.92400000000000004</v>
      </c>
      <c r="AB776" s="336">
        <f t="shared" si="142"/>
        <v>0.92400000000000004</v>
      </c>
      <c r="AC776" s="336">
        <f t="shared" si="142"/>
        <v>0.92400000000000004</v>
      </c>
      <c r="AD776" s="336">
        <f t="shared" si="142"/>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38"/>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9"/>
        <v>0.94</v>
      </c>
      <c r="W777" s="336">
        <f t="shared" si="140"/>
        <v>0.94</v>
      </c>
      <c r="X777" s="336">
        <f t="shared" si="140"/>
        <v>0.94</v>
      </c>
      <c r="Y777" s="336">
        <f t="shared" si="141"/>
        <v>0.94</v>
      </c>
      <c r="Z777" s="336">
        <f t="shared" si="142"/>
        <v>0.94</v>
      </c>
      <c r="AA777" s="336">
        <f t="shared" si="142"/>
        <v>0.94</v>
      </c>
      <c r="AB777" s="336">
        <f t="shared" si="142"/>
        <v>0.94</v>
      </c>
      <c r="AC777" s="336">
        <f t="shared" si="142"/>
        <v>0.94</v>
      </c>
      <c r="AD777" s="336">
        <f t="shared" si="142"/>
        <v>0.94</v>
      </c>
      <c r="AE777" s="76"/>
      <c r="AF777" s="76"/>
      <c r="AG777" s="76"/>
      <c r="AH777" s="97">
        <v>1</v>
      </c>
      <c r="AI777" s="97">
        <v>1</v>
      </c>
      <c r="AJ777" s="73"/>
      <c r="AK777" s="57"/>
      <c r="AL777" s="45"/>
      <c r="AM777" s="45"/>
      <c r="AN777" s="45"/>
    </row>
    <row r="778" spans="1:40" hidden="1" outlineLevel="2" x14ac:dyDescent="0.25">
      <c r="A778" s="45"/>
      <c r="B778" s="54"/>
      <c r="C778" s="47">
        <f t="shared" ref="C778:C789" si="143">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2"/>
        <v>0</v>
      </c>
      <c r="AA778" s="255">
        <f t="shared" si="142"/>
        <v>0</v>
      </c>
      <c r="AB778" s="255">
        <f t="shared" si="142"/>
        <v>0</v>
      </c>
      <c r="AC778" s="255">
        <f t="shared" si="142"/>
        <v>0</v>
      </c>
      <c r="AD778" s="255">
        <f t="shared" si="142"/>
        <v>0</v>
      </c>
      <c r="AE778" s="76"/>
      <c r="AF778" s="97" t="s">
        <v>1386</v>
      </c>
      <c r="AG778" s="76"/>
      <c r="AH778" s="97">
        <v>1</v>
      </c>
      <c r="AI778" s="97">
        <v>1</v>
      </c>
      <c r="AJ778" s="73"/>
      <c r="AK778" s="57"/>
      <c r="AL778" s="45"/>
      <c r="AM778" s="45"/>
      <c r="AN778" s="45"/>
    </row>
    <row r="779" spans="1:40" hidden="1" outlineLevel="2" x14ac:dyDescent="0.25">
      <c r="A779" s="45"/>
      <c r="B779" s="54"/>
      <c r="C779" s="47">
        <f t="shared" si="143"/>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2"/>
        <v>-0.26400000000000001</v>
      </c>
      <c r="AA779" s="255">
        <f t="shared" si="142"/>
        <v>-0.26400000000000001</v>
      </c>
      <c r="AB779" s="255">
        <f t="shared" si="142"/>
        <v>-0.26400000000000001</v>
      </c>
      <c r="AC779" s="255">
        <f t="shared" si="142"/>
        <v>-0.26400000000000001</v>
      </c>
      <c r="AD779" s="255">
        <f t="shared" si="142"/>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3"/>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2"/>
        <v>-0.4</v>
      </c>
      <c r="AA780" s="255">
        <f t="shared" si="142"/>
        <v>-0.4</v>
      </c>
      <c r="AB780" s="255">
        <f t="shared" si="142"/>
        <v>-0.4</v>
      </c>
      <c r="AC780" s="255">
        <f t="shared" si="142"/>
        <v>-0.4</v>
      </c>
      <c r="AD780" s="255">
        <f t="shared" si="142"/>
        <v>-0.4</v>
      </c>
      <c r="AE780" s="76"/>
      <c r="AF780" s="263" t="s">
        <v>1392</v>
      </c>
      <c r="AG780" s="76"/>
      <c r="AH780" s="97">
        <v>1</v>
      </c>
      <c r="AI780" s="97">
        <v>1</v>
      </c>
      <c r="AJ780" s="73"/>
      <c r="AK780" s="57"/>
      <c r="AL780" s="45"/>
      <c r="AM780" s="45"/>
      <c r="AN780" s="45"/>
    </row>
    <row r="781" spans="1:40" hidden="1" outlineLevel="2" x14ac:dyDescent="0.25">
      <c r="A781" s="45"/>
      <c r="B781" s="54"/>
      <c r="C781" s="47">
        <f t="shared" si="143"/>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2"/>
        <v>-0.17799999999999999</v>
      </c>
      <c r="AA781" s="255">
        <f t="shared" si="142"/>
        <v>-0.17799999999999999</v>
      </c>
      <c r="AB781" s="255">
        <f t="shared" si="142"/>
        <v>-0.17799999999999999</v>
      </c>
      <c r="AC781" s="255">
        <f t="shared" si="142"/>
        <v>-0.17799999999999999</v>
      </c>
      <c r="AD781" s="255">
        <f t="shared" si="142"/>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3"/>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4">Y782</f>
        <v>-0.26400000000000001</v>
      </c>
      <c r="AA782" s="255">
        <f t="shared" si="144"/>
        <v>-0.26400000000000001</v>
      </c>
      <c r="AB782" s="255">
        <f t="shared" si="144"/>
        <v>-0.26400000000000001</v>
      </c>
      <c r="AC782" s="255">
        <f t="shared" si="144"/>
        <v>-0.26400000000000001</v>
      </c>
      <c r="AD782" s="255">
        <f t="shared" si="144"/>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3"/>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4"/>
        <v>-0.17799999999999999</v>
      </c>
      <c r="AA783" s="255">
        <f t="shared" si="144"/>
        <v>-0.17799999999999999</v>
      </c>
      <c r="AB783" s="255">
        <f t="shared" si="144"/>
        <v>-0.17799999999999999</v>
      </c>
      <c r="AC783" s="255">
        <f t="shared" si="144"/>
        <v>-0.17799999999999999</v>
      </c>
      <c r="AD783" s="255">
        <f t="shared" si="144"/>
        <v>-0.17799999999999999</v>
      </c>
      <c r="AE783" s="76"/>
      <c r="AF783" s="97"/>
      <c r="AG783" s="76"/>
      <c r="AH783" s="97">
        <v>1</v>
      </c>
      <c r="AI783" s="97">
        <v>1</v>
      </c>
      <c r="AJ783" s="73"/>
      <c r="AK783" s="57"/>
      <c r="AL783" s="45"/>
      <c r="AM783" s="45"/>
      <c r="AN783" s="45"/>
    </row>
    <row r="784" spans="1:40" hidden="1" outlineLevel="2" x14ac:dyDescent="0.25">
      <c r="A784" s="45"/>
      <c r="B784" s="54"/>
      <c r="C784" s="47">
        <f t="shared" si="143"/>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4"/>
        <v>0</v>
      </c>
      <c r="AA784" s="255">
        <f t="shared" si="144"/>
        <v>0</v>
      </c>
      <c r="AB784" s="255">
        <f t="shared" si="144"/>
        <v>0</v>
      </c>
      <c r="AC784" s="255">
        <f t="shared" si="144"/>
        <v>0</v>
      </c>
      <c r="AD784" s="255">
        <f t="shared" si="144"/>
        <v>0</v>
      </c>
      <c r="AE784" s="76"/>
      <c r="AF784" s="97" t="s">
        <v>1386</v>
      </c>
      <c r="AG784" s="76"/>
      <c r="AH784" s="97">
        <v>1</v>
      </c>
      <c r="AI784" s="97">
        <v>1</v>
      </c>
      <c r="AJ784" s="73"/>
      <c r="AK784" s="57"/>
      <c r="AL784" s="45"/>
      <c r="AM784" s="45"/>
      <c r="AN784" s="45"/>
    </row>
    <row r="785" spans="1:40" hidden="1" outlineLevel="2" x14ac:dyDescent="0.25">
      <c r="A785" s="45"/>
      <c r="B785" s="54"/>
      <c r="C785" s="47">
        <f t="shared" si="143"/>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4"/>
        <v>0.43</v>
      </c>
      <c r="AA785" s="255">
        <f t="shared" si="144"/>
        <v>0.43</v>
      </c>
      <c r="AB785" s="255">
        <f t="shared" si="144"/>
        <v>0.43</v>
      </c>
      <c r="AC785" s="255">
        <f t="shared" si="144"/>
        <v>0.43</v>
      </c>
      <c r="AD785" s="255">
        <f t="shared" si="144"/>
        <v>0.43</v>
      </c>
      <c r="AE785" s="76"/>
      <c r="AF785" s="97" t="s">
        <v>1389</v>
      </c>
      <c r="AG785" s="76"/>
      <c r="AH785" s="97">
        <v>1</v>
      </c>
      <c r="AI785" s="97">
        <v>1</v>
      </c>
      <c r="AJ785" s="73"/>
      <c r="AK785" s="57"/>
      <c r="AL785" s="45"/>
      <c r="AM785" s="45"/>
      <c r="AN785" s="45"/>
    </row>
    <row r="786" spans="1:40" hidden="1" outlineLevel="2" x14ac:dyDescent="0.25">
      <c r="A786" s="45"/>
      <c r="B786" s="54"/>
      <c r="C786" s="47">
        <f t="shared" si="143"/>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4"/>
        <v>0.8</v>
      </c>
      <c r="AA786" s="255">
        <f t="shared" si="144"/>
        <v>0.8</v>
      </c>
      <c r="AB786" s="255">
        <f t="shared" si="144"/>
        <v>0.8</v>
      </c>
      <c r="AC786" s="255">
        <f t="shared" si="144"/>
        <v>0.8</v>
      </c>
      <c r="AD786" s="255">
        <f t="shared" si="144"/>
        <v>0.8</v>
      </c>
      <c r="AE786" s="76"/>
      <c r="AF786" s="263" t="s">
        <v>1392</v>
      </c>
      <c r="AG786" s="76"/>
      <c r="AH786" s="97">
        <v>1</v>
      </c>
      <c r="AI786" s="97">
        <v>1</v>
      </c>
      <c r="AJ786" s="73"/>
      <c r="AK786" s="57"/>
      <c r="AL786" s="45"/>
      <c r="AM786" s="45"/>
      <c r="AN786" s="45"/>
    </row>
    <row r="787" spans="1:40" hidden="1" outlineLevel="2" x14ac:dyDescent="0.25">
      <c r="A787" s="45"/>
      <c r="B787" s="54"/>
      <c r="C787" s="47">
        <f t="shared" si="143"/>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4"/>
        <v>8.9999999999999993E-3</v>
      </c>
      <c r="AA787" s="255">
        <f t="shared" si="144"/>
        <v>8.9999999999999993E-3</v>
      </c>
      <c r="AB787" s="255">
        <f t="shared" si="144"/>
        <v>8.9999999999999993E-3</v>
      </c>
      <c r="AC787" s="255">
        <f t="shared" si="144"/>
        <v>8.9999999999999993E-3</v>
      </c>
      <c r="AD787" s="255">
        <f t="shared" si="144"/>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3"/>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4"/>
        <v>0.48199999999999998</v>
      </c>
      <c r="AA788" s="255">
        <f t="shared" si="144"/>
        <v>0.48199999999999998</v>
      </c>
      <c r="AB788" s="255">
        <f t="shared" si="144"/>
        <v>0.48199999999999998</v>
      </c>
      <c r="AC788" s="255">
        <f t="shared" si="144"/>
        <v>0.48199999999999998</v>
      </c>
      <c r="AD788" s="255">
        <f t="shared" si="144"/>
        <v>0.48199999999999998</v>
      </c>
      <c r="AE788" s="76"/>
      <c r="AF788" s="97"/>
      <c r="AG788" s="76"/>
      <c r="AH788" s="97">
        <v>1</v>
      </c>
      <c r="AI788" s="97">
        <v>1</v>
      </c>
      <c r="AJ788" s="73"/>
      <c r="AK788" s="57"/>
      <c r="AL788" s="45"/>
      <c r="AM788" s="45"/>
      <c r="AN788" s="45"/>
    </row>
    <row r="789" spans="1:40" hidden="1" outlineLevel="2" x14ac:dyDescent="0.25">
      <c r="A789" s="45">
        <f>A788</f>
        <v>4</v>
      </c>
      <c r="B789" s="54"/>
      <c r="C789" s="47">
        <f t="shared" si="143"/>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4"/>
        <v>0.128</v>
      </c>
      <c r="AA789" s="255">
        <f t="shared" si="144"/>
        <v>0.128</v>
      </c>
      <c r="AB789" s="255">
        <f t="shared" si="144"/>
        <v>0.128</v>
      </c>
      <c r="AC789" s="255">
        <f t="shared" si="144"/>
        <v>0.128</v>
      </c>
      <c r="AD789" s="255">
        <f t="shared" si="144"/>
        <v>0.128</v>
      </c>
      <c r="AE789" s="76"/>
      <c r="AF789" s="97"/>
      <c r="AG789" s="76"/>
      <c r="AH789" s="97">
        <v>1</v>
      </c>
      <c r="AI789" s="97">
        <v>1</v>
      </c>
      <c r="AJ789" s="73"/>
      <c r="AK789" s="57"/>
      <c r="AL789" s="45"/>
      <c r="AM789" s="45"/>
      <c r="AN789" s="45"/>
    </row>
    <row r="790" spans="1:40" hidden="1" outlineLevel="3" x14ac:dyDescent="0.25">
      <c r="A790" s="45"/>
      <c r="B790" s="54"/>
      <c r="C790" s="47">
        <f t="shared" ref="C790:C795" si="145">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5"/>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5"/>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5"/>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5"/>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5"/>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6">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7">U$882</f>
        <v>0.1</v>
      </c>
      <c r="V796" s="261">
        <f t="shared" si="147"/>
        <v>0.1</v>
      </c>
      <c r="W796" s="261">
        <f t="shared" si="147"/>
        <v>0.1</v>
      </c>
      <c r="X796" s="261">
        <f t="shared" si="147"/>
        <v>0.1</v>
      </c>
      <c r="Y796" s="261">
        <f t="shared" si="147"/>
        <v>0.1</v>
      </c>
      <c r="Z796" s="261">
        <f t="shared" si="147"/>
        <v>0.1</v>
      </c>
      <c r="AA796" s="261">
        <f t="shared" si="147"/>
        <v>0.1</v>
      </c>
      <c r="AB796" s="261">
        <f t="shared" si="147"/>
        <v>0.1</v>
      </c>
      <c r="AC796" s="261">
        <f t="shared" si="147"/>
        <v>0.1</v>
      </c>
      <c r="AD796" s="261">
        <f t="shared" si="147"/>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6"/>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8">U$883</f>
        <v>8.5000000000000006E-2</v>
      </c>
      <c r="V797" s="261">
        <f t="shared" si="148"/>
        <v>8.5000000000000006E-2</v>
      </c>
      <c r="W797" s="261">
        <f t="shared" si="148"/>
        <v>8.5000000000000006E-2</v>
      </c>
      <c r="X797" s="261">
        <f t="shared" si="148"/>
        <v>8.5000000000000006E-2</v>
      </c>
      <c r="Y797" s="261">
        <f t="shared" si="148"/>
        <v>8.5000000000000006E-2</v>
      </c>
      <c r="Z797" s="261">
        <f t="shared" si="148"/>
        <v>8.5000000000000006E-2</v>
      </c>
      <c r="AA797" s="261">
        <f t="shared" si="148"/>
        <v>8.5000000000000006E-2</v>
      </c>
      <c r="AB797" s="261">
        <f t="shared" si="148"/>
        <v>8.5000000000000006E-2</v>
      </c>
      <c r="AC797" s="261">
        <f t="shared" si="148"/>
        <v>8.5000000000000006E-2</v>
      </c>
      <c r="AD797" s="261">
        <f t="shared" si="148"/>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6"/>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9">U$884</f>
        <v>7.0000000000000007E-2</v>
      </c>
      <c r="V798" s="261">
        <f t="shared" si="149"/>
        <v>7.0000000000000007E-2</v>
      </c>
      <c r="W798" s="261">
        <f t="shared" si="149"/>
        <v>7.0000000000000007E-2</v>
      </c>
      <c r="X798" s="261">
        <f t="shared" si="149"/>
        <v>7.0000000000000007E-2</v>
      </c>
      <c r="Y798" s="261">
        <f t="shared" si="149"/>
        <v>7.0000000000000007E-2</v>
      </c>
      <c r="Z798" s="261">
        <f t="shared" si="149"/>
        <v>7.0000000000000007E-2</v>
      </c>
      <c r="AA798" s="261">
        <f t="shared" si="149"/>
        <v>7.0000000000000007E-2</v>
      </c>
      <c r="AB798" s="261">
        <f t="shared" si="149"/>
        <v>7.0000000000000007E-2</v>
      </c>
      <c r="AC798" s="261">
        <f t="shared" si="149"/>
        <v>7.0000000000000007E-2</v>
      </c>
      <c r="AD798" s="261">
        <f t="shared" si="149"/>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6"/>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50">U$883</f>
        <v>8.5000000000000006E-2</v>
      </c>
      <c r="V799" s="261">
        <f t="shared" si="150"/>
        <v>8.5000000000000006E-2</v>
      </c>
      <c r="W799" s="261">
        <f t="shared" si="150"/>
        <v>8.5000000000000006E-2</v>
      </c>
      <c r="X799" s="261">
        <f t="shared" si="150"/>
        <v>8.5000000000000006E-2</v>
      </c>
      <c r="Y799" s="261">
        <f t="shared" si="150"/>
        <v>8.5000000000000006E-2</v>
      </c>
      <c r="Z799" s="261">
        <f t="shared" si="150"/>
        <v>8.5000000000000006E-2</v>
      </c>
      <c r="AA799" s="261">
        <f t="shared" si="150"/>
        <v>8.5000000000000006E-2</v>
      </c>
      <c r="AB799" s="261">
        <f t="shared" si="150"/>
        <v>8.5000000000000006E-2</v>
      </c>
      <c r="AC799" s="261">
        <f t="shared" si="150"/>
        <v>8.5000000000000006E-2</v>
      </c>
      <c r="AD799" s="261">
        <f t="shared" si="150"/>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6"/>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1">U$884</f>
        <v>7.0000000000000007E-2</v>
      </c>
      <c r="V800" s="261">
        <f t="shared" si="151"/>
        <v>7.0000000000000007E-2</v>
      </c>
      <c r="W800" s="261">
        <f t="shared" si="151"/>
        <v>7.0000000000000007E-2</v>
      </c>
      <c r="X800" s="261">
        <f t="shared" si="151"/>
        <v>7.0000000000000007E-2</v>
      </c>
      <c r="Y800" s="261">
        <f t="shared" si="151"/>
        <v>7.0000000000000007E-2</v>
      </c>
      <c r="Z800" s="261">
        <f t="shared" si="151"/>
        <v>7.0000000000000007E-2</v>
      </c>
      <c r="AA800" s="261">
        <f t="shared" si="151"/>
        <v>7.0000000000000007E-2</v>
      </c>
      <c r="AB800" s="261">
        <f t="shared" si="151"/>
        <v>7.0000000000000007E-2</v>
      </c>
      <c r="AC800" s="261">
        <f t="shared" si="151"/>
        <v>7.0000000000000007E-2</v>
      </c>
      <c r="AD800" s="261">
        <f t="shared" si="151"/>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6"/>
        <v>3</v>
      </c>
      <c r="D801" s="73"/>
      <c r="E801" s="70"/>
      <c r="F801" s="70" t="s">
        <v>1430</v>
      </c>
      <c r="G801" s="73"/>
      <c r="H801" s="76" t="s">
        <v>1431</v>
      </c>
      <c r="I801" s="96"/>
      <c r="J801" s="96" t="s">
        <v>1172</v>
      </c>
      <c r="K801" s="76"/>
      <c r="L801" s="76"/>
      <c r="M801" s="76"/>
      <c r="N801" s="76"/>
      <c r="O801" s="76"/>
      <c r="P801" s="76"/>
      <c r="Q801" s="76"/>
      <c r="R801" s="76"/>
      <c r="S801" s="76"/>
      <c r="T801" s="76"/>
      <c r="U801" s="261">
        <f t="shared" si="151"/>
        <v>7.0000000000000007E-2</v>
      </c>
      <c r="V801" s="261">
        <f t="shared" si="151"/>
        <v>7.0000000000000007E-2</v>
      </c>
      <c r="W801" s="261">
        <f t="shared" si="151"/>
        <v>7.0000000000000007E-2</v>
      </c>
      <c r="X801" s="261">
        <f t="shared" si="151"/>
        <v>7.0000000000000007E-2</v>
      </c>
      <c r="Y801" s="261">
        <f t="shared" si="151"/>
        <v>7.0000000000000007E-2</v>
      </c>
      <c r="Z801" s="261">
        <f t="shared" si="151"/>
        <v>7.0000000000000007E-2</v>
      </c>
      <c r="AA801" s="261">
        <f t="shared" si="151"/>
        <v>7.0000000000000007E-2</v>
      </c>
      <c r="AB801" s="261">
        <f t="shared" si="151"/>
        <v>7.0000000000000007E-2</v>
      </c>
      <c r="AC801" s="261">
        <f t="shared" si="151"/>
        <v>7.0000000000000007E-2</v>
      </c>
      <c r="AD801" s="261">
        <f t="shared" si="151"/>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6"/>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2">U$886</f>
        <v>0</v>
      </c>
      <c r="V802" s="261">
        <f t="shared" si="152"/>
        <v>0</v>
      </c>
      <c r="W802" s="261">
        <f t="shared" si="152"/>
        <v>0</v>
      </c>
      <c r="X802" s="261">
        <f t="shared" si="152"/>
        <v>0</v>
      </c>
      <c r="Y802" s="261">
        <f t="shared" si="152"/>
        <v>0</v>
      </c>
      <c r="Z802" s="261">
        <f t="shared" si="152"/>
        <v>0</v>
      </c>
      <c r="AA802" s="261">
        <f t="shared" si="152"/>
        <v>0</v>
      </c>
      <c r="AB802" s="261">
        <f t="shared" si="152"/>
        <v>0</v>
      </c>
      <c r="AC802" s="261">
        <f t="shared" si="152"/>
        <v>0</v>
      </c>
      <c r="AD802" s="261">
        <f t="shared" si="152"/>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6"/>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3">U$887</f>
        <v>-0.95650000000000002</v>
      </c>
      <c r="V803" s="261">
        <f t="shared" si="153"/>
        <v>-0.95650000000000002</v>
      </c>
      <c r="W803" s="261">
        <f t="shared" si="153"/>
        <v>-0.95650000000000002</v>
      </c>
      <c r="X803" s="261">
        <f t="shared" si="153"/>
        <v>-0.95650000000000002</v>
      </c>
      <c r="Y803" s="261">
        <f t="shared" si="153"/>
        <v>-0.95650000000000002</v>
      </c>
      <c r="Z803" s="261">
        <f t="shared" si="153"/>
        <v>-0.95650000000000002</v>
      </c>
      <c r="AA803" s="261">
        <f t="shared" si="153"/>
        <v>-1.0820000000000001</v>
      </c>
      <c r="AB803" s="261">
        <f t="shared" si="153"/>
        <v>-1.0820000000000001</v>
      </c>
      <c r="AC803" s="261">
        <f t="shared" si="153"/>
        <v>-1.0820000000000001</v>
      </c>
      <c r="AD803" s="261">
        <f t="shared" si="153"/>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6"/>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4">U$888</f>
        <v>-1.7614000000000001</v>
      </c>
      <c r="V804" s="261">
        <f t="shared" si="154"/>
        <v>-1.7614000000000001</v>
      </c>
      <c r="W804" s="261">
        <f t="shared" si="154"/>
        <v>-1.7614000000000001</v>
      </c>
      <c r="X804" s="261">
        <f t="shared" si="154"/>
        <v>-1.7614000000000001</v>
      </c>
      <c r="Y804" s="261">
        <f t="shared" si="154"/>
        <v>-1.7614000000000001</v>
      </c>
      <c r="Z804" s="261">
        <f t="shared" si="154"/>
        <v>-1.7614000000000001</v>
      </c>
      <c r="AA804" s="261">
        <f t="shared" si="154"/>
        <v>-2.0059999999999998</v>
      </c>
      <c r="AB804" s="261">
        <f t="shared" si="154"/>
        <v>-2.0059999999999998</v>
      </c>
      <c r="AC804" s="261">
        <f t="shared" si="154"/>
        <v>-2.0059999999999998</v>
      </c>
      <c r="AD804" s="261">
        <f t="shared" si="154"/>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6"/>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5">U$887</f>
        <v>-0.95650000000000002</v>
      </c>
      <c r="V805" s="261">
        <f t="shared" si="155"/>
        <v>-0.95650000000000002</v>
      </c>
      <c r="W805" s="261">
        <f t="shared" si="155"/>
        <v>-0.95650000000000002</v>
      </c>
      <c r="X805" s="261">
        <f t="shared" si="155"/>
        <v>-0.95650000000000002</v>
      </c>
      <c r="Y805" s="261">
        <f t="shared" si="155"/>
        <v>-0.95650000000000002</v>
      </c>
      <c r="Z805" s="261">
        <f t="shared" si="155"/>
        <v>-0.95650000000000002</v>
      </c>
      <c r="AA805" s="261">
        <f t="shared" si="155"/>
        <v>-1.0820000000000001</v>
      </c>
      <c r="AB805" s="261">
        <f t="shared" si="155"/>
        <v>-1.0820000000000001</v>
      </c>
      <c r="AC805" s="261">
        <f t="shared" si="155"/>
        <v>-1.0820000000000001</v>
      </c>
      <c r="AD805" s="261">
        <f t="shared" si="155"/>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6"/>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6">U$888</f>
        <v>-1.7614000000000001</v>
      </c>
      <c r="V806" s="261">
        <f t="shared" si="156"/>
        <v>-1.7614000000000001</v>
      </c>
      <c r="W806" s="261">
        <f t="shared" si="156"/>
        <v>-1.7614000000000001</v>
      </c>
      <c r="X806" s="261">
        <f t="shared" si="156"/>
        <v>-1.7614000000000001</v>
      </c>
      <c r="Y806" s="261">
        <f t="shared" si="156"/>
        <v>-1.7614000000000001</v>
      </c>
      <c r="Z806" s="261">
        <f t="shared" si="156"/>
        <v>-1.7614000000000001</v>
      </c>
      <c r="AA806" s="261">
        <f t="shared" si="156"/>
        <v>-2.0059999999999998</v>
      </c>
      <c r="AB806" s="261">
        <f t="shared" si="156"/>
        <v>-2.0059999999999998</v>
      </c>
      <c r="AC806" s="261">
        <f t="shared" si="156"/>
        <v>-2.0059999999999998</v>
      </c>
      <c r="AD806" s="261">
        <f t="shared" si="156"/>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6"/>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6"/>
        <v>-1.7614000000000001</v>
      </c>
      <c r="V807" s="261">
        <f t="shared" si="156"/>
        <v>-1.7614000000000001</v>
      </c>
      <c r="W807" s="261">
        <f t="shared" si="156"/>
        <v>-1.7614000000000001</v>
      </c>
      <c r="X807" s="261">
        <f t="shared" si="156"/>
        <v>-1.7614000000000001</v>
      </c>
      <c r="Y807" s="261">
        <f t="shared" si="156"/>
        <v>-1.7614000000000001</v>
      </c>
      <c r="Z807" s="261">
        <f t="shared" si="156"/>
        <v>-1.7614000000000001</v>
      </c>
      <c r="AA807" s="261">
        <f t="shared" si="156"/>
        <v>-2.0059999999999998</v>
      </c>
      <c r="AB807" s="261">
        <f t="shared" si="156"/>
        <v>-2.0059999999999998</v>
      </c>
      <c r="AC807" s="261">
        <f t="shared" si="156"/>
        <v>-2.0059999999999998</v>
      </c>
      <c r="AD807" s="261">
        <f t="shared" si="156"/>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6"/>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6"/>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7">U809</f>
        <v>-4.9400000000000004</v>
      </c>
      <c r="X809" s="336">
        <f t="shared" si="157"/>
        <v>-4.9400000000000004</v>
      </c>
      <c r="Y809" s="336">
        <f>V809</f>
        <v>-4.9400000000000004</v>
      </c>
      <c r="Z809" s="336">
        <f>AA809</f>
        <v>-6.68</v>
      </c>
      <c r="AA809" s="97">
        <v>-6.68</v>
      </c>
      <c r="AB809" s="255">
        <f t="shared" ref="AB809:AD813" si="158">AA809</f>
        <v>-6.68</v>
      </c>
      <c r="AC809" s="255">
        <f t="shared" si="158"/>
        <v>-6.68</v>
      </c>
      <c r="AD809" s="255">
        <f t="shared" si="158"/>
        <v>-6.68</v>
      </c>
      <c r="AE809" s="76"/>
      <c r="AF809" s="97" t="s">
        <v>2279</v>
      </c>
      <c r="AG809" s="76"/>
      <c r="AH809" s="97">
        <v>1</v>
      </c>
      <c r="AI809" s="97">
        <v>1</v>
      </c>
      <c r="AJ809" s="73"/>
      <c r="AK809" s="57"/>
      <c r="AL809" s="45"/>
      <c r="AM809" s="45"/>
      <c r="AN809" s="45"/>
    </row>
    <row r="810" spans="1:40" hidden="1" outlineLevel="2" x14ac:dyDescent="0.25">
      <c r="A810" s="45"/>
      <c r="B810" s="54"/>
      <c r="C810" s="47">
        <f t="shared" si="146"/>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7"/>
        <v>-6.8171999999999997</v>
      </c>
      <c r="X810" s="336">
        <f t="shared" si="157"/>
        <v>-6.8171999999999997</v>
      </c>
      <c r="Y810" s="336">
        <f>V810</f>
        <v>-6.8171999999999997</v>
      </c>
      <c r="Z810" s="336">
        <f>AA810</f>
        <v>-9.2200000000000006</v>
      </c>
      <c r="AA810" s="97">
        <v>-9.2200000000000006</v>
      </c>
      <c r="AB810" s="255">
        <f t="shared" si="158"/>
        <v>-9.2200000000000006</v>
      </c>
      <c r="AC810" s="255">
        <f t="shared" si="158"/>
        <v>-9.2200000000000006</v>
      </c>
      <c r="AD810" s="255">
        <f t="shared" si="158"/>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6"/>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7"/>
        <v>-1.85</v>
      </c>
      <c r="X811" s="336">
        <f t="shared" si="157"/>
        <v>-1.85</v>
      </c>
      <c r="Y811" s="336">
        <f>V811</f>
        <v>-1.85</v>
      </c>
      <c r="Z811" s="336">
        <f>AA811</f>
        <v>-3.36</v>
      </c>
      <c r="AA811" s="97">
        <v>-3.36</v>
      </c>
      <c r="AB811" s="255">
        <f t="shared" si="158"/>
        <v>-3.36</v>
      </c>
      <c r="AC811" s="255">
        <f t="shared" si="158"/>
        <v>-3.36</v>
      </c>
      <c r="AD811" s="255">
        <f t="shared" si="158"/>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6"/>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7"/>
        <v>-6.1627488000000001</v>
      </c>
      <c r="X812" s="336">
        <f t="shared" si="157"/>
        <v>-6.1627488000000001</v>
      </c>
      <c r="Y812" s="336">
        <f>V812</f>
        <v>-6.1627488000000001</v>
      </c>
      <c r="Z812" s="336">
        <f>AA812</f>
        <v>-8.33</v>
      </c>
      <c r="AA812" s="97">
        <v>-8.33</v>
      </c>
      <c r="AB812" s="255">
        <f t="shared" si="158"/>
        <v>-8.33</v>
      </c>
      <c r="AC812" s="255">
        <f t="shared" si="158"/>
        <v>-8.33</v>
      </c>
      <c r="AD812" s="255">
        <f t="shared" si="158"/>
        <v>-8.33</v>
      </c>
      <c r="AE812" s="76"/>
      <c r="AF812" s="97"/>
      <c r="AG812" s="76"/>
      <c r="AH812" s="97">
        <v>1</v>
      </c>
      <c r="AI812" s="97">
        <v>1</v>
      </c>
      <c r="AJ812" s="73"/>
      <c r="AK812" s="57"/>
      <c r="AL812" s="45"/>
      <c r="AM812" s="45"/>
      <c r="AN812" s="45"/>
    </row>
    <row r="813" spans="1:40" hidden="1" outlineLevel="2" x14ac:dyDescent="0.25">
      <c r="A813" s="45">
        <f>A812</f>
        <v>4</v>
      </c>
      <c r="B813" s="54"/>
      <c r="C813" s="47">
        <f t="shared" si="146"/>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7"/>
        <v>-3.7835460000000003</v>
      </c>
      <c r="X813" s="336">
        <f t="shared" si="157"/>
        <v>-3.7835460000000003</v>
      </c>
      <c r="Y813" s="336">
        <f>V813</f>
        <v>-3.7835460000000003</v>
      </c>
      <c r="Z813" s="336">
        <f>AA813</f>
        <v>-5.1100000000000003</v>
      </c>
      <c r="AA813" s="97">
        <v>-5.1100000000000003</v>
      </c>
      <c r="AB813" s="255">
        <f t="shared" si="158"/>
        <v>-5.1100000000000003</v>
      </c>
      <c r="AC813" s="255">
        <f t="shared" si="158"/>
        <v>-5.1100000000000003</v>
      </c>
      <c r="AD813" s="255">
        <f t="shared" si="158"/>
        <v>-5.1100000000000003</v>
      </c>
      <c r="AE813" s="76"/>
      <c r="AF813" s="97"/>
      <c r="AG813" s="76"/>
      <c r="AH813" s="97">
        <v>1</v>
      </c>
      <c r="AI813" s="97">
        <v>1</v>
      </c>
      <c r="AJ813" s="73"/>
      <c r="AK813" s="57"/>
      <c r="AL813" s="45"/>
      <c r="AM813" s="45"/>
      <c r="AN813" s="45"/>
    </row>
    <row r="814" spans="1:40" hidden="1" outlineLevel="2" x14ac:dyDescent="0.25">
      <c r="A814" s="45"/>
      <c r="B814" s="54"/>
      <c r="C814" s="47">
        <f t="shared" si="146"/>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6"/>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6"/>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9">U815</f>
        <v>-5.2299999999999999E-2</v>
      </c>
      <c r="V816" s="261">
        <f t="shared" si="159"/>
        <v>-5.2299999999999999E-2</v>
      </c>
      <c r="W816" s="261">
        <f t="shared" si="159"/>
        <v>-5.2299999999999999E-2</v>
      </c>
      <c r="X816" s="261">
        <f t="shared" si="159"/>
        <v>-5.2299999999999999E-2</v>
      </c>
      <c r="Y816" s="261">
        <f t="shared" si="159"/>
        <v>-5.2299999999999999E-2</v>
      </c>
      <c r="Z816" s="261">
        <f t="shared" si="159"/>
        <v>-5.2299999999999999E-2</v>
      </c>
      <c r="AA816" s="261">
        <f t="shared" si="159"/>
        <v>-5.2299999999999999E-2</v>
      </c>
      <c r="AB816" s="261">
        <f t="shared" si="159"/>
        <v>-5.2299999999999999E-2</v>
      </c>
      <c r="AC816" s="261">
        <f t="shared" si="159"/>
        <v>-5.2299999999999999E-2</v>
      </c>
      <c r="AD816" s="261">
        <f t="shared" si="159"/>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6"/>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6"/>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60">U817</f>
        <v>-1.0699999999999999E-2</v>
      </c>
      <c r="V818" s="261">
        <f t="shared" si="160"/>
        <v>-1.0699999999999999E-2</v>
      </c>
      <c r="W818" s="261">
        <f t="shared" si="160"/>
        <v>-1.0699999999999999E-2</v>
      </c>
      <c r="X818" s="261">
        <f t="shared" si="160"/>
        <v>-1.0699999999999999E-2</v>
      </c>
      <c r="Y818" s="261">
        <f t="shared" si="160"/>
        <v>-1.0699999999999999E-2</v>
      </c>
      <c r="Z818" s="261">
        <f t="shared" si="160"/>
        <v>-1.0699999999999999E-2</v>
      </c>
      <c r="AA818" s="261">
        <f t="shared" si="160"/>
        <v>-1.0699999999999999E-2</v>
      </c>
      <c r="AB818" s="261">
        <f t="shared" si="160"/>
        <v>-1.0699999999999999E-2</v>
      </c>
      <c r="AC818" s="261">
        <f t="shared" si="160"/>
        <v>-1.0699999999999999E-2</v>
      </c>
      <c r="AD818" s="261">
        <f t="shared" si="160"/>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6"/>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60"/>
        <v>-1.0699999999999999E-2</v>
      </c>
      <c r="V819" s="261">
        <f t="shared" si="160"/>
        <v>-1.0699999999999999E-2</v>
      </c>
      <c r="W819" s="261">
        <f t="shared" si="160"/>
        <v>-1.0699999999999999E-2</v>
      </c>
      <c r="X819" s="261">
        <f t="shared" si="160"/>
        <v>-1.0699999999999999E-2</v>
      </c>
      <c r="Y819" s="261">
        <f t="shared" si="160"/>
        <v>-1.0699999999999999E-2</v>
      </c>
      <c r="Z819" s="261">
        <f t="shared" si="160"/>
        <v>-1.0699999999999999E-2</v>
      </c>
      <c r="AA819" s="261">
        <f t="shared" si="160"/>
        <v>-1.0699999999999999E-2</v>
      </c>
      <c r="AB819" s="261">
        <f t="shared" si="160"/>
        <v>-1.0699999999999999E-2</v>
      </c>
      <c r="AC819" s="261">
        <f t="shared" si="160"/>
        <v>-1.0699999999999999E-2</v>
      </c>
      <c r="AD819" s="261">
        <f t="shared" si="160"/>
        <v>-1.0699999999999999E-2</v>
      </c>
      <c r="AE819" s="76"/>
      <c r="AF819" s="97"/>
      <c r="AG819" s="76"/>
      <c r="AH819" s="97">
        <v>1</v>
      </c>
      <c r="AI819" s="97">
        <v>1</v>
      </c>
      <c r="AJ819" s="73"/>
      <c r="AK819" s="57"/>
      <c r="AL819" s="45"/>
      <c r="AM819" s="45"/>
      <c r="AN819" s="45"/>
    </row>
    <row r="820" spans="1:40" hidden="1"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1">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1"/>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2">0.34/2</f>
        <v>0.17</v>
      </c>
      <c r="AA826" s="97">
        <f t="shared" si="162"/>
        <v>0.17</v>
      </c>
      <c r="AB826" s="97">
        <f t="shared" si="162"/>
        <v>0.17</v>
      </c>
      <c r="AC826" s="97">
        <f t="shared" si="162"/>
        <v>0.17</v>
      </c>
      <c r="AD826" s="97">
        <f t="shared" si="162"/>
        <v>0.17</v>
      </c>
      <c r="AE826" s="97">
        <f t="shared" si="162"/>
        <v>0.17</v>
      </c>
      <c r="AF826" s="97" t="s">
        <v>2565</v>
      </c>
      <c r="AG826" s="76"/>
      <c r="AH826" s="97">
        <v>1</v>
      </c>
      <c r="AI826" s="97">
        <v>1</v>
      </c>
      <c r="AJ826" s="73"/>
      <c r="AK826" s="57"/>
      <c r="AL826" s="45"/>
      <c r="AM826" s="45"/>
      <c r="AN826" s="45"/>
    </row>
    <row r="827" spans="1:40" hidden="1" outlineLevel="2" x14ac:dyDescent="0.25">
      <c r="A827" s="45"/>
      <c r="B827" s="54"/>
      <c r="C827" s="47">
        <f t="shared" si="161"/>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3">0.39/2</f>
        <v>0.19500000000000001</v>
      </c>
      <c r="V827" s="97">
        <f t="shared" si="163"/>
        <v>0.19500000000000001</v>
      </c>
      <c r="W827" s="97">
        <f t="shared" si="163"/>
        <v>0.19500000000000001</v>
      </c>
      <c r="X827" s="97">
        <f t="shared" si="163"/>
        <v>0.19500000000000001</v>
      </c>
      <c r="Y827" s="97">
        <f t="shared" si="163"/>
        <v>0.19500000000000001</v>
      </c>
      <c r="Z827" s="97">
        <f t="shared" ref="Z827:AE828" si="164">0.64/2</f>
        <v>0.32</v>
      </c>
      <c r="AA827" s="97">
        <f t="shared" si="164"/>
        <v>0.32</v>
      </c>
      <c r="AB827" s="97">
        <f t="shared" si="164"/>
        <v>0.32</v>
      </c>
      <c r="AC827" s="97">
        <f t="shared" si="164"/>
        <v>0.32</v>
      </c>
      <c r="AD827" s="97">
        <f t="shared" si="164"/>
        <v>0.32</v>
      </c>
      <c r="AE827" s="97">
        <f t="shared" si="164"/>
        <v>0.32</v>
      </c>
      <c r="AF827" s="97" t="s">
        <v>1485</v>
      </c>
      <c r="AG827" s="76"/>
      <c r="AH827" s="97">
        <v>1</v>
      </c>
      <c r="AI827" s="97">
        <v>1</v>
      </c>
      <c r="AJ827" s="73"/>
      <c r="AK827" s="57"/>
      <c r="AL827" s="45"/>
      <c r="AM827" s="45"/>
      <c r="AN827" s="45"/>
    </row>
    <row r="828" spans="1:40" hidden="1" outlineLevel="2" x14ac:dyDescent="0.25">
      <c r="A828" s="45"/>
      <c r="B828" s="54"/>
      <c r="C828" s="47">
        <f t="shared" si="161"/>
        <v>3</v>
      </c>
      <c r="D828" s="73"/>
      <c r="E828" s="70"/>
      <c r="F828" s="70" t="s">
        <v>1488</v>
      </c>
      <c r="G828" s="73"/>
      <c r="H828" s="76" t="s">
        <v>1489</v>
      </c>
      <c r="I828" s="96" t="s">
        <v>502</v>
      </c>
      <c r="J828" s="96"/>
      <c r="K828" s="76"/>
      <c r="L828" s="76"/>
      <c r="M828" s="76"/>
      <c r="N828" s="76"/>
      <c r="O828" s="76"/>
      <c r="P828" s="76"/>
      <c r="Q828" s="76"/>
      <c r="R828" s="76"/>
      <c r="S828" s="76"/>
      <c r="T828" s="76"/>
      <c r="U828" s="97">
        <f t="shared" si="163"/>
        <v>0.19500000000000001</v>
      </c>
      <c r="V828" s="97">
        <f t="shared" si="163"/>
        <v>0.19500000000000001</v>
      </c>
      <c r="W828" s="97">
        <f t="shared" si="163"/>
        <v>0.19500000000000001</v>
      </c>
      <c r="X828" s="97">
        <f t="shared" si="163"/>
        <v>0.19500000000000001</v>
      </c>
      <c r="Y828" s="97">
        <f t="shared" si="163"/>
        <v>0.19500000000000001</v>
      </c>
      <c r="Z828" s="97">
        <f t="shared" si="164"/>
        <v>0.32</v>
      </c>
      <c r="AA828" s="97">
        <f t="shared" si="164"/>
        <v>0.32</v>
      </c>
      <c r="AB828" s="97">
        <f t="shared" si="164"/>
        <v>0.32</v>
      </c>
      <c r="AC828" s="97">
        <f t="shared" si="164"/>
        <v>0.32</v>
      </c>
      <c r="AD828" s="97">
        <f t="shared" si="164"/>
        <v>0.32</v>
      </c>
      <c r="AE828" s="97">
        <f t="shared" si="164"/>
        <v>0.32</v>
      </c>
      <c r="AF828" s="97" t="s">
        <v>1023</v>
      </c>
      <c r="AG828" s="76"/>
      <c r="AH828" s="97">
        <v>1</v>
      </c>
      <c r="AI828" s="97">
        <v>1</v>
      </c>
      <c r="AJ828" s="73"/>
      <c r="AK828" s="57"/>
      <c r="AL828" s="45"/>
      <c r="AM828" s="45"/>
      <c r="AN828" s="45"/>
    </row>
    <row r="829" spans="1:40" hidden="1" outlineLevel="2" x14ac:dyDescent="0.25">
      <c r="A829" s="45"/>
      <c r="B829" s="54"/>
      <c r="C829" s="47">
        <f t="shared" si="161"/>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1"/>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1"/>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1"/>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1"/>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1"/>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1"/>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1"/>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1"/>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1"/>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1"/>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5">0.2-(0.2944/2)</f>
        <v>5.2800000000000014E-2</v>
      </c>
      <c r="V839" s="97">
        <f t="shared" si="165"/>
        <v>5.2800000000000014E-2</v>
      </c>
      <c r="W839" s="97">
        <f t="shared" si="165"/>
        <v>5.2800000000000014E-2</v>
      </c>
      <c r="X839" s="97">
        <f t="shared" si="165"/>
        <v>5.2800000000000014E-2</v>
      </c>
      <c r="Y839" s="97">
        <f t="shared" si="165"/>
        <v>5.2800000000000014E-2</v>
      </c>
      <c r="Z839" s="97">
        <f t="shared" si="165"/>
        <v>5.2800000000000014E-2</v>
      </c>
      <c r="AA839" s="97">
        <f t="shared" si="165"/>
        <v>5.2800000000000014E-2</v>
      </c>
      <c r="AB839" s="97">
        <f t="shared" si="165"/>
        <v>5.2800000000000014E-2</v>
      </c>
      <c r="AC839" s="97">
        <f t="shared" si="165"/>
        <v>5.2800000000000014E-2</v>
      </c>
      <c r="AD839" s="97">
        <f t="shared" si="165"/>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1"/>
        <v>3</v>
      </c>
      <c r="D840" s="73"/>
      <c r="E840" s="70"/>
      <c r="F840" s="70" t="s">
        <v>1517</v>
      </c>
      <c r="G840" s="73"/>
      <c r="H840" s="76" t="s">
        <v>1518</v>
      </c>
      <c r="I840" s="96" t="s">
        <v>1515</v>
      </c>
      <c r="J840" s="96"/>
      <c r="K840" s="76"/>
      <c r="L840" s="76"/>
      <c r="M840" s="76"/>
      <c r="N840" s="76"/>
      <c r="O840" s="76"/>
      <c r="P840" s="76"/>
      <c r="Q840" s="76"/>
      <c r="R840" s="76"/>
      <c r="S840" s="76"/>
      <c r="T840" s="76"/>
      <c r="U840" s="97">
        <f t="shared" si="165"/>
        <v>5.2800000000000014E-2</v>
      </c>
      <c r="V840" s="97">
        <f t="shared" si="165"/>
        <v>5.2800000000000014E-2</v>
      </c>
      <c r="W840" s="97">
        <f t="shared" si="165"/>
        <v>5.2800000000000014E-2</v>
      </c>
      <c r="X840" s="97">
        <f t="shared" si="165"/>
        <v>5.2800000000000014E-2</v>
      </c>
      <c r="Y840" s="97">
        <f t="shared" si="165"/>
        <v>5.2800000000000014E-2</v>
      </c>
      <c r="Z840" s="97">
        <f t="shared" si="165"/>
        <v>5.2800000000000014E-2</v>
      </c>
      <c r="AA840" s="97">
        <f t="shared" si="165"/>
        <v>5.2800000000000014E-2</v>
      </c>
      <c r="AB840" s="97">
        <f t="shared" si="165"/>
        <v>5.2800000000000014E-2</v>
      </c>
      <c r="AC840" s="97">
        <f t="shared" si="165"/>
        <v>5.2800000000000014E-2</v>
      </c>
      <c r="AD840" s="97">
        <f t="shared" si="165"/>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1"/>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1"/>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1"/>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6">0.2+(0.2944/2)</f>
        <v>0.34720000000000001</v>
      </c>
      <c r="V843" s="97">
        <f t="shared" si="166"/>
        <v>0.34720000000000001</v>
      </c>
      <c r="W843" s="97">
        <f t="shared" si="166"/>
        <v>0.34720000000000001</v>
      </c>
      <c r="X843" s="97">
        <f t="shared" si="166"/>
        <v>0.34720000000000001</v>
      </c>
      <c r="Y843" s="97">
        <f t="shared" si="166"/>
        <v>0.34720000000000001</v>
      </c>
      <c r="Z843" s="97">
        <f t="shared" si="166"/>
        <v>0.34720000000000001</v>
      </c>
      <c r="AA843" s="97">
        <f t="shared" si="166"/>
        <v>0.34720000000000001</v>
      </c>
      <c r="AB843" s="97">
        <f t="shared" si="166"/>
        <v>0.34720000000000001</v>
      </c>
      <c r="AC843" s="97">
        <f t="shared" si="166"/>
        <v>0.34720000000000001</v>
      </c>
      <c r="AD843" s="97">
        <f t="shared" si="166"/>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1"/>
        <v>3</v>
      </c>
      <c r="D844" s="73"/>
      <c r="E844" s="70"/>
      <c r="F844" s="70" t="s">
        <v>1525</v>
      </c>
      <c r="G844" s="73"/>
      <c r="H844" s="76" t="s">
        <v>1518</v>
      </c>
      <c r="I844" s="96" t="s">
        <v>1515</v>
      </c>
      <c r="J844" s="96"/>
      <c r="K844" s="76"/>
      <c r="L844" s="76"/>
      <c r="M844" s="76"/>
      <c r="N844" s="76"/>
      <c r="O844" s="76"/>
      <c r="P844" s="76"/>
      <c r="Q844" s="76"/>
      <c r="R844" s="76"/>
      <c r="S844" s="76"/>
      <c r="T844" s="76"/>
      <c r="U844" s="97">
        <f t="shared" si="166"/>
        <v>0.34720000000000001</v>
      </c>
      <c r="V844" s="97">
        <f t="shared" si="166"/>
        <v>0.34720000000000001</v>
      </c>
      <c r="W844" s="97">
        <f t="shared" si="166"/>
        <v>0.34720000000000001</v>
      </c>
      <c r="X844" s="97">
        <f t="shared" si="166"/>
        <v>0.34720000000000001</v>
      </c>
      <c r="Y844" s="97">
        <f t="shared" si="166"/>
        <v>0.34720000000000001</v>
      </c>
      <c r="Z844" s="97">
        <f t="shared" si="166"/>
        <v>0.34720000000000001</v>
      </c>
      <c r="AA844" s="97">
        <f t="shared" si="166"/>
        <v>0.34720000000000001</v>
      </c>
      <c r="AB844" s="97">
        <f t="shared" si="166"/>
        <v>0.34720000000000001</v>
      </c>
      <c r="AC844" s="97">
        <f t="shared" si="166"/>
        <v>0.34720000000000001</v>
      </c>
      <c r="AD844" s="97">
        <f t="shared" si="166"/>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1"/>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1"/>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1"/>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1"/>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1"/>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1"/>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1"/>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1"/>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1"/>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1"/>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7">AA854</f>
        <v>0</v>
      </c>
      <c r="AC854" s="255">
        <f t="shared" si="167"/>
        <v>0</v>
      </c>
      <c r="AD854" s="255">
        <f t="shared" si="167"/>
        <v>0</v>
      </c>
      <c r="AE854" s="76"/>
      <c r="AF854" s="97" t="s">
        <v>2561</v>
      </c>
      <c r="AG854" s="76"/>
      <c r="AH854" s="97">
        <v>1</v>
      </c>
      <c r="AI854" s="97">
        <v>1</v>
      </c>
      <c r="AJ854" s="73"/>
      <c r="AK854" s="57"/>
      <c r="AL854" s="45"/>
      <c r="AM854" s="45"/>
      <c r="AN854" s="45"/>
    </row>
    <row r="855" spans="1:40" hidden="1" outlineLevel="2" x14ac:dyDescent="0.25">
      <c r="A855" s="45"/>
      <c r="B855" s="54"/>
      <c r="C855" s="47">
        <f t="shared" si="161"/>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7"/>
        <v>-0.21895000000000001</v>
      </c>
      <c r="AC855" s="255">
        <f t="shared" si="167"/>
        <v>-0.21895000000000001</v>
      </c>
      <c r="AD855" s="255">
        <f t="shared" si="167"/>
        <v>-0.21895000000000001</v>
      </c>
      <c r="AE855" s="76"/>
      <c r="AF855" s="76"/>
      <c r="AG855" s="76"/>
      <c r="AH855" s="97">
        <v>1</v>
      </c>
      <c r="AI855" s="97">
        <v>1</v>
      </c>
      <c r="AJ855" s="73"/>
      <c r="AK855" s="57"/>
      <c r="AL855" s="45"/>
      <c r="AM855" s="45"/>
      <c r="AN855" s="45"/>
    </row>
    <row r="856" spans="1:40" hidden="1" outlineLevel="2" x14ac:dyDescent="0.25">
      <c r="A856" s="45"/>
      <c r="B856" s="54"/>
      <c r="C856" s="47">
        <f t="shared" si="161"/>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7"/>
        <v>-0.37940000000000002</v>
      </c>
      <c r="AC856" s="255">
        <f t="shared" si="167"/>
        <v>-0.37940000000000002</v>
      </c>
      <c r="AD856" s="255">
        <f t="shared" si="167"/>
        <v>-0.37940000000000002</v>
      </c>
      <c r="AE856" s="76"/>
      <c r="AF856" s="76"/>
      <c r="AG856" s="76"/>
      <c r="AH856" s="97">
        <v>1</v>
      </c>
      <c r="AI856" s="97">
        <v>1</v>
      </c>
      <c r="AJ856" s="73"/>
      <c r="AK856" s="57"/>
      <c r="AL856" s="45"/>
      <c r="AM856" s="45"/>
      <c r="AN856" s="45"/>
    </row>
    <row r="857" spans="1:40" hidden="1" outlineLevel="2" x14ac:dyDescent="0.25">
      <c r="A857" s="45"/>
      <c r="B857" s="54"/>
      <c r="C857" s="47">
        <f t="shared" si="161"/>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1"/>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8">U858</f>
        <v>-1.1100000000000001E-3</v>
      </c>
      <c r="X858" s="255">
        <f t="shared" si="168"/>
        <v>-1.1100000000000001E-3</v>
      </c>
      <c r="Y858" s="255">
        <f>V858</f>
        <v>-1.1100000000000001E-3</v>
      </c>
      <c r="Z858" s="255">
        <f>AA858</f>
        <v>-1.5499999999999999E-3</v>
      </c>
      <c r="AA858" s="97">
        <v>-1.5499999999999999E-3</v>
      </c>
      <c r="AB858" s="255">
        <f t="shared" ref="AB858:AD860" si="169">AA858</f>
        <v>-1.5499999999999999E-3</v>
      </c>
      <c r="AC858" s="255">
        <f t="shared" si="169"/>
        <v>-1.5499999999999999E-3</v>
      </c>
      <c r="AD858" s="255">
        <f t="shared" si="169"/>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1"/>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8"/>
        <v>-1.5E-3</v>
      </c>
      <c r="X859" s="255">
        <f t="shared" si="168"/>
        <v>-1.5E-3</v>
      </c>
      <c r="Y859" s="255">
        <f>V859</f>
        <v>-1.5E-3</v>
      </c>
      <c r="Z859" s="255">
        <f>AA859</f>
        <v>-2.1250000000000002E-3</v>
      </c>
      <c r="AA859" s="97">
        <v>-2.1250000000000002E-3</v>
      </c>
      <c r="AB859" s="255">
        <f t="shared" si="169"/>
        <v>-2.1250000000000002E-3</v>
      </c>
      <c r="AC859" s="255">
        <f t="shared" si="169"/>
        <v>-2.1250000000000002E-3</v>
      </c>
      <c r="AD859" s="255">
        <f t="shared" si="169"/>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8"/>
        <v>-6.8500000000000002E-3</v>
      </c>
      <c r="X860" s="255">
        <f t="shared" si="168"/>
        <v>-6.8500000000000002E-3</v>
      </c>
      <c r="Y860" s="255">
        <f>V860</f>
        <v>-6.8500000000000002E-3</v>
      </c>
      <c r="Z860" s="255">
        <f>AA860</f>
        <v>-8.0300000000000007E-3</v>
      </c>
      <c r="AA860" s="97">
        <v>-8.0300000000000007E-3</v>
      </c>
      <c r="AB860" s="255">
        <f t="shared" si="169"/>
        <v>-8.0300000000000007E-3</v>
      </c>
      <c r="AC860" s="255">
        <f t="shared" si="169"/>
        <v>-8.0300000000000007E-3</v>
      </c>
      <c r="AD860" s="255">
        <f t="shared" si="169"/>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70">U863+($AA851-$AA852)</f>
        <v>1.1000000000000001</v>
      </c>
      <c r="V864" s="97">
        <f t="shared" si="170"/>
        <v>1.1000000000000001</v>
      </c>
      <c r="W864" s="97">
        <f t="shared" si="170"/>
        <v>1.1000000000000001</v>
      </c>
      <c r="X864" s="97">
        <f t="shared" si="170"/>
        <v>1.1000000000000001</v>
      </c>
      <c r="Y864" s="97">
        <f t="shared" si="170"/>
        <v>1.1000000000000001</v>
      </c>
      <c r="Z864" s="97">
        <f t="shared" si="170"/>
        <v>0.82</v>
      </c>
      <c r="AA864" s="97">
        <f t="shared" si="170"/>
        <v>0.82</v>
      </c>
      <c r="AB864" s="97">
        <f t="shared" si="170"/>
        <v>0.82</v>
      </c>
      <c r="AC864" s="97">
        <f t="shared" si="170"/>
        <v>0.82</v>
      </c>
      <c r="AD864" s="97">
        <f t="shared" si="170"/>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3814</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1">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1"/>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1"/>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1"/>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1"/>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1"/>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1"/>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1"/>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2">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2"/>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3">INDEX($K878:$Q878,1,U$43)</f>
        <v>1.5</v>
      </c>
      <c r="V878" s="253">
        <f t="shared" si="173"/>
        <v>1.5</v>
      </c>
      <c r="W878" s="253">
        <f t="shared" si="173"/>
        <v>1.5</v>
      </c>
      <c r="X878" s="253">
        <f t="shared" si="173"/>
        <v>1.5</v>
      </c>
      <c r="Y878" s="253">
        <f t="shared" si="173"/>
        <v>1.5</v>
      </c>
      <c r="Z878" s="253">
        <f t="shared" si="173"/>
        <v>1.5</v>
      </c>
      <c r="AA878" s="253">
        <f t="shared" si="173"/>
        <v>1.5</v>
      </c>
      <c r="AB878" s="253">
        <f t="shared" si="173"/>
        <v>1.5</v>
      </c>
      <c r="AC878" s="253">
        <f t="shared" si="173"/>
        <v>1.5</v>
      </c>
      <c r="AD878" s="253">
        <f t="shared" si="173"/>
        <v>1.5</v>
      </c>
      <c r="AE878" s="76"/>
      <c r="AF878" s="76"/>
      <c r="AG878" s="76"/>
      <c r="AH878" s="97">
        <v>1</v>
      </c>
      <c r="AI878" s="97">
        <v>1</v>
      </c>
      <c r="AJ878" s="73"/>
      <c r="AK878" s="57"/>
      <c r="AL878" s="45"/>
      <c r="AM878" s="45"/>
      <c r="AN878" s="45"/>
    </row>
    <row r="879" spans="1:40" hidden="1" outlineLevel="2" x14ac:dyDescent="0.25">
      <c r="A879" s="45"/>
      <c r="B879" s="54"/>
      <c r="C879" s="47">
        <f t="shared" si="172"/>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3"/>
        <v>1.75</v>
      </c>
      <c r="V879" s="253">
        <f t="shared" si="173"/>
        <v>1.75</v>
      </c>
      <c r="W879" s="253">
        <f t="shared" si="173"/>
        <v>1.75</v>
      </c>
      <c r="X879" s="253">
        <f t="shared" si="173"/>
        <v>1.75</v>
      </c>
      <c r="Y879" s="253">
        <f t="shared" si="173"/>
        <v>1.75</v>
      </c>
      <c r="Z879" s="253">
        <f t="shared" si="173"/>
        <v>1.75</v>
      </c>
      <c r="AA879" s="253">
        <f t="shared" si="173"/>
        <v>1.75</v>
      </c>
      <c r="AB879" s="253">
        <f t="shared" si="173"/>
        <v>1.75</v>
      </c>
      <c r="AC879" s="253">
        <f t="shared" si="173"/>
        <v>1.75</v>
      </c>
      <c r="AD879" s="253">
        <f t="shared" si="173"/>
        <v>1.75</v>
      </c>
      <c r="AE879" s="76"/>
      <c r="AF879" s="76"/>
      <c r="AG879" s="76"/>
      <c r="AH879" s="97">
        <v>1</v>
      </c>
      <c r="AI879" s="97">
        <v>1</v>
      </c>
      <c r="AJ879" s="73"/>
      <c r="AK879" s="57"/>
      <c r="AL879" s="45"/>
      <c r="AM879" s="45"/>
      <c r="AN879" s="45"/>
    </row>
    <row r="880" spans="1:40" hidden="1" outlineLevel="2" x14ac:dyDescent="0.25">
      <c r="A880" s="45"/>
      <c r="B880" s="54"/>
      <c r="C880" s="47">
        <f t="shared" si="172"/>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3"/>
        <v>2</v>
      </c>
      <c r="V880" s="253">
        <f t="shared" si="173"/>
        <v>2</v>
      </c>
      <c r="W880" s="253">
        <f t="shared" si="173"/>
        <v>2</v>
      </c>
      <c r="X880" s="253">
        <f t="shared" si="173"/>
        <v>2</v>
      </c>
      <c r="Y880" s="253">
        <f t="shared" si="173"/>
        <v>2</v>
      </c>
      <c r="Z880" s="253">
        <f t="shared" si="173"/>
        <v>2</v>
      </c>
      <c r="AA880" s="253">
        <f t="shared" si="173"/>
        <v>2</v>
      </c>
      <c r="AB880" s="253">
        <f t="shared" si="173"/>
        <v>2</v>
      </c>
      <c r="AC880" s="253">
        <f t="shared" si="173"/>
        <v>2</v>
      </c>
      <c r="AD880" s="253">
        <f t="shared" si="173"/>
        <v>2</v>
      </c>
      <c r="AE880" s="76"/>
      <c r="AF880" s="76"/>
      <c r="AG880" s="76"/>
      <c r="AH880" s="97">
        <v>1</v>
      </c>
      <c r="AI880" s="97">
        <v>1</v>
      </c>
      <c r="AJ880" s="73"/>
      <c r="AK880" s="57"/>
      <c r="AL880" s="45"/>
      <c r="AM880" s="45"/>
      <c r="AN880" s="45"/>
    </row>
    <row r="881" spans="1:40" hidden="1" outlineLevel="2" x14ac:dyDescent="0.25">
      <c r="A881" s="45"/>
      <c r="B881" s="54"/>
      <c r="C881" s="47">
        <f t="shared" si="172"/>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2"/>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4">INDEX($K882:$Q882,1,U$43)</f>
        <v>0.1</v>
      </c>
      <c r="V882" s="253">
        <f t="shared" si="174"/>
        <v>0.1</v>
      </c>
      <c r="W882" s="253">
        <f t="shared" si="174"/>
        <v>0.1</v>
      </c>
      <c r="X882" s="253">
        <f t="shared" si="174"/>
        <v>0.1</v>
      </c>
      <c r="Y882" s="253">
        <f t="shared" si="174"/>
        <v>0.1</v>
      </c>
      <c r="Z882" s="253">
        <f t="shared" si="174"/>
        <v>0.1</v>
      </c>
      <c r="AA882" s="253">
        <f t="shared" si="174"/>
        <v>0.1</v>
      </c>
      <c r="AB882" s="253">
        <f t="shared" si="174"/>
        <v>0.1</v>
      </c>
      <c r="AC882" s="253">
        <f t="shared" si="174"/>
        <v>0.1</v>
      </c>
      <c r="AD882" s="253">
        <f t="shared" si="174"/>
        <v>0.1</v>
      </c>
      <c r="AE882" s="76"/>
      <c r="AF882" s="76"/>
      <c r="AG882" s="76"/>
      <c r="AH882" s="97">
        <v>1</v>
      </c>
      <c r="AI882" s="97">
        <v>1</v>
      </c>
      <c r="AJ882" s="73"/>
      <c r="AK882" s="57"/>
      <c r="AL882" s="45"/>
      <c r="AM882" s="45"/>
      <c r="AN882" s="45"/>
    </row>
    <row r="883" spans="1:40" hidden="1" outlineLevel="2" x14ac:dyDescent="0.25">
      <c r="A883" s="45"/>
      <c r="B883" s="54"/>
      <c r="C883" s="47">
        <f t="shared" si="172"/>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4"/>
        <v>8.5000000000000006E-2</v>
      </c>
      <c r="V883" s="253">
        <f t="shared" si="174"/>
        <v>8.5000000000000006E-2</v>
      </c>
      <c r="W883" s="253">
        <f t="shared" si="174"/>
        <v>8.5000000000000006E-2</v>
      </c>
      <c r="X883" s="253">
        <f t="shared" si="174"/>
        <v>8.5000000000000006E-2</v>
      </c>
      <c r="Y883" s="253">
        <f t="shared" si="174"/>
        <v>8.5000000000000006E-2</v>
      </c>
      <c r="Z883" s="253">
        <f t="shared" si="174"/>
        <v>8.5000000000000006E-2</v>
      </c>
      <c r="AA883" s="253">
        <f t="shared" si="174"/>
        <v>8.5000000000000006E-2</v>
      </c>
      <c r="AB883" s="253">
        <f t="shared" si="174"/>
        <v>8.5000000000000006E-2</v>
      </c>
      <c r="AC883" s="253">
        <f t="shared" si="174"/>
        <v>8.5000000000000006E-2</v>
      </c>
      <c r="AD883" s="253">
        <f t="shared" si="174"/>
        <v>8.5000000000000006E-2</v>
      </c>
      <c r="AE883" s="76"/>
      <c r="AF883" s="76"/>
      <c r="AG883" s="76"/>
      <c r="AH883" s="97">
        <v>1</v>
      </c>
      <c r="AI883" s="97">
        <v>1</v>
      </c>
      <c r="AJ883" s="73"/>
      <c r="AK883" s="57"/>
      <c r="AL883" s="45"/>
      <c r="AM883" s="45"/>
      <c r="AN883" s="45"/>
    </row>
    <row r="884" spans="1:40" hidden="1" outlineLevel="2" x14ac:dyDescent="0.25">
      <c r="A884" s="45"/>
      <c r="B884" s="54"/>
      <c r="C884" s="47">
        <f t="shared" si="172"/>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4"/>
        <v>7.0000000000000007E-2</v>
      </c>
      <c r="V884" s="253">
        <f t="shared" si="174"/>
        <v>7.0000000000000007E-2</v>
      </c>
      <c r="W884" s="253">
        <f t="shared" si="174"/>
        <v>7.0000000000000007E-2</v>
      </c>
      <c r="X884" s="253">
        <f t="shared" si="174"/>
        <v>7.0000000000000007E-2</v>
      </c>
      <c r="Y884" s="253">
        <f t="shared" si="174"/>
        <v>7.0000000000000007E-2</v>
      </c>
      <c r="Z884" s="253">
        <f t="shared" si="174"/>
        <v>7.0000000000000007E-2</v>
      </c>
      <c r="AA884" s="253">
        <f t="shared" si="174"/>
        <v>7.0000000000000007E-2</v>
      </c>
      <c r="AB884" s="253">
        <f t="shared" si="174"/>
        <v>7.0000000000000007E-2</v>
      </c>
      <c r="AC884" s="253">
        <f t="shared" si="174"/>
        <v>7.0000000000000007E-2</v>
      </c>
      <c r="AD884" s="253">
        <f t="shared" si="174"/>
        <v>7.0000000000000007E-2</v>
      </c>
      <c r="AE884" s="76"/>
      <c r="AF884" s="76"/>
      <c r="AG884" s="76"/>
      <c r="AH884" s="97">
        <v>1</v>
      </c>
      <c r="AI884" s="97">
        <v>1</v>
      </c>
      <c r="AJ884" s="73"/>
      <c r="AK884" s="57"/>
      <c r="AL884" s="45"/>
      <c r="AM884" s="45"/>
      <c r="AN884" s="45"/>
    </row>
    <row r="885" spans="1:40" hidden="1" outlineLevel="2" x14ac:dyDescent="0.25">
      <c r="A885" s="45"/>
      <c r="B885" s="54"/>
      <c r="C885" s="47">
        <f t="shared" si="172"/>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2"/>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5">U886</f>
        <v>0</v>
      </c>
      <c r="X886" s="255">
        <f t="shared" si="175"/>
        <v>0</v>
      </c>
      <c r="Y886" s="255">
        <f>V886</f>
        <v>0</v>
      </c>
      <c r="Z886" s="255">
        <f>Y886</f>
        <v>0</v>
      </c>
      <c r="AA886" s="97">
        <v>0</v>
      </c>
      <c r="AB886" s="255">
        <f t="shared" ref="AB886:AD888" si="176">AA886</f>
        <v>0</v>
      </c>
      <c r="AC886" s="255">
        <f t="shared" si="176"/>
        <v>0</v>
      </c>
      <c r="AD886" s="255">
        <f t="shared" si="176"/>
        <v>0</v>
      </c>
      <c r="AE886" s="76"/>
      <c r="AF886" s="97" t="s">
        <v>2158</v>
      </c>
      <c r="AG886" s="76"/>
      <c r="AH886" s="97">
        <v>1</v>
      </c>
      <c r="AI886" s="97">
        <v>1</v>
      </c>
      <c r="AJ886" s="73"/>
      <c r="AK886" s="57"/>
      <c r="AL886" s="45"/>
      <c r="AM886" s="45"/>
      <c r="AN886" s="45"/>
    </row>
    <row r="887" spans="1:40" hidden="1" outlineLevel="2" x14ac:dyDescent="0.25">
      <c r="A887" s="45"/>
      <c r="B887" s="54"/>
      <c r="C887" s="47">
        <f t="shared" si="172"/>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5"/>
        <v>-0.95650000000000002</v>
      </c>
      <c r="X887" s="255">
        <f t="shared" si="175"/>
        <v>-0.95650000000000002</v>
      </c>
      <c r="Y887" s="255">
        <f>V887</f>
        <v>-0.95650000000000002</v>
      </c>
      <c r="Z887" s="255">
        <f>Y887</f>
        <v>-0.95650000000000002</v>
      </c>
      <c r="AA887" s="97">
        <v>-1.0820000000000001</v>
      </c>
      <c r="AB887" s="255">
        <f t="shared" si="176"/>
        <v>-1.0820000000000001</v>
      </c>
      <c r="AC887" s="255">
        <f t="shared" si="176"/>
        <v>-1.0820000000000001</v>
      </c>
      <c r="AD887" s="255">
        <f t="shared" si="176"/>
        <v>-1.0820000000000001</v>
      </c>
      <c r="AE887" s="76"/>
      <c r="AF887" s="97"/>
      <c r="AG887" s="76"/>
      <c r="AH887" s="97">
        <v>1</v>
      </c>
      <c r="AI887" s="97">
        <v>1</v>
      </c>
      <c r="AJ887" s="73"/>
      <c r="AK887" s="57"/>
      <c r="AL887" s="45"/>
      <c r="AM887" s="45"/>
      <c r="AN887" s="45"/>
    </row>
    <row r="888" spans="1:40" hidden="1" outlineLevel="2" x14ac:dyDescent="0.25">
      <c r="A888" s="45"/>
      <c r="B888" s="54"/>
      <c r="C888" s="47">
        <f t="shared" si="172"/>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5"/>
        <v>-1.7614000000000001</v>
      </c>
      <c r="X888" s="255">
        <f t="shared" si="175"/>
        <v>-1.7614000000000001</v>
      </c>
      <c r="Y888" s="255">
        <f>V888</f>
        <v>-1.7614000000000001</v>
      </c>
      <c r="Z888" s="255">
        <f>Y888</f>
        <v>-1.7614000000000001</v>
      </c>
      <c r="AA888" s="97">
        <v>-2.0059999999999998</v>
      </c>
      <c r="AB888" s="255">
        <f t="shared" si="176"/>
        <v>-2.0059999999999998</v>
      </c>
      <c r="AC888" s="255">
        <f t="shared" si="176"/>
        <v>-2.0059999999999998</v>
      </c>
      <c r="AD888" s="255">
        <f t="shared" si="176"/>
        <v>-2.0059999999999998</v>
      </c>
      <c r="AE888" s="76"/>
      <c r="AF888" s="97"/>
      <c r="AG888" s="76"/>
      <c r="AH888" s="97">
        <v>1</v>
      </c>
      <c r="AI888" s="97">
        <v>1</v>
      </c>
      <c r="AJ888" s="73"/>
      <c r="AK888" s="57"/>
      <c r="AL888" s="45"/>
      <c r="AM888" s="45"/>
      <c r="AN888" s="45"/>
    </row>
    <row r="889" spans="1:40" hidden="1" outlineLevel="2" x14ac:dyDescent="0.25">
      <c r="A889" s="45"/>
      <c r="B889" s="54"/>
      <c r="C889" s="47">
        <f t="shared" si="172"/>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2"/>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2"/>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2"/>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2"/>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2"/>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2"/>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collapsed="1" x14ac:dyDescent="0.25">
      <c r="A896" s="45"/>
      <c r="B896" s="54"/>
      <c r="C896" s="47">
        <f t="shared" si="172"/>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2"/>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2"/>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2"/>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2"/>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2"/>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2"/>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2"/>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2"/>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2"/>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2"/>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2"/>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2"/>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2"/>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2"/>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7">Y910</f>
        <v>0</v>
      </c>
      <c r="AA910" s="255">
        <f t="shared" si="177"/>
        <v>0</v>
      </c>
      <c r="AB910" s="255">
        <f t="shared" si="177"/>
        <v>0</v>
      </c>
      <c r="AC910" s="255">
        <f t="shared" si="177"/>
        <v>0</v>
      </c>
      <c r="AD910" s="255">
        <f t="shared" si="177"/>
        <v>0</v>
      </c>
      <c r="AE910" s="76"/>
      <c r="AF910" s="76"/>
      <c r="AG910" s="76"/>
      <c r="AH910" s="76">
        <v>1</v>
      </c>
      <c r="AI910" s="76">
        <v>1</v>
      </c>
      <c r="AJ910" s="73"/>
      <c r="AK910" s="57"/>
      <c r="AL910" s="45"/>
      <c r="AM910" s="45"/>
      <c r="AN910" s="45"/>
    </row>
    <row r="911" spans="1:40" hidden="1" outlineLevel="2" x14ac:dyDescent="0.25">
      <c r="A911" s="45"/>
      <c r="B911" s="54"/>
      <c r="C911" s="47">
        <f t="shared" si="172"/>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7"/>
        <v>0</v>
      </c>
      <c r="AA911" s="255">
        <f t="shared" si="177"/>
        <v>0</v>
      </c>
      <c r="AB911" s="255">
        <f t="shared" si="177"/>
        <v>0</v>
      </c>
      <c r="AC911" s="255">
        <f t="shared" si="177"/>
        <v>0</v>
      </c>
      <c r="AD911" s="255">
        <f t="shared" si="177"/>
        <v>0</v>
      </c>
      <c r="AE911" s="76"/>
      <c r="AF911" s="76"/>
      <c r="AG911" s="76"/>
      <c r="AH911" s="76">
        <v>1</v>
      </c>
      <c r="AI911" s="76">
        <v>1</v>
      </c>
      <c r="AJ911" s="73"/>
      <c r="AK911" s="57"/>
      <c r="AL911" s="45"/>
      <c r="AM911" s="45"/>
      <c r="AN911" s="45"/>
    </row>
    <row r="912" spans="1:40" hidden="1" outlineLevel="2" x14ac:dyDescent="0.25">
      <c r="A912" s="45"/>
      <c r="B912" s="54"/>
      <c r="C912" s="47">
        <f t="shared" si="172"/>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7"/>
        <v>0</v>
      </c>
      <c r="AA912" s="255">
        <f t="shared" si="177"/>
        <v>0</v>
      </c>
      <c r="AB912" s="255">
        <f t="shared" si="177"/>
        <v>0</v>
      </c>
      <c r="AC912" s="255">
        <f t="shared" si="177"/>
        <v>0</v>
      </c>
      <c r="AD912" s="255">
        <f t="shared" si="177"/>
        <v>0</v>
      </c>
      <c r="AE912" s="76"/>
      <c r="AF912" s="76"/>
      <c r="AG912" s="76"/>
      <c r="AH912" s="76">
        <v>1</v>
      </c>
      <c r="AI912" s="76">
        <v>1</v>
      </c>
      <c r="AJ912" s="73"/>
      <c r="AK912" s="57"/>
      <c r="AL912" s="45"/>
      <c r="AM912" s="45"/>
      <c r="AN912" s="45"/>
    </row>
    <row r="913" spans="1:40" hidden="1" outlineLevel="2" x14ac:dyDescent="0.25">
      <c r="A913" s="45"/>
      <c r="B913" s="54"/>
      <c r="C913" s="47">
        <f t="shared" si="172"/>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2"/>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8">U914</f>
        <v>0</v>
      </c>
      <c r="X914" s="255">
        <f t="shared" si="178"/>
        <v>0</v>
      </c>
      <c r="Y914" s="255">
        <f>V914</f>
        <v>0</v>
      </c>
      <c r="Z914" s="255">
        <f>AA914</f>
        <v>-0.4</v>
      </c>
      <c r="AA914" s="97">
        <f>-(0.4)</f>
        <v>-0.4</v>
      </c>
      <c r="AB914" s="255">
        <f t="shared" ref="AB914:AD916" si="179">AA914</f>
        <v>-0.4</v>
      </c>
      <c r="AC914" s="255">
        <f t="shared" si="179"/>
        <v>-0.4</v>
      </c>
      <c r="AD914" s="255">
        <f t="shared" si="179"/>
        <v>-0.4</v>
      </c>
      <c r="AE914" s="76"/>
      <c r="AF914" s="97" t="s">
        <v>2796</v>
      </c>
      <c r="AG914" s="76"/>
      <c r="AH914" s="97">
        <v>1</v>
      </c>
      <c r="AI914" s="97">
        <v>1</v>
      </c>
      <c r="AJ914" s="73"/>
      <c r="AK914" s="57"/>
      <c r="AL914" s="45"/>
      <c r="AM914" s="45"/>
      <c r="AN914" s="45"/>
    </row>
    <row r="915" spans="1:40" hidden="1" outlineLevel="2" x14ac:dyDescent="0.25">
      <c r="A915" s="45"/>
      <c r="B915" s="54"/>
      <c r="C915" s="47">
        <f t="shared" si="172"/>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8"/>
        <v>0.55000000000000004</v>
      </c>
      <c r="X915" s="255">
        <f t="shared" si="178"/>
        <v>0.55000000000000004</v>
      </c>
      <c r="Y915" s="255">
        <f>V915</f>
        <v>0.55000000000000004</v>
      </c>
      <c r="Z915" s="255">
        <f>AA915</f>
        <v>0</v>
      </c>
      <c r="AA915" s="97">
        <v>0</v>
      </c>
      <c r="AB915" s="255">
        <f t="shared" si="179"/>
        <v>0</v>
      </c>
      <c r="AC915" s="255">
        <f t="shared" si="179"/>
        <v>0</v>
      </c>
      <c r="AD915" s="255">
        <f t="shared" si="179"/>
        <v>0</v>
      </c>
      <c r="AE915" s="76"/>
      <c r="AF915" s="76"/>
      <c r="AG915" s="76"/>
      <c r="AH915" s="97">
        <v>1</v>
      </c>
      <c r="AI915" s="97">
        <v>1</v>
      </c>
      <c r="AJ915" s="73"/>
      <c r="AK915" s="57"/>
      <c r="AL915" s="45"/>
      <c r="AM915" s="45"/>
      <c r="AN915" s="45"/>
    </row>
    <row r="916" spans="1:40" hidden="1" outlineLevel="2" x14ac:dyDescent="0.25">
      <c r="A916" s="45"/>
      <c r="B916" s="54"/>
      <c r="C916" s="47">
        <f t="shared" si="172"/>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8"/>
        <v>1.8119000000000001</v>
      </c>
      <c r="X916" s="255">
        <f t="shared" si="178"/>
        <v>1.8119000000000001</v>
      </c>
      <c r="Y916" s="255">
        <f>V916</f>
        <v>1.8119000000000001</v>
      </c>
      <c r="Z916" s="255">
        <f>AA916</f>
        <v>0.65459999999999996</v>
      </c>
      <c r="AA916" s="97">
        <f>-(-0.6546)</f>
        <v>0.65459999999999996</v>
      </c>
      <c r="AB916" s="255">
        <f t="shared" si="179"/>
        <v>0.65459999999999996</v>
      </c>
      <c r="AC916" s="255">
        <f t="shared" si="179"/>
        <v>0.65459999999999996</v>
      </c>
      <c r="AD916" s="255">
        <f t="shared" si="179"/>
        <v>0.65459999999999996</v>
      </c>
      <c r="AE916" s="76"/>
      <c r="AF916" s="76"/>
      <c r="AG916" s="76"/>
      <c r="AH916" s="97">
        <v>1</v>
      </c>
      <c r="AI916" s="97">
        <v>1</v>
      </c>
      <c r="AJ916" s="73"/>
      <c r="AK916" s="57"/>
      <c r="AL916" s="45"/>
      <c r="AM916" s="45"/>
      <c r="AN916" s="45"/>
    </row>
    <row r="917" spans="1:40" hidden="1" outlineLevel="2" x14ac:dyDescent="0.25">
      <c r="A917" s="45"/>
      <c r="B917" s="54"/>
      <c r="C917" s="47">
        <f t="shared" si="172"/>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2"/>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80">U918</f>
        <v>2.2589999999999999</v>
      </c>
      <c r="W918" s="255">
        <f t="shared" ref="W918:X920" si="181">U918</f>
        <v>2.2589999999999999</v>
      </c>
      <c r="X918" s="255">
        <f t="shared" si="181"/>
        <v>2.2589999999999999</v>
      </c>
      <c r="Y918" s="255">
        <f>V918</f>
        <v>2.2589999999999999</v>
      </c>
      <c r="Z918" s="255">
        <f t="shared" ref="Z918:Z928" si="182">AA918</f>
        <v>1.962</v>
      </c>
      <c r="AA918" s="97">
        <v>1.962</v>
      </c>
      <c r="AB918" s="255">
        <f t="shared" ref="AB918:AD928" si="183">AA918</f>
        <v>1.962</v>
      </c>
      <c r="AC918" s="255">
        <f t="shared" si="183"/>
        <v>1.962</v>
      </c>
      <c r="AD918" s="255">
        <f t="shared" si="183"/>
        <v>1.962</v>
      </c>
      <c r="AE918" s="76"/>
      <c r="AF918" s="97" t="s">
        <v>2514</v>
      </c>
      <c r="AG918" s="76"/>
      <c r="AH918" s="97">
        <v>1</v>
      </c>
      <c r="AI918" s="97">
        <v>1</v>
      </c>
      <c r="AJ918" s="73"/>
      <c r="AK918" s="57"/>
      <c r="AL918" s="45"/>
      <c r="AM918" s="45"/>
      <c r="AN918" s="45"/>
    </row>
    <row r="919" spans="1:40" hidden="1" outlineLevel="2" x14ac:dyDescent="0.25">
      <c r="A919" s="45"/>
      <c r="B919" s="54"/>
      <c r="C919" s="47">
        <f t="shared" si="172"/>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80"/>
        <v>6.5</v>
      </c>
      <c r="W919" s="255">
        <f t="shared" si="181"/>
        <v>6.5</v>
      </c>
      <c r="X919" s="255">
        <f t="shared" si="181"/>
        <v>6.5</v>
      </c>
      <c r="Y919" s="255">
        <f>V919</f>
        <v>6.5</v>
      </c>
      <c r="Z919" s="255">
        <f t="shared" si="182"/>
        <v>5.6980000000000004</v>
      </c>
      <c r="AA919" s="97">
        <v>5.6980000000000004</v>
      </c>
      <c r="AB919" s="255">
        <f t="shared" si="183"/>
        <v>5.6980000000000004</v>
      </c>
      <c r="AC919" s="255">
        <f t="shared" si="183"/>
        <v>5.6980000000000004</v>
      </c>
      <c r="AD919" s="255">
        <f t="shared" si="183"/>
        <v>5.6980000000000004</v>
      </c>
      <c r="AE919" s="76"/>
      <c r="AF919" s="76"/>
      <c r="AG919" s="76"/>
      <c r="AH919" s="97">
        <v>1</v>
      </c>
      <c r="AI919" s="97">
        <v>1</v>
      </c>
      <c r="AJ919" s="73"/>
      <c r="AK919" s="57"/>
      <c r="AL919" s="45"/>
      <c r="AM919" s="45"/>
      <c r="AN919" s="45"/>
    </row>
    <row r="920" spans="1:40" hidden="1" outlineLevel="2" x14ac:dyDescent="0.25">
      <c r="A920" s="45"/>
      <c r="B920" s="54"/>
      <c r="C920" s="47">
        <f t="shared" si="172"/>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80"/>
        <v>100</v>
      </c>
      <c r="W920" s="76">
        <f t="shared" si="181"/>
        <v>100</v>
      </c>
      <c r="X920" s="76">
        <f t="shared" si="181"/>
        <v>100</v>
      </c>
      <c r="Y920" s="76">
        <f>V920</f>
        <v>100</v>
      </c>
      <c r="Z920" s="76">
        <f t="shared" si="182"/>
        <v>100</v>
      </c>
      <c r="AA920" s="76">
        <v>100</v>
      </c>
      <c r="AB920" s="76">
        <f t="shared" si="183"/>
        <v>100</v>
      </c>
      <c r="AC920" s="76">
        <f t="shared" si="183"/>
        <v>100</v>
      </c>
      <c r="AD920" s="76">
        <f t="shared" si="183"/>
        <v>100</v>
      </c>
      <c r="AE920" s="76"/>
      <c r="AF920" s="264" t="s">
        <v>2516</v>
      </c>
      <c r="AG920" s="76"/>
      <c r="AH920" s="76">
        <v>1</v>
      </c>
      <c r="AI920" s="76">
        <v>1</v>
      </c>
      <c r="AJ920" s="73"/>
      <c r="AK920" s="57"/>
      <c r="AL920" s="45"/>
      <c r="AM920" s="45"/>
      <c r="AN920" s="45"/>
    </row>
    <row r="921" spans="1:40" outlineLevel="2" x14ac:dyDescent="0.25">
      <c r="A921" s="45"/>
      <c r="B921" s="54"/>
      <c r="C921" s="47">
        <f t="shared" si="172"/>
        <v>3</v>
      </c>
      <c r="D921" s="73"/>
      <c r="E921" s="70"/>
      <c r="F921" s="70" t="s">
        <v>2506</v>
      </c>
      <c r="G921" s="73"/>
      <c r="H921" s="76" t="s">
        <v>3791</v>
      </c>
      <c r="I921" s="96" t="s">
        <v>502</v>
      </c>
      <c r="J921" s="97">
        <v>0</v>
      </c>
      <c r="K921" s="76"/>
      <c r="L921" s="76"/>
      <c r="M921" s="76"/>
      <c r="N921" s="76"/>
      <c r="O921" s="76"/>
      <c r="P921" s="76"/>
      <c r="Q921" s="76"/>
      <c r="R921" s="76"/>
      <c r="S921" s="76"/>
      <c r="T921" s="76" t="s">
        <v>3287</v>
      </c>
      <c r="U921" s="629">
        <f>$J921+U925-$J925+0.85</f>
        <v>1.3479999999999999</v>
      </c>
      <c r="V921" s="261">
        <f>$U921+V925-$U925</f>
        <v>1.208</v>
      </c>
      <c r="W921" s="261">
        <f t="shared" ref="W921:X921" si="184">$U921+W925-$U925</f>
        <v>1.9759999999999998</v>
      </c>
      <c r="X921" s="261">
        <f t="shared" si="184"/>
        <v>1.6020899999999998</v>
      </c>
      <c r="Y921" s="627">
        <f t="shared" ref="Y921" si="185">Y925</f>
        <v>1.7747839999999999</v>
      </c>
      <c r="Z921" s="255">
        <f t="shared" ref="Z921:Z924" si="186">AA921</f>
        <v>0</v>
      </c>
      <c r="AA921" s="97">
        <v>0</v>
      </c>
      <c r="AB921" s="255">
        <f t="shared" ref="AB921:AB924" si="187">AA921</f>
        <v>0</v>
      </c>
      <c r="AC921" s="255">
        <f t="shared" ref="AC921:AC924" si="188">AB921</f>
        <v>0</v>
      </c>
      <c r="AD921" s="255">
        <f t="shared" ref="AD921:AD924" si="189">AC921</f>
        <v>0</v>
      </c>
      <c r="AE921" s="76"/>
      <c r="AF921" s="97" t="s">
        <v>3796</v>
      </c>
      <c r="AG921" s="76"/>
      <c r="AH921" s="76">
        <v>1</v>
      </c>
      <c r="AI921" s="76">
        <v>1</v>
      </c>
      <c r="AJ921" s="73"/>
      <c r="AK921" s="57"/>
      <c r="AL921" s="45"/>
      <c r="AM921" s="45"/>
      <c r="AN921" s="45"/>
    </row>
    <row r="922" spans="1:40" outlineLevel="2" x14ac:dyDescent="0.25">
      <c r="A922" s="45"/>
      <c r="B922" s="54"/>
      <c r="C922" s="47">
        <f t="shared" si="172"/>
        <v>3</v>
      </c>
      <c r="D922" s="73"/>
      <c r="E922" s="70"/>
      <c r="F922" s="70" t="s">
        <v>2507</v>
      </c>
      <c r="G922" s="73"/>
      <c r="H922" s="76" t="s">
        <v>2511</v>
      </c>
      <c r="I922" s="96" t="s">
        <v>502</v>
      </c>
      <c r="J922" s="97">
        <v>3.8858999999999999</v>
      </c>
      <c r="K922" s="76"/>
      <c r="L922" s="76"/>
      <c r="M922" s="76"/>
      <c r="N922" s="76"/>
      <c r="O922" s="76"/>
      <c r="P922" s="76"/>
      <c r="Q922" s="76"/>
      <c r="R922" s="76"/>
      <c r="S922" s="76"/>
      <c r="T922" s="76" t="s">
        <v>3287</v>
      </c>
      <c r="U922" s="629">
        <f>$J922+U926-$J926+0.5</f>
        <v>4.3858999999999995</v>
      </c>
      <c r="V922" s="261">
        <f>$U922+V926-$U926</f>
        <v>4.6758999999999986</v>
      </c>
      <c r="W922" s="261">
        <f t="shared" ref="W922:X922" si="190">$U922+W926-$U926</f>
        <v>5.0888999999999989</v>
      </c>
      <c r="X922" s="261">
        <f t="shared" si="190"/>
        <v>4.721899999999998</v>
      </c>
      <c r="Y922" s="627">
        <f t="shared" ref="Y922" si="191">Y926</f>
        <v>5.2835130000000001</v>
      </c>
      <c r="Z922" s="255">
        <f t="shared" si="186"/>
        <v>4.3858999999999995</v>
      </c>
      <c r="AA922" s="97">
        <f>$U922</f>
        <v>4.3858999999999995</v>
      </c>
      <c r="AB922" s="255">
        <f t="shared" si="187"/>
        <v>4.3858999999999995</v>
      </c>
      <c r="AC922" s="255">
        <f t="shared" si="188"/>
        <v>4.3858999999999995</v>
      </c>
      <c r="AD922" s="255">
        <f t="shared" si="189"/>
        <v>4.3858999999999995</v>
      </c>
      <c r="AE922" s="76"/>
      <c r="AF922" s="97" t="s">
        <v>3793</v>
      </c>
      <c r="AG922" s="76"/>
      <c r="AH922" s="97">
        <v>1</v>
      </c>
      <c r="AI922" s="97">
        <v>1</v>
      </c>
      <c r="AJ922" s="73"/>
      <c r="AK922" s="57"/>
      <c r="AL922" s="45"/>
      <c r="AM922" s="45"/>
      <c r="AN922" s="45"/>
    </row>
    <row r="923" spans="1:40" hidden="1" outlineLevel="2" x14ac:dyDescent="0.25">
      <c r="A923" s="45"/>
      <c r="B923" s="54"/>
      <c r="C923" s="47">
        <f t="shared" si="172"/>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7">
        <f t="shared" ref="W923:Y923" si="192">W927</f>
        <v>7.9349999999999996</v>
      </c>
      <c r="X923" s="627">
        <f t="shared" si="192"/>
        <v>7.9349999999999996</v>
      </c>
      <c r="Y923" s="627">
        <f t="shared" si="192"/>
        <v>7.9349999999999996</v>
      </c>
      <c r="Z923" s="255">
        <f t="shared" si="186"/>
        <v>10</v>
      </c>
      <c r="AA923" s="97">
        <f>$U923</f>
        <v>10</v>
      </c>
      <c r="AB923" s="255">
        <f t="shared" si="187"/>
        <v>10</v>
      </c>
      <c r="AC923" s="255">
        <f t="shared" si="188"/>
        <v>10</v>
      </c>
      <c r="AD923" s="255">
        <f t="shared" si="189"/>
        <v>10</v>
      </c>
      <c r="AE923" s="76"/>
      <c r="AF923" s="97" t="s">
        <v>3792</v>
      </c>
      <c r="AG923" s="76"/>
      <c r="AH923" s="97">
        <v>1</v>
      </c>
      <c r="AI923" s="97">
        <v>1</v>
      </c>
      <c r="AJ923" s="73"/>
      <c r="AK923" s="57"/>
      <c r="AL923" s="45"/>
      <c r="AM923" s="45"/>
      <c r="AN923" s="45"/>
    </row>
    <row r="924" spans="1:40" hidden="1" outlineLevel="2" x14ac:dyDescent="0.25">
      <c r="A924" s="45"/>
      <c r="B924" s="54"/>
      <c r="C924" s="47">
        <f t="shared" si="172"/>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80"/>
        <v>100</v>
      </c>
      <c r="W924" s="627">
        <f t="shared" ref="W924:Y924" si="193">W928</f>
        <v>100</v>
      </c>
      <c r="X924" s="627">
        <f t="shared" si="193"/>
        <v>100</v>
      </c>
      <c r="Y924" s="627">
        <f t="shared" si="193"/>
        <v>100</v>
      </c>
      <c r="Z924" s="76">
        <f t="shared" si="186"/>
        <v>100</v>
      </c>
      <c r="AA924" s="76">
        <v>100</v>
      </c>
      <c r="AB924" s="76">
        <f t="shared" si="187"/>
        <v>100</v>
      </c>
      <c r="AC924" s="76">
        <f t="shared" si="188"/>
        <v>100</v>
      </c>
      <c r="AD924" s="76">
        <f t="shared" si="189"/>
        <v>100</v>
      </c>
      <c r="AE924" s="76"/>
      <c r="AF924" s="264" t="s">
        <v>2516</v>
      </c>
      <c r="AG924" s="76"/>
      <c r="AH924" s="76">
        <v>1</v>
      </c>
      <c r="AI924" s="76">
        <v>1</v>
      </c>
      <c r="AJ924" s="73"/>
      <c r="AK924" s="57"/>
      <c r="AL924" s="45"/>
      <c r="AM924" s="45"/>
      <c r="AN924" s="45"/>
    </row>
    <row r="925" spans="1:40" outlineLevel="2" x14ac:dyDescent="0.25">
      <c r="A925" s="45"/>
      <c r="B925" s="54"/>
      <c r="C925" s="47">
        <f t="shared" si="172"/>
        <v>3</v>
      </c>
      <c r="D925" s="73"/>
      <c r="E925" s="70"/>
      <c r="F925" s="70" t="s">
        <v>3318</v>
      </c>
      <c r="G925" s="73"/>
      <c r="H925" s="76" t="s">
        <v>3790</v>
      </c>
      <c r="I925" s="96" t="s">
        <v>502</v>
      </c>
      <c r="J925" s="97">
        <v>1.302</v>
      </c>
      <c r="K925" s="76"/>
      <c r="L925" s="76"/>
      <c r="M925" s="76"/>
      <c r="N925" s="76"/>
      <c r="O925" s="76"/>
      <c r="P925" s="76"/>
      <c r="Q925" s="76"/>
      <c r="R925" s="76"/>
      <c r="S925" s="76"/>
      <c r="T925" s="76" t="s">
        <v>3287</v>
      </c>
      <c r="U925" s="629">
        <v>1.8</v>
      </c>
      <c r="V925" s="97">
        <v>1.66</v>
      </c>
      <c r="W925" s="97">
        <v>2.4279999999999999</v>
      </c>
      <c r="X925" s="97">
        <v>2.05409</v>
      </c>
      <c r="Y925" s="97">
        <v>1.7747839999999999</v>
      </c>
      <c r="Z925" s="255">
        <f t="shared" si="182"/>
        <v>0.64400000000000002</v>
      </c>
      <c r="AA925" s="97">
        <v>0.64400000000000002</v>
      </c>
      <c r="AB925" s="255">
        <f t="shared" si="183"/>
        <v>0.64400000000000002</v>
      </c>
      <c r="AC925" s="255">
        <f t="shared" si="183"/>
        <v>0.64400000000000002</v>
      </c>
      <c r="AD925" s="255">
        <f t="shared" si="183"/>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72"/>
        <v>3</v>
      </c>
      <c r="D926" s="73"/>
      <c r="E926" s="70"/>
      <c r="F926" s="70" t="s">
        <v>3319</v>
      </c>
      <c r="G926" s="73"/>
      <c r="H926" s="76" t="s">
        <v>2511</v>
      </c>
      <c r="I926" s="96" t="s">
        <v>502</v>
      </c>
      <c r="J926" s="97">
        <v>4.9800000000000004</v>
      </c>
      <c r="K926" s="76"/>
      <c r="L926" s="76"/>
      <c r="M926" s="76"/>
      <c r="N926" s="76"/>
      <c r="O926" s="76"/>
      <c r="P926" s="76"/>
      <c r="Q926" s="76"/>
      <c r="R926" s="76"/>
      <c r="S926" s="76"/>
      <c r="T926" s="76" t="s">
        <v>3287</v>
      </c>
      <c r="U926" s="97">
        <v>4.9800000000000004</v>
      </c>
      <c r="V926" s="255">
        <v>5.27</v>
      </c>
      <c r="W926" s="97">
        <v>5.6829999999999998</v>
      </c>
      <c r="X926" s="97">
        <v>5.3159999999999998</v>
      </c>
      <c r="Y926" s="97">
        <v>5.2835130000000001</v>
      </c>
      <c r="Z926" s="255">
        <f t="shared" si="182"/>
        <v>3.1459999999999999</v>
      </c>
      <c r="AA926" s="97">
        <v>3.1459999999999999</v>
      </c>
      <c r="AB926" s="255">
        <f t="shared" si="183"/>
        <v>3.1459999999999999</v>
      </c>
      <c r="AC926" s="255">
        <f t="shared" si="183"/>
        <v>3.1459999999999999</v>
      </c>
      <c r="AD926" s="255">
        <f t="shared" si="183"/>
        <v>3.1459999999999999</v>
      </c>
      <c r="AE926" s="76"/>
      <c r="AF926" s="76"/>
      <c r="AG926" s="76"/>
      <c r="AH926" s="97">
        <v>1</v>
      </c>
      <c r="AI926" s="97">
        <v>1</v>
      </c>
      <c r="AJ926" s="73"/>
      <c r="AK926" s="57"/>
      <c r="AL926" s="45"/>
      <c r="AM926" s="45"/>
      <c r="AN926" s="45"/>
    </row>
    <row r="927" spans="1:40" hidden="1" outlineLevel="2" x14ac:dyDescent="0.25">
      <c r="A927" s="45"/>
      <c r="B927" s="54"/>
      <c r="C927" s="47">
        <f t="shared" si="172"/>
        <v>3</v>
      </c>
      <c r="D927" s="73"/>
      <c r="E927" s="70"/>
      <c r="F927" s="70" t="s">
        <v>3320</v>
      </c>
      <c r="G927" s="73"/>
      <c r="H927" s="76" t="s">
        <v>2512</v>
      </c>
      <c r="I927" s="96" t="s">
        <v>502</v>
      </c>
      <c r="J927" s="96"/>
      <c r="K927" s="76"/>
      <c r="L927" s="76"/>
      <c r="M927" s="76"/>
      <c r="N927" s="76"/>
      <c r="O927" s="76"/>
      <c r="P927" s="76"/>
      <c r="Q927" s="76"/>
      <c r="R927" s="76"/>
      <c r="S927" s="76"/>
      <c r="T927" s="76"/>
      <c r="U927" s="97">
        <v>7.9349999999999996</v>
      </c>
      <c r="V927" s="255">
        <f t="shared" si="180"/>
        <v>7.9349999999999996</v>
      </c>
      <c r="W927" s="255">
        <f>U927</f>
        <v>7.9349999999999996</v>
      </c>
      <c r="X927" s="255">
        <f>V927</f>
        <v>7.9349999999999996</v>
      </c>
      <c r="Y927" s="255">
        <f>V927</f>
        <v>7.9349999999999996</v>
      </c>
      <c r="Z927" s="255">
        <f t="shared" si="182"/>
        <v>6.0309999999999997</v>
      </c>
      <c r="AA927" s="97">
        <v>6.0309999999999997</v>
      </c>
      <c r="AB927" s="255">
        <f t="shared" si="183"/>
        <v>6.0309999999999997</v>
      </c>
      <c r="AC927" s="255">
        <f t="shared" si="183"/>
        <v>6.0309999999999997</v>
      </c>
      <c r="AD927" s="255">
        <f t="shared" si="183"/>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2"/>
        <v>3</v>
      </c>
      <c r="D928" s="73"/>
      <c r="E928" s="70"/>
      <c r="F928" s="70" t="s">
        <v>3321</v>
      </c>
      <c r="G928" s="73"/>
      <c r="H928" s="76" t="s">
        <v>2513</v>
      </c>
      <c r="I928" s="96" t="s">
        <v>502</v>
      </c>
      <c r="J928" s="96"/>
      <c r="K928" s="76"/>
      <c r="L928" s="76"/>
      <c r="M928" s="76"/>
      <c r="N928" s="76"/>
      <c r="O928" s="76"/>
      <c r="P928" s="76"/>
      <c r="Q928" s="76"/>
      <c r="R928" s="76"/>
      <c r="S928" s="76"/>
      <c r="T928" s="76"/>
      <c r="U928" s="76">
        <v>100</v>
      </c>
      <c r="V928" s="76">
        <f t="shared" si="180"/>
        <v>100</v>
      </c>
      <c r="W928" s="76">
        <f>U928</f>
        <v>100</v>
      </c>
      <c r="X928" s="76">
        <f>V928</f>
        <v>100</v>
      </c>
      <c r="Y928" s="76">
        <f>V928</f>
        <v>100</v>
      </c>
      <c r="Z928" s="76">
        <f t="shared" si="182"/>
        <v>100</v>
      </c>
      <c r="AA928" s="76">
        <v>100</v>
      </c>
      <c r="AB928" s="76">
        <f t="shared" si="183"/>
        <v>100</v>
      </c>
      <c r="AC928" s="76">
        <f t="shared" si="183"/>
        <v>100</v>
      </c>
      <c r="AD928" s="76">
        <f t="shared" si="183"/>
        <v>100</v>
      </c>
      <c r="AE928" s="76"/>
      <c r="AF928" s="264" t="s">
        <v>2516</v>
      </c>
      <c r="AG928" s="76"/>
      <c r="AH928" s="76">
        <v>1</v>
      </c>
      <c r="AI928" s="76">
        <v>1</v>
      </c>
      <c r="AJ928" s="73"/>
      <c r="AK928" s="57"/>
      <c r="AL928" s="45"/>
      <c r="AM928" s="45"/>
      <c r="AN928" s="45"/>
    </row>
    <row r="929" spans="1:40" hidden="1" outlineLevel="2" x14ac:dyDescent="0.25">
      <c r="A929" s="45"/>
      <c r="B929" s="54"/>
      <c r="C929" s="47">
        <f t="shared" si="172"/>
        <v>3</v>
      </c>
      <c r="D929" s="73"/>
      <c r="E929" s="70"/>
      <c r="F929" s="70" t="s">
        <v>3368</v>
      </c>
      <c r="G929" s="73"/>
      <c r="H929" s="76" t="s">
        <v>3742</v>
      </c>
      <c r="I929" s="96" t="s">
        <v>502</v>
      </c>
      <c r="J929" s="96"/>
      <c r="K929" s="76"/>
      <c r="L929" s="76"/>
      <c r="M929" s="76"/>
      <c r="N929" s="76"/>
      <c r="O929" s="76"/>
      <c r="P929" s="76"/>
      <c r="Q929" s="76"/>
      <c r="R929" s="76"/>
      <c r="S929" s="76"/>
      <c r="T929" s="76"/>
      <c r="U929" s="97">
        <v>0</v>
      </c>
      <c r="V929" s="255">
        <f t="shared" ref="V929:V932" si="194">U929</f>
        <v>0</v>
      </c>
      <c r="W929" s="255">
        <f t="shared" ref="W929:W930" si="195">U929</f>
        <v>0</v>
      </c>
      <c r="X929" s="255">
        <f t="shared" ref="X929:X930" si="196">V929</f>
        <v>0</v>
      </c>
      <c r="Y929" s="255">
        <f t="shared" ref="Y929:Y930" si="197">V929</f>
        <v>0</v>
      </c>
      <c r="Z929" s="255">
        <f t="shared" ref="Z929:Z932" si="198">AA929</f>
        <v>0</v>
      </c>
      <c r="AA929" s="97">
        <f>U929</f>
        <v>0</v>
      </c>
      <c r="AB929" s="255">
        <f t="shared" ref="AB929:AB932" si="199">AA929</f>
        <v>0</v>
      </c>
      <c r="AC929" s="255">
        <f t="shared" ref="AC929:AC932" si="200">AB929</f>
        <v>0</v>
      </c>
      <c r="AD929" s="255">
        <f t="shared" ref="AD929:AD932" si="201">AC929</f>
        <v>0</v>
      </c>
      <c r="AE929" s="76"/>
      <c r="AF929" s="97" t="s">
        <v>3367</v>
      </c>
      <c r="AG929" s="76"/>
      <c r="AH929" s="76">
        <v>1</v>
      </c>
      <c r="AI929" s="76">
        <v>1</v>
      </c>
      <c r="AJ929" s="73"/>
      <c r="AK929" s="57"/>
      <c r="AL929" s="45"/>
      <c r="AM929" s="45"/>
      <c r="AN929" s="45"/>
    </row>
    <row r="930" spans="1:40" hidden="1" outlineLevel="2" x14ac:dyDescent="0.25">
      <c r="A930" s="45"/>
      <c r="B930" s="54"/>
      <c r="C930" s="47">
        <f t="shared" si="172"/>
        <v>3</v>
      </c>
      <c r="D930" s="73"/>
      <c r="E930" s="70"/>
      <c r="F930" s="70" t="s">
        <v>3369</v>
      </c>
      <c r="G930" s="73"/>
      <c r="H930" s="76" t="s">
        <v>2511</v>
      </c>
      <c r="I930" s="96" t="s">
        <v>502</v>
      </c>
      <c r="J930" s="96"/>
      <c r="K930" s="76"/>
      <c r="L930" s="76"/>
      <c r="M930" s="76"/>
      <c r="N930" s="76"/>
      <c r="O930" s="76"/>
      <c r="P930" s="76"/>
      <c r="Q930" s="76"/>
      <c r="R930" s="76"/>
      <c r="S930" s="76"/>
      <c r="T930" s="76"/>
      <c r="U930" s="97">
        <v>0</v>
      </c>
      <c r="V930" s="255">
        <f t="shared" si="194"/>
        <v>0</v>
      </c>
      <c r="W930" s="255">
        <f t="shared" si="195"/>
        <v>0</v>
      </c>
      <c r="X930" s="255">
        <f t="shared" si="196"/>
        <v>0</v>
      </c>
      <c r="Y930" s="255">
        <f t="shared" si="197"/>
        <v>0</v>
      </c>
      <c r="Z930" s="255">
        <f t="shared" si="198"/>
        <v>0</v>
      </c>
      <c r="AA930" s="97">
        <f t="shared" ref="AA930:AA931" si="202">U930</f>
        <v>0</v>
      </c>
      <c r="AB930" s="255">
        <f t="shared" si="199"/>
        <v>0</v>
      </c>
      <c r="AC930" s="255">
        <f t="shared" si="200"/>
        <v>0</v>
      </c>
      <c r="AD930" s="255">
        <f t="shared" si="201"/>
        <v>0</v>
      </c>
      <c r="AE930" s="76"/>
      <c r="AF930" s="97" t="s">
        <v>3747</v>
      </c>
      <c r="AG930" s="76"/>
      <c r="AH930" s="97">
        <v>1</v>
      </c>
      <c r="AI930" s="97">
        <v>1</v>
      </c>
      <c r="AJ930" s="73"/>
      <c r="AK930" s="57"/>
      <c r="AL930" s="45"/>
      <c r="AM930" s="45"/>
      <c r="AN930" s="45"/>
    </row>
    <row r="931" spans="1:40" hidden="1" outlineLevel="2" x14ac:dyDescent="0.25">
      <c r="A931" s="45"/>
      <c r="B931" s="54"/>
      <c r="C931" s="47">
        <f t="shared" si="172"/>
        <v>3</v>
      </c>
      <c r="D931" s="73"/>
      <c r="E931" s="70"/>
      <c r="F931" s="70" t="s">
        <v>3370</v>
      </c>
      <c r="G931" s="73"/>
      <c r="H931" s="76" t="s">
        <v>2512</v>
      </c>
      <c r="I931" s="96" t="s">
        <v>502</v>
      </c>
      <c r="J931" s="96"/>
      <c r="K931" s="76"/>
      <c r="L931" s="76"/>
      <c r="M931" s="76"/>
      <c r="N931" s="76"/>
      <c r="O931" s="76"/>
      <c r="P931" s="76"/>
      <c r="Q931" s="76"/>
      <c r="R931" s="76"/>
      <c r="S931" s="76"/>
      <c r="T931" s="76"/>
      <c r="U931" s="97">
        <v>-3.3000000000000002E-2</v>
      </c>
      <c r="V931" s="255">
        <f t="shared" si="194"/>
        <v>-3.3000000000000002E-2</v>
      </c>
      <c r="W931" s="255">
        <f>U931</f>
        <v>-3.3000000000000002E-2</v>
      </c>
      <c r="X931" s="255">
        <f>V931</f>
        <v>-3.3000000000000002E-2</v>
      </c>
      <c r="Y931" s="255">
        <f>V931</f>
        <v>-3.3000000000000002E-2</v>
      </c>
      <c r="Z931" s="255">
        <f t="shared" si="198"/>
        <v>-3.3000000000000002E-2</v>
      </c>
      <c r="AA931" s="97">
        <f t="shared" si="202"/>
        <v>-3.3000000000000002E-2</v>
      </c>
      <c r="AB931" s="255">
        <f t="shared" si="199"/>
        <v>-3.3000000000000002E-2</v>
      </c>
      <c r="AC931" s="255">
        <f t="shared" si="200"/>
        <v>-3.3000000000000002E-2</v>
      </c>
      <c r="AD931" s="255">
        <f t="shared" si="201"/>
        <v>-3.3000000000000002E-2</v>
      </c>
      <c r="AE931" s="76"/>
      <c r="AF931" s="97"/>
      <c r="AG931" s="76"/>
      <c r="AH931" s="97">
        <v>1</v>
      </c>
      <c r="AI931" s="97">
        <v>1</v>
      </c>
      <c r="AJ931" s="73"/>
      <c r="AK931" s="57"/>
      <c r="AL931" s="45"/>
      <c r="AM931" s="45"/>
      <c r="AN931" s="45"/>
    </row>
    <row r="932" spans="1:40" hidden="1" outlineLevel="2" x14ac:dyDescent="0.25">
      <c r="A932" s="45"/>
      <c r="B932" s="54"/>
      <c r="C932" s="47">
        <f t="shared" si="172"/>
        <v>3</v>
      </c>
      <c r="D932" s="73"/>
      <c r="E932" s="70"/>
      <c r="F932" s="70" t="s">
        <v>3371</v>
      </c>
      <c r="G932" s="73"/>
      <c r="H932" s="76" t="s">
        <v>2513</v>
      </c>
      <c r="I932" s="96" t="s">
        <v>502</v>
      </c>
      <c r="J932" s="96"/>
      <c r="K932" s="76"/>
      <c r="L932" s="76"/>
      <c r="M932" s="76"/>
      <c r="N932" s="76"/>
      <c r="O932" s="76"/>
      <c r="P932" s="76"/>
      <c r="Q932" s="76"/>
      <c r="R932" s="76"/>
      <c r="S932" s="76"/>
      <c r="T932" s="76"/>
      <c r="U932" s="253">
        <f>U931</f>
        <v>-3.3000000000000002E-2</v>
      </c>
      <c r="V932" s="76">
        <f t="shared" si="194"/>
        <v>-3.3000000000000002E-2</v>
      </c>
      <c r="W932" s="76">
        <f>U932</f>
        <v>-3.3000000000000002E-2</v>
      </c>
      <c r="X932" s="76">
        <f>V932</f>
        <v>-3.3000000000000002E-2</v>
      </c>
      <c r="Y932" s="76">
        <f>V932</f>
        <v>-3.3000000000000002E-2</v>
      </c>
      <c r="Z932" s="76">
        <f t="shared" si="198"/>
        <v>-3.3000000000000002E-2</v>
      </c>
      <c r="AA932" s="253">
        <f>AA931</f>
        <v>-3.3000000000000002E-2</v>
      </c>
      <c r="AB932" s="76">
        <f t="shared" si="199"/>
        <v>-3.3000000000000002E-2</v>
      </c>
      <c r="AC932" s="76">
        <f t="shared" si="200"/>
        <v>-3.3000000000000002E-2</v>
      </c>
      <c r="AD932" s="76">
        <f t="shared" si="201"/>
        <v>-3.3000000000000002E-2</v>
      </c>
      <c r="AE932" s="76"/>
      <c r="AF932" s="264" t="s">
        <v>3366</v>
      </c>
      <c r="AG932" s="76"/>
      <c r="AH932" s="76">
        <v>1</v>
      </c>
      <c r="AI932" s="76">
        <v>1</v>
      </c>
      <c r="AJ932" s="73"/>
      <c r="AK932" s="57"/>
      <c r="AL932" s="45"/>
      <c r="AM932" s="45"/>
      <c r="AN932" s="45"/>
    </row>
    <row r="933" spans="1:40" hidden="1" outlineLevel="2" x14ac:dyDescent="0.25">
      <c r="A933" s="45"/>
      <c r="B933" s="54"/>
      <c r="C933" s="47">
        <f t="shared" si="172"/>
        <v>3</v>
      </c>
      <c r="D933" s="73"/>
      <c r="E933" s="70"/>
      <c r="F933" s="70" t="s">
        <v>3372</v>
      </c>
      <c r="G933" s="73"/>
      <c r="H933" s="76" t="s">
        <v>3743</v>
      </c>
      <c r="I933" s="96" t="s">
        <v>502</v>
      </c>
      <c r="J933" s="96"/>
      <c r="K933" s="76"/>
      <c r="L933" s="76"/>
      <c r="M933" s="76"/>
      <c r="N933" s="76"/>
      <c r="O933" s="76"/>
      <c r="P933" s="76"/>
      <c r="Q933" s="76"/>
      <c r="R933" s="76"/>
      <c r="S933" s="76"/>
      <c r="T933" s="76"/>
      <c r="U933" s="97">
        <v>0</v>
      </c>
      <c r="V933" s="255">
        <f t="shared" ref="V933:V936" si="203">U933</f>
        <v>0</v>
      </c>
      <c r="W933" s="255">
        <f t="shared" ref="W933:W934" si="204">U933</f>
        <v>0</v>
      </c>
      <c r="X933" s="255">
        <f t="shared" ref="X933:X934" si="205">V933</f>
        <v>0</v>
      </c>
      <c r="Y933" s="255">
        <f t="shared" ref="Y933:Y934" si="206">V933</f>
        <v>0</v>
      </c>
      <c r="Z933" s="255">
        <f t="shared" ref="Z933:Z936" si="207">AA933</f>
        <v>0</v>
      </c>
      <c r="AA933" s="97">
        <f>U933</f>
        <v>0</v>
      </c>
      <c r="AB933" s="255">
        <f t="shared" ref="AB933:AB936" si="208">AA933</f>
        <v>0</v>
      </c>
      <c r="AC933" s="255">
        <f t="shared" ref="AC933:AC936" si="209">AB933</f>
        <v>0</v>
      </c>
      <c r="AD933" s="255">
        <f t="shared" ref="AD933:AD936" si="210">AC933</f>
        <v>0</v>
      </c>
      <c r="AE933" s="76"/>
      <c r="AF933" s="97" t="s">
        <v>3367</v>
      </c>
      <c r="AG933" s="76"/>
      <c r="AH933" s="76">
        <v>1</v>
      </c>
      <c r="AI933" s="76">
        <v>1</v>
      </c>
      <c r="AJ933" s="73"/>
      <c r="AK933" s="57"/>
      <c r="AL933" s="45"/>
      <c r="AM933" s="45"/>
      <c r="AN933" s="45"/>
    </row>
    <row r="934" spans="1:40" hidden="1" outlineLevel="2" x14ac:dyDescent="0.25">
      <c r="A934" s="45"/>
      <c r="B934" s="54"/>
      <c r="C934" s="47">
        <f t="shared" si="172"/>
        <v>3</v>
      </c>
      <c r="D934" s="73"/>
      <c r="E934" s="70"/>
      <c r="F934" s="70" t="s">
        <v>3373</v>
      </c>
      <c r="G934" s="73"/>
      <c r="H934" s="76" t="s">
        <v>2511</v>
      </c>
      <c r="I934" s="96" t="s">
        <v>502</v>
      </c>
      <c r="J934" s="96"/>
      <c r="K934" s="76"/>
      <c r="L934" s="76"/>
      <c r="M934" s="76"/>
      <c r="N934" s="76"/>
      <c r="O934" s="76"/>
      <c r="P934" s="76"/>
      <c r="Q934" s="76"/>
      <c r="R934" s="76"/>
      <c r="S934" s="76"/>
      <c r="T934" s="76"/>
      <c r="U934" s="97">
        <v>0</v>
      </c>
      <c r="V934" s="255">
        <f t="shared" si="203"/>
        <v>0</v>
      </c>
      <c r="W934" s="255">
        <f t="shared" si="204"/>
        <v>0</v>
      </c>
      <c r="X934" s="255">
        <f t="shared" si="205"/>
        <v>0</v>
      </c>
      <c r="Y934" s="255">
        <f t="shared" si="206"/>
        <v>0</v>
      </c>
      <c r="Z934" s="255">
        <f t="shared" si="207"/>
        <v>0</v>
      </c>
      <c r="AA934" s="97">
        <f t="shared" ref="AA934:AA935" si="211">U934</f>
        <v>0</v>
      </c>
      <c r="AB934" s="255">
        <f t="shared" si="208"/>
        <v>0</v>
      </c>
      <c r="AC934" s="255">
        <f t="shared" si="209"/>
        <v>0</v>
      </c>
      <c r="AD934" s="255">
        <f t="shared" si="210"/>
        <v>0</v>
      </c>
      <c r="AE934" s="76"/>
      <c r="AF934" s="97" t="s">
        <v>3747</v>
      </c>
      <c r="AG934" s="76"/>
      <c r="AH934" s="97">
        <v>1</v>
      </c>
      <c r="AI934" s="97">
        <v>1</v>
      </c>
      <c r="AJ934" s="73"/>
      <c r="AK934" s="57"/>
      <c r="AL934" s="45"/>
      <c r="AM934" s="45"/>
      <c r="AN934" s="45"/>
    </row>
    <row r="935" spans="1:40" hidden="1" outlineLevel="2" x14ac:dyDescent="0.25">
      <c r="A935" s="45"/>
      <c r="B935" s="54"/>
      <c r="C935" s="47">
        <f t="shared" si="172"/>
        <v>3</v>
      </c>
      <c r="D935" s="73"/>
      <c r="E935" s="70"/>
      <c r="F935" s="70" t="s">
        <v>3374</v>
      </c>
      <c r="G935" s="73"/>
      <c r="H935" s="76" t="s">
        <v>2512</v>
      </c>
      <c r="I935" s="96" t="s">
        <v>502</v>
      </c>
      <c r="J935" s="96"/>
      <c r="K935" s="76"/>
      <c r="L935" s="76"/>
      <c r="M935" s="76"/>
      <c r="N935" s="76"/>
      <c r="O935" s="76"/>
      <c r="P935" s="76"/>
      <c r="Q935" s="76"/>
      <c r="R935" s="76"/>
      <c r="S935" s="76"/>
      <c r="T935" s="76"/>
      <c r="U935" s="97">
        <v>1.0269999999999999E-3</v>
      </c>
      <c r="V935" s="255">
        <f t="shared" si="203"/>
        <v>1.0269999999999999E-3</v>
      </c>
      <c r="W935" s="255">
        <f>U935</f>
        <v>1.0269999999999999E-3</v>
      </c>
      <c r="X935" s="255">
        <f>V935</f>
        <v>1.0269999999999999E-3</v>
      </c>
      <c r="Y935" s="255">
        <f>V935</f>
        <v>1.0269999999999999E-3</v>
      </c>
      <c r="Z935" s="255">
        <f t="shared" si="207"/>
        <v>1.0269999999999999E-3</v>
      </c>
      <c r="AA935" s="97">
        <f t="shared" si="211"/>
        <v>1.0269999999999999E-3</v>
      </c>
      <c r="AB935" s="255">
        <f t="shared" si="208"/>
        <v>1.0269999999999999E-3</v>
      </c>
      <c r="AC935" s="255">
        <f t="shared" si="209"/>
        <v>1.0269999999999999E-3</v>
      </c>
      <c r="AD935" s="255">
        <f t="shared" si="210"/>
        <v>1.0269999999999999E-3</v>
      </c>
      <c r="AE935" s="76"/>
      <c r="AF935" s="97"/>
      <c r="AG935" s="76"/>
      <c r="AH935" s="97">
        <v>1</v>
      </c>
      <c r="AI935" s="97">
        <v>1</v>
      </c>
      <c r="AJ935" s="73"/>
      <c r="AK935" s="57"/>
      <c r="AL935" s="45"/>
      <c r="AM935" s="45"/>
      <c r="AN935" s="45"/>
    </row>
    <row r="936" spans="1:40" hidden="1" outlineLevel="2" x14ac:dyDescent="0.25">
      <c r="A936" s="45"/>
      <c r="B936" s="54"/>
      <c r="C936" s="47">
        <f t="shared" si="172"/>
        <v>3</v>
      </c>
      <c r="D936" s="73"/>
      <c r="E936" s="70"/>
      <c r="F936" s="70" t="s">
        <v>3375</v>
      </c>
      <c r="G936" s="73"/>
      <c r="H936" s="76" t="s">
        <v>2513</v>
      </c>
      <c r="I936" s="96" t="s">
        <v>502</v>
      </c>
      <c r="J936" s="96"/>
      <c r="K936" s="76"/>
      <c r="L936" s="76"/>
      <c r="M936" s="76"/>
      <c r="N936" s="76"/>
      <c r="O936" s="76"/>
      <c r="P936" s="76"/>
      <c r="Q936" s="76"/>
      <c r="R936" s="76"/>
      <c r="S936" s="76"/>
      <c r="T936" s="76"/>
      <c r="U936" s="253">
        <f>U935</f>
        <v>1.0269999999999999E-3</v>
      </c>
      <c r="V936" s="76">
        <f t="shared" si="203"/>
        <v>1.0269999999999999E-3</v>
      </c>
      <c r="W936" s="76">
        <f>U936</f>
        <v>1.0269999999999999E-3</v>
      </c>
      <c r="X936" s="76">
        <f>V936</f>
        <v>1.0269999999999999E-3</v>
      </c>
      <c r="Y936" s="76">
        <f>V936</f>
        <v>1.0269999999999999E-3</v>
      </c>
      <c r="Z936" s="76">
        <f t="shared" si="207"/>
        <v>1.0269999999999999E-3</v>
      </c>
      <c r="AA936" s="253">
        <f>AA935</f>
        <v>1.0269999999999999E-3</v>
      </c>
      <c r="AB936" s="76">
        <f t="shared" si="208"/>
        <v>1.0269999999999999E-3</v>
      </c>
      <c r="AC936" s="76">
        <f t="shared" si="209"/>
        <v>1.0269999999999999E-3</v>
      </c>
      <c r="AD936" s="76">
        <f t="shared" si="210"/>
        <v>1.0269999999999999E-3</v>
      </c>
      <c r="AE936" s="76"/>
      <c r="AF936" s="264" t="s">
        <v>3366</v>
      </c>
      <c r="AG936" s="76"/>
      <c r="AH936" s="76">
        <v>1</v>
      </c>
      <c r="AI936" s="76">
        <v>1</v>
      </c>
      <c r="AJ936" s="73"/>
      <c r="AK936" s="57"/>
      <c r="AL936" s="45"/>
      <c r="AM936" s="45"/>
      <c r="AN936" s="45"/>
    </row>
    <row r="937" spans="1:40" hidden="1" outlineLevel="2" x14ac:dyDescent="0.25">
      <c r="A937" s="45"/>
      <c r="B937" s="54"/>
      <c r="C937" s="47">
        <f t="shared" si="172"/>
        <v>3</v>
      </c>
      <c r="D937" s="73"/>
      <c r="E937" s="70"/>
      <c r="F937" s="70" t="s">
        <v>3376</v>
      </c>
      <c r="G937" s="73"/>
      <c r="H937" s="76" t="s">
        <v>3744</v>
      </c>
      <c r="I937" s="96" t="s">
        <v>502</v>
      </c>
      <c r="J937" s="96"/>
      <c r="K937" s="76"/>
      <c r="L937" s="76"/>
      <c r="M937" s="76"/>
      <c r="N937" s="76"/>
      <c r="O937" s="76"/>
      <c r="P937" s="76"/>
      <c r="Q937" s="76"/>
      <c r="R937" s="76"/>
      <c r="S937" s="76"/>
      <c r="T937" s="76"/>
      <c r="U937" s="97">
        <v>0</v>
      </c>
      <c r="V937" s="255">
        <f t="shared" ref="V937:V940" si="212">U937</f>
        <v>0</v>
      </c>
      <c r="W937" s="255">
        <f t="shared" ref="W937:W938" si="213">U937</f>
        <v>0</v>
      </c>
      <c r="X937" s="255">
        <f t="shared" ref="X937:X938" si="214">V937</f>
        <v>0</v>
      </c>
      <c r="Y937" s="255">
        <f t="shared" ref="Y937:Y938" si="215">V937</f>
        <v>0</v>
      </c>
      <c r="Z937" s="255">
        <f t="shared" ref="Z937:Z940" si="216">AA937</f>
        <v>0</v>
      </c>
      <c r="AA937" s="97">
        <f>U937</f>
        <v>0</v>
      </c>
      <c r="AB937" s="255">
        <f t="shared" ref="AB937:AB940" si="217">AA937</f>
        <v>0</v>
      </c>
      <c r="AC937" s="255">
        <f t="shared" ref="AC937:AC940" si="218">AB937</f>
        <v>0</v>
      </c>
      <c r="AD937" s="255">
        <f t="shared" ref="AD937:AD940" si="219">AC937</f>
        <v>0</v>
      </c>
      <c r="AE937" s="76"/>
      <c r="AF937" s="97" t="s">
        <v>3367</v>
      </c>
      <c r="AG937" s="76"/>
      <c r="AH937" s="76">
        <v>1</v>
      </c>
      <c r="AI937" s="76">
        <v>1</v>
      </c>
      <c r="AJ937" s="73"/>
      <c r="AK937" s="57"/>
      <c r="AL937" s="45"/>
      <c r="AM937" s="45"/>
      <c r="AN937" s="45"/>
    </row>
    <row r="938" spans="1:40" hidden="1" outlineLevel="2" x14ac:dyDescent="0.25">
      <c r="A938" s="45"/>
      <c r="B938" s="54"/>
      <c r="C938" s="47">
        <f t="shared" si="172"/>
        <v>3</v>
      </c>
      <c r="D938" s="73"/>
      <c r="E938" s="70"/>
      <c r="F938" s="70" t="s">
        <v>3377</v>
      </c>
      <c r="G938" s="73"/>
      <c r="H938" s="76" t="s">
        <v>2511</v>
      </c>
      <c r="I938" s="96" t="s">
        <v>502</v>
      </c>
      <c r="J938" s="96"/>
      <c r="K938" s="76"/>
      <c r="L938" s="76"/>
      <c r="M938" s="76"/>
      <c r="N938" s="76"/>
      <c r="O938" s="76"/>
      <c r="P938" s="76"/>
      <c r="Q938" s="76"/>
      <c r="R938" s="76"/>
      <c r="S938" s="76"/>
      <c r="T938" s="76"/>
      <c r="U938" s="97">
        <v>0</v>
      </c>
      <c r="V938" s="255">
        <f t="shared" si="212"/>
        <v>0</v>
      </c>
      <c r="W938" s="255">
        <f t="shared" si="213"/>
        <v>0</v>
      </c>
      <c r="X938" s="255">
        <f t="shared" si="214"/>
        <v>0</v>
      </c>
      <c r="Y938" s="255">
        <f t="shared" si="215"/>
        <v>0</v>
      </c>
      <c r="Z938" s="255">
        <f t="shared" si="216"/>
        <v>0</v>
      </c>
      <c r="AA938" s="97">
        <f t="shared" ref="AA938:AA939" si="220">U938</f>
        <v>0</v>
      </c>
      <c r="AB938" s="255">
        <f t="shared" si="217"/>
        <v>0</v>
      </c>
      <c r="AC938" s="255">
        <f t="shared" si="218"/>
        <v>0</v>
      </c>
      <c r="AD938" s="255">
        <f t="shared" si="219"/>
        <v>0</v>
      </c>
      <c r="AE938" s="76"/>
      <c r="AF938" s="97" t="s">
        <v>3747</v>
      </c>
      <c r="AG938" s="76"/>
      <c r="AH938" s="97">
        <v>1</v>
      </c>
      <c r="AI938" s="97">
        <v>1</v>
      </c>
      <c r="AJ938" s="73"/>
      <c r="AK938" s="57"/>
      <c r="AL938" s="45"/>
      <c r="AM938" s="45"/>
      <c r="AN938" s="45"/>
    </row>
    <row r="939" spans="1:40" hidden="1" outlineLevel="2" x14ac:dyDescent="0.25">
      <c r="A939" s="45"/>
      <c r="B939" s="54"/>
      <c r="C939" s="47">
        <f t="shared" si="172"/>
        <v>3</v>
      </c>
      <c r="D939" s="73"/>
      <c r="E939" s="70"/>
      <c r="F939" s="70" t="s">
        <v>3378</v>
      </c>
      <c r="G939" s="73"/>
      <c r="H939" s="76" t="s">
        <v>2512</v>
      </c>
      <c r="I939" s="96" t="s">
        <v>502</v>
      </c>
      <c r="J939" s="96"/>
      <c r="K939" s="76"/>
      <c r="L939" s="76"/>
      <c r="M939" s="76"/>
      <c r="N939" s="76"/>
      <c r="O939" s="76"/>
      <c r="P939" s="76"/>
      <c r="Q939" s="76"/>
      <c r="R939" s="76"/>
      <c r="S939" s="76"/>
      <c r="T939" s="76"/>
      <c r="U939" s="97">
        <v>7.0199999999999999E-2</v>
      </c>
      <c r="V939" s="255">
        <f t="shared" si="212"/>
        <v>7.0199999999999999E-2</v>
      </c>
      <c r="W939" s="255">
        <f>U939</f>
        <v>7.0199999999999999E-2</v>
      </c>
      <c r="X939" s="255">
        <f>V939</f>
        <v>7.0199999999999999E-2</v>
      </c>
      <c r="Y939" s="255">
        <f>V939</f>
        <v>7.0199999999999999E-2</v>
      </c>
      <c r="Z939" s="255">
        <f t="shared" si="216"/>
        <v>7.0199999999999999E-2</v>
      </c>
      <c r="AA939" s="97">
        <f t="shared" si="220"/>
        <v>7.0199999999999999E-2</v>
      </c>
      <c r="AB939" s="255">
        <f t="shared" si="217"/>
        <v>7.0199999999999999E-2</v>
      </c>
      <c r="AC939" s="255">
        <f t="shared" si="218"/>
        <v>7.0199999999999999E-2</v>
      </c>
      <c r="AD939" s="255">
        <f t="shared" si="219"/>
        <v>7.0199999999999999E-2</v>
      </c>
      <c r="AE939" s="76"/>
      <c r="AF939" s="97"/>
      <c r="AG939" s="76"/>
      <c r="AH939" s="97">
        <v>1</v>
      </c>
      <c r="AI939" s="97">
        <v>1</v>
      </c>
      <c r="AJ939" s="73"/>
      <c r="AK939" s="57"/>
      <c r="AL939" s="45"/>
      <c r="AM939" s="45"/>
      <c r="AN939" s="45"/>
    </row>
    <row r="940" spans="1:40" hidden="1" outlineLevel="2" x14ac:dyDescent="0.25">
      <c r="A940" s="45"/>
      <c r="B940" s="54"/>
      <c r="C940" s="47">
        <f t="shared" si="172"/>
        <v>3</v>
      </c>
      <c r="D940" s="73"/>
      <c r="E940" s="70"/>
      <c r="F940" s="70" t="s">
        <v>3379</v>
      </c>
      <c r="G940" s="73"/>
      <c r="H940" s="76" t="s">
        <v>2513</v>
      </c>
      <c r="I940" s="96" t="s">
        <v>502</v>
      </c>
      <c r="J940" s="96"/>
      <c r="K940" s="76"/>
      <c r="L940" s="76"/>
      <c r="M940" s="76"/>
      <c r="N940" s="76"/>
      <c r="O940" s="76"/>
      <c r="P940" s="76"/>
      <c r="Q940" s="76"/>
      <c r="R940" s="76"/>
      <c r="S940" s="76"/>
      <c r="T940" s="76"/>
      <c r="U940" s="253">
        <f>U939</f>
        <v>7.0199999999999999E-2</v>
      </c>
      <c r="V940" s="76">
        <f t="shared" si="212"/>
        <v>7.0199999999999999E-2</v>
      </c>
      <c r="W940" s="76">
        <f>U940</f>
        <v>7.0199999999999999E-2</v>
      </c>
      <c r="X940" s="76">
        <f>V940</f>
        <v>7.0199999999999999E-2</v>
      </c>
      <c r="Y940" s="76">
        <f>V940</f>
        <v>7.0199999999999999E-2</v>
      </c>
      <c r="Z940" s="76">
        <f t="shared" si="216"/>
        <v>7.0199999999999999E-2</v>
      </c>
      <c r="AA940" s="253">
        <f>AA939</f>
        <v>7.0199999999999999E-2</v>
      </c>
      <c r="AB940" s="76">
        <f t="shared" si="217"/>
        <v>7.0199999999999999E-2</v>
      </c>
      <c r="AC940" s="76">
        <f t="shared" si="218"/>
        <v>7.0199999999999999E-2</v>
      </c>
      <c r="AD940" s="76">
        <f t="shared" si="219"/>
        <v>7.0199999999999999E-2</v>
      </c>
      <c r="AE940" s="76"/>
      <c r="AF940" s="264" t="s">
        <v>3366</v>
      </c>
      <c r="AG940" s="76"/>
      <c r="AH940" s="76">
        <v>1</v>
      </c>
      <c r="AI940" s="76">
        <v>1</v>
      </c>
      <c r="AJ940" s="73"/>
      <c r="AK940" s="57"/>
      <c r="AL940" s="45"/>
      <c r="AM940" s="45"/>
      <c r="AN940" s="45"/>
    </row>
    <row r="941" spans="1:40" hidden="1" outlineLevel="2" x14ac:dyDescent="0.25">
      <c r="A941" s="45"/>
      <c r="B941" s="54"/>
      <c r="C941" s="47">
        <f t="shared" si="172"/>
        <v>3</v>
      </c>
      <c r="D941" s="73"/>
      <c r="E941" s="70"/>
      <c r="F941" s="70" t="s">
        <v>3380</v>
      </c>
      <c r="G941" s="73"/>
      <c r="H941" s="76" t="s">
        <v>3745</v>
      </c>
      <c r="I941" s="96" t="s">
        <v>502</v>
      </c>
      <c r="J941" s="96"/>
      <c r="K941" s="76"/>
      <c r="L941" s="76"/>
      <c r="M941" s="76"/>
      <c r="N941" s="76"/>
      <c r="O941" s="76"/>
      <c r="P941" s="76"/>
      <c r="Q941" s="76"/>
      <c r="R941" s="76"/>
      <c r="S941" s="76"/>
      <c r="T941" s="76"/>
      <c r="U941" s="97">
        <v>0</v>
      </c>
      <c r="V941" s="255">
        <f t="shared" ref="V941:V944" si="221">U941</f>
        <v>0</v>
      </c>
      <c r="W941" s="255">
        <f t="shared" ref="W941:W942" si="222">U941</f>
        <v>0</v>
      </c>
      <c r="X941" s="255">
        <f t="shared" ref="X941:X942" si="223">V941</f>
        <v>0</v>
      </c>
      <c r="Y941" s="255">
        <f t="shared" ref="Y941:Y942" si="224">V941</f>
        <v>0</v>
      </c>
      <c r="Z941" s="255">
        <f t="shared" ref="Z941:Z944" si="225">AA941</f>
        <v>0</v>
      </c>
      <c r="AA941" s="97">
        <f>U941</f>
        <v>0</v>
      </c>
      <c r="AB941" s="255">
        <f t="shared" ref="AB941:AB944" si="226">AA941</f>
        <v>0</v>
      </c>
      <c r="AC941" s="255">
        <f t="shared" ref="AC941:AC944" si="227">AB941</f>
        <v>0</v>
      </c>
      <c r="AD941" s="255">
        <f t="shared" ref="AD941:AD944" si="228">AC941</f>
        <v>0</v>
      </c>
      <c r="AE941" s="76"/>
      <c r="AF941" s="97" t="s">
        <v>3367</v>
      </c>
      <c r="AG941" s="76"/>
      <c r="AH941" s="76">
        <v>1</v>
      </c>
      <c r="AI941" s="76">
        <v>1</v>
      </c>
      <c r="AJ941" s="73"/>
      <c r="AK941" s="57"/>
      <c r="AL941" s="45"/>
      <c r="AM941" s="45"/>
      <c r="AN941" s="45"/>
    </row>
    <row r="942" spans="1:40" hidden="1" outlineLevel="2" x14ac:dyDescent="0.25">
      <c r="A942" s="45"/>
      <c r="B942" s="54"/>
      <c r="C942" s="47">
        <f t="shared" si="172"/>
        <v>3</v>
      </c>
      <c r="D942" s="73"/>
      <c r="E942" s="70"/>
      <c r="F942" s="70" t="s">
        <v>3381</v>
      </c>
      <c r="G942" s="73"/>
      <c r="H942" s="76" t="s">
        <v>2511</v>
      </c>
      <c r="I942" s="96" t="s">
        <v>502</v>
      </c>
      <c r="J942" s="96"/>
      <c r="K942" s="76"/>
      <c r="L942" s="76"/>
      <c r="M942" s="76"/>
      <c r="N942" s="76"/>
      <c r="O942" s="76"/>
      <c r="P942" s="76"/>
      <c r="Q942" s="76"/>
      <c r="R942" s="76"/>
      <c r="S942" s="76"/>
      <c r="T942" s="76"/>
      <c r="U942" s="97">
        <v>0</v>
      </c>
      <c r="V942" s="255">
        <f t="shared" si="221"/>
        <v>0</v>
      </c>
      <c r="W942" s="255">
        <f t="shared" si="222"/>
        <v>0</v>
      </c>
      <c r="X942" s="255">
        <f t="shared" si="223"/>
        <v>0</v>
      </c>
      <c r="Y942" s="255">
        <f t="shared" si="224"/>
        <v>0</v>
      </c>
      <c r="Z942" s="255">
        <f t="shared" si="225"/>
        <v>0</v>
      </c>
      <c r="AA942" s="97">
        <f t="shared" ref="AA942:AA943" si="229">U942</f>
        <v>0</v>
      </c>
      <c r="AB942" s="255">
        <f t="shared" si="226"/>
        <v>0</v>
      </c>
      <c r="AC942" s="255">
        <f t="shared" si="227"/>
        <v>0</v>
      </c>
      <c r="AD942" s="255">
        <f t="shared" si="228"/>
        <v>0</v>
      </c>
      <c r="AE942" s="76"/>
      <c r="AF942" s="97" t="s">
        <v>3747</v>
      </c>
      <c r="AG942" s="76"/>
      <c r="AH942" s="97">
        <v>1</v>
      </c>
      <c r="AI942" s="97">
        <v>1</v>
      </c>
      <c r="AJ942" s="73"/>
      <c r="AK942" s="57"/>
      <c r="AL942" s="45"/>
      <c r="AM942" s="45"/>
      <c r="AN942" s="45"/>
    </row>
    <row r="943" spans="1:40" hidden="1" outlineLevel="2" x14ac:dyDescent="0.25">
      <c r="A943" s="45"/>
      <c r="B943" s="54"/>
      <c r="C943" s="47">
        <f t="shared" si="172"/>
        <v>3</v>
      </c>
      <c r="D943" s="73"/>
      <c r="E943" s="70"/>
      <c r="F943" s="70" t="s">
        <v>3382</v>
      </c>
      <c r="G943" s="73"/>
      <c r="H943" s="76" t="s">
        <v>2512</v>
      </c>
      <c r="I943" s="96" t="s">
        <v>502</v>
      </c>
      <c r="J943" s="96"/>
      <c r="K943" s="76"/>
      <c r="L943" s="76"/>
      <c r="M943" s="76"/>
      <c r="N943" s="76"/>
      <c r="O943" s="76"/>
      <c r="P943" s="76"/>
      <c r="Q943" s="76"/>
      <c r="R943" s="76"/>
      <c r="S943" s="76"/>
      <c r="T943" s="76"/>
      <c r="U943" s="97">
        <v>4.4400000000000002E-2</v>
      </c>
      <c r="V943" s="255">
        <f t="shared" si="221"/>
        <v>4.4400000000000002E-2</v>
      </c>
      <c r="W943" s="255">
        <f>U943</f>
        <v>4.4400000000000002E-2</v>
      </c>
      <c r="X943" s="255">
        <f>V943</f>
        <v>4.4400000000000002E-2</v>
      </c>
      <c r="Y943" s="255">
        <f>V943</f>
        <v>4.4400000000000002E-2</v>
      </c>
      <c r="Z943" s="255">
        <f t="shared" si="225"/>
        <v>4.4400000000000002E-2</v>
      </c>
      <c r="AA943" s="97">
        <f t="shared" si="229"/>
        <v>4.4400000000000002E-2</v>
      </c>
      <c r="AB943" s="255">
        <f t="shared" si="226"/>
        <v>4.4400000000000002E-2</v>
      </c>
      <c r="AC943" s="255">
        <f t="shared" si="227"/>
        <v>4.4400000000000002E-2</v>
      </c>
      <c r="AD943" s="255">
        <f t="shared" si="228"/>
        <v>4.4400000000000002E-2</v>
      </c>
      <c r="AE943" s="76"/>
      <c r="AF943" s="97"/>
      <c r="AG943" s="76"/>
      <c r="AH943" s="97">
        <v>1</v>
      </c>
      <c r="AI943" s="97">
        <v>1</v>
      </c>
      <c r="AJ943" s="73"/>
      <c r="AK943" s="57"/>
      <c r="AL943" s="45"/>
      <c r="AM943" s="45"/>
      <c r="AN943" s="45"/>
    </row>
    <row r="944" spans="1:40" hidden="1" outlineLevel="2" x14ac:dyDescent="0.25">
      <c r="A944" s="45"/>
      <c r="B944" s="54"/>
      <c r="C944" s="47">
        <f t="shared" si="172"/>
        <v>3</v>
      </c>
      <c r="D944" s="73"/>
      <c r="E944" s="70"/>
      <c r="F944" s="70" t="s">
        <v>3383</v>
      </c>
      <c r="G944" s="73"/>
      <c r="H944" s="76" t="s">
        <v>2513</v>
      </c>
      <c r="I944" s="96" t="s">
        <v>502</v>
      </c>
      <c r="J944" s="96"/>
      <c r="K944" s="76"/>
      <c r="L944" s="76"/>
      <c r="M944" s="76"/>
      <c r="N944" s="76"/>
      <c r="O944" s="76"/>
      <c r="P944" s="76"/>
      <c r="Q944" s="76"/>
      <c r="R944" s="76"/>
      <c r="S944" s="76"/>
      <c r="T944" s="76"/>
      <c r="U944" s="253">
        <f>U943</f>
        <v>4.4400000000000002E-2</v>
      </c>
      <c r="V944" s="76">
        <f t="shared" si="221"/>
        <v>4.4400000000000002E-2</v>
      </c>
      <c r="W944" s="76">
        <f>U944</f>
        <v>4.4400000000000002E-2</v>
      </c>
      <c r="X944" s="76">
        <f>V944</f>
        <v>4.4400000000000002E-2</v>
      </c>
      <c r="Y944" s="76">
        <f>V944</f>
        <v>4.4400000000000002E-2</v>
      </c>
      <c r="Z944" s="76">
        <f t="shared" si="225"/>
        <v>4.4400000000000002E-2</v>
      </c>
      <c r="AA944" s="253">
        <f>AA943</f>
        <v>4.4400000000000002E-2</v>
      </c>
      <c r="AB944" s="76">
        <f t="shared" si="226"/>
        <v>4.4400000000000002E-2</v>
      </c>
      <c r="AC944" s="76">
        <f t="shared" si="227"/>
        <v>4.4400000000000002E-2</v>
      </c>
      <c r="AD944" s="76">
        <f t="shared" si="228"/>
        <v>4.4400000000000002E-2</v>
      </c>
      <c r="AE944" s="76"/>
      <c r="AF944" s="264" t="s">
        <v>3366</v>
      </c>
      <c r="AG944" s="76"/>
      <c r="AH944" s="76">
        <v>1</v>
      </c>
      <c r="AI944" s="76">
        <v>1</v>
      </c>
      <c r="AJ944" s="73"/>
      <c r="AK944" s="57"/>
      <c r="AL944" s="45"/>
      <c r="AM944" s="45"/>
      <c r="AN944" s="45"/>
    </row>
    <row r="945" spans="1:40" hidden="1" outlineLevel="2" x14ac:dyDescent="0.25">
      <c r="A945" s="45"/>
      <c r="B945" s="54"/>
      <c r="C945" s="47">
        <f t="shared" si="172"/>
        <v>3</v>
      </c>
      <c r="D945" s="73"/>
      <c r="E945" s="70"/>
      <c r="F945" s="70" t="s">
        <v>3385</v>
      </c>
      <c r="G945" s="73"/>
      <c r="H945" s="76" t="s">
        <v>3746</v>
      </c>
      <c r="I945" s="96" t="s">
        <v>502</v>
      </c>
      <c r="J945" s="96"/>
      <c r="K945" s="76"/>
      <c r="L945" s="76"/>
      <c r="M945" s="76"/>
      <c r="N945" s="76"/>
      <c r="O945" s="76"/>
      <c r="P945" s="76"/>
      <c r="Q945" s="76"/>
      <c r="R945" s="76"/>
      <c r="S945" s="76"/>
      <c r="T945" s="76"/>
      <c r="U945" s="97">
        <v>0</v>
      </c>
      <c r="V945" s="255">
        <f t="shared" ref="V945:V948" si="230">U945</f>
        <v>0</v>
      </c>
      <c r="W945" s="255">
        <f t="shared" ref="W945:W946" si="231">U945</f>
        <v>0</v>
      </c>
      <c r="X945" s="255">
        <f t="shared" ref="X945:X946" si="232">V945</f>
        <v>0</v>
      </c>
      <c r="Y945" s="255">
        <f t="shared" ref="Y945:Y946" si="233">V945</f>
        <v>0</v>
      </c>
      <c r="Z945" s="255">
        <f t="shared" ref="Z945:Z948" si="234">AA945</f>
        <v>0</v>
      </c>
      <c r="AA945" s="97">
        <f>U945</f>
        <v>0</v>
      </c>
      <c r="AB945" s="255">
        <f t="shared" ref="AB945:AB948" si="235">AA945</f>
        <v>0</v>
      </c>
      <c r="AC945" s="255">
        <f t="shared" ref="AC945:AC948" si="236">AB945</f>
        <v>0</v>
      </c>
      <c r="AD945" s="255">
        <f t="shared" ref="AD945:AD948" si="237">AC945</f>
        <v>0</v>
      </c>
      <c r="AE945" s="76"/>
      <c r="AF945" s="97" t="s">
        <v>3367</v>
      </c>
      <c r="AG945" s="76"/>
      <c r="AH945" s="76">
        <v>1</v>
      </c>
      <c r="AI945" s="76">
        <v>1</v>
      </c>
      <c r="AJ945" s="73"/>
      <c r="AK945" s="57"/>
      <c r="AL945" s="45"/>
      <c r="AM945" s="45"/>
      <c r="AN945" s="45"/>
    </row>
    <row r="946" spans="1:40" hidden="1" outlineLevel="2" x14ac:dyDescent="0.25">
      <c r="A946" s="45"/>
      <c r="B946" s="54"/>
      <c r="C946" s="47">
        <f t="shared" ref="C946:C984" si="238">INT($C$29)+2</f>
        <v>3</v>
      </c>
      <c r="D946" s="73"/>
      <c r="E946" s="70"/>
      <c r="F946" s="70" t="s">
        <v>3386</v>
      </c>
      <c r="G946" s="73"/>
      <c r="H946" s="76" t="s">
        <v>2511</v>
      </c>
      <c r="I946" s="96" t="s">
        <v>502</v>
      </c>
      <c r="J946" s="96"/>
      <c r="K946" s="76"/>
      <c r="L946" s="76"/>
      <c r="M946" s="76"/>
      <c r="N946" s="76"/>
      <c r="O946" s="76"/>
      <c r="P946" s="76"/>
      <c r="Q946" s="76"/>
      <c r="R946" s="76"/>
      <c r="S946" s="76"/>
      <c r="T946" s="76"/>
      <c r="U946" s="97">
        <v>0</v>
      </c>
      <c r="V946" s="255">
        <f t="shared" si="230"/>
        <v>0</v>
      </c>
      <c r="W946" s="255">
        <f t="shared" si="231"/>
        <v>0</v>
      </c>
      <c r="X946" s="255">
        <f t="shared" si="232"/>
        <v>0</v>
      </c>
      <c r="Y946" s="255">
        <f t="shared" si="233"/>
        <v>0</v>
      </c>
      <c r="Z946" s="255">
        <f t="shared" si="234"/>
        <v>0</v>
      </c>
      <c r="AA946" s="97">
        <f t="shared" ref="AA946:AA948" si="239">U946</f>
        <v>0</v>
      </c>
      <c r="AB946" s="255">
        <f t="shared" si="235"/>
        <v>0</v>
      </c>
      <c r="AC946" s="255">
        <f t="shared" si="236"/>
        <v>0</v>
      </c>
      <c r="AD946" s="255">
        <f t="shared" si="237"/>
        <v>0</v>
      </c>
      <c r="AE946" s="76"/>
      <c r="AF946" s="97" t="s">
        <v>3747</v>
      </c>
      <c r="AG946" s="76"/>
      <c r="AH946" s="97">
        <v>1</v>
      </c>
      <c r="AI946" s="97">
        <v>1</v>
      </c>
      <c r="AJ946" s="73"/>
      <c r="AK946" s="57"/>
      <c r="AL946" s="45"/>
      <c r="AM946" s="45"/>
      <c r="AN946" s="45"/>
    </row>
    <row r="947" spans="1:40" hidden="1" outlineLevel="2" x14ac:dyDescent="0.25">
      <c r="A947" s="45"/>
      <c r="B947" s="54"/>
      <c r="C947" s="47">
        <f t="shared" si="238"/>
        <v>3</v>
      </c>
      <c r="D947" s="73"/>
      <c r="E947" s="70"/>
      <c r="F947" s="70" t="s">
        <v>3387</v>
      </c>
      <c r="G947" s="73"/>
      <c r="H947" s="76" t="s">
        <v>2512</v>
      </c>
      <c r="I947" s="96" t="s">
        <v>502</v>
      </c>
      <c r="J947" s="96"/>
      <c r="K947" s="76"/>
      <c r="L947" s="76"/>
      <c r="M947" s="76"/>
      <c r="N947" s="76"/>
      <c r="O947" s="76"/>
      <c r="P947" s="76"/>
      <c r="Q947" s="76"/>
      <c r="R947" s="76"/>
      <c r="S947" s="76"/>
      <c r="T947" s="76"/>
      <c r="U947" s="97">
        <v>0.95</v>
      </c>
      <c r="V947" s="255">
        <f t="shared" si="230"/>
        <v>0.95</v>
      </c>
      <c r="W947" s="255">
        <f>U947</f>
        <v>0.95</v>
      </c>
      <c r="X947" s="255">
        <f>V947</f>
        <v>0.95</v>
      </c>
      <c r="Y947" s="255">
        <f>V947</f>
        <v>0.95</v>
      </c>
      <c r="Z947" s="255">
        <f t="shared" si="234"/>
        <v>0.95</v>
      </c>
      <c r="AA947" s="97">
        <f t="shared" si="239"/>
        <v>0.95</v>
      </c>
      <c r="AB947" s="255">
        <f t="shared" si="235"/>
        <v>0.95</v>
      </c>
      <c r="AC947" s="255">
        <f t="shared" si="236"/>
        <v>0.95</v>
      </c>
      <c r="AD947" s="255">
        <f t="shared" si="237"/>
        <v>0.95</v>
      </c>
      <c r="AE947" s="76"/>
      <c r="AF947" s="97"/>
      <c r="AG947" s="76"/>
      <c r="AH947" s="97">
        <v>1</v>
      </c>
      <c r="AI947" s="97">
        <v>1</v>
      </c>
      <c r="AJ947" s="73"/>
      <c r="AK947" s="57"/>
      <c r="AL947" s="45"/>
      <c r="AM947" s="45"/>
      <c r="AN947" s="45"/>
    </row>
    <row r="948" spans="1:40" hidden="1" outlineLevel="2" x14ac:dyDescent="0.25">
      <c r="A948" s="45"/>
      <c r="B948" s="54"/>
      <c r="C948" s="47">
        <f t="shared" si="238"/>
        <v>3</v>
      </c>
      <c r="D948" s="73"/>
      <c r="E948" s="70"/>
      <c r="F948" s="70" t="s">
        <v>3388</v>
      </c>
      <c r="G948" s="73"/>
      <c r="H948" s="76" t="s">
        <v>2513</v>
      </c>
      <c r="I948" s="96" t="s">
        <v>502</v>
      </c>
      <c r="J948" s="96"/>
      <c r="K948" s="76"/>
      <c r="L948" s="76"/>
      <c r="M948" s="76"/>
      <c r="N948" s="76"/>
      <c r="O948" s="76"/>
      <c r="P948" s="76"/>
      <c r="Q948" s="76"/>
      <c r="R948" s="76"/>
      <c r="S948" s="76"/>
      <c r="T948" s="76"/>
      <c r="U948" s="97">
        <v>1.6046</v>
      </c>
      <c r="V948" s="76">
        <f t="shared" si="230"/>
        <v>1.6046</v>
      </c>
      <c r="W948" s="76">
        <f>U948</f>
        <v>1.6046</v>
      </c>
      <c r="X948" s="76">
        <f>V948</f>
        <v>1.6046</v>
      </c>
      <c r="Y948" s="76">
        <f>V948</f>
        <v>1.6046</v>
      </c>
      <c r="Z948" s="76">
        <f t="shared" si="234"/>
        <v>1.6046</v>
      </c>
      <c r="AA948" s="97">
        <f t="shared" si="239"/>
        <v>1.6046</v>
      </c>
      <c r="AB948" s="76">
        <f t="shared" si="235"/>
        <v>1.6046</v>
      </c>
      <c r="AC948" s="76">
        <f t="shared" si="236"/>
        <v>1.6046</v>
      </c>
      <c r="AD948" s="76">
        <f t="shared" si="237"/>
        <v>1.6046</v>
      </c>
      <c r="AE948" s="76"/>
      <c r="AF948" s="264"/>
      <c r="AG948" s="76"/>
      <c r="AH948" s="76">
        <v>1</v>
      </c>
      <c r="AI948" s="76">
        <v>1</v>
      </c>
      <c r="AJ948" s="73"/>
      <c r="AK948" s="57"/>
      <c r="AL948" s="45"/>
      <c r="AM948" s="45"/>
      <c r="AN948" s="45"/>
    </row>
    <row r="949" spans="1:40" hidden="1" outlineLevel="2" x14ac:dyDescent="0.25">
      <c r="A949" s="45"/>
      <c r="B949" s="54"/>
      <c r="C949" s="47">
        <f t="shared" si="238"/>
        <v>3</v>
      </c>
      <c r="D949" s="73"/>
      <c r="E949" s="70"/>
      <c r="F949" s="70" t="s">
        <v>3389</v>
      </c>
      <c r="G949" s="73"/>
      <c r="H949" s="76" t="s">
        <v>3749</v>
      </c>
      <c r="I949" s="96" t="s">
        <v>502</v>
      </c>
      <c r="J949" s="96"/>
      <c r="K949" s="76"/>
      <c r="L949" s="76"/>
      <c r="M949" s="76"/>
      <c r="N949" s="76"/>
      <c r="O949" s="76"/>
      <c r="P949" s="76"/>
      <c r="Q949" s="76"/>
      <c r="R949" s="76"/>
      <c r="S949" s="76"/>
      <c r="T949" s="76"/>
      <c r="U949" s="97">
        <v>0</v>
      </c>
      <c r="V949" s="255">
        <f t="shared" ref="V949:V952" si="240">U949</f>
        <v>0</v>
      </c>
      <c r="W949" s="255">
        <f t="shared" ref="W949:W950" si="241">U949</f>
        <v>0</v>
      </c>
      <c r="X949" s="255">
        <f t="shared" ref="X949:X950" si="242">V949</f>
        <v>0</v>
      </c>
      <c r="Y949" s="255">
        <f t="shared" ref="Y949:Y950" si="243">V949</f>
        <v>0</v>
      </c>
      <c r="Z949" s="255">
        <f t="shared" ref="Z949:Z952" si="244">AA949</f>
        <v>0</v>
      </c>
      <c r="AA949" s="97">
        <f>U949</f>
        <v>0</v>
      </c>
      <c r="AB949" s="255">
        <f t="shared" ref="AB949:AB952" si="245">AA949</f>
        <v>0</v>
      </c>
      <c r="AC949" s="255">
        <f t="shared" ref="AC949:AC952" si="246">AB949</f>
        <v>0</v>
      </c>
      <c r="AD949" s="255">
        <f t="shared" ref="AD949:AD952" si="247">AC949</f>
        <v>0</v>
      </c>
      <c r="AE949" s="76"/>
      <c r="AF949" s="97" t="s">
        <v>3367</v>
      </c>
      <c r="AG949" s="76"/>
      <c r="AH949" s="76">
        <v>1</v>
      </c>
      <c r="AI949" s="76">
        <v>1</v>
      </c>
      <c r="AJ949" s="73"/>
      <c r="AK949" s="57"/>
      <c r="AL949" s="45"/>
      <c r="AM949" s="45"/>
      <c r="AN949" s="45"/>
    </row>
    <row r="950" spans="1:40" hidden="1" outlineLevel="2" x14ac:dyDescent="0.25">
      <c r="A950" s="45"/>
      <c r="B950" s="54"/>
      <c r="C950" s="47">
        <f t="shared" si="238"/>
        <v>3</v>
      </c>
      <c r="D950" s="73"/>
      <c r="E950" s="70"/>
      <c r="F950" s="70" t="s">
        <v>3390</v>
      </c>
      <c r="G950" s="73"/>
      <c r="H950" s="76" t="s">
        <v>2511</v>
      </c>
      <c r="I950" s="96" t="s">
        <v>502</v>
      </c>
      <c r="J950" s="96"/>
      <c r="K950" s="76"/>
      <c r="L950" s="76"/>
      <c r="M950" s="76"/>
      <c r="N950" s="76"/>
      <c r="O950" s="76"/>
      <c r="P950" s="76"/>
      <c r="Q950" s="76"/>
      <c r="R950" s="76"/>
      <c r="S950" s="76"/>
      <c r="T950" s="76"/>
      <c r="U950" s="97">
        <v>0</v>
      </c>
      <c r="V950" s="255">
        <f t="shared" si="240"/>
        <v>0</v>
      </c>
      <c r="W950" s="255">
        <f t="shared" si="241"/>
        <v>0</v>
      </c>
      <c r="X950" s="255">
        <f t="shared" si="242"/>
        <v>0</v>
      </c>
      <c r="Y950" s="255">
        <f t="shared" si="243"/>
        <v>0</v>
      </c>
      <c r="Z950" s="255">
        <f t="shared" si="244"/>
        <v>0</v>
      </c>
      <c r="AA950" s="97">
        <f t="shared" ref="AA950:AA951" si="248">U950</f>
        <v>0</v>
      </c>
      <c r="AB950" s="255">
        <f t="shared" si="245"/>
        <v>0</v>
      </c>
      <c r="AC950" s="255">
        <f t="shared" si="246"/>
        <v>0</v>
      </c>
      <c r="AD950" s="255">
        <f t="shared" si="247"/>
        <v>0</v>
      </c>
      <c r="AE950" s="76"/>
      <c r="AF950" s="97" t="s">
        <v>3384</v>
      </c>
      <c r="AG950" s="76"/>
      <c r="AH950" s="97">
        <v>1</v>
      </c>
      <c r="AI950" s="97">
        <v>1</v>
      </c>
      <c r="AJ950" s="73"/>
      <c r="AK950" s="57"/>
      <c r="AL950" s="45"/>
      <c r="AM950" s="45"/>
      <c r="AN950" s="45"/>
    </row>
    <row r="951" spans="1:40" hidden="1" outlineLevel="2" x14ac:dyDescent="0.25">
      <c r="A951" s="45"/>
      <c r="B951" s="54"/>
      <c r="C951" s="47">
        <f t="shared" si="238"/>
        <v>3</v>
      </c>
      <c r="D951" s="73"/>
      <c r="E951" s="70"/>
      <c r="F951" s="70" t="s">
        <v>3391</v>
      </c>
      <c r="G951" s="73"/>
      <c r="H951" s="76" t="s">
        <v>2512</v>
      </c>
      <c r="I951" s="96" t="s">
        <v>502</v>
      </c>
      <c r="J951" s="96"/>
      <c r="K951" s="76"/>
      <c r="L951" s="76"/>
      <c r="M951" s="76"/>
      <c r="N951" s="76"/>
      <c r="O951" s="76"/>
      <c r="P951" s="76"/>
      <c r="Q951" s="76"/>
      <c r="R951" s="76"/>
      <c r="S951" s="76"/>
      <c r="T951" s="76"/>
      <c r="U951" s="97">
        <v>0.1779</v>
      </c>
      <c r="V951" s="255">
        <f t="shared" si="240"/>
        <v>0.1779</v>
      </c>
      <c r="W951" s="255">
        <f>U951</f>
        <v>0.1779</v>
      </c>
      <c r="X951" s="255">
        <f>V951</f>
        <v>0.1779</v>
      </c>
      <c r="Y951" s="255">
        <f>V951</f>
        <v>0.1779</v>
      </c>
      <c r="Z951" s="255">
        <f t="shared" si="244"/>
        <v>0.1779</v>
      </c>
      <c r="AA951" s="97">
        <f t="shared" si="248"/>
        <v>0.1779</v>
      </c>
      <c r="AB951" s="255">
        <f t="shared" si="245"/>
        <v>0.1779</v>
      </c>
      <c r="AC951" s="255">
        <f t="shared" si="246"/>
        <v>0.1779</v>
      </c>
      <c r="AD951" s="255">
        <f t="shared" si="247"/>
        <v>0.1779</v>
      </c>
      <c r="AE951" s="76"/>
      <c r="AF951" s="97"/>
      <c r="AG951" s="76"/>
      <c r="AH951" s="97">
        <v>1</v>
      </c>
      <c r="AI951" s="97">
        <v>1</v>
      </c>
      <c r="AJ951" s="73"/>
      <c r="AK951" s="57"/>
      <c r="AL951" s="45"/>
      <c r="AM951" s="45"/>
      <c r="AN951" s="45"/>
    </row>
    <row r="952" spans="1:40" hidden="1" outlineLevel="2" x14ac:dyDescent="0.25">
      <c r="A952" s="45"/>
      <c r="B952" s="54"/>
      <c r="C952" s="47">
        <f t="shared" si="238"/>
        <v>3</v>
      </c>
      <c r="D952" s="73"/>
      <c r="E952" s="70"/>
      <c r="F952" s="70" t="s">
        <v>3392</v>
      </c>
      <c r="G952" s="73"/>
      <c r="H952" s="76" t="s">
        <v>2513</v>
      </c>
      <c r="I952" s="96" t="s">
        <v>502</v>
      </c>
      <c r="J952" s="96"/>
      <c r="K952" s="76"/>
      <c r="L952" s="76"/>
      <c r="M952" s="76"/>
      <c r="N952" s="76"/>
      <c r="O952" s="76"/>
      <c r="P952" s="76"/>
      <c r="Q952" s="76"/>
      <c r="R952" s="76"/>
      <c r="S952" s="76"/>
      <c r="T952" s="76"/>
      <c r="U952" s="253">
        <f>U951</f>
        <v>0.1779</v>
      </c>
      <c r="V952" s="76">
        <f t="shared" si="240"/>
        <v>0.1779</v>
      </c>
      <c r="W952" s="76">
        <f>U952</f>
        <v>0.1779</v>
      </c>
      <c r="X952" s="76">
        <f>V952</f>
        <v>0.1779</v>
      </c>
      <c r="Y952" s="76">
        <f>V952</f>
        <v>0.1779</v>
      </c>
      <c r="Z952" s="76">
        <f t="shared" si="244"/>
        <v>0.1779</v>
      </c>
      <c r="AA952" s="253">
        <f>AA951</f>
        <v>0.1779</v>
      </c>
      <c r="AB952" s="76">
        <f t="shared" si="245"/>
        <v>0.1779</v>
      </c>
      <c r="AC952" s="76">
        <f t="shared" si="246"/>
        <v>0.1779</v>
      </c>
      <c r="AD952" s="76">
        <f t="shared" si="247"/>
        <v>0.1779</v>
      </c>
      <c r="AE952" s="76"/>
      <c r="AF952" s="264" t="s">
        <v>3366</v>
      </c>
      <c r="AG952" s="76"/>
      <c r="AH952" s="76">
        <v>1</v>
      </c>
      <c r="AI952" s="76">
        <v>1</v>
      </c>
      <c r="AJ952" s="73"/>
      <c r="AK952" s="57"/>
      <c r="AL952" s="45"/>
      <c r="AM952" s="45"/>
      <c r="AN952" s="45"/>
    </row>
    <row r="953" spans="1:40" hidden="1" outlineLevel="2" x14ac:dyDescent="0.25">
      <c r="A953" s="45"/>
      <c r="B953" s="54"/>
      <c r="C953" s="47">
        <f t="shared" si="238"/>
        <v>3</v>
      </c>
      <c r="D953" s="73"/>
      <c r="E953" s="70"/>
      <c r="F953" s="70" t="s">
        <v>3393</v>
      </c>
      <c r="G953" s="73"/>
      <c r="H953" s="76" t="s">
        <v>3750</v>
      </c>
      <c r="I953" s="96" t="s">
        <v>502</v>
      </c>
      <c r="J953" s="96"/>
      <c r="K953" s="76"/>
      <c r="L953" s="76"/>
      <c r="M953" s="76"/>
      <c r="N953" s="76"/>
      <c r="O953" s="76"/>
      <c r="P953" s="76"/>
      <c r="Q953" s="76"/>
      <c r="R953" s="76"/>
      <c r="S953" s="76"/>
      <c r="T953" s="76"/>
      <c r="U953" s="97">
        <v>0</v>
      </c>
      <c r="V953" s="255">
        <f t="shared" ref="V953:V968" si="249">U953</f>
        <v>0</v>
      </c>
      <c r="W953" s="255">
        <f t="shared" ref="W953:W954" si="250">U953</f>
        <v>0</v>
      </c>
      <c r="X953" s="255">
        <f t="shared" ref="X953:X954" si="251">V953</f>
        <v>0</v>
      </c>
      <c r="Y953" s="255">
        <f t="shared" ref="Y953:Y954" si="252">V953</f>
        <v>0</v>
      </c>
      <c r="Z953" s="255">
        <f t="shared" ref="Z953:Z968" si="253">AA953</f>
        <v>0</v>
      </c>
      <c r="AA953" s="97">
        <f>U953</f>
        <v>0</v>
      </c>
      <c r="AB953" s="255">
        <f t="shared" ref="AB953:AB968" si="254">AA953</f>
        <v>0</v>
      </c>
      <c r="AC953" s="255">
        <f t="shared" ref="AC953:AC968" si="255">AB953</f>
        <v>0</v>
      </c>
      <c r="AD953" s="255">
        <f t="shared" ref="AD953:AD968" si="256">AC953</f>
        <v>0</v>
      </c>
      <c r="AE953" s="76"/>
      <c r="AF953" s="97" t="s">
        <v>3367</v>
      </c>
      <c r="AG953" s="76"/>
      <c r="AH953" s="76">
        <v>1</v>
      </c>
      <c r="AI953" s="76">
        <v>1</v>
      </c>
      <c r="AJ953" s="73"/>
      <c r="AK953" s="57"/>
      <c r="AL953" s="45"/>
      <c r="AM953" s="45"/>
      <c r="AN953" s="45"/>
    </row>
    <row r="954" spans="1:40" hidden="1" outlineLevel="2" x14ac:dyDescent="0.25">
      <c r="A954" s="45"/>
      <c r="B954" s="54"/>
      <c r="C954" s="47">
        <f t="shared" si="238"/>
        <v>3</v>
      </c>
      <c r="D954" s="73"/>
      <c r="E954" s="70"/>
      <c r="F954" s="70" t="s">
        <v>3394</v>
      </c>
      <c r="G954" s="73"/>
      <c r="H954" s="76" t="s">
        <v>2511</v>
      </c>
      <c r="I954" s="96" t="s">
        <v>502</v>
      </c>
      <c r="J954" s="96"/>
      <c r="K954" s="76"/>
      <c r="L954" s="76"/>
      <c r="M954" s="76"/>
      <c r="N954" s="76"/>
      <c r="O954" s="76"/>
      <c r="P954" s="76"/>
      <c r="Q954" s="76"/>
      <c r="R954" s="76"/>
      <c r="S954" s="76"/>
      <c r="T954" s="76"/>
      <c r="U954" s="97">
        <v>0</v>
      </c>
      <c r="V954" s="255">
        <f t="shared" si="249"/>
        <v>0</v>
      </c>
      <c r="W954" s="255">
        <f t="shared" si="250"/>
        <v>0</v>
      </c>
      <c r="X954" s="255">
        <f t="shared" si="251"/>
        <v>0</v>
      </c>
      <c r="Y954" s="255">
        <f t="shared" si="252"/>
        <v>0</v>
      </c>
      <c r="Z954" s="255">
        <f t="shared" si="253"/>
        <v>0</v>
      </c>
      <c r="AA954" s="97">
        <f t="shared" ref="AA954:AA955" si="257">U954</f>
        <v>0</v>
      </c>
      <c r="AB954" s="255">
        <f t="shared" si="254"/>
        <v>0</v>
      </c>
      <c r="AC954" s="255">
        <f t="shared" si="255"/>
        <v>0</v>
      </c>
      <c r="AD954" s="255">
        <f t="shared" si="256"/>
        <v>0</v>
      </c>
      <c r="AE954" s="76"/>
      <c r="AF954" s="97" t="s">
        <v>3384</v>
      </c>
      <c r="AG954" s="76"/>
      <c r="AH954" s="97">
        <v>1</v>
      </c>
      <c r="AI954" s="97">
        <v>1</v>
      </c>
      <c r="AJ954" s="73"/>
      <c r="AK954" s="57"/>
      <c r="AL954" s="45"/>
      <c r="AM954" s="45"/>
      <c r="AN954" s="45"/>
    </row>
    <row r="955" spans="1:40" hidden="1" outlineLevel="2" x14ac:dyDescent="0.25">
      <c r="A955" s="45"/>
      <c r="B955" s="54"/>
      <c r="C955" s="47">
        <f t="shared" si="238"/>
        <v>3</v>
      </c>
      <c r="D955" s="73"/>
      <c r="E955" s="70"/>
      <c r="F955" s="70" t="s">
        <v>3395</v>
      </c>
      <c r="G955" s="73"/>
      <c r="H955" s="76" t="s">
        <v>2512</v>
      </c>
      <c r="I955" s="96" t="s">
        <v>502</v>
      </c>
      <c r="J955" s="96"/>
      <c r="K955" s="76"/>
      <c r="L955" s="76"/>
      <c r="M955" s="76"/>
      <c r="N955" s="76"/>
      <c r="O955" s="76"/>
      <c r="P955" s="76"/>
      <c r="Q955" s="76"/>
      <c r="R955" s="76"/>
      <c r="S955" s="76"/>
      <c r="T955" s="76"/>
      <c r="U955" s="97">
        <v>-1.312E-3</v>
      </c>
      <c r="V955" s="255">
        <f t="shared" si="249"/>
        <v>-1.312E-3</v>
      </c>
      <c r="W955" s="255">
        <f>U955</f>
        <v>-1.312E-3</v>
      </c>
      <c r="X955" s="255">
        <f>V955</f>
        <v>-1.312E-3</v>
      </c>
      <c r="Y955" s="255">
        <f>V955</f>
        <v>-1.312E-3</v>
      </c>
      <c r="Z955" s="255">
        <f t="shared" si="253"/>
        <v>-1.312E-3</v>
      </c>
      <c r="AA955" s="97">
        <f t="shared" si="257"/>
        <v>-1.312E-3</v>
      </c>
      <c r="AB955" s="255">
        <f t="shared" si="254"/>
        <v>-1.312E-3</v>
      </c>
      <c r="AC955" s="255">
        <f t="shared" si="255"/>
        <v>-1.312E-3</v>
      </c>
      <c r="AD955" s="255">
        <f t="shared" si="256"/>
        <v>-1.312E-3</v>
      </c>
      <c r="AE955" s="76"/>
      <c r="AF955" s="97"/>
      <c r="AG955" s="76"/>
      <c r="AH955" s="97">
        <v>1</v>
      </c>
      <c r="AI955" s="97">
        <v>1</v>
      </c>
      <c r="AJ955" s="73"/>
      <c r="AK955" s="57"/>
      <c r="AL955" s="45"/>
      <c r="AM955" s="45"/>
      <c r="AN955" s="45"/>
    </row>
    <row r="956" spans="1:40" hidden="1" outlineLevel="2" x14ac:dyDescent="0.25">
      <c r="A956" s="45"/>
      <c r="B956" s="54"/>
      <c r="C956" s="47">
        <f t="shared" si="238"/>
        <v>3</v>
      </c>
      <c r="D956" s="73"/>
      <c r="E956" s="70"/>
      <c r="F956" s="70" t="s">
        <v>3396</v>
      </c>
      <c r="G956" s="73"/>
      <c r="H956" s="76" t="s">
        <v>2513</v>
      </c>
      <c r="I956" s="96" t="s">
        <v>502</v>
      </c>
      <c r="J956" s="96"/>
      <c r="K956" s="76"/>
      <c r="L956" s="76"/>
      <c r="M956" s="76"/>
      <c r="N956" s="76"/>
      <c r="O956" s="76"/>
      <c r="P956" s="76"/>
      <c r="Q956" s="76"/>
      <c r="R956" s="76"/>
      <c r="S956" s="76"/>
      <c r="T956" s="76"/>
      <c r="U956" s="253">
        <f>U955</f>
        <v>-1.312E-3</v>
      </c>
      <c r="V956" s="76">
        <f t="shared" si="249"/>
        <v>-1.312E-3</v>
      </c>
      <c r="W956" s="76">
        <f>U956</f>
        <v>-1.312E-3</v>
      </c>
      <c r="X956" s="76">
        <f>V956</f>
        <v>-1.312E-3</v>
      </c>
      <c r="Y956" s="76">
        <f>V956</f>
        <v>-1.312E-3</v>
      </c>
      <c r="Z956" s="76">
        <f t="shared" si="253"/>
        <v>-1.312E-3</v>
      </c>
      <c r="AA956" s="253">
        <f>AA955</f>
        <v>-1.312E-3</v>
      </c>
      <c r="AB956" s="76">
        <f t="shared" si="254"/>
        <v>-1.312E-3</v>
      </c>
      <c r="AC956" s="76">
        <f t="shared" si="255"/>
        <v>-1.312E-3</v>
      </c>
      <c r="AD956" s="76">
        <f t="shared" si="256"/>
        <v>-1.312E-3</v>
      </c>
      <c r="AE956" s="76"/>
      <c r="AF956" s="264" t="s">
        <v>3366</v>
      </c>
      <c r="AG956" s="76"/>
      <c r="AH956" s="76">
        <v>1</v>
      </c>
      <c r="AI956" s="76">
        <v>1</v>
      </c>
      <c r="AJ956" s="73"/>
      <c r="AK956" s="57"/>
      <c r="AL956" s="45"/>
      <c r="AM956" s="45"/>
      <c r="AN956" s="45"/>
    </row>
    <row r="957" spans="1:40" hidden="1" outlineLevel="2" x14ac:dyDescent="0.25">
      <c r="A957" s="45"/>
      <c r="B957" s="54"/>
      <c r="C957" s="47">
        <f t="shared" si="238"/>
        <v>3</v>
      </c>
      <c r="D957" s="73"/>
      <c r="E957" s="70"/>
      <c r="F957" s="70" t="s">
        <v>3397</v>
      </c>
      <c r="G957" s="73"/>
      <c r="H957" s="76" t="s">
        <v>3751</v>
      </c>
      <c r="I957" s="96" t="s">
        <v>502</v>
      </c>
      <c r="J957" s="96"/>
      <c r="K957" s="76"/>
      <c r="L957" s="76"/>
      <c r="M957" s="76"/>
      <c r="N957" s="76"/>
      <c r="O957" s="76"/>
      <c r="P957" s="76"/>
      <c r="Q957" s="76"/>
      <c r="R957" s="76"/>
      <c r="S957" s="76"/>
      <c r="T957" s="76"/>
      <c r="U957" s="97">
        <v>0</v>
      </c>
      <c r="V957" s="255">
        <f t="shared" si="249"/>
        <v>0</v>
      </c>
      <c r="W957" s="255">
        <f t="shared" ref="W957:W958" si="258">U957</f>
        <v>0</v>
      </c>
      <c r="X957" s="255">
        <f t="shared" ref="X957:X958" si="259">V957</f>
        <v>0</v>
      </c>
      <c r="Y957" s="255">
        <f t="shared" ref="Y957:Y958" si="260">V957</f>
        <v>0</v>
      </c>
      <c r="Z957" s="255">
        <f t="shared" si="253"/>
        <v>0</v>
      </c>
      <c r="AA957" s="97">
        <f>U957</f>
        <v>0</v>
      </c>
      <c r="AB957" s="255">
        <f t="shared" si="254"/>
        <v>0</v>
      </c>
      <c r="AC957" s="255">
        <f t="shared" si="255"/>
        <v>0</v>
      </c>
      <c r="AD957" s="255">
        <f t="shared" si="256"/>
        <v>0</v>
      </c>
      <c r="AE957" s="76"/>
      <c r="AF957" s="97" t="s">
        <v>3367</v>
      </c>
      <c r="AG957" s="76"/>
      <c r="AH957" s="76">
        <v>1</v>
      </c>
      <c r="AI957" s="76">
        <v>1</v>
      </c>
      <c r="AJ957" s="73"/>
      <c r="AK957" s="57"/>
      <c r="AL957" s="45"/>
      <c r="AM957" s="45"/>
      <c r="AN957" s="45"/>
    </row>
    <row r="958" spans="1:40" hidden="1" outlineLevel="2" x14ac:dyDescent="0.25">
      <c r="A958" s="45"/>
      <c r="B958" s="54"/>
      <c r="C958" s="47">
        <f t="shared" si="238"/>
        <v>3</v>
      </c>
      <c r="D958" s="73"/>
      <c r="E958" s="70"/>
      <c r="F958" s="70" t="s">
        <v>3398</v>
      </c>
      <c r="G958" s="73"/>
      <c r="H958" s="76" t="s">
        <v>2511</v>
      </c>
      <c r="I958" s="96" t="s">
        <v>502</v>
      </c>
      <c r="J958" s="96"/>
      <c r="K958" s="76"/>
      <c r="L958" s="76"/>
      <c r="M958" s="76"/>
      <c r="N958" s="76"/>
      <c r="O958" s="76"/>
      <c r="P958" s="76"/>
      <c r="Q958" s="76"/>
      <c r="R958" s="76"/>
      <c r="S958" s="76"/>
      <c r="T958" s="76"/>
      <c r="U958" s="97">
        <v>0</v>
      </c>
      <c r="V958" s="255">
        <f t="shared" si="249"/>
        <v>0</v>
      </c>
      <c r="W958" s="255">
        <f t="shared" si="258"/>
        <v>0</v>
      </c>
      <c r="X958" s="255">
        <f t="shared" si="259"/>
        <v>0</v>
      </c>
      <c r="Y958" s="255">
        <f t="shared" si="260"/>
        <v>0</v>
      </c>
      <c r="Z958" s="255">
        <f t="shared" si="253"/>
        <v>0</v>
      </c>
      <c r="AA958" s="97">
        <f t="shared" ref="AA958:AA959" si="261">U958</f>
        <v>0</v>
      </c>
      <c r="AB958" s="255">
        <f t="shared" si="254"/>
        <v>0</v>
      </c>
      <c r="AC958" s="255">
        <f t="shared" si="255"/>
        <v>0</v>
      </c>
      <c r="AD958" s="255">
        <f t="shared" si="256"/>
        <v>0</v>
      </c>
      <c r="AE958" s="76"/>
      <c r="AF958" s="97" t="s">
        <v>3384</v>
      </c>
      <c r="AG958" s="76"/>
      <c r="AH958" s="97">
        <v>1</v>
      </c>
      <c r="AI958" s="97">
        <v>1</v>
      </c>
      <c r="AJ958" s="73"/>
      <c r="AK958" s="57"/>
      <c r="AL958" s="45"/>
      <c r="AM958" s="45"/>
      <c r="AN958" s="45"/>
    </row>
    <row r="959" spans="1:40" hidden="1" outlineLevel="2" x14ac:dyDescent="0.25">
      <c r="A959" s="45"/>
      <c r="B959" s="54"/>
      <c r="C959" s="47">
        <f t="shared" si="238"/>
        <v>3</v>
      </c>
      <c r="D959" s="73"/>
      <c r="E959" s="70"/>
      <c r="F959" s="70" t="s">
        <v>3399</v>
      </c>
      <c r="G959" s="73"/>
      <c r="H959" s="76" t="s">
        <v>2512</v>
      </c>
      <c r="I959" s="96" t="s">
        <v>502</v>
      </c>
      <c r="J959" s="96"/>
      <c r="K959" s="76"/>
      <c r="L959" s="76"/>
      <c r="M959" s="76"/>
      <c r="N959" s="76"/>
      <c r="O959" s="76"/>
      <c r="P959" s="76"/>
      <c r="Q959" s="76"/>
      <c r="R959" s="76"/>
      <c r="S959" s="76"/>
      <c r="T959" s="76"/>
      <c r="U959" s="97">
        <v>-5.5010000000000003E-2</v>
      </c>
      <c r="V959" s="255">
        <f t="shared" si="249"/>
        <v>-5.5010000000000003E-2</v>
      </c>
      <c r="W959" s="255">
        <f>U959</f>
        <v>-5.5010000000000003E-2</v>
      </c>
      <c r="X959" s="255">
        <f>V959</f>
        <v>-5.5010000000000003E-2</v>
      </c>
      <c r="Y959" s="255">
        <f>V959</f>
        <v>-5.5010000000000003E-2</v>
      </c>
      <c r="Z959" s="255">
        <f t="shared" si="253"/>
        <v>-5.5010000000000003E-2</v>
      </c>
      <c r="AA959" s="97">
        <f t="shared" si="261"/>
        <v>-5.5010000000000003E-2</v>
      </c>
      <c r="AB959" s="255">
        <f t="shared" si="254"/>
        <v>-5.5010000000000003E-2</v>
      </c>
      <c r="AC959" s="255">
        <f t="shared" si="255"/>
        <v>-5.5010000000000003E-2</v>
      </c>
      <c r="AD959" s="255">
        <f t="shared" si="256"/>
        <v>-5.5010000000000003E-2</v>
      </c>
      <c r="AE959" s="76"/>
      <c r="AF959" s="97"/>
      <c r="AG959" s="76"/>
      <c r="AH959" s="97">
        <v>1</v>
      </c>
      <c r="AI959" s="97">
        <v>1</v>
      </c>
      <c r="AJ959" s="73"/>
      <c r="AK959" s="57"/>
      <c r="AL959" s="45"/>
      <c r="AM959" s="45"/>
      <c r="AN959" s="45"/>
    </row>
    <row r="960" spans="1:40" hidden="1" outlineLevel="2" x14ac:dyDescent="0.25">
      <c r="A960" s="45"/>
      <c r="B960" s="54"/>
      <c r="C960" s="47">
        <f t="shared" si="238"/>
        <v>3</v>
      </c>
      <c r="D960" s="73"/>
      <c r="E960" s="70"/>
      <c r="F960" s="70" t="s">
        <v>3400</v>
      </c>
      <c r="G960" s="73"/>
      <c r="H960" s="76" t="s">
        <v>2513</v>
      </c>
      <c r="I960" s="96" t="s">
        <v>502</v>
      </c>
      <c r="J960" s="96"/>
      <c r="K960" s="76"/>
      <c r="L960" s="76"/>
      <c r="M960" s="76"/>
      <c r="N960" s="76"/>
      <c r="O960" s="76"/>
      <c r="P960" s="76"/>
      <c r="Q960" s="76"/>
      <c r="R960" s="76"/>
      <c r="S960" s="76"/>
      <c r="T960" s="76"/>
      <c r="U960" s="253">
        <f>U959</f>
        <v>-5.5010000000000003E-2</v>
      </c>
      <c r="V960" s="76">
        <f t="shared" si="249"/>
        <v>-5.5010000000000003E-2</v>
      </c>
      <c r="W960" s="76">
        <f>U960</f>
        <v>-5.5010000000000003E-2</v>
      </c>
      <c r="X960" s="76">
        <f>V960</f>
        <v>-5.5010000000000003E-2</v>
      </c>
      <c r="Y960" s="76">
        <f>V960</f>
        <v>-5.5010000000000003E-2</v>
      </c>
      <c r="Z960" s="76">
        <f t="shared" si="253"/>
        <v>-5.5010000000000003E-2</v>
      </c>
      <c r="AA960" s="253">
        <f>AA959</f>
        <v>-5.5010000000000003E-2</v>
      </c>
      <c r="AB960" s="76">
        <f t="shared" si="254"/>
        <v>-5.5010000000000003E-2</v>
      </c>
      <c r="AC960" s="76">
        <f t="shared" si="255"/>
        <v>-5.5010000000000003E-2</v>
      </c>
      <c r="AD960" s="76">
        <f t="shared" si="256"/>
        <v>-5.5010000000000003E-2</v>
      </c>
      <c r="AE960" s="76"/>
      <c r="AF960" s="264" t="s">
        <v>3366</v>
      </c>
      <c r="AG960" s="76"/>
      <c r="AH960" s="76">
        <v>1</v>
      </c>
      <c r="AI960" s="76">
        <v>1</v>
      </c>
      <c r="AJ960" s="73"/>
      <c r="AK960" s="57"/>
      <c r="AL960" s="45"/>
      <c r="AM960" s="45"/>
      <c r="AN960" s="45"/>
    </row>
    <row r="961" spans="1:40" hidden="1" outlineLevel="2" x14ac:dyDescent="0.25">
      <c r="A961" s="45"/>
      <c r="B961" s="54"/>
      <c r="C961" s="47">
        <f t="shared" si="238"/>
        <v>3</v>
      </c>
      <c r="D961" s="73"/>
      <c r="E961" s="70"/>
      <c r="F961" s="70" t="s">
        <v>3401</v>
      </c>
      <c r="G961" s="73"/>
      <c r="H961" s="76" t="s">
        <v>3752</v>
      </c>
      <c r="I961" s="96" t="s">
        <v>502</v>
      </c>
      <c r="J961" s="96"/>
      <c r="K961" s="76"/>
      <c r="L961" s="76"/>
      <c r="M961" s="76"/>
      <c r="N961" s="76"/>
      <c r="O961" s="76"/>
      <c r="P961" s="76"/>
      <c r="Q961" s="76"/>
      <c r="R961" s="76"/>
      <c r="S961" s="76"/>
      <c r="T961" s="76"/>
      <c r="U961" s="97">
        <v>0</v>
      </c>
      <c r="V961" s="255">
        <f t="shared" ref="V961:V964" si="262">U961</f>
        <v>0</v>
      </c>
      <c r="W961" s="255">
        <f t="shared" ref="W961:W962" si="263">U961</f>
        <v>0</v>
      </c>
      <c r="X961" s="255">
        <f t="shared" ref="X961:X962" si="264">V961</f>
        <v>0</v>
      </c>
      <c r="Y961" s="255">
        <f t="shared" ref="Y961:Y962" si="265">V961</f>
        <v>0</v>
      </c>
      <c r="Z961" s="255">
        <f t="shared" ref="Z961:Z964" si="266">AA961</f>
        <v>0</v>
      </c>
      <c r="AA961" s="97">
        <f>U961</f>
        <v>0</v>
      </c>
      <c r="AB961" s="255">
        <f t="shared" ref="AB961:AB964" si="267">AA961</f>
        <v>0</v>
      </c>
      <c r="AC961" s="255">
        <f t="shared" ref="AC961:AC964" si="268">AB961</f>
        <v>0</v>
      </c>
      <c r="AD961" s="255">
        <f t="shared" ref="AD961:AD964" si="269">AC961</f>
        <v>0</v>
      </c>
      <c r="AE961" s="76"/>
      <c r="AF961" s="97" t="s">
        <v>3367</v>
      </c>
      <c r="AG961" s="76"/>
      <c r="AH961" s="76">
        <v>1</v>
      </c>
      <c r="AI961" s="76">
        <v>1</v>
      </c>
      <c r="AJ961" s="73"/>
      <c r="AK961" s="57"/>
      <c r="AL961" s="45"/>
      <c r="AM961" s="45"/>
      <c r="AN961" s="45"/>
    </row>
    <row r="962" spans="1:40" hidden="1" outlineLevel="2" x14ac:dyDescent="0.25">
      <c r="A962" s="45"/>
      <c r="B962" s="54"/>
      <c r="C962" s="47">
        <f t="shared" si="238"/>
        <v>3</v>
      </c>
      <c r="D962" s="73"/>
      <c r="E962" s="70"/>
      <c r="F962" s="70" t="s">
        <v>3402</v>
      </c>
      <c r="G962" s="73"/>
      <c r="H962" s="76" t="s">
        <v>2511</v>
      </c>
      <c r="I962" s="96" t="s">
        <v>502</v>
      </c>
      <c r="J962" s="96"/>
      <c r="K962" s="76"/>
      <c r="L962" s="76"/>
      <c r="M962" s="76"/>
      <c r="N962" s="76"/>
      <c r="O962" s="76"/>
      <c r="P962" s="76"/>
      <c r="Q962" s="76"/>
      <c r="R962" s="76"/>
      <c r="S962" s="76"/>
      <c r="T962" s="76"/>
      <c r="U962" s="97">
        <v>0</v>
      </c>
      <c r="V962" s="255">
        <f t="shared" si="262"/>
        <v>0</v>
      </c>
      <c r="W962" s="255">
        <f t="shared" si="263"/>
        <v>0</v>
      </c>
      <c r="X962" s="255">
        <f t="shared" si="264"/>
        <v>0</v>
      </c>
      <c r="Y962" s="255">
        <f t="shared" si="265"/>
        <v>0</v>
      </c>
      <c r="Z962" s="255">
        <f t="shared" si="266"/>
        <v>0</v>
      </c>
      <c r="AA962" s="97">
        <f t="shared" ref="AA962:AA963" si="270">U962</f>
        <v>0</v>
      </c>
      <c r="AB962" s="255">
        <f t="shared" si="267"/>
        <v>0</v>
      </c>
      <c r="AC962" s="255">
        <f t="shared" si="268"/>
        <v>0</v>
      </c>
      <c r="AD962" s="255">
        <f t="shared" si="269"/>
        <v>0</v>
      </c>
      <c r="AE962" s="76"/>
      <c r="AF962" s="97" t="s">
        <v>3384</v>
      </c>
      <c r="AG962" s="76"/>
      <c r="AH962" s="97">
        <v>1</v>
      </c>
      <c r="AI962" s="97">
        <v>1</v>
      </c>
      <c r="AJ962" s="73"/>
      <c r="AK962" s="57"/>
      <c r="AL962" s="45"/>
      <c r="AM962" s="45"/>
      <c r="AN962" s="45"/>
    </row>
    <row r="963" spans="1:40" hidden="1" outlineLevel="2" x14ac:dyDescent="0.25">
      <c r="A963" s="45"/>
      <c r="B963" s="54"/>
      <c r="C963" s="47">
        <f t="shared" si="238"/>
        <v>3</v>
      </c>
      <c r="D963" s="73"/>
      <c r="E963" s="70"/>
      <c r="F963" s="70" t="s">
        <v>3403</v>
      </c>
      <c r="G963" s="73"/>
      <c r="H963" s="76" t="s">
        <v>2512</v>
      </c>
      <c r="I963" s="96" t="s">
        <v>502</v>
      </c>
      <c r="J963" s="96"/>
      <c r="K963" s="76"/>
      <c r="L963" s="76"/>
      <c r="M963" s="76"/>
      <c r="N963" s="76"/>
      <c r="O963" s="76"/>
      <c r="P963" s="76"/>
      <c r="Q963" s="76"/>
      <c r="R963" s="76"/>
      <c r="S963" s="76"/>
      <c r="T963" s="76"/>
      <c r="U963" s="97">
        <v>0</v>
      </c>
      <c r="V963" s="255">
        <f t="shared" si="262"/>
        <v>0</v>
      </c>
      <c r="W963" s="255">
        <f>U963</f>
        <v>0</v>
      </c>
      <c r="X963" s="255">
        <f>V963</f>
        <v>0</v>
      </c>
      <c r="Y963" s="255">
        <f>V963</f>
        <v>0</v>
      </c>
      <c r="Z963" s="255">
        <f t="shared" si="266"/>
        <v>0</v>
      </c>
      <c r="AA963" s="97">
        <f t="shared" si="270"/>
        <v>0</v>
      </c>
      <c r="AB963" s="255">
        <f t="shared" si="267"/>
        <v>0</v>
      </c>
      <c r="AC963" s="255">
        <f t="shared" si="268"/>
        <v>0</v>
      </c>
      <c r="AD963" s="255">
        <f t="shared" si="269"/>
        <v>0</v>
      </c>
      <c r="AE963" s="76"/>
      <c r="AF963" s="97"/>
      <c r="AG963" s="76"/>
      <c r="AH963" s="97">
        <v>1</v>
      </c>
      <c r="AI963" s="97">
        <v>1</v>
      </c>
      <c r="AJ963" s="73"/>
      <c r="AK963" s="57"/>
      <c r="AL963" s="45"/>
      <c r="AM963" s="45"/>
      <c r="AN963" s="45"/>
    </row>
    <row r="964" spans="1:40" hidden="1" outlineLevel="2" x14ac:dyDescent="0.25">
      <c r="A964" s="45"/>
      <c r="B964" s="54"/>
      <c r="C964" s="47">
        <f t="shared" si="238"/>
        <v>3</v>
      </c>
      <c r="D964" s="73"/>
      <c r="E964" s="70"/>
      <c r="F964" s="70" t="s">
        <v>3404</v>
      </c>
      <c r="G964" s="73"/>
      <c r="H964" s="76" t="s">
        <v>2513</v>
      </c>
      <c r="I964" s="96" t="s">
        <v>502</v>
      </c>
      <c r="J964" s="96"/>
      <c r="K964" s="76"/>
      <c r="L964" s="76"/>
      <c r="M964" s="76"/>
      <c r="N964" s="76"/>
      <c r="O964" s="76"/>
      <c r="P964" s="76"/>
      <c r="Q964" s="76"/>
      <c r="R964" s="76"/>
      <c r="S964" s="76"/>
      <c r="T964" s="76"/>
      <c r="U964" s="253">
        <f>U963</f>
        <v>0</v>
      </c>
      <c r="V964" s="76">
        <f t="shared" si="262"/>
        <v>0</v>
      </c>
      <c r="W964" s="76">
        <f>U964</f>
        <v>0</v>
      </c>
      <c r="X964" s="76">
        <f>V964</f>
        <v>0</v>
      </c>
      <c r="Y964" s="76">
        <f>V964</f>
        <v>0</v>
      </c>
      <c r="Z964" s="76">
        <f t="shared" si="266"/>
        <v>0</v>
      </c>
      <c r="AA964" s="253">
        <f>AA963</f>
        <v>0</v>
      </c>
      <c r="AB964" s="76">
        <f t="shared" si="267"/>
        <v>0</v>
      </c>
      <c r="AC964" s="76">
        <f t="shared" si="268"/>
        <v>0</v>
      </c>
      <c r="AD964" s="76">
        <f t="shared" si="269"/>
        <v>0</v>
      </c>
      <c r="AE964" s="76"/>
      <c r="AF964" s="264" t="s">
        <v>3366</v>
      </c>
      <c r="AG964" s="76"/>
      <c r="AH964" s="76">
        <v>1</v>
      </c>
      <c r="AI964" s="76">
        <v>1</v>
      </c>
      <c r="AJ964" s="73"/>
      <c r="AK964" s="57"/>
      <c r="AL964" s="45"/>
      <c r="AM964" s="45"/>
      <c r="AN964" s="45"/>
    </row>
    <row r="965" spans="1:40" hidden="1" outlineLevel="2" x14ac:dyDescent="0.25">
      <c r="A965" s="45"/>
      <c r="B965" s="54"/>
      <c r="C965" s="47">
        <f t="shared" si="238"/>
        <v>3</v>
      </c>
      <c r="D965" s="73"/>
      <c r="E965" s="70"/>
      <c r="F965" s="70" t="s">
        <v>3405</v>
      </c>
      <c r="G965" s="73"/>
      <c r="H965" s="76" t="s">
        <v>3753</v>
      </c>
      <c r="I965" s="96" t="s">
        <v>502</v>
      </c>
      <c r="J965" s="96"/>
      <c r="K965" s="76"/>
      <c r="L965" s="76"/>
      <c r="M965" s="76"/>
      <c r="N965" s="76"/>
      <c r="O965" s="76"/>
      <c r="P965" s="76"/>
      <c r="Q965" s="76"/>
      <c r="R965" s="76"/>
      <c r="S965" s="76"/>
      <c r="T965" s="76"/>
      <c r="U965" s="97">
        <v>0</v>
      </c>
      <c r="V965" s="255">
        <f t="shared" si="249"/>
        <v>0</v>
      </c>
      <c r="W965" s="255">
        <f t="shared" ref="W965:W966" si="271">U965</f>
        <v>0</v>
      </c>
      <c r="X965" s="255">
        <f t="shared" ref="X965:X966" si="272">V965</f>
        <v>0</v>
      </c>
      <c r="Y965" s="255">
        <f t="shared" ref="Y965:Y966" si="273">V965</f>
        <v>0</v>
      </c>
      <c r="Z965" s="255">
        <f t="shared" si="253"/>
        <v>0</v>
      </c>
      <c r="AA965" s="97">
        <f>U965</f>
        <v>0</v>
      </c>
      <c r="AB965" s="255">
        <f t="shared" si="254"/>
        <v>0</v>
      </c>
      <c r="AC965" s="255">
        <f t="shared" si="255"/>
        <v>0</v>
      </c>
      <c r="AD965" s="255">
        <f t="shared" si="256"/>
        <v>0</v>
      </c>
      <c r="AE965" s="76"/>
      <c r="AF965" s="97" t="s">
        <v>3367</v>
      </c>
      <c r="AG965" s="76"/>
      <c r="AH965" s="76">
        <v>1</v>
      </c>
      <c r="AI965" s="76">
        <v>1</v>
      </c>
      <c r="AJ965" s="73"/>
      <c r="AK965" s="57"/>
      <c r="AL965" s="45"/>
      <c r="AM965" s="45"/>
      <c r="AN965" s="45"/>
    </row>
    <row r="966" spans="1:40" hidden="1" outlineLevel="2" x14ac:dyDescent="0.25">
      <c r="A966" s="45"/>
      <c r="B966" s="54"/>
      <c r="C966" s="47">
        <f t="shared" si="238"/>
        <v>3</v>
      </c>
      <c r="D966" s="73"/>
      <c r="E966" s="70"/>
      <c r="F966" s="70" t="s">
        <v>3406</v>
      </c>
      <c r="G966" s="73"/>
      <c r="H966" s="76" t="s">
        <v>2511</v>
      </c>
      <c r="I966" s="96" t="s">
        <v>502</v>
      </c>
      <c r="J966" s="96"/>
      <c r="K966" s="76"/>
      <c r="L966" s="76"/>
      <c r="M966" s="76"/>
      <c r="N966" s="76"/>
      <c r="O966" s="76"/>
      <c r="P966" s="76"/>
      <c r="Q966" s="76"/>
      <c r="R966" s="76"/>
      <c r="S966" s="76"/>
      <c r="T966" s="76"/>
      <c r="U966" s="97">
        <v>0</v>
      </c>
      <c r="V966" s="255">
        <f t="shared" si="249"/>
        <v>0</v>
      </c>
      <c r="W966" s="255">
        <f t="shared" si="271"/>
        <v>0</v>
      </c>
      <c r="X966" s="255">
        <f t="shared" si="272"/>
        <v>0</v>
      </c>
      <c r="Y966" s="255">
        <f t="shared" si="273"/>
        <v>0</v>
      </c>
      <c r="Z966" s="255">
        <f t="shared" si="253"/>
        <v>0</v>
      </c>
      <c r="AA966" s="97">
        <f t="shared" ref="AA966:AA967" si="274">U966</f>
        <v>0</v>
      </c>
      <c r="AB966" s="255">
        <f t="shared" si="254"/>
        <v>0</v>
      </c>
      <c r="AC966" s="255">
        <f t="shared" si="255"/>
        <v>0</v>
      </c>
      <c r="AD966" s="255">
        <f t="shared" si="256"/>
        <v>0</v>
      </c>
      <c r="AE966" s="76"/>
      <c r="AF966" s="97" t="s">
        <v>3384</v>
      </c>
      <c r="AG966" s="76"/>
      <c r="AH966" s="97">
        <v>1</v>
      </c>
      <c r="AI966" s="97">
        <v>1</v>
      </c>
      <c r="AJ966" s="73"/>
      <c r="AK966" s="57"/>
      <c r="AL966" s="45"/>
      <c r="AM966" s="45"/>
      <c r="AN966" s="45"/>
    </row>
    <row r="967" spans="1:40" hidden="1" outlineLevel="2" x14ac:dyDescent="0.25">
      <c r="A967" s="45"/>
      <c r="B967" s="54"/>
      <c r="C967" s="47">
        <f t="shared" si="238"/>
        <v>3</v>
      </c>
      <c r="D967" s="73"/>
      <c r="E967" s="70"/>
      <c r="F967" s="70" t="s">
        <v>3407</v>
      </c>
      <c r="G967" s="73"/>
      <c r="H967" s="76" t="s">
        <v>2512</v>
      </c>
      <c r="I967" s="96" t="s">
        <v>502</v>
      </c>
      <c r="J967" s="96"/>
      <c r="K967" s="76"/>
      <c r="L967" s="76"/>
      <c r="M967" s="76"/>
      <c r="N967" s="76"/>
      <c r="O967" s="76"/>
      <c r="P967" s="76"/>
      <c r="Q967" s="76"/>
      <c r="R967" s="76"/>
      <c r="S967" s="76"/>
      <c r="T967" s="76"/>
      <c r="U967" s="97">
        <v>9.2600000000000002E-2</v>
      </c>
      <c r="V967" s="255">
        <f t="shared" si="249"/>
        <v>9.2600000000000002E-2</v>
      </c>
      <c r="W967" s="255">
        <f>U967</f>
        <v>9.2600000000000002E-2</v>
      </c>
      <c r="X967" s="255">
        <f>V967</f>
        <v>9.2600000000000002E-2</v>
      </c>
      <c r="Y967" s="255">
        <f>V967</f>
        <v>9.2600000000000002E-2</v>
      </c>
      <c r="Z967" s="255">
        <f t="shared" si="253"/>
        <v>9.2600000000000002E-2</v>
      </c>
      <c r="AA967" s="97">
        <f t="shared" si="274"/>
        <v>9.2600000000000002E-2</v>
      </c>
      <c r="AB967" s="255">
        <f t="shared" si="254"/>
        <v>9.2600000000000002E-2</v>
      </c>
      <c r="AC967" s="255">
        <f t="shared" si="255"/>
        <v>9.2600000000000002E-2</v>
      </c>
      <c r="AD967" s="255">
        <f t="shared" si="256"/>
        <v>9.2600000000000002E-2</v>
      </c>
      <c r="AE967" s="76"/>
      <c r="AF967" s="97"/>
      <c r="AG967" s="76"/>
      <c r="AH967" s="97">
        <v>1</v>
      </c>
      <c r="AI967" s="97">
        <v>1</v>
      </c>
      <c r="AJ967" s="73"/>
      <c r="AK967" s="57"/>
      <c r="AL967" s="45"/>
      <c r="AM967" s="45"/>
      <c r="AN967" s="45"/>
    </row>
    <row r="968" spans="1:40" hidden="1" outlineLevel="2" x14ac:dyDescent="0.25">
      <c r="A968" s="45"/>
      <c r="B968" s="54"/>
      <c r="C968" s="47">
        <f t="shared" si="238"/>
        <v>3</v>
      </c>
      <c r="D968" s="73"/>
      <c r="E968" s="70"/>
      <c r="F968" s="70" t="s">
        <v>3408</v>
      </c>
      <c r="G968" s="73"/>
      <c r="H968" s="76" t="s">
        <v>2513</v>
      </c>
      <c r="I968" s="96" t="s">
        <v>502</v>
      </c>
      <c r="J968" s="96"/>
      <c r="K968" s="76"/>
      <c r="L968" s="76"/>
      <c r="M968" s="76"/>
      <c r="N968" s="76"/>
      <c r="O968" s="76"/>
      <c r="P968" s="76"/>
      <c r="Q968" s="76"/>
      <c r="R968" s="76"/>
      <c r="S968" s="76"/>
      <c r="T968" s="76"/>
      <c r="U968" s="253">
        <f>U967</f>
        <v>9.2600000000000002E-2</v>
      </c>
      <c r="V968" s="76">
        <f t="shared" si="249"/>
        <v>9.2600000000000002E-2</v>
      </c>
      <c r="W968" s="76">
        <f>U968</f>
        <v>9.2600000000000002E-2</v>
      </c>
      <c r="X968" s="76">
        <f>V968</f>
        <v>9.2600000000000002E-2</v>
      </c>
      <c r="Y968" s="76">
        <f>V968</f>
        <v>9.2600000000000002E-2</v>
      </c>
      <c r="Z968" s="76">
        <f t="shared" si="253"/>
        <v>9.2600000000000002E-2</v>
      </c>
      <c r="AA968" s="253">
        <f>AA967</f>
        <v>9.2600000000000002E-2</v>
      </c>
      <c r="AB968" s="76">
        <f t="shared" si="254"/>
        <v>9.2600000000000002E-2</v>
      </c>
      <c r="AC968" s="76">
        <f t="shared" si="255"/>
        <v>9.2600000000000002E-2</v>
      </c>
      <c r="AD968" s="76">
        <f t="shared" si="256"/>
        <v>9.2600000000000002E-2</v>
      </c>
      <c r="AE968" s="76"/>
      <c r="AF968" s="264" t="s">
        <v>3366</v>
      </c>
      <c r="AG968" s="76"/>
      <c r="AH968" s="76">
        <v>1</v>
      </c>
      <c r="AI968" s="76">
        <v>1</v>
      </c>
      <c r="AJ968" s="73"/>
      <c r="AK968" s="57"/>
      <c r="AL968" s="45"/>
      <c r="AM968" s="45"/>
      <c r="AN968" s="45"/>
    </row>
    <row r="969" spans="1:40" hidden="1" outlineLevel="2" x14ac:dyDescent="0.25">
      <c r="A969" s="45"/>
      <c r="B969" s="54"/>
      <c r="C969" s="47">
        <f t="shared" si="238"/>
        <v>3</v>
      </c>
      <c r="D969" s="73"/>
      <c r="E969" s="70"/>
      <c r="F969" s="70" t="s">
        <v>3409</v>
      </c>
      <c r="G969" s="73"/>
      <c r="H969" s="76" t="s">
        <v>3754</v>
      </c>
      <c r="I969" s="96" t="s">
        <v>502</v>
      </c>
      <c r="J969" s="96"/>
      <c r="K969" s="76"/>
      <c r="L969" s="76"/>
      <c r="M969" s="76"/>
      <c r="N969" s="76"/>
      <c r="O969" s="76"/>
      <c r="P969" s="76"/>
      <c r="Q969" s="76"/>
      <c r="R969" s="76"/>
      <c r="S969" s="76"/>
      <c r="T969" s="76"/>
      <c r="U969" s="97">
        <v>0</v>
      </c>
      <c r="V969" s="255">
        <f t="shared" ref="V969:V976" si="275">U969</f>
        <v>0</v>
      </c>
      <c r="W969" s="255">
        <f t="shared" ref="W969:W970" si="276">U969</f>
        <v>0</v>
      </c>
      <c r="X969" s="255">
        <f t="shared" ref="X969:X970" si="277">V969</f>
        <v>0</v>
      </c>
      <c r="Y969" s="255">
        <f t="shared" ref="Y969:Y970" si="278">V969</f>
        <v>0</v>
      </c>
      <c r="Z969" s="255">
        <f t="shared" ref="Z969:Z976" si="279">AA969</f>
        <v>0</v>
      </c>
      <c r="AA969" s="97">
        <f>U969</f>
        <v>0</v>
      </c>
      <c r="AB969" s="255">
        <f t="shared" ref="AB969:AB976" si="280">AA969</f>
        <v>0</v>
      </c>
      <c r="AC969" s="255">
        <f t="shared" ref="AC969:AC976" si="281">AB969</f>
        <v>0</v>
      </c>
      <c r="AD969" s="255">
        <f t="shared" ref="AD969:AD976" si="282">AC969</f>
        <v>0</v>
      </c>
      <c r="AE969" s="76"/>
      <c r="AF969" s="97" t="s">
        <v>3367</v>
      </c>
      <c r="AG969" s="76"/>
      <c r="AH969" s="76">
        <v>1</v>
      </c>
      <c r="AI969" s="76">
        <v>1</v>
      </c>
      <c r="AJ969" s="73"/>
      <c r="AK969" s="57"/>
      <c r="AL969" s="45"/>
      <c r="AM969" s="45"/>
      <c r="AN969" s="45"/>
    </row>
    <row r="970" spans="1:40" hidden="1" outlineLevel="2" x14ac:dyDescent="0.25">
      <c r="A970" s="45"/>
      <c r="B970" s="54"/>
      <c r="C970" s="47">
        <f t="shared" si="238"/>
        <v>3</v>
      </c>
      <c r="D970" s="73"/>
      <c r="E970" s="70"/>
      <c r="F970" s="70" t="s">
        <v>3410</v>
      </c>
      <c r="G970" s="73"/>
      <c r="H970" s="76" t="s">
        <v>2511</v>
      </c>
      <c r="I970" s="96" t="s">
        <v>502</v>
      </c>
      <c r="J970" s="96"/>
      <c r="K970" s="76"/>
      <c r="L970" s="76"/>
      <c r="M970" s="76"/>
      <c r="N970" s="76"/>
      <c r="O970" s="76"/>
      <c r="P970" s="76"/>
      <c r="Q970" s="76"/>
      <c r="R970" s="76"/>
      <c r="S970" s="76"/>
      <c r="T970" s="76"/>
      <c r="U970" s="97">
        <v>0</v>
      </c>
      <c r="V970" s="255">
        <f t="shared" si="275"/>
        <v>0</v>
      </c>
      <c r="W970" s="255">
        <f t="shared" si="276"/>
        <v>0</v>
      </c>
      <c r="X970" s="255">
        <f t="shared" si="277"/>
        <v>0</v>
      </c>
      <c r="Y970" s="255">
        <f t="shared" si="278"/>
        <v>0</v>
      </c>
      <c r="Z970" s="255">
        <f t="shared" si="279"/>
        <v>0</v>
      </c>
      <c r="AA970" s="97">
        <f t="shared" ref="AA970:AA971" si="283">U970</f>
        <v>0</v>
      </c>
      <c r="AB970" s="255">
        <f t="shared" si="280"/>
        <v>0</v>
      </c>
      <c r="AC970" s="255">
        <f t="shared" si="281"/>
        <v>0</v>
      </c>
      <c r="AD970" s="255">
        <f t="shared" si="282"/>
        <v>0</v>
      </c>
      <c r="AE970" s="76"/>
      <c r="AF970" s="97" t="s">
        <v>3384</v>
      </c>
      <c r="AG970" s="76"/>
      <c r="AH970" s="97">
        <v>1</v>
      </c>
      <c r="AI970" s="97">
        <v>1</v>
      </c>
      <c r="AJ970" s="73"/>
      <c r="AK970" s="57"/>
      <c r="AL970" s="45"/>
      <c r="AM970" s="45"/>
      <c r="AN970" s="45"/>
    </row>
    <row r="971" spans="1:40" hidden="1" outlineLevel="2" x14ac:dyDescent="0.25">
      <c r="A971" s="45"/>
      <c r="B971" s="54"/>
      <c r="C971" s="47">
        <f t="shared" si="238"/>
        <v>3</v>
      </c>
      <c r="D971" s="73"/>
      <c r="E971" s="70"/>
      <c r="F971" s="70" t="s">
        <v>3411</v>
      </c>
      <c r="G971" s="73"/>
      <c r="H971" s="76" t="s">
        <v>2512</v>
      </c>
      <c r="I971" s="96" t="s">
        <v>502</v>
      </c>
      <c r="J971" s="96"/>
      <c r="K971" s="76"/>
      <c r="L971" s="76"/>
      <c r="M971" s="76"/>
      <c r="N971" s="76"/>
      <c r="O971" s="76"/>
      <c r="P971" s="76"/>
      <c r="Q971" s="76"/>
      <c r="R971" s="76"/>
      <c r="S971" s="76"/>
      <c r="T971" s="76"/>
      <c r="U971" s="97">
        <v>-2.2100000000000001E-4</v>
      </c>
      <c r="V971" s="255">
        <f t="shared" si="275"/>
        <v>-2.2100000000000001E-4</v>
      </c>
      <c r="W971" s="255">
        <f>U971</f>
        <v>-2.2100000000000001E-4</v>
      </c>
      <c r="X971" s="255">
        <f>V971</f>
        <v>-2.2100000000000001E-4</v>
      </c>
      <c r="Y971" s="255">
        <f>V971</f>
        <v>-2.2100000000000001E-4</v>
      </c>
      <c r="Z971" s="255">
        <f t="shared" si="279"/>
        <v>-2.2100000000000001E-4</v>
      </c>
      <c r="AA971" s="97">
        <f t="shared" si="283"/>
        <v>-2.2100000000000001E-4</v>
      </c>
      <c r="AB971" s="255">
        <f t="shared" si="280"/>
        <v>-2.2100000000000001E-4</v>
      </c>
      <c r="AC971" s="255">
        <f t="shared" si="281"/>
        <v>-2.2100000000000001E-4</v>
      </c>
      <c r="AD971" s="255">
        <f t="shared" si="282"/>
        <v>-2.2100000000000001E-4</v>
      </c>
      <c r="AE971" s="76"/>
      <c r="AF971" s="97"/>
      <c r="AG971" s="76"/>
      <c r="AH971" s="97">
        <v>1</v>
      </c>
      <c r="AI971" s="97">
        <v>1</v>
      </c>
      <c r="AJ971" s="73"/>
      <c r="AK971" s="57"/>
      <c r="AL971" s="45"/>
      <c r="AM971" s="45"/>
      <c r="AN971" s="45"/>
    </row>
    <row r="972" spans="1:40" hidden="1" outlineLevel="2" x14ac:dyDescent="0.25">
      <c r="A972" s="45"/>
      <c r="B972" s="54"/>
      <c r="C972" s="47">
        <f t="shared" si="238"/>
        <v>3</v>
      </c>
      <c r="D972" s="73"/>
      <c r="E972" s="70"/>
      <c r="F972" s="70" t="s">
        <v>3412</v>
      </c>
      <c r="G972" s="73"/>
      <c r="H972" s="76" t="s">
        <v>2513</v>
      </c>
      <c r="I972" s="96" t="s">
        <v>502</v>
      </c>
      <c r="J972" s="96"/>
      <c r="K972" s="76"/>
      <c r="L972" s="76"/>
      <c r="M972" s="76"/>
      <c r="N972" s="76"/>
      <c r="O972" s="76"/>
      <c r="P972" s="76"/>
      <c r="Q972" s="76"/>
      <c r="R972" s="76"/>
      <c r="S972" s="76"/>
      <c r="T972" s="76"/>
      <c r="U972" s="253">
        <f>U971</f>
        <v>-2.2100000000000001E-4</v>
      </c>
      <c r="V972" s="76">
        <f t="shared" si="275"/>
        <v>-2.2100000000000001E-4</v>
      </c>
      <c r="W972" s="76">
        <f>U972</f>
        <v>-2.2100000000000001E-4</v>
      </c>
      <c r="X972" s="76">
        <f>V972</f>
        <v>-2.2100000000000001E-4</v>
      </c>
      <c r="Y972" s="76">
        <f>V972</f>
        <v>-2.2100000000000001E-4</v>
      </c>
      <c r="Z972" s="76">
        <f t="shared" si="279"/>
        <v>-2.2100000000000001E-4</v>
      </c>
      <c r="AA972" s="253">
        <f>AA971</f>
        <v>-2.2100000000000001E-4</v>
      </c>
      <c r="AB972" s="76">
        <f t="shared" si="280"/>
        <v>-2.2100000000000001E-4</v>
      </c>
      <c r="AC972" s="76">
        <f t="shared" si="281"/>
        <v>-2.2100000000000001E-4</v>
      </c>
      <c r="AD972" s="76">
        <f t="shared" si="282"/>
        <v>-2.2100000000000001E-4</v>
      </c>
      <c r="AE972" s="76"/>
      <c r="AF972" s="264" t="s">
        <v>3366</v>
      </c>
      <c r="AG972" s="76"/>
      <c r="AH972" s="76">
        <v>1</v>
      </c>
      <c r="AI972" s="76">
        <v>1</v>
      </c>
      <c r="AJ972" s="73"/>
      <c r="AK972" s="57"/>
      <c r="AL972" s="45"/>
      <c r="AM972" s="45"/>
      <c r="AN972" s="45"/>
    </row>
    <row r="973" spans="1:40" hidden="1" outlineLevel="2" x14ac:dyDescent="0.25">
      <c r="A973" s="45"/>
      <c r="B973" s="54"/>
      <c r="C973" s="47">
        <f t="shared" si="238"/>
        <v>3</v>
      </c>
      <c r="D973" s="73"/>
      <c r="E973" s="70"/>
      <c r="F973" s="70" t="s">
        <v>3733</v>
      </c>
      <c r="G973" s="73"/>
      <c r="H973" s="76" t="s">
        <v>3755</v>
      </c>
      <c r="I973" s="96" t="s">
        <v>502</v>
      </c>
      <c r="J973" s="96"/>
      <c r="K973" s="76"/>
      <c r="L973" s="76"/>
      <c r="M973" s="76"/>
      <c r="N973" s="76"/>
      <c r="O973" s="76"/>
      <c r="P973" s="76"/>
      <c r="Q973" s="76"/>
      <c r="R973" s="76"/>
      <c r="S973" s="76"/>
      <c r="T973" s="76"/>
      <c r="U973" s="97">
        <v>0</v>
      </c>
      <c r="V973" s="255">
        <f t="shared" si="275"/>
        <v>0</v>
      </c>
      <c r="W973" s="255">
        <f t="shared" ref="W973:W974" si="284">U973</f>
        <v>0</v>
      </c>
      <c r="X973" s="255">
        <f t="shared" ref="X973:X974" si="285">V973</f>
        <v>0</v>
      </c>
      <c r="Y973" s="255">
        <f t="shared" ref="Y973:Y974" si="286">V973</f>
        <v>0</v>
      </c>
      <c r="Z973" s="255">
        <f t="shared" si="279"/>
        <v>0</v>
      </c>
      <c r="AA973" s="97">
        <f>U973</f>
        <v>0</v>
      </c>
      <c r="AB973" s="255">
        <f t="shared" si="280"/>
        <v>0</v>
      </c>
      <c r="AC973" s="255">
        <f t="shared" si="281"/>
        <v>0</v>
      </c>
      <c r="AD973" s="255">
        <f t="shared" si="282"/>
        <v>0</v>
      </c>
      <c r="AE973" s="76"/>
      <c r="AF973" s="97" t="s">
        <v>3367</v>
      </c>
      <c r="AG973" s="76"/>
      <c r="AH973" s="76">
        <v>1</v>
      </c>
      <c r="AI973" s="76">
        <v>1</v>
      </c>
      <c r="AJ973" s="73"/>
      <c r="AK973" s="57"/>
      <c r="AL973" s="45"/>
      <c r="AM973" s="45"/>
      <c r="AN973" s="45"/>
    </row>
    <row r="974" spans="1:40" hidden="1" outlineLevel="2" x14ac:dyDescent="0.25">
      <c r="A974" s="45"/>
      <c r="B974" s="54"/>
      <c r="C974" s="47">
        <f t="shared" si="238"/>
        <v>3</v>
      </c>
      <c r="D974" s="73"/>
      <c r="E974" s="70"/>
      <c r="F974" s="70" t="s">
        <v>3734</v>
      </c>
      <c r="G974" s="73"/>
      <c r="H974" s="76" t="s">
        <v>2511</v>
      </c>
      <c r="I974" s="96" t="s">
        <v>502</v>
      </c>
      <c r="J974" s="96"/>
      <c r="K974" s="76"/>
      <c r="L974" s="76"/>
      <c r="M974" s="76"/>
      <c r="N974" s="76"/>
      <c r="O974" s="76"/>
      <c r="P974" s="76"/>
      <c r="Q974" s="76"/>
      <c r="R974" s="76"/>
      <c r="S974" s="76"/>
      <c r="T974" s="76"/>
      <c r="U974" s="97">
        <v>0</v>
      </c>
      <c r="V974" s="255">
        <f t="shared" si="275"/>
        <v>0</v>
      </c>
      <c r="W974" s="255">
        <f t="shared" si="284"/>
        <v>0</v>
      </c>
      <c r="X974" s="255">
        <f t="shared" si="285"/>
        <v>0</v>
      </c>
      <c r="Y974" s="255">
        <f t="shared" si="286"/>
        <v>0</v>
      </c>
      <c r="Z974" s="255">
        <f t="shared" si="279"/>
        <v>0</v>
      </c>
      <c r="AA974" s="97">
        <f t="shared" ref="AA974:AA975" si="287">U974</f>
        <v>0</v>
      </c>
      <c r="AB974" s="255">
        <f t="shared" si="280"/>
        <v>0</v>
      </c>
      <c r="AC974" s="255">
        <f t="shared" si="281"/>
        <v>0</v>
      </c>
      <c r="AD974" s="255">
        <f t="shared" si="282"/>
        <v>0</v>
      </c>
      <c r="AE974" s="76"/>
      <c r="AF974" s="97" t="s">
        <v>3384</v>
      </c>
      <c r="AG974" s="76"/>
      <c r="AH974" s="97">
        <v>1</v>
      </c>
      <c r="AI974" s="97">
        <v>1</v>
      </c>
      <c r="AJ974" s="73"/>
      <c r="AK974" s="57"/>
      <c r="AL974" s="45"/>
      <c r="AM974" s="45"/>
      <c r="AN974" s="45"/>
    </row>
    <row r="975" spans="1:40" hidden="1" outlineLevel="2" x14ac:dyDescent="0.25">
      <c r="A975" s="45"/>
      <c r="B975" s="54"/>
      <c r="C975" s="47">
        <f t="shared" si="238"/>
        <v>3</v>
      </c>
      <c r="D975" s="73"/>
      <c r="E975" s="70"/>
      <c r="F975" s="70" t="s">
        <v>3735</v>
      </c>
      <c r="G975" s="73"/>
      <c r="H975" s="76" t="s">
        <v>2512</v>
      </c>
      <c r="I975" s="96" t="s">
        <v>502</v>
      </c>
      <c r="J975" s="96"/>
      <c r="K975" s="76"/>
      <c r="L975" s="76"/>
      <c r="M975" s="76"/>
      <c r="N975" s="76"/>
      <c r="O975" s="76"/>
      <c r="P975" s="76"/>
      <c r="Q975" s="76"/>
      <c r="R975" s="76"/>
      <c r="S975" s="76"/>
      <c r="T975" s="76"/>
      <c r="U975" s="97">
        <v>-6.34</v>
      </c>
      <c r="V975" s="255">
        <f t="shared" si="275"/>
        <v>-6.34</v>
      </c>
      <c r="W975" s="255">
        <f>U975</f>
        <v>-6.34</v>
      </c>
      <c r="X975" s="255">
        <f>V975</f>
        <v>-6.34</v>
      </c>
      <c r="Y975" s="255">
        <f>V975</f>
        <v>-6.34</v>
      </c>
      <c r="Z975" s="255">
        <f t="shared" si="279"/>
        <v>-6.34</v>
      </c>
      <c r="AA975" s="97">
        <f t="shared" si="287"/>
        <v>-6.34</v>
      </c>
      <c r="AB975" s="255">
        <f t="shared" si="280"/>
        <v>-6.34</v>
      </c>
      <c r="AC975" s="255">
        <f t="shared" si="281"/>
        <v>-6.34</v>
      </c>
      <c r="AD975" s="255">
        <f t="shared" si="282"/>
        <v>-6.34</v>
      </c>
      <c r="AE975" s="76"/>
      <c r="AF975" s="97"/>
      <c r="AG975" s="76"/>
      <c r="AH975" s="97">
        <v>1</v>
      </c>
      <c r="AI975" s="97">
        <v>1</v>
      </c>
      <c r="AJ975" s="73"/>
      <c r="AK975" s="57"/>
      <c r="AL975" s="45"/>
      <c r="AM975" s="45"/>
      <c r="AN975" s="45"/>
    </row>
    <row r="976" spans="1:40" hidden="1" outlineLevel="2" x14ac:dyDescent="0.25">
      <c r="A976" s="45"/>
      <c r="B976" s="54"/>
      <c r="C976" s="47">
        <f t="shared" si="238"/>
        <v>3</v>
      </c>
      <c r="D976" s="73"/>
      <c r="E976" s="70"/>
      <c r="F976" s="70" t="s">
        <v>3736</v>
      </c>
      <c r="G976" s="73"/>
      <c r="H976" s="76" t="s">
        <v>2513</v>
      </c>
      <c r="I976" s="96" t="s">
        <v>502</v>
      </c>
      <c r="J976" s="96"/>
      <c r="K976" s="76"/>
      <c r="L976" s="76"/>
      <c r="M976" s="76"/>
      <c r="N976" s="76"/>
      <c r="O976" s="76"/>
      <c r="P976" s="76"/>
      <c r="Q976" s="76"/>
      <c r="R976" s="76"/>
      <c r="S976" s="76"/>
      <c r="T976" s="76"/>
      <c r="U976" s="253">
        <f>U975</f>
        <v>-6.34</v>
      </c>
      <c r="V976" s="76">
        <f t="shared" si="275"/>
        <v>-6.34</v>
      </c>
      <c r="W976" s="76">
        <f>U976</f>
        <v>-6.34</v>
      </c>
      <c r="X976" s="76">
        <f>V976</f>
        <v>-6.34</v>
      </c>
      <c r="Y976" s="76">
        <f>V976</f>
        <v>-6.34</v>
      </c>
      <c r="Z976" s="76">
        <f t="shared" si="279"/>
        <v>-6.34</v>
      </c>
      <c r="AA976" s="253">
        <f>AA975</f>
        <v>-6.34</v>
      </c>
      <c r="AB976" s="76">
        <f t="shared" si="280"/>
        <v>-6.34</v>
      </c>
      <c r="AC976" s="76">
        <f t="shared" si="281"/>
        <v>-6.34</v>
      </c>
      <c r="AD976" s="76">
        <f t="shared" si="282"/>
        <v>-6.34</v>
      </c>
      <c r="AE976" s="76"/>
      <c r="AF976" s="264" t="s">
        <v>3366</v>
      </c>
      <c r="AG976" s="76"/>
      <c r="AH976" s="76">
        <v>1</v>
      </c>
      <c r="AI976" s="76">
        <v>1</v>
      </c>
      <c r="AJ976" s="73"/>
      <c r="AK976" s="57"/>
      <c r="AL976" s="45"/>
      <c r="AM976" s="45"/>
      <c r="AN976" s="45"/>
    </row>
    <row r="977" spans="1:40" hidden="1" outlineLevel="2" x14ac:dyDescent="0.25">
      <c r="A977" s="45"/>
      <c r="B977" s="54"/>
      <c r="C977" s="47">
        <f t="shared" si="238"/>
        <v>3</v>
      </c>
      <c r="D977" s="73"/>
      <c r="E977" s="70"/>
      <c r="F977" s="70" t="s">
        <v>3756</v>
      </c>
      <c r="G977" s="73"/>
      <c r="H977" s="76" t="s">
        <v>3766</v>
      </c>
      <c r="I977" s="96" t="s">
        <v>502</v>
      </c>
      <c r="J977" s="96"/>
      <c r="K977" s="76"/>
      <c r="L977" s="76"/>
      <c r="M977" s="76"/>
      <c r="N977" s="76"/>
      <c r="O977" s="76"/>
      <c r="P977" s="76"/>
      <c r="Q977" s="76"/>
      <c r="R977" s="76"/>
      <c r="S977" s="76"/>
      <c r="T977" s="76"/>
      <c r="U977" s="97">
        <v>0</v>
      </c>
      <c r="V977" s="255">
        <f t="shared" ref="V977:V980" si="288">U977</f>
        <v>0</v>
      </c>
      <c r="W977" s="255">
        <f t="shared" ref="W977:W978" si="289">U977</f>
        <v>0</v>
      </c>
      <c r="X977" s="255">
        <f t="shared" ref="X977:X978" si="290">V977</f>
        <v>0</v>
      </c>
      <c r="Y977" s="255">
        <f t="shared" ref="Y977:Y978" si="291">V977</f>
        <v>0</v>
      </c>
      <c r="Z977" s="255">
        <f t="shared" ref="Z977:Z980" si="292">AA977</f>
        <v>0</v>
      </c>
      <c r="AA977" s="97">
        <f>U977</f>
        <v>0</v>
      </c>
      <c r="AB977" s="255">
        <f t="shared" ref="AB977:AB980" si="293">AA977</f>
        <v>0</v>
      </c>
      <c r="AC977" s="255">
        <f t="shared" ref="AC977:AC980" si="294">AB977</f>
        <v>0</v>
      </c>
      <c r="AD977" s="255">
        <f t="shared" ref="AD977:AD980" si="295">AC977</f>
        <v>0</v>
      </c>
      <c r="AE977" s="76"/>
      <c r="AF977" s="97" t="s">
        <v>3764</v>
      </c>
      <c r="AG977" s="76"/>
      <c r="AH977" s="76">
        <v>1</v>
      </c>
      <c r="AI977" s="76">
        <v>1</v>
      </c>
      <c r="AJ977" s="73"/>
      <c r="AK977" s="57"/>
      <c r="AL977" s="45"/>
      <c r="AM977" s="45"/>
      <c r="AN977" s="45"/>
    </row>
    <row r="978" spans="1:40" hidden="1" outlineLevel="2" x14ac:dyDescent="0.25">
      <c r="A978" s="45"/>
      <c r="B978" s="54"/>
      <c r="C978" s="47">
        <f t="shared" si="238"/>
        <v>3</v>
      </c>
      <c r="D978" s="73"/>
      <c r="E978" s="70"/>
      <c r="F978" s="70" t="s">
        <v>3757</v>
      </c>
      <c r="G978" s="73"/>
      <c r="H978" s="76" t="s">
        <v>2511</v>
      </c>
      <c r="I978" s="96" t="s">
        <v>502</v>
      </c>
      <c r="J978" s="96"/>
      <c r="K978" s="76"/>
      <c r="L978" s="76"/>
      <c r="M978" s="76"/>
      <c r="N978" s="76"/>
      <c r="O978" s="76"/>
      <c r="P978" s="76"/>
      <c r="Q978" s="76"/>
      <c r="R978" s="76"/>
      <c r="S978" s="76"/>
      <c r="T978" s="76"/>
      <c r="U978" s="97">
        <v>0</v>
      </c>
      <c r="V978" s="255">
        <f t="shared" si="288"/>
        <v>0</v>
      </c>
      <c r="W978" s="255">
        <f t="shared" si="289"/>
        <v>0</v>
      </c>
      <c r="X978" s="255">
        <f t="shared" si="290"/>
        <v>0</v>
      </c>
      <c r="Y978" s="255">
        <f t="shared" si="291"/>
        <v>0</v>
      </c>
      <c r="Z978" s="255">
        <f t="shared" si="292"/>
        <v>0</v>
      </c>
      <c r="AA978" s="97">
        <f t="shared" ref="AA978:AA979" si="296">U978</f>
        <v>0</v>
      </c>
      <c r="AB978" s="255">
        <f t="shared" si="293"/>
        <v>0</v>
      </c>
      <c r="AC978" s="255">
        <f t="shared" si="294"/>
        <v>0</v>
      </c>
      <c r="AD978" s="255">
        <f t="shared" si="295"/>
        <v>0</v>
      </c>
      <c r="AE978" s="76"/>
      <c r="AF978" s="97" t="s">
        <v>3765</v>
      </c>
      <c r="AG978" s="76"/>
      <c r="AH978" s="97">
        <v>1</v>
      </c>
      <c r="AI978" s="97">
        <v>1</v>
      </c>
      <c r="AJ978" s="73"/>
      <c r="AK978" s="57"/>
      <c r="AL978" s="45"/>
      <c r="AM978" s="45"/>
      <c r="AN978" s="45"/>
    </row>
    <row r="979" spans="1:40" hidden="1" outlineLevel="2" x14ac:dyDescent="0.25">
      <c r="A979" s="45"/>
      <c r="B979" s="54"/>
      <c r="C979" s="47">
        <f t="shared" si="238"/>
        <v>3</v>
      </c>
      <c r="D979" s="73"/>
      <c r="E979" s="70"/>
      <c r="F979" s="70" t="s">
        <v>3758</v>
      </c>
      <c r="G979" s="73"/>
      <c r="H979" s="76" t="s">
        <v>2512</v>
      </c>
      <c r="I979" s="96" t="s">
        <v>502</v>
      </c>
      <c r="J979" s="96"/>
      <c r="K979" s="76"/>
      <c r="L979" s="76"/>
      <c r="M979" s="76"/>
      <c r="N979" s="76"/>
      <c r="O979" s="76"/>
      <c r="P979" s="76"/>
      <c r="Q979" s="76"/>
      <c r="R979" s="76"/>
      <c r="S979" s="76"/>
      <c r="T979" s="76"/>
      <c r="U979" s="97">
        <v>4.3999999999999997E-2</v>
      </c>
      <c r="V979" s="255">
        <f t="shared" si="288"/>
        <v>4.3999999999999997E-2</v>
      </c>
      <c r="W979" s="255">
        <f>U979</f>
        <v>4.3999999999999997E-2</v>
      </c>
      <c r="X979" s="255">
        <f>V979</f>
        <v>4.3999999999999997E-2</v>
      </c>
      <c r="Y979" s="255">
        <f>V979</f>
        <v>4.3999999999999997E-2</v>
      </c>
      <c r="Z979" s="255">
        <f t="shared" si="292"/>
        <v>4.3999999999999997E-2</v>
      </c>
      <c r="AA979" s="97">
        <f t="shared" si="296"/>
        <v>4.3999999999999997E-2</v>
      </c>
      <c r="AB979" s="255">
        <f t="shared" si="293"/>
        <v>4.3999999999999997E-2</v>
      </c>
      <c r="AC979" s="255">
        <f t="shared" si="294"/>
        <v>4.3999999999999997E-2</v>
      </c>
      <c r="AD979" s="255">
        <f t="shared" si="295"/>
        <v>4.3999999999999997E-2</v>
      </c>
      <c r="AE979" s="76"/>
      <c r="AF979" s="97"/>
      <c r="AG979" s="76"/>
      <c r="AH979" s="97">
        <v>1</v>
      </c>
      <c r="AI979" s="97">
        <v>1</v>
      </c>
      <c r="AJ979" s="73"/>
      <c r="AK979" s="57"/>
      <c r="AL979" s="45"/>
      <c r="AM979" s="45"/>
      <c r="AN979" s="45"/>
    </row>
    <row r="980" spans="1:40" hidden="1" outlineLevel="2" x14ac:dyDescent="0.25">
      <c r="A980" s="45"/>
      <c r="B980" s="54"/>
      <c r="C980" s="47">
        <f t="shared" si="238"/>
        <v>3</v>
      </c>
      <c r="D980" s="73"/>
      <c r="E980" s="70"/>
      <c r="F980" s="70" t="s">
        <v>3759</v>
      </c>
      <c r="G980" s="73"/>
      <c r="H980" s="76" t="s">
        <v>2513</v>
      </c>
      <c r="I980" s="96" t="s">
        <v>502</v>
      </c>
      <c r="J980" s="96"/>
      <c r="K980" s="76"/>
      <c r="L980" s="76"/>
      <c r="M980" s="76"/>
      <c r="N980" s="76"/>
      <c r="O980" s="76"/>
      <c r="P980" s="76"/>
      <c r="Q980" s="76"/>
      <c r="R980" s="76"/>
      <c r="S980" s="76"/>
      <c r="T980" s="76"/>
      <c r="U980" s="253">
        <f>U979</f>
        <v>4.3999999999999997E-2</v>
      </c>
      <c r="V980" s="76">
        <f t="shared" si="288"/>
        <v>4.3999999999999997E-2</v>
      </c>
      <c r="W980" s="76">
        <f>U980</f>
        <v>4.3999999999999997E-2</v>
      </c>
      <c r="X980" s="76">
        <f>V980</f>
        <v>4.3999999999999997E-2</v>
      </c>
      <c r="Y980" s="76">
        <f>V980</f>
        <v>4.3999999999999997E-2</v>
      </c>
      <c r="Z980" s="76">
        <f t="shared" si="292"/>
        <v>4.3999999999999997E-2</v>
      </c>
      <c r="AA980" s="253">
        <f>AA979</f>
        <v>4.3999999999999997E-2</v>
      </c>
      <c r="AB980" s="76">
        <f t="shared" si="293"/>
        <v>4.3999999999999997E-2</v>
      </c>
      <c r="AC980" s="76">
        <f t="shared" si="294"/>
        <v>4.3999999999999997E-2</v>
      </c>
      <c r="AD980" s="76">
        <f t="shared" si="295"/>
        <v>4.3999999999999997E-2</v>
      </c>
      <c r="AE980" s="76"/>
      <c r="AF980" s="264" t="s">
        <v>3366</v>
      </c>
      <c r="AG980" s="76"/>
      <c r="AH980" s="76">
        <v>1</v>
      </c>
      <c r="AI980" s="76">
        <v>1</v>
      </c>
      <c r="AJ980" s="73"/>
      <c r="AK980" s="57"/>
      <c r="AL980" s="45"/>
      <c r="AM980" s="45"/>
      <c r="AN980" s="45"/>
    </row>
    <row r="981" spans="1:40" hidden="1" outlineLevel="2" x14ac:dyDescent="0.25">
      <c r="A981" s="45"/>
      <c r="B981" s="54"/>
      <c r="C981" s="47">
        <f t="shared" si="238"/>
        <v>3</v>
      </c>
      <c r="D981" s="73"/>
      <c r="E981" s="70"/>
      <c r="F981" s="70" t="s">
        <v>3760</v>
      </c>
      <c r="G981" s="73"/>
      <c r="H981" s="76" t="s">
        <v>3767</v>
      </c>
      <c r="I981" s="96" t="s">
        <v>502</v>
      </c>
      <c r="J981" s="96"/>
      <c r="K981" s="76"/>
      <c r="L981" s="76"/>
      <c r="M981" s="76"/>
      <c r="N981" s="76"/>
      <c r="O981" s="76"/>
      <c r="P981" s="76"/>
      <c r="Q981" s="76"/>
      <c r="R981" s="76"/>
      <c r="S981" s="76"/>
      <c r="T981" s="76"/>
      <c r="U981" s="97">
        <v>1</v>
      </c>
      <c r="V981" s="255">
        <f t="shared" ref="V981:V984" si="297">U981</f>
        <v>1</v>
      </c>
      <c r="W981" s="255">
        <f t="shared" ref="W981:W982" si="298">U981</f>
        <v>1</v>
      </c>
      <c r="X981" s="255">
        <f t="shared" ref="X981:X982" si="299">V981</f>
        <v>1</v>
      </c>
      <c r="Y981" s="255">
        <f t="shared" ref="Y981:Y982" si="300">V981</f>
        <v>1</v>
      </c>
      <c r="Z981" s="255">
        <f t="shared" ref="Z981:Z984" si="301">AA981</f>
        <v>1</v>
      </c>
      <c r="AA981" s="97">
        <f>U981</f>
        <v>1</v>
      </c>
      <c r="AB981" s="255">
        <f t="shared" ref="AB981:AB984" si="302">AA981</f>
        <v>1</v>
      </c>
      <c r="AC981" s="255">
        <f t="shared" ref="AC981:AC984" si="303">AB981</f>
        <v>1</v>
      </c>
      <c r="AD981" s="255">
        <f t="shared" ref="AD981:AD984" si="304">AC981</f>
        <v>1</v>
      </c>
      <c r="AE981" s="76"/>
      <c r="AF981" s="97" t="s">
        <v>3764</v>
      </c>
      <c r="AG981" s="76"/>
      <c r="AH981" s="76">
        <v>1</v>
      </c>
      <c r="AI981" s="76">
        <v>1</v>
      </c>
      <c r="AJ981" s="73"/>
      <c r="AK981" s="57"/>
      <c r="AL981" s="45"/>
      <c r="AM981" s="45"/>
      <c r="AN981" s="45"/>
    </row>
    <row r="982" spans="1:40" hidden="1" outlineLevel="2" x14ac:dyDescent="0.25">
      <c r="A982" s="45"/>
      <c r="B982" s="54"/>
      <c r="C982" s="47">
        <f t="shared" si="238"/>
        <v>3</v>
      </c>
      <c r="D982" s="73"/>
      <c r="E982" s="70"/>
      <c r="F982" s="70" t="s">
        <v>3761</v>
      </c>
      <c r="G982" s="73"/>
      <c r="H982" s="76" t="s">
        <v>2511</v>
      </c>
      <c r="I982" s="96" t="s">
        <v>502</v>
      </c>
      <c r="J982" s="96"/>
      <c r="K982" s="76"/>
      <c r="L982" s="76"/>
      <c r="M982" s="76"/>
      <c r="N982" s="76"/>
      <c r="O982" s="76"/>
      <c r="P982" s="76"/>
      <c r="Q982" s="76"/>
      <c r="R982" s="76"/>
      <c r="S982" s="76"/>
      <c r="T982" s="76"/>
      <c r="U982" s="97">
        <v>1</v>
      </c>
      <c r="V982" s="255">
        <f t="shared" si="297"/>
        <v>1</v>
      </c>
      <c r="W982" s="255">
        <f t="shared" si="298"/>
        <v>1</v>
      </c>
      <c r="X982" s="255">
        <f t="shared" si="299"/>
        <v>1</v>
      </c>
      <c r="Y982" s="255">
        <f t="shared" si="300"/>
        <v>1</v>
      </c>
      <c r="Z982" s="255">
        <f t="shared" si="301"/>
        <v>1</v>
      </c>
      <c r="AA982" s="97">
        <f t="shared" ref="AA982:AA983" si="305">U982</f>
        <v>1</v>
      </c>
      <c r="AB982" s="255">
        <f t="shared" si="302"/>
        <v>1</v>
      </c>
      <c r="AC982" s="255">
        <f t="shared" si="303"/>
        <v>1</v>
      </c>
      <c r="AD982" s="255">
        <f t="shared" si="304"/>
        <v>1</v>
      </c>
      <c r="AE982" s="76"/>
      <c r="AF982" s="97" t="s">
        <v>3765</v>
      </c>
      <c r="AG982" s="76"/>
      <c r="AH982" s="97">
        <v>1</v>
      </c>
      <c r="AI982" s="97">
        <v>1</v>
      </c>
      <c r="AJ982" s="73"/>
      <c r="AK982" s="57"/>
      <c r="AL982" s="45"/>
      <c r="AM982" s="45"/>
      <c r="AN982" s="45"/>
    </row>
    <row r="983" spans="1:40" hidden="1" outlineLevel="2" x14ac:dyDescent="0.25">
      <c r="A983" s="45"/>
      <c r="B983" s="54"/>
      <c r="C983" s="47">
        <f t="shared" si="238"/>
        <v>3</v>
      </c>
      <c r="D983" s="73"/>
      <c r="E983" s="70"/>
      <c r="F983" s="70" t="s">
        <v>3762</v>
      </c>
      <c r="G983" s="73"/>
      <c r="H983" s="76" t="s">
        <v>2512</v>
      </c>
      <c r="I983" s="96" t="s">
        <v>502</v>
      </c>
      <c r="J983" s="96"/>
      <c r="K983" s="76"/>
      <c r="L983" s="76"/>
      <c r="M983" s="76"/>
      <c r="N983" s="76"/>
      <c r="O983" s="76"/>
      <c r="P983" s="76"/>
      <c r="Q983" s="76"/>
      <c r="R983" s="76"/>
      <c r="S983" s="76"/>
      <c r="T983" s="76"/>
      <c r="U983" s="97">
        <v>0.75</v>
      </c>
      <c r="V983" s="255">
        <f t="shared" si="297"/>
        <v>0.75</v>
      </c>
      <c r="W983" s="255">
        <f>U983</f>
        <v>0.75</v>
      </c>
      <c r="X983" s="255">
        <f>V983</f>
        <v>0.75</v>
      </c>
      <c r="Y983" s="255">
        <f>V983</f>
        <v>0.75</v>
      </c>
      <c r="Z983" s="255">
        <f t="shared" si="301"/>
        <v>0.75</v>
      </c>
      <c r="AA983" s="97">
        <f t="shared" si="305"/>
        <v>0.75</v>
      </c>
      <c r="AB983" s="255">
        <f t="shared" si="302"/>
        <v>0.75</v>
      </c>
      <c r="AC983" s="255">
        <f t="shared" si="303"/>
        <v>0.75</v>
      </c>
      <c r="AD983" s="255">
        <f t="shared" si="304"/>
        <v>0.75</v>
      </c>
      <c r="AE983" s="76"/>
      <c r="AF983" s="97"/>
      <c r="AG983" s="76"/>
      <c r="AH983" s="97">
        <v>1</v>
      </c>
      <c r="AI983" s="97">
        <v>1</v>
      </c>
      <c r="AJ983" s="73"/>
      <c r="AK983" s="57"/>
      <c r="AL983" s="45"/>
      <c r="AM983" s="45"/>
      <c r="AN983" s="45"/>
    </row>
    <row r="984" spans="1:40" hidden="1" outlineLevel="2" x14ac:dyDescent="0.25">
      <c r="A984" s="45"/>
      <c r="B984" s="54"/>
      <c r="C984" s="47">
        <f t="shared" si="238"/>
        <v>3</v>
      </c>
      <c r="D984" s="73"/>
      <c r="E984" s="70"/>
      <c r="F984" s="70" t="s">
        <v>3763</v>
      </c>
      <c r="G984" s="73"/>
      <c r="H984" s="76" t="s">
        <v>2513</v>
      </c>
      <c r="I984" s="96" t="s">
        <v>502</v>
      </c>
      <c r="J984" s="96"/>
      <c r="K984" s="76"/>
      <c r="L984" s="76"/>
      <c r="M984" s="76"/>
      <c r="N984" s="76"/>
      <c r="O984" s="76"/>
      <c r="P984" s="76"/>
      <c r="Q984" s="76"/>
      <c r="R984" s="76"/>
      <c r="S984" s="76"/>
      <c r="T984" s="76"/>
      <c r="U984" s="253">
        <f>U983</f>
        <v>0.75</v>
      </c>
      <c r="V984" s="76">
        <f t="shared" si="297"/>
        <v>0.75</v>
      </c>
      <c r="W984" s="76">
        <f>U984</f>
        <v>0.75</v>
      </c>
      <c r="X984" s="76">
        <f>V984</f>
        <v>0.75</v>
      </c>
      <c r="Y984" s="76">
        <f>V984</f>
        <v>0.75</v>
      </c>
      <c r="Z984" s="76">
        <f t="shared" si="301"/>
        <v>0.75</v>
      </c>
      <c r="AA984" s="253">
        <f>AA983</f>
        <v>0.75</v>
      </c>
      <c r="AB984" s="76">
        <f t="shared" si="302"/>
        <v>0.75</v>
      </c>
      <c r="AC984" s="76">
        <f t="shared" si="303"/>
        <v>0.75</v>
      </c>
      <c r="AD984" s="76">
        <f t="shared" si="304"/>
        <v>0.75</v>
      </c>
      <c r="AE984" s="76"/>
      <c r="AF984" s="264" t="s">
        <v>3366</v>
      </c>
      <c r="AG984" s="76"/>
      <c r="AH984" s="76">
        <v>1</v>
      </c>
      <c r="AI984" s="76">
        <v>1</v>
      </c>
      <c r="AJ984" s="73"/>
      <c r="AK984" s="57"/>
      <c r="AL984" s="45"/>
      <c r="AM984" s="45"/>
      <c r="AN984" s="45"/>
    </row>
    <row r="985" spans="1:40" hidden="1"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6">INDEX($K987:$Q987,1,U$43)</f>
        <v>0.38900000000000001</v>
      </c>
      <c r="V987" s="253">
        <f t="shared" si="306"/>
        <v>0.38900000000000001</v>
      </c>
      <c r="W987" s="253">
        <f t="shared" si="306"/>
        <v>0.38900000000000001</v>
      </c>
      <c r="X987" s="253">
        <f t="shared" si="306"/>
        <v>0.38900000000000001</v>
      </c>
      <c r="Y987" s="253">
        <f t="shared" si="306"/>
        <v>0.38900000000000001</v>
      </c>
      <c r="Z987" s="253">
        <f t="shared" si="306"/>
        <v>0.48599999999999999</v>
      </c>
      <c r="AA987" s="253">
        <f t="shared" si="306"/>
        <v>0.48599999999999999</v>
      </c>
      <c r="AB987" s="253">
        <f t="shared" si="306"/>
        <v>0.48599999999999999</v>
      </c>
      <c r="AC987" s="253">
        <f t="shared" si="306"/>
        <v>0.48599999999999999</v>
      </c>
      <c r="AD987" s="253">
        <f t="shared" si="306"/>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6"/>
        <v>0.622</v>
      </c>
      <c r="V988" s="253">
        <f t="shared" si="306"/>
        <v>0.622</v>
      </c>
      <c r="W988" s="253">
        <f t="shared" si="306"/>
        <v>0.622</v>
      </c>
      <c r="X988" s="253">
        <f t="shared" si="306"/>
        <v>0.622</v>
      </c>
      <c r="Y988" s="253">
        <f t="shared" si="306"/>
        <v>0.622</v>
      </c>
      <c r="Z988" s="253">
        <f t="shared" si="306"/>
        <v>0.77800000000000002</v>
      </c>
      <c r="AA988" s="253">
        <f t="shared" si="306"/>
        <v>0.77800000000000002</v>
      </c>
      <c r="AB988" s="253">
        <f t="shared" si="306"/>
        <v>0.77800000000000002</v>
      </c>
      <c r="AC988" s="253">
        <f t="shared" si="306"/>
        <v>0.77800000000000002</v>
      </c>
      <c r="AD988" s="253">
        <f t="shared" si="306"/>
        <v>0.77800000000000002</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6"/>
        <v>0.746</v>
      </c>
      <c r="V989" s="253">
        <f t="shared" si="306"/>
        <v>0.746</v>
      </c>
      <c r="W989" s="253">
        <f t="shared" si="306"/>
        <v>0.746</v>
      </c>
      <c r="X989" s="253">
        <f t="shared" si="306"/>
        <v>0.746</v>
      </c>
      <c r="Y989" s="253">
        <f t="shared" si="306"/>
        <v>0.746</v>
      </c>
      <c r="Z989" s="253">
        <f t="shared" si="306"/>
        <v>0.93400000000000005</v>
      </c>
      <c r="AA989" s="253">
        <f t="shared" si="306"/>
        <v>0.93400000000000005</v>
      </c>
      <c r="AB989" s="253">
        <f t="shared" si="306"/>
        <v>0.93400000000000005</v>
      </c>
      <c r="AC989" s="253">
        <f t="shared" si="306"/>
        <v>0.93400000000000005</v>
      </c>
      <c r="AD989" s="253">
        <f t="shared" si="306"/>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7">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7"/>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7"/>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7"/>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7"/>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7"/>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7"/>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7"/>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7"/>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7"/>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7"/>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7"/>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7"/>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7"/>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7"/>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7"/>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7"/>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7"/>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7"/>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7"/>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7"/>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7"/>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7"/>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7"/>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7"/>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7"/>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7"/>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7"/>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7"/>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7"/>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7"/>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7"/>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8">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8"/>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8"/>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8"/>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8"/>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8"/>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8"/>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8"/>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8"/>
        <v>4</v>
      </c>
      <c r="D1030" s="73"/>
      <c r="E1030" s="70"/>
      <c r="F1030" s="70" t="s">
        <v>1660</v>
      </c>
      <c r="G1030" s="73"/>
      <c r="H1030" s="76" t="s">
        <v>3815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8"/>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8"/>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8"/>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8"/>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8"/>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8"/>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8"/>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8"/>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8"/>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8"/>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08"/>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8"/>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8"/>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8"/>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8"/>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8"/>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8"/>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8"/>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8"/>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8"/>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8"/>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8"/>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8"/>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09">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09"/>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9"/>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9"/>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9"/>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9"/>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9"/>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9"/>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10">INDEX($K1063:$Q1063,1,U$43)</f>
        <v>0.52400000000000002</v>
      </c>
      <c r="V1063" s="253">
        <f t="shared" si="310"/>
        <v>0.52400000000000002</v>
      </c>
      <c r="W1063" s="253">
        <f t="shared" si="310"/>
        <v>0.52400000000000002</v>
      </c>
      <c r="X1063" s="253">
        <f t="shared" si="310"/>
        <v>0.52400000000000002</v>
      </c>
      <c r="Y1063" s="253">
        <f t="shared" si="310"/>
        <v>0.52400000000000002</v>
      </c>
      <c r="Z1063" s="253">
        <f t="shared" si="310"/>
        <v>0.65500000000000003</v>
      </c>
      <c r="AA1063" s="253">
        <f t="shared" si="310"/>
        <v>0.65500000000000003</v>
      </c>
      <c r="AB1063" s="253">
        <f t="shared" si="310"/>
        <v>0.65500000000000003</v>
      </c>
      <c r="AC1063" s="253">
        <f t="shared" si="310"/>
        <v>0.65500000000000003</v>
      </c>
      <c r="AD1063" s="253">
        <f t="shared" si="310"/>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10"/>
        <v>0.70699999999999996</v>
      </c>
      <c r="V1064" s="253">
        <f t="shared" si="310"/>
        <v>0.70699999999999996</v>
      </c>
      <c r="W1064" s="253">
        <f t="shared" si="310"/>
        <v>0.70699999999999996</v>
      </c>
      <c r="X1064" s="253">
        <f t="shared" si="310"/>
        <v>0.70699999999999996</v>
      </c>
      <c r="Y1064" s="253">
        <f t="shared" si="310"/>
        <v>0.70699999999999996</v>
      </c>
      <c r="Z1064" s="253">
        <f t="shared" si="310"/>
        <v>0.88400000000000001</v>
      </c>
      <c r="AA1064" s="253">
        <f t="shared" si="310"/>
        <v>0.88400000000000001</v>
      </c>
      <c r="AB1064" s="253">
        <f t="shared" si="310"/>
        <v>0.88400000000000001</v>
      </c>
      <c r="AC1064" s="253">
        <f t="shared" si="310"/>
        <v>0.88400000000000001</v>
      </c>
      <c r="AD1064" s="253">
        <f t="shared" si="310"/>
        <v>0.88400000000000001</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10"/>
        <v>0.89100000000000001</v>
      </c>
      <c r="V1065" s="253">
        <f t="shared" si="310"/>
        <v>0.89100000000000001</v>
      </c>
      <c r="W1065" s="253">
        <f t="shared" si="310"/>
        <v>0.89100000000000001</v>
      </c>
      <c r="X1065" s="253">
        <f t="shared" si="310"/>
        <v>0.89100000000000001</v>
      </c>
      <c r="Y1065" s="253">
        <f t="shared" si="310"/>
        <v>0.89100000000000001</v>
      </c>
      <c r="Z1065" s="253">
        <f t="shared" si="310"/>
        <v>1.1140000000000001</v>
      </c>
      <c r="AA1065" s="253">
        <f t="shared" si="310"/>
        <v>1.1140000000000001</v>
      </c>
      <c r="AB1065" s="253">
        <f t="shared" si="310"/>
        <v>1.1140000000000001</v>
      </c>
      <c r="AC1065" s="253">
        <f t="shared" si="310"/>
        <v>1.1140000000000001</v>
      </c>
      <c r="AD1065" s="253">
        <f t="shared" si="310"/>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11">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11"/>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1"/>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1"/>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1"/>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1"/>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1"/>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1"/>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1"/>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1"/>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1"/>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1"/>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1"/>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1"/>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1"/>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1"/>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1"/>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1"/>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1"/>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1"/>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1"/>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1"/>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1"/>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1"/>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1"/>
        <v>4</v>
      </c>
      <c r="D1090" s="73"/>
      <c r="E1090" s="70"/>
      <c r="F1090" s="70" t="s">
        <v>3314</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1"/>
        <v>4</v>
      </c>
      <c r="D1091" s="73"/>
      <c r="E1091" s="70"/>
      <c r="F1091" s="70" t="s">
        <v>3315</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1"/>
        <v>4</v>
      </c>
      <c r="D1092" s="73"/>
      <c r="E1092" s="70"/>
      <c r="F1092" s="70" t="s">
        <v>3316</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1"/>
        <v>4</v>
      </c>
      <c r="D1093" s="73"/>
      <c r="E1093" s="70"/>
      <c r="F1093" s="70" t="s">
        <v>3317</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1"/>
        <v>4</v>
      </c>
      <c r="D1094" s="73"/>
      <c r="E1094" s="70"/>
      <c r="F1094" s="70" t="s">
        <v>3413</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1"/>
        <v>4</v>
      </c>
      <c r="D1095" s="73"/>
      <c r="E1095" s="70"/>
      <c r="F1095" s="70" t="s">
        <v>3414</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1"/>
        <v>4</v>
      </c>
      <c r="D1096" s="73"/>
      <c r="E1096" s="70"/>
      <c r="F1096" s="70" t="s">
        <v>3415</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1"/>
        <v>4</v>
      </c>
      <c r="D1097" s="73"/>
      <c r="E1097" s="70"/>
      <c r="F1097" s="70" t="s">
        <v>3416</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1"/>
        <v>4</v>
      </c>
      <c r="D1098" s="73"/>
      <c r="E1098" s="70"/>
      <c r="F1098" s="70" t="s">
        <v>3417</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1"/>
        <v>4</v>
      </c>
      <c r="D1099" s="73"/>
      <c r="E1099" s="70"/>
      <c r="F1099" s="70" t="s">
        <v>3418</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1"/>
        <v>4</v>
      </c>
      <c r="D1100" s="73"/>
      <c r="E1100" s="70"/>
      <c r="F1100" s="70" t="s">
        <v>3419</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1"/>
        <v>4</v>
      </c>
      <c r="D1101" s="73"/>
      <c r="E1101" s="70"/>
      <c r="F1101" s="70" t="s">
        <v>3420</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1"/>
        <v>4</v>
      </c>
      <c r="D1102" s="73"/>
      <c r="E1102" s="70"/>
      <c r="F1102" s="70" t="s">
        <v>3421</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1"/>
        <v>4</v>
      </c>
      <c r="D1103" s="73"/>
      <c r="E1103" s="70"/>
      <c r="F1103" s="70" t="s">
        <v>3422</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1"/>
        <v>4</v>
      </c>
      <c r="D1104" s="73"/>
      <c r="E1104" s="70"/>
      <c r="F1104" s="70" t="s">
        <v>3423</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1"/>
        <v>4</v>
      </c>
      <c r="D1105" s="73"/>
      <c r="E1105" s="70"/>
      <c r="F1105" s="70" t="s">
        <v>3424</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1"/>
        <v>4</v>
      </c>
      <c r="D1106" s="73"/>
      <c r="E1106" s="70"/>
      <c r="F1106" s="70" t="s">
        <v>3425</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1"/>
        <v>4</v>
      </c>
      <c r="D1107" s="73"/>
      <c r="E1107" s="70"/>
      <c r="F1107" s="70" t="s">
        <v>3426</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1"/>
        <v>4</v>
      </c>
      <c r="D1108" s="73"/>
      <c r="E1108" s="70"/>
      <c r="F1108" s="70" t="s">
        <v>3427</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1"/>
        <v>4</v>
      </c>
      <c r="D1109" s="73"/>
      <c r="E1109" s="70"/>
      <c r="F1109" s="70" t="s">
        <v>3428</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1"/>
        <v>4</v>
      </c>
      <c r="D1110" s="73"/>
      <c r="E1110" s="70"/>
      <c r="F1110" s="70" t="s">
        <v>3429</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1"/>
        <v>4</v>
      </c>
      <c r="D1111" s="73"/>
      <c r="E1111" s="70"/>
      <c r="F1111" s="70" t="s">
        <v>3430</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1"/>
        <v>4</v>
      </c>
      <c r="D1112" s="73"/>
      <c r="E1112" s="70"/>
      <c r="F1112" s="70" t="s">
        <v>3431</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1"/>
        <v>4</v>
      </c>
      <c r="D1113" s="73"/>
      <c r="E1113" s="70"/>
      <c r="F1113" s="70" t="s">
        <v>3432</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1"/>
        <v>4</v>
      </c>
      <c r="D1114" s="73"/>
      <c r="E1114" s="70"/>
      <c r="F1114" s="70" t="s">
        <v>3433</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1"/>
        <v>4</v>
      </c>
      <c r="D1115" s="73"/>
      <c r="E1115" s="70"/>
      <c r="F1115" s="70" t="s">
        <v>3434</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1"/>
        <v>4</v>
      </c>
      <c r="D1116" s="73"/>
      <c r="E1116" s="70"/>
      <c r="F1116" s="70" t="s">
        <v>3435</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1"/>
        <v>4</v>
      </c>
      <c r="D1117" s="73"/>
      <c r="E1117" s="70"/>
      <c r="F1117" s="70" t="s">
        <v>3436</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1"/>
        <v>4</v>
      </c>
      <c r="D1118" s="73"/>
      <c r="E1118" s="70"/>
      <c r="F1118" s="70" t="s">
        <v>3437</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1"/>
        <v>4</v>
      </c>
      <c r="D1119" s="73"/>
      <c r="E1119" s="70"/>
      <c r="F1119" s="70" t="s">
        <v>3438</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1"/>
        <v>4</v>
      </c>
      <c r="D1120" s="73"/>
      <c r="E1120" s="70"/>
      <c r="F1120" s="70" t="s">
        <v>3439</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1"/>
        <v>4</v>
      </c>
      <c r="D1121" s="73"/>
      <c r="E1121" s="70"/>
      <c r="F1121" s="70" t="s">
        <v>3440</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1"/>
        <v>4</v>
      </c>
      <c r="D1122" s="73"/>
      <c r="E1122" s="70"/>
      <c r="F1122" s="70" t="s">
        <v>3441</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1"/>
        <v>4</v>
      </c>
      <c r="D1123" s="73"/>
      <c r="E1123" s="70"/>
      <c r="F1123" s="70" t="s">
        <v>3442</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1"/>
        <v>4</v>
      </c>
      <c r="D1124" s="73"/>
      <c r="E1124" s="70"/>
      <c r="F1124" s="70" t="s">
        <v>3443</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1"/>
        <v>4</v>
      </c>
      <c r="D1125" s="73"/>
      <c r="E1125" s="70"/>
      <c r="F1125" s="70" t="s">
        <v>3444</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1"/>
        <v>4</v>
      </c>
      <c r="D1126" s="73"/>
      <c r="E1126" s="70"/>
      <c r="F1126" s="70" t="s">
        <v>3445</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1"/>
        <v>4</v>
      </c>
      <c r="D1127" s="73"/>
      <c r="E1127" s="70"/>
      <c r="F1127" s="70" t="s">
        <v>3446</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1"/>
        <v>4</v>
      </c>
      <c r="D1128" s="73"/>
      <c r="E1128" s="70"/>
      <c r="F1128" s="70" t="s">
        <v>3447</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1"/>
        <v>4</v>
      </c>
      <c r="D1129" s="73"/>
      <c r="E1129" s="70"/>
      <c r="F1129" s="70" t="s">
        <v>3448</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12">INT($C$29)+3</f>
        <v>4</v>
      </c>
      <c r="D1130" s="73"/>
      <c r="E1130" s="70"/>
      <c r="F1130" s="70" t="s">
        <v>3449</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2"/>
        <v>4</v>
      </c>
      <c r="D1131" s="73"/>
      <c r="E1131" s="70"/>
      <c r="F1131" s="70" t="s">
        <v>3450</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2"/>
        <v>4</v>
      </c>
      <c r="D1132" s="73"/>
      <c r="E1132" s="70"/>
      <c r="F1132" s="70" t="s">
        <v>3451</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2"/>
        <v>4</v>
      </c>
      <c r="D1133" s="73"/>
      <c r="E1133" s="70"/>
      <c r="F1133" s="70" t="s">
        <v>3452</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2"/>
        <v>4</v>
      </c>
      <c r="D1134" s="73"/>
      <c r="E1134" s="70"/>
      <c r="F1134" s="70" t="s">
        <v>3453</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2"/>
        <v>4</v>
      </c>
      <c r="D1135" s="73"/>
      <c r="E1135" s="70"/>
      <c r="F1135" s="70" t="s">
        <v>3454</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2"/>
        <v>4</v>
      </c>
      <c r="D1136" s="73"/>
      <c r="E1136" s="70"/>
      <c r="F1136" s="70" t="s">
        <v>3455</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2"/>
        <v>4</v>
      </c>
      <c r="D1137" s="73"/>
      <c r="E1137" s="70"/>
      <c r="F1137" s="70" t="s">
        <v>3456</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2"/>
        <v>4</v>
      </c>
      <c r="D1138" s="73"/>
      <c r="E1138" s="70"/>
      <c r="F1138" s="70" t="s">
        <v>3737</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2"/>
        <v>4</v>
      </c>
      <c r="D1139" s="73"/>
      <c r="E1139" s="70"/>
      <c r="F1139" s="70" t="s">
        <v>3738</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2"/>
        <v>4</v>
      </c>
      <c r="D1140" s="73"/>
      <c r="E1140" s="70"/>
      <c r="F1140" s="70" t="s">
        <v>3739</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2"/>
        <v>4</v>
      </c>
      <c r="D1141" s="73"/>
      <c r="E1141" s="70"/>
      <c r="F1141" s="70" t="s">
        <v>3740</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2"/>
        <v>4</v>
      </c>
      <c r="D1142" s="73"/>
      <c r="E1142" s="70"/>
      <c r="F1142" s="70" t="s">
        <v>3772</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2"/>
        <v>4</v>
      </c>
      <c r="D1143" s="73"/>
      <c r="E1143" s="70"/>
      <c r="F1143" s="70" t="s">
        <v>3773</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2"/>
        <v>4</v>
      </c>
      <c r="D1144" s="73"/>
      <c r="E1144" s="70"/>
      <c r="F1144" s="70" t="s">
        <v>3774</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2"/>
        <v>4</v>
      </c>
      <c r="D1145" s="73"/>
      <c r="E1145" s="70"/>
      <c r="F1145" s="70" t="s">
        <v>3775</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2"/>
        <v>4</v>
      </c>
      <c r="D1146" s="73"/>
      <c r="E1146" s="70"/>
      <c r="F1146" s="70" t="s">
        <v>3768</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2"/>
        <v>4</v>
      </c>
      <c r="D1147" s="73"/>
      <c r="E1147" s="70"/>
      <c r="F1147" s="70" t="s">
        <v>3769</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2"/>
        <v>4</v>
      </c>
      <c r="D1148" s="73"/>
      <c r="E1148" s="70"/>
      <c r="F1148" s="70" t="s">
        <v>3770</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2"/>
        <v>4</v>
      </c>
      <c r="D1149" s="73"/>
      <c r="E1149" s="70"/>
      <c r="F1149" s="70" t="s">
        <v>3771</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3">INDEX($K1151:$Q1151,1,U$43)</f>
        <v>0.99704199999999998</v>
      </c>
      <c r="V1151" s="253">
        <f t="shared" si="313"/>
        <v>0.99704199999999998</v>
      </c>
      <c r="W1151" s="253">
        <f t="shared" si="313"/>
        <v>0.99704199999999998</v>
      </c>
      <c r="X1151" s="253">
        <f t="shared" si="313"/>
        <v>0.99704199999999998</v>
      </c>
      <c r="Y1151" s="253">
        <f t="shared" si="313"/>
        <v>0.99704199999999998</v>
      </c>
      <c r="Z1151" s="253">
        <f t="shared" si="313"/>
        <v>0.99704199999999998</v>
      </c>
      <c r="AA1151" s="253">
        <f t="shared" si="313"/>
        <v>0.99704199999999998</v>
      </c>
      <c r="AB1151" s="253">
        <f t="shared" si="313"/>
        <v>0.99704199999999998</v>
      </c>
      <c r="AC1151" s="253">
        <f t="shared" si="313"/>
        <v>0.99704199999999998</v>
      </c>
      <c r="AD1151" s="253">
        <f t="shared" si="313"/>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4">Y1153</f>
        <v>0.13739999999999999</v>
      </c>
      <c r="AA1153" s="255">
        <f t="shared" si="314"/>
        <v>0.13739999999999999</v>
      </c>
      <c r="AB1153" s="255">
        <f t="shared" si="314"/>
        <v>0.13739999999999999</v>
      </c>
      <c r="AC1153" s="255">
        <f t="shared" si="314"/>
        <v>0.13739999999999999</v>
      </c>
      <c r="AD1153" s="255">
        <f t="shared" si="314"/>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4"/>
        <v>0.16700000000000001</v>
      </c>
      <c r="AA1154" s="255">
        <f t="shared" si="314"/>
        <v>0.16700000000000001</v>
      </c>
      <c r="AB1154" s="255">
        <f t="shared" si="314"/>
        <v>0.16700000000000001</v>
      </c>
      <c r="AC1154" s="255">
        <f t="shared" si="314"/>
        <v>0.16700000000000001</v>
      </c>
      <c r="AD1154" s="255">
        <f t="shared" si="314"/>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4"/>
        <v>0.08</v>
      </c>
      <c r="AA1155" s="255">
        <f t="shared" si="314"/>
        <v>0.08</v>
      </c>
      <c r="AB1155" s="255">
        <f t="shared" si="314"/>
        <v>0.08</v>
      </c>
      <c r="AC1155" s="255">
        <f t="shared" si="314"/>
        <v>0.08</v>
      </c>
      <c r="AD1155" s="255">
        <f t="shared" si="314"/>
        <v>0.08</v>
      </c>
      <c r="AE1155" s="76"/>
      <c r="AF1155" s="76"/>
      <c r="AG1155" s="76"/>
      <c r="AH1155" s="97">
        <v>1</v>
      </c>
      <c r="AI1155" s="97">
        <v>1</v>
      </c>
      <c r="AJ1155" s="73"/>
      <c r="AK1155" s="57"/>
      <c r="AL1155" s="45"/>
      <c r="AM1155" s="45"/>
      <c r="AN1155" s="45"/>
    </row>
    <row r="1156" spans="1:40" hidden="1"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x14ac:dyDescent="0.25">
      <c r="A1157" s="45"/>
      <c r="B1157" s="54"/>
      <c r="C1157" s="47">
        <f t="shared" ref="C1157:C1164" si="315">INT($C$29)+2</f>
        <v>3</v>
      </c>
      <c r="D1157" s="73"/>
      <c r="E1157" s="70"/>
      <c r="F1157" s="70" t="s">
        <v>1717</v>
      </c>
      <c r="G1157" s="73"/>
      <c r="H1157" s="76" t="s">
        <v>3482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5"/>
        <v>3</v>
      </c>
      <c r="D1158" s="73"/>
      <c r="E1158" s="70"/>
      <c r="F1158" s="70" t="s">
        <v>3493</v>
      </c>
      <c r="G1158" s="73"/>
      <c r="H1158" s="76" t="s">
        <v>3489</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5"/>
        <v>3</v>
      </c>
      <c r="D1159" s="73"/>
      <c r="E1159" s="70"/>
      <c r="F1159" s="70" t="s">
        <v>1718</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5"/>
        <v>3</v>
      </c>
      <c r="D1160" s="73"/>
      <c r="E1160" s="70"/>
      <c r="F1160" s="70" t="s">
        <v>3494</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5"/>
        <v>3</v>
      </c>
      <c r="D1161" s="73"/>
      <c r="E1161" s="70"/>
      <c r="F1161" s="70" t="s">
        <v>1721</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5"/>
        <v>3</v>
      </c>
      <c r="D1162" s="73"/>
      <c r="E1162" s="70"/>
      <c r="F1162" s="70" t="s">
        <v>3495</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5"/>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5"/>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6">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6"/>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6"/>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6"/>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6"/>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6"/>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6"/>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6"/>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6"/>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6"/>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6"/>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6"/>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6"/>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6"/>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6"/>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6"/>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6"/>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6"/>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6"/>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6"/>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6"/>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6"/>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6"/>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6"/>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6"/>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6"/>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6"/>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6"/>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6"/>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6"/>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6"/>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6"/>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7">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7"/>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7"/>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7"/>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7"/>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7"/>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7"/>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7"/>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7"/>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7"/>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7"/>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7"/>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7"/>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7"/>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7"/>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7"/>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7"/>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7"/>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7"/>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7"/>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7"/>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7"/>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7"/>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7"/>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7"/>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7"/>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7"/>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7"/>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7"/>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7"/>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7"/>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7"/>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8">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8"/>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8"/>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8"/>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8"/>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8"/>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8"/>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8"/>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8"/>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8"/>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8"/>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8"/>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8"/>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8"/>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8"/>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8"/>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8"/>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8"/>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8"/>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8"/>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8"/>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8"/>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8"/>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8"/>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9">U1255</f>
        <v>9.9999999999999985E-3</v>
      </c>
      <c r="V1254" s="253">
        <f t="shared" si="319"/>
        <v>9.9999999999999985E-3</v>
      </c>
      <c r="W1254" s="253">
        <f t="shared" si="319"/>
        <v>9.9999999999999985E-3</v>
      </c>
      <c r="X1254" s="253">
        <f t="shared" si="319"/>
        <v>9.9999999999999985E-3</v>
      </c>
      <c r="Y1254" s="253">
        <f t="shared" si="319"/>
        <v>9.9999999999999985E-3</v>
      </c>
      <c r="Z1254" s="253">
        <f t="shared" si="319"/>
        <v>9.9999999999999985E-3</v>
      </c>
      <c r="AA1254" s="253">
        <f t="shared" si="319"/>
        <v>9.9999999999999985E-3</v>
      </c>
      <c r="AB1254" s="253">
        <f t="shared" si="319"/>
        <v>9.9999999999999985E-3</v>
      </c>
      <c r="AC1254" s="253">
        <f t="shared" si="319"/>
        <v>9.9999999999999985E-3</v>
      </c>
      <c r="AD1254" s="253">
        <f t="shared" si="319"/>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20">Y1255</f>
        <v>9.9999999999999985E-3</v>
      </c>
      <c r="AA1255" s="255">
        <f t="shared" si="320"/>
        <v>9.9999999999999985E-3</v>
      </c>
      <c r="AB1255" s="255">
        <f t="shared" si="320"/>
        <v>9.9999999999999985E-3</v>
      </c>
      <c r="AC1255" s="255">
        <f t="shared" si="320"/>
        <v>9.9999999999999985E-3</v>
      </c>
      <c r="AD1255" s="255">
        <f t="shared" si="320"/>
        <v>9.9999999999999985E-3</v>
      </c>
      <c r="AE1255" s="76"/>
      <c r="AF1255" s="76"/>
      <c r="AG1255" s="76"/>
      <c r="AH1255" s="97">
        <v>1</v>
      </c>
      <c r="AI1255" s="97">
        <v>1</v>
      </c>
      <c r="AJ1255" s="73"/>
      <c r="AK1255" s="57"/>
      <c r="AL1255" s="45"/>
      <c r="AM1255" s="45"/>
      <c r="AN1255" s="45"/>
    </row>
    <row r="1256" spans="1:40" hidden="1" outlineLevel="2"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20"/>
        <v>9.0000000000000011E-3</v>
      </c>
      <c r="AA1256" s="255">
        <f t="shared" si="320"/>
        <v>9.0000000000000011E-3</v>
      </c>
      <c r="AB1256" s="255">
        <f t="shared" si="320"/>
        <v>9.0000000000000011E-3</v>
      </c>
      <c r="AC1256" s="255">
        <f t="shared" si="320"/>
        <v>9.0000000000000011E-3</v>
      </c>
      <c r="AD1256" s="255">
        <f t="shared" si="320"/>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21">Y1260</f>
        <v>0</v>
      </c>
      <c r="AA1260" s="255">
        <f t="shared" si="321"/>
        <v>0</v>
      </c>
      <c r="AB1260" s="255">
        <f t="shared" si="321"/>
        <v>0</v>
      </c>
      <c r="AC1260" s="255">
        <f t="shared" si="321"/>
        <v>0</v>
      </c>
      <c r="AD1260" s="255">
        <f t="shared" si="321"/>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21"/>
        <v>0</v>
      </c>
      <c r="AA1261" s="255">
        <f t="shared" si="321"/>
        <v>0</v>
      </c>
      <c r="AB1261" s="255">
        <f t="shared" si="321"/>
        <v>0</v>
      </c>
      <c r="AC1261" s="255">
        <f t="shared" si="321"/>
        <v>0</v>
      </c>
      <c r="AD1261" s="255">
        <f t="shared" si="321"/>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22">U1263</f>
        <v>-1.9E-2</v>
      </c>
      <c r="V1262" s="253">
        <f t="shared" si="322"/>
        <v>-1.9E-2</v>
      </c>
      <c r="W1262" s="253">
        <f t="shared" si="322"/>
        <v>-1.9E-2</v>
      </c>
      <c r="X1262" s="253">
        <f t="shared" si="322"/>
        <v>-1.9E-2</v>
      </c>
      <c r="Y1262" s="253">
        <f t="shared" si="322"/>
        <v>-1.9E-2</v>
      </c>
      <c r="Z1262" s="253">
        <f t="shared" si="322"/>
        <v>-1.9E-2</v>
      </c>
      <c r="AA1262" s="253">
        <f t="shared" si="322"/>
        <v>-1.9E-2</v>
      </c>
      <c r="AB1262" s="253">
        <f t="shared" si="322"/>
        <v>-1.9E-2</v>
      </c>
      <c r="AC1262" s="253">
        <f t="shared" si="322"/>
        <v>-1.9E-2</v>
      </c>
      <c r="AD1262" s="253">
        <f t="shared" si="322"/>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3">Y1263</f>
        <v>-1.9E-2</v>
      </c>
      <c r="AA1263" s="255">
        <f t="shared" si="323"/>
        <v>-1.9E-2</v>
      </c>
      <c r="AB1263" s="255">
        <f t="shared" si="323"/>
        <v>-1.9E-2</v>
      </c>
      <c r="AC1263" s="255">
        <f t="shared" si="323"/>
        <v>-1.9E-2</v>
      </c>
      <c r="AD1263" s="255">
        <f t="shared" si="323"/>
        <v>-1.9E-2</v>
      </c>
      <c r="AE1263" s="76"/>
      <c r="AF1263" s="76"/>
      <c r="AG1263" s="76"/>
      <c r="AH1263" s="97">
        <v>1</v>
      </c>
      <c r="AI1263" s="97">
        <v>1</v>
      </c>
      <c r="AJ1263" s="73"/>
      <c r="AK1263" s="57"/>
      <c r="AL1263" s="45"/>
      <c r="AM1263" s="45"/>
      <c r="AN1263" s="45"/>
    </row>
    <row r="1264" spans="1:40" hidden="1" outlineLevel="2"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3"/>
        <v>-3.1E-2</v>
      </c>
      <c r="AA1264" s="255">
        <f t="shared" si="323"/>
        <v>-3.1E-2</v>
      </c>
      <c r="AB1264" s="255">
        <f t="shared" si="323"/>
        <v>-3.1E-2</v>
      </c>
      <c r="AC1264" s="255">
        <f t="shared" si="323"/>
        <v>-3.1E-2</v>
      </c>
      <c r="AD1264" s="255">
        <f t="shared" si="323"/>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4">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4"/>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4"/>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4"/>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4"/>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4"/>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4"/>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4"/>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4"/>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4"/>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4"/>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4"/>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4"/>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4"/>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4"/>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4"/>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5">U1287</f>
        <v>8.5699999999999995E-3</v>
      </c>
      <c r="V1286" s="253">
        <f t="shared" si="325"/>
        <v>8.5699999999999995E-3</v>
      </c>
      <c r="W1286" s="253">
        <f t="shared" si="325"/>
        <v>8.5699999999999995E-3</v>
      </c>
      <c r="X1286" s="253">
        <f t="shared" si="325"/>
        <v>8.5699999999999995E-3</v>
      </c>
      <c r="Y1286" s="253">
        <f t="shared" si="325"/>
        <v>8.5699999999999995E-3</v>
      </c>
      <c r="Z1286" s="253">
        <f t="shared" si="325"/>
        <v>2.7799999999999999E-3</v>
      </c>
      <c r="AA1286" s="253">
        <f t="shared" si="325"/>
        <v>2.7799999999999999E-3</v>
      </c>
      <c r="AB1286" s="253">
        <f t="shared" si="325"/>
        <v>2.7799999999999999E-3</v>
      </c>
      <c r="AC1286" s="253">
        <f t="shared" si="325"/>
        <v>2.7799999999999999E-3</v>
      </c>
      <c r="AD1286" s="253">
        <f t="shared" si="325"/>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6">AA1287</f>
        <v>2.7799999999999999E-3</v>
      </c>
      <c r="AC1287" s="400">
        <f t="shared" si="326"/>
        <v>2.7799999999999999E-3</v>
      </c>
      <c r="AD1287" s="400">
        <f t="shared" si="326"/>
        <v>2.7799999999999999E-3</v>
      </c>
      <c r="AE1287" s="76"/>
      <c r="AF1287" s="76"/>
      <c r="AG1287" s="76"/>
      <c r="AH1287" s="97">
        <v>1</v>
      </c>
      <c r="AI1287" s="97">
        <v>1</v>
      </c>
      <c r="AJ1287" s="73"/>
      <c r="AK1287" s="57"/>
      <c r="AL1287" s="45"/>
      <c r="AM1287" s="45"/>
      <c r="AN1287" s="45"/>
    </row>
    <row r="1288" spans="1:40" hidden="1" outlineLevel="2"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6"/>
        <v>1.6129999999999999E-2</v>
      </c>
      <c r="AC1288" s="400">
        <f t="shared" si="326"/>
        <v>1.6129999999999999E-2</v>
      </c>
      <c r="AD1288" s="400">
        <f t="shared" si="326"/>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7">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8">AA1292</f>
        <v>4.2411000000000003</v>
      </c>
      <c r="AC1292" s="411">
        <f t="shared" si="328"/>
        <v>4.2411000000000003</v>
      </c>
      <c r="AD1292" s="411">
        <f t="shared" si="328"/>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7"/>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8"/>
        <v>0.13919999999999999</v>
      </c>
      <c r="AC1293" s="401">
        <f t="shared" si="328"/>
        <v>0.13919999999999999</v>
      </c>
      <c r="AD1293" s="401">
        <f t="shared" si="328"/>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7"/>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9">U1295</f>
        <v>0.03</v>
      </c>
      <c r="V1294" s="253">
        <f t="shared" si="329"/>
        <v>0.03</v>
      </c>
      <c r="W1294" s="253">
        <f t="shared" si="329"/>
        <v>0.03</v>
      </c>
      <c r="X1294" s="253">
        <f t="shared" si="329"/>
        <v>0.03</v>
      </c>
      <c r="Y1294" s="253">
        <f t="shared" si="329"/>
        <v>0.03</v>
      </c>
      <c r="Z1294" s="253">
        <f t="shared" si="329"/>
        <v>7.0000000000000062E-3</v>
      </c>
      <c r="AA1294" s="253">
        <f t="shared" si="329"/>
        <v>7.0000000000000062E-3</v>
      </c>
      <c r="AB1294" s="253">
        <f t="shared" si="329"/>
        <v>7.0000000000000062E-3</v>
      </c>
      <c r="AC1294" s="253">
        <f t="shared" si="329"/>
        <v>7.0000000000000062E-3</v>
      </c>
      <c r="AD1294" s="253">
        <f t="shared" si="329"/>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7"/>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30">AA1295</f>
        <v>7.0000000000000062E-3</v>
      </c>
      <c r="AA1295" s="97">
        <f>0.1462-AA$1293</f>
        <v>7.0000000000000062E-3</v>
      </c>
      <c r="AB1295" s="255">
        <f t="shared" ref="AB1295:AD1301" si="331">AA1295</f>
        <v>7.0000000000000062E-3</v>
      </c>
      <c r="AC1295" s="255">
        <f t="shared" si="331"/>
        <v>7.0000000000000062E-3</v>
      </c>
      <c r="AD1295" s="255">
        <f t="shared" si="331"/>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7"/>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30"/>
        <v>-3.0299999999999994E-2</v>
      </c>
      <c r="AA1296" s="97">
        <f>0.1089-AA$1293</f>
        <v>-3.0299999999999994E-2</v>
      </c>
      <c r="AB1296" s="255">
        <f t="shared" si="331"/>
        <v>-3.0299999999999994E-2</v>
      </c>
      <c r="AC1296" s="255">
        <f t="shared" si="331"/>
        <v>-3.0299999999999994E-2</v>
      </c>
      <c r="AD1296" s="255">
        <f t="shared" si="331"/>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7"/>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30"/>
        <v>-0.13919999999999999</v>
      </c>
      <c r="AA1297" s="97">
        <f>0-AA$1293</f>
        <v>-0.13919999999999999</v>
      </c>
      <c r="AB1297" s="255">
        <f t="shared" si="331"/>
        <v>-0.13919999999999999</v>
      </c>
      <c r="AC1297" s="255">
        <f t="shared" si="331"/>
        <v>-0.13919999999999999</v>
      </c>
      <c r="AD1297" s="255">
        <f t="shared" si="331"/>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7"/>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30"/>
        <v>0</v>
      </c>
      <c r="AA1298" s="76">
        <v>0</v>
      </c>
      <c r="AB1298" s="255">
        <f t="shared" si="331"/>
        <v>0</v>
      </c>
      <c r="AC1298" s="255">
        <f t="shared" si="331"/>
        <v>0</v>
      </c>
      <c r="AD1298" s="255">
        <f t="shared" si="331"/>
        <v>0</v>
      </c>
      <c r="AE1298" s="76"/>
      <c r="AF1298" s="76"/>
      <c r="AG1298" s="76"/>
      <c r="AH1298" s="97">
        <v>1</v>
      </c>
      <c r="AI1298" s="97">
        <v>1</v>
      </c>
      <c r="AJ1298" s="73"/>
      <c r="AK1298" s="57"/>
      <c r="AL1298" s="45"/>
      <c r="AM1298" s="45"/>
      <c r="AN1298" s="45"/>
    </row>
    <row r="1299" spans="1:40" hidden="1" outlineLevel="2" x14ac:dyDescent="0.25">
      <c r="A1299" s="45"/>
      <c r="B1299" s="54"/>
      <c r="C1299" s="47">
        <f t="shared" si="327"/>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30"/>
        <v>0</v>
      </c>
      <c r="AA1299" s="76">
        <v>0</v>
      </c>
      <c r="AB1299" s="255">
        <f t="shared" si="331"/>
        <v>0</v>
      </c>
      <c r="AC1299" s="255">
        <f t="shared" si="331"/>
        <v>0</v>
      </c>
      <c r="AD1299" s="255">
        <f t="shared" si="331"/>
        <v>0</v>
      </c>
      <c r="AE1299" s="76"/>
      <c r="AF1299" s="76"/>
      <c r="AG1299" s="76"/>
      <c r="AH1299" s="97">
        <v>1</v>
      </c>
      <c r="AI1299" s="97">
        <v>1</v>
      </c>
      <c r="AJ1299" s="73"/>
      <c r="AK1299" s="57"/>
      <c r="AL1299" s="45"/>
      <c r="AM1299" s="45"/>
      <c r="AN1299" s="45"/>
    </row>
    <row r="1300" spans="1:40" hidden="1" outlineLevel="2" x14ac:dyDescent="0.25">
      <c r="A1300" s="45"/>
      <c r="B1300" s="54"/>
      <c r="C1300" s="47">
        <f t="shared" si="327"/>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30"/>
        <v>24.748000000000001</v>
      </c>
      <c r="AA1300" s="97">
        <f>27.01-0.2262*10</f>
        <v>24.748000000000001</v>
      </c>
      <c r="AB1300" s="255">
        <f t="shared" si="331"/>
        <v>24.748000000000001</v>
      </c>
      <c r="AC1300" s="255">
        <f t="shared" si="331"/>
        <v>24.748000000000001</v>
      </c>
      <c r="AD1300" s="255">
        <f t="shared" si="331"/>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7"/>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30"/>
        <v>2.0499999999999997E-3</v>
      </c>
      <c r="AA1301" s="97">
        <f>2.05/1000</f>
        <v>2.0499999999999997E-3</v>
      </c>
      <c r="AB1301" s="255">
        <f t="shared" si="331"/>
        <v>2.0499999999999997E-3</v>
      </c>
      <c r="AC1301" s="255">
        <f t="shared" si="331"/>
        <v>2.0499999999999997E-3</v>
      </c>
      <c r="AD1301" s="255">
        <f t="shared" si="331"/>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7"/>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32">U1303</f>
        <v>-5.9999999999999724E-5</v>
      </c>
      <c r="V1302" s="253">
        <f t="shared" si="332"/>
        <v>-5.9999999999999724E-5</v>
      </c>
      <c r="W1302" s="253">
        <f t="shared" si="332"/>
        <v>-5.9999999999999724E-5</v>
      </c>
      <c r="X1302" s="253">
        <f t="shared" si="332"/>
        <v>-5.9999999999999724E-5</v>
      </c>
      <c r="Y1302" s="253">
        <f t="shared" si="332"/>
        <v>-5.9999999999999724E-5</v>
      </c>
      <c r="Z1302" s="253">
        <f t="shared" si="332"/>
        <v>-5.9999999999999724E-5</v>
      </c>
      <c r="AA1302" s="253">
        <f t="shared" si="332"/>
        <v>-5.9999999999999724E-5</v>
      </c>
      <c r="AB1302" s="253">
        <f t="shared" si="332"/>
        <v>-5.9999999999999724E-5</v>
      </c>
      <c r="AC1302" s="253">
        <f t="shared" si="332"/>
        <v>-5.9999999999999724E-5</v>
      </c>
      <c r="AD1302" s="253">
        <f t="shared" si="332"/>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7"/>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3">AA1303</f>
        <v>-5.9999999999999724E-5</v>
      </c>
      <c r="AA1303" s="97">
        <f>1.99/1000-AA$1301</f>
        <v>-5.9999999999999724E-5</v>
      </c>
      <c r="AB1303" s="255">
        <f t="shared" ref="AB1303:AD1308" si="334">AA1303</f>
        <v>-5.9999999999999724E-5</v>
      </c>
      <c r="AC1303" s="255">
        <f t="shared" si="334"/>
        <v>-5.9999999999999724E-5</v>
      </c>
      <c r="AD1303" s="255">
        <f t="shared" si="334"/>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7"/>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3"/>
        <v>-6.4999999999999975E-4</v>
      </c>
      <c r="AA1304" s="97">
        <f>1.4/1000-AA$1301</f>
        <v>-6.4999999999999975E-4</v>
      </c>
      <c r="AB1304" s="255">
        <f t="shared" si="334"/>
        <v>-6.4999999999999975E-4</v>
      </c>
      <c r="AC1304" s="255">
        <f t="shared" si="334"/>
        <v>-6.4999999999999975E-4</v>
      </c>
      <c r="AD1304" s="255">
        <f t="shared" si="334"/>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7"/>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3"/>
        <v>-2.0499999999999997E-3</v>
      </c>
      <c r="AA1305" s="97">
        <f>0-AA$1301</f>
        <v>-2.0499999999999997E-3</v>
      </c>
      <c r="AB1305" s="255">
        <f t="shared" si="334"/>
        <v>-2.0499999999999997E-3</v>
      </c>
      <c r="AC1305" s="255">
        <f t="shared" si="334"/>
        <v>-2.0499999999999997E-3</v>
      </c>
      <c r="AD1305" s="255">
        <f t="shared" si="334"/>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7"/>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3"/>
        <v>1.02E-4</v>
      </c>
      <c r="AA1306" s="97">
        <f>0.102/1000</f>
        <v>1.02E-4</v>
      </c>
      <c r="AB1306" s="255">
        <f t="shared" si="334"/>
        <v>1.02E-4</v>
      </c>
      <c r="AC1306" s="255">
        <f t="shared" si="334"/>
        <v>1.02E-4</v>
      </c>
      <c r="AD1306" s="255">
        <f t="shared" si="334"/>
        <v>1.02E-4</v>
      </c>
      <c r="AE1306" s="76"/>
      <c r="AF1306" s="76"/>
      <c r="AG1306" s="76"/>
      <c r="AH1306" s="97">
        <v>1</v>
      </c>
      <c r="AI1306" s="97">
        <v>1</v>
      </c>
      <c r="AJ1306" s="73"/>
      <c r="AK1306" s="57"/>
      <c r="AL1306" s="45"/>
      <c r="AM1306" s="45"/>
      <c r="AN1306" s="45"/>
    </row>
    <row r="1307" spans="1:40" hidden="1" outlineLevel="2" x14ac:dyDescent="0.25">
      <c r="A1307" s="45"/>
      <c r="B1307" s="54"/>
      <c r="C1307" s="47">
        <f t="shared" si="327"/>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3"/>
        <v>-1.9000000000000001E-8</v>
      </c>
      <c r="AA1307" s="97">
        <f>-0.000019/1000</f>
        <v>-1.9000000000000001E-8</v>
      </c>
      <c r="AB1307" s="255">
        <f t="shared" si="334"/>
        <v>-1.9000000000000001E-8</v>
      </c>
      <c r="AC1307" s="255">
        <f t="shared" si="334"/>
        <v>-1.9000000000000001E-8</v>
      </c>
      <c r="AD1307" s="255">
        <f t="shared" si="334"/>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7"/>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3"/>
        <v>1.49E-2</v>
      </c>
      <c r="AA1308" s="97">
        <f>14.9/1000</f>
        <v>1.49E-2</v>
      </c>
      <c r="AB1308" s="255">
        <f t="shared" si="334"/>
        <v>1.49E-2</v>
      </c>
      <c r="AC1308" s="255">
        <f t="shared" si="334"/>
        <v>1.49E-2</v>
      </c>
      <c r="AD1308" s="255">
        <f t="shared" si="334"/>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3336</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3337</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5">INT($C$29)+2</f>
        <v>3</v>
      </c>
      <c r="D1316" s="73"/>
      <c r="E1316" s="406"/>
      <c r="F1316" s="406" t="s">
        <v>3343</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hidden="1"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6">INT($C$29)+3</f>
        <v>4</v>
      </c>
      <c r="D1318" s="73"/>
      <c r="E1318" s="70"/>
      <c r="F1318" s="70" t="s">
        <v>1909</v>
      </c>
      <c r="G1318" s="73"/>
      <c r="H1318" s="76" t="s">
        <v>3483</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6"/>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6"/>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6"/>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6"/>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6"/>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6"/>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6"/>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6"/>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6"/>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6"/>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6"/>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6"/>
        <v>4</v>
      </c>
      <c r="D1330" s="73"/>
      <c r="E1330" s="70"/>
      <c r="F1330" s="70" t="str">
        <f>SUBSTITUTE(F1325,",7)",",12)")</f>
        <v>C(U2,0,12)</v>
      </c>
      <c r="G1330" s="73"/>
      <c r="H1330" s="76" t="s">
        <v>3330</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6"/>
        <v>4</v>
      </c>
      <c r="D1331" s="73"/>
      <c r="E1331" s="70"/>
      <c r="F1331" s="70" t="str">
        <f>SUBSTITUTE(F1325,",7)",",13)")</f>
        <v>C(U2,0,13)</v>
      </c>
      <c r="G1331" s="73"/>
      <c r="H1331" s="76" t="s">
        <v>3331</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6"/>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6"/>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6"/>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6"/>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6"/>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6"/>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7">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7"/>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7"/>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7"/>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7"/>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7"/>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7"/>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7"/>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7"/>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7"/>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7"/>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7"/>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8">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8"/>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8"/>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8"/>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8"/>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8"/>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8"/>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8"/>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8"/>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8"/>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8"/>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8"/>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9">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9"/>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9"/>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9"/>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9"/>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9"/>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9"/>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9"/>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9"/>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9"/>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9"/>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9"/>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40">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40"/>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0"/>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0"/>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0"/>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0"/>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0"/>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0"/>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0"/>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0"/>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0"/>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0"/>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41">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41"/>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1"/>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1"/>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1"/>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1"/>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1"/>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1"/>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1"/>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1"/>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1"/>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1"/>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42">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42"/>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2"/>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2"/>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2"/>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2"/>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2"/>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2"/>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2"/>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2"/>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2"/>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2"/>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3">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3"/>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4">U1438</f>
        <v>3.157</v>
      </c>
      <c r="X1438" s="405">
        <f t="shared" si="344"/>
        <v>3.157</v>
      </c>
      <c r="Y1438" s="405">
        <f>V1438</f>
        <v>3.157</v>
      </c>
      <c r="Z1438" s="405">
        <f>AA1438</f>
        <v>2.9750000000000001</v>
      </c>
      <c r="AA1438" s="404">
        <v>2.9750000000000001</v>
      </c>
      <c r="AB1438" s="405">
        <f t="shared" ref="AB1438:AD1440" si="345">AA1438</f>
        <v>2.9750000000000001</v>
      </c>
      <c r="AC1438" s="405">
        <f t="shared" si="345"/>
        <v>2.9750000000000001</v>
      </c>
      <c r="AD1438" s="405">
        <f t="shared" si="345"/>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4"/>
        <v>-0.28570000000000001</v>
      </c>
      <c r="X1439" s="255">
        <f t="shared" si="344"/>
        <v>-0.28570000000000001</v>
      </c>
      <c r="Y1439" s="255">
        <f>V1439</f>
        <v>-0.28570000000000001</v>
      </c>
      <c r="Z1439" s="400">
        <f>AA1439</f>
        <v>-0.23649999999999999</v>
      </c>
      <c r="AA1439" s="97">
        <v>-0.23649999999999999</v>
      </c>
      <c r="AB1439" s="400">
        <f t="shared" si="345"/>
        <v>-0.23649999999999999</v>
      </c>
      <c r="AC1439" s="400">
        <f t="shared" si="345"/>
        <v>-0.23649999999999999</v>
      </c>
      <c r="AD1439" s="400">
        <f t="shared" si="345"/>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4"/>
        <v>-7.9950000000000004E-3</v>
      </c>
      <c r="X1440" s="255">
        <f t="shared" si="344"/>
        <v>-7.9950000000000004E-3</v>
      </c>
      <c r="Y1440" s="255">
        <f>V1440</f>
        <v>-7.9950000000000004E-3</v>
      </c>
      <c r="Z1440" s="400">
        <f>AA1440</f>
        <v>-1.761E-3</v>
      </c>
      <c r="AA1440" s="97">
        <v>-1.761E-3</v>
      </c>
      <c r="AB1440" s="400">
        <f t="shared" si="345"/>
        <v>-1.761E-3</v>
      </c>
      <c r="AC1440" s="400">
        <f t="shared" si="345"/>
        <v>-1.761E-3</v>
      </c>
      <c r="AD1440" s="400">
        <f t="shared" si="345"/>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6">AA1442</f>
        <v>0</v>
      </c>
      <c r="AC1442" s="400">
        <f t="shared" si="346"/>
        <v>0</v>
      </c>
      <c r="AD1442" s="400">
        <f t="shared" si="346"/>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6"/>
        <v>0</v>
      </c>
      <c r="AC1443" s="400">
        <f t="shared" si="346"/>
        <v>0</v>
      </c>
      <c r="AD1443" s="400">
        <f t="shared" si="346"/>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7">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7"/>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7"/>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7"/>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7"/>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7"/>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7"/>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7"/>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3287</v>
      </c>
      <c r="U1452" s="409">
        <v>1.7397800000000001</v>
      </c>
      <c r="V1452" s="410">
        <v>1.51</v>
      </c>
      <c r="W1452" s="409">
        <v>1.5309999999999999</v>
      </c>
      <c r="X1452" s="409">
        <v>1.698</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8">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8"/>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8"/>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8"/>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8"/>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8"/>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8"/>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8"/>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8"/>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8"/>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8"/>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8"/>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49">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9"/>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9"/>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9"/>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9"/>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9"/>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9"/>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9"/>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9"/>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9"/>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9"/>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9"/>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50">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50"/>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0"/>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0"/>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0"/>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0"/>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0"/>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0"/>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0"/>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0"/>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0"/>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0"/>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51">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51"/>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1"/>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1"/>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1"/>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1"/>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1"/>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1"/>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1"/>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1"/>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1"/>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1"/>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52">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52"/>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2"/>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2"/>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2"/>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2"/>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2"/>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2"/>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2"/>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2"/>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2"/>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2"/>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3">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3"/>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3"/>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3"/>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3"/>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3"/>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3"/>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3"/>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3"/>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3"/>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3"/>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3"/>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4">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4"/>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4"/>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4"/>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4"/>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4"/>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4"/>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4"/>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4"/>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4"/>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4"/>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4"/>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5">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5"/>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5"/>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5"/>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5"/>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5"/>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5"/>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5"/>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5"/>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5"/>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5"/>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5"/>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6">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6"/>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6"/>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6"/>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6"/>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6"/>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6"/>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6"/>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6"/>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6"/>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6"/>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6"/>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7">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7"/>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7"/>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7"/>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7"/>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7"/>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7"/>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7"/>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7"/>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7"/>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7"/>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7"/>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8">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8"/>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9">Y1618</f>
        <v>0.57699999999999996</v>
      </c>
      <c r="AA1618" s="255">
        <f t="shared" si="359"/>
        <v>0.57699999999999996</v>
      </c>
      <c r="AB1618" s="255">
        <f t="shared" si="359"/>
        <v>0.57699999999999996</v>
      </c>
      <c r="AC1618" s="255">
        <f t="shared" si="359"/>
        <v>0.57699999999999996</v>
      </c>
      <c r="AD1618" s="255">
        <f t="shared" si="359"/>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9"/>
        <v>-1.2E-2</v>
      </c>
      <c r="AA1619" s="255">
        <f t="shared" si="359"/>
        <v>-1.2E-2</v>
      </c>
      <c r="AB1619" s="255">
        <f t="shared" si="359"/>
        <v>-1.2E-2</v>
      </c>
      <c r="AC1619" s="255">
        <f t="shared" si="359"/>
        <v>-1.2E-2</v>
      </c>
      <c r="AD1619" s="255">
        <f t="shared" si="359"/>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60">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60"/>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0"/>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60"/>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0"/>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0"/>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0"/>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0"/>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61">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61"/>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62">Y1648</f>
        <v>-8.4959000000000007</v>
      </c>
      <c r="AA1648" s="261">
        <f t="shared" si="362"/>
        <v>-8.4959000000000007</v>
      </c>
      <c r="AB1648" s="261">
        <f t="shared" si="362"/>
        <v>-8.4959000000000007</v>
      </c>
      <c r="AC1648" s="261">
        <f t="shared" si="362"/>
        <v>-8.4959000000000007</v>
      </c>
      <c r="AD1648" s="261">
        <f t="shared" si="362"/>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62"/>
        <v>1.38185</v>
      </c>
      <c r="AA1649" s="261">
        <f t="shared" si="362"/>
        <v>1.38185</v>
      </c>
      <c r="AB1649" s="261">
        <f t="shared" si="362"/>
        <v>1.38185</v>
      </c>
      <c r="AC1649" s="261">
        <f t="shared" si="362"/>
        <v>1.38185</v>
      </c>
      <c r="AD1649" s="261">
        <f t="shared" si="362"/>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3">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3"/>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3"/>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3"/>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3"/>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3"/>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3"/>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3"/>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3"/>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3"/>
        <v>4</v>
      </c>
      <c r="D1659" s="73"/>
      <c r="E1659" s="70"/>
      <c r="F1659" s="70" t="str">
        <f>SUBSTITUTE(F1655,",7)",",11)")</f>
        <v>C(U2,22,11)</v>
      </c>
      <c r="G1659" s="73"/>
      <c r="H1659" s="373" t="s">
        <v>3333</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3"/>
        <v>4</v>
      </c>
      <c r="D1660" s="73"/>
      <c r="E1660" s="70"/>
      <c r="F1660" s="70" t="str">
        <f>SUBSTITUTE(F1654,",6)",",12)")</f>
        <v>C(U2,22,12)</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3"/>
        <v>4</v>
      </c>
      <c r="D1661" s="73"/>
      <c r="E1661" s="70"/>
      <c r="F1661" s="70" t="str">
        <f>SUBSTITUTE(F1655,",7)",",13)")</f>
        <v>C(U2,22,13)</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4">U1662</f>
        <v>7.50061</v>
      </c>
      <c r="X1662" s="261">
        <f t="shared" si="364"/>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4"/>
        <v>-4.5568499999999998</v>
      </c>
      <c r="X1663" s="255">
        <f t="shared" si="364"/>
        <v>-4.5568499999999998</v>
      </c>
      <c r="Y1663" s="255">
        <f>V1663</f>
        <v>-4.5568499999999998</v>
      </c>
      <c r="Z1663" s="255">
        <f>AA1663</f>
        <v>-4.5568499999999998</v>
      </c>
      <c r="AA1663" s="97">
        <f>-(4.55685)</f>
        <v>-4.5568499999999998</v>
      </c>
      <c r="AB1663" s="255">
        <f t="shared" ref="AB1663:AD1665" si="365">AA1663</f>
        <v>-4.5568499999999998</v>
      </c>
      <c r="AC1663" s="255">
        <f t="shared" si="365"/>
        <v>-4.5568499999999998</v>
      </c>
      <c r="AD1663" s="255">
        <f t="shared" si="365"/>
        <v>-4.5568499999999998</v>
      </c>
      <c r="AE1663" s="76"/>
      <c r="AF1663" s="97" t="s">
        <v>3332</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4"/>
        <v>0.69092500000000001</v>
      </c>
      <c r="X1664" s="255">
        <f t="shared" si="364"/>
        <v>0.69092500000000001</v>
      </c>
      <c r="Y1664" s="255">
        <f>V1664</f>
        <v>0.69092500000000001</v>
      </c>
      <c r="Z1664" s="255">
        <f>AA1664</f>
        <v>0.69092500000000001</v>
      </c>
      <c r="AA1664" s="97">
        <f>-(-0.690925)</f>
        <v>0.69092500000000001</v>
      </c>
      <c r="AB1664" s="255">
        <f t="shared" si="365"/>
        <v>0.69092500000000001</v>
      </c>
      <c r="AC1664" s="255">
        <f t="shared" si="365"/>
        <v>0.69092500000000001</v>
      </c>
      <c r="AD1664" s="255">
        <f t="shared" si="365"/>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6">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4"/>
        <v>-0.15570000000000001</v>
      </c>
      <c r="X1665" s="255">
        <f t="shared" si="364"/>
        <v>-0.15570000000000001</v>
      </c>
      <c r="Y1665" s="255">
        <f>V1665</f>
        <v>-0.15570000000000001</v>
      </c>
      <c r="Z1665" s="255">
        <f>AA1665</f>
        <v>-0.15570000000000001</v>
      </c>
      <c r="AA1665" s="97">
        <f>-(0.1557)</f>
        <v>-0.15570000000000001</v>
      </c>
      <c r="AB1665" s="255">
        <f t="shared" si="365"/>
        <v>-0.15570000000000001</v>
      </c>
      <c r="AC1665" s="255">
        <f t="shared" si="365"/>
        <v>-0.15570000000000001</v>
      </c>
      <c r="AD1665" s="255">
        <f t="shared" si="365"/>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6"/>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6"/>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6"/>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6"/>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6"/>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6"/>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6"/>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6"/>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6"/>
        <v>4</v>
      </c>
      <c r="D1674" s="73"/>
      <c r="E1674" s="70"/>
      <c r="F1674" s="70" t="str">
        <f>SUBSTITUTE(F1670,",7)",",11)")</f>
        <v>C(U2,23,11)</v>
      </c>
      <c r="G1674" s="73"/>
      <c r="H1674" s="373" t="s">
        <v>3333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6"/>
        <v>4</v>
      </c>
      <c r="D1675" s="73"/>
      <c r="E1675" s="70"/>
      <c r="F1675" s="70" t="str">
        <f>SUBSTITUTE(F1669,",6)",",12)")</f>
        <v>C(U2,23,12)</v>
      </c>
      <c r="G1675" s="73"/>
      <c r="H1675" s="373" t="s">
        <v>3484</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6"/>
        <v>4</v>
      </c>
      <c r="D1676" s="73"/>
      <c r="E1676" s="70"/>
      <c r="F1676" s="70" t="s">
        <v>3485</v>
      </c>
      <c r="G1676" s="73"/>
      <c r="H1676" s="374" t="s">
        <v>2795</v>
      </c>
      <c r="I1676" s="96"/>
      <c r="J1676" s="76"/>
      <c r="K1676" s="76"/>
      <c r="L1676" s="76"/>
      <c r="M1676" s="76"/>
      <c r="N1676" s="76"/>
      <c r="O1676" s="76"/>
      <c r="P1676" s="76"/>
      <c r="Q1676" s="76"/>
      <c r="R1676" s="76"/>
      <c r="S1676" s="76"/>
      <c r="T1676" s="76"/>
      <c r="U1676" s="337">
        <f t="shared" ref="U1676:AD1676" si="367">-U$1663/(2*U$1664)</f>
        <v>3.2976444621340955</v>
      </c>
      <c r="V1676" s="337">
        <f t="shared" si="367"/>
        <v>3.2976444621340955</v>
      </c>
      <c r="W1676" s="337">
        <f t="shared" si="367"/>
        <v>3.2976444621340955</v>
      </c>
      <c r="X1676" s="337">
        <f t="shared" si="367"/>
        <v>3.2976444621340955</v>
      </c>
      <c r="Y1676" s="337">
        <f t="shared" si="367"/>
        <v>3.2976444621340955</v>
      </c>
      <c r="Z1676" s="337">
        <f t="shared" si="367"/>
        <v>3.2976444621340955</v>
      </c>
      <c r="AA1676" s="337">
        <f t="shared" si="367"/>
        <v>3.2976444621340955</v>
      </c>
      <c r="AB1676" s="337">
        <f t="shared" si="367"/>
        <v>3.2976444621340955</v>
      </c>
      <c r="AC1676" s="337">
        <f t="shared" si="367"/>
        <v>3.2976444621340955</v>
      </c>
      <c r="AD1676" s="337">
        <f t="shared" si="367"/>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8">U1677</f>
        <v>2.0276899999999998</v>
      </c>
      <c r="W1677" s="255">
        <f t="shared" ref="W1677:X1683" si="369">U1677</f>
        <v>2.0276899999999998</v>
      </c>
      <c r="X1677" s="255">
        <f t="shared" si="369"/>
        <v>2.0276899999999998</v>
      </c>
      <c r="Y1677" s="255">
        <f t="shared" ref="Y1677:Y1683" si="370">V1677</f>
        <v>2.0276899999999998</v>
      </c>
      <c r="Z1677" s="255">
        <f t="shared" ref="Z1677:Z1683" si="371">AA1677</f>
        <v>3.64628</v>
      </c>
      <c r="AA1677" s="97">
        <f>-(-3.64628)</f>
        <v>3.64628</v>
      </c>
      <c r="AB1677" s="255">
        <f t="shared" ref="AB1677:AD1683" si="372">AA1677</f>
        <v>3.64628</v>
      </c>
      <c r="AC1677" s="255">
        <f t="shared" si="372"/>
        <v>3.64628</v>
      </c>
      <c r="AD1677" s="255">
        <f t="shared" si="372"/>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8"/>
        <v>-0.26</v>
      </c>
      <c r="W1678" s="255">
        <f t="shared" si="369"/>
        <v>-0.26</v>
      </c>
      <c r="X1678" s="255">
        <f t="shared" si="369"/>
        <v>-0.26</v>
      </c>
      <c r="Y1678" s="255">
        <f t="shared" si="370"/>
        <v>-0.26</v>
      </c>
      <c r="Z1678" s="255">
        <f t="shared" si="371"/>
        <v>-0.27389999999999998</v>
      </c>
      <c r="AA1678" s="97">
        <v>-0.27389999999999998</v>
      </c>
      <c r="AB1678" s="255">
        <f t="shared" si="372"/>
        <v>-0.27389999999999998</v>
      </c>
      <c r="AC1678" s="255">
        <f t="shared" si="372"/>
        <v>-0.27389999999999998</v>
      </c>
      <c r="AD1678" s="255">
        <f t="shared" si="372"/>
        <v>-0.27389999999999998</v>
      </c>
      <c r="AE1678" s="76"/>
      <c r="AF1678" s="97" t="s">
        <v>3788</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8"/>
        <v>1.91E-3</v>
      </c>
      <c r="W1679" s="255">
        <f t="shared" si="369"/>
        <v>1.91E-3</v>
      </c>
      <c r="X1679" s="255">
        <f t="shared" si="369"/>
        <v>1.91E-3</v>
      </c>
      <c r="Y1679" s="255">
        <f t="shared" si="370"/>
        <v>1.91E-3</v>
      </c>
      <c r="Z1679" s="255">
        <f t="shared" si="371"/>
        <v>2.1199999999999999E-3</v>
      </c>
      <c r="AA1679" s="97">
        <v>2.1199999999999999E-3</v>
      </c>
      <c r="AB1679" s="255">
        <f t="shared" si="372"/>
        <v>2.1199999999999999E-3</v>
      </c>
      <c r="AC1679" s="255">
        <f t="shared" si="372"/>
        <v>2.1199999999999999E-3</v>
      </c>
      <c r="AD1679" s="255">
        <f t="shared" si="372"/>
        <v>2.1199999999999999E-3</v>
      </c>
      <c r="AE1679" s="76"/>
      <c r="AF1679" s="97" t="s">
        <v>3787</v>
      </c>
      <c r="AG1679" s="76"/>
      <c r="AH1679" s="97">
        <v>1</v>
      </c>
      <c r="AI1679" s="97">
        <v>1</v>
      </c>
      <c r="AJ1679" s="73"/>
      <c r="AK1679" s="57"/>
      <c r="AL1679" s="45"/>
      <c r="AM1679" s="45"/>
      <c r="AN1679" s="45"/>
    </row>
    <row r="1680" spans="1:40" hidden="1" outlineLevel="2" collapsed="1" x14ac:dyDescent="0.25">
      <c r="A1680" s="45"/>
      <c r="B1680" s="54"/>
      <c r="C1680" s="47">
        <f t="shared" ref="C1680:C1691" si="373">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3"/>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3"/>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8"/>
        <v>-5.1499999999999997E-2</v>
      </c>
      <c r="W1682" s="255">
        <f t="shared" si="369"/>
        <v>-5.1499999999999997E-2</v>
      </c>
      <c r="X1682" s="255">
        <f t="shared" si="369"/>
        <v>-5.1499999999999997E-2</v>
      </c>
      <c r="Y1682" s="255">
        <f t="shared" si="370"/>
        <v>-5.1499999999999997E-2</v>
      </c>
      <c r="Z1682" s="255">
        <f t="shared" si="371"/>
        <v>-2.75E-2</v>
      </c>
      <c r="AA1682" s="97">
        <v>-2.75E-2</v>
      </c>
      <c r="AB1682" s="255">
        <f t="shared" si="372"/>
        <v>-2.75E-2</v>
      </c>
      <c r="AC1682" s="255">
        <f t="shared" si="372"/>
        <v>-2.75E-2</v>
      </c>
      <c r="AD1682" s="255">
        <f t="shared" si="372"/>
        <v>-2.75E-2</v>
      </c>
      <c r="AE1682" s="76"/>
      <c r="AF1682" s="76"/>
      <c r="AG1682" s="76"/>
      <c r="AH1682" s="97">
        <v>1</v>
      </c>
      <c r="AI1682" s="97">
        <v>1</v>
      </c>
      <c r="AJ1682" s="73"/>
      <c r="AK1682" s="57"/>
      <c r="AL1682" s="45"/>
      <c r="AM1682" s="45"/>
      <c r="AN1682" s="45"/>
    </row>
    <row r="1683" spans="1:40" hidden="1" outlineLevel="2" x14ac:dyDescent="0.25">
      <c r="A1683" s="45"/>
      <c r="B1683" s="54"/>
      <c r="C1683" s="47">
        <f t="shared" si="373"/>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8"/>
        <v>8.916204986149583E-5</v>
      </c>
      <c r="W1683" s="255">
        <f t="shared" si="369"/>
        <v>8.916204986149583E-5</v>
      </c>
      <c r="X1683" s="255">
        <f t="shared" si="369"/>
        <v>8.916204986149583E-5</v>
      </c>
      <c r="Y1683" s="255">
        <f t="shared" si="370"/>
        <v>8.916204986149583E-5</v>
      </c>
      <c r="Z1683" s="255">
        <f t="shared" si="371"/>
        <v>4.7610803324099718E-5</v>
      </c>
      <c r="AA1683" s="97">
        <f>-AA1682/(2*9.5*30.4)</f>
        <v>4.7610803324099718E-5</v>
      </c>
      <c r="AB1683" s="255">
        <f t="shared" si="372"/>
        <v>4.7610803324099718E-5</v>
      </c>
      <c r="AC1683" s="255">
        <f t="shared" si="372"/>
        <v>4.7610803324099718E-5</v>
      </c>
      <c r="AD1683" s="255">
        <f t="shared" si="372"/>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3"/>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3"/>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3"/>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3"/>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3"/>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3"/>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3"/>
        <v>4</v>
      </c>
      <c r="D1690" s="73"/>
      <c r="E1690" s="70"/>
      <c r="F1690" s="70" t="s">
        <v>3326</v>
      </c>
      <c r="G1690" s="73"/>
      <c r="H1690" s="374" t="s">
        <v>3325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3"/>
        <v>4</v>
      </c>
      <c r="D1691" s="73"/>
      <c r="E1691" s="70"/>
      <c r="F1691" s="70" t="s">
        <v>3327</v>
      </c>
      <c r="G1691" s="73"/>
      <c r="H1691" s="374" t="s">
        <v>3324</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4">U1692</f>
        <v>15.275</v>
      </c>
      <c r="X1692" s="255">
        <f t="shared" si="374"/>
        <v>15.275</v>
      </c>
      <c r="Y1692" s="255">
        <f>V1692</f>
        <v>15.275</v>
      </c>
      <c r="Z1692" s="255">
        <f>AA1692</f>
        <v>11.141</v>
      </c>
      <c r="AA1692" s="97">
        <v>11.141</v>
      </c>
      <c r="AB1692" s="255">
        <f t="shared" ref="AB1692:AD1709" si="375">AA1692</f>
        <v>11.141</v>
      </c>
      <c r="AC1692" s="255">
        <f t="shared" si="375"/>
        <v>11.141</v>
      </c>
      <c r="AD1692" s="255">
        <f t="shared" si="375"/>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3777</v>
      </c>
      <c r="I1693" s="76"/>
      <c r="J1693" s="76"/>
      <c r="K1693" s="76"/>
      <c r="L1693" s="76"/>
      <c r="M1693" s="76"/>
      <c r="N1693" s="76"/>
      <c r="O1693" s="76"/>
      <c r="P1693" s="76"/>
      <c r="Q1693" s="76"/>
      <c r="R1693" s="76"/>
      <c r="S1693" s="76"/>
      <c r="T1693" s="76"/>
      <c r="U1693" s="97">
        <v>-0.24499299999999999</v>
      </c>
      <c r="V1693" s="255">
        <f t="shared" ref="V1693:V1707" si="376">U1693</f>
        <v>-0.24499299999999999</v>
      </c>
      <c r="W1693" s="627">
        <f>W1708</f>
        <v>-9.8000000000000004E-2</v>
      </c>
      <c r="X1693" s="627">
        <f t="shared" ref="X1693:Y1693" si="377">X1708</f>
        <v>-9.8000000000000004E-2</v>
      </c>
      <c r="Y1693" s="627">
        <f t="shared" si="377"/>
        <v>-9.8000000000000004E-2</v>
      </c>
      <c r="Z1693" s="255">
        <f>AA1693</f>
        <v>-0.24499299999999999</v>
      </c>
      <c r="AA1693" s="97">
        <f>$U1693</f>
        <v>-0.24499299999999999</v>
      </c>
      <c r="AB1693" s="255">
        <f t="shared" si="375"/>
        <v>-0.24499299999999999</v>
      </c>
      <c r="AC1693" s="255">
        <f t="shared" si="375"/>
        <v>-0.24499299999999999</v>
      </c>
      <c r="AD1693" s="255">
        <f t="shared" si="375"/>
        <v>-0.24499299999999999</v>
      </c>
      <c r="AE1693" s="76"/>
      <c r="AF1693" s="97" t="s">
        <v>3776</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8">U1694</f>
        <v>1.5045E-3</v>
      </c>
      <c r="W1694" s="627">
        <f t="shared" ref="W1694:Y1694" si="379">W1709</f>
        <v>0</v>
      </c>
      <c r="X1694" s="627">
        <f t="shared" si="379"/>
        <v>0</v>
      </c>
      <c r="Y1694" s="627">
        <f t="shared" si="379"/>
        <v>0</v>
      </c>
      <c r="Z1694" s="255">
        <f>AA1694</f>
        <v>1.5045E-3</v>
      </c>
      <c r="AA1694" s="97">
        <f>$U1694</f>
        <v>1.5045E-3</v>
      </c>
      <c r="AB1694" s="255">
        <f t="shared" ref="AB1694" si="380">AA1694</f>
        <v>1.5045E-3</v>
      </c>
      <c r="AC1694" s="255">
        <f t="shared" ref="AC1694" si="381">AB1694</f>
        <v>1.5045E-3</v>
      </c>
      <c r="AD1694" s="255">
        <f t="shared" ref="AD1694" si="382">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3">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7">
        <f t="shared" ref="W1695:Y1695" si="384">W1710</f>
        <v>0</v>
      </c>
      <c r="X1695" s="627">
        <f t="shared" si="384"/>
        <v>0</v>
      </c>
      <c r="Y1695" s="627">
        <f t="shared" si="384"/>
        <v>0</v>
      </c>
      <c r="Z1695" s="255">
        <f>AA1695</f>
        <v>-1.0594000000000001E-4</v>
      </c>
      <c r="AA1695" s="97">
        <f t="shared" ref="AA1695:AA1707" si="385">$U1695</f>
        <v>-1.0594000000000001E-4</v>
      </c>
      <c r="AB1695" s="255">
        <f>AA1695</f>
        <v>-1.0594000000000001E-4</v>
      </c>
      <c r="AC1695" s="255">
        <f>AB1695</f>
        <v>-1.0594000000000001E-4</v>
      </c>
      <c r="AD1695" s="255">
        <f>AC1695</f>
        <v>-1.0594000000000001E-4</v>
      </c>
      <c r="AE1695" s="76"/>
      <c r="AF1695" s="97" t="s">
        <v>3795</v>
      </c>
      <c r="AG1695" s="76"/>
      <c r="AH1695" s="97">
        <v>1</v>
      </c>
      <c r="AI1695" s="97">
        <v>1</v>
      </c>
      <c r="AJ1695" s="73"/>
      <c r="AK1695" s="57"/>
      <c r="AL1695" s="45"/>
      <c r="AM1695" s="45"/>
      <c r="AN1695" s="45"/>
    </row>
    <row r="1696" spans="1:40" hidden="1" outlineLevel="3" x14ac:dyDescent="0.25">
      <c r="A1696" s="45"/>
      <c r="B1696" s="54"/>
      <c r="C1696" s="47">
        <f t="shared" si="383"/>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7">
        <f t="shared" ref="W1696:Y1696" si="386">W1711</f>
        <v>0</v>
      </c>
      <c r="X1696" s="627">
        <f t="shared" si="386"/>
        <v>0</v>
      </c>
      <c r="Y1696" s="627">
        <f t="shared" si="386"/>
        <v>0</v>
      </c>
      <c r="Z1696" s="76">
        <v>0</v>
      </c>
      <c r="AA1696" s="76">
        <f t="shared" si="385"/>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3"/>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7">
        <f t="shared" ref="W1697:Y1697" si="387">W1712</f>
        <v>0</v>
      </c>
      <c r="X1697" s="627">
        <f t="shared" si="387"/>
        <v>0</v>
      </c>
      <c r="Y1697" s="627">
        <f t="shared" si="387"/>
        <v>0</v>
      </c>
      <c r="Z1697" s="76">
        <v>0</v>
      </c>
      <c r="AA1697" s="76">
        <f t="shared" si="385"/>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3"/>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7">
        <f t="shared" ref="W1698:Y1698" si="388">W1713</f>
        <v>0</v>
      </c>
      <c r="X1698" s="627">
        <f t="shared" si="388"/>
        <v>0</v>
      </c>
      <c r="Y1698" s="627">
        <f t="shared" si="388"/>
        <v>0</v>
      </c>
      <c r="Z1698" s="76">
        <v>0</v>
      </c>
      <c r="AA1698" s="76">
        <f t="shared" si="385"/>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3"/>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6"/>
        <v>-3.6999999999999998E-2</v>
      </c>
      <c r="W1699" s="627">
        <f t="shared" ref="W1699:Y1699" si="389">W1714</f>
        <v>-3.7749999999999999E-2</v>
      </c>
      <c r="X1699" s="627">
        <f t="shared" si="389"/>
        <v>-3.7749999999999999E-2</v>
      </c>
      <c r="Y1699" s="627">
        <f t="shared" si="389"/>
        <v>-3.7749999999999999E-2</v>
      </c>
      <c r="Z1699" s="255">
        <f>AA1699</f>
        <v>-3.6999999999999998E-2</v>
      </c>
      <c r="AA1699" s="97">
        <f t="shared" si="385"/>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3"/>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6"/>
        <v>0</v>
      </c>
      <c r="W1700" s="627">
        <f t="shared" ref="W1700:Y1700" si="390">W1715</f>
        <v>0</v>
      </c>
      <c r="X1700" s="627">
        <f t="shared" si="390"/>
        <v>0</v>
      </c>
      <c r="Y1700" s="627">
        <f t="shared" si="390"/>
        <v>0</v>
      </c>
      <c r="Z1700" s="76">
        <v>0</v>
      </c>
      <c r="AA1700" s="76">
        <f t="shared" si="385"/>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3"/>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7">
        <f t="shared" ref="W1701:Y1701" si="391">W1716</f>
        <v>0.05</v>
      </c>
      <c r="X1701" s="627">
        <f t="shared" si="391"/>
        <v>0.05</v>
      </c>
      <c r="Y1701" s="627">
        <f t="shared" si="391"/>
        <v>0.05</v>
      </c>
      <c r="Z1701" s="76">
        <v>0</v>
      </c>
      <c r="AA1701" s="76">
        <f t="shared" si="385"/>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3"/>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6"/>
        <v>-9.3500000000000007E-3</v>
      </c>
      <c r="W1702" s="627">
        <f t="shared" ref="W1702:Y1702" si="392">W1717</f>
        <v>-9.3500000000000007E-3</v>
      </c>
      <c r="X1702" s="627">
        <f t="shared" si="392"/>
        <v>-9.3500000000000007E-3</v>
      </c>
      <c r="Y1702" s="627">
        <f t="shared" si="392"/>
        <v>-9.3500000000000007E-3</v>
      </c>
      <c r="Z1702" s="255">
        <f>AA1702</f>
        <v>-9.3500000000000007E-3</v>
      </c>
      <c r="AA1702" s="97">
        <f t="shared" si="385"/>
        <v>-9.3500000000000007E-3</v>
      </c>
      <c r="AB1702" s="255">
        <f t="shared" ref="AB1702:AB1707" si="393">AA1702</f>
        <v>-9.3500000000000007E-3</v>
      </c>
      <c r="AC1702" s="255">
        <f t="shared" ref="AC1702:AC1707" si="394">AB1702</f>
        <v>-9.3500000000000007E-3</v>
      </c>
      <c r="AD1702" s="255">
        <f t="shared" ref="AD1702:AD1707" si="395">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3"/>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6"/>
        <v>-7.0369200000000003E-3</v>
      </c>
      <c r="W1703" s="627">
        <f t="shared" ref="W1703:Y1703" si="396">W1718</f>
        <v>-7.0369200000000003E-3</v>
      </c>
      <c r="X1703" s="627">
        <f t="shared" si="396"/>
        <v>-7.0369200000000003E-3</v>
      </c>
      <c r="Y1703" s="627">
        <f t="shared" si="396"/>
        <v>-7.0369200000000003E-3</v>
      </c>
      <c r="Z1703" s="255">
        <f>AA1703</f>
        <v>-7.0369200000000003E-3</v>
      </c>
      <c r="AA1703" s="97">
        <f t="shared" si="385"/>
        <v>-7.0369200000000003E-3</v>
      </c>
      <c r="AB1703" s="255">
        <f t="shared" si="393"/>
        <v>-7.0369200000000003E-3</v>
      </c>
      <c r="AC1703" s="255">
        <f t="shared" si="394"/>
        <v>-7.0369200000000003E-3</v>
      </c>
      <c r="AD1703" s="255">
        <f t="shared" si="395"/>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3"/>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6"/>
        <v>7.4569999999999999E-5</v>
      </c>
      <c r="W1704" s="627">
        <f t="shared" ref="W1704:Y1704" si="397">W1719</f>
        <v>7.4569999999999999E-5</v>
      </c>
      <c r="X1704" s="627">
        <f t="shared" si="397"/>
        <v>7.4569999999999999E-5</v>
      </c>
      <c r="Y1704" s="627">
        <f t="shared" si="397"/>
        <v>7.4569999999999999E-5</v>
      </c>
      <c r="Z1704" s="255">
        <f>AA1704</f>
        <v>7.4569999999999999E-5</v>
      </c>
      <c r="AA1704" s="97">
        <f t="shared" si="385"/>
        <v>7.4569999999999999E-5</v>
      </c>
      <c r="AB1704" s="255">
        <f t="shared" si="393"/>
        <v>7.4569999999999999E-5</v>
      </c>
      <c r="AC1704" s="255">
        <f t="shared" si="394"/>
        <v>7.4569999999999999E-5</v>
      </c>
      <c r="AD1704" s="255">
        <f t="shared" si="395"/>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3"/>
        <v>4</v>
      </c>
      <c r="D1705" s="73"/>
      <c r="E1705" s="70"/>
      <c r="F1705" s="70" t="s">
        <v>3328</v>
      </c>
      <c r="G1705" s="73"/>
      <c r="H1705" s="374" t="s">
        <v>3325</v>
      </c>
      <c r="I1705" s="96"/>
      <c r="J1705" s="76"/>
      <c r="K1705" s="76"/>
      <c r="L1705" s="76"/>
      <c r="M1705" s="76"/>
      <c r="N1705" s="76"/>
      <c r="O1705" s="76"/>
      <c r="P1705" s="76"/>
      <c r="Q1705" s="76"/>
      <c r="R1705" s="76"/>
      <c r="S1705" s="76"/>
      <c r="T1705" s="76"/>
      <c r="U1705" s="97">
        <v>-0.63980999999999999</v>
      </c>
      <c r="V1705" s="255">
        <f t="shared" si="376"/>
        <v>-0.63980999999999999</v>
      </c>
      <c r="W1705" s="627">
        <f t="shared" ref="W1705:Y1706" si="398">W1720</f>
        <v>0</v>
      </c>
      <c r="X1705" s="627">
        <f t="shared" si="398"/>
        <v>0</v>
      </c>
      <c r="Y1705" s="627">
        <f t="shared" si="398"/>
        <v>0</v>
      </c>
      <c r="Z1705" s="255">
        <f>AA1705</f>
        <v>-0.63980999999999999</v>
      </c>
      <c r="AA1705" s="97">
        <f t="shared" si="385"/>
        <v>-0.63980999999999999</v>
      </c>
      <c r="AB1705" s="255">
        <f t="shared" ref="AB1705" si="399">AA1705</f>
        <v>-0.63980999999999999</v>
      </c>
      <c r="AC1705" s="255">
        <f t="shared" ref="AC1705" si="400">AB1705</f>
        <v>-0.63980999999999999</v>
      </c>
      <c r="AD1705" s="255">
        <f t="shared" ref="AD1705" si="401">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3"/>
        <v>4</v>
      </c>
      <c r="D1706" s="73"/>
      <c r="E1706" s="70"/>
      <c r="F1706" s="70" t="s">
        <v>3329</v>
      </c>
      <c r="G1706" s="73"/>
      <c r="H1706" s="374" t="s">
        <v>3324</v>
      </c>
      <c r="I1706" s="96"/>
      <c r="J1706" s="76"/>
      <c r="K1706" s="76"/>
      <c r="L1706" s="76"/>
      <c r="M1706" s="76"/>
      <c r="N1706" s="76"/>
      <c r="O1706" s="76"/>
      <c r="P1706" s="76"/>
      <c r="Q1706" s="76"/>
      <c r="R1706" s="76"/>
      <c r="S1706" s="76"/>
      <c r="T1706" s="76"/>
      <c r="U1706" s="76">
        <v>0</v>
      </c>
      <c r="V1706" s="76">
        <v>0</v>
      </c>
      <c r="W1706" s="627">
        <f t="shared" si="398"/>
        <v>0</v>
      </c>
      <c r="X1706" s="627">
        <f t="shared" si="398"/>
        <v>0</v>
      </c>
      <c r="Y1706" s="627">
        <f t="shared" si="398"/>
        <v>0</v>
      </c>
      <c r="Z1706" s="76">
        <v>0</v>
      </c>
      <c r="AA1706" s="76">
        <f t="shared" si="385"/>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6"/>
        <v>7.5825149999999999</v>
      </c>
      <c r="W1707" s="627">
        <f t="shared" ref="W1707:Y1707" si="402">W1722</f>
        <v>-1.8110552</v>
      </c>
      <c r="X1707" s="627">
        <f t="shared" si="402"/>
        <v>-1.8110552</v>
      </c>
      <c r="Y1707" s="627">
        <f t="shared" si="402"/>
        <v>-1.8110552</v>
      </c>
      <c r="Z1707" s="255">
        <f>AA1707</f>
        <v>7.5825149999999999</v>
      </c>
      <c r="AA1707" s="97">
        <f t="shared" si="385"/>
        <v>7.5825149999999999</v>
      </c>
      <c r="AB1707" s="255">
        <f t="shared" si="393"/>
        <v>7.5825149999999999</v>
      </c>
      <c r="AC1707" s="255">
        <f t="shared" si="394"/>
        <v>7.5825149999999999</v>
      </c>
      <c r="AD1707" s="255">
        <f t="shared" si="395"/>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3301</v>
      </c>
      <c r="G1708" s="73"/>
      <c r="H1708" s="76" t="s">
        <v>3794</v>
      </c>
      <c r="I1708" s="76"/>
      <c r="J1708" s="76"/>
      <c r="K1708" s="76"/>
      <c r="L1708" s="76"/>
      <c r="M1708" s="76"/>
      <c r="N1708" s="76"/>
      <c r="O1708" s="76"/>
      <c r="P1708" s="76"/>
      <c r="Q1708" s="76"/>
      <c r="R1708" s="76"/>
      <c r="S1708" s="76"/>
      <c r="T1708" s="76"/>
      <c r="U1708" s="97">
        <v>-9.8000000000000004E-2</v>
      </c>
      <c r="V1708" s="255">
        <f>U1708</f>
        <v>-9.8000000000000004E-2</v>
      </c>
      <c r="W1708" s="255">
        <f t="shared" si="374"/>
        <v>-9.8000000000000004E-2</v>
      </c>
      <c r="X1708" s="255">
        <f t="shared" si="374"/>
        <v>-9.8000000000000004E-2</v>
      </c>
      <c r="Y1708" s="255">
        <f>V1708</f>
        <v>-9.8000000000000004E-2</v>
      </c>
      <c r="Z1708" s="255">
        <f>AA1708</f>
        <v>-3.9480000000000001E-2</v>
      </c>
      <c r="AA1708" s="97">
        <v>-3.9480000000000001E-2</v>
      </c>
      <c r="AB1708" s="255">
        <f t="shared" si="375"/>
        <v>-3.9480000000000001E-2</v>
      </c>
      <c r="AC1708" s="255">
        <f t="shared" si="375"/>
        <v>-3.9480000000000001E-2</v>
      </c>
      <c r="AD1708" s="255">
        <f t="shared" si="375"/>
        <v>-3.9480000000000001E-2</v>
      </c>
      <c r="AE1708" s="76"/>
      <c r="AF1708" s="97" t="s">
        <v>3778</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3303</v>
      </c>
      <c r="G1709" s="73"/>
      <c r="H1709" s="76" t="s">
        <v>2475</v>
      </c>
      <c r="I1709" s="76"/>
      <c r="J1709" s="76"/>
      <c r="K1709" s="76"/>
      <c r="L1709" s="76"/>
      <c r="M1709" s="76"/>
      <c r="N1709" s="76"/>
      <c r="O1709" s="76"/>
      <c r="P1709" s="76"/>
      <c r="Q1709" s="76"/>
      <c r="R1709" s="76"/>
      <c r="S1709" s="76"/>
      <c r="T1709" s="76"/>
      <c r="U1709" s="97">
        <v>0</v>
      </c>
      <c r="V1709" s="255">
        <f>U1709</f>
        <v>0</v>
      </c>
      <c r="W1709" s="255">
        <f t="shared" si="374"/>
        <v>0</v>
      </c>
      <c r="X1709" s="255">
        <f t="shared" si="374"/>
        <v>0</v>
      </c>
      <c r="Y1709" s="255">
        <f>V1709</f>
        <v>0</v>
      </c>
      <c r="Z1709" s="255">
        <f>AA1709</f>
        <v>0</v>
      </c>
      <c r="AA1709" s="97">
        <v>0</v>
      </c>
      <c r="AB1709" s="255">
        <f t="shared" si="375"/>
        <v>0</v>
      </c>
      <c r="AC1709" s="255">
        <f t="shared" si="375"/>
        <v>0</v>
      </c>
      <c r="AD1709" s="255">
        <f t="shared" si="375"/>
        <v>0</v>
      </c>
      <c r="AE1709" s="76"/>
      <c r="AF1709" s="97" t="s">
        <v>3789</v>
      </c>
      <c r="AG1709" s="76"/>
      <c r="AH1709" s="97">
        <v>1</v>
      </c>
      <c r="AI1709" s="97">
        <v>1</v>
      </c>
      <c r="AJ1709" s="73"/>
      <c r="AK1709" s="57"/>
      <c r="AL1709" s="45"/>
      <c r="AM1709" s="45"/>
      <c r="AN1709" s="45"/>
    </row>
    <row r="1710" spans="1:40" hidden="1" outlineLevel="3" collapsed="1" x14ac:dyDescent="0.25">
      <c r="A1710" s="45"/>
      <c r="B1710" s="54"/>
      <c r="C1710" s="47">
        <f t="shared" ref="C1710:C1721" si="403">INT($C$29)+3</f>
        <v>4</v>
      </c>
      <c r="D1710" s="73"/>
      <c r="E1710" s="70"/>
      <c r="F1710" s="70" t="s">
        <v>3302</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03"/>
        <v>4</v>
      </c>
      <c r="D1711" s="73"/>
      <c r="E1711" s="70"/>
      <c r="F1711" s="70" t="s">
        <v>3304</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03"/>
        <v>4</v>
      </c>
      <c r="D1712" s="73"/>
      <c r="E1712" s="70"/>
      <c r="F1712" s="70" t="s">
        <v>3305</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03"/>
        <v>4</v>
      </c>
      <c r="D1713" s="73"/>
      <c r="E1713" s="70"/>
      <c r="F1713" s="70" t="s">
        <v>3306</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03"/>
        <v>4</v>
      </c>
      <c r="D1714" s="73"/>
      <c r="E1714" s="70"/>
      <c r="F1714" s="70" t="s">
        <v>3307</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03"/>
        <v>4</v>
      </c>
      <c r="D1715" s="73"/>
      <c r="E1715" s="70"/>
      <c r="F1715" s="70" t="s">
        <v>3308</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03"/>
        <v>4</v>
      </c>
      <c r="D1716" s="73"/>
      <c r="E1716" s="70"/>
      <c r="F1716" s="70" t="s">
        <v>3309</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4">U1716</f>
        <v>0.05</v>
      </c>
      <c r="X1716" s="255">
        <f t="shared" si="404"/>
        <v>0.05</v>
      </c>
      <c r="Y1716" s="255">
        <f>V1716</f>
        <v>0.05</v>
      </c>
      <c r="Z1716" s="255">
        <f>AA1716</f>
        <v>0</v>
      </c>
      <c r="AA1716" s="97">
        <v>0</v>
      </c>
      <c r="AB1716" s="255">
        <f t="shared" ref="AB1716:AD1725" si="405">AA1716</f>
        <v>0</v>
      </c>
      <c r="AC1716" s="255">
        <f t="shared" si="405"/>
        <v>0</v>
      </c>
      <c r="AD1716" s="255">
        <f t="shared" si="405"/>
        <v>0</v>
      </c>
      <c r="AE1716" s="76"/>
      <c r="AF1716" s="76"/>
      <c r="AG1716" s="76"/>
      <c r="AH1716" s="76">
        <v>1</v>
      </c>
      <c r="AI1716" s="76">
        <v>1</v>
      </c>
      <c r="AJ1716" s="73"/>
      <c r="AK1716" s="57"/>
      <c r="AL1716" s="45"/>
      <c r="AM1716" s="45"/>
      <c r="AN1716" s="45"/>
    </row>
    <row r="1717" spans="1:40" hidden="1" outlineLevel="2" x14ac:dyDescent="0.25">
      <c r="A1717" s="45"/>
      <c r="B1717" s="54"/>
      <c r="C1717" s="47">
        <f t="shared" si="403"/>
        <v>4</v>
      </c>
      <c r="D1717" s="73"/>
      <c r="E1717" s="70"/>
      <c r="F1717" s="70" t="s">
        <v>3310</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4"/>
        <v>-9.3500000000000007E-3</v>
      </c>
      <c r="X1717" s="255">
        <f t="shared" si="404"/>
        <v>-9.3500000000000007E-3</v>
      </c>
      <c r="Y1717" s="255">
        <f>V1717</f>
        <v>-9.3500000000000007E-3</v>
      </c>
      <c r="Z1717" s="255">
        <f>AA1717</f>
        <v>-9.3500000000000007E-3</v>
      </c>
      <c r="AA1717" s="97">
        <v>-9.3500000000000007E-3</v>
      </c>
      <c r="AB1717" s="255">
        <f t="shared" si="405"/>
        <v>-9.3500000000000007E-3</v>
      </c>
      <c r="AC1717" s="255">
        <f t="shared" si="405"/>
        <v>-9.3500000000000007E-3</v>
      </c>
      <c r="AD1717" s="255">
        <f t="shared" si="405"/>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03"/>
        <v>4</v>
      </c>
      <c r="D1718" s="73"/>
      <c r="E1718" s="70"/>
      <c r="F1718" s="70" t="s">
        <v>3311</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4"/>
        <v>-7.0369200000000003E-3</v>
      </c>
      <c r="X1718" s="255">
        <f t="shared" si="404"/>
        <v>-7.0369200000000003E-3</v>
      </c>
      <c r="Y1718" s="255">
        <f>V1718</f>
        <v>-7.0369200000000003E-3</v>
      </c>
      <c r="Z1718" s="255">
        <f>AA1718</f>
        <v>-7.0369200000000003E-3</v>
      </c>
      <c r="AA1718" s="97">
        <v>-7.0369200000000003E-3</v>
      </c>
      <c r="AB1718" s="255">
        <f t="shared" si="405"/>
        <v>-7.0369200000000003E-3</v>
      </c>
      <c r="AC1718" s="255">
        <f t="shared" si="405"/>
        <v>-7.0369200000000003E-3</v>
      </c>
      <c r="AD1718" s="255">
        <f t="shared" si="405"/>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03"/>
        <v>4</v>
      </c>
      <c r="D1719" s="73"/>
      <c r="E1719" s="70"/>
      <c r="F1719" s="70" t="s">
        <v>3312</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4"/>
        <v>7.4569999999999999E-5</v>
      </c>
      <c r="X1719" s="255">
        <f t="shared" si="404"/>
        <v>7.4569999999999999E-5</v>
      </c>
      <c r="Y1719" s="255">
        <f>V1719</f>
        <v>7.4569999999999999E-5</v>
      </c>
      <c r="Z1719" s="255">
        <f>AA1719</f>
        <v>7.4569999999999999E-5</v>
      </c>
      <c r="AA1719" s="97">
        <v>7.4569999999999999E-5</v>
      </c>
      <c r="AB1719" s="255">
        <f t="shared" si="405"/>
        <v>7.4569999999999999E-5</v>
      </c>
      <c r="AC1719" s="255">
        <f t="shared" si="405"/>
        <v>7.4569999999999999E-5</v>
      </c>
      <c r="AD1719" s="255">
        <f t="shared" si="405"/>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03"/>
        <v>4</v>
      </c>
      <c r="D1720" s="73"/>
      <c r="E1720" s="70"/>
      <c r="F1720" s="70" t="s">
        <v>3322</v>
      </c>
      <c r="G1720" s="73"/>
      <c r="H1720" s="374" t="s">
        <v>3325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03"/>
        <v>4</v>
      </c>
      <c r="D1721" s="73"/>
      <c r="E1721" s="70"/>
      <c r="F1721" s="70" t="s">
        <v>3323</v>
      </c>
      <c r="G1721" s="73"/>
      <c r="H1721" s="374" t="s">
        <v>3324</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3313</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4"/>
        <v>-1.8110552</v>
      </c>
      <c r="X1722" s="255">
        <f t="shared" si="404"/>
        <v>-1.8110552</v>
      </c>
      <c r="Y1722" s="255">
        <f>V1722</f>
        <v>-1.8110552</v>
      </c>
      <c r="Z1722" s="255">
        <f>AA1722</f>
        <v>-0.49941732500000002</v>
      </c>
      <c r="AA1722" s="97">
        <v>-0.49941732500000002</v>
      </c>
      <c r="AB1722" s="255">
        <f t="shared" si="405"/>
        <v>-0.49941732500000002</v>
      </c>
      <c r="AC1722" s="255">
        <f t="shared" si="405"/>
        <v>-0.49941732500000002</v>
      </c>
      <c r="AD1722" s="255">
        <f t="shared" si="405"/>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3344</v>
      </c>
      <c r="G1723" s="73"/>
      <c r="H1723" s="76" t="s">
        <v>3353</v>
      </c>
      <c r="I1723" s="76"/>
      <c r="J1723" s="76"/>
      <c r="K1723" s="76"/>
      <c r="L1723" s="76"/>
      <c r="M1723" s="76"/>
      <c r="N1723" s="76"/>
      <c r="O1723" s="76"/>
      <c r="P1723" s="76"/>
      <c r="Q1723" s="76"/>
      <c r="R1723" s="76"/>
      <c r="S1723" s="76"/>
      <c r="T1723" s="76"/>
      <c r="U1723" s="97">
        <v>-1.0469999999999999</v>
      </c>
      <c r="V1723" s="255">
        <f>U1723</f>
        <v>-1.0469999999999999</v>
      </c>
      <c r="W1723" s="255">
        <f t="shared" si="404"/>
        <v>-1.0469999999999999</v>
      </c>
      <c r="X1723" s="255">
        <f t="shared" si="404"/>
        <v>-1.0469999999999999</v>
      </c>
      <c r="Y1723" s="255">
        <f>V1723</f>
        <v>-1.0469999999999999</v>
      </c>
      <c r="Z1723" s="255">
        <f>AA1723</f>
        <v>-1.0469999999999999</v>
      </c>
      <c r="AA1723" s="97">
        <f>U1723</f>
        <v>-1.0469999999999999</v>
      </c>
      <c r="AB1723" s="255">
        <f t="shared" si="405"/>
        <v>-1.0469999999999999</v>
      </c>
      <c r="AC1723" s="255">
        <f t="shared" si="405"/>
        <v>-1.0469999999999999</v>
      </c>
      <c r="AD1723" s="255">
        <f t="shared" si="405"/>
        <v>-1.0469999999999999</v>
      </c>
      <c r="AE1723" s="76"/>
      <c r="AF1723" s="97" t="s">
        <v>3597</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7.5389999999999997E-3</v>
      </c>
      <c r="V1724" s="255">
        <f>U1724</f>
        <v>7.5389999999999997E-3</v>
      </c>
      <c r="W1724" s="255">
        <f t="shared" si="404"/>
        <v>7.5389999999999997E-3</v>
      </c>
      <c r="X1724" s="255">
        <f t="shared" si="404"/>
        <v>7.5389999999999997E-3</v>
      </c>
      <c r="Y1724" s="255">
        <f>V1724</f>
        <v>7.5389999999999997E-3</v>
      </c>
      <c r="Z1724" s="255">
        <f>AA1724</f>
        <v>7.5389999999999997E-3</v>
      </c>
      <c r="AA1724" s="97">
        <f t="shared" ref="AA1724:AA1726" si="406">U1724</f>
        <v>7.5389999999999997E-3</v>
      </c>
      <c r="AB1724" s="255">
        <f t="shared" si="405"/>
        <v>7.5389999999999997E-3</v>
      </c>
      <c r="AC1724" s="255">
        <f t="shared" si="405"/>
        <v>7.5389999999999997E-3</v>
      </c>
      <c r="AD1724" s="255">
        <f t="shared" si="405"/>
        <v>7.5389999999999997E-3</v>
      </c>
      <c r="AE1724" s="76"/>
      <c r="AF1724" s="97" t="s">
        <v>3355</v>
      </c>
      <c r="AG1724" s="76"/>
      <c r="AH1724" s="76">
        <v>1</v>
      </c>
      <c r="AI1724" s="76">
        <v>1</v>
      </c>
      <c r="AJ1724" s="73"/>
      <c r="AK1724" s="57"/>
      <c r="AL1724" s="45"/>
      <c r="AM1724" s="45"/>
      <c r="AN1724" s="45"/>
    </row>
    <row r="1725" spans="1:40" hidden="1" outlineLevel="2" x14ac:dyDescent="0.25">
      <c r="A1725" s="45"/>
      <c r="B1725" s="54"/>
      <c r="C1725" s="47">
        <f t="shared" ref="C1725:C1736" si="407">INT($C$29)+3</f>
        <v>4</v>
      </c>
      <c r="D1725" s="73"/>
      <c r="E1725" s="70"/>
      <c r="F1725" s="70" t="s">
        <v>3346</v>
      </c>
      <c r="G1725" s="73"/>
      <c r="H1725" s="76" t="s">
        <v>3593</v>
      </c>
      <c r="I1725" s="76"/>
      <c r="J1725" s="76"/>
      <c r="K1725" s="76"/>
      <c r="L1725" s="76"/>
      <c r="M1725" s="76"/>
      <c r="N1725" s="76"/>
      <c r="O1725" s="76"/>
      <c r="P1725" s="76"/>
      <c r="Q1725" s="76"/>
      <c r="R1725" s="76"/>
      <c r="S1725" s="76"/>
      <c r="T1725" s="76"/>
      <c r="U1725" s="97">
        <v>0.24360000000000001</v>
      </c>
      <c r="V1725" s="255">
        <f>U1725</f>
        <v>0.24360000000000001</v>
      </c>
      <c r="W1725" s="255">
        <f t="shared" si="404"/>
        <v>0.24360000000000001</v>
      </c>
      <c r="X1725" s="255">
        <f t="shared" si="404"/>
        <v>0.24360000000000001</v>
      </c>
      <c r="Y1725" s="255">
        <f>V1725</f>
        <v>0.24360000000000001</v>
      </c>
      <c r="Z1725" s="255">
        <f>AA1725</f>
        <v>0.24360000000000001</v>
      </c>
      <c r="AA1725" s="97">
        <f t="shared" si="406"/>
        <v>0.24360000000000001</v>
      </c>
      <c r="AB1725" s="255">
        <f t="shared" si="405"/>
        <v>0.24360000000000001</v>
      </c>
      <c r="AC1725" s="255">
        <f t="shared" si="405"/>
        <v>0.24360000000000001</v>
      </c>
      <c r="AD1725" s="255">
        <f t="shared" si="405"/>
        <v>0.24360000000000001</v>
      </c>
      <c r="AE1725" s="76"/>
      <c r="AF1725" s="97" t="s">
        <v>3356</v>
      </c>
      <c r="AG1725" s="76"/>
      <c r="AH1725" s="97">
        <v>1</v>
      </c>
      <c r="AI1725" s="97">
        <v>1</v>
      </c>
      <c r="AJ1725" s="73"/>
      <c r="AK1725" s="57"/>
      <c r="AL1725" s="45"/>
      <c r="AM1725" s="45"/>
      <c r="AN1725" s="45"/>
    </row>
    <row r="1726" spans="1:40" hidden="1" outlineLevel="2" collapsed="1" x14ac:dyDescent="0.25">
      <c r="A1726" s="45"/>
      <c r="B1726" s="54"/>
      <c r="C1726" s="47">
        <f t="shared" si="407"/>
        <v>4</v>
      </c>
      <c r="D1726" s="73"/>
      <c r="E1726" s="70"/>
      <c r="F1726" s="70" t="s">
        <v>3347</v>
      </c>
      <c r="G1726" s="73"/>
      <c r="H1726" s="76" t="s">
        <v>3594</v>
      </c>
      <c r="I1726" s="76"/>
      <c r="J1726" s="76"/>
      <c r="K1726" s="76"/>
      <c r="L1726" s="76"/>
      <c r="M1726" s="76"/>
      <c r="N1726" s="76"/>
      <c r="O1726" s="76"/>
      <c r="P1726" s="76"/>
      <c r="Q1726" s="76"/>
      <c r="R1726" s="76"/>
      <c r="S1726" s="76"/>
      <c r="T1726" s="76"/>
      <c r="U1726" s="97"/>
      <c r="V1726" s="255">
        <f t="shared" ref="V1726" si="408">U1726</f>
        <v>0</v>
      </c>
      <c r="W1726" s="255">
        <f t="shared" ref="W1726:W1727" si="409">U1726</f>
        <v>0</v>
      </c>
      <c r="X1726" s="255">
        <f t="shared" ref="X1726:X1727" si="410">V1726</f>
        <v>0</v>
      </c>
      <c r="Y1726" s="255">
        <f t="shared" ref="Y1726" si="411">V1726</f>
        <v>0</v>
      </c>
      <c r="Z1726" s="255">
        <f t="shared" ref="Z1726" si="412">AA1726</f>
        <v>0</v>
      </c>
      <c r="AA1726" s="97">
        <f t="shared" si="406"/>
        <v>0</v>
      </c>
      <c r="AB1726" s="255">
        <f t="shared" ref="AB1726:AB1727" si="413">AA1726</f>
        <v>0</v>
      </c>
      <c r="AC1726" s="255">
        <f t="shared" ref="AC1726:AC1727" si="414">AB1726</f>
        <v>0</v>
      </c>
      <c r="AD1726" s="255">
        <f t="shared" ref="AD1726:AD1727" si="415">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07"/>
        <v>4</v>
      </c>
      <c r="D1727" s="73"/>
      <c r="E1727" s="70"/>
      <c r="F1727" s="70" t="s">
        <v>3348</v>
      </c>
      <c r="G1727" s="73"/>
      <c r="H1727" s="76" t="s">
        <v>3595</v>
      </c>
      <c r="I1727" s="76"/>
      <c r="J1727" s="76"/>
      <c r="K1727" s="76"/>
      <c r="L1727" s="76"/>
      <c r="M1727" s="76"/>
      <c r="N1727" s="76"/>
      <c r="O1727" s="76"/>
      <c r="P1727" s="76"/>
      <c r="Q1727" s="76"/>
      <c r="R1727" s="76"/>
      <c r="S1727" s="76"/>
      <c r="T1727" s="76"/>
      <c r="U1727" s="97">
        <v>0.24360000000000001</v>
      </c>
      <c r="V1727" s="255">
        <f>U1727</f>
        <v>0.24360000000000001</v>
      </c>
      <c r="W1727" s="255">
        <f t="shared" si="409"/>
        <v>0.24360000000000001</v>
      </c>
      <c r="X1727" s="255">
        <f t="shared" si="410"/>
        <v>0.24360000000000001</v>
      </c>
      <c r="Y1727" s="255">
        <f>V1727</f>
        <v>0.24360000000000001</v>
      </c>
      <c r="Z1727" s="255">
        <f>AA1727</f>
        <v>0.24360000000000001</v>
      </c>
      <c r="AA1727" s="97">
        <f t="shared" ref="AA1727:AA1728" si="416">U1727</f>
        <v>0.24360000000000001</v>
      </c>
      <c r="AB1727" s="255">
        <f t="shared" si="413"/>
        <v>0.24360000000000001</v>
      </c>
      <c r="AC1727" s="255">
        <f t="shared" si="414"/>
        <v>0.24360000000000001</v>
      </c>
      <c r="AD1727" s="255">
        <f t="shared" si="415"/>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07"/>
        <v>4</v>
      </c>
      <c r="D1728" s="73"/>
      <c r="E1728" s="70"/>
      <c r="F1728" s="70" t="s">
        <v>3349</v>
      </c>
      <c r="G1728" s="73"/>
      <c r="H1728" s="76" t="s">
        <v>3596</v>
      </c>
      <c r="I1728" s="76"/>
      <c r="J1728" s="76"/>
      <c r="K1728" s="76"/>
      <c r="L1728" s="76"/>
      <c r="M1728" s="76"/>
      <c r="N1728" s="76"/>
      <c r="O1728" s="76"/>
      <c r="P1728" s="76"/>
      <c r="Q1728" s="76"/>
      <c r="R1728" s="76"/>
      <c r="S1728" s="76"/>
      <c r="T1728" s="76"/>
      <c r="U1728" s="97"/>
      <c r="V1728" s="255">
        <f t="shared" ref="V1728" si="417">U1728</f>
        <v>0</v>
      </c>
      <c r="W1728" s="255">
        <f t="shared" ref="W1728" si="418">U1728</f>
        <v>0</v>
      </c>
      <c r="X1728" s="255">
        <f t="shared" ref="X1728" si="419">V1728</f>
        <v>0</v>
      </c>
      <c r="Y1728" s="255">
        <f t="shared" ref="Y1728" si="420">V1728</f>
        <v>0</v>
      </c>
      <c r="Z1728" s="255">
        <f t="shared" ref="Z1728" si="421">AA1728</f>
        <v>0</v>
      </c>
      <c r="AA1728" s="97">
        <f t="shared" si="416"/>
        <v>0</v>
      </c>
      <c r="AB1728" s="255">
        <f t="shared" ref="AB1728" si="422">AA1728</f>
        <v>0</v>
      </c>
      <c r="AC1728" s="255">
        <f t="shared" ref="AC1728" si="423">AB1728</f>
        <v>0</v>
      </c>
      <c r="AD1728" s="255">
        <f t="shared" ref="AD1728" si="42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07"/>
        <v>4</v>
      </c>
      <c r="D1729" s="73"/>
      <c r="E1729" s="70"/>
      <c r="F1729" s="70" t="s">
        <v>3350</v>
      </c>
      <c r="G1729" s="73"/>
      <c r="H1729" s="373" t="s">
        <v>3357</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7"/>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7"/>
        <v>4</v>
      </c>
      <c r="D1731" s="73"/>
      <c r="E1731" s="70"/>
      <c r="F1731" s="70" t="str">
        <f>SUBSTITUTE(F1727,",4)",",8)")</f>
        <v>C(U2,27,8)</v>
      </c>
      <c r="G1731" s="73"/>
      <c r="H1731" s="373" t="s">
        <v>3359</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7"/>
        <v>4</v>
      </c>
      <c r="D1732" s="73"/>
      <c r="E1732" s="70"/>
      <c r="F1732" s="70" t="str">
        <f>SUBSTITUTE(F1728,",5)",",9)")</f>
        <v>C(U2,27,9)</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07"/>
        <v>4</v>
      </c>
      <c r="D1733" s="73"/>
      <c r="E1733" s="70"/>
      <c r="F1733" s="70" t="str">
        <f>SUBSTITUTE(F1729,",6)",",10)")</f>
        <v>C(U2,27,10)</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07"/>
        <v>4</v>
      </c>
      <c r="D1734" s="73"/>
      <c r="E1734" s="70"/>
      <c r="F1734" s="70" t="str">
        <f>SUBSTITUTE(F1730,",7)",",11)")</f>
        <v>C(U2,27,11)</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7"/>
        <v>4</v>
      </c>
      <c r="D1735" s="73"/>
      <c r="E1735" s="70"/>
      <c r="F1735" s="70" t="str">
        <f>SUBSTITUTE(F1729,",6)",",12)")</f>
        <v>C(U2,27,12)</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07"/>
        <v>4</v>
      </c>
      <c r="D1736" s="73"/>
      <c r="E1736" s="70"/>
      <c r="F1736" s="70" t="str">
        <f>SUBSTITUTE(F1730,",7)",",13)")</f>
        <v>C(U2,27,13)</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3352</v>
      </c>
      <c r="G1737" s="73"/>
      <c r="H1737" s="76" t="s">
        <v>3365</v>
      </c>
      <c r="I1737" s="76"/>
      <c r="J1737" s="76"/>
      <c r="K1737" s="76"/>
      <c r="L1737" s="76"/>
      <c r="M1737" s="76"/>
      <c r="N1737" s="76"/>
      <c r="O1737" s="76"/>
      <c r="P1737" s="76"/>
      <c r="Q1737" s="76"/>
      <c r="R1737" s="76"/>
      <c r="S1737" s="76"/>
      <c r="T1737" s="76"/>
      <c r="U1737" s="97">
        <v>28.52</v>
      </c>
      <c r="V1737" s="255">
        <f t="shared" ref="V1737" si="425">U1737</f>
        <v>28.52</v>
      </c>
      <c r="W1737" s="255">
        <f t="shared" ref="W1737" si="426">U1737</f>
        <v>28.52</v>
      </c>
      <c r="X1737" s="255">
        <f t="shared" ref="X1737" si="427">V1737</f>
        <v>28.52</v>
      </c>
      <c r="Y1737" s="255">
        <f t="shared" ref="Y1737" si="428">V1737</f>
        <v>28.52</v>
      </c>
      <c r="Z1737" s="255">
        <f t="shared" ref="Z1737" si="429">AA1737</f>
        <v>28.52</v>
      </c>
      <c r="AA1737" s="97">
        <f>U1737</f>
        <v>28.52</v>
      </c>
      <c r="AB1737" s="255">
        <f t="shared" ref="AB1737" si="430">AA1737</f>
        <v>28.52</v>
      </c>
      <c r="AC1737" s="255">
        <f t="shared" ref="AC1737" si="431">AB1737</f>
        <v>28.52</v>
      </c>
      <c r="AD1737" s="255">
        <f t="shared" ref="AD1737" si="432">AC1737</f>
        <v>28.52</v>
      </c>
      <c r="AE1737" s="76"/>
      <c r="AF1737" s="97"/>
      <c r="AG1737" s="76"/>
      <c r="AH1737" s="97">
        <v>1</v>
      </c>
      <c r="AI1737" s="97">
        <v>1</v>
      </c>
      <c r="AJ1737" s="73"/>
      <c r="AK1737" s="57"/>
      <c r="AL1737" s="45"/>
      <c r="AM1737" s="45"/>
      <c r="AN1737" s="45"/>
    </row>
    <row r="1738" spans="1:40" hidden="1" outlineLevel="1" collapsed="1" x14ac:dyDescent="0.25">
      <c r="A1738" s="45"/>
      <c r="B1738" s="54"/>
      <c r="C1738" s="47">
        <f>INT($C$29)+1</f>
        <v>2</v>
      </c>
      <c r="D1738" s="73"/>
      <c r="E1738" s="70"/>
      <c r="F1738" s="265" t="s">
        <v>1702</v>
      </c>
      <c r="G1738" s="73"/>
      <c r="H1738" s="267" t="s">
        <v>3741</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x14ac:dyDescent="0.25">
      <c r="A1739" s="45"/>
      <c r="B1739" s="54"/>
      <c r="C1739" s="47">
        <f t="shared" ref="C1739:C1758" si="433">INT($C$29)+3</f>
        <v>4</v>
      </c>
      <c r="D1739" s="73"/>
      <c r="E1739" s="70"/>
      <c r="F1739" s="70" t="s">
        <v>3512</v>
      </c>
      <c r="G1739" s="73"/>
      <c r="H1739" s="76" t="s">
        <v>3508</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3"/>
        <v>4</v>
      </c>
      <c r="D1740" s="73"/>
      <c r="E1740" s="70"/>
      <c r="F1740" s="70" t="s">
        <v>3513</v>
      </c>
      <c r="G1740" s="73"/>
      <c r="H1740" s="76" t="s">
        <v>3496</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3"/>
        <v>4</v>
      </c>
      <c r="D1741" s="73"/>
      <c r="E1741" s="70"/>
      <c r="F1741" s="70" t="s">
        <v>3514</v>
      </c>
      <c r="G1741" s="73"/>
      <c r="H1741" s="76" t="s">
        <v>3503</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3"/>
        <v>4</v>
      </c>
      <c r="D1742" s="73"/>
      <c r="E1742" s="70"/>
      <c r="F1742" s="70" t="s">
        <v>3515</v>
      </c>
      <c r="G1742" s="73"/>
      <c r="H1742" s="76" t="s">
        <v>3497</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3"/>
        <v>4</v>
      </c>
      <c r="D1743" s="73"/>
      <c r="E1743" s="70"/>
      <c r="F1743" s="70" t="s">
        <v>3516</v>
      </c>
      <c r="G1743" s="73"/>
      <c r="H1743" s="76" t="s">
        <v>3504</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3"/>
        <v>4</v>
      </c>
      <c r="D1744" s="73"/>
      <c r="E1744" s="70"/>
      <c r="F1744" s="70" t="s">
        <v>3517</v>
      </c>
      <c r="G1744" s="73"/>
      <c r="H1744" s="76" t="s">
        <v>3498</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3"/>
        <v>4</v>
      </c>
      <c r="D1745" s="73"/>
      <c r="E1745" s="70"/>
      <c r="F1745" s="70" t="s">
        <v>3518</v>
      </c>
      <c r="G1745" s="73"/>
      <c r="H1745" s="76" t="s">
        <v>3505</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3"/>
        <v>4</v>
      </c>
      <c r="D1746" s="73"/>
      <c r="E1746" s="70"/>
      <c r="F1746" s="70" t="s">
        <v>3519</v>
      </c>
      <c r="G1746" s="73"/>
      <c r="H1746" s="76" t="s">
        <v>3499</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3"/>
        <v>4</v>
      </c>
      <c r="D1747" s="73"/>
      <c r="E1747" s="70"/>
      <c r="F1747" s="70" t="str">
        <f>SUBSTITUTE(F1743,",4)",",8)")</f>
        <v>C(U6,0,8)</v>
      </c>
      <c r="G1747" s="73"/>
      <c r="H1747" s="76" t="s">
        <v>3506</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3"/>
        <v>4</v>
      </c>
      <c r="D1748" s="73"/>
      <c r="E1748" s="70"/>
      <c r="F1748" s="70" t="str">
        <f>SUBSTITUTE(F1744,",5)",",9)")</f>
        <v>C(U6,0,9)</v>
      </c>
      <c r="G1748" s="73"/>
      <c r="H1748" s="76" t="s">
        <v>3500</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3"/>
        <v>4</v>
      </c>
      <c r="D1749" s="73"/>
      <c r="E1749" s="70"/>
      <c r="F1749" s="70" t="str">
        <f>SUBSTITUTE(F1745,",6)",",10)")</f>
        <v>C(U6,0,10)</v>
      </c>
      <c r="G1749" s="73"/>
      <c r="H1749" s="76" t="s">
        <v>3507</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3"/>
        <v>4</v>
      </c>
      <c r="D1750" s="73"/>
      <c r="E1750" s="70"/>
      <c r="F1750" s="70" t="str">
        <f>SUBSTITUTE(F1746,",7)",",11)")</f>
        <v>C(U6,0,11)</v>
      </c>
      <c r="G1750" s="73"/>
      <c r="H1750" s="76" t="s">
        <v>3501</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3"/>
        <v>4</v>
      </c>
      <c r="D1751" s="73"/>
      <c r="E1751" s="70"/>
      <c r="F1751" s="70" t="str">
        <f>SUBSTITUTE(F1746,",7)",",12)")</f>
        <v>C(U6,0,12)</v>
      </c>
      <c r="G1751" s="73"/>
      <c r="H1751" s="76" t="s">
        <v>3330</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3"/>
        <v>4</v>
      </c>
      <c r="D1752" s="73"/>
      <c r="E1752" s="70"/>
      <c r="F1752" s="70" t="str">
        <f>SUBSTITUTE(F1746,",7)",",13)")</f>
        <v>C(U6,0,13)</v>
      </c>
      <c r="G1752" s="73"/>
      <c r="H1752" s="76" t="s">
        <v>3502</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3"/>
        <v>4</v>
      </c>
      <c r="D1753" s="73"/>
      <c r="E1753" s="70"/>
      <c r="F1753" s="70" t="s">
        <v>3520</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3"/>
        <v>4</v>
      </c>
      <c r="D1754" s="73"/>
      <c r="E1754" s="70"/>
      <c r="F1754" s="70" t="s">
        <v>3521</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3"/>
        <v>4</v>
      </c>
      <c r="D1755" s="73"/>
      <c r="E1755" s="70"/>
      <c r="F1755" s="70" t="s">
        <v>3522</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3"/>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3"/>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33"/>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34">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4"/>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4"/>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4"/>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4"/>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4"/>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4"/>
        <v>4</v>
      </c>
      <c r="D1768" s="73"/>
      <c r="E1768" s="70"/>
      <c r="F1768" s="70" t="s">
        <v>3529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4"/>
        <v>4</v>
      </c>
      <c r="D1769" s="73"/>
      <c r="E1769" s="70"/>
      <c r="F1769" s="70" t="s">
        <v>3530</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4"/>
        <v>4</v>
      </c>
      <c r="D1770" s="73"/>
      <c r="E1770" s="70"/>
      <c r="F1770" s="70" t="s">
        <v>3531</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4"/>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4"/>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34"/>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35">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5"/>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5"/>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5"/>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5"/>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5"/>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5"/>
        <v>4</v>
      </c>
      <c r="D1783" s="73"/>
      <c r="E1783" s="70"/>
      <c r="F1783" s="70" t="s">
        <v>3538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5"/>
        <v>4</v>
      </c>
      <c r="D1784" s="73"/>
      <c r="E1784" s="70"/>
      <c r="F1784" s="70" t="s">
        <v>3539</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5"/>
        <v>4</v>
      </c>
      <c r="D1785" s="73"/>
      <c r="E1785" s="70"/>
      <c r="F1785" s="70" t="s">
        <v>3540</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5"/>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5"/>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35"/>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36">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6"/>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6"/>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6"/>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6"/>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6"/>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6"/>
        <v>4</v>
      </c>
      <c r="D1798" s="73"/>
      <c r="E1798" s="70"/>
      <c r="F1798" s="70" t="s">
        <v>3547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6"/>
        <v>4</v>
      </c>
      <c r="D1799" s="73"/>
      <c r="E1799" s="70"/>
      <c r="F1799" s="70" t="s">
        <v>3548</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6"/>
        <v>4</v>
      </c>
      <c r="D1800" s="73"/>
      <c r="E1800" s="70"/>
      <c r="F1800" s="70" t="s">
        <v>3549</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6"/>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6"/>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36"/>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37">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7"/>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7"/>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7"/>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7"/>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7"/>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7"/>
        <v>4</v>
      </c>
      <c r="D1813" s="73"/>
      <c r="E1813" s="70"/>
      <c r="F1813" s="70" t="s">
        <v>3556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7"/>
        <v>4</v>
      </c>
      <c r="D1814" s="73"/>
      <c r="E1814" s="70"/>
      <c r="F1814" s="70" t="s">
        <v>3557</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7"/>
        <v>4</v>
      </c>
      <c r="D1815" s="73"/>
      <c r="E1815" s="70"/>
      <c r="F1815" s="70" t="s">
        <v>3558</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7"/>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7"/>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37"/>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38">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8"/>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8"/>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8"/>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8"/>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8"/>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8"/>
        <v>4</v>
      </c>
      <c r="D1828" s="73"/>
      <c r="E1828" s="70"/>
      <c r="F1828" s="70" t="s">
        <v>3565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8"/>
        <v>4</v>
      </c>
      <c r="D1829" s="73"/>
      <c r="E1829" s="70"/>
      <c r="F1829" s="70" t="s">
        <v>3566</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8"/>
        <v>4</v>
      </c>
      <c r="D1830" s="73"/>
      <c r="E1830" s="70"/>
      <c r="F1830" s="70" t="s">
        <v>3567</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8"/>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8"/>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38"/>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39">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9"/>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9"/>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9"/>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9"/>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9"/>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9"/>
        <v>4</v>
      </c>
      <c r="D1843" s="73"/>
      <c r="E1843" s="70"/>
      <c r="F1843" s="70" t="s">
        <v>3574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9"/>
        <v>4</v>
      </c>
      <c r="D1844" s="73"/>
      <c r="E1844" s="70"/>
      <c r="F1844" s="70" t="s">
        <v>3575</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9"/>
        <v>4</v>
      </c>
      <c r="D1845" s="73"/>
      <c r="E1845" s="70"/>
      <c r="F1845" s="70" t="s">
        <v>3576</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9"/>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9"/>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39"/>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40">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40"/>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3583</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3584</v>
      </c>
      <c r="G1859" s="403"/>
      <c r="H1859" s="181" t="s">
        <v>3748</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41">U1859</f>
        <v>0.52490000000000003</v>
      </c>
      <c r="X1859" s="405">
        <f t="shared" ref="X1859:X1860" si="442">V1859</f>
        <v>0.52490000000000003</v>
      </c>
      <c r="Y1859" s="405">
        <f>V1859</f>
        <v>0.52490000000000003</v>
      </c>
      <c r="Z1859" s="405">
        <f>AA1859</f>
        <v>0.52490000000000003</v>
      </c>
      <c r="AA1859" s="404">
        <f>U1859</f>
        <v>0.52490000000000003</v>
      </c>
      <c r="AB1859" s="405">
        <f t="shared" ref="AB1859:AB1860" si="443">AA1859</f>
        <v>0.52490000000000003</v>
      </c>
      <c r="AC1859" s="405">
        <f t="shared" ref="AC1859:AC1860" si="444">AB1859</f>
        <v>0.52490000000000003</v>
      </c>
      <c r="AD1859" s="405">
        <f t="shared" ref="AD1859:AD1860" si="445">AC1859</f>
        <v>0.52490000000000003</v>
      </c>
      <c r="AE1859" s="181"/>
      <c r="AF1859" s="404" t="s">
        <v>3511</v>
      </c>
      <c r="AG1859" s="181"/>
      <c r="AH1859" s="404">
        <v>1</v>
      </c>
      <c r="AI1859" s="404">
        <v>1</v>
      </c>
      <c r="AJ1859" s="73"/>
      <c r="AK1859" s="57"/>
      <c r="AL1859" s="45"/>
      <c r="AM1859" s="45"/>
      <c r="AN1859" s="45"/>
    </row>
    <row r="1860" spans="1:40" hidden="1" outlineLevel="2" x14ac:dyDescent="0.25">
      <c r="A1860" s="45"/>
      <c r="B1860" s="54"/>
      <c r="C1860" s="47">
        <f>INT($C$29)+2</f>
        <v>3</v>
      </c>
      <c r="D1860" s="73"/>
      <c r="E1860" s="70"/>
      <c r="F1860" s="70" t="s">
        <v>3585</v>
      </c>
      <c r="G1860" s="234"/>
      <c r="H1860" s="76" t="s">
        <v>3509</v>
      </c>
      <c r="I1860" s="76"/>
      <c r="J1860" s="76"/>
      <c r="K1860" s="76"/>
      <c r="L1860" s="76"/>
      <c r="M1860" s="76"/>
      <c r="N1860" s="76"/>
      <c r="O1860" s="76"/>
      <c r="P1860" s="76"/>
      <c r="Q1860" s="76"/>
      <c r="R1860" s="76"/>
      <c r="S1860" s="76"/>
      <c r="T1860" s="76"/>
      <c r="U1860" s="97">
        <v>-4.2820000000000002E-3</v>
      </c>
      <c r="V1860" s="255">
        <f>U1860</f>
        <v>-4.2820000000000002E-3</v>
      </c>
      <c r="W1860" s="255">
        <f t="shared" si="441"/>
        <v>-4.2820000000000002E-3</v>
      </c>
      <c r="X1860" s="255">
        <f t="shared" si="442"/>
        <v>-4.2820000000000002E-3</v>
      </c>
      <c r="Y1860" s="255">
        <f>V1860</f>
        <v>-4.2820000000000002E-3</v>
      </c>
      <c r="Z1860" s="400">
        <f>AA1860</f>
        <v>-4.2820000000000002E-3</v>
      </c>
      <c r="AA1860" s="97">
        <f t="shared" ref="AA1860:AA1873" si="446">U1860</f>
        <v>-4.2820000000000002E-3</v>
      </c>
      <c r="AB1860" s="400">
        <f t="shared" si="443"/>
        <v>-4.2820000000000002E-3</v>
      </c>
      <c r="AC1860" s="400">
        <f t="shared" si="444"/>
        <v>-4.2820000000000002E-3</v>
      </c>
      <c r="AD1860" s="400">
        <f t="shared" si="445"/>
        <v>-4.2820000000000002E-3</v>
      </c>
      <c r="AE1860" s="76"/>
      <c r="AF1860" s="97" t="s">
        <v>3786</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3586</v>
      </c>
      <c r="G1861" s="234"/>
      <c r="H1861" s="76" t="s">
        <v>3503</v>
      </c>
      <c r="I1861" s="76"/>
      <c r="J1861" s="76"/>
      <c r="K1861" s="76"/>
      <c r="L1861" s="76"/>
      <c r="M1861" s="76"/>
      <c r="N1861" s="76"/>
      <c r="O1861" s="76"/>
      <c r="P1861" s="76"/>
      <c r="Q1861" s="76"/>
      <c r="R1861" s="76"/>
      <c r="S1861" s="76"/>
      <c r="T1861" s="76"/>
      <c r="U1861" s="76"/>
      <c r="V1861" s="76"/>
      <c r="W1861" s="76"/>
      <c r="X1861" s="76"/>
      <c r="Y1861" s="76"/>
      <c r="Z1861" s="76"/>
      <c r="AA1861" s="76">
        <f t="shared" si="446"/>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3587</v>
      </c>
      <c r="G1862" s="234"/>
      <c r="H1862" s="76" t="s">
        <v>3497</v>
      </c>
      <c r="I1862" s="96"/>
      <c r="J1862" s="76"/>
      <c r="K1862" s="76"/>
      <c r="L1862" s="76"/>
      <c r="M1862" s="76"/>
      <c r="N1862" s="76"/>
      <c r="O1862" s="76"/>
      <c r="P1862" s="76"/>
      <c r="Q1862" s="76"/>
      <c r="R1862" s="76"/>
      <c r="S1862" s="76"/>
      <c r="T1862" s="76"/>
      <c r="U1862" s="76"/>
      <c r="V1862" s="76"/>
      <c r="W1862" s="76"/>
      <c r="X1862" s="76"/>
      <c r="Y1862" s="76"/>
      <c r="Z1862" s="76"/>
      <c r="AA1862" s="76">
        <f t="shared" si="446"/>
        <v>0</v>
      </c>
      <c r="AB1862" s="76"/>
      <c r="AC1862" s="76"/>
      <c r="AD1862" s="76"/>
      <c r="AE1862" s="76"/>
      <c r="AF1862" s="76"/>
      <c r="AG1862" s="76"/>
      <c r="AH1862" s="76">
        <v>1</v>
      </c>
      <c r="AI1862" s="76">
        <v>1</v>
      </c>
      <c r="AJ1862" s="73"/>
      <c r="AK1862" s="57"/>
      <c r="AL1862" s="45"/>
      <c r="AM1862" s="45"/>
      <c r="AN1862" s="45"/>
    </row>
    <row r="1863" spans="1:40" hidden="1" outlineLevel="2" x14ac:dyDescent="0.25">
      <c r="A1863" s="45"/>
      <c r="B1863" s="54"/>
      <c r="C1863" s="47">
        <f>INT($C$29)+2</f>
        <v>3</v>
      </c>
      <c r="D1863" s="73"/>
      <c r="E1863" s="70"/>
      <c r="F1863" s="70" t="s">
        <v>3588</v>
      </c>
      <c r="G1863" s="234"/>
      <c r="H1863" s="76" t="s">
        <v>3504</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7">U1863</f>
        <v>5.5010000000000003E-2</v>
      </c>
      <c r="X1863" s="255">
        <f t="shared" ref="X1863" si="448">V1863</f>
        <v>5.5010000000000003E-2</v>
      </c>
      <c r="Y1863" s="255">
        <f>V1863</f>
        <v>5.5010000000000003E-2</v>
      </c>
      <c r="Z1863" s="400">
        <f>AA1863</f>
        <v>5.5010000000000003E-2</v>
      </c>
      <c r="AA1863" s="97">
        <f t="shared" si="446"/>
        <v>5.5010000000000003E-2</v>
      </c>
      <c r="AB1863" s="400">
        <f t="shared" ref="AB1863" si="449">AA1863</f>
        <v>5.5010000000000003E-2</v>
      </c>
      <c r="AC1863" s="400">
        <f t="shared" ref="AC1863" si="450">AB1863</f>
        <v>5.5010000000000003E-2</v>
      </c>
      <c r="AD1863" s="400">
        <f t="shared" ref="AD1863" si="451">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3589</v>
      </c>
      <c r="G1864" s="234"/>
      <c r="H1864" s="76" t="s">
        <v>3498</v>
      </c>
      <c r="I1864" s="76"/>
      <c r="J1864" s="76"/>
      <c r="K1864" s="76"/>
      <c r="L1864" s="76"/>
      <c r="M1864" s="76"/>
      <c r="N1864" s="76"/>
      <c r="O1864" s="76"/>
      <c r="P1864" s="76"/>
      <c r="Q1864" s="76"/>
      <c r="R1864" s="76"/>
      <c r="S1864" s="76"/>
      <c r="T1864" s="76"/>
      <c r="U1864" s="76"/>
      <c r="V1864" s="76"/>
      <c r="W1864" s="76"/>
      <c r="X1864" s="76"/>
      <c r="Y1864" s="76"/>
      <c r="Z1864" s="76"/>
      <c r="AA1864" s="76">
        <f t="shared" si="446"/>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52">INT($C$29)+3</f>
        <v>4</v>
      </c>
      <c r="D1865" s="73"/>
      <c r="E1865" s="70"/>
      <c r="F1865" s="70" t="s">
        <v>3590</v>
      </c>
      <c r="G1865" s="234"/>
      <c r="H1865" s="76" t="s">
        <v>3505</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6"/>
        <v>0.14710000000000001</v>
      </c>
      <c r="AB1865" s="400">
        <f t="shared" ref="AB1865:AB1866" si="453">AA1865</f>
        <v>0.14710000000000001</v>
      </c>
      <c r="AC1865" s="400">
        <f t="shared" ref="AC1865:AC1866" si="454">AB1865</f>
        <v>0.14710000000000001</v>
      </c>
      <c r="AD1865" s="400">
        <f t="shared" ref="AD1865:AD1866" si="455">AC1865</f>
        <v>0.14710000000000001</v>
      </c>
      <c r="AE1865" s="76"/>
      <c r="AF1865" s="76"/>
      <c r="AG1865" s="76"/>
      <c r="AH1865" s="97">
        <v>1</v>
      </c>
      <c r="AI1865" s="97">
        <v>1</v>
      </c>
      <c r="AJ1865" s="73"/>
      <c r="AK1865" s="57"/>
      <c r="AL1865" s="45"/>
      <c r="AM1865" s="45"/>
      <c r="AN1865" s="45"/>
    </row>
    <row r="1866" spans="1:40" hidden="1" outlineLevel="2" x14ac:dyDescent="0.25">
      <c r="A1866" s="45"/>
      <c r="B1866" s="54"/>
      <c r="C1866" s="47">
        <f t="shared" si="452"/>
        <v>4</v>
      </c>
      <c r="D1866" s="73"/>
      <c r="E1866" s="70"/>
      <c r="F1866" s="70" t="s">
        <v>3591</v>
      </c>
      <c r="G1866" s="234"/>
      <c r="H1866" s="76" t="s">
        <v>3499</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6"/>
        <v>-3.7910000000000001E-3</v>
      </c>
      <c r="AB1866" s="400">
        <f t="shared" si="453"/>
        <v>-3.7910000000000001E-3</v>
      </c>
      <c r="AC1866" s="400">
        <f t="shared" si="454"/>
        <v>-3.7910000000000001E-3</v>
      </c>
      <c r="AD1866" s="400">
        <f t="shared" si="455"/>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52"/>
        <v>4</v>
      </c>
      <c r="D1867" s="73"/>
      <c r="E1867" s="70"/>
      <c r="F1867" s="70" t="str">
        <f>SUBSTITUTE(F1863,",4)",",8)")</f>
        <v>C(U6,8,8)</v>
      </c>
      <c r="G1867" s="73"/>
      <c r="H1867" s="76" t="s">
        <v>3506</v>
      </c>
      <c r="I1867" s="96"/>
      <c r="J1867" s="76"/>
      <c r="K1867" s="76"/>
      <c r="L1867" s="76"/>
      <c r="M1867" s="76"/>
      <c r="N1867" s="76"/>
      <c r="O1867" s="76"/>
      <c r="P1867" s="76"/>
      <c r="Q1867" s="76"/>
      <c r="R1867" s="76"/>
      <c r="S1867" s="76"/>
      <c r="T1867" s="76"/>
      <c r="U1867" s="76"/>
      <c r="V1867" s="76"/>
      <c r="W1867" s="76"/>
      <c r="X1867" s="76"/>
      <c r="Y1867" s="76"/>
      <c r="Z1867" s="76"/>
      <c r="AA1867" s="76">
        <f t="shared" si="446"/>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52"/>
        <v>4</v>
      </c>
      <c r="D1868" s="73"/>
      <c r="E1868" s="70"/>
      <c r="F1868" s="70" t="str">
        <f>SUBSTITUTE(F1864,",5)",",9)")</f>
        <v>C(U6,8,9)</v>
      </c>
      <c r="G1868" s="73"/>
      <c r="H1868" s="76" t="s">
        <v>3500</v>
      </c>
      <c r="I1868" s="96"/>
      <c r="J1868" s="76"/>
      <c r="K1868" s="76"/>
      <c r="L1868" s="76"/>
      <c r="M1868" s="76"/>
      <c r="N1868" s="76"/>
      <c r="O1868" s="76"/>
      <c r="P1868" s="76"/>
      <c r="Q1868" s="76"/>
      <c r="R1868" s="76"/>
      <c r="S1868" s="76"/>
      <c r="T1868" s="76"/>
      <c r="U1868" s="76"/>
      <c r="V1868" s="76"/>
      <c r="W1868" s="76"/>
      <c r="X1868" s="76"/>
      <c r="Y1868" s="76"/>
      <c r="Z1868" s="76"/>
      <c r="AA1868" s="76">
        <f t="shared" si="446"/>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52"/>
        <v>4</v>
      </c>
      <c r="D1869" s="73"/>
      <c r="E1869" s="70"/>
      <c r="F1869" s="70" t="str">
        <f>SUBSTITUTE(F1865,",6)",",10)")</f>
        <v>C(U6,8,10)</v>
      </c>
      <c r="G1869" s="73"/>
      <c r="H1869" s="76" t="s">
        <v>3507</v>
      </c>
      <c r="I1869" s="96"/>
      <c r="J1869" s="76"/>
      <c r="K1869" s="76"/>
      <c r="L1869" s="76"/>
      <c r="M1869" s="76"/>
      <c r="N1869" s="76"/>
      <c r="O1869" s="76"/>
      <c r="P1869" s="76"/>
      <c r="Q1869" s="76"/>
      <c r="R1869" s="76"/>
      <c r="S1869" s="76"/>
      <c r="T1869" s="76"/>
      <c r="U1869" s="76"/>
      <c r="V1869" s="76"/>
      <c r="W1869" s="76"/>
      <c r="X1869" s="76"/>
      <c r="Y1869" s="76"/>
      <c r="Z1869" s="76"/>
      <c r="AA1869" s="76">
        <f t="shared" si="446"/>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52"/>
        <v>4</v>
      </c>
      <c r="D1870" s="73"/>
      <c r="E1870" s="70"/>
      <c r="F1870" s="70" t="str">
        <f>SUBSTITUTE(F1866,",7)",",11)")</f>
        <v>C(U6,8,11)</v>
      </c>
      <c r="G1870" s="73"/>
      <c r="H1870" s="76" t="s">
        <v>3501</v>
      </c>
      <c r="I1870" s="96"/>
      <c r="J1870" s="76"/>
      <c r="K1870" s="76"/>
      <c r="L1870" s="76"/>
      <c r="M1870" s="76"/>
      <c r="N1870" s="76"/>
      <c r="O1870" s="76"/>
      <c r="P1870" s="76"/>
      <c r="Q1870" s="76"/>
      <c r="R1870" s="76"/>
      <c r="S1870" s="76"/>
      <c r="T1870" s="76"/>
      <c r="U1870" s="76"/>
      <c r="V1870" s="76"/>
      <c r="W1870" s="76"/>
      <c r="X1870" s="76"/>
      <c r="Y1870" s="76"/>
      <c r="Z1870" s="76"/>
      <c r="AA1870" s="76">
        <f t="shared" si="446"/>
        <v>0</v>
      </c>
      <c r="AB1870" s="76"/>
      <c r="AC1870" s="76"/>
      <c r="AD1870" s="76"/>
      <c r="AE1870" s="76"/>
      <c r="AF1870" s="76"/>
      <c r="AG1870" s="76"/>
      <c r="AH1870" s="76">
        <v>1</v>
      </c>
      <c r="AI1870" s="76">
        <v>1</v>
      </c>
      <c r="AJ1870" s="73"/>
      <c r="AK1870" s="57"/>
      <c r="AL1870" s="45"/>
      <c r="AM1870" s="45"/>
      <c r="AN1870" s="45"/>
    </row>
    <row r="1871" spans="1:40" hidden="1" outlineLevel="2" x14ac:dyDescent="0.25">
      <c r="A1871" s="45"/>
      <c r="B1871" s="54"/>
      <c r="C1871" s="47">
        <f t="shared" si="452"/>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6">U1871</f>
        <v>-7.9950000000000004E-3</v>
      </c>
      <c r="X1871" s="255">
        <f t="shared" ref="X1871" si="457">V1871</f>
        <v>-7.9950000000000004E-3</v>
      </c>
      <c r="Y1871" s="255">
        <f>V1871</f>
        <v>-7.9950000000000004E-3</v>
      </c>
      <c r="Z1871" s="400">
        <f>AA1871</f>
        <v>-7.9950000000000004E-3</v>
      </c>
      <c r="AA1871" s="97">
        <f t="shared" si="446"/>
        <v>-7.9950000000000004E-3</v>
      </c>
      <c r="AB1871" s="400">
        <f t="shared" ref="AB1871" si="458">AA1871</f>
        <v>-7.9950000000000004E-3</v>
      </c>
      <c r="AC1871" s="400">
        <f t="shared" ref="AC1871" si="459">AB1871</f>
        <v>-7.9950000000000004E-3</v>
      </c>
      <c r="AD1871" s="400">
        <f t="shared" ref="AD1871" si="460">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52"/>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6"/>
        <v>0</v>
      </c>
      <c r="AB1872" s="76"/>
      <c r="AC1872" s="76"/>
      <c r="AD1872" s="76"/>
      <c r="AE1872" s="76"/>
      <c r="AF1872" s="76"/>
      <c r="AG1872" s="76"/>
      <c r="AH1872" s="76">
        <v>1</v>
      </c>
      <c r="AI1872" s="76">
        <v>1</v>
      </c>
      <c r="AJ1872" s="73"/>
      <c r="AK1872" s="57"/>
      <c r="AL1872" s="45"/>
      <c r="AM1872" s="45"/>
      <c r="AN1872" s="45"/>
    </row>
    <row r="1873" spans="1:40" hidden="1" outlineLevel="2" x14ac:dyDescent="0.25">
      <c r="A1873" s="45"/>
      <c r="B1873" s="54"/>
      <c r="C1873" s="47">
        <f>INT($C$29)+2</f>
        <v>3</v>
      </c>
      <c r="D1873" s="73"/>
      <c r="E1873" s="406"/>
      <c r="F1873" s="406" t="s">
        <v>3592</v>
      </c>
      <c r="G1873" s="407"/>
      <c r="H1873" s="184" t="s">
        <v>3510</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61">V1873</f>
        <v>-6.7655397499999994</v>
      </c>
      <c r="X1873" s="410">
        <f t="shared" si="461"/>
        <v>-6.7655397499999994</v>
      </c>
      <c r="Y1873" s="410">
        <f t="shared" si="461"/>
        <v>-6.7655397499999994</v>
      </c>
      <c r="Z1873" s="410">
        <f>AA1873</f>
        <v>-6.7655397499999994</v>
      </c>
      <c r="AA1873" s="409">
        <f t="shared" si="446"/>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62">INT($C$29)+3</f>
        <v>4</v>
      </c>
      <c r="D1874" s="73"/>
      <c r="E1874" s="70"/>
      <c r="F1874" s="70" t="s">
        <v>3598</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62"/>
        <v>4</v>
      </c>
      <c r="D1875" s="73"/>
      <c r="E1875" s="70"/>
      <c r="F1875" s="70" t="s">
        <v>3599</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62"/>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62"/>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62"/>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63">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3"/>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3"/>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3"/>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3"/>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3"/>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3"/>
        <v>4</v>
      </c>
      <c r="D1888" s="73"/>
      <c r="E1888" s="70"/>
      <c r="F1888" s="70" t="s">
        <v>3606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3"/>
        <v>4</v>
      </c>
      <c r="D1889" s="73"/>
      <c r="E1889" s="70"/>
      <c r="F1889" s="70" t="s">
        <v>3607</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3"/>
        <v>4</v>
      </c>
      <c r="D1890" s="73"/>
      <c r="E1890" s="70"/>
      <c r="F1890" s="70" t="s">
        <v>3608</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3"/>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3"/>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63"/>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64">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4"/>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4"/>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4"/>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4"/>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4"/>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4"/>
        <v>4</v>
      </c>
      <c r="D1903" s="73"/>
      <c r="E1903" s="70"/>
      <c r="F1903" s="70" t="s">
        <v>3615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4"/>
        <v>4</v>
      </c>
      <c r="D1904" s="73"/>
      <c r="E1904" s="70"/>
      <c r="F1904" s="70" t="s">
        <v>3616</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4"/>
        <v>4</v>
      </c>
      <c r="D1905" s="73"/>
      <c r="E1905" s="70"/>
      <c r="F1905" s="70" t="s">
        <v>3617</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4"/>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4"/>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64"/>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65">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5"/>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5"/>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5"/>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5"/>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5"/>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5"/>
        <v>4</v>
      </c>
      <c r="D1918" s="73"/>
      <c r="E1918" s="70"/>
      <c r="F1918" s="70" t="s">
        <v>3624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5"/>
        <v>4</v>
      </c>
      <c r="D1919" s="73"/>
      <c r="E1919" s="70"/>
      <c r="F1919" s="70" t="s">
        <v>3625</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5"/>
        <v>4</v>
      </c>
      <c r="D1920" s="73"/>
      <c r="E1920" s="70"/>
      <c r="F1920" s="70" t="s">
        <v>3626</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5"/>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5"/>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65"/>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66">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6"/>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6"/>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6"/>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6"/>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6"/>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6"/>
        <v>4</v>
      </c>
      <c r="D1933" s="73"/>
      <c r="E1933" s="70"/>
      <c r="F1933" s="70" t="s">
        <v>3633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6"/>
        <v>4</v>
      </c>
      <c r="D1934" s="73"/>
      <c r="E1934" s="70"/>
      <c r="F1934" s="70" t="s">
        <v>3634</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6"/>
        <v>4</v>
      </c>
      <c r="D1935" s="73"/>
      <c r="E1935" s="70"/>
      <c r="F1935" s="70" t="s">
        <v>3635</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6"/>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6"/>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66"/>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67">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7"/>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7"/>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7"/>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7"/>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7"/>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7"/>
        <v>4</v>
      </c>
      <c r="D1948" s="73"/>
      <c r="E1948" s="70"/>
      <c r="F1948" s="70" t="s">
        <v>3642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7"/>
        <v>4</v>
      </c>
      <c r="D1949" s="73"/>
      <c r="E1949" s="70"/>
      <c r="F1949" s="70" t="s">
        <v>3643</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7"/>
        <v>4</v>
      </c>
      <c r="D1950" s="73"/>
      <c r="E1950" s="70"/>
      <c r="F1950" s="70" t="s">
        <v>3644</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7"/>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7"/>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67"/>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68">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8"/>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8"/>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8"/>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8"/>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8"/>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8"/>
        <v>4</v>
      </c>
      <c r="D1963" s="73"/>
      <c r="E1963" s="70"/>
      <c r="F1963" s="70" t="s">
        <v>3651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8"/>
        <v>4</v>
      </c>
      <c r="D1964" s="73"/>
      <c r="E1964" s="70"/>
      <c r="F1964" s="70" t="s">
        <v>3652</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8"/>
        <v>4</v>
      </c>
      <c r="D1965" s="73"/>
      <c r="E1965" s="70"/>
      <c r="F1965" s="70" t="s">
        <v>3653</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8"/>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8"/>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68"/>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69">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69"/>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3660</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70">INT($C$29)+3</f>
        <v>4</v>
      </c>
      <c r="D1979" s="73"/>
      <c r="E1979" s="70"/>
      <c r="F1979" s="70" t="s">
        <v>3661</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70"/>
        <v>4</v>
      </c>
      <c r="D1980" s="73"/>
      <c r="E1980" s="70"/>
      <c r="F1980" s="70" t="s">
        <v>3662</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0"/>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0"/>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0"/>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71">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71"/>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71"/>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1"/>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1"/>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1"/>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1"/>
        <v>4</v>
      </c>
      <c r="D1993" s="73"/>
      <c r="E1993" s="70"/>
      <c r="F1993" s="70" t="s">
        <v>3669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1"/>
        <v>4</v>
      </c>
      <c r="D1994" s="73"/>
      <c r="E1994" s="70"/>
      <c r="F1994" s="70" t="s">
        <v>3670</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1"/>
        <v>4</v>
      </c>
      <c r="D1995" s="73"/>
      <c r="E1995" s="70"/>
      <c r="F1995" s="70" t="s">
        <v>3671</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1"/>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1"/>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1"/>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72">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72"/>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72"/>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72"/>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72"/>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72"/>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72"/>
        <v>4</v>
      </c>
      <c r="D2008" s="73"/>
      <c r="E2008" s="70"/>
      <c r="F2008" s="70" t="s">
        <v>3678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72"/>
        <v>4</v>
      </c>
      <c r="D2009" s="73"/>
      <c r="E2009" s="70"/>
      <c r="F2009" s="70" t="s">
        <v>3679</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72"/>
        <v>4</v>
      </c>
      <c r="D2010" s="73"/>
      <c r="E2010" s="70"/>
      <c r="F2010" s="70" t="s">
        <v>3680</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72"/>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72"/>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72"/>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73">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3"/>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3"/>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3"/>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3"/>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3"/>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3"/>
        <v>4</v>
      </c>
      <c r="D2023" s="73"/>
      <c r="E2023" s="70"/>
      <c r="F2023" s="70" t="s">
        <v>3687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3"/>
        <v>4</v>
      </c>
      <c r="D2024" s="73"/>
      <c r="E2024" s="70"/>
      <c r="F2024" s="70" t="s">
        <v>3688</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3"/>
        <v>4</v>
      </c>
      <c r="D2025" s="73"/>
      <c r="E2025" s="70"/>
      <c r="F2025" s="70" t="s">
        <v>3689</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3"/>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3"/>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73"/>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74">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4"/>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4"/>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4"/>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4"/>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4"/>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4"/>
        <v>4</v>
      </c>
      <c r="D2038" s="73"/>
      <c r="E2038" s="70"/>
      <c r="F2038" s="70" t="s">
        <v>3696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4"/>
        <v>4</v>
      </c>
      <c r="D2039" s="73"/>
      <c r="E2039" s="70"/>
      <c r="F2039" s="70" t="s">
        <v>3697</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4"/>
        <v>4</v>
      </c>
      <c r="D2040" s="73"/>
      <c r="E2040" s="70"/>
      <c r="F2040" s="70" t="s">
        <v>3698</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4"/>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4"/>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74"/>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75">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5"/>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5"/>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5"/>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5"/>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5"/>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5"/>
        <v>4</v>
      </c>
      <c r="D2053" s="73"/>
      <c r="E2053" s="70"/>
      <c r="F2053" s="70" t="s">
        <v>3705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5"/>
        <v>4</v>
      </c>
      <c r="D2054" s="73"/>
      <c r="E2054" s="70"/>
      <c r="F2054" s="70" t="s">
        <v>3706</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5"/>
        <v>4</v>
      </c>
      <c r="D2055" s="73"/>
      <c r="E2055" s="70"/>
      <c r="F2055" s="70" t="s">
        <v>3707</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5"/>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5"/>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75"/>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76">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6"/>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6"/>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6"/>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6"/>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6"/>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6"/>
        <v>4</v>
      </c>
      <c r="D2068" s="73"/>
      <c r="E2068" s="70"/>
      <c r="F2068" s="70" t="s">
        <v>3714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6"/>
        <v>4</v>
      </c>
      <c r="D2069" s="73"/>
      <c r="E2069" s="70"/>
      <c r="F2069" s="70" t="s">
        <v>3715</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6"/>
        <v>4</v>
      </c>
      <c r="D2070" s="73"/>
      <c r="E2070" s="70"/>
      <c r="F2070" s="70" t="s">
        <v>3716</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6"/>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6"/>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76"/>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77">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77"/>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3723</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3724</v>
      </c>
      <c r="G2084" s="73"/>
      <c r="H2084" s="76" t="s">
        <v>3353</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8">U2084</f>
        <v>-1.0469999999999999</v>
      </c>
      <c r="X2084" s="255">
        <f t="shared" ref="X2084:X2085" si="479">V2084</f>
        <v>-1.0469999999999999</v>
      </c>
      <c r="Y2084" s="255">
        <f>V2084</f>
        <v>-1.0469999999999999</v>
      </c>
      <c r="Z2084" s="255">
        <f>AA2084</f>
        <v>-1.0469999999999999</v>
      </c>
      <c r="AA2084" s="97">
        <f>U2084</f>
        <v>-1.0469999999999999</v>
      </c>
      <c r="AB2084" s="255">
        <f t="shared" ref="AB2084:AB2085" si="480">AA2084</f>
        <v>-1.0469999999999999</v>
      </c>
      <c r="AC2084" s="255">
        <f t="shared" ref="AC2084:AC2085" si="481">AB2084</f>
        <v>-1.0469999999999999</v>
      </c>
      <c r="AD2084" s="255">
        <f t="shared" ref="AD2084:AD2085" si="482">AC2084</f>
        <v>-1.0469999999999999</v>
      </c>
      <c r="AE2084" s="76"/>
      <c r="AF2084" s="97" t="s">
        <v>3597</v>
      </c>
      <c r="AG2084" s="76"/>
      <c r="AH2084" s="76">
        <v>1</v>
      </c>
      <c r="AI2084" s="76">
        <v>1</v>
      </c>
      <c r="AJ2084" s="73"/>
      <c r="AK2084" s="57"/>
      <c r="AL2084" s="45"/>
      <c r="AM2084" s="45"/>
      <c r="AN2084" s="45"/>
    </row>
    <row r="2085" spans="1:40" hidden="1"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7.5389999999999997E-3</v>
      </c>
      <c r="V2085" s="255">
        <f>U2085</f>
        <v>7.5389999999999997E-3</v>
      </c>
      <c r="W2085" s="255">
        <f t="shared" si="478"/>
        <v>7.5389999999999997E-3</v>
      </c>
      <c r="X2085" s="255">
        <f t="shared" si="479"/>
        <v>7.5389999999999997E-3</v>
      </c>
      <c r="Y2085" s="255">
        <f>V2085</f>
        <v>7.5389999999999997E-3</v>
      </c>
      <c r="Z2085" s="255">
        <f>AA2085</f>
        <v>7.5389999999999997E-3</v>
      </c>
      <c r="AA2085" s="97">
        <f t="shared" ref="AA2085" si="483">U2085</f>
        <v>7.5389999999999997E-3</v>
      </c>
      <c r="AB2085" s="255">
        <f t="shared" si="480"/>
        <v>7.5389999999999997E-3</v>
      </c>
      <c r="AC2085" s="255">
        <f t="shared" si="481"/>
        <v>7.5389999999999997E-3</v>
      </c>
      <c r="AD2085" s="255">
        <f t="shared" si="482"/>
        <v>7.5389999999999997E-3</v>
      </c>
      <c r="AE2085" s="76"/>
      <c r="AF2085" s="97" t="s">
        <v>3355</v>
      </c>
      <c r="AG2085" s="76"/>
      <c r="AH2085" s="76">
        <v>1</v>
      </c>
      <c r="AI2085" s="76">
        <v>1</v>
      </c>
      <c r="AJ2085" s="73"/>
      <c r="AK2085" s="57"/>
      <c r="AL2085" s="45"/>
      <c r="AM2085" s="45"/>
      <c r="AN2085" s="45"/>
    </row>
    <row r="2086" spans="1:40" hidden="1" outlineLevel="3" x14ac:dyDescent="0.25">
      <c r="A2086" s="45"/>
      <c r="B2086" s="54"/>
      <c r="C2086" s="47">
        <f t="shared" ref="C2086:C2097" si="484">INT($C$29)+3</f>
        <v>4</v>
      </c>
      <c r="D2086" s="73"/>
      <c r="E2086" s="70"/>
      <c r="F2086" s="70" t="s">
        <v>3726</v>
      </c>
      <c r="G2086" s="73"/>
      <c r="H2086" s="373" t="s">
        <v>3503</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84"/>
        <v>4</v>
      </c>
      <c r="D2087" s="73"/>
      <c r="E2087" s="70"/>
      <c r="F2087" s="70" t="s">
        <v>3727</v>
      </c>
      <c r="G2087" s="73"/>
      <c r="H2087" s="373" t="s">
        <v>3497</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x14ac:dyDescent="0.25">
      <c r="A2088" s="45"/>
      <c r="B2088" s="54"/>
      <c r="C2088" s="47">
        <f t="shared" si="484"/>
        <v>4</v>
      </c>
      <c r="D2088" s="73"/>
      <c r="E2088" s="70"/>
      <c r="F2088" s="70" t="s">
        <v>3728</v>
      </c>
      <c r="G2088" s="73"/>
      <c r="H2088" s="76" t="s">
        <v>3593</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5">U2088</f>
        <v>-0.23419999999999999</v>
      </c>
      <c r="X2088" s="255">
        <f t="shared" ref="X2088:X2091" si="486">V2088</f>
        <v>-0.23419999999999999</v>
      </c>
      <c r="Y2088" s="255">
        <f>V2088</f>
        <v>-0.23419999999999999</v>
      </c>
      <c r="Z2088" s="255">
        <f>AA2088</f>
        <v>-0.23419999999999999</v>
      </c>
      <c r="AA2088" s="97">
        <f t="shared" ref="AA2088:AA2091" si="487">U2088</f>
        <v>-0.23419999999999999</v>
      </c>
      <c r="AB2088" s="255">
        <f t="shared" ref="AB2088:AB2091" si="488">AA2088</f>
        <v>-0.23419999999999999</v>
      </c>
      <c r="AC2088" s="255">
        <f t="shared" ref="AC2088:AC2091" si="489">AB2088</f>
        <v>-0.23419999999999999</v>
      </c>
      <c r="AD2088" s="255">
        <f t="shared" ref="AD2088:AD2091" si="490">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84"/>
        <v>4</v>
      </c>
      <c r="D2089" s="73"/>
      <c r="E2089" s="70"/>
      <c r="F2089" s="70" t="s">
        <v>3729</v>
      </c>
      <c r="G2089" s="73"/>
      <c r="H2089" s="76" t="s">
        <v>3594</v>
      </c>
      <c r="I2089" s="76"/>
      <c r="J2089" s="76"/>
      <c r="K2089" s="76"/>
      <c r="L2089" s="76"/>
      <c r="M2089" s="76"/>
      <c r="N2089" s="76"/>
      <c r="O2089" s="76"/>
      <c r="P2089" s="76"/>
      <c r="Q2089" s="76"/>
      <c r="R2089" s="76"/>
      <c r="S2089" s="76"/>
      <c r="T2089" s="76"/>
      <c r="U2089" s="97"/>
      <c r="V2089" s="255">
        <f t="shared" ref="V2089" si="491">U2089</f>
        <v>0</v>
      </c>
      <c r="W2089" s="255">
        <f t="shared" si="485"/>
        <v>0</v>
      </c>
      <c r="X2089" s="255">
        <f t="shared" si="486"/>
        <v>0</v>
      </c>
      <c r="Y2089" s="255">
        <f t="shared" ref="Y2089" si="492">V2089</f>
        <v>0</v>
      </c>
      <c r="Z2089" s="255">
        <f t="shared" ref="Z2089" si="493">AA2089</f>
        <v>0</v>
      </c>
      <c r="AA2089" s="97">
        <f t="shared" si="487"/>
        <v>0</v>
      </c>
      <c r="AB2089" s="255">
        <f t="shared" si="488"/>
        <v>0</v>
      </c>
      <c r="AC2089" s="255">
        <f t="shared" si="489"/>
        <v>0</v>
      </c>
      <c r="AD2089" s="255">
        <f t="shared" si="490"/>
        <v>0</v>
      </c>
      <c r="AE2089" s="76"/>
      <c r="AF2089" s="76"/>
      <c r="AG2089" s="76"/>
      <c r="AH2089" s="76">
        <v>1</v>
      </c>
      <c r="AI2089" s="76">
        <v>1</v>
      </c>
      <c r="AJ2089" s="73"/>
      <c r="AK2089" s="57"/>
      <c r="AL2089" s="45"/>
      <c r="AM2089" s="45"/>
      <c r="AN2089" s="45"/>
    </row>
    <row r="2090" spans="1:40" hidden="1" outlineLevel="2" x14ac:dyDescent="0.25">
      <c r="A2090" s="45"/>
      <c r="B2090" s="54"/>
      <c r="C2090" s="47">
        <f t="shared" si="484"/>
        <v>4</v>
      </c>
      <c r="D2090" s="73"/>
      <c r="E2090" s="70"/>
      <c r="F2090" s="70" t="s">
        <v>3730</v>
      </c>
      <c r="G2090" s="73"/>
      <c r="H2090" s="76" t="s">
        <v>3595</v>
      </c>
      <c r="I2090" s="76"/>
      <c r="J2090" s="76"/>
      <c r="K2090" s="76"/>
      <c r="L2090" s="76"/>
      <c r="M2090" s="76"/>
      <c r="N2090" s="76"/>
      <c r="O2090" s="76"/>
      <c r="P2090" s="76"/>
      <c r="Q2090" s="76"/>
      <c r="R2090" s="76"/>
      <c r="S2090" s="76"/>
      <c r="T2090" s="76"/>
      <c r="U2090" s="97">
        <v>-0.24959999999999999</v>
      </c>
      <c r="V2090" s="255">
        <f>U2090</f>
        <v>-0.24959999999999999</v>
      </c>
      <c r="W2090" s="255">
        <f t="shared" si="485"/>
        <v>-0.24959999999999999</v>
      </c>
      <c r="X2090" s="255">
        <f t="shared" si="486"/>
        <v>-0.24959999999999999</v>
      </c>
      <c r="Y2090" s="255">
        <f>V2090</f>
        <v>-0.24959999999999999</v>
      </c>
      <c r="Z2090" s="255">
        <f>AA2090</f>
        <v>-0.24959999999999999</v>
      </c>
      <c r="AA2090" s="97">
        <f t="shared" si="487"/>
        <v>-0.24959999999999999</v>
      </c>
      <c r="AB2090" s="255">
        <f t="shared" si="488"/>
        <v>-0.24959999999999999</v>
      </c>
      <c r="AC2090" s="255">
        <f t="shared" si="489"/>
        <v>-0.24959999999999999</v>
      </c>
      <c r="AD2090" s="255">
        <f t="shared" si="490"/>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84"/>
        <v>4</v>
      </c>
      <c r="D2091" s="73"/>
      <c r="E2091" s="70"/>
      <c r="F2091" s="70" t="s">
        <v>3731</v>
      </c>
      <c r="G2091" s="73"/>
      <c r="H2091" s="76" t="s">
        <v>3596</v>
      </c>
      <c r="I2091" s="76"/>
      <c r="J2091" s="76"/>
      <c r="K2091" s="76"/>
      <c r="L2091" s="76"/>
      <c r="M2091" s="76"/>
      <c r="N2091" s="76"/>
      <c r="O2091" s="76"/>
      <c r="P2091" s="76"/>
      <c r="Q2091" s="76"/>
      <c r="R2091" s="76"/>
      <c r="S2091" s="76"/>
      <c r="T2091" s="76"/>
      <c r="U2091" s="97"/>
      <c r="V2091" s="255">
        <f t="shared" ref="V2091" si="494">U2091</f>
        <v>0</v>
      </c>
      <c r="W2091" s="255">
        <f t="shared" si="485"/>
        <v>0</v>
      </c>
      <c r="X2091" s="255">
        <f t="shared" si="486"/>
        <v>0</v>
      </c>
      <c r="Y2091" s="255">
        <f t="shared" ref="Y2091" si="495">V2091</f>
        <v>0</v>
      </c>
      <c r="Z2091" s="255">
        <f t="shared" ref="Z2091" si="496">AA2091</f>
        <v>0</v>
      </c>
      <c r="AA2091" s="97">
        <f t="shared" si="487"/>
        <v>0</v>
      </c>
      <c r="AB2091" s="255">
        <f t="shared" si="488"/>
        <v>0</v>
      </c>
      <c r="AC2091" s="255">
        <f t="shared" si="489"/>
        <v>0</v>
      </c>
      <c r="AD2091" s="255">
        <f t="shared" si="490"/>
        <v>0</v>
      </c>
      <c r="AE2091" s="76"/>
      <c r="AF2091" s="76"/>
      <c r="AG2091" s="76"/>
      <c r="AH2091" s="76">
        <v>1</v>
      </c>
      <c r="AI2091" s="76">
        <v>1</v>
      </c>
      <c r="AJ2091" s="73"/>
      <c r="AK2091" s="57"/>
      <c r="AL2091" s="45"/>
      <c r="AM2091" s="45"/>
      <c r="AN2091" s="45"/>
    </row>
    <row r="2092" spans="1:40" hidden="1" outlineLevel="3" x14ac:dyDescent="0.25">
      <c r="A2092" s="45"/>
      <c r="B2092" s="54"/>
      <c r="C2092" s="47">
        <f t="shared" si="484"/>
        <v>4</v>
      </c>
      <c r="D2092" s="73"/>
      <c r="E2092" s="70"/>
      <c r="F2092" s="70" t="str">
        <f>SUBSTITUTE(F2088,",4)",",8)")</f>
        <v>C(U6,23,8)</v>
      </c>
      <c r="G2092" s="73"/>
      <c r="H2092" s="373" t="s">
        <v>3359</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4"/>
        <v>4</v>
      </c>
      <c r="D2093" s="73"/>
      <c r="E2093" s="70"/>
      <c r="F2093" s="70" t="str">
        <f>SUBSTITUTE(F2089,",5)",",9)")</f>
        <v>C(U6,23,9)</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84"/>
        <v>4</v>
      </c>
      <c r="D2094" s="73"/>
      <c r="E2094" s="70"/>
      <c r="F2094" s="70" t="str">
        <f>SUBSTITUTE(F2090,",6)",",10)")</f>
        <v>C(U6,23,10)</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84"/>
        <v>4</v>
      </c>
      <c r="D2095" s="73"/>
      <c r="E2095" s="70"/>
      <c r="F2095" s="70" t="str">
        <f>SUBSTITUTE(F2091,",7)",",11)")</f>
        <v>C(U6,23,11)</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4"/>
        <v>4</v>
      </c>
      <c r="D2096" s="73"/>
      <c r="E2096" s="70"/>
      <c r="F2096" s="70" t="str">
        <f>SUBSTITUTE(F2090,",6)",",12)")</f>
        <v>C(U6,23,12)</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84"/>
        <v>4</v>
      </c>
      <c r="D2097" s="73"/>
      <c r="E2097" s="70"/>
      <c r="F2097" s="70" t="str">
        <f>SUBSTITUTE(F2091,",7)",",13)")</f>
        <v>C(U6,23,13)</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3732</v>
      </c>
      <c r="G2098" s="73"/>
      <c r="H2098" s="76" t="s">
        <v>3365</v>
      </c>
      <c r="I2098" s="76"/>
      <c r="J2098" s="76"/>
      <c r="K2098" s="76"/>
      <c r="L2098" s="76"/>
      <c r="M2098" s="76"/>
      <c r="N2098" s="76"/>
      <c r="O2098" s="76"/>
      <c r="P2098" s="76"/>
      <c r="Q2098" s="76"/>
      <c r="R2098" s="76"/>
      <c r="S2098" s="76"/>
      <c r="T2098" s="76"/>
      <c r="U2098" s="97">
        <v>28.52</v>
      </c>
      <c r="V2098" s="255">
        <f t="shared" ref="V2098" si="497">U2098</f>
        <v>28.52</v>
      </c>
      <c r="W2098" s="255">
        <f t="shared" ref="W2098" si="498">U2098</f>
        <v>28.52</v>
      </c>
      <c r="X2098" s="255">
        <f t="shared" ref="X2098" si="499">V2098</f>
        <v>28.52</v>
      </c>
      <c r="Y2098" s="255">
        <f t="shared" ref="Y2098" si="500">V2098</f>
        <v>28.52</v>
      </c>
      <c r="Z2098" s="255">
        <f t="shared" ref="Z2098" si="501">AA2098</f>
        <v>28.52</v>
      </c>
      <c r="AA2098" s="97">
        <f>U2098</f>
        <v>28.52</v>
      </c>
      <c r="AB2098" s="255">
        <f t="shared" ref="AB2098" si="502">AA2098</f>
        <v>28.52</v>
      </c>
      <c r="AC2098" s="255">
        <f t="shared" ref="AC2098" si="503">AB2098</f>
        <v>28.52</v>
      </c>
      <c r="AD2098" s="255">
        <f t="shared" ref="AD2098" si="504">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hidden="1"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hidden="1"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filterColumn colId="15">
      <filters>
        <filter val="calibration"/>
      </filters>
    </filterColumn>
  </autoFilter>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3281</v>
      </c>
      <c r="B34">
        <v>50</v>
      </c>
      <c r="C34" s="1" t="s">
        <v>2903</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3281</v>
      </c>
      <c r="B34">
        <v>40</v>
      </c>
      <c r="C34" s="1" t="s">
        <v>2903</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3281</v>
      </c>
      <c r="B33">
        <v>60</v>
      </c>
      <c r="C33" s="1" t="s">
        <v>2903</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2026-05-25T12:28:21Z</dcterms:modified>
</cp:coreProperties>
</file>