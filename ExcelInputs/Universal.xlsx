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A3D3A8A3-EF78-4AA1-989A-5D71A45D1E20}" xr6:coauthVersionLast="47" xr6:coauthVersionMax="47" xr10:uidLastSave="{00000000-0000-0000-0000-000000000000}"/>
  <bookViews>
    <workbookView xWindow="-28950" yWindow="-16320" windowWidth="29040" windowHeight="15720"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9" i="23" l="1"/>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X922" i="24"/>
  <c r="W922" i="24"/>
  <c r="Y921" i="24"/>
  <c r="X921" i="24"/>
  <c r="W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922" i="24" l="1"/>
  <c r="V921" i="24"/>
  <c r="V1693" i="24"/>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V413" i="24" s="1"/>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V925" i="24"/>
  <c r="Z925" i="24"/>
  <c r="AB925" i="24"/>
  <c r="AC925" i="24" s="1"/>
  <c r="AD925" i="24" s="1"/>
  <c r="C926" i="24"/>
  <c r="V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V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AA1676" i="24" l="1"/>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1"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<sst xmlns="http://schemas.openxmlformats.org/spreadsheetml/2006/main" count="6653" uniqueCount="3820">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</sst>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2318</v>
      </c>
      <c r="G20" s="383" t="s">
        <v>3784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2325</v>
      </c>
      <c r="G22" s="94"/>
      <c r="H22" s="94"/>
      <c r="I22" s="94"/>
      <c r="J22" s="94"/>
      <c r="K22" s="350" t="s">
        <v>2319</v>
      </c>
      <c r="L22" s="94"/>
      <c r="M22" s="94"/>
      <c r="N22" s="350" t="s">
        <v>2320</v>
      </c>
      <c r="O22" s="94"/>
      <c r="P22" s="94"/>
      <c r="Q22" s="350" t="s">
        <v>3781</v>
      </c>
      <c r="R22" s="94"/>
      <c r="S22" s="94"/>
      <c r="T22" s="350" t="s">
        <v>3782</v>
      </c>
      <c r="U22" s="94"/>
      <c r="V22" s="94"/>
      <c r="W22" s="73"/>
      <c r="X22" s="57"/>
      <c r="Y22" s="45"/>
      <c r="Z22" s="45"/>
      <c r="AA22" s="45"/>
    </row>
    <row r="23" spans="1:27" ht="70" outlineLevel="3" x14ac:dyDescent="0.35">
      <c r="A23" s="45"/>
      <c r="B23" s="54"/>
      <c r="C23" s="73"/>
      <c r="D23" s="73"/>
      <c r="E23" s="76"/>
      <c r="F23" s="354" t="s">
        <v>3783</v>
      </c>
      <c r="G23" s="629" t="s">
        <v>3784</v>
      </c>
      <c r="H23" s="76"/>
      <c r="I23" s="76"/>
      <c r="J23" s="76"/>
      <c r="K23" s="354" t="s">
        <v>2321</v>
      </c>
      <c r="L23" s="351">
        <v>1.1999999999999999E-6</v>
      </c>
      <c r="M23" s="76"/>
      <c r="N23" s="354" t="s">
        <v>2322</v>
      </c>
      <c r="O23" s="351">
        <v>0.7</v>
      </c>
      <c r="P23" s="76"/>
      <c r="Q23" s="354" t="s">
        <v>9</v>
      </c>
      <c r="R23" s="351">
        <v>0.64</v>
      </c>
      <c r="S23" s="76"/>
      <c r="T23" s="354" t="s">
        <v>3785</v>
      </c>
      <c r="U23" s="351">
        <v>0.9</v>
      </c>
      <c r="V23" s="76"/>
      <c r="W23" s="73"/>
      <c r="X23" s="57"/>
      <c r="Y23" s="45"/>
      <c r="Z23" s="45"/>
      <c r="AA23" s="45"/>
    </row>
    <row r="24" spans="1:27" outlineLevel="3" x14ac:dyDescent="0.35">
      <c r="A24" s="45"/>
      <c r="B24" s="54"/>
      <c r="C24" s="73"/>
      <c r="D24" s="73"/>
      <c r="E24" s="76"/>
      <c r="F24" s="76"/>
      <c r="G24" s="353" t="s">
        <v>2319</v>
      </c>
      <c r="H24" s="76"/>
      <c r="I24" s="76"/>
      <c r="J24" s="76"/>
      <c r="K24" s="76"/>
      <c r="L24" s="76"/>
      <c r="M24" s="76"/>
      <c r="N24" s="76"/>
      <c r="O24" s="76"/>
      <c r="P24" s="76"/>
      <c r="Q24" s="76" t="s">
        <v>2297</v>
      </c>
      <c r="R24" s="351">
        <v>-4.6119999999999998E-3</v>
      </c>
      <c r="S24" s="76"/>
      <c r="T24" s="76" t="s">
        <v>3786</v>
      </c>
      <c r="U24" s="351">
        <v>0.5</v>
      </c>
      <c r="V24" s="76"/>
      <c r="W24" s="73"/>
      <c r="X24" s="57"/>
      <c r="Y24" s="45"/>
      <c r="Z24" s="45"/>
      <c r="AA24" s="45"/>
    </row>
    <row r="25" spans="1:27" outlineLevel="3" x14ac:dyDescent="0.3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3787</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35">
      <c r="A27" s="45"/>
      <c r="B27" s="54"/>
      <c r="C27" s="73"/>
      <c r="D27" s="73"/>
      <c r="E27" s="76"/>
      <c r="F27" s="76"/>
      <c r="G27" s="353" t="s">
        <v>3782</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3459</v>
      </c>
      <c r="H38" s="14"/>
      <c r="I38" s="14" t="s">
        <v>3460</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3461</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3462</v>
      </c>
      <c r="H43" s="18" t="s">
        <v>3463</v>
      </c>
      <c r="I43" s="18" t="s">
        <v>3464</v>
      </c>
      <c r="J43" s="18" t="s">
        <v>3465</v>
      </c>
      <c r="K43" s="18" t="s">
        <v>3466</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3"/>
      <c r="G45" s="519" t="s">
        <v>3471</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3"/>
      <c r="G46" s="519" t="s">
        <v>3472</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3"/>
      <c r="G47" s="519" t="s">
        <v>3475</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3"/>
      <c r="G49" s="519" t="s">
        <v>3473</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3"/>
      <c r="G50" s="519" t="s">
        <v>3474</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2295</v>
      </c>
      <c r="I65" t="s">
        <v>2296</v>
      </c>
      <c r="K65" t="s">
        <v>2699</v>
      </c>
      <c r="M65" t="s">
        <v>2700</v>
      </c>
    </row>
    <row r="66" spans="7:13" x14ac:dyDescent="0.35">
      <c r="G66" s="338" t="s">
        <v>4</v>
      </c>
      <c r="I66" s="338" t="s">
        <v>2297</v>
      </c>
      <c r="K66" s="338" t="s">
        <v>45</v>
      </c>
      <c r="M66" s="428" t="s">
        <v>2701</v>
      </c>
    </row>
    <row r="67" spans="7:13" x14ac:dyDescent="0.35">
      <c r="G67" s="339" t="s">
        <v>2289</v>
      </c>
      <c r="I67" s="339" t="s">
        <v>2559</v>
      </c>
      <c r="K67" s="339" t="s">
        <v>2906</v>
      </c>
      <c r="M67" s="429" t="s">
        <v>2702</v>
      </c>
    </row>
    <row r="68" spans="7:13" ht="43.5" x14ac:dyDescent="0.35">
      <c r="G68" s="339" t="s">
        <v>10</v>
      </c>
      <c r="I68" s="339" t="s">
        <v>4</v>
      </c>
      <c r="K68" s="339" t="s">
        <v>2691</v>
      </c>
      <c r="M68" s="429" t="s">
        <v>2703</v>
      </c>
    </row>
    <row r="69" spans="7:13" x14ac:dyDescent="0.35">
      <c r="G69" t="s">
        <v>60</v>
      </c>
      <c r="H69" s="343"/>
      <c r="I69" s="339" t="s">
        <v>2289</v>
      </c>
      <c r="K69" s="339" t="s">
        <v>2692</v>
      </c>
      <c r="M69" s="430" t="s">
        <v>2704</v>
      </c>
    </row>
    <row r="70" spans="7:13" x14ac:dyDescent="0.35">
      <c r="G70" s="339" t="s">
        <v>61</v>
      </c>
      <c r="I70" s="339" t="s">
        <v>10</v>
      </c>
      <c r="K70" s="340" t="s">
        <v>2907</v>
      </c>
    </row>
    <row r="71" spans="7:13" x14ac:dyDescent="0.35">
      <c r="G71" s="339" t="s">
        <v>62</v>
      </c>
      <c r="I71" s="339" t="s">
        <v>60</v>
      </c>
    </row>
    <row r="72" spans="7:13" x14ac:dyDescent="0.35">
      <c r="G72" s="339" t="s">
        <v>7</v>
      </c>
      <c r="I72" s="339" t="s">
        <v>61</v>
      </c>
    </row>
    <row r="73" spans="7:13" x14ac:dyDescent="0.35">
      <c r="G73" s="339" t="s">
        <v>3275</v>
      </c>
      <c r="I73" s="339" t="s">
        <v>2298</v>
      </c>
    </row>
    <row r="74" spans="7:13" x14ac:dyDescent="0.35">
      <c r="G74" s="339" t="s">
        <v>3201</v>
      </c>
      <c r="I74" s="339" t="s">
        <v>107</v>
      </c>
    </row>
    <row r="75" spans="7:13" x14ac:dyDescent="0.35">
      <c r="G75" s="339" t="s">
        <v>6</v>
      </c>
      <c r="I75" s="339" t="s">
        <v>62</v>
      </c>
    </row>
    <row r="76" spans="7:13" x14ac:dyDescent="0.35">
      <c r="G76" s="339" t="s">
        <v>2293</v>
      </c>
      <c r="I76" s="339" t="s">
        <v>7</v>
      </c>
    </row>
    <row r="77" spans="7:13" x14ac:dyDescent="0.35">
      <c r="G77" s="339" t="s">
        <v>72</v>
      </c>
      <c r="I77" s="339" t="s">
        <v>3275</v>
      </c>
    </row>
    <row r="78" spans="7:13" x14ac:dyDescent="0.35">
      <c r="G78" s="339" t="s">
        <v>9</v>
      </c>
      <c r="I78" s="339" t="s">
        <v>113</v>
      </c>
    </row>
    <row r="79" spans="7:13" x14ac:dyDescent="0.35">
      <c r="G79" s="339" t="s">
        <v>2292</v>
      </c>
      <c r="I79" s="339" t="s">
        <v>3201</v>
      </c>
    </row>
    <row r="80" spans="7:13" x14ac:dyDescent="0.35">
      <c r="G80" s="339" t="s">
        <v>63</v>
      </c>
      <c r="I80" s="339" t="s">
        <v>6</v>
      </c>
    </row>
    <row r="81" spans="7:9" x14ac:dyDescent="0.35">
      <c r="G81" s="339" t="s">
        <v>5</v>
      </c>
      <c r="I81" s="339" t="s">
        <v>2293</v>
      </c>
    </row>
    <row r="82" spans="7:9" x14ac:dyDescent="0.35">
      <c r="G82" s="339" t="s">
        <v>2291</v>
      </c>
      <c r="I82" s="339" t="s">
        <v>72</v>
      </c>
    </row>
    <row r="83" spans="7:9" x14ac:dyDescent="0.35">
      <c r="G83" s="339" t="s">
        <v>8</v>
      </c>
      <c r="I83" s="339" t="s">
        <v>9</v>
      </c>
    </row>
    <row r="84" spans="7:9" x14ac:dyDescent="0.35">
      <c r="G84" s="340" t="s">
        <v>2290</v>
      </c>
      <c r="I84" s="339" t="s">
        <v>2292</v>
      </c>
    </row>
    <row r="85" spans="7:9" x14ac:dyDescent="0.35">
      <c r="I85" s="339" t="s">
        <v>2299</v>
      </c>
    </row>
    <row r="86" spans="7:9" x14ac:dyDescent="0.35">
      <c r="I86" s="339" t="s">
        <v>2546</v>
      </c>
    </row>
    <row r="87" spans="7:9" x14ac:dyDescent="0.35">
      <c r="I87" s="339" t="s">
        <v>2300</v>
      </c>
    </row>
    <row r="88" spans="7:9" x14ac:dyDescent="0.35">
      <c r="I88" s="339" t="s">
        <v>106</v>
      </c>
    </row>
    <row r="89" spans="7:9" x14ac:dyDescent="0.35">
      <c r="I89" s="339" t="s">
        <v>2301</v>
      </c>
    </row>
    <row r="90" spans="7:9" x14ac:dyDescent="0.35">
      <c r="I90" s="339" t="s">
        <v>108</v>
      </c>
    </row>
    <row r="91" spans="7:9" x14ac:dyDescent="0.35">
      <c r="I91" s="339" t="s">
        <v>63</v>
      </c>
    </row>
    <row r="92" spans="7:9" x14ac:dyDescent="0.35">
      <c r="I92" s="339" t="s">
        <v>5</v>
      </c>
    </row>
    <row r="93" spans="7:9" x14ac:dyDescent="0.35">
      <c r="I93" s="339" t="s">
        <v>2291</v>
      </c>
    </row>
    <row r="94" spans="7:9" x14ac:dyDescent="0.35">
      <c r="I94" s="339" t="s">
        <v>2302</v>
      </c>
    </row>
    <row r="95" spans="7:9" x14ac:dyDescent="0.35">
      <c r="I95" s="339" t="s">
        <v>109</v>
      </c>
    </row>
    <row r="96" spans="7:9" x14ac:dyDescent="0.35">
      <c r="I96" s="339" t="s">
        <v>8</v>
      </c>
    </row>
    <row r="97" spans="9:9" x14ac:dyDescent="0.3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3010</v>
      </c>
    </row>
    <row r="9" spans="1:3" x14ac:dyDescent="0.35">
      <c r="A9" s="341" t="str">
        <f>General!G66</f>
        <v>b</v>
      </c>
      <c r="B9">
        <v>680</v>
      </c>
      <c r="C9" s="1" t="s">
        <v>2884</v>
      </c>
    </row>
    <row r="10" spans="1:3" x14ac:dyDescent="0.35">
      <c r="A10" s="341" t="str">
        <f>General!G67</f>
        <v>bd</v>
      </c>
      <c r="B10">
        <v>680</v>
      </c>
      <c r="C10" s="1" t="s">
        <v>2884</v>
      </c>
    </row>
    <row r="11" spans="1:3" x14ac:dyDescent="0.35">
      <c r="A11" s="341" t="str">
        <f>General!G68</f>
        <v>f</v>
      </c>
      <c r="B11">
        <v>680</v>
      </c>
      <c r="C11" s="1" t="s">
        <v>2884</v>
      </c>
    </row>
    <row r="12" spans="1:3" x14ac:dyDescent="0.35">
      <c r="A12" s="341" t="str">
        <f>General!G69</f>
        <v>h</v>
      </c>
      <c r="B12">
        <v>680</v>
      </c>
      <c r="C12" s="1" t="s">
        <v>2884</v>
      </c>
    </row>
    <row r="13" spans="1:3" x14ac:dyDescent="0.35">
      <c r="A13" s="341" t="str">
        <f>General!G70</f>
        <v>i</v>
      </c>
      <c r="B13">
        <v>680</v>
      </c>
      <c r="C13" s="1" t="s">
        <v>2884</v>
      </c>
    </row>
    <row r="14" spans="1:3" x14ac:dyDescent="0.35">
      <c r="A14" s="341" t="str">
        <f>General!G71</f>
        <v>k</v>
      </c>
      <c r="B14">
        <v>680</v>
      </c>
      <c r="C14" s="1" t="s">
        <v>2884</v>
      </c>
    </row>
    <row r="15" spans="1:3" x14ac:dyDescent="0.35">
      <c r="A15" s="341" t="str">
        <f>General!G72</f>
        <v>l</v>
      </c>
      <c r="B15">
        <v>680</v>
      </c>
      <c r="C15" s="1" t="s">
        <v>2884</v>
      </c>
    </row>
    <row r="16" spans="1:3" x14ac:dyDescent="0.35">
      <c r="A16" s="341" t="str">
        <f>General!G73</f>
        <v>lf</v>
      </c>
      <c r="B16">
        <v>680</v>
      </c>
      <c r="C16" s="1" t="s">
        <v>2884</v>
      </c>
    </row>
    <row r="17" spans="1:3" x14ac:dyDescent="0.35">
      <c r="A17" s="341" t="str">
        <f>General!G74</f>
        <v>ms</v>
      </c>
      <c r="B17">
        <v>680</v>
      </c>
      <c r="C17" s="1" t="s">
        <v>2884</v>
      </c>
    </row>
    <row r="18" spans="1:3" x14ac:dyDescent="0.35">
      <c r="A18" s="341" t="str">
        <f>General!G75</f>
        <v>o</v>
      </c>
      <c r="B18">
        <v>680</v>
      </c>
      <c r="C18" s="1" t="s">
        <v>2884</v>
      </c>
    </row>
    <row r="19" spans="1:3" x14ac:dyDescent="0.35">
      <c r="A19" s="341" t="str">
        <f>General!G76</f>
        <v>od</v>
      </c>
      <c r="B19">
        <v>680</v>
      </c>
      <c r="C19" s="1" t="s">
        <v>2884</v>
      </c>
    </row>
    <row r="20" spans="1:3" x14ac:dyDescent="0.35">
      <c r="A20" s="341" t="str">
        <f>General!G77</f>
        <v>of</v>
      </c>
      <c r="B20">
        <v>680</v>
      </c>
      <c r="C20" s="1" t="s">
        <v>2884</v>
      </c>
    </row>
    <row r="21" spans="1:3" x14ac:dyDescent="0.35">
      <c r="A21" s="341" t="str">
        <f>General!G78</f>
        <v>r</v>
      </c>
      <c r="B21">
        <v>680</v>
      </c>
      <c r="C21" s="1" t="s">
        <v>2884</v>
      </c>
    </row>
    <row r="22" spans="1:3" x14ac:dyDescent="0.35">
      <c r="A22" s="341" t="str">
        <f>General!G79</f>
        <v>rd</v>
      </c>
      <c r="B22">
        <v>680</v>
      </c>
      <c r="C22" s="1" t="s">
        <v>2884</v>
      </c>
    </row>
    <row r="23" spans="1:3" x14ac:dyDescent="0.35">
      <c r="A23" s="341" t="str">
        <f>General!G80</f>
        <v>v</v>
      </c>
      <c r="B23">
        <v>680</v>
      </c>
      <c r="C23" s="1" t="s">
        <v>2884</v>
      </c>
    </row>
    <row r="24" spans="1:3" x14ac:dyDescent="0.35">
      <c r="A24" s="341" t="str">
        <f>General!G81</f>
        <v>w</v>
      </c>
      <c r="B24">
        <v>680</v>
      </c>
      <c r="C24" s="1" t="s">
        <v>2884</v>
      </c>
    </row>
    <row r="25" spans="1:3" x14ac:dyDescent="0.35">
      <c r="A25" s="341" t="str">
        <f>General!G82</f>
        <v>wd</v>
      </c>
      <c r="B25">
        <v>680</v>
      </c>
      <c r="C25" s="1" t="s">
        <v>2884</v>
      </c>
    </row>
    <row r="26" spans="1:3" x14ac:dyDescent="0.35">
      <c r="A26" s="341" t="str">
        <f>General!G83</f>
        <v>z</v>
      </c>
      <c r="B26">
        <v>680</v>
      </c>
      <c r="C26" s="1" t="s">
        <v>2884</v>
      </c>
    </row>
    <row r="27" spans="1:3" x14ac:dyDescent="0.35">
      <c r="A27" s="341" t="str">
        <f>General!G84</f>
        <v>zd</v>
      </c>
      <c r="B27">
        <v>680</v>
      </c>
      <c r="C27" s="1" t="s">
        <v>2884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1">
        <f>MIN(364,INT((C46 - DATE(YEAR(C46),1,1))))</f>
        <v>226</v>
      </c>
      <c r="C46" s="4">
        <v>43692</v>
      </c>
    </row>
    <row r="48" spans="1:11" x14ac:dyDescent="0.35">
      <c r="A48" s="1" t="s">
        <v>2252</v>
      </c>
      <c r="B48">
        <v>50</v>
      </c>
      <c r="K48" s="1" t="s">
        <v>2253</v>
      </c>
    </row>
    <row r="49" spans="1:27" x14ac:dyDescent="0.3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3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3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3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3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3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3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3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3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3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35">
      <c r="L71"/>
      <c r="M71" t="s">
        <v>3237</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2294</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2200</v>
      </c>
      <c r="B9" s="42">
        <v>0</v>
      </c>
    </row>
    <row r="10" spans="1:2" x14ac:dyDescent="0.35">
      <c r="A10" t="s">
        <v>2201</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3019</v>
      </c>
    </row>
    <row r="19" spans="1:2" ht="29" x14ac:dyDescent="0.3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2312</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2304</v>
      </c>
      <c r="K88" t="s">
        <v>2306</v>
      </c>
      <c r="L88" t="s">
        <v>2305</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3" width="12.54296875" style="1" customWidth="1"/>
    <col min="44"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1" t="s">
        <v>3238</v>
      </c>
      <c r="K11" s="632"/>
      <c r="L11" s="632"/>
      <c r="M11" s="632"/>
      <c r="N11" s="632"/>
      <c r="O11" s="632"/>
      <c r="P11" s="632"/>
      <c r="Q11" s="632"/>
      <c r="R11" s="632"/>
      <c r="S11" s="632"/>
      <c r="T11" s="632"/>
      <c r="U11" s="633"/>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4" t="s">
        <v>3807</v>
      </c>
      <c r="K12" s="635"/>
      <c r="L12" s="635"/>
      <c r="M12" s="635"/>
      <c r="N12" s="635"/>
      <c r="O12" s="635"/>
      <c r="P12" s="635"/>
      <c r="Q12" s="635"/>
      <c r="R12" s="635"/>
      <c r="S12" s="635"/>
      <c r="T12" s="635"/>
      <c r="U12" s="636"/>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3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3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3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15" customHeight="1" outlineLevel="1" x14ac:dyDescent="0.3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3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3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3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3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3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3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3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3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3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3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3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3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29" outlineLevel="1" x14ac:dyDescent="0.3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3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3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3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3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3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3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3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3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3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3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3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3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3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3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3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3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3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3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3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3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3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3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3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3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3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3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3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3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3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3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3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3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5" customHeight="1" outlineLevel="1" x14ac:dyDescent="0.3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3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3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3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3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3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3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3808</v>
      </c>
      <c r="Y205" s="21" t="s">
        <v>3809</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3811</v>
      </c>
      <c r="AM205" s="21" t="s">
        <v>3812</v>
      </c>
      <c r="AN205" s="21" t="s">
        <v>3076</v>
      </c>
      <c r="AO205" s="21" t="s">
        <v>3077</v>
      </c>
      <c r="AP205" s="21"/>
      <c r="AQ205" s="17"/>
      <c r="AR205" s="9"/>
      <c r="AS205" s="9"/>
      <c r="AT205" s="9"/>
    </row>
    <row r="206" spans="1:46" customFormat="1" ht="12" customHeight="1" outlineLevel="1" x14ac:dyDescent="0.3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3813</v>
      </c>
      <c r="AM206" s="544"/>
      <c r="AN206" s="545"/>
      <c r="AO206" s="545"/>
      <c r="AP206" s="21"/>
      <c r="AQ206" s="17"/>
      <c r="AR206" s="9"/>
      <c r="AS206" s="9"/>
      <c r="AT206" s="9"/>
    </row>
    <row r="207" spans="1:46" customFormat="1" ht="12" customHeight="1" outlineLevel="1" x14ac:dyDescent="0.3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3814</v>
      </c>
      <c r="AM207" s="545" t="s">
        <v>3815</v>
      </c>
      <c r="AN207" s="545"/>
      <c r="AO207" s="545"/>
      <c r="AP207" s="21"/>
      <c r="AQ207" s="17"/>
      <c r="AR207" s="9"/>
      <c r="AS207" s="9"/>
      <c r="AT207" s="9"/>
    </row>
    <row r="208" spans="1:46" customFormat="1" ht="12" customHeight="1" outlineLevel="1" x14ac:dyDescent="0.3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3816</v>
      </c>
      <c r="AM208" s="546" t="s">
        <v>3816</v>
      </c>
      <c r="AN208" s="545"/>
      <c r="AO208" s="545"/>
      <c r="AP208" s="21"/>
      <c r="AQ208" s="17"/>
      <c r="AR208" s="9"/>
      <c r="AS208" s="9"/>
      <c r="AT208" s="9"/>
    </row>
    <row r="209" spans="1:46" customFormat="1" ht="5.15" customHeight="1" outlineLevel="1" x14ac:dyDescent="0.3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15" customHeight="1" outlineLevel="1" x14ac:dyDescent="0.3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3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3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3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3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3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3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3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35">
      <c r="A218" s="7"/>
      <c r="B218" s="8"/>
      <c r="C218" s="18"/>
      <c r="D218" s="18"/>
      <c r="E218" s="18"/>
      <c r="F218" s="24"/>
      <c r="G218" s="25"/>
      <c r="H218" s="25" t="s">
        <v>3810</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3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3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3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3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3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5" customHeight="1" outlineLevel="1" x14ac:dyDescent="0.3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3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3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35">
      <c r="A227" s="7"/>
      <c r="B227" s="8"/>
      <c r="C227" s="18"/>
      <c r="D227" s="18"/>
      <c r="E227" s="18"/>
      <c r="F227" s="24"/>
      <c r="G227" s="25"/>
      <c r="H227" s="25" t="s">
        <v>3292</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3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3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3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35">
      <c r="A231" s="7"/>
      <c r="B231" s="8"/>
      <c r="C231" s="18"/>
      <c r="D231" s="18"/>
      <c r="E231" s="18"/>
      <c r="F231" s="24"/>
      <c r="G231" s="25"/>
      <c r="H231" s="25" t="s">
        <v>3124</v>
      </c>
      <c r="I231" s="630"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35">
      <c r="A232" s="7"/>
      <c r="B232" s="8"/>
      <c r="C232" s="18"/>
      <c r="D232" s="18"/>
      <c r="E232" s="18"/>
      <c r="F232" s="24"/>
      <c r="G232" s="25"/>
      <c r="H232" s="25" t="s">
        <v>3126</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35">
      <c r="A233" s="7"/>
      <c r="B233" s="8"/>
      <c r="C233" s="18"/>
      <c r="D233" s="18"/>
      <c r="E233" s="18"/>
      <c r="F233" s="24"/>
      <c r="G233" s="25"/>
      <c r="H233" s="25" t="s">
        <v>3127</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3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3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3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3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3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3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3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3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3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3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3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3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3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3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3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3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3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3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3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3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3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3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3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3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3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3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3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3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3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3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35">
      <c r="A264" s="7"/>
      <c r="B264" s="8"/>
      <c r="C264" s="18"/>
      <c r="D264" s="18"/>
      <c r="E264" s="18"/>
      <c r="F264" s="24"/>
      <c r="G264" s="25"/>
      <c r="H264" s="25" t="s">
        <v>3124</v>
      </c>
      <c r="I264" s="630"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35">
      <c r="A265" s="7"/>
      <c r="B265" s="8"/>
      <c r="C265" s="18"/>
      <c r="D265" s="18"/>
      <c r="E265" s="18"/>
      <c r="F265" s="24"/>
      <c r="G265" s="25"/>
      <c r="H265" s="25" t="s">
        <v>3126</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35">
      <c r="A266" s="7"/>
      <c r="B266" s="8"/>
      <c r="C266" s="18"/>
      <c r="D266" s="18"/>
      <c r="E266" s="18"/>
      <c r="F266" s="24"/>
      <c r="G266" s="25"/>
      <c r="H266" s="25" t="s">
        <v>3127</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3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3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3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3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3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3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3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3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3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3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3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3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3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3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3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3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3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3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3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3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3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3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3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3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3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3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3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3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3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3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3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3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3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3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3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3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3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3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3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3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3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3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3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3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3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3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3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3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3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3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3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3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3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3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3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3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3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3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3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3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3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3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3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3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3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3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3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3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3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3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3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3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3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3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3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3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3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3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3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3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3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3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3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3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3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3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3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3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3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3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3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3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3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3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3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3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3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3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3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3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3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3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3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3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3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3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3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3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3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3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3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3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3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3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3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3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3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3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3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15" customHeight="1" outlineLevel="1" x14ac:dyDescent="0.3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4" customHeight="1" outlineLevel="1" x14ac:dyDescent="0.3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3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37" t="s">
        <v>2178</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38" t="s">
        <v>2177</v>
      </c>
      <c r="K12" s="639"/>
      <c r="L12" s="639"/>
      <c r="M12" s="639"/>
      <c r="N12" s="639"/>
      <c r="O12" s="639"/>
      <c r="P12" s="639"/>
      <c r="Q12" s="639"/>
      <c r="R12" s="639"/>
      <c r="S12" s="639"/>
      <c r="T12" s="639"/>
      <c r="U12" s="639"/>
      <c r="V12" s="639"/>
      <c r="W12" s="639"/>
      <c r="X12" s="640"/>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topLeftCell="H1" zoomScale="85" zoomScaleNormal="85" workbookViewId="0">
      <pane ySplit="22" topLeftCell="A184" activePane="bottomLeft" state="frozen"/>
      <selection pane="bottomLeft" activeCell="U199" sqref="U199"/>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0" max="62" width="9.7265625" bestFit="1" customWidth="1"/>
    <col min="63" max="63" width="11.5429687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35">
      <c r="A11" s="45"/>
      <c r="B11" s="54"/>
      <c r="C11" s="47">
        <f>INT($C$6)+1.045</f>
        <v>2.0449999999999999</v>
      </c>
      <c r="D11" s="73"/>
      <c r="E11" s="70"/>
      <c r="F11" s="70"/>
      <c r="G11" s="73"/>
      <c r="H11" s="76" t="s">
        <v>134</v>
      </c>
      <c r="I11" s="279">
        <v>46051.736473726902</v>
      </c>
      <c r="J11" s="641" t="s">
        <v>3803</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35">
      <c r="A12" s="45"/>
      <c r="B12" s="54"/>
      <c r="C12" s="47">
        <f>INT($C$6)+1.045</f>
        <v>2.0449999999999999</v>
      </c>
      <c r="D12" s="73"/>
      <c r="E12" s="70"/>
      <c r="F12" s="70"/>
      <c r="G12" s="73"/>
      <c r="H12" s="76" t="s">
        <v>135</v>
      </c>
      <c r="I12" s="271">
        <v>45931.428264120397</v>
      </c>
      <c r="J12" s="638" t="s">
        <v>3490</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49999999999999" customHeight="1" outlineLevel="1" x14ac:dyDescent="0.3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3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3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3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3476</v>
      </c>
      <c r="Q48" s="96" t="s">
        <v>3483</v>
      </c>
      <c r="R48" s="96" t="s">
        <v>3477</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3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3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3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3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3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3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3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3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3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3802</v>
      </c>
    </row>
    <row r="101" spans="1:77" outlineLevel="3" x14ac:dyDescent="0.3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3801</v>
      </c>
    </row>
    <row r="102" spans="1:77" outlineLevel="3" x14ac:dyDescent="0.3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3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3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3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3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3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3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3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3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3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3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5.5" outlineLevel="3" thickTop="1" thickBot="1" x14ac:dyDescent="0.4">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 outlineLevel="3" thickTop="1" x14ac:dyDescent="0.3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3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3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3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3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3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3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3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3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3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3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3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3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3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3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3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3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3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3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3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3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3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3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3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3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3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3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3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3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3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3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3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3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3800</v>
      </c>
    </row>
    <row r="182" spans="1:63"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3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3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3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3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3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3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3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3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3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3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3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3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3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3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3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3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3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3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3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3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3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3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3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3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3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3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3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3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3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3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3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3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3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3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3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3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3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3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3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3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3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3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3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3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3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3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3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3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3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3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3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3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3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3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3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3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3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3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3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3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3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3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2" outlineLevel="3" x14ac:dyDescent="0.3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3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3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3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3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3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1" outlineLevel="2" x14ac:dyDescent="0.3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3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3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3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3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3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3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3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1.5" outlineLevel="3" x14ac:dyDescent="0.3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3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3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3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3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3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3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3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3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3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3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3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3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3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3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3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3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3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3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3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3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3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3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3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3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3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3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3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3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3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3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3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3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3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3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3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3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3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3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3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3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3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3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3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3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3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3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3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3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3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0" t="s">
        <v>3467</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0" t="s">
        <v>3468</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0" t="s">
        <v>3469</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0" t="s">
        <v>3470</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3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3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9"/>
  <sheetViews>
    <sheetView topLeftCell="A3" zoomScale="85" zoomScaleNormal="85" workbookViewId="0">
      <pane xSplit="9" ySplit="36" topLeftCell="J282" activePane="bottomRight" state="frozen"/>
      <selection activeCell="A3" sqref="A3"/>
      <selection pane="topRight" activeCell="J3" sqref="J3"/>
      <selection pane="bottomLeft" activeCell="A39" sqref="A39"/>
      <selection pane="bottomRight" activeCell="J11" sqref="J11:AD11"/>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46131.875047453701</v>
      </c>
      <c r="J11" s="631" t="s">
        <v>3819</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46051.279964467598</v>
      </c>
      <c r="J12" s="634" t="s">
        <v>3796</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3299</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3281</v>
      </c>
      <c r="X35" s="611" t="s">
        <v>3282</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3292</v>
      </c>
      <c r="G44" s="73"/>
      <c r="H44" s="129" t="s">
        <v>2962</v>
      </c>
      <c r="I44" s="96" t="s">
        <v>692</v>
      </c>
      <c r="J44" s="96"/>
      <c r="K44" s="76"/>
      <c r="L44" s="76"/>
      <c r="M44" s="76"/>
      <c r="N44" s="76"/>
      <c r="O44" s="76"/>
      <c r="P44" s="76"/>
      <c r="Q44" s="76"/>
      <c r="R44" s="76"/>
      <c r="S44" s="76"/>
      <c r="T44" s="76" t="s">
        <v>3289</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1">3.058*U44/(U$377*U$383)</f>
        <v>27.53301320528211</v>
      </c>
      <c r="V45" s="610">
        <f t="shared" si="1"/>
        <v>36.710684273709482</v>
      </c>
      <c r="W45" s="610">
        <f t="shared" si="1"/>
        <v>37.985046730692275</v>
      </c>
      <c r="X45" s="610">
        <f t="shared" si="1"/>
        <v>36.710684273709482</v>
      </c>
      <c r="Y45" s="610">
        <f t="shared" si="1"/>
        <v>46.242001600640258</v>
      </c>
      <c r="Z45" s="610">
        <f t="shared" si="1"/>
        <v>36.710684273709482</v>
      </c>
      <c r="AA45" s="610">
        <f t="shared" si="1"/>
        <v>44.052821128451377</v>
      </c>
      <c r="AB45" s="610">
        <f t="shared" si="1"/>
        <v>42.829131652661061</v>
      </c>
      <c r="AC45" s="610">
        <f t="shared" si="1"/>
        <v>42.829131652661061</v>
      </c>
      <c r="AD45" s="610">
        <f t="shared" si="1"/>
        <v>48.947579031612641</v>
      </c>
      <c r="AE45" s="76"/>
      <c r="AF45" s="97" t="s">
        <v>2961</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3291</v>
      </c>
      <c r="G50" s="73"/>
      <c r="H50" s="129" t="s">
        <v>464</v>
      </c>
      <c r="I50" s="96" t="s">
        <v>465</v>
      </c>
      <c r="J50" s="96"/>
      <c r="K50" s="76"/>
      <c r="L50" s="76"/>
      <c r="M50" s="76"/>
      <c r="N50" s="76"/>
      <c r="O50" s="76"/>
      <c r="P50" s="76"/>
      <c r="Q50" s="76"/>
      <c r="R50" s="76"/>
      <c r="S50" s="76"/>
      <c r="T50" s="76" t="s">
        <v>3289</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3290</v>
      </c>
      <c r="G51" s="73"/>
      <c r="H51" s="129" t="s">
        <v>466</v>
      </c>
      <c r="I51" s="96" t="s">
        <v>1402</v>
      </c>
      <c r="J51" s="96"/>
      <c r="K51" s="76"/>
      <c r="L51" s="76"/>
      <c r="M51" s="76"/>
      <c r="N51" s="76"/>
      <c r="O51" s="76"/>
      <c r="P51" s="76"/>
      <c r="Q51" s="76"/>
      <c r="R51" s="76"/>
      <c r="S51" s="76"/>
      <c r="T51" s="76" t="s">
        <v>3289</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3289</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2818</v>
      </c>
      <c r="G198" s="73"/>
      <c r="H198" s="76" t="s">
        <v>3190</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3189</v>
      </c>
      <c r="S198" s="76" t="s">
        <v>3189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2821</v>
      </c>
      <c r="G199" s="73"/>
      <c r="H199" s="76" t="s">
        <v>3191</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3189</v>
      </c>
      <c r="S199" s="76" t="s">
        <v>3189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3244</v>
      </c>
      <c r="G203" s="73"/>
      <c r="H203" s="76" t="s">
        <v>3252</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3245</v>
      </c>
      <c r="G204" s="73"/>
      <c r="H204" s="76" t="s">
        <v>3253</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3246</v>
      </c>
      <c r="G205" s="73"/>
      <c r="H205" s="76" t="s">
        <v>3254</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3247</v>
      </c>
      <c r="G206" s="73"/>
      <c r="H206" s="76" t="s">
        <v>3255</v>
      </c>
      <c r="I206" s="96" t="s">
        <v>626</v>
      </c>
      <c r="J206" s="96"/>
      <c r="K206" s="281">
        <f>1/(1+K$194)</f>
        <v>0.69930069930069938</v>
      </c>
      <c r="L206" s="281">
        <f t="shared" si="35"/>
        <v>0.69930069930069938</v>
      </c>
      <c r="M206" s="76"/>
      <c r="N206" s="76"/>
      <c r="O206" s="76"/>
      <c r="P206" s="76"/>
      <c r="Q206" s="76"/>
      <c r="R206" s="76" t="s">
        <v>3259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3249</v>
      </c>
      <c r="G207" s="73"/>
      <c r="H207" s="76" t="s">
        <v>3256</v>
      </c>
      <c r="I207" s="96" t="s">
        <v>626</v>
      </c>
      <c r="J207" s="96"/>
      <c r="K207" s="258">
        <v>1</v>
      </c>
      <c r="L207" s="258">
        <f t="shared" si="35"/>
        <v>1</v>
      </c>
      <c r="M207" s="76"/>
      <c r="N207" s="76"/>
      <c r="O207" s="76"/>
      <c r="P207" s="76"/>
      <c r="Q207" s="76"/>
      <c r="R207" s="76" t="s">
        <v>3259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3248</v>
      </c>
      <c r="G208" s="73"/>
      <c r="H208" s="76" t="s">
        <v>3257</v>
      </c>
      <c r="I208" s="96" t="s">
        <v>626</v>
      </c>
      <c r="J208" s="96"/>
      <c r="K208" s="281">
        <f>1/(1+K$195)</f>
        <v>0.4</v>
      </c>
      <c r="L208" s="281">
        <f t="shared" si="35"/>
        <v>0.4</v>
      </c>
      <c r="M208" s="76"/>
      <c r="N208" s="76"/>
      <c r="O208" s="76"/>
      <c r="P208" s="76"/>
      <c r="Q208" s="76"/>
      <c r="R208" s="76" t="s">
        <v>3259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3250</v>
      </c>
      <c r="G209" s="73"/>
      <c r="H209" s="76" t="s">
        <v>3258</v>
      </c>
      <c r="I209" s="96" t="s">
        <v>626</v>
      </c>
      <c r="J209" s="96"/>
      <c r="K209" s="258">
        <v>1</v>
      </c>
      <c r="L209" s="258">
        <f t="shared" si="35"/>
        <v>1</v>
      </c>
      <c r="M209" s="76"/>
      <c r="N209" s="76"/>
      <c r="O209" s="76"/>
      <c r="P209" s="76"/>
      <c r="Q209" s="76"/>
      <c r="R209" s="76" t="s">
        <v>3259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3198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3199</v>
      </c>
      <c r="S239" s="76" t="s">
        <v>3199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3289</v>
      </c>
      <c r="U283" s="97">
        <v>1</v>
      </c>
      <c r="V283" s="97">
        <v>1</v>
      </c>
      <c r="W283" s="97">
        <v>0.92001599999999994</v>
      </c>
      <c r="X283" s="97">
        <v>1.06843</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3289</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3289</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3236</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3293</v>
      </c>
      <c r="G333" s="73"/>
      <c r="H333" s="76" t="s">
        <v>3296</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3295</v>
      </c>
      <c r="G334" s="73"/>
      <c r="H334" s="76" t="s">
        <v>3298</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3297</v>
      </c>
      <c r="G335" s="73"/>
      <c r="H335" s="76" t="s">
        <v>3301</v>
      </c>
      <c r="I335" s="96"/>
      <c r="J335" s="96"/>
      <c r="K335" s="76"/>
      <c r="L335" s="76"/>
      <c r="M335" s="76"/>
      <c r="N335" s="76"/>
      <c r="O335" s="76"/>
      <c r="P335" s="76"/>
      <c r="Q335" s="76"/>
      <c r="R335" s="76"/>
      <c r="S335" s="76"/>
      <c r="T335" s="76" t="s">
        <v>3289</v>
      </c>
      <c r="U335" s="97">
        <v>0.85</v>
      </c>
      <c r="V335" s="97">
        <v>0.85</v>
      </c>
      <c r="W335" s="97">
        <v>0.85</v>
      </c>
      <c r="X335" s="97">
        <v>0.85</v>
      </c>
      <c r="Y335" s="97">
        <v>0.85</v>
      </c>
      <c r="Z335" s="97">
        <v>0.85</v>
      </c>
      <c r="AA335" s="97">
        <v>0.85</v>
      </c>
      <c r="AB335" s="97">
        <v>0.85</v>
      </c>
      <c r="AC335" s="97">
        <v>0.85</v>
      </c>
      <c r="AD335" s="97">
        <v>0.85</v>
      </c>
      <c r="AE335" s="76"/>
      <c r="AF335" s="97" t="s">
        <v>3294</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3300</v>
      </c>
      <c r="G336" s="73"/>
      <c r="H336" s="76" t="s">
        <v>3302</v>
      </c>
      <c r="I336" s="96"/>
      <c r="J336" s="96"/>
      <c r="K336" s="76"/>
      <c r="L336" s="76"/>
      <c r="M336" s="76"/>
      <c r="N336" s="76"/>
      <c r="O336" s="76"/>
      <c r="P336" s="76"/>
      <c r="Q336" s="76"/>
      <c r="R336" s="76"/>
      <c r="S336" s="76"/>
      <c r="T336" s="76" t="s">
        <v>3289</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3289</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3289</v>
      </c>
      <c r="U365" s="253">
        <f t="shared" si="68"/>
        <v>20.3</v>
      </c>
      <c r="V365" s="253">
        <f t="shared" si="68"/>
        <v>20.3</v>
      </c>
      <c r="W365" s="613">
        <f>INDEX($K365:$Q365,1,W$43)-(INDEX($K364:$Q364,1,W$43)-W364)</f>
        <v>16.3</v>
      </c>
      <c r="X365" s="613">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2798</v>
      </c>
      <c r="G380" s="73"/>
      <c r="H380" s="76" t="s">
        <v>2812</v>
      </c>
      <c r="I380" s="96" t="s">
        <v>2963</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2799</v>
      </c>
      <c r="G381" s="73"/>
      <c r="H381" s="76" t="s">
        <v>2813</v>
      </c>
      <c r="I381" s="96" t="s">
        <v>2963</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2839</v>
      </c>
      <c r="G387" s="73"/>
      <c r="H387" s="76" t="s">
        <v>2813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3265</v>
      </c>
      <c r="G395" s="73"/>
      <c r="H395" s="76" t="s">
        <v>3262</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3264</v>
      </c>
      <c r="S395" s="76" t="s">
        <v>3241</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3805</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35">
      <c r="A410" s="45"/>
      <c r="B410" s="54"/>
      <c r="C410" s="47">
        <f>INT($C$29)+2</f>
        <v>3</v>
      </c>
      <c r="D410" s="73"/>
      <c r="E410" s="70"/>
      <c r="F410" s="70" t="s">
        <v>3804</v>
      </c>
      <c r="G410" s="73"/>
      <c r="H410" s="76" t="s">
        <v>3806</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outlineLevel="1" collapsed="1" x14ac:dyDescent="0.3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3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hidden="1" outlineLevel="2" x14ac:dyDescent="0.3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3289</v>
      </c>
      <c r="U413" s="253">
        <f t="shared" ref="U413:V415" si="82">INDEX($K413:$Q413,1,U$43)</f>
        <v>8.219178082191781E-5</v>
      </c>
      <c r="V413" s="253">
        <f t="shared" si="82"/>
        <v>8.219178082191781E-5</v>
      </c>
      <c r="W413" s="260">
        <v>5.8180200000000002E-5</v>
      </c>
      <c r="X413" s="260">
        <v>9.1810000000000004E-5</v>
      </c>
      <c r="Y413" s="253">
        <f t="shared" ref="Y413:AD415" si="83">INDEX($K413:$Q413,1,Y$43)</f>
        <v>8.219178082191781E-5</v>
      </c>
      <c r="Z413" s="253">
        <f t="shared" si="83"/>
        <v>8.219178082191781E-5</v>
      </c>
      <c r="AA413" s="253">
        <f t="shared" si="83"/>
        <v>8.219178082191781E-5</v>
      </c>
      <c r="AB413" s="253">
        <f t="shared" si="83"/>
        <v>8.219178082191781E-5</v>
      </c>
      <c r="AC413" s="253">
        <f t="shared" si="83"/>
        <v>8.219178082191781E-5</v>
      </c>
      <c r="AD413" s="253">
        <f t="shared" si="83"/>
        <v>8.219178082191781E-5</v>
      </c>
      <c r="AE413" s="76"/>
      <c r="AF413" s="76"/>
      <c r="AG413" s="76"/>
      <c r="AH413" s="97">
        <v>1</v>
      </c>
      <c r="AI413" s="97">
        <v>1</v>
      </c>
      <c r="AJ413" s="73"/>
      <c r="AK413" s="57"/>
      <c r="AL413" s="45"/>
      <c r="AM413" s="45"/>
      <c r="AN413" s="45"/>
    </row>
    <row r="414" spans="1:40" hidden="1" outlineLevel="2" x14ac:dyDescent="0.3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2"/>
        <v>0.3</v>
      </c>
      <c r="V414" s="253">
        <f t="shared" si="82"/>
        <v>0.3</v>
      </c>
      <c r="W414" s="253">
        <f>INDEX($K414:$Q414,1,W$43)</f>
        <v>0.3</v>
      </c>
      <c r="X414" s="253">
        <f>INDEX($K414:$Q414,1,X$43)</f>
        <v>0.3</v>
      </c>
      <c r="Y414" s="253">
        <f t="shared" si="83"/>
        <v>0.3</v>
      </c>
      <c r="Z414" s="253">
        <f t="shared" si="83"/>
        <v>0.3</v>
      </c>
      <c r="AA414" s="253">
        <f t="shared" si="83"/>
        <v>0.3</v>
      </c>
      <c r="AB414" s="253">
        <f t="shared" si="83"/>
        <v>0.3</v>
      </c>
      <c r="AC414" s="253">
        <f t="shared" si="83"/>
        <v>0.3</v>
      </c>
      <c r="AD414" s="253">
        <f t="shared" si="83"/>
        <v>0.3</v>
      </c>
      <c r="AE414" s="76"/>
      <c r="AF414" s="76"/>
      <c r="AG414" s="76"/>
      <c r="AH414" s="97">
        <v>1</v>
      </c>
      <c r="AI414" s="97">
        <v>1</v>
      </c>
      <c r="AJ414" s="73"/>
      <c r="AK414" s="57"/>
      <c r="AL414" s="45"/>
      <c r="AM414" s="45"/>
      <c r="AN414" s="45"/>
    </row>
    <row r="415" spans="1:40" hidden="1" outlineLevel="2" collapsed="1" x14ac:dyDescent="0.3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2"/>
        <v>0.6</v>
      </c>
      <c r="V415" s="253">
        <f t="shared" si="82"/>
        <v>0.6</v>
      </c>
      <c r="W415" s="253">
        <f>INDEX($K415:$Q415,1,W$43)</f>
        <v>0.6</v>
      </c>
      <c r="X415" s="253">
        <f>INDEX($K415:$Q415,1,X$43)</f>
        <v>0.6</v>
      </c>
      <c r="Y415" s="253">
        <f t="shared" si="83"/>
        <v>0.6</v>
      </c>
      <c r="Z415" s="253">
        <f t="shared" si="83"/>
        <v>0.6</v>
      </c>
      <c r="AA415" s="253">
        <f t="shared" si="83"/>
        <v>0.6</v>
      </c>
      <c r="AB415" s="253">
        <f t="shared" si="83"/>
        <v>0.6</v>
      </c>
      <c r="AC415" s="253">
        <f t="shared" si="83"/>
        <v>0.6</v>
      </c>
      <c r="AD415" s="253">
        <f t="shared" si="83"/>
        <v>0.6</v>
      </c>
      <c r="AE415" s="76"/>
      <c r="AF415" s="76"/>
      <c r="AG415" s="76"/>
      <c r="AH415" s="97">
        <v>1</v>
      </c>
      <c r="AI415" s="97">
        <v>1</v>
      </c>
      <c r="AJ415" s="73"/>
      <c r="AK415" s="57"/>
      <c r="AL415" s="45"/>
      <c r="AM415" s="45"/>
      <c r="AN415" s="45"/>
    </row>
    <row r="416" spans="1:40" hidden="1" outlineLevel="3" x14ac:dyDescent="0.3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3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3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3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3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3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35">
      <c r="A424" s="45"/>
      <c r="B424" s="54"/>
      <c r="C424" s="47">
        <f t="shared" ref="C424:C438" si="8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5">INDEX($K424:$Q424,1,U$43)</f>
        <v>0.1</v>
      </c>
      <c r="V424" s="253">
        <f t="shared" si="85"/>
        <v>0.1</v>
      </c>
      <c r="W424" s="253">
        <f t="shared" si="85"/>
        <v>0.1</v>
      </c>
      <c r="X424" s="253">
        <f t="shared" si="85"/>
        <v>0.1</v>
      </c>
      <c r="Y424" s="253">
        <f t="shared" si="85"/>
        <v>0.1</v>
      </c>
      <c r="Z424" s="253">
        <f t="shared" si="85"/>
        <v>0.1</v>
      </c>
      <c r="AA424" s="253">
        <f t="shared" si="85"/>
        <v>0.1</v>
      </c>
      <c r="AB424" s="253">
        <f t="shared" si="85"/>
        <v>0.1</v>
      </c>
      <c r="AC424" s="253">
        <f t="shared" si="85"/>
        <v>0.1</v>
      </c>
      <c r="AD424" s="253">
        <f t="shared" si="85"/>
        <v>0.1</v>
      </c>
      <c r="AE424" s="76"/>
      <c r="AF424" s="76"/>
      <c r="AG424" s="76"/>
      <c r="AH424" s="97">
        <v>1</v>
      </c>
      <c r="AI424" s="97">
        <v>1</v>
      </c>
      <c r="AJ424" s="73"/>
      <c r="AK424" s="57"/>
      <c r="AL424" s="45"/>
      <c r="AM424" s="45"/>
      <c r="AN424" s="45"/>
    </row>
    <row r="425" spans="1:40" hidden="1" outlineLevel="2" x14ac:dyDescent="0.35">
      <c r="A425" s="45"/>
      <c r="B425" s="54"/>
      <c r="C425" s="47">
        <f t="shared" si="8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6">0.1/365</f>
        <v>2.7397260273972606E-4</v>
      </c>
      <c r="V425" s="97">
        <f t="shared" si="86"/>
        <v>2.7397260273972606E-4</v>
      </c>
      <c r="W425" s="97">
        <f t="shared" si="86"/>
        <v>2.7397260273972606E-4</v>
      </c>
      <c r="X425" s="97">
        <f t="shared" si="86"/>
        <v>2.7397260273972606E-4</v>
      </c>
      <c r="Y425" s="97">
        <f t="shared" si="86"/>
        <v>2.7397260273972606E-4</v>
      </c>
      <c r="Z425" s="97">
        <f t="shared" si="86"/>
        <v>2.7397260273972606E-4</v>
      </c>
      <c r="AA425" s="97">
        <f t="shared" si="86"/>
        <v>2.7397260273972606E-4</v>
      </c>
      <c r="AB425" s="97">
        <f t="shared" si="86"/>
        <v>2.7397260273972606E-4</v>
      </c>
      <c r="AC425" s="97">
        <f t="shared" si="86"/>
        <v>2.7397260273972606E-4</v>
      </c>
      <c r="AD425" s="97">
        <f t="shared" si="86"/>
        <v>2.7397260273972606E-4</v>
      </c>
      <c r="AE425" s="76"/>
      <c r="AF425" s="97" t="s">
        <v>1025</v>
      </c>
      <c r="AG425" s="76"/>
      <c r="AH425" s="97">
        <v>1</v>
      </c>
      <c r="AI425" s="97">
        <v>1</v>
      </c>
      <c r="AJ425" s="73"/>
      <c r="AK425" s="57"/>
      <c r="AL425" s="45"/>
      <c r="AM425" s="45"/>
      <c r="AN425" s="45"/>
    </row>
    <row r="426" spans="1:40" hidden="1" outlineLevel="2" x14ac:dyDescent="0.35">
      <c r="A426" s="45"/>
      <c r="B426" s="54"/>
      <c r="C426" s="47">
        <f t="shared" si="8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7">INDEX($K426:$Q426,1,U$43)</f>
        <v>300</v>
      </c>
      <c r="V426" s="253">
        <f t="shared" si="87"/>
        <v>300</v>
      </c>
      <c r="W426" s="253">
        <f t="shared" si="87"/>
        <v>300</v>
      </c>
      <c r="X426" s="253">
        <f t="shared" si="87"/>
        <v>300</v>
      </c>
      <c r="Y426" s="253">
        <f t="shared" si="87"/>
        <v>300</v>
      </c>
      <c r="Z426" s="253">
        <f t="shared" si="87"/>
        <v>300</v>
      </c>
      <c r="AA426" s="253">
        <f t="shared" si="87"/>
        <v>300</v>
      </c>
      <c r="AB426" s="253">
        <f t="shared" si="87"/>
        <v>300</v>
      </c>
      <c r="AC426" s="253">
        <f t="shared" si="87"/>
        <v>300</v>
      </c>
      <c r="AD426" s="253">
        <f t="shared" si="87"/>
        <v>300</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7"/>
        <v>365</v>
      </c>
      <c r="V427" s="253">
        <f t="shared" si="87"/>
        <v>365</v>
      </c>
      <c r="W427" s="253">
        <f t="shared" si="87"/>
        <v>365</v>
      </c>
      <c r="X427" s="253">
        <f t="shared" si="87"/>
        <v>365</v>
      </c>
      <c r="Y427" s="253">
        <f t="shared" si="87"/>
        <v>365</v>
      </c>
      <c r="Z427" s="253">
        <f t="shared" si="87"/>
        <v>365</v>
      </c>
      <c r="AA427" s="253">
        <f t="shared" si="87"/>
        <v>365</v>
      </c>
      <c r="AB427" s="253">
        <f t="shared" si="87"/>
        <v>365</v>
      </c>
      <c r="AC427" s="253">
        <f t="shared" si="87"/>
        <v>365</v>
      </c>
      <c r="AD427" s="253">
        <f t="shared" si="87"/>
        <v>365</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7"/>
        <v>0.2</v>
      </c>
      <c r="V428" s="253">
        <f t="shared" si="87"/>
        <v>0.2</v>
      </c>
      <c r="W428" s="253">
        <f t="shared" si="87"/>
        <v>0.2</v>
      </c>
      <c r="X428" s="253">
        <f t="shared" si="87"/>
        <v>0.2</v>
      </c>
      <c r="Y428" s="253">
        <f t="shared" si="87"/>
        <v>0.2</v>
      </c>
      <c r="Z428" s="253">
        <f t="shared" si="87"/>
        <v>0.2</v>
      </c>
      <c r="AA428" s="253">
        <f t="shared" si="87"/>
        <v>0.2</v>
      </c>
      <c r="AB428" s="253">
        <f t="shared" si="87"/>
        <v>0.2</v>
      </c>
      <c r="AC428" s="253">
        <f t="shared" si="87"/>
        <v>0.2</v>
      </c>
      <c r="AD428" s="253">
        <f t="shared" si="87"/>
        <v>0.2</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7"/>
        <v>0.5</v>
      </c>
      <c r="V429" s="253">
        <f t="shared" si="87"/>
        <v>0.5</v>
      </c>
      <c r="W429" s="253">
        <f t="shared" si="87"/>
        <v>0.5</v>
      </c>
      <c r="X429" s="253">
        <f t="shared" si="87"/>
        <v>0.5</v>
      </c>
      <c r="Y429" s="253">
        <f t="shared" si="87"/>
        <v>0.5</v>
      </c>
      <c r="Z429" s="253">
        <f t="shared" si="87"/>
        <v>0.5</v>
      </c>
      <c r="AA429" s="253">
        <f t="shared" si="87"/>
        <v>0.5</v>
      </c>
      <c r="AB429" s="253">
        <f t="shared" si="87"/>
        <v>0.5</v>
      </c>
      <c r="AC429" s="253">
        <f t="shared" si="87"/>
        <v>0.5</v>
      </c>
      <c r="AD429" s="253">
        <f t="shared" si="87"/>
        <v>0.5</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7"/>
        <v>0.1</v>
      </c>
      <c r="V430" s="253">
        <f t="shared" si="87"/>
        <v>0.1</v>
      </c>
      <c r="W430" s="253">
        <f t="shared" si="87"/>
        <v>0.1</v>
      </c>
      <c r="X430" s="253">
        <f t="shared" si="87"/>
        <v>0.1</v>
      </c>
      <c r="Y430" s="253">
        <f t="shared" si="87"/>
        <v>0.1</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7"/>
        <v>0.03</v>
      </c>
      <c r="V431" s="253">
        <f t="shared" si="87"/>
        <v>0.03</v>
      </c>
      <c r="W431" s="253">
        <f t="shared" si="87"/>
        <v>0.03</v>
      </c>
      <c r="X431" s="253">
        <f t="shared" si="87"/>
        <v>0.03</v>
      </c>
      <c r="Y431" s="253">
        <f t="shared" si="87"/>
        <v>0.03</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7"/>
        <v>0.01</v>
      </c>
      <c r="V432" s="253">
        <f t="shared" si="87"/>
        <v>0.01</v>
      </c>
      <c r="W432" s="253">
        <f t="shared" si="87"/>
        <v>0.01</v>
      </c>
      <c r="X432" s="253">
        <f t="shared" si="87"/>
        <v>0.01</v>
      </c>
      <c r="Y432" s="253">
        <f t="shared" si="87"/>
        <v>0.01</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1040</v>
      </c>
      <c r="G433" s="73"/>
      <c r="H433" s="76" t="s">
        <v>1041</v>
      </c>
      <c r="I433" s="96" t="s">
        <v>502</v>
      </c>
      <c r="J433" s="96"/>
      <c r="K433" s="118">
        <v>0</v>
      </c>
      <c r="L433" s="97"/>
      <c r="M433" s="76"/>
      <c r="N433" s="76"/>
      <c r="O433" s="76"/>
      <c r="P433" s="76"/>
      <c r="Q433" s="76"/>
      <c r="R433" s="76"/>
      <c r="S433" s="76"/>
      <c r="T433" s="76"/>
      <c r="U433" s="253">
        <f t="shared" si="87"/>
        <v>0</v>
      </c>
      <c r="V433" s="253">
        <f t="shared" si="87"/>
        <v>0</v>
      </c>
      <c r="W433" s="253">
        <f t="shared" si="87"/>
        <v>0</v>
      </c>
      <c r="X433" s="253">
        <f t="shared" si="87"/>
        <v>0</v>
      </c>
      <c r="Y433" s="253">
        <f t="shared" si="87"/>
        <v>0</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35">
      <c r="A434" s="45"/>
      <c r="B434" s="54"/>
      <c r="C434" s="47">
        <f t="shared" si="8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8">0.1/365</f>
        <v>2.7397260273972606E-4</v>
      </c>
      <c r="V434" s="97">
        <f t="shared" si="88"/>
        <v>2.7397260273972606E-4</v>
      </c>
      <c r="W434" s="97">
        <f t="shared" si="88"/>
        <v>2.7397260273972606E-4</v>
      </c>
      <c r="X434" s="97">
        <f t="shared" si="88"/>
        <v>2.7397260273972606E-4</v>
      </c>
      <c r="Y434" s="97">
        <f t="shared" si="88"/>
        <v>2.7397260273972606E-4</v>
      </c>
      <c r="Z434" s="97">
        <f t="shared" si="88"/>
        <v>2.7397260273972606E-4</v>
      </c>
      <c r="AA434" s="97">
        <f t="shared" si="88"/>
        <v>2.7397260273972606E-4</v>
      </c>
      <c r="AB434" s="97">
        <f t="shared" si="88"/>
        <v>2.7397260273972606E-4</v>
      </c>
      <c r="AC434" s="97">
        <f t="shared" si="88"/>
        <v>2.7397260273972606E-4</v>
      </c>
      <c r="AD434" s="97">
        <f t="shared" si="88"/>
        <v>2.7397260273972606E-4</v>
      </c>
      <c r="AE434" s="76"/>
      <c r="AF434" s="97" t="s">
        <v>1025</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35">
      <c r="A438" s="45"/>
      <c r="B438" s="54"/>
      <c r="C438" s="47">
        <f t="shared" si="8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outlineLevel="1" collapsed="1" x14ac:dyDescent="0.3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35">
      <c r="A440" s="45"/>
      <c r="B440" s="54"/>
      <c r="C440" s="47">
        <f t="shared" ref="C440:C471" si="8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35">
      <c r="A441" s="45"/>
      <c r="B441" s="54"/>
      <c r="C441" s="47">
        <f t="shared" si="8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35">
      <c r="A442" s="45"/>
      <c r="B442" s="54"/>
      <c r="C442" s="47">
        <f t="shared" si="8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35">
      <c r="A443" s="45"/>
      <c r="B443" s="54"/>
      <c r="C443" s="47">
        <f t="shared" si="8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35">
      <c r="A444" s="45"/>
      <c r="B444" s="54"/>
      <c r="C444" s="47">
        <f t="shared" si="8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35">
      <c r="A445" s="45"/>
      <c r="B445" s="54"/>
      <c r="C445" s="47">
        <f t="shared" si="89"/>
        <v>3</v>
      </c>
      <c r="D445" s="73"/>
      <c r="E445" s="70"/>
      <c r="F445" s="70" t="s">
        <v>1050</v>
      </c>
      <c r="G445" s="73"/>
      <c r="H445" s="76" t="s">
        <v>2247</v>
      </c>
      <c r="I445" s="96"/>
      <c r="J445" s="96"/>
      <c r="K445" s="76"/>
      <c r="L445" s="76"/>
      <c r="M445" s="76"/>
      <c r="N445" s="76"/>
      <c r="O445" s="76"/>
      <c r="P445" s="76"/>
      <c r="Q445" s="76"/>
      <c r="R445" s="76"/>
      <c r="S445" s="76"/>
      <c r="T445" s="76"/>
      <c r="U445" s="261">
        <f t="shared" ref="U445:AD445" si="90">U444</f>
        <v>0.33</v>
      </c>
      <c r="V445" s="261">
        <f t="shared" si="90"/>
        <v>0.33</v>
      </c>
      <c r="W445" s="261">
        <f t="shared" si="90"/>
        <v>0.33</v>
      </c>
      <c r="X445" s="261">
        <f t="shared" si="90"/>
        <v>0.33</v>
      </c>
      <c r="Y445" s="261">
        <f t="shared" si="90"/>
        <v>0.33</v>
      </c>
      <c r="Z445" s="261">
        <f t="shared" si="90"/>
        <v>0.33</v>
      </c>
      <c r="AA445" s="261">
        <f t="shared" si="90"/>
        <v>0.33</v>
      </c>
      <c r="AB445" s="261">
        <f t="shared" si="90"/>
        <v>0.33</v>
      </c>
      <c r="AC445" s="261">
        <f t="shared" si="90"/>
        <v>0.33</v>
      </c>
      <c r="AD445" s="261">
        <f t="shared" si="90"/>
        <v>0.33</v>
      </c>
      <c r="AE445" s="76"/>
      <c r="AF445" s="76"/>
      <c r="AG445" s="76"/>
      <c r="AH445" s="261">
        <f t="shared" ref="AH445:AI445" si="91">AH444</f>
        <v>1</v>
      </c>
      <c r="AI445" s="261">
        <f t="shared" si="91"/>
        <v>1</v>
      </c>
      <c r="AJ445" s="73"/>
      <c r="AK445" s="57"/>
      <c r="AL445" s="45"/>
      <c r="AM445" s="45"/>
      <c r="AN445" s="45"/>
    </row>
    <row r="446" spans="1:40" hidden="1" outlineLevel="3" x14ac:dyDescent="0.35">
      <c r="A446" s="45"/>
      <c r="B446" s="54"/>
      <c r="C446" s="47">
        <f t="shared" si="89"/>
        <v>3</v>
      </c>
      <c r="D446" s="73"/>
      <c r="E446" s="70"/>
      <c r="F446" s="70" t="s">
        <v>1051</v>
      </c>
      <c r="G446" s="73"/>
      <c r="H446" s="76" t="s">
        <v>2248</v>
      </c>
      <c r="I446" s="96"/>
      <c r="J446" s="96"/>
      <c r="K446" s="76"/>
      <c r="L446" s="76"/>
      <c r="M446" s="76"/>
      <c r="N446" s="76"/>
      <c r="O446" s="76"/>
      <c r="P446" s="76"/>
      <c r="Q446" s="76"/>
      <c r="R446" s="76"/>
      <c r="S446" s="76"/>
      <c r="T446" s="76"/>
      <c r="U446" s="261">
        <f t="shared" ref="U446:AD446" si="92">U445</f>
        <v>0.33</v>
      </c>
      <c r="V446" s="261">
        <f t="shared" si="92"/>
        <v>0.33</v>
      </c>
      <c r="W446" s="261">
        <f t="shared" si="92"/>
        <v>0.33</v>
      </c>
      <c r="X446" s="261">
        <f t="shared" si="92"/>
        <v>0.33</v>
      </c>
      <c r="Y446" s="261">
        <f t="shared" si="92"/>
        <v>0.33</v>
      </c>
      <c r="Z446" s="261">
        <f t="shared" si="92"/>
        <v>0.33</v>
      </c>
      <c r="AA446" s="261">
        <f t="shared" si="92"/>
        <v>0.33</v>
      </c>
      <c r="AB446" s="261">
        <f t="shared" si="92"/>
        <v>0.33</v>
      </c>
      <c r="AC446" s="261">
        <f t="shared" si="92"/>
        <v>0.33</v>
      </c>
      <c r="AD446" s="261">
        <f t="shared" si="92"/>
        <v>0.33</v>
      </c>
      <c r="AE446" s="76"/>
      <c r="AF446" s="76"/>
      <c r="AG446" s="76"/>
      <c r="AH446" s="261">
        <f t="shared" ref="AH446:AI446" si="93">AH445</f>
        <v>1</v>
      </c>
      <c r="AI446" s="261">
        <f t="shared" si="93"/>
        <v>1</v>
      </c>
      <c r="AJ446" s="73"/>
      <c r="AK446" s="57"/>
      <c r="AL446" s="45"/>
      <c r="AM446" s="45"/>
      <c r="AN446" s="45"/>
    </row>
    <row r="447" spans="1:40" hidden="1" outlineLevel="3" x14ac:dyDescent="0.35">
      <c r="A447" s="45"/>
      <c r="B447" s="54"/>
      <c r="C447" s="47">
        <f t="shared" si="89"/>
        <v>3</v>
      </c>
      <c r="D447" s="73"/>
      <c r="E447" s="70"/>
      <c r="F447" s="70" t="s">
        <v>1052</v>
      </c>
      <c r="G447" s="73"/>
      <c r="H447" s="76" t="s">
        <v>2249</v>
      </c>
      <c r="I447" s="96"/>
      <c r="J447" s="96"/>
      <c r="K447" s="76"/>
      <c r="L447" s="76"/>
      <c r="M447" s="76"/>
      <c r="N447" s="76"/>
      <c r="O447" s="76"/>
      <c r="P447" s="76"/>
      <c r="Q447" s="76"/>
      <c r="R447" s="76"/>
      <c r="S447" s="76"/>
      <c r="T447" s="76"/>
      <c r="U447" s="261">
        <f t="shared" ref="U447:AD447" si="94">U446</f>
        <v>0.33</v>
      </c>
      <c r="V447" s="261">
        <f t="shared" si="94"/>
        <v>0.33</v>
      </c>
      <c r="W447" s="261">
        <f t="shared" si="94"/>
        <v>0.33</v>
      </c>
      <c r="X447" s="261">
        <f t="shared" si="94"/>
        <v>0.33</v>
      </c>
      <c r="Y447" s="261">
        <f t="shared" si="94"/>
        <v>0.33</v>
      </c>
      <c r="Z447" s="261">
        <f t="shared" si="94"/>
        <v>0.33</v>
      </c>
      <c r="AA447" s="261">
        <f t="shared" si="94"/>
        <v>0.33</v>
      </c>
      <c r="AB447" s="261">
        <f t="shared" si="94"/>
        <v>0.33</v>
      </c>
      <c r="AC447" s="261">
        <f t="shared" si="94"/>
        <v>0.33</v>
      </c>
      <c r="AD447" s="261">
        <f t="shared" si="94"/>
        <v>0.33</v>
      </c>
      <c r="AE447" s="76"/>
      <c r="AF447" s="76"/>
      <c r="AG447" s="76"/>
      <c r="AH447" s="261">
        <f t="shared" ref="AH447:AI447" si="95">AH446</f>
        <v>1</v>
      </c>
      <c r="AI447" s="261">
        <f t="shared" si="95"/>
        <v>1</v>
      </c>
      <c r="AJ447" s="73"/>
      <c r="AK447" s="57"/>
      <c r="AL447" s="45"/>
      <c r="AM447" s="45"/>
      <c r="AN447" s="45"/>
    </row>
    <row r="448" spans="1:40" hidden="1" outlineLevel="3" x14ac:dyDescent="0.35">
      <c r="A448" s="45"/>
      <c r="B448" s="54"/>
      <c r="C448" s="47">
        <f t="shared" si="89"/>
        <v>3</v>
      </c>
      <c r="D448" s="73"/>
      <c r="E448" s="70"/>
      <c r="F448" s="70" t="s">
        <v>1053</v>
      </c>
      <c r="G448" s="73"/>
      <c r="H448" s="76" t="s">
        <v>3478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1061</v>
      </c>
      <c r="G456" s="73"/>
      <c r="H456" s="76" t="s">
        <v>3482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35">
      <c r="A462" s="45"/>
      <c r="B462" s="54"/>
      <c r="C462" s="47">
        <f t="shared" si="8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35">
      <c r="A463" s="45"/>
      <c r="B463" s="54"/>
      <c r="C463" s="47">
        <f t="shared" si="8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1069</v>
      </c>
      <c r="G464" s="73"/>
      <c r="H464" s="76" t="s">
        <v>3479</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si="8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ref="C472:C503" si="96">INT($C$29)+2</f>
        <v>3</v>
      </c>
      <c r="D472" s="73"/>
      <c r="E472" s="70"/>
      <c r="F472" s="70" t="s">
        <v>1077</v>
      </c>
      <c r="G472" s="73"/>
      <c r="H472" s="76" t="s">
        <v>3480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1085</v>
      </c>
      <c r="G480" s="73"/>
      <c r="H480" s="76" t="s">
        <v>3481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35">
      <c r="A503" s="45"/>
      <c r="B503" s="54"/>
      <c r="C503" s="47">
        <f t="shared" si="9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35">
      <c r="A504" s="45"/>
      <c r="B504" s="54"/>
      <c r="C504" s="47">
        <f t="shared" ref="C504:C535" si="9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35">
      <c r="A505" s="45"/>
      <c r="B505" s="54"/>
      <c r="C505" s="47">
        <f t="shared" si="9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35">
      <c r="A506" s="45"/>
      <c r="B506" s="54"/>
      <c r="C506" s="47">
        <f t="shared" si="9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35">
      <c r="A507" s="45"/>
      <c r="B507" s="54"/>
      <c r="C507" s="47">
        <f t="shared" si="9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35">
      <c r="A510" s="45"/>
      <c r="B510" s="54"/>
      <c r="C510" s="47">
        <f t="shared" si="9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35">
      <c r="A511" s="45"/>
      <c r="B511" s="54"/>
      <c r="C511" s="47">
        <f t="shared" si="9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35">
      <c r="A535" s="45"/>
      <c r="B535" s="54"/>
      <c r="C535" s="47">
        <f t="shared" si="9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35">
      <c r="A536" s="45"/>
      <c r="B536" s="54"/>
      <c r="C536" s="47">
        <f t="shared" ref="C536:C567" si="9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99">Y536</f>
        <v>-0.2</v>
      </c>
      <c r="AA536" s="255">
        <f t="shared" si="99"/>
        <v>-0.2</v>
      </c>
      <c r="AB536" s="255">
        <f t="shared" si="99"/>
        <v>-0.2</v>
      </c>
      <c r="AC536" s="255">
        <f t="shared" si="99"/>
        <v>-0.2</v>
      </c>
      <c r="AD536" s="255">
        <f t="shared" si="99"/>
        <v>-0.2</v>
      </c>
      <c r="AE536" s="76"/>
      <c r="AF536" s="97" t="s">
        <v>1145</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99"/>
        <v>-0.1</v>
      </c>
      <c r="AA537" s="255">
        <f t="shared" si="99"/>
        <v>-0.1</v>
      </c>
      <c r="AB537" s="255">
        <f t="shared" si="99"/>
        <v>-0.1</v>
      </c>
      <c r="AC537" s="255">
        <f t="shared" si="99"/>
        <v>-0.1</v>
      </c>
      <c r="AD537" s="255">
        <f t="shared" si="99"/>
        <v>-0.1</v>
      </c>
      <c r="AE537" s="76"/>
      <c r="AF537" s="97" t="s">
        <v>2568</v>
      </c>
      <c r="AG537" s="76"/>
      <c r="AH537" s="97">
        <v>1</v>
      </c>
      <c r="AI537" s="97">
        <v>1</v>
      </c>
      <c r="AJ537" s="73"/>
      <c r="AK537" s="57"/>
      <c r="AL537" s="45"/>
      <c r="AM537" s="45"/>
      <c r="AN537" s="45"/>
    </row>
    <row r="538" spans="1:40" hidden="1" outlineLevel="2" x14ac:dyDescent="0.35">
      <c r="A538" s="45"/>
      <c r="B538" s="54"/>
      <c r="C538" s="47">
        <f t="shared" si="9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x14ac:dyDescent="0.35">
      <c r="A539" s="45"/>
      <c r="B539" s="54"/>
      <c r="C539" s="47">
        <f t="shared" si="9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collapsed="1" x14ac:dyDescent="0.35">
      <c r="A540" s="45"/>
      <c r="B540" s="54"/>
      <c r="C540" s="47">
        <f t="shared" si="9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0">U540</f>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35">
      <c r="A543" s="45"/>
      <c r="B543" s="54"/>
      <c r="C543" s="47">
        <f t="shared" si="9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1">Y544</f>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35">
      <c r="A547" s="45"/>
      <c r="B547" s="54"/>
      <c r="C547" s="47">
        <f t="shared" si="9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collapsed="1" x14ac:dyDescent="0.35">
      <c r="A548" s="45"/>
      <c r="B548" s="54"/>
      <c r="C548" s="47">
        <f t="shared" si="9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2">U548</f>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x14ac:dyDescent="0.35">
      <c r="A550" s="45"/>
      <c r="B550" s="54"/>
      <c r="C550" s="47">
        <f t="shared" si="9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collapsed="1" x14ac:dyDescent="0.35">
      <c r="A551" s="45"/>
      <c r="B551" s="54"/>
      <c r="C551" s="47">
        <f t="shared" si="9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x14ac:dyDescent="0.35">
      <c r="A552" s="45"/>
      <c r="B552" s="54"/>
      <c r="C552" s="47">
        <f t="shared" si="9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35">
      <c r="A559" s="45"/>
      <c r="B559" s="54"/>
      <c r="C559" s="47">
        <f t="shared" si="9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35">
      <c r="A560" s="45"/>
      <c r="B560" s="54"/>
      <c r="C560" s="47">
        <f t="shared" si="9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35">
      <c r="A561" s="45"/>
      <c r="B561" s="54"/>
      <c r="C561" s="47">
        <f t="shared" si="9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si="9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35">
      <c r="A568" s="45"/>
      <c r="B568" s="54"/>
      <c r="C568" s="47">
        <f t="shared" ref="C568:C599" si="10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4">AA568</f>
        <v>-0.55000000000000004</v>
      </c>
      <c r="AA568" s="255">
        <f t="shared" si="104"/>
        <v>-0.55000000000000004</v>
      </c>
      <c r="AB568" s="97">
        <v>-0.55000000000000004</v>
      </c>
      <c r="AC568" s="255">
        <f t="shared" ref="AC568:AD591" si="105">AB568</f>
        <v>-0.55000000000000004</v>
      </c>
      <c r="AD568" s="255">
        <f t="shared" si="105"/>
        <v>-0.55000000000000004</v>
      </c>
      <c r="AE568" s="76"/>
      <c r="AF568" s="97" t="s">
        <v>2671</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4"/>
        <v>-0.2</v>
      </c>
      <c r="AA569" s="255">
        <f t="shared" si="104"/>
        <v>-0.2</v>
      </c>
      <c r="AB569" s="97">
        <v>-0.2</v>
      </c>
      <c r="AC569" s="255">
        <f t="shared" si="105"/>
        <v>-0.2</v>
      </c>
      <c r="AD569" s="255">
        <f t="shared" si="105"/>
        <v>-0.2</v>
      </c>
      <c r="AE569" s="76"/>
      <c r="AF569" s="97" t="s">
        <v>2698</v>
      </c>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-0.2</v>
      </c>
      <c r="AA575" s="255">
        <f t="shared" si="104"/>
        <v>-0.2</v>
      </c>
      <c r="AB575" s="97">
        <f>AB569</f>
        <v>-0.2</v>
      </c>
      <c r="AC575" s="255">
        <f t="shared" si="105"/>
        <v>-0.2</v>
      </c>
      <c r="AD575" s="255">
        <f t="shared" si="105"/>
        <v>-0.2</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6">Y576</f>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x14ac:dyDescent="0.35">
      <c r="A577" s="45"/>
      <c r="B577" s="54"/>
      <c r="C577" s="47">
        <f t="shared" si="10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collapsed="1" x14ac:dyDescent="0.35">
      <c r="A578" s="45"/>
      <c r="B578" s="54"/>
      <c r="C578" s="47">
        <f t="shared" si="10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35">
      <c r="A583" s="45"/>
      <c r="B583" s="54"/>
      <c r="C583" s="47">
        <f t="shared" si="10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35">
      <c r="A585" s="45"/>
      <c r="B585" s="54"/>
      <c r="C585" s="47">
        <f t="shared" si="10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collapsed="1" x14ac:dyDescent="0.35">
      <c r="A586" s="45"/>
      <c r="B586" s="54"/>
      <c r="C586" s="47">
        <f t="shared" si="10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35">
      <c r="A592" s="45"/>
      <c r="B592" s="54"/>
      <c r="C592" s="47">
        <f t="shared" si="10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35">
      <c r="A599" s="45"/>
      <c r="B599" s="54"/>
      <c r="C599" s="47">
        <f t="shared" si="10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35">
      <c r="A600" s="45"/>
      <c r="B600" s="54"/>
      <c r="C600" s="47">
        <f t="shared" ref="C600:C631" si="10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35">
      <c r="A601" s="45"/>
      <c r="B601" s="54"/>
      <c r="C601" s="47">
        <f t="shared" si="10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35">
      <c r="A608" s="45"/>
      <c r="B608" s="54"/>
      <c r="C608" s="47">
        <f t="shared" si="10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35">
      <c r="A615" s="45"/>
      <c r="B615" s="54"/>
      <c r="C615" s="47">
        <f t="shared" si="10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35">
      <c r="A616" s="45"/>
      <c r="B616" s="54"/>
      <c r="C616" s="47">
        <f t="shared" si="10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35">
      <c r="A617" s="45"/>
      <c r="B617" s="54"/>
      <c r="C617" s="47">
        <f t="shared" si="10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35">
      <c r="A623" s="45"/>
      <c r="B623" s="54"/>
      <c r="C623" s="47">
        <f t="shared" si="10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35">
      <c r="A624" s="45"/>
      <c r="B624" s="54"/>
      <c r="C624" s="47">
        <f t="shared" si="107"/>
        <v>3</v>
      </c>
      <c r="D624" s="73"/>
      <c r="E624" s="70"/>
      <c r="F624" s="70" t="s">
        <v>2749</v>
      </c>
      <c r="G624" s="73"/>
      <c r="H624" s="76" t="s">
        <v>2748</v>
      </c>
      <c r="I624" s="96">
        <v>1</v>
      </c>
      <c r="J624" s="96"/>
      <c r="K624" s="76"/>
      <c r="L624" s="76"/>
      <c r="M624" s="76"/>
      <c r="N624" s="76"/>
      <c r="O624" s="76"/>
      <c r="P624" s="76"/>
      <c r="Q624" s="76"/>
      <c r="R624" s="76"/>
      <c r="S624" s="76"/>
      <c r="T624" s="76"/>
      <c r="U624" s="97">
        <f t="shared" ref="U624:U631" si="108">AA624-($I624*-0.3347)</f>
        <v>0.39093</v>
      </c>
      <c r="V624" s="255">
        <f t="shared" ref="V624:V631" si="109">U624</f>
        <v>0.39093</v>
      </c>
      <c r="W624" s="255">
        <f t="shared" ref="W624:X631" si="110">U624</f>
        <v>0.39093</v>
      </c>
      <c r="X624" s="255">
        <f t="shared" si="110"/>
        <v>0.39093</v>
      </c>
      <c r="Y624" s="255">
        <f t="shared" ref="Y624:Y631" si="111">V624</f>
        <v>0.39093</v>
      </c>
      <c r="Z624" s="255">
        <f t="shared" ref="Z624:Z631" si="112">AA624</f>
        <v>5.6230000000000002E-2</v>
      </c>
      <c r="AA624" s="97">
        <f t="shared" ref="AA624:AA631" si="113">-($I624*-0.05623)</f>
        <v>5.6230000000000002E-2</v>
      </c>
      <c r="AB624" s="255">
        <f t="shared" ref="AB624:AD631" si="114">AA624</f>
        <v>5.6230000000000002E-2</v>
      </c>
      <c r="AC624" s="255">
        <f t="shared" si="114"/>
        <v>5.6230000000000002E-2</v>
      </c>
      <c r="AD624" s="255">
        <f t="shared" si="114"/>
        <v>5.6230000000000002E-2</v>
      </c>
      <c r="AE624" s="76"/>
      <c r="AF624" s="97" t="s">
        <v>3489</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2750</v>
      </c>
      <c r="G625" s="73"/>
      <c r="H625" s="76" t="s">
        <v>2663</v>
      </c>
      <c r="I625" s="96">
        <v>2</v>
      </c>
      <c r="J625" s="96"/>
      <c r="K625" s="76"/>
      <c r="L625" s="76"/>
      <c r="M625" s="76"/>
      <c r="N625" s="76"/>
      <c r="O625" s="76"/>
      <c r="P625" s="76"/>
      <c r="Q625" s="76"/>
      <c r="R625" s="76"/>
      <c r="S625" s="76"/>
      <c r="T625" s="76"/>
      <c r="U625" s="97">
        <f t="shared" si="108"/>
        <v>0.78186</v>
      </c>
      <c r="V625" s="255">
        <f t="shared" si="109"/>
        <v>0.78186</v>
      </c>
      <c r="W625" s="255">
        <f t="shared" si="110"/>
        <v>0.78186</v>
      </c>
      <c r="X625" s="255">
        <f t="shared" si="110"/>
        <v>0.78186</v>
      </c>
      <c r="Y625" s="255">
        <f t="shared" si="111"/>
        <v>0.78186</v>
      </c>
      <c r="Z625" s="255">
        <f t="shared" si="112"/>
        <v>0.11246</v>
      </c>
      <c r="AA625" s="97">
        <f t="shared" si="113"/>
        <v>0.11246</v>
      </c>
      <c r="AB625" s="255">
        <f t="shared" si="114"/>
        <v>0.11246</v>
      </c>
      <c r="AC625" s="255">
        <f t="shared" si="114"/>
        <v>0.11246</v>
      </c>
      <c r="AD625" s="255">
        <f t="shared" si="114"/>
        <v>0.11246</v>
      </c>
      <c r="AE625" s="76"/>
      <c r="AF625" s="97" t="s">
        <v>3488</v>
      </c>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2751</v>
      </c>
      <c r="G626" s="73"/>
      <c r="H626" s="76" t="s">
        <v>2664</v>
      </c>
      <c r="I626" s="96">
        <v>3</v>
      </c>
      <c r="J626" s="96"/>
      <c r="K626" s="76"/>
      <c r="L626" s="76"/>
      <c r="M626" s="76"/>
      <c r="N626" s="76"/>
      <c r="O626" s="76"/>
      <c r="P626" s="76"/>
      <c r="Q626" s="76"/>
      <c r="R626" s="76"/>
      <c r="S626" s="76"/>
      <c r="T626" s="76"/>
      <c r="U626" s="97">
        <f t="shared" si="108"/>
        <v>1.17279</v>
      </c>
      <c r="V626" s="255">
        <f t="shared" si="109"/>
        <v>1.17279</v>
      </c>
      <c r="W626" s="255">
        <f t="shared" si="110"/>
        <v>1.17279</v>
      </c>
      <c r="X626" s="255">
        <f t="shared" si="110"/>
        <v>1.17279</v>
      </c>
      <c r="Y626" s="255">
        <f t="shared" si="111"/>
        <v>1.17279</v>
      </c>
      <c r="Z626" s="255">
        <f t="shared" si="112"/>
        <v>0.16869000000000001</v>
      </c>
      <c r="AA626" s="97">
        <f t="shared" si="113"/>
        <v>0.16869000000000001</v>
      </c>
      <c r="AB626" s="255">
        <f t="shared" si="114"/>
        <v>0.16869000000000001</v>
      </c>
      <c r="AC626" s="255">
        <f t="shared" si="114"/>
        <v>0.16869000000000001</v>
      </c>
      <c r="AD626" s="255">
        <f t="shared" si="114"/>
        <v>0.16869000000000001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2752</v>
      </c>
      <c r="G627" s="73"/>
      <c r="H627" s="76" t="s">
        <v>2665</v>
      </c>
      <c r="I627" s="96">
        <v>4</v>
      </c>
      <c r="J627" s="96"/>
      <c r="K627" s="76"/>
      <c r="L627" s="76"/>
      <c r="M627" s="76"/>
      <c r="N627" s="76"/>
      <c r="O627" s="76"/>
      <c r="P627" s="76"/>
      <c r="Q627" s="76"/>
      <c r="R627" s="76"/>
      <c r="S627" s="76"/>
      <c r="T627" s="76"/>
      <c r="U627" s="97">
        <f t="shared" si="108"/>
        <v>1.56372</v>
      </c>
      <c r="V627" s="255">
        <f t="shared" si="109"/>
        <v>1.56372</v>
      </c>
      <c r="W627" s="255">
        <f t="shared" si="110"/>
        <v>1.56372</v>
      </c>
      <c r="X627" s="255">
        <f t="shared" si="110"/>
        <v>1.56372</v>
      </c>
      <c r="Y627" s="255">
        <f t="shared" si="111"/>
        <v>1.56372</v>
      </c>
      <c r="Z627" s="255">
        <f t="shared" si="112"/>
        <v>0.22492000000000001</v>
      </c>
      <c r="AA627" s="97">
        <f t="shared" si="113"/>
        <v>0.22492000000000001</v>
      </c>
      <c r="AB627" s="255">
        <f t="shared" si="114"/>
        <v>0.22492000000000001</v>
      </c>
      <c r="AC627" s="255">
        <f t="shared" si="114"/>
        <v>0.22492000000000001</v>
      </c>
      <c r="AD627" s="255">
        <f t="shared" si="114"/>
        <v>0.22492000000000001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2753</v>
      </c>
      <c r="G628" s="73"/>
      <c r="H628" s="76" t="s">
        <v>2666</v>
      </c>
      <c r="I628" s="96">
        <v>5</v>
      </c>
      <c r="J628" s="96"/>
      <c r="K628" s="76"/>
      <c r="L628" s="76"/>
      <c r="M628" s="76"/>
      <c r="N628" s="76"/>
      <c r="O628" s="76"/>
      <c r="P628" s="76"/>
      <c r="Q628" s="76"/>
      <c r="R628" s="76"/>
      <c r="S628" s="76"/>
      <c r="T628" s="76"/>
      <c r="U628" s="97">
        <f t="shared" si="108"/>
        <v>1.95465</v>
      </c>
      <c r="V628" s="255">
        <f t="shared" si="109"/>
        <v>1.95465</v>
      </c>
      <c r="W628" s="255">
        <f t="shared" si="110"/>
        <v>1.95465</v>
      </c>
      <c r="X628" s="255">
        <f t="shared" si="110"/>
        <v>1.95465</v>
      </c>
      <c r="Y628" s="255">
        <f t="shared" si="111"/>
        <v>1.95465</v>
      </c>
      <c r="Z628" s="255">
        <f t="shared" si="112"/>
        <v>0.28115000000000001</v>
      </c>
      <c r="AA628" s="97">
        <f t="shared" si="113"/>
        <v>0.28115000000000001</v>
      </c>
      <c r="AB628" s="255">
        <f t="shared" si="114"/>
        <v>0.28115000000000001</v>
      </c>
      <c r="AC628" s="255">
        <f t="shared" si="114"/>
        <v>0.28115000000000001</v>
      </c>
      <c r="AD628" s="255">
        <f t="shared" si="114"/>
        <v>0.28115000000000001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2754</v>
      </c>
      <c r="G629" s="73"/>
      <c r="H629" s="76" t="s">
        <v>2667</v>
      </c>
      <c r="I629" s="96">
        <v>6</v>
      </c>
      <c r="J629" s="96"/>
      <c r="K629" s="76"/>
      <c r="L629" s="76"/>
      <c r="M629" s="76"/>
      <c r="N629" s="76"/>
      <c r="O629" s="76"/>
      <c r="P629" s="76"/>
      <c r="Q629" s="76"/>
      <c r="R629" s="76"/>
      <c r="S629" s="76"/>
      <c r="T629" s="76"/>
      <c r="U629" s="97">
        <f t="shared" si="108"/>
        <v>2.34558</v>
      </c>
      <c r="V629" s="255">
        <f t="shared" si="109"/>
        <v>2.34558</v>
      </c>
      <c r="W629" s="255">
        <f t="shared" si="110"/>
        <v>2.34558</v>
      </c>
      <c r="X629" s="255">
        <f t="shared" si="110"/>
        <v>2.34558</v>
      </c>
      <c r="Y629" s="255">
        <f t="shared" si="111"/>
        <v>2.34558</v>
      </c>
      <c r="Z629" s="255">
        <f t="shared" si="112"/>
        <v>0.33738000000000001</v>
      </c>
      <c r="AA629" s="97">
        <f t="shared" si="113"/>
        <v>0.33738000000000001</v>
      </c>
      <c r="AB629" s="255">
        <f t="shared" si="114"/>
        <v>0.33738000000000001</v>
      </c>
      <c r="AC629" s="255">
        <f t="shared" si="114"/>
        <v>0.33738000000000001</v>
      </c>
      <c r="AD629" s="255">
        <f t="shared" si="114"/>
        <v>0.33738000000000001</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2755</v>
      </c>
      <c r="G630" s="73"/>
      <c r="H630" s="76" t="s">
        <v>2668</v>
      </c>
      <c r="I630" s="96">
        <v>7</v>
      </c>
      <c r="J630" s="96"/>
      <c r="K630" s="76"/>
      <c r="L630" s="76"/>
      <c r="M630" s="76"/>
      <c r="N630" s="76"/>
      <c r="O630" s="76"/>
      <c r="P630" s="76"/>
      <c r="Q630" s="76"/>
      <c r="R630" s="76"/>
      <c r="S630" s="76"/>
      <c r="T630" s="76"/>
      <c r="U630" s="97">
        <f t="shared" si="108"/>
        <v>2.73651</v>
      </c>
      <c r="V630" s="255">
        <f t="shared" si="109"/>
        <v>2.73651</v>
      </c>
      <c r="W630" s="255">
        <f t="shared" si="110"/>
        <v>2.73651</v>
      </c>
      <c r="X630" s="255">
        <f t="shared" si="110"/>
        <v>2.73651</v>
      </c>
      <c r="Y630" s="255">
        <f t="shared" si="111"/>
        <v>2.73651</v>
      </c>
      <c r="Z630" s="255">
        <f t="shared" si="112"/>
        <v>0.39361000000000002</v>
      </c>
      <c r="AA630" s="97">
        <f t="shared" si="113"/>
        <v>0.39361000000000002</v>
      </c>
      <c r="AB630" s="255">
        <f t="shared" si="114"/>
        <v>0.39361000000000002</v>
      </c>
      <c r="AC630" s="255">
        <f t="shared" si="114"/>
        <v>0.39361000000000002</v>
      </c>
      <c r="AD630" s="255">
        <f t="shared" si="114"/>
        <v>0.39361000000000002</v>
      </c>
      <c r="AE630" s="76"/>
      <c r="AF630" s="76"/>
      <c r="AG630" s="76"/>
      <c r="AH630" s="97">
        <v>1</v>
      </c>
      <c r="AI630" s="97">
        <v>1</v>
      </c>
      <c r="AJ630" s="73"/>
      <c r="AK630" s="57"/>
      <c r="AL630" s="45"/>
      <c r="AM630" s="45"/>
      <c r="AN630" s="45"/>
    </row>
    <row r="631" spans="1:40" hidden="1" outlineLevel="2" x14ac:dyDescent="0.35">
      <c r="A631" s="45"/>
      <c r="B631" s="54"/>
      <c r="C631" s="47">
        <f t="shared" si="107"/>
        <v>3</v>
      </c>
      <c r="D631" s="73"/>
      <c r="E631" s="70"/>
      <c r="F631" s="70" t="s">
        <v>2756</v>
      </c>
      <c r="G631" s="73"/>
      <c r="H631" s="76" t="s">
        <v>2669</v>
      </c>
      <c r="I631" s="96">
        <v>8</v>
      </c>
      <c r="J631" s="96"/>
      <c r="K631" s="76"/>
      <c r="L631" s="76"/>
      <c r="M631" s="76"/>
      <c r="N631" s="76"/>
      <c r="O631" s="76"/>
      <c r="P631" s="76"/>
      <c r="Q631" s="76"/>
      <c r="R631" s="76"/>
      <c r="S631" s="76"/>
      <c r="T631" s="76"/>
      <c r="U631" s="97">
        <f t="shared" si="108"/>
        <v>3.12744</v>
      </c>
      <c r="V631" s="255">
        <f t="shared" si="109"/>
        <v>3.12744</v>
      </c>
      <c r="W631" s="255">
        <f t="shared" si="110"/>
        <v>3.12744</v>
      </c>
      <c r="X631" s="255">
        <f t="shared" si="110"/>
        <v>3.12744</v>
      </c>
      <c r="Y631" s="255">
        <f t="shared" si="111"/>
        <v>3.12744</v>
      </c>
      <c r="Z631" s="255">
        <f t="shared" si="112"/>
        <v>0.44984000000000002</v>
      </c>
      <c r="AA631" s="97">
        <f t="shared" si="113"/>
        <v>0.44984000000000002</v>
      </c>
      <c r="AB631" s="255">
        <f t="shared" si="114"/>
        <v>0.44984000000000002</v>
      </c>
      <c r="AC631" s="255">
        <f t="shared" si="114"/>
        <v>0.44984000000000002</v>
      </c>
      <c r="AD631" s="255">
        <f t="shared" si="114"/>
        <v>0.44984000000000002</v>
      </c>
      <c r="AE631" s="76"/>
      <c r="AF631" s="76"/>
      <c r="AG631" s="76"/>
      <c r="AH631" s="97">
        <v>1</v>
      </c>
      <c r="AI631" s="97">
        <v>1</v>
      </c>
      <c r="AJ631" s="73"/>
      <c r="AK631" s="57"/>
      <c r="AL631" s="45"/>
      <c r="AM631" s="45"/>
      <c r="AN631" s="45"/>
    </row>
    <row r="632" spans="1:40" outlineLevel="1" collapsed="1" x14ac:dyDescent="0.3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35">
      <c r="A633" s="45"/>
      <c r="B633" s="54"/>
      <c r="C633" s="47">
        <f t="shared" ref="C633:C650" si="11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35">
      <c r="A635" s="45"/>
      <c r="B635" s="54"/>
      <c r="C635" s="47">
        <f t="shared" si="11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35">
      <c r="A636" s="45"/>
      <c r="B636" s="54"/>
      <c r="C636" s="47">
        <f t="shared" si="11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35">
      <c r="A637" s="45"/>
      <c r="B637" s="54"/>
      <c r="C637" s="47">
        <f t="shared" si="11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35">
      <c r="A638" s="45"/>
      <c r="B638" s="54"/>
      <c r="C638" s="47">
        <f t="shared" si="11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35">
      <c r="A639" s="45"/>
      <c r="B639" s="54"/>
      <c r="C639" s="47">
        <f t="shared" si="11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si="11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ref="C651:C656" si="11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35">
      <c r="A656" s="45"/>
      <c r="B656" s="54"/>
      <c r="C656" s="47">
        <f t="shared" si="11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35">
      <c r="A657" s="45"/>
      <c r="B657" s="54"/>
      <c r="C657" s="47">
        <f t="shared" ref="C657:C704" si="11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8">AA657</f>
        <v>-0.26729999999999998</v>
      </c>
      <c r="AC657" s="255">
        <f t="shared" si="118"/>
        <v>-0.26729999999999998</v>
      </c>
      <c r="AD657" s="255">
        <f t="shared" si="118"/>
        <v>-0.26729999999999998</v>
      </c>
      <c r="AE657" s="76"/>
      <c r="AF657" s="76" t="s">
        <v>1235</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8"/>
        <v>0</v>
      </c>
      <c r="AC658" s="255">
        <f t="shared" si="118"/>
        <v>0</v>
      </c>
      <c r="AD658" s="255">
        <f t="shared" si="118"/>
        <v>0</v>
      </c>
      <c r="AE658" s="76"/>
      <c r="AF658" s="76" t="s">
        <v>2560</v>
      </c>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19">U657</f>
        <v>0</v>
      </c>
      <c r="V659" s="253">
        <f t="shared" si="119"/>
        <v>0</v>
      </c>
      <c r="W659" s="253">
        <f t="shared" si="119"/>
        <v>0</v>
      </c>
      <c r="X659" s="253">
        <f t="shared" si="119"/>
        <v>0</v>
      </c>
      <c r="Y659" s="253">
        <f t="shared" si="119"/>
        <v>0</v>
      </c>
      <c r="Z659" s="253">
        <f t="shared" si="119"/>
        <v>-0.26729999999999998</v>
      </c>
      <c r="AA659" s="253">
        <f t="shared" si="119"/>
        <v>-0.26729999999999998</v>
      </c>
      <c r="AB659" s="253">
        <f t="shared" si="119"/>
        <v>-0.26729999999999998</v>
      </c>
      <c r="AC659" s="253">
        <f t="shared" si="119"/>
        <v>-0.26729999999999998</v>
      </c>
      <c r="AD659" s="253">
        <f t="shared" si="119"/>
        <v>-0.26729999999999998</v>
      </c>
      <c r="AE659" s="76"/>
      <c r="AF659" s="76"/>
      <c r="AG659" s="76"/>
      <c r="AH659" s="97">
        <v>1</v>
      </c>
      <c r="AI659" s="97">
        <v>1</v>
      </c>
      <c r="AJ659" s="73"/>
      <c r="AK659" s="57"/>
      <c r="AL659" s="45"/>
      <c r="AM659" s="45"/>
      <c r="AN659" s="45"/>
    </row>
    <row r="660" spans="1:40" hidden="1" outlineLevel="2" x14ac:dyDescent="0.35">
      <c r="A660" s="45"/>
      <c r="B660" s="54"/>
      <c r="C660" s="47">
        <f t="shared" si="11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0">AA660</f>
        <v>0</v>
      </c>
      <c r="AC660" s="255">
        <f t="shared" si="120"/>
        <v>0</v>
      </c>
      <c r="AD660" s="255">
        <f t="shared" si="120"/>
        <v>0</v>
      </c>
      <c r="AE660" s="76"/>
      <c r="AF660" s="76" t="s">
        <v>1235</v>
      </c>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1">INDEX($K663:$Q663,1,U$43)</f>
        <v>1.1499999999999999</v>
      </c>
      <c r="V663" s="253">
        <f t="shared" si="121"/>
        <v>1.1499999999999999</v>
      </c>
      <c r="W663" s="253">
        <f t="shared" si="121"/>
        <v>1.1499999999999999</v>
      </c>
      <c r="X663" s="253">
        <f t="shared" si="121"/>
        <v>1.1499999999999999</v>
      </c>
      <c r="Y663" s="253">
        <f t="shared" si="121"/>
        <v>1.1499999999999999</v>
      </c>
      <c r="Z663" s="253">
        <f t="shared" si="121"/>
        <v>1.1499999999999999</v>
      </c>
      <c r="AA663" s="253">
        <f t="shared" si="121"/>
        <v>1.1499999999999999</v>
      </c>
      <c r="AB663" s="253">
        <f t="shared" si="121"/>
        <v>1.1499999999999999</v>
      </c>
      <c r="AC663" s="253">
        <f t="shared" si="121"/>
        <v>1.1499999999999999</v>
      </c>
      <c r="AD663" s="253">
        <f t="shared" si="121"/>
        <v>1.1499999999999999</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1"/>
        <v>1.4</v>
      </c>
      <c r="V666" s="253">
        <f t="shared" si="121"/>
        <v>1.4</v>
      </c>
      <c r="W666" s="253">
        <f t="shared" si="121"/>
        <v>1.4</v>
      </c>
      <c r="X666" s="253">
        <f t="shared" si="121"/>
        <v>1.4</v>
      </c>
      <c r="Y666" s="253">
        <f t="shared" si="121"/>
        <v>1.4</v>
      </c>
      <c r="Z666" s="253">
        <f t="shared" si="121"/>
        <v>1.4</v>
      </c>
      <c r="AA666" s="253">
        <f t="shared" si="121"/>
        <v>1.4</v>
      </c>
      <c r="AB666" s="253">
        <f t="shared" si="121"/>
        <v>1.4</v>
      </c>
      <c r="AC666" s="253">
        <f t="shared" si="121"/>
        <v>1.4</v>
      </c>
      <c r="AD666" s="253">
        <f t="shared" si="121"/>
        <v>1.4</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1"/>
        <v>1</v>
      </c>
      <c r="V667" s="253">
        <f t="shared" si="121"/>
        <v>1</v>
      </c>
      <c r="W667" s="253">
        <f t="shared" si="121"/>
        <v>1</v>
      </c>
      <c r="X667" s="253">
        <f t="shared" si="121"/>
        <v>1</v>
      </c>
      <c r="Y667" s="253">
        <f t="shared" si="121"/>
        <v>1</v>
      </c>
      <c r="Z667" s="253">
        <f t="shared" si="121"/>
        <v>1</v>
      </c>
      <c r="AA667" s="253">
        <f t="shared" si="121"/>
        <v>1</v>
      </c>
      <c r="AB667" s="253">
        <f t="shared" si="121"/>
        <v>1</v>
      </c>
      <c r="AC667" s="253">
        <f t="shared" si="121"/>
        <v>1</v>
      </c>
      <c r="AD667" s="253">
        <f t="shared" si="121"/>
        <v>1</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1"/>
        <v>1.2</v>
      </c>
      <c r="V668" s="253">
        <f t="shared" si="121"/>
        <v>1.2</v>
      </c>
      <c r="W668" s="253">
        <f t="shared" si="121"/>
        <v>1.2</v>
      </c>
      <c r="X668" s="253">
        <f t="shared" si="121"/>
        <v>1.2</v>
      </c>
      <c r="Y668" s="253">
        <f t="shared" si="121"/>
        <v>1.2</v>
      </c>
      <c r="Z668" s="253">
        <f t="shared" si="121"/>
        <v>1.2</v>
      </c>
      <c r="AA668" s="253">
        <f t="shared" si="121"/>
        <v>1.2</v>
      </c>
      <c r="AB668" s="253">
        <f t="shared" si="121"/>
        <v>1.2</v>
      </c>
      <c r="AC668" s="253">
        <f t="shared" si="121"/>
        <v>1.2</v>
      </c>
      <c r="AD668" s="253">
        <f t="shared" si="121"/>
        <v>1.2</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2">Y669</f>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35">
      <c r="A673" s="45"/>
      <c r="B673" s="54"/>
      <c r="C673" s="47">
        <f t="shared" si="11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2"/>
        <v>0.26</v>
      </c>
      <c r="AA673" s="255">
        <f t="shared" si="122"/>
        <v>0.26</v>
      </c>
      <c r="AB673" s="255">
        <f t="shared" si="122"/>
        <v>0.26</v>
      </c>
      <c r="AC673" s="255">
        <f t="shared" si="122"/>
        <v>0.26</v>
      </c>
      <c r="AD673" s="255">
        <f t="shared" si="122"/>
        <v>0.26</v>
      </c>
      <c r="AE673" s="76"/>
      <c r="AF673" s="97" t="s">
        <v>1256</v>
      </c>
      <c r="AG673" s="76"/>
      <c r="AH673" s="97">
        <v>1</v>
      </c>
      <c r="AI673" s="97">
        <v>1</v>
      </c>
      <c r="AJ673" s="73"/>
      <c r="AK673" s="57"/>
      <c r="AL673" s="45"/>
      <c r="AM673" s="45"/>
      <c r="AN673" s="45"/>
    </row>
    <row r="674" spans="1:40" hidden="1" outlineLevel="2" collapsed="1" x14ac:dyDescent="0.35">
      <c r="A674" s="45"/>
      <c r="B674" s="54"/>
      <c r="C674" s="47">
        <f t="shared" si="11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2"/>
        <v>0</v>
      </c>
      <c r="AA674" s="255">
        <f t="shared" si="122"/>
        <v>0</v>
      </c>
      <c r="AB674" s="255">
        <f t="shared" si="122"/>
        <v>0</v>
      </c>
      <c r="AC674" s="255">
        <f t="shared" si="122"/>
        <v>0</v>
      </c>
      <c r="AD674" s="255">
        <f t="shared" si="122"/>
        <v>0</v>
      </c>
      <c r="AE674" s="76"/>
      <c r="AF674" s="76"/>
      <c r="AG674" s="76"/>
      <c r="AH674" s="97">
        <v>1</v>
      </c>
      <c r="AI674" s="97">
        <v>1</v>
      </c>
      <c r="AJ674" s="73"/>
      <c r="AK674" s="57"/>
      <c r="AL674" s="45"/>
      <c r="AM674" s="45"/>
      <c r="AN674" s="45"/>
    </row>
    <row r="675" spans="1:40" hidden="1" outlineLevel="3" x14ac:dyDescent="0.35">
      <c r="A675" s="45"/>
      <c r="B675" s="54"/>
      <c r="C675" s="47">
        <f t="shared" si="11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35">
      <c r="A677" s="45"/>
      <c r="B677" s="54"/>
      <c r="C677" s="47">
        <f t="shared" si="11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35">
      <c r="A678" s="45"/>
      <c r="B678" s="54"/>
      <c r="C678" s="47">
        <f t="shared" si="11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3">INDEX($K678:$Q678,1,U$43)</f>
        <v>1.02</v>
      </c>
      <c r="V678" s="253">
        <f t="shared" si="123"/>
        <v>1.02</v>
      </c>
      <c r="W678" s="253">
        <f t="shared" si="123"/>
        <v>1.02</v>
      </c>
      <c r="X678" s="253">
        <f t="shared" si="123"/>
        <v>1.02</v>
      </c>
      <c r="Y678" s="253">
        <f t="shared" si="123"/>
        <v>1.02</v>
      </c>
      <c r="Z678" s="253">
        <f t="shared" si="123"/>
        <v>1.02</v>
      </c>
      <c r="AA678" s="253">
        <f t="shared" si="123"/>
        <v>1.02</v>
      </c>
      <c r="AB678" s="253">
        <f t="shared" si="123"/>
        <v>1.02</v>
      </c>
      <c r="AC678" s="253">
        <f t="shared" si="123"/>
        <v>1.02</v>
      </c>
      <c r="AD678" s="253">
        <f t="shared" si="123"/>
        <v>1.02</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3"/>
        <v>0.98000000000000009</v>
      </c>
      <c r="V679" s="253">
        <f t="shared" si="123"/>
        <v>0.98000000000000009</v>
      </c>
      <c r="W679" s="253">
        <f t="shared" si="123"/>
        <v>0.98000000000000009</v>
      </c>
      <c r="X679" s="253">
        <f t="shared" si="123"/>
        <v>0.98000000000000009</v>
      </c>
      <c r="Y679" s="253">
        <f t="shared" si="123"/>
        <v>0.98000000000000009</v>
      </c>
      <c r="Z679" s="253">
        <f t="shared" si="123"/>
        <v>0.98000000000000009</v>
      </c>
      <c r="AA679" s="253">
        <f t="shared" si="123"/>
        <v>0.98000000000000009</v>
      </c>
      <c r="AB679" s="253">
        <f t="shared" si="123"/>
        <v>0.98000000000000009</v>
      </c>
      <c r="AC679" s="253">
        <f t="shared" si="123"/>
        <v>0.98000000000000009</v>
      </c>
      <c r="AD679" s="253">
        <f t="shared" si="123"/>
        <v>0.98000000000000009</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1267</v>
      </c>
      <c r="G680" s="73"/>
      <c r="H680" s="76" t="s">
        <v>2326</v>
      </c>
      <c r="I680" s="96"/>
      <c r="J680" s="96" t="s">
        <v>1172</v>
      </c>
      <c r="K680" s="253">
        <f t="shared" ref="K680:P680" si="124">K678</f>
        <v>1.02</v>
      </c>
      <c r="L680" s="253">
        <f t="shared" si="124"/>
        <v>1.02</v>
      </c>
      <c r="M680" s="253">
        <f t="shared" si="124"/>
        <v>1</v>
      </c>
      <c r="N680" s="253">
        <f t="shared" si="124"/>
        <v>1</v>
      </c>
      <c r="O680" s="253">
        <f t="shared" si="124"/>
        <v>1</v>
      </c>
      <c r="P680" s="253">
        <f t="shared" si="124"/>
        <v>1</v>
      </c>
      <c r="Q680" s="76"/>
      <c r="R680" s="76"/>
      <c r="S680" s="76"/>
      <c r="T680" s="76"/>
      <c r="U680" s="253">
        <f t="shared" si="123"/>
        <v>1.02</v>
      </c>
      <c r="V680" s="253">
        <f t="shared" si="123"/>
        <v>1.02</v>
      </c>
      <c r="W680" s="253">
        <f t="shared" si="123"/>
        <v>1.02</v>
      </c>
      <c r="X680" s="253">
        <f t="shared" si="123"/>
        <v>1.02</v>
      </c>
      <c r="Y680" s="253">
        <f t="shared" si="123"/>
        <v>1.02</v>
      </c>
      <c r="Z680" s="253">
        <f t="shared" si="123"/>
        <v>1.02</v>
      </c>
      <c r="AA680" s="253">
        <f t="shared" si="123"/>
        <v>1.02</v>
      </c>
      <c r="AB680" s="253">
        <f t="shared" si="123"/>
        <v>1.02</v>
      </c>
      <c r="AC680" s="253">
        <f t="shared" si="123"/>
        <v>1.02</v>
      </c>
      <c r="AD680" s="253">
        <f t="shared" si="123"/>
        <v>1.02</v>
      </c>
      <c r="AE680" s="76"/>
      <c r="AF680" s="76"/>
      <c r="AG680" s="76"/>
      <c r="AH680" s="97">
        <v>1</v>
      </c>
      <c r="AI680" s="97">
        <v>1</v>
      </c>
      <c r="AJ680" s="73"/>
      <c r="AK680" s="57"/>
      <c r="AL680" s="45"/>
      <c r="AM680" s="45"/>
      <c r="AN680" s="45"/>
    </row>
    <row r="681" spans="1:40" hidden="1" outlineLevel="2" x14ac:dyDescent="0.35">
      <c r="A681" s="45"/>
      <c r="B681" s="54"/>
      <c r="C681" s="47">
        <f t="shared" si="11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5">AA681</f>
        <v>0.35589999999999999</v>
      </c>
      <c r="AA681" s="255">
        <f t="shared" si="125"/>
        <v>0.35589999999999999</v>
      </c>
      <c r="AB681" s="97">
        <v>0.35589999999999999</v>
      </c>
      <c r="AC681" s="255">
        <f t="shared" ref="AC681:AD689" si="126">AB681</f>
        <v>0.35589999999999999</v>
      </c>
      <c r="AD681" s="255">
        <f t="shared" si="126"/>
        <v>0.35589999999999999</v>
      </c>
      <c r="AE681" s="76"/>
      <c r="AF681" s="97" t="s">
        <v>2159</v>
      </c>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5"/>
        <v>0</v>
      </c>
      <c r="AA682" s="255">
        <f t="shared" si="125"/>
        <v>0</v>
      </c>
      <c r="AB682" s="97">
        <v>0</v>
      </c>
      <c r="AC682" s="255">
        <f t="shared" si="126"/>
        <v>0</v>
      </c>
      <c r="AD682" s="255">
        <f t="shared" si="126"/>
        <v>0</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5"/>
        <v>0.35589999999999999</v>
      </c>
      <c r="AA683" s="255">
        <f t="shared" si="125"/>
        <v>0.35589999999999999</v>
      </c>
      <c r="AB683" s="253">
        <f>AB681</f>
        <v>0.35589999999999999</v>
      </c>
      <c r="AC683" s="255">
        <f t="shared" si="126"/>
        <v>0.35589999999999999</v>
      </c>
      <c r="AD683" s="255">
        <f t="shared" si="126"/>
        <v>0.35589999999999999</v>
      </c>
      <c r="AE683" s="76"/>
      <c r="AF683" s="76"/>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7">Y684</f>
        <v>0</v>
      </c>
      <c r="AA684" s="97">
        <v>1.42</v>
      </c>
      <c r="AB684" s="255">
        <f t="shared" ref="AB684:AB689" si="128">AA684</f>
        <v>1.42</v>
      </c>
      <c r="AC684" s="255">
        <f t="shared" si="126"/>
        <v>1.42</v>
      </c>
      <c r="AD684" s="255">
        <f t="shared" si="126"/>
        <v>1.42</v>
      </c>
      <c r="AE684" s="76"/>
      <c r="AF684" s="97" t="s">
        <v>2159</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7"/>
        <v>-0.72</v>
      </c>
      <c r="AA685" s="97">
        <v>0</v>
      </c>
      <c r="AB685" s="255">
        <f t="shared" si="128"/>
        <v>0</v>
      </c>
      <c r="AC685" s="255">
        <f t="shared" si="126"/>
        <v>0</v>
      </c>
      <c r="AD685" s="255">
        <f t="shared" si="126"/>
        <v>0</v>
      </c>
      <c r="AE685" s="76"/>
      <c r="AF685" s="97" t="s">
        <v>1275</v>
      </c>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7"/>
        <v>0</v>
      </c>
      <c r="AA686" s="253">
        <f>AA684</f>
        <v>1.42</v>
      </c>
      <c r="AB686" s="255">
        <f t="shared" si="128"/>
        <v>1.42</v>
      </c>
      <c r="AC686" s="255">
        <f t="shared" si="126"/>
        <v>1.42</v>
      </c>
      <c r="AD686" s="255">
        <f t="shared" si="126"/>
        <v>1.42</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5">
        <f>Z687</f>
        <v>0</v>
      </c>
      <c r="AB687" s="255">
        <f t="shared" si="128"/>
        <v>0</v>
      </c>
      <c r="AC687" s="255">
        <f t="shared" si="126"/>
        <v>0</v>
      </c>
      <c r="AD687" s="255">
        <f t="shared" si="126"/>
        <v>0</v>
      </c>
      <c r="AE687" s="76"/>
      <c r="AF687" s="76"/>
      <c r="AG687" s="76"/>
      <c r="AH687" s="97">
        <v>1</v>
      </c>
      <c r="AI687" s="97">
        <v>1</v>
      </c>
      <c r="AJ687" s="73"/>
      <c r="AK687" s="57"/>
      <c r="AL687" s="45"/>
      <c r="AM687" s="45"/>
      <c r="AN687" s="45"/>
    </row>
    <row r="688" spans="1:40" hidden="1" outlineLevel="2" x14ac:dyDescent="0.35">
      <c r="A688" s="45"/>
      <c r="B688" s="54"/>
      <c r="C688" s="47">
        <f t="shared" si="11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7"/>
        <v>-7.0000000000000001E-3</v>
      </c>
      <c r="AA688" s="255">
        <f>Z688</f>
        <v>-7.0000000000000001E-3</v>
      </c>
      <c r="AB688" s="255">
        <f t="shared" si="128"/>
        <v>-7.0000000000000001E-3</v>
      </c>
      <c r="AC688" s="255">
        <f t="shared" si="126"/>
        <v>-7.0000000000000001E-3</v>
      </c>
      <c r="AD688" s="255">
        <f t="shared" si="126"/>
        <v>-7.0000000000000001E-3</v>
      </c>
      <c r="AE688" s="76"/>
      <c r="AF688" s="97" t="s">
        <v>1280</v>
      </c>
      <c r="AG688" s="76"/>
      <c r="AH688" s="97">
        <v>1</v>
      </c>
      <c r="AI688" s="97">
        <v>1</v>
      </c>
      <c r="AJ688" s="73"/>
      <c r="AK688" s="57"/>
      <c r="AL688" s="45"/>
      <c r="AM688" s="45"/>
      <c r="AN688" s="45"/>
    </row>
    <row r="689" spans="1:40" hidden="1" outlineLevel="2" collapsed="1" x14ac:dyDescent="0.35">
      <c r="A689" s="45"/>
      <c r="B689" s="54"/>
      <c r="C689" s="47">
        <f t="shared" si="11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7"/>
        <v>0</v>
      </c>
      <c r="AA689" s="255">
        <f>Z689</f>
        <v>0</v>
      </c>
      <c r="AB689" s="255">
        <f t="shared" si="128"/>
        <v>0</v>
      </c>
      <c r="AC689" s="255">
        <f t="shared" si="126"/>
        <v>0</v>
      </c>
      <c r="AD689" s="255">
        <f t="shared" si="126"/>
        <v>0</v>
      </c>
      <c r="AE689" s="76"/>
      <c r="AF689" s="76"/>
      <c r="AG689" s="76"/>
      <c r="AH689" s="97">
        <v>1</v>
      </c>
      <c r="AI689" s="97">
        <v>1</v>
      </c>
      <c r="AJ689" s="73"/>
      <c r="AK689" s="57"/>
      <c r="AL689" s="45"/>
      <c r="AM689" s="45"/>
      <c r="AN689" s="45"/>
    </row>
    <row r="690" spans="1:40" hidden="1" outlineLevel="3" x14ac:dyDescent="0.35">
      <c r="A690" s="45"/>
      <c r="B690" s="54"/>
      <c r="C690" s="47">
        <f t="shared" si="11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35">
      <c r="A692" s="45"/>
      <c r="B692" s="54"/>
      <c r="C692" s="47">
        <f t="shared" si="11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35">
      <c r="A693" s="45"/>
      <c r="B693" s="54"/>
      <c r="C693" s="47">
        <f t="shared" si="11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29">Y696</f>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35">
      <c r="A700" s="45"/>
      <c r="B700" s="54"/>
      <c r="C700" s="47">
        <f t="shared" si="11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collapsed="1" x14ac:dyDescent="0.35">
      <c r="A701" s="45"/>
      <c r="B701" s="54"/>
      <c r="C701" s="47">
        <f t="shared" si="11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35">
      <c r="A702" s="45"/>
      <c r="B702" s="54"/>
      <c r="C702" s="47">
        <f t="shared" si="11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35">
      <c r="A704" s="45"/>
      <c r="B704" s="54"/>
      <c r="C704" s="47">
        <f t="shared" si="11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1" collapsed="1" x14ac:dyDescent="0.3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35">
      <c r="A706" s="45"/>
      <c r="B706" s="54"/>
      <c r="C706" s="47">
        <f t="shared" ref="C706:C753" si="13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c r="B721" s="54"/>
      <c r="C721" s="47">
        <f t="shared" si="13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v>4</v>
      </c>
      <c r="B722" s="54"/>
      <c r="C722" s="47">
        <f t="shared" si="13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f>A722</f>
        <v>4</v>
      </c>
      <c r="B723" s="54"/>
      <c r="C723" s="47">
        <f t="shared" si="13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c r="B727" s="54"/>
      <c r="C727" s="47">
        <f t="shared" si="13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v>4</v>
      </c>
      <c r="B728" s="54"/>
      <c r="C728" s="47">
        <f t="shared" si="13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f>A728</f>
        <v>4</v>
      </c>
      <c r="B729" s="54"/>
      <c r="C729" s="47">
        <f t="shared" si="13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c r="B733" s="54"/>
      <c r="C733" s="47">
        <f t="shared" si="13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v>4</v>
      </c>
      <c r="B734" s="54"/>
      <c r="C734" s="47">
        <f t="shared" si="13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f>A734</f>
        <v>4</v>
      </c>
      <c r="B735" s="54"/>
      <c r="C735" s="47">
        <f t="shared" si="13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c r="B739" s="54"/>
      <c r="C739" s="47">
        <f t="shared" si="13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v>4</v>
      </c>
      <c r="B740" s="54"/>
      <c r="C740" s="47">
        <f t="shared" si="13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f>A740</f>
        <v>4</v>
      </c>
      <c r="B741" s="54"/>
      <c r="C741" s="47">
        <f t="shared" si="13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c r="B745" s="54"/>
      <c r="C745" s="47">
        <f t="shared" si="13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v>4</v>
      </c>
      <c r="B746" s="54"/>
      <c r="C746" s="47">
        <f t="shared" si="13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f>A746</f>
        <v>4</v>
      </c>
      <c r="B747" s="54"/>
      <c r="C747" s="47">
        <f t="shared" si="13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c r="B751" s="54"/>
      <c r="C751" s="47">
        <f t="shared" si="13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v>4</v>
      </c>
      <c r="B752" s="54"/>
      <c r="C752" s="47">
        <f t="shared" si="13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35">
      <c r="A753" s="45">
        <f>A752</f>
        <v>4</v>
      </c>
      <c r="B753" s="54"/>
      <c r="C753" s="47">
        <f t="shared" si="13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35">
      <c r="A754" s="45"/>
      <c r="B754" s="54"/>
      <c r="C754" s="47">
        <f t="shared" ref="C754:C759" si="13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2">U$854</f>
        <v>0</v>
      </c>
      <c r="V754" s="261">
        <f t="shared" si="132"/>
        <v>0</v>
      </c>
      <c r="W754" s="261">
        <f t="shared" si="132"/>
        <v>0</v>
      </c>
      <c r="X754" s="261">
        <f t="shared" si="132"/>
        <v>0</v>
      </c>
      <c r="Y754" s="261">
        <f t="shared" si="132"/>
        <v>0</v>
      </c>
      <c r="Z754" s="261">
        <f t="shared" si="132"/>
        <v>0</v>
      </c>
      <c r="AA754" s="261">
        <f t="shared" si="132"/>
        <v>0</v>
      </c>
      <c r="AB754" s="261">
        <f t="shared" si="132"/>
        <v>0</v>
      </c>
      <c r="AC754" s="261">
        <f t="shared" si="132"/>
        <v>0</v>
      </c>
      <c r="AD754" s="261">
        <f t="shared" si="132"/>
        <v>0</v>
      </c>
      <c r="AE754" s="76"/>
      <c r="AF754" s="97" t="s">
        <v>1355</v>
      </c>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1356</v>
      </c>
      <c r="G755" s="73"/>
      <c r="H755" s="76" t="s">
        <v>1357</v>
      </c>
      <c r="I755" s="96"/>
      <c r="J755" s="96"/>
      <c r="K755" s="76"/>
      <c r="L755" s="76"/>
      <c r="M755" s="76"/>
      <c r="N755" s="76"/>
      <c r="O755" s="76"/>
      <c r="P755" s="76"/>
      <c r="Q755" s="76"/>
      <c r="R755" s="76"/>
      <c r="S755" s="76"/>
      <c r="T755" s="76"/>
      <c r="U755" s="261">
        <f t="shared" ref="U755:AD755" si="133">U$855</f>
        <v>-0.71226</v>
      </c>
      <c r="V755" s="261">
        <f t="shared" si="133"/>
        <v>-0.71226</v>
      </c>
      <c r="W755" s="261">
        <f t="shared" si="133"/>
        <v>-0.9</v>
      </c>
      <c r="X755" s="261">
        <f t="shared" si="133"/>
        <v>-0.9</v>
      </c>
      <c r="Y755" s="261">
        <f t="shared" si="133"/>
        <v>-0.71226</v>
      </c>
      <c r="Z755" s="261">
        <f t="shared" si="133"/>
        <v>-0.21895000000000001</v>
      </c>
      <c r="AA755" s="261">
        <f t="shared" si="133"/>
        <v>-0.21895000000000001</v>
      </c>
      <c r="AB755" s="261">
        <f t="shared" si="133"/>
        <v>-0.21895000000000001</v>
      </c>
      <c r="AC755" s="261">
        <f t="shared" si="133"/>
        <v>-0.21895000000000001</v>
      </c>
      <c r="AD755" s="261">
        <f t="shared" si="133"/>
        <v>-0.21895000000000001</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1358</v>
      </c>
      <c r="G756" s="73"/>
      <c r="H756" s="76" t="s">
        <v>1359</v>
      </c>
      <c r="I756" s="96"/>
      <c r="J756" s="96"/>
      <c r="K756" s="76"/>
      <c r="L756" s="76"/>
      <c r="M756" s="76"/>
      <c r="N756" s="76"/>
      <c r="O756" s="76"/>
      <c r="P756" s="76"/>
      <c r="Q756" s="76"/>
      <c r="R756" s="76"/>
      <c r="S756" s="76"/>
      <c r="T756" s="76"/>
      <c r="U756" s="261">
        <f t="shared" ref="U756:AD756" si="134">U$856</f>
        <v>-0.90173999999999999</v>
      </c>
      <c r="V756" s="261">
        <f t="shared" si="134"/>
        <v>-0.90173999999999999</v>
      </c>
      <c r="W756" s="261">
        <f t="shared" si="134"/>
        <v>-0.90173999999999999</v>
      </c>
      <c r="X756" s="261">
        <f t="shared" si="134"/>
        <v>-0.90173999999999999</v>
      </c>
      <c r="Y756" s="261">
        <f t="shared" si="134"/>
        <v>-0.90173999999999999</v>
      </c>
      <c r="Z756" s="261">
        <f t="shared" si="134"/>
        <v>-0.37940000000000002</v>
      </c>
      <c r="AA756" s="261">
        <f t="shared" si="134"/>
        <v>-0.37940000000000002</v>
      </c>
      <c r="AB756" s="261">
        <f t="shared" si="134"/>
        <v>-0.37940000000000002</v>
      </c>
      <c r="AC756" s="261">
        <f t="shared" si="134"/>
        <v>-0.37940000000000002</v>
      </c>
      <c r="AD756" s="261">
        <f t="shared" si="134"/>
        <v>-0.37940000000000002</v>
      </c>
      <c r="AE756" s="76"/>
      <c r="AF756" s="76"/>
      <c r="AG756" s="76"/>
      <c r="AH756" s="261">
        <f>AH$856</f>
        <v>1</v>
      </c>
      <c r="AI756" s="261">
        <f>AI$856</f>
        <v>1</v>
      </c>
      <c r="AJ756" s="73"/>
      <c r="AK756" s="57"/>
      <c r="AL756" s="45"/>
      <c r="AM756" s="45"/>
      <c r="AN756" s="45"/>
    </row>
    <row r="757" spans="1:40" hidden="1" outlineLevel="2" x14ac:dyDescent="0.35">
      <c r="A757" s="45"/>
      <c r="B757" s="54"/>
      <c r="C757" s="47">
        <f t="shared" si="131"/>
        <v>3</v>
      </c>
      <c r="D757" s="73"/>
      <c r="E757" s="70"/>
      <c r="F757" s="70" t="s">
        <v>1360</v>
      </c>
      <c r="G757" s="73"/>
      <c r="H757" s="76" t="s">
        <v>1361</v>
      </c>
      <c r="I757" s="96"/>
      <c r="J757" s="96"/>
      <c r="K757" s="76"/>
      <c r="L757" s="76"/>
      <c r="M757" s="76"/>
      <c r="N757" s="76"/>
      <c r="O757" s="76"/>
      <c r="P757" s="76"/>
      <c r="Q757" s="76"/>
      <c r="R757" s="76"/>
      <c r="S757" s="76"/>
      <c r="T757" s="76"/>
      <c r="U757" s="261">
        <f t="shared" ref="U757:AD757" si="135">$855:$855</f>
        <v>-0.71226</v>
      </c>
      <c r="V757" s="261">
        <f t="shared" si="135"/>
        <v>-0.71226</v>
      </c>
      <c r="W757" s="261">
        <f t="shared" si="135"/>
        <v>-0.9</v>
      </c>
      <c r="X757" s="261">
        <f t="shared" si="135"/>
        <v>-0.9</v>
      </c>
      <c r="Y757" s="261">
        <f t="shared" si="135"/>
        <v>-0.71226</v>
      </c>
      <c r="Z757" s="261">
        <f t="shared" si="135"/>
        <v>-0.21895000000000001</v>
      </c>
      <c r="AA757" s="261">
        <f t="shared" si="135"/>
        <v>-0.21895000000000001</v>
      </c>
      <c r="AB757" s="261">
        <f t="shared" si="135"/>
        <v>-0.21895000000000001</v>
      </c>
      <c r="AC757" s="261">
        <f t="shared" si="135"/>
        <v>-0.21895000000000001</v>
      </c>
      <c r="AD757" s="261">
        <f t="shared" si="135"/>
        <v>-0.21895000000000001</v>
      </c>
      <c r="AE757" s="76"/>
      <c r="AF757" s="76"/>
      <c r="AG757" s="76"/>
      <c r="AH757" s="261">
        <f>$855:$855</f>
        <v>1</v>
      </c>
      <c r="AI757" s="261">
        <f>$855:$855</f>
        <v>1</v>
      </c>
      <c r="AJ757" s="73"/>
      <c r="AK757" s="57"/>
      <c r="AL757" s="45"/>
      <c r="AM757" s="45"/>
      <c r="AN757" s="45"/>
    </row>
    <row r="758" spans="1:40" hidden="1" outlineLevel="2" x14ac:dyDescent="0.35">
      <c r="A758" s="45">
        <v>4</v>
      </c>
      <c r="B758" s="54"/>
      <c r="C758" s="47">
        <f t="shared" si="131"/>
        <v>3</v>
      </c>
      <c r="D758" s="73"/>
      <c r="E758" s="70"/>
      <c r="F758" s="70" t="s">
        <v>1362</v>
      </c>
      <c r="G758" s="73"/>
      <c r="H758" s="76" t="s">
        <v>1363</v>
      </c>
      <c r="I758" s="96"/>
      <c r="J758" s="96"/>
      <c r="K758" s="76"/>
      <c r="L758" s="76"/>
      <c r="M758" s="76"/>
      <c r="N758" s="76"/>
      <c r="O758" s="76"/>
      <c r="P758" s="76"/>
      <c r="Q758" s="76"/>
      <c r="R758" s="76"/>
      <c r="S758" s="76"/>
      <c r="T758" s="76"/>
      <c r="U758" s="261">
        <f t="shared" ref="U758:AD759" si="136">$856:$856</f>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$856:$856</f>
        <v>1</v>
      </c>
      <c r="AI758" s="261">
        <f>$856:$856</f>
        <v>1</v>
      </c>
      <c r="AJ758" s="73"/>
      <c r="AK758" s="57"/>
      <c r="AL758" s="45"/>
      <c r="AM758" s="45"/>
      <c r="AN758" s="45"/>
    </row>
    <row r="759" spans="1:40" hidden="1" outlineLevel="2" collapsed="1" x14ac:dyDescent="0.35">
      <c r="A759" s="45">
        <f>A758</f>
        <v>4</v>
      </c>
      <c r="B759" s="54"/>
      <c r="C759" s="47">
        <f t="shared" si="131"/>
        <v>3</v>
      </c>
      <c r="D759" s="73"/>
      <c r="E759" s="70"/>
      <c r="F759" s="70" t="s">
        <v>1364</v>
      </c>
      <c r="G759" s="73"/>
      <c r="H759" s="76" t="s">
        <v>1365</v>
      </c>
      <c r="I759" s="96"/>
      <c r="J759" s="96"/>
      <c r="K759" s="76"/>
      <c r="L759" s="76"/>
      <c r="M759" s="76"/>
      <c r="N759" s="76"/>
      <c r="O759" s="76"/>
      <c r="P759" s="76"/>
      <c r="Q759" s="76"/>
      <c r="R759" s="76"/>
      <c r="S759" s="76"/>
      <c r="T759" s="76"/>
      <c r="U759" s="261">
        <f t="shared" si="136"/>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$856:$856</f>
        <v>1</v>
      </c>
      <c r="AI759" s="261">
        <f>$856:$856</f>
        <v>1</v>
      </c>
      <c r="AJ759" s="73"/>
      <c r="AK759" s="57"/>
      <c r="AL759" s="45"/>
      <c r="AM759" s="45"/>
      <c r="AN759" s="45"/>
    </row>
    <row r="760" spans="1:40" hidden="1" outlineLevel="3" x14ac:dyDescent="0.35">
      <c r="A760" s="45"/>
      <c r="B760" s="54"/>
      <c r="C760" s="47">
        <f t="shared" ref="C760:C777" si="13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c r="B763" s="54"/>
      <c r="C763" s="47">
        <f t="shared" si="13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v>4</v>
      </c>
      <c r="B764" s="54"/>
      <c r="C764" s="47">
        <f t="shared" si="13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f>A764</f>
        <v>4</v>
      </c>
      <c r="B765" s="54"/>
      <c r="C765" s="47">
        <f t="shared" si="13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c r="B769" s="54"/>
      <c r="C769" s="47">
        <f t="shared" si="13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v>4</v>
      </c>
      <c r="B770" s="54"/>
      <c r="C770" s="47">
        <f t="shared" si="13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35">
      <c r="A771" s="45">
        <f>A770</f>
        <v>4</v>
      </c>
      <c r="B771" s="54"/>
      <c r="C771" s="47">
        <f t="shared" si="13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35">
      <c r="A772" s="45"/>
      <c r="B772" s="54"/>
      <c r="C772" s="47">
        <f t="shared" si="13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8">U772</f>
        <v>1</v>
      </c>
      <c r="W772" s="336">
        <f t="shared" ref="W772:X777" si="139">U772</f>
        <v>1</v>
      </c>
      <c r="X772" s="336">
        <f t="shared" si="139"/>
        <v>1</v>
      </c>
      <c r="Y772" s="336">
        <f t="shared" ref="Y772:Y777" si="140">V772</f>
        <v>1</v>
      </c>
      <c r="Z772" s="336">
        <f t="shared" ref="Z772:AD781" si="141">Y772</f>
        <v>1</v>
      </c>
      <c r="AA772" s="336">
        <f t="shared" si="141"/>
        <v>1</v>
      </c>
      <c r="AB772" s="336">
        <f t="shared" si="141"/>
        <v>1</v>
      </c>
      <c r="AC772" s="336">
        <f t="shared" si="141"/>
        <v>1</v>
      </c>
      <c r="AD772" s="336">
        <f t="shared" si="141"/>
        <v>1</v>
      </c>
      <c r="AE772" s="76"/>
      <c r="AF772" s="97" t="s">
        <v>2711</v>
      </c>
      <c r="AG772" s="76"/>
      <c r="AH772" s="97">
        <v>1</v>
      </c>
      <c r="AI772" s="97">
        <v>1</v>
      </c>
      <c r="AJ772" s="73"/>
      <c r="AK772" s="57"/>
      <c r="AL772" s="45"/>
      <c r="AM772" s="45"/>
      <c r="AN772" s="45"/>
    </row>
    <row r="773" spans="1:40" hidden="1" outlineLevel="2" x14ac:dyDescent="0.35">
      <c r="A773" s="45"/>
      <c r="B773" s="54"/>
      <c r="C773" s="47">
        <f t="shared" si="13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8"/>
        <v>0.95399999999999996</v>
      </c>
      <c r="W773" s="336">
        <f t="shared" si="139"/>
        <v>0.95399999999999996</v>
      </c>
      <c r="X773" s="336">
        <f t="shared" si="139"/>
        <v>0.95399999999999996</v>
      </c>
      <c r="Y773" s="336">
        <f t="shared" si="140"/>
        <v>0.95399999999999996</v>
      </c>
      <c r="Z773" s="336">
        <f t="shared" si="141"/>
        <v>0.95399999999999996</v>
      </c>
      <c r="AA773" s="336">
        <f t="shared" si="141"/>
        <v>0.95399999999999996</v>
      </c>
      <c r="AB773" s="336">
        <f t="shared" si="141"/>
        <v>0.95399999999999996</v>
      </c>
      <c r="AC773" s="336">
        <f t="shared" si="141"/>
        <v>0.95399999999999996</v>
      </c>
      <c r="AD773" s="336">
        <f t="shared" si="141"/>
        <v>0.95399999999999996</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8"/>
        <v>0.90800000000000003</v>
      </c>
      <c r="W774" s="336">
        <f t="shared" si="139"/>
        <v>0.90800000000000003</v>
      </c>
      <c r="X774" s="336">
        <f t="shared" si="139"/>
        <v>0.90800000000000003</v>
      </c>
      <c r="Y774" s="336">
        <f t="shared" si="140"/>
        <v>0.90800000000000003</v>
      </c>
      <c r="Z774" s="336">
        <f t="shared" si="141"/>
        <v>0.90800000000000003</v>
      </c>
      <c r="AA774" s="336">
        <f t="shared" si="141"/>
        <v>0.90800000000000003</v>
      </c>
      <c r="AB774" s="336">
        <f t="shared" si="141"/>
        <v>0.90800000000000003</v>
      </c>
      <c r="AC774" s="336">
        <f t="shared" si="141"/>
        <v>0.90800000000000003</v>
      </c>
      <c r="AD774" s="336">
        <f t="shared" si="141"/>
        <v>0.90800000000000003</v>
      </c>
      <c r="AE774" s="76"/>
      <c r="AF774" s="76"/>
      <c r="AG774" s="76"/>
      <c r="AH774" s="97">
        <v>1</v>
      </c>
      <c r="AI774" s="97">
        <v>1</v>
      </c>
      <c r="AJ774" s="73"/>
      <c r="AK774" s="57"/>
      <c r="AL774" s="45"/>
      <c r="AM774" s="45"/>
      <c r="AN774" s="45"/>
    </row>
    <row r="775" spans="1:40" hidden="1" outlineLevel="2" x14ac:dyDescent="0.35">
      <c r="A775" s="45"/>
      <c r="B775" s="54"/>
      <c r="C775" s="47">
        <f t="shared" si="13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8"/>
        <v>0.97</v>
      </c>
      <c r="W775" s="336">
        <f t="shared" si="139"/>
        <v>0.97</v>
      </c>
      <c r="X775" s="336">
        <f t="shared" si="139"/>
        <v>0.97</v>
      </c>
      <c r="Y775" s="336">
        <f t="shared" si="140"/>
        <v>0.97</v>
      </c>
      <c r="Z775" s="336">
        <f t="shared" si="141"/>
        <v>0.97</v>
      </c>
      <c r="AA775" s="336">
        <f t="shared" si="141"/>
        <v>0.97</v>
      </c>
      <c r="AB775" s="336">
        <f t="shared" si="141"/>
        <v>0.97</v>
      </c>
      <c r="AC775" s="336">
        <f t="shared" si="141"/>
        <v>0.97</v>
      </c>
      <c r="AD775" s="336">
        <f t="shared" si="141"/>
        <v>0.97</v>
      </c>
      <c r="AE775" s="76"/>
      <c r="AF775" s="76"/>
      <c r="AG775" s="76"/>
      <c r="AH775" s="97">
        <v>1</v>
      </c>
      <c r="AI775" s="97">
        <v>1</v>
      </c>
      <c r="AJ775" s="73"/>
      <c r="AK775" s="57"/>
      <c r="AL775" s="45"/>
      <c r="AM775" s="45"/>
      <c r="AN775" s="45"/>
    </row>
    <row r="776" spans="1:40" hidden="1" outlineLevel="2" x14ac:dyDescent="0.35">
      <c r="A776" s="45">
        <v>4</v>
      </c>
      <c r="B776" s="54"/>
      <c r="C776" s="47">
        <f t="shared" si="13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8"/>
        <v>0.92400000000000004</v>
      </c>
      <c r="W776" s="336">
        <f t="shared" si="139"/>
        <v>0.92400000000000004</v>
      </c>
      <c r="X776" s="336">
        <f t="shared" si="139"/>
        <v>0.92400000000000004</v>
      </c>
      <c r="Y776" s="336">
        <f t="shared" si="140"/>
        <v>0.92400000000000004</v>
      </c>
      <c r="Z776" s="336">
        <f t="shared" si="141"/>
        <v>0.92400000000000004</v>
      </c>
      <c r="AA776" s="336">
        <f t="shared" si="141"/>
        <v>0.92400000000000004</v>
      </c>
      <c r="AB776" s="336">
        <f t="shared" si="141"/>
        <v>0.92400000000000004</v>
      </c>
      <c r="AC776" s="336">
        <f t="shared" si="141"/>
        <v>0.92400000000000004</v>
      </c>
      <c r="AD776" s="336">
        <f t="shared" si="141"/>
        <v>0.92400000000000004</v>
      </c>
      <c r="AE776" s="76"/>
      <c r="AF776" s="76"/>
      <c r="AG776" s="76"/>
      <c r="AH776" s="97">
        <v>1</v>
      </c>
      <c r="AI776" s="97">
        <v>1</v>
      </c>
      <c r="AJ776" s="73"/>
      <c r="AK776" s="57"/>
      <c r="AL776" s="45"/>
      <c r="AM776" s="45"/>
      <c r="AN776" s="45"/>
    </row>
    <row r="777" spans="1:40" hidden="1" outlineLevel="2" x14ac:dyDescent="0.35">
      <c r="A777" s="45">
        <f>A776</f>
        <v>4</v>
      </c>
      <c r="B777" s="54"/>
      <c r="C777" s="47">
        <f t="shared" si="13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8"/>
        <v>0.94</v>
      </c>
      <c r="W777" s="336">
        <f t="shared" si="139"/>
        <v>0.94</v>
      </c>
      <c r="X777" s="336">
        <f t="shared" si="139"/>
        <v>0.94</v>
      </c>
      <c r="Y777" s="336">
        <f t="shared" si="140"/>
        <v>0.94</v>
      </c>
      <c r="Z777" s="336">
        <f t="shared" si="141"/>
        <v>0.94</v>
      </c>
      <c r="AA777" s="336">
        <f t="shared" si="141"/>
        <v>0.94</v>
      </c>
      <c r="AB777" s="336">
        <f t="shared" si="141"/>
        <v>0.94</v>
      </c>
      <c r="AC777" s="336">
        <f t="shared" si="141"/>
        <v>0.94</v>
      </c>
      <c r="AD777" s="336">
        <f t="shared" si="141"/>
        <v>0.94</v>
      </c>
      <c r="AE777" s="76"/>
      <c r="AF777" s="76"/>
      <c r="AG777" s="76"/>
      <c r="AH777" s="97">
        <v>1</v>
      </c>
      <c r="AI777" s="97">
        <v>1</v>
      </c>
      <c r="AJ777" s="73"/>
      <c r="AK777" s="57"/>
      <c r="AL777" s="45"/>
      <c r="AM777" s="45"/>
      <c r="AN777" s="45"/>
    </row>
    <row r="778" spans="1:40" hidden="1" outlineLevel="2" x14ac:dyDescent="0.35">
      <c r="A778" s="45"/>
      <c r="B778" s="54"/>
      <c r="C778" s="47">
        <f t="shared" ref="C778:C789" si="14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1"/>
        <v>0</v>
      </c>
      <c r="AA778" s="255">
        <f t="shared" si="141"/>
        <v>0</v>
      </c>
      <c r="AB778" s="255">
        <f t="shared" si="141"/>
        <v>0</v>
      </c>
      <c r="AC778" s="255">
        <f t="shared" si="141"/>
        <v>0</v>
      </c>
      <c r="AD778" s="255">
        <f t="shared" si="141"/>
        <v>0</v>
      </c>
      <c r="AE778" s="76"/>
      <c r="AF778" s="97" t="s">
        <v>1386</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1"/>
        <v>-0.26400000000000001</v>
      </c>
      <c r="AA779" s="255">
        <f t="shared" si="141"/>
        <v>-0.26400000000000001</v>
      </c>
      <c r="AB779" s="255">
        <f t="shared" si="141"/>
        <v>-0.26400000000000001</v>
      </c>
      <c r="AC779" s="255">
        <f t="shared" si="141"/>
        <v>-0.26400000000000001</v>
      </c>
      <c r="AD779" s="255">
        <f t="shared" si="141"/>
        <v>-0.26400000000000001</v>
      </c>
      <c r="AE779" s="76"/>
      <c r="AF779" s="97" t="s">
        <v>1389</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1"/>
        <v>-0.4</v>
      </c>
      <c r="AA780" s="255">
        <f t="shared" si="141"/>
        <v>-0.4</v>
      </c>
      <c r="AB780" s="255">
        <f t="shared" si="141"/>
        <v>-0.4</v>
      </c>
      <c r="AC780" s="255">
        <f t="shared" si="141"/>
        <v>-0.4</v>
      </c>
      <c r="AD780" s="255">
        <f t="shared" si="141"/>
        <v>-0.4</v>
      </c>
      <c r="AE780" s="76"/>
      <c r="AF780" s="263" t="s">
        <v>1392</v>
      </c>
      <c r="AG780" s="76"/>
      <c r="AH780" s="97">
        <v>1</v>
      </c>
      <c r="AI780" s="97">
        <v>1</v>
      </c>
      <c r="AJ780" s="73"/>
      <c r="AK780" s="57"/>
      <c r="AL780" s="45"/>
      <c r="AM780" s="45"/>
      <c r="AN780" s="45"/>
    </row>
    <row r="781" spans="1:40" hidden="1" outlineLevel="2" x14ac:dyDescent="0.35">
      <c r="A781" s="45"/>
      <c r="B781" s="54"/>
      <c r="C781" s="47">
        <f t="shared" si="14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1"/>
        <v>-0.17799999999999999</v>
      </c>
      <c r="AA781" s="255">
        <f t="shared" si="141"/>
        <v>-0.17799999999999999</v>
      </c>
      <c r="AB781" s="255">
        <f t="shared" si="141"/>
        <v>-0.17799999999999999</v>
      </c>
      <c r="AC781" s="255">
        <f t="shared" si="141"/>
        <v>-0.17799999999999999</v>
      </c>
      <c r="AD781" s="255">
        <f t="shared" si="141"/>
        <v>-0.17799999999999999</v>
      </c>
      <c r="AE781" s="76"/>
      <c r="AF781" s="97" t="s">
        <v>1395</v>
      </c>
      <c r="AG781" s="76"/>
      <c r="AH781" s="97">
        <v>1</v>
      </c>
      <c r="AI781" s="97">
        <v>1</v>
      </c>
      <c r="AJ781" s="73"/>
      <c r="AK781" s="57"/>
      <c r="AL781" s="45"/>
      <c r="AM781" s="45"/>
      <c r="AN781" s="45"/>
    </row>
    <row r="782" spans="1:40" hidden="1" outlineLevel="2" x14ac:dyDescent="0.35">
      <c r="A782" s="45">
        <v>4</v>
      </c>
      <c r="B782" s="54"/>
      <c r="C782" s="47">
        <f t="shared" si="14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3">Y782</f>
        <v>-0.26400000000000001</v>
      </c>
      <c r="AA782" s="255">
        <f t="shared" si="143"/>
        <v>-0.26400000000000001</v>
      </c>
      <c r="AB782" s="255">
        <f t="shared" si="143"/>
        <v>-0.26400000000000001</v>
      </c>
      <c r="AC782" s="255">
        <f t="shared" si="143"/>
        <v>-0.26400000000000001</v>
      </c>
      <c r="AD782" s="255">
        <f t="shared" si="143"/>
        <v>-0.26400000000000001</v>
      </c>
      <c r="AE782" s="76"/>
      <c r="AF782" s="97"/>
      <c r="AG782" s="76"/>
      <c r="AH782" s="97">
        <v>1</v>
      </c>
      <c r="AI782" s="97">
        <v>1</v>
      </c>
      <c r="AJ782" s="73"/>
      <c r="AK782" s="57"/>
      <c r="AL782" s="45"/>
      <c r="AM782" s="45"/>
      <c r="AN782" s="45"/>
    </row>
    <row r="783" spans="1:40" hidden="1" outlineLevel="2" x14ac:dyDescent="0.35">
      <c r="A783" s="45">
        <f>A782</f>
        <v>4</v>
      </c>
      <c r="B783" s="54"/>
      <c r="C783" s="47">
        <f t="shared" si="14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3"/>
        <v>-0.17799999999999999</v>
      </c>
      <c r="AA783" s="255">
        <f t="shared" si="143"/>
        <v>-0.17799999999999999</v>
      </c>
      <c r="AB783" s="255">
        <f t="shared" si="143"/>
        <v>-0.17799999999999999</v>
      </c>
      <c r="AC783" s="255">
        <f t="shared" si="143"/>
        <v>-0.17799999999999999</v>
      </c>
      <c r="AD783" s="255">
        <f t="shared" si="143"/>
        <v>-0.17799999999999999</v>
      </c>
      <c r="AE783" s="76"/>
      <c r="AF783" s="97"/>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3"/>
        <v>0</v>
      </c>
      <c r="AA784" s="255">
        <f t="shared" si="143"/>
        <v>0</v>
      </c>
      <c r="AB784" s="255">
        <f t="shared" si="143"/>
        <v>0</v>
      </c>
      <c r="AC784" s="255">
        <f t="shared" si="143"/>
        <v>0</v>
      </c>
      <c r="AD784" s="255">
        <f t="shared" si="143"/>
        <v>0</v>
      </c>
      <c r="AE784" s="76"/>
      <c r="AF784" s="97" t="s">
        <v>1386</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3"/>
        <v>0.43</v>
      </c>
      <c r="AA785" s="255">
        <f t="shared" si="143"/>
        <v>0.43</v>
      </c>
      <c r="AB785" s="255">
        <f t="shared" si="143"/>
        <v>0.43</v>
      </c>
      <c r="AC785" s="255">
        <f t="shared" si="143"/>
        <v>0.43</v>
      </c>
      <c r="AD785" s="255">
        <f t="shared" si="143"/>
        <v>0.43</v>
      </c>
      <c r="AE785" s="76"/>
      <c r="AF785" s="97" t="s">
        <v>1389</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3"/>
        <v>0.8</v>
      </c>
      <c r="AA786" s="255">
        <f t="shared" si="143"/>
        <v>0.8</v>
      </c>
      <c r="AB786" s="255">
        <f t="shared" si="143"/>
        <v>0.8</v>
      </c>
      <c r="AC786" s="255">
        <f t="shared" si="143"/>
        <v>0.8</v>
      </c>
      <c r="AD786" s="255">
        <f t="shared" si="143"/>
        <v>0.8</v>
      </c>
      <c r="AE786" s="76"/>
      <c r="AF786" s="263" t="s">
        <v>1392</v>
      </c>
      <c r="AG786" s="76"/>
      <c r="AH786" s="97">
        <v>1</v>
      </c>
      <c r="AI786" s="97">
        <v>1</v>
      </c>
      <c r="AJ786" s="73"/>
      <c r="AK786" s="57"/>
      <c r="AL786" s="45"/>
      <c r="AM786" s="45"/>
      <c r="AN786" s="45"/>
    </row>
    <row r="787" spans="1:40" hidden="1" outlineLevel="2" x14ac:dyDescent="0.35">
      <c r="A787" s="45"/>
      <c r="B787" s="54"/>
      <c r="C787" s="47">
        <f t="shared" si="14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3"/>
        <v>8.9999999999999993E-3</v>
      </c>
      <c r="AA787" s="255">
        <f t="shared" si="143"/>
        <v>8.9999999999999993E-3</v>
      </c>
      <c r="AB787" s="255">
        <f t="shared" si="143"/>
        <v>8.9999999999999993E-3</v>
      </c>
      <c r="AC787" s="255">
        <f t="shared" si="143"/>
        <v>8.9999999999999993E-3</v>
      </c>
      <c r="AD787" s="255">
        <f t="shared" si="143"/>
        <v>8.9999999999999993E-3</v>
      </c>
      <c r="AE787" s="76"/>
      <c r="AF787" s="97" t="s">
        <v>1409</v>
      </c>
      <c r="AG787" s="76"/>
      <c r="AH787" s="97">
        <v>1</v>
      </c>
      <c r="AI787" s="97">
        <v>1</v>
      </c>
      <c r="AJ787" s="73"/>
      <c r="AK787" s="57"/>
      <c r="AL787" s="45"/>
      <c r="AM787" s="45"/>
      <c r="AN787" s="45"/>
    </row>
    <row r="788" spans="1:40" hidden="1" outlineLevel="2" x14ac:dyDescent="0.35">
      <c r="A788" s="45">
        <v>4</v>
      </c>
      <c r="B788" s="54"/>
      <c r="C788" s="47">
        <f t="shared" si="14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3"/>
        <v>0.48199999999999998</v>
      </c>
      <c r="AA788" s="255">
        <f t="shared" si="143"/>
        <v>0.48199999999999998</v>
      </c>
      <c r="AB788" s="255">
        <f t="shared" si="143"/>
        <v>0.48199999999999998</v>
      </c>
      <c r="AC788" s="255">
        <f t="shared" si="143"/>
        <v>0.48199999999999998</v>
      </c>
      <c r="AD788" s="255">
        <f t="shared" si="143"/>
        <v>0.48199999999999998</v>
      </c>
      <c r="AE788" s="76"/>
      <c r="AF788" s="97"/>
      <c r="AG788" s="76"/>
      <c r="AH788" s="97">
        <v>1</v>
      </c>
      <c r="AI788" s="97">
        <v>1</v>
      </c>
      <c r="AJ788" s="73"/>
      <c r="AK788" s="57"/>
      <c r="AL788" s="45"/>
      <c r="AM788" s="45"/>
      <c r="AN788" s="45"/>
    </row>
    <row r="789" spans="1:40" hidden="1" outlineLevel="2" collapsed="1" x14ac:dyDescent="0.35">
      <c r="A789" s="45">
        <f>A788</f>
        <v>4</v>
      </c>
      <c r="B789" s="54"/>
      <c r="C789" s="47">
        <f t="shared" si="14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3"/>
        <v>0.128</v>
      </c>
      <c r="AA789" s="255">
        <f t="shared" si="143"/>
        <v>0.128</v>
      </c>
      <c r="AB789" s="255">
        <f t="shared" si="143"/>
        <v>0.128</v>
      </c>
      <c r="AC789" s="255">
        <f t="shared" si="143"/>
        <v>0.128</v>
      </c>
      <c r="AD789" s="255">
        <f t="shared" si="143"/>
        <v>0.128</v>
      </c>
      <c r="AE789" s="76"/>
      <c r="AF789" s="97"/>
      <c r="AG789" s="76"/>
      <c r="AH789" s="97">
        <v>1</v>
      </c>
      <c r="AI789" s="97">
        <v>1</v>
      </c>
      <c r="AJ789" s="73"/>
      <c r="AK789" s="57"/>
      <c r="AL789" s="45"/>
      <c r="AM789" s="45"/>
      <c r="AN789" s="45"/>
    </row>
    <row r="790" spans="1:40" hidden="1" outlineLevel="3" x14ac:dyDescent="0.35">
      <c r="A790" s="45"/>
      <c r="B790" s="54"/>
      <c r="C790" s="47">
        <f t="shared" ref="C790:C795" si="14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c r="B793" s="54"/>
      <c r="C793" s="47">
        <f t="shared" si="14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v>4</v>
      </c>
      <c r="B794" s="54"/>
      <c r="C794" s="47">
        <f t="shared" si="14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35">
      <c r="A795" s="45">
        <f>A794</f>
        <v>4</v>
      </c>
      <c r="B795" s="54"/>
      <c r="C795" s="47">
        <f t="shared" si="14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35">
      <c r="A796" s="45"/>
      <c r="B796" s="54"/>
      <c r="C796" s="47">
        <f t="shared" ref="C796:C819" si="14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6">U$882</f>
        <v>0.1</v>
      </c>
      <c r="V796" s="261">
        <f t="shared" si="146"/>
        <v>0.1</v>
      </c>
      <c r="W796" s="261">
        <f t="shared" si="146"/>
        <v>0.1</v>
      </c>
      <c r="X796" s="261">
        <f t="shared" si="146"/>
        <v>0.1</v>
      </c>
      <c r="Y796" s="261">
        <f t="shared" si="146"/>
        <v>0.1</v>
      </c>
      <c r="Z796" s="261">
        <f t="shared" si="146"/>
        <v>0.1</v>
      </c>
      <c r="AA796" s="261">
        <f t="shared" si="146"/>
        <v>0.1</v>
      </c>
      <c r="AB796" s="261">
        <f t="shared" si="146"/>
        <v>0.1</v>
      </c>
      <c r="AC796" s="261">
        <f t="shared" si="146"/>
        <v>0.1</v>
      </c>
      <c r="AD796" s="261">
        <f t="shared" si="146"/>
        <v>0.1</v>
      </c>
      <c r="AE796" s="76"/>
      <c r="AF796" s="76" t="s">
        <v>1355</v>
      </c>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7">U$883</f>
        <v>8.5000000000000006E-2</v>
      </c>
      <c r="V797" s="261">
        <f t="shared" si="147"/>
        <v>8.5000000000000006E-2</v>
      </c>
      <c r="W797" s="261">
        <f t="shared" si="147"/>
        <v>8.5000000000000006E-2</v>
      </c>
      <c r="X797" s="261">
        <f t="shared" si="147"/>
        <v>8.5000000000000006E-2</v>
      </c>
      <c r="Y797" s="261">
        <f t="shared" si="147"/>
        <v>8.5000000000000006E-2</v>
      </c>
      <c r="Z797" s="261">
        <f t="shared" si="147"/>
        <v>8.5000000000000006E-2</v>
      </c>
      <c r="AA797" s="261">
        <f t="shared" si="147"/>
        <v>8.5000000000000006E-2</v>
      </c>
      <c r="AB797" s="261">
        <f t="shared" si="147"/>
        <v>8.5000000000000006E-2</v>
      </c>
      <c r="AC797" s="261">
        <f t="shared" si="147"/>
        <v>8.5000000000000006E-2</v>
      </c>
      <c r="AD797" s="261">
        <f t="shared" si="147"/>
        <v>8.5000000000000006E-2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8">U$884</f>
        <v>7.0000000000000007E-2</v>
      </c>
      <c r="V798" s="261">
        <f t="shared" si="148"/>
        <v>7.0000000000000007E-2</v>
      </c>
      <c r="W798" s="261">
        <f t="shared" si="148"/>
        <v>7.0000000000000007E-2</v>
      </c>
      <c r="X798" s="261">
        <f t="shared" si="148"/>
        <v>7.0000000000000007E-2</v>
      </c>
      <c r="Y798" s="261">
        <f t="shared" si="148"/>
        <v>7.0000000000000007E-2</v>
      </c>
      <c r="Z798" s="261">
        <f t="shared" si="148"/>
        <v>7.0000000000000007E-2</v>
      </c>
      <c r="AA798" s="261">
        <f t="shared" si="148"/>
        <v>7.0000000000000007E-2</v>
      </c>
      <c r="AB798" s="261">
        <f t="shared" si="148"/>
        <v>7.0000000000000007E-2</v>
      </c>
      <c r="AC798" s="261">
        <f t="shared" si="148"/>
        <v>7.0000000000000007E-2</v>
      </c>
      <c r="AD798" s="261">
        <f t="shared" si="148"/>
        <v>7.0000000000000007E-2</v>
      </c>
      <c r="AE798" s="76"/>
      <c r="AF798" s="76"/>
      <c r="AG798" s="76"/>
      <c r="AH798" s="261">
        <f>AH$884</f>
        <v>1</v>
      </c>
      <c r="AI798" s="261">
        <f>AI$884</f>
        <v>1</v>
      </c>
      <c r="AJ798" s="73"/>
      <c r="AK798" s="57"/>
      <c r="AL798" s="45"/>
      <c r="AM798" s="45"/>
      <c r="AN798" s="45"/>
    </row>
    <row r="799" spans="1:40" hidden="1" outlineLevel="2" x14ac:dyDescent="0.35">
      <c r="A799" s="45"/>
      <c r="B799" s="54"/>
      <c r="C799" s="47">
        <f t="shared" si="14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49">U$883</f>
        <v>8.5000000000000006E-2</v>
      </c>
      <c r="V799" s="261">
        <f t="shared" si="149"/>
        <v>8.5000000000000006E-2</v>
      </c>
      <c r="W799" s="261">
        <f t="shared" si="149"/>
        <v>8.5000000000000006E-2</v>
      </c>
      <c r="X799" s="261">
        <f t="shared" si="149"/>
        <v>8.5000000000000006E-2</v>
      </c>
      <c r="Y799" s="261">
        <f t="shared" si="149"/>
        <v>8.5000000000000006E-2</v>
      </c>
      <c r="Z799" s="261">
        <f t="shared" si="149"/>
        <v>8.5000000000000006E-2</v>
      </c>
      <c r="AA799" s="261">
        <f t="shared" si="149"/>
        <v>8.5000000000000006E-2</v>
      </c>
      <c r="AB799" s="261">
        <f t="shared" si="149"/>
        <v>8.5000000000000006E-2</v>
      </c>
      <c r="AC799" s="261">
        <f t="shared" si="149"/>
        <v>8.5000000000000006E-2</v>
      </c>
      <c r="AD799" s="261">
        <f t="shared" si="149"/>
        <v>8.5000000000000006E-2</v>
      </c>
      <c r="AE799" s="76"/>
      <c r="AF799" s="76"/>
      <c r="AG799" s="76"/>
      <c r="AH799" s="261">
        <f>AH$883</f>
        <v>1</v>
      </c>
      <c r="AI799" s="261">
        <f>AI$883</f>
        <v>1</v>
      </c>
      <c r="AJ799" s="73"/>
      <c r="AK799" s="57"/>
      <c r="AL799" s="45"/>
      <c r="AM799" s="45"/>
      <c r="AN799" s="45"/>
    </row>
    <row r="800" spans="1:40" hidden="1" outlineLevel="2" x14ac:dyDescent="0.35">
      <c r="A800" s="45">
        <v>4</v>
      </c>
      <c r="B800" s="54"/>
      <c r="C800" s="47">
        <f t="shared" si="14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0">U$884</f>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AH$884</f>
        <v>1</v>
      </c>
      <c r="AI800" s="261">
        <f>AI$884</f>
        <v>1</v>
      </c>
      <c r="AJ800" s="73"/>
      <c r="AK800" s="57"/>
      <c r="AL800" s="45"/>
      <c r="AM800" s="45"/>
      <c r="AN800" s="45"/>
    </row>
    <row r="801" spans="1:40" hidden="1" outlineLevel="2" x14ac:dyDescent="0.35">
      <c r="A801" s="45">
        <f>A800</f>
        <v>4</v>
      </c>
      <c r="B801" s="54"/>
      <c r="C801" s="47">
        <f t="shared" si="145"/>
        <v>3</v>
      </c>
      <c r="D801" s="73"/>
      <c r="E801" s="70"/>
      <c r="F801" s="70" t="s">
        <v>1430</v>
      </c>
      <c r="G801" s="73"/>
      <c r="H801" s="76" t="s">
        <v>1431</v>
      </c>
      <c r="I801" s="96"/>
      <c r="J801" s="96" t="s">
        <v>1172</v>
      </c>
      <c r="K801" s="76"/>
      <c r="L801" s="76"/>
      <c r="M801" s="76"/>
      <c r="N801" s="76"/>
      <c r="O801" s="76"/>
      <c r="P801" s="76"/>
      <c r="Q801" s="76"/>
      <c r="R801" s="76"/>
      <c r="S801" s="76"/>
      <c r="T801" s="76"/>
      <c r="U801" s="261">
        <f t="shared" si="150"/>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AH$884</f>
        <v>1</v>
      </c>
      <c r="AI801" s="261">
        <f>AI$884</f>
        <v>1</v>
      </c>
      <c r="AJ801" s="73"/>
      <c r="AK801" s="57"/>
      <c r="AL801" s="45"/>
      <c r="AM801" s="45"/>
      <c r="AN801" s="45"/>
    </row>
    <row r="802" spans="1:40" hidden="1" outlineLevel="2" x14ac:dyDescent="0.35">
      <c r="A802" s="45"/>
      <c r="B802" s="54"/>
      <c r="C802" s="47">
        <f t="shared" si="14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1">U$886</f>
        <v>0</v>
      </c>
      <c r="V802" s="261">
        <f t="shared" si="151"/>
        <v>0</v>
      </c>
      <c r="W802" s="261">
        <f t="shared" si="151"/>
        <v>0</v>
      </c>
      <c r="X802" s="261">
        <f t="shared" si="151"/>
        <v>0</v>
      </c>
      <c r="Y802" s="261">
        <f t="shared" si="151"/>
        <v>0</v>
      </c>
      <c r="Z802" s="261">
        <f t="shared" si="151"/>
        <v>0</v>
      </c>
      <c r="AA802" s="261">
        <f t="shared" si="151"/>
        <v>0</v>
      </c>
      <c r="AB802" s="261">
        <f t="shared" si="151"/>
        <v>0</v>
      </c>
      <c r="AC802" s="261">
        <f t="shared" si="151"/>
        <v>0</v>
      </c>
      <c r="AD802" s="261">
        <f t="shared" si="151"/>
        <v>0</v>
      </c>
      <c r="AE802" s="76"/>
      <c r="AF802" s="76" t="s">
        <v>1355</v>
      </c>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2">U$887</f>
        <v>-0.95650000000000002</v>
      </c>
      <c r="V803" s="261">
        <f t="shared" si="152"/>
        <v>-0.95650000000000002</v>
      </c>
      <c r="W803" s="261">
        <f t="shared" si="152"/>
        <v>-0.95650000000000002</v>
      </c>
      <c r="X803" s="261">
        <f t="shared" si="152"/>
        <v>-0.95650000000000002</v>
      </c>
      <c r="Y803" s="261">
        <f t="shared" si="152"/>
        <v>-0.95650000000000002</v>
      </c>
      <c r="Z803" s="261">
        <f t="shared" si="152"/>
        <v>-0.95650000000000002</v>
      </c>
      <c r="AA803" s="261">
        <f t="shared" si="152"/>
        <v>-1.0820000000000001</v>
      </c>
      <c r="AB803" s="261">
        <f t="shared" si="152"/>
        <v>-1.0820000000000001</v>
      </c>
      <c r="AC803" s="261">
        <f t="shared" si="152"/>
        <v>-1.0820000000000001</v>
      </c>
      <c r="AD803" s="261">
        <f t="shared" si="152"/>
        <v>-1.0820000000000001</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3">U$888</f>
        <v>-1.7614000000000001</v>
      </c>
      <c r="V804" s="261">
        <f t="shared" si="153"/>
        <v>-1.7614000000000001</v>
      </c>
      <c r="W804" s="261">
        <f t="shared" si="153"/>
        <v>-1.7614000000000001</v>
      </c>
      <c r="X804" s="261">
        <f t="shared" si="153"/>
        <v>-1.7614000000000001</v>
      </c>
      <c r="Y804" s="261">
        <f t="shared" si="153"/>
        <v>-1.7614000000000001</v>
      </c>
      <c r="Z804" s="261">
        <f t="shared" si="153"/>
        <v>-1.7614000000000001</v>
      </c>
      <c r="AA804" s="261">
        <f t="shared" si="153"/>
        <v>-2.0059999999999998</v>
      </c>
      <c r="AB804" s="261">
        <f t="shared" si="153"/>
        <v>-2.0059999999999998</v>
      </c>
      <c r="AC804" s="261">
        <f t="shared" si="153"/>
        <v>-2.0059999999999998</v>
      </c>
      <c r="AD804" s="261">
        <f t="shared" si="153"/>
        <v>-2.0059999999999998</v>
      </c>
      <c r="AE804" s="76"/>
      <c r="AF804" s="76"/>
      <c r="AG804" s="76"/>
      <c r="AH804" s="261">
        <f>AH$888</f>
        <v>1</v>
      </c>
      <c r="AI804" s="261">
        <f>AI$888</f>
        <v>1</v>
      </c>
      <c r="AJ804" s="73"/>
      <c r="AK804" s="57"/>
      <c r="AL804" s="45"/>
      <c r="AM804" s="45"/>
      <c r="AN804" s="45"/>
    </row>
    <row r="805" spans="1:40" hidden="1" outlineLevel="2" x14ac:dyDescent="0.35">
      <c r="A805" s="45"/>
      <c r="B805" s="54"/>
      <c r="C805" s="47">
        <f t="shared" si="14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4">U$887</f>
        <v>-0.95650000000000002</v>
      </c>
      <c r="V805" s="261">
        <f t="shared" si="154"/>
        <v>-0.95650000000000002</v>
      </c>
      <c r="W805" s="261">
        <f t="shared" si="154"/>
        <v>-0.95650000000000002</v>
      </c>
      <c r="X805" s="261">
        <f t="shared" si="154"/>
        <v>-0.95650000000000002</v>
      </c>
      <c r="Y805" s="261">
        <f t="shared" si="154"/>
        <v>-0.95650000000000002</v>
      </c>
      <c r="Z805" s="261">
        <f t="shared" si="154"/>
        <v>-0.95650000000000002</v>
      </c>
      <c r="AA805" s="261">
        <f t="shared" si="154"/>
        <v>-1.0820000000000001</v>
      </c>
      <c r="AB805" s="261">
        <f t="shared" si="154"/>
        <v>-1.0820000000000001</v>
      </c>
      <c r="AC805" s="261">
        <f t="shared" si="154"/>
        <v>-1.0820000000000001</v>
      </c>
      <c r="AD805" s="261">
        <f t="shared" si="154"/>
        <v>-1.0820000000000001</v>
      </c>
      <c r="AE805" s="76"/>
      <c r="AF805" s="76"/>
      <c r="AG805" s="76"/>
      <c r="AH805" s="261">
        <f>AH$887</f>
        <v>1</v>
      </c>
      <c r="AI805" s="261">
        <f>AI$887</f>
        <v>1</v>
      </c>
      <c r="AJ805" s="73"/>
      <c r="AK805" s="57"/>
      <c r="AL805" s="45"/>
      <c r="AM805" s="45"/>
      <c r="AN805" s="45"/>
    </row>
    <row r="806" spans="1:40" hidden="1" outlineLevel="2" x14ac:dyDescent="0.35">
      <c r="A806" s="45">
        <v>4</v>
      </c>
      <c r="B806" s="54"/>
      <c r="C806" s="47">
        <f t="shared" si="14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5">U$888</f>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AH$888</f>
        <v>1</v>
      </c>
      <c r="AI806" s="261">
        <f>AI$888</f>
        <v>1</v>
      </c>
      <c r="AJ806" s="73"/>
      <c r="AK806" s="57"/>
      <c r="AL806" s="45"/>
      <c r="AM806" s="45"/>
      <c r="AN806" s="45"/>
    </row>
    <row r="807" spans="1:40" hidden="1" outlineLevel="2" x14ac:dyDescent="0.35">
      <c r="A807" s="45">
        <f>A806</f>
        <v>4</v>
      </c>
      <c r="B807" s="54"/>
      <c r="C807" s="47">
        <f t="shared" si="14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5"/>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AH$888</f>
        <v>1</v>
      </c>
      <c r="AI807" s="261">
        <f>AI$888</f>
        <v>1</v>
      </c>
      <c r="AJ807" s="73"/>
      <c r="AK807" s="57"/>
      <c r="AL807" s="45"/>
      <c r="AM807" s="45"/>
      <c r="AN807" s="45"/>
    </row>
    <row r="808" spans="1:40" hidden="1" outlineLevel="2" x14ac:dyDescent="0.35">
      <c r="A808" s="45"/>
      <c r="B808" s="54"/>
      <c r="C808" s="47">
        <f t="shared" si="14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6">U809</f>
        <v>-4.9400000000000004</v>
      </c>
      <c r="X809" s="336">
        <f t="shared" si="156"/>
        <v>-4.9400000000000004</v>
      </c>
      <c r="Y809" s="336">
        <f>V809</f>
        <v>-4.9400000000000004</v>
      </c>
      <c r="Z809" s="336">
        <f>AA809</f>
        <v>-6.68</v>
      </c>
      <c r="AA809" s="97">
        <v>-6.68</v>
      </c>
      <c r="AB809" s="255">
        <f t="shared" ref="AB809:AD813" si="157">AA809</f>
        <v>-6.68</v>
      </c>
      <c r="AC809" s="255">
        <f t="shared" si="157"/>
        <v>-6.68</v>
      </c>
      <c r="AD809" s="255">
        <f t="shared" si="157"/>
        <v>-6.68</v>
      </c>
      <c r="AE809" s="76"/>
      <c r="AF809" s="97" t="s">
        <v>2279</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6"/>
        <v>-6.8171999999999997</v>
      </c>
      <c r="X810" s="336">
        <f t="shared" si="156"/>
        <v>-6.8171999999999997</v>
      </c>
      <c r="Y810" s="336">
        <f>V810</f>
        <v>-6.8171999999999997</v>
      </c>
      <c r="Z810" s="336">
        <f>AA810</f>
        <v>-9.2200000000000006</v>
      </c>
      <c r="AA810" s="97">
        <v>-9.2200000000000006</v>
      </c>
      <c r="AB810" s="255">
        <f t="shared" si="157"/>
        <v>-9.2200000000000006</v>
      </c>
      <c r="AC810" s="255">
        <f t="shared" si="157"/>
        <v>-9.2200000000000006</v>
      </c>
      <c r="AD810" s="255">
        <f t="shared" si="157"/>
        <v>-9.2200000000000006</v>
      </c>
      <c r="AE810" s="76"/>
      <c r="AF810" s="97" t="s">
        <v>2280</v>
      </c>
      <c r="AG810" s="76"/>
      <c r="AH810" s="97">
        <v>1</v>
      </c>
      <c r="AI810" s="97">
        <v>1</v>
      </c>
      <c r="AJ810" s="73"/>
      <c r="AK810" s="57"/>
      <c r="AL810" s="45"/>
      <c r="AM810" s="45"/>
      <c r="AN810" s="45"/>
    </row>
    <row r="811" spans="1:40" hidden="1" outlineLevel="2" x14ac:dyDescent="0.35">
      <c r="A811" s="45"/>
      <c r="B811" s="54"/>
      <c r="C811" s="47">
        <f t="shared" si="14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6"/>
        <v>-1.85</v>
      </c>
      <c r="X811" s="336">
        <f t="shared" si="156"/>
        <v>-1.85</v>
      </c>
      <c r="Y811" s="336">
        <f>V811</f>
        <v>-1.85</v>
      </c>
      <c r="Z811" s="336">
        <f>AA811</f>
        <v>-3.36</v>
      </c>
      <c r="AA811" s="97">
        <v>-3.36</v>
      </c>
      <c r="AB811" s="255">
        <f t="shared" si="157"/>
        <v>-3.36</v>
      </c>
      <c r="AC811" s="255">
        <f t="shared" si="157"/>
        <v>-3.36</v>
      </c>
      <c r="AD811" s="255">
        <f t="shared" si="157"/>
        <v>-3.36</v>
      </c>
      <c r="AE811" s="76"/>
      <c r="AF811" s="97" t="s">
        <v>2281</v>
      </c>
      <c r="AG811" s="76"/>
      <c r="AH811" s="97">
        <v>1</v>
      </c>
      <c r="AI811" s="97">
        <v>1</v>
      </c>
      <c r="AJ811" s="73"/>
      <c r="AK811" s="57"/>
      <c r="AL811" s="45"/>
      <c r="AM811" s="45"/>
      <c r="AN811" s="45"/>
    </row>
    <row r="812" spans="1:40" hidden="1" outlineLevel="2" x14ac:dyDescent="0.35">
      <c r="A812" s="45">
        <v>4</v>
      </c>
      <c r="B812" s="54"/>
      <c r="C812" s="47">
        <f t="shared" si="14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6"/>
        <v>-6.1627488000000001</v>
      </c>
      <c r="X812" s="336">
        <f t="shared" si="156"/>
        <v>-6.1627488000000001</v>
      </c>
      <c r="Y812" s="336">
        <f>V812</f>
        <v>-6.1627488000000001</v>
      </c>
      <c r="Z812" s="336">
        <f>AA812</f>
        <v>-8.33</v>
      </c>
      <c r="AA812" s="97">
        <v>-8.33</v>
      </c>
      <c r="AB812" s="255">
        <f t="shared" si="157"/>
        <v>-8.33</v>
      </c>
      <c r="AC812" s="255">
        <f t="shared" si="157"/>
        <v>-8.33</v>
      </c>
      <c r="AD812" s="255">
        <f t="shared" si="157"/>
        <v>-8.33</v>
      </c>
      <c r="AE812" s="76"/>
      <c r="AF812" s="97"/>
      <c r="AG812" s="76"/>
      <c r="AH812" s="97">
        <v>1</v>
      </c>
      <c r="AI812" s="97">
        <v>1</v>
      </c>
      <c r="AJ812" s="73"/>
      <c r="AK812" s="57"/>
      <c r="AL812" s="45"/>
      <c r="AM812" s="45"/>
      <c r="AN812" s="45"/>
    </row>
    <row r="813" spans="1:40" hidden="1" outlineLevel="2" x14ac:dyDescent="0.35">
      <c r="A813" s="45">
        <f>A812</f>
        <v>4</v>
      </c>
      <c r="B813" s="54"/>
      <c r="C813" s="47">
        <f t="shared" si="14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6"/>
        <v>-3.7835460000000003</v>
      </c>
      <c r="X813" s="336">
        <f t="shared" si="156"/>
        <v>-3.7835460000000003</v>
      </c>
      <c r="Y813" s="336">
        <f>V813</f>
        <v>-3.7835460000000003</v>
      </c>
      <c r="Z813" s="336">
        <f>AA813</f>
        <v>-5.1100000000000003</v>
      </c>
      <c r="AA813" s="97">
        <v>-5.1100000000000003</v>
      </c>
      <c r="AB813" s="255">
        <f t="shared" si="157"/>
        <v>-5.1100000000000003</v>
      </c>
      <c r="AC813" s="255">
        <f t="shared" si="157"/>
        <v>-5.1100000000000003</v>
      </c>
      <c r="AD813" s="255">
        <f t="shared" si="157"/>
        <v>-5.1100000000000003</v>
      </c>
      <c r="AE813" s="76"/>
      <c r="AF813" s="97"/>
      <c r="AG813" s="76"/>
      <c r="AH813" s="97">
        <v>1</v>
      </c>
      <c r="AI813" s="97">
        <v>1</v>
      </c>
      <c r="AJ813" s="73"/>
      <c r="AK813" s="57"/>
      <c r="AL813" s="45"/>
      <c r="AM813" s="45"/>
      <c r="AN813" s="45"/>
    </row>
    <row r="814" spans="1:40" hidden="1" outlineLevel="2" x14ac:dyDescent="0.35">
      <c r="A814" s="45"/>
      <c r="B814" s="54"/>
      <c r="C814" s="47">
        <f t="shared" si="14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35">
      <c r="A815" s="45"/>
      <c r="B815" s="54"/>
      <c r="C815" s="47">
        <f t="shared" si="14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8">U815</f>
        <v>-5.2299999999999999E-2</v>
      </c>
      <c r="V816" s="261">
        <f t="shared" si="158"/>
        <v>-5.2299999999999999E-2</v>
      </c>
      <c r="W816" s="261">
        <f t="shared" si="158"/>
        <v>-5.2299999999999999E-2</v>
      </c>
      <c r="X816" s="261">
        <f t="shared" si="158"/>
        <v>-5.2299999999999999E-2</v>
      </c>
      <c r="Y816" s="261">
        <f t="shared" si="158"/>
        <v>-5.2299999999999999E-2</v>
      </c>
      <c r="Z816" s="261">
        <f t="shared" si="158"/>
        <v>-5.2299999999999999E-2</v>
      </c>
      <c r="AA816" s="261">
        <f t="shared" si="158"/>
        <v>-5.2299999999999999E-2</v>
      </c>
      <c r="AB816" s="261">
        <f t="shared" si="158"/>
        <v>-5.2299999999999999E-2</v>
      </c>
      <c r="AC816" s="261">
        <f t="shared" si="158"/>
        <v>-5.2299999999999999E-2</v>
      </c>
      <c r="AD816" s="261">
        <f t="shared" si="158"/>
        <v>-5.2299999999999999E-2</v>
      </c>
      <c r="AE816" s="76"/>
      <c r="AF816" s="97" t="s">
        <v>1450</v>
      </c>
      <c r="AG816" s="76"/>
      <c r="AH816" s="97">
        <v>1</v>
      </c>
      <c r="AI816" s="97">
        <v>1</v>
      </c>
      <c r="AJ816" s="73"/>
      <c r="AK816" s="57"/>
      <c r="AL816" s="45"/>
      <c r="AM816" s="45"/>
      <c r="AN816" s="45"/>
    </row>
    <row r="817" spans="1:40" hidden="1" outlineLevel="2" x14ac:dyDescent="0.35">
      <c r="A817" s="45"/>
      <c r="B817" s="54"/>
      <c r="C817" s="47">
        <f t="shared" si="14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35">
      <c r="A818" s="45">
        <v>4</v>
      </c>
      <c r="B818" s="54"/>
      <c r="C818" s="47">
        <f t="shared" si="14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59">U817</f>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hidden="1" outlineLevel="2" x14ac:dyDescent="0.35">
      <c r="A819" s="45">
        <f>A818</f>
        <v>4</v>
      </c>
      <c r="B819" s="54"/>
      <c r="C819" s="47">
        <f t="shared" si="14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59"/>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1" collapsed="1" x14ac:dyDescent="0.3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3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3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35">
      <c r="A825" s="45"/>
      <c r="B825" s="54"/>
      <c r="C825" s="47">
        <f t="shared" ref="C825:C859" si="16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35">
      <c r="A826" s="45"/>
      <c r="B826" s="54"/>
      <c r="C826" s="47">
        <f t="shared" si="16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1">0.34/2</f>
        <v>0.17</v>
      </c>
      <c r="AA826" s="97">
        <f t="shared" si="161"/>
        <v>0.17</v>
      </c>
      <c r="AB826" s="97">
        <f t="shared" si="161"/>
        <v>0.17</v>
      </c>
      <c r="AC826" s="97">
        <f t="shared" si="161"/>
        <v>0.17</v>
      </c>
      <c r="AD826" s="97">
        <f t="shared" si="161"/>
        <v>0.17</v>
      </c>
      <c r="AE826" s="97">
        <f t="shared" si="161"/>
        <v>0.17</v>
      </c>
      <c r="AF826" s="97" t="s">
        <v>2565</v>
      </c>
      <c r="AG826" s="76"/>
      <c r="AH826" s="97">
        <v>1</v>
      </c>
      <c r="AI826" s="97">
        <v>1</v>
      </c>
      <c r="AJ826" s="73"/>
      <c r="AK826" s="57"/>
      <c r="AL826" s="45"/>
      <c r="AM826" s="45"/>
      <c r="AN826" s="45"/>
    </row>
    <row r="827" spans="1:40" hidden="1" outlineLevel="2" x14ac:dyDescent="0.35">
      <c r="A827" s="45"/>
      <c r="B827" s="54"/>
      <c r="C827" s="47">
        <f t="shared" si="16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2">0.39/2</f>
        <v>0.19500000000000001</v>
      </c>
      <c r="V827" s="97">
        <f t="shared" si="162"/>
        <v>0.19500000000000001</v>
      </c>
      <c r="W827" s="97">
        <f t="shared" si="162"/>
        <v>0.19500000000000001</v>
      </c>
      <c r="X827" s="97">
        <f t="shared" si="162"/>
        <v>0.19500000000000001</v>
      </c>
      <c r="Y827" s="97">
        <f t="shared" si="162"/>
        <v>0.19500000000000001</v>
      </c>
      <c r="Z827" s="97">
        <f t="shared" ref="Z827:AE828" si="163">0.64/2</f>
        <v>0.32</v>
      </c>
      <c r="AA827" s="97">
        <f t="shared" si="163"/>
        <v>0.32</v>
      </c>
      <c r="AB827" s="97">
        <f t="shared" si="163"/>
        <v>0.32</v>
      </c>
      <c r="AC827" s="97">
        <f t="shared" si="163"/>
        <v>0.32</v>
      </c>
      <c r="AD827" s="97">
        <f t="shared" si="163"/>
        <v>0.32</v>
      </c>
      <c r="AE827" s="97">
        <f t="shared" si="163"/>
        <v>0.32</v>
      </c>
      <c r="AF827" s="97" t="s">
        <v>1485</v>
      </c>
      <c r="AG827" s="76"/>
      <c r="AH827" s="97">
        <v>1</v>
      </c>
      <c r="AI827" s="97">
        <v>1</v>
      </c>
      <c r="AJ827" s="73"/>
      <c r="AK827" s="57"/>
      <c r="AL827" s="45"/>
      <c r="AM827" s="45"/>
      <c r="AN827" s="45"/>
    </row>
    <row r="828" spans="1:40" hidden="1" outlineLevel="2" x14ac:dyDescent="0.35">
      <c r="A828" s="45"/>
      <c r="B828" s="54"/>
      <c r="C828" s="47">
        <f t="shared" si="160"/>
        <v>3</v>
      </c>
      <c r="D828" s="73"/>
      <c r="E828" s="70"/>
      <c r="F828" s="70" t="s">
        <v>1488</v>
      </c>
      <c r="G828" s="73"/>
      <c r="H828" s="76" t="s">
        <v>1489</v>
      </c>
      <c r="I828" s="96" t="s">
        <v>502</v>
      </c>
      <c r="J828" s="96"/>
      <c r="K828" s="76"/>
      <c r="L828" s="76"/>
      <c r="M828" s="76"/>
      <c r="N828" s="76"/>
      <c r="O828" s="76"/>
      <c r="P828" s="76"/>
      <c r="Q828" s="76"/>
      <c r="R828" s="76"/>
      <c r="S828" s="76"/>
      <c r="T828" s="76"/>
      <c r="U828" s="97">
        <f t="shared" si="162"/>
        <v>0.19500000000000001</v>
      </c>
      <c r="V828" s="97">
        <f t="shared" si="162"/>
        <v>0.19500000000000001</v>
      </c>
      <c r="W828" s="97">
        <f t="shared" si="162"/>
        <v>0.19500000000000001</v>
      </c>
      <c r="X828" s="97">
        <f t="shared" si="162"/>
        <v>0.19500000000000001</v>
      </c>
      <c r="Y828" s="97">
        <f t="shared" si="162"/>
        <v>0.19500000000000001</v>
      </c>
      <c r="Z828" s="97">
        <f t="shared" si="163"/>
        <v>0.32</v>
      </c>
      <c r="AA828" s="97">
        <f t="shared" si="163"/>
        <v>0.32</v>
      </c>
      <c r="AB828" s="97">
        <f t="shared" si="163"/>
        <v>0.32</v>
      </c>
      <c r="AC828" s="97">
        <f t="shared" si="163"/>
        <v>0.32</v>
      </c>
      <c r="AD828" s="97">
        <f t="shared" si="163"/>
        <v>0.32</v>
      </c>
      <c r="AE828" s="97">
        <f t="shared" si="163"/>
        <v>0.32</v>
      </c>
      <c r="AF828" s="97" t="s">
        <v>1023</v>
      </c>
      <c r="AG828" s="76"/>
      <c r="AH828" s="97">
        <v>1</v>
      </c>
      <c r="AI828" s="97">
        <v>1</v>
      </c>
      <c r="AJ828" s="73"/>
      <c r="AK828" s="57"/>
      <c r="AL828" s="45"/>
      <c r="AM828" s="45"/>
      <c r="AN828" s="45"/>
    </row>
    <row r="829" spans="1:40" hidden="1" outlineLevel="2" x14ac:dyDescent="0.35">
      <c r="A829" s="45"/>
      <c r="B829" s="54"/>
      <c r="C829" s="47">
        <f t="shared" si="16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35">
      <c r="A830" s="45"/>
      <c r="B830" s="54"/>
      <c r="C830" s="47">
        <f t="shared" si="16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35">
      <c r="A831" s="45"/>
      <c r="B831" s="54"/>
      <c r="C831" s="47">
        <f t="shared" si="16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35">
      <c r="A832" s="45"/>
      <c r="B832" s="54"/>
      <c r="C832" s="47">
        <f t="shared" si="16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35">
      <c r="A833" s="45"/>
      <c r="B833" s="54"/>
      <c r="C833" s="47">
        <f t="shared" si="16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35">
      <c r="A834" s="45"/>
      <c r="B834" s="54"/>
      <c r="C834" s="47">
        <f t="shared" si="16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35">
      <c r="A835" s="45"/>
      <c r="B835" s="54"/>
      <c r="C835" s="47">
        <f t="shared" si="16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35">
      <c r="A836" s="45"/>
      <c r="B836" s="54"/>
      <c r="C836" s="47">
        <f t="shared" si="16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35">
      <c r="A837" s="45"/>
      <c r="B837" s="54"/>
      <c r="C837" s="47">
        <f t="shared" si="16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35">
      <c r="A838" s="45"/>
      <c r="B838" s="54"/>
      <c r="C838" s="47">
        <f t="shared" si="16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35">
      <c r="A839" s="45"/>
      <c r="B839" s="54"/>
      <c r="C839" s="47">
        <f t="shared" si="16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4">0.2-(0.2944/2)</f>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1516</v>
      </c>
      <c r="AG839" s="76"/>
      <c r="AH839" s="97">
        <v>1</v>
      </c>
      <c r="AI839" s="97">
        <v>1</v>
      </c>
      <c r="AJ839" s="73"/>
      <c r="AK839" s="57"/>
      <c r="AL839" s="45"/>
      <c r="AM839" s="45"/>
      <c r="AN839" s="45"/>
    </row>
    <row r="840" spans="1:40" hidden="1" outlineLevel="2" x14ac:dyDescent="0.35">
      <c r="A840" s="45"/>
      <c r="B840" s="54"/>
      <c r="C840" s="47">
        <f t="shared" si="160"/>
        <v>3</v>
      </c>
      <c r="D840" s="73"/>
      <c r="E840" s="70"/>
      <c r="F840" s="70" t="s">
        <v>1517</v>
      </c>
      <c r="G840" s="73"/>
      <c r="H840" s="76" t="s">
        <v>1518</v>
      </c>
      <c r="I840" s="96" t="s">
        <v>1515</v>
      </c>
      <c r="J840" s="96"/>
      <c r="K840" s="76"/>
      <c r="L840" s="76"/>
      <c r="M840" s="76"/>
      <c r="N840" s="76"/>
      <c r="O840" s="76"/>
      <c r="P840" s="76"/>
      <c r="Q840" s="76"/>
      <c r="R840" s="76"/>
      <c r="S840" s="76"/>
      <c r="T840" s="76"/>
      <c r="U840" s="97">
        <f t="shared" si="164"/>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1519</v>
      </c>
      <c r="AG840" s="76"/>
      <c r="AH840" s="97">
        <v>1</v>
      </c>
      <c r="AI840" s="97">
        <v>1</v>
      </c>
      <c r="AJ840" s="73"/>
      <c r="AK840" s="57"/>
      <c r="AL840" s="45"/>
      <c r="AM840" s="45"/>
      <c r="AN840" s="45"/>
    </row>
    <row r="841" spans="1:40" hidden="1" outlineLevel="2" x14ac:dyDescent="0.35">
      <c r="A841" s="45"/>
      <c r="B841" s="54"/>
      <c r="C841" s="47">
        <f t="shared" si="16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35">
      <c r="A842" s="45"/>
      <c r="B842" s="54"/>
      <c r="C842" s="47">
        <f t="shared" si="16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35">
      <c r="A843" s="45"/>
      <c r="B843" s="54"/>
      <c r="C843" s="47">
        <f t="shared" si="16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5">0.2+(0.2944/2)</f>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2261</v>
      </c>
      <c r="AG843" s="76"/>
      <c r="AH843" s="97">
        <v>1</v>
      </c>
      <c r="AI843" s="97">
        <v>1</v>
      </c>
      <c r="AJ843" s="73"/>
      <c r="AK843" s="57"/>
      <c r="AL843" s="45"/>
      <c r="AM843" s="45"/>
      <c r="AN843" s="45"/>
    </row>
    <row r="844" spans="1:40" hidden="1" outlineLevel="2" x14ac:dyDescent="0.35">
      <c r="A844" s="45"/>
      <c r="B844" s="54"/>
      <c r="C844" s="47">
        <f t="shared" si="160"/>
        <v>3</v>
      </c>
      <c r="D844" s="73"/>
      <c r="E844" s="70"/>
      <c r="F844" s="70" t="s">
        <v>1525</v>
      </c>
      <c r="G844" s="73"/>
      <c r="H844" s="76" t="s">
        <v>1518</v>
      </c>
      <c r="I844" s="96" t="s">
        <v>1515</v>
      </c>
      <c r="J844" s="96"/>
      <c r="K844" s="76"/>
      <c r="L844" s="76"/>
      <c r="M844" s="76"/>
      <c r="N844" s="76"/>
      <c r="O844" s="76"/>
      <c r="P844" s="76"/>
      <c r="Q844" s="76"/>
      <c r="R844" s="76"/>
      <c r="S844" s="76"/>
      <c r="T844" s="76"/>
      <c r="U844" s="97">
        <f t="shared" si="165"/>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2262</v>
      </c>
      <c r="AG844" s="76"/>
      <c r="AH844" s="97">
        <v>1</v>
      </c>
      <c r="AI844" s="97">
        <v>1</v>
      </c>
      <c r="AJ844" s="73"/>
      <c r="AK844" s="57"/>
      <c r="AL844" s="45"/>
      <c r="AM844" s="45"/>
      <c r="AN844" s="45"/>
    </row>
    <row r="845" spans="1:40" hidden="1" outlineLevel="2" x14ac:dyDescent="0.35">
      <c r="A845" s="45"/>
      <c r="B845" s="54"/>
      <c r="C845" s="47">
        <f t="shared" si="16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35">
      <c r="A846" s="45"/>
      <c r="B846" s="54"/>
      <c r="C846" s="47">
        <f t="shared" si="16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35">
      <c r="A847" s="45"/>
      <c r="B847" s="54"/>
      <c r="C847" s="47">
        <f t="shared" si="16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35">
      <c r="A848" s="45"/>
      <c r="B848" s="54"/>
      <c r="C848" s="47">
        <f t="shared" si="16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35">
      <c r="A849" s="45"/>
      <c r="B849" s="54"/>
      <c r="C849" s="47">
        <f t="shared" si="16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35">
      <c r="A850" s="45"/>
      <c r="B850" s="54"/>
      <c r="C850" s="47">
        <f t="shared" si="16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35">
      <c r="A851" s="45"/>
      <c r="B851" s="54"/>
      <c r="C851" s="47">
        <f t="shared" si="16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35">
      <c r="A852" s="45"/>
      <c r="B852" s="54"/>
      <c r="C852" s="47">
        <f t="shared" si="16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35">
      <c r="A853" s="45"/>
      <c r="B853" s="54"/>
      <c r="C853" s="47">
        <f t="shared" si="16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35">
      <c r="A854" s="45"/>
      <c r="B854" s="54"/>
      <c r="C854" s="47">
        <f t="shared" si="16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6">AA854</f>
        <v>0</v>
      </c>
      <c r="AC854" s="255">
        <f t="shared" si="166"/>
        <v>0</v>
      </c>
      <c r="AD854" s="255">
        <f t="shared" si="166"/>
        <v>0</v>
      </c>
      <c r="AE854" s="76"/>
      <c r="AF854" s="97" t="s">
        <v>2561</v>
      </c>
      <c r="AG854" s="76"/>
      <c r="AH854" s="97">
        <v>1</v>
      </c>
      <c r="AI854" s="97">
        <v>1</v>
      </c>
      <c r="AJ854" s="73"/>
      <c r="AK854" s="57"/>
      <c r="AL854" s="45"/>
      <c r="AM854" s="45"/>
      <c r="AN854" s="45"/>
    </row>
    <row r="855" spans="1:40" hidden="1" outlineLevel="2" x14ac:dyDescent="0.35">
      <c r="A855" s="45"/>
      <c r="B855" s="54"/>
      <c r="C855" s="47">
        <f t="shared" si="160"/>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6"/>
        <v>-0.21895000000000001</v>
      </c>
      <c r="AC855" s="255">
        <f t="shared" si="166"/>
        <v>-0.21895000000000001</v>
      </c>
      <c r="AD855" s="255">
        <f t="shared" si="166"/>
        <v>-0.21895000000000001</v>
      </c>
      <c r="AE855" s="76"/>
      <c r="AF855" s="76"/>
      <c r="AG855" s="76"/>
      <c r="AH855" s="97">
        <v>1</v>
      </c>
      <c r="AI855" s="97">
        <v>1</v>
      </c>
      <c r="AJ855" s="73"/>
      <c r="AK855" s="57"/>
      <c r="AL855" s="45"/>
      <c r="AM855" s="45"/>
      <c r="AN855" s="45"/>
    </row>
    <row r="856" spans="1:40" hidden="1" outlineLevel="2" x14ac:dyDescent="0.35">
      <c r="A856" s="45"/>
      <c r="B856" s="54"/>
      <c r="C856" s="47">
        <f t="shared" si="16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6"/>
        <v>-0.37940000000000002</v>
      </c>
      <c r="AC856" s="255">
        <f t="shared" si="166"/>
        <v>-0.37940000000000002</v>
      </c>
      <c r="AD856" s="255">
        <f t="shared" si="166"/>
        <v>-0.37940000000000002</v>
      </c>
      <c r="AE856" s="76"/>
      <c r="AF856" s="76"/>
      <c r="AG856" s="76"/>
      <c r="AH856" s="97">
        <v>1</v>
      </c>
      <c r="AI856" s="97">
        <v>1</v>
      </c>
      <c r="AJ856" s="73"/>
      <c r="AK856" s="57"/>
      <c r="AL856" s="45"/>
      <c r="AM856" s="45"/>
      <c r="AN856" s="45"/>
    </row>
    <row r="857" spans="1:40" hidden="1" outlineLevel="2" x14ac:dyDescent="0.35">
      <c r="A857" s="45"/>
      <c r="B857" s="54"/>
      <c r="C857" s="47">
        <f t="shared" si="16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35">
      <c r="A858" s="45"/>
      <c r="B858" s="54"/>
      <c r="C858" s="47">
        <f t="shared" si="16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7">U858</f>
        <v>-1.1100000000000001E-3</v>
      </c>
      <c r="X858" s="255">
        <f t="shared" si="167"/>
        <v>-1.1100000000000001E-3</v>
      </c>
      <c r="Y858" s="255">
        <f>V858</f>
        <v>-1.1100000000000001E-3</v>
      </c>
      <c r="Z858" s="255">
        <f>AA858</f>
        <v>-1.5499999999999999E-3</v>
      </c>
      <c r="AA858" s="97">
        <v>-1.5499999999999999E-3</v>
      </c>
      <c r="AB858" s="255">
        <f t="shared" ref="AB858:AD860" si="168">AA858</f>
        <v>-1.5499999999999999E-3</v>
      </c>
      <c r="AC858" s="255">
        <f t="shared" si="168"/>
        <v>-1.5499999999999999E-3</v>
      </c>
      <c r="AD858" s="255">
        <f t="shared" si="168"/>
        <v>-1.5499999999999999E-3</v>
      </c>
      <c r="AE858" s="76"/>
      <c r="AF858" s="97" t="s">
        <v>2712</v>
      </c>
      <c r="AG858" s="76"/>
      <c r="AH858" s="76">
        <v>1</v>
      </c>
      <c r="AI858" s="76">
        <v>1</v>
      </c>
      <c r="AJ858" s="73"/>
      <c r="AK858" s="57"/>
      <c r="AL858" s="45"/>
      <c r="AM858" s="45"/>
      <c r="AN858" s="45"/>
    </row>
    <row r="859" spans="1:40" hidden="1" outlineLevel="2" x14ac:dyDescent="0.35">
      <c r="A859" s="45"/>
      <c r="B859" s="54"/>
      <c r="C859" s="47">
        <f t="shared" si="16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7"/>
        <v>-1.5E-3</v>
      </c>
      <c r="X859" s="255">
        <f t="shared" si="167"/>
        <v>-1.5E-3</v>
      </c>
      <c r="Y859" s="255">
        <f>V859</f>
        <v>-1.5E-3</v>
      </c>
      <c r="Z859" s="255">
        <f>AA859</f>
        <v>-2.1250000000000002E-3</v>
      </c>
      <c r="AA859" s="97">
        <v>-2.1250000000000002E-3</v>
      </c>
      <c r="AB859" s="255">
        <f t="shared" si="168"/>
        <v>-2.1250000000000002E-3</v>
      </c>
      <c r="AC859" s="255">
        <f t="shared" si="168"/>
        <v>-2.1250000000000002E-3</v>
      </c>
      <c r="AD859" s="255">
        <f t="shared" si="168"/>
        <v>-2.1250000000000002E-3</v>
      </c>
      <c r="AE859" s="76"/>
      <c r="AF859" s="97"/>
      <c r="AG859" s="76"/>
      <c r="AH859" s="76">
        <v>1</v>
      </c>
      <c r="AI859" s="76">
        <v>1</v>
      </c>
      <c r="AJ859" s="73"/>
      <c r="AK859" s="57"/>
      <c r="AL859" s="45"/>
      <c r="AM859" s="45"/>
      <c r="AN859" s="45"/>
    </row>
    <row r="860" spans="1:40" hidden="1" outlineLevel="2" x14ac:dyDescent="0.3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7"/>
        <v>-6.8500000000000002E-3</v>
      </c>
      <c r="X860" s="255">
        <f t="shared" si="167"/>
        <v>-6.8500000000000002E-3</v>
      </c>
      <c r="Y860" s="255">
        <f>V860</f>
        <v>-6.8500000000000002E-3</v>
      </c>
      <c r="Z860" s="255">
        <f>AA860</f>
        <v>-8.0300000000000007E-3</v>
      </c>
      <c r="AA860" s="97">
        <v>-8.0300000000000007E-3</v>
      </c>
      <c r="AB860" s="255">
        <f t="shared" si="168"/>
        <v>-8.0300000000000007E-3</v>
      </c>
      <c r="AC860" s="255">
        <f t="shared" si="168"/>
        <v>-8.0300000000000007E-3</v>
      </c>
      <c r="AD860" s="255">
        <f t="shared" si="168"/>
        <v>-8.0300000000000007E-3</v>
      </c>
      <c r="AE860" s="76"/>
      <c r="AF860" s="76"/>
      <c r="AG860" s="76"/>
      <c r="AH860" s="76">
        <v>1</v>
      </c>
      <c r="AI860" s="76">
        <v>1</v>
      </c>
      <c r="AJ860" s="73"/>
      <c r="AK860" s="57"/>
      <c r="AL860" s="45"/>
      <c r="AM860" s="45"/>
      <c r="AN860" s="45"/>
    </row>
    <row r="861" spans="1:40" hidden="1" outlineLevel="2" x14ac:dyDescent="0.3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3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3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x14ac:dyDescent="0.3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69">U863+($AA851-$AA852)</f>
        <v>1.1000000000000001</v>
      </c>
      <c r="V864" s="97">
        <f t="shared" si="169"/>
        <v>1.1000000000000001</v>
      </c>
      <c r="W864" s="97">
        <f t="shared" si="169"/>
        <v>1.1000000000000001</v>
      </c>
      <c r="X864" s="97">
        <f t="shared" si="169"/>
        <v>1.1000000000000001</v>
      </c>
      <c r="Y864" s="97">
        <f t="shared" si="169"/>
        <v>1.1000000000000001</v>
      </c>
      <c r="Z864" s="97">
        <f t="shared" si="169"/>
        <v>0.82</v>
      </c>
      <c r="AA864" s="97">
        <f t="shared" si="169"/>
        <v>0.82</v>
      </c>
      <c r="AB864" s="97">
        <f t="shared" si="169"/>
        <v>0.82</v>
      </c>
      <c r="AC864" s="97">
        <f t="shared" si="169"/>
        <v>0.82</v>
      </c>
      <c r="AD864" s="97">
        <f t="shared" si="169"/>
        <v>0.82</v>
      </c>
      <c r="AE864" s="76"/>
      <c r="AF864" s="97" t="s">
        <v>2697</v>
      </c>
      <c r="AG864" s="76"/>
      <c r="AH864" s="97">
        <v>1</v>
      </c>
      <c r="AI864" s="97">
        <v>1</v>
      </c>
      <c r="AJ864" s="73"/>
      <c r="AK864" s="57"/>
      <c r="AL864" s="45"/>
      <c r="AM864" s="45"/>
      <c r="AN864" s="45"/>
    </row>
    <row r="865" spans="1:40" hidden="1" outlineLevel="3" x14ac:dyDescent="0.35">
      <c r="A865" s="45"/>
      <c r="B865" s="54"/>
      <c r="C865" s="47">
        <f>INT($C$29)+2</f>
        <v>3</v>
      </c>
      <c r="D865" s="73"/>
      <c r="E865" s="70"/>
      <c r="F865" s="70" t="s">
        <v>1554</v>
      </c>
      <c r="G865" s="73"/>
      <c r="H865" s="76" t="s">
        <v>3817</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ref="C869:C876" si="170">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2" x14ac:dyDescent="0.35">
      <c r="A873" s="45"/>
      <c r="B873" s="54"/>
      <c r="C873" s="47">
        <f t="shared" si="170"/>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35">
      <c r="A874" s="45"/>
      <c r="B874" s="54"/>
      <c r="C874" s="47">
        <f t="shared" si="170"/>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35">
      <c r="A875" s="45"/>
      <c r="B875" s="54"/>
      <c r="C875" s="47">
        <f t="shared" si="170"/>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35">
      <c r="A876" s="45"/>
      <c r="B876" s="54"/>
      <c r="C876" s="47">
        <f t="shared" si="170"/>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35">
      <c r="A877" s="45"/>
      <c r="B877" s="54"/>
      <c r="C877" s="47">
        <f t="shared" ref="C877:C945" si="171">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35">
      <c r="A878" s="45"/>
      <c r="B878" s="54"/>
      <c r="C878" s="47">
        <f t="shared" si="171"/>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2">INDEX($K878:$Q878,1,U$43)</f>
        <v>1.5</v>
      </c>
      <c r="V878" s="253">
        <f t="shared" si="172"/>
        <v>1.5</v>
      </c>
      <c r="W878" s="253">
        <f t="shared" si="172"/>
        <v>1.5</v>
      </c>
      <c r="X878" s="253">
        <f t="shared" si="172"/>
        <v>1.5</v>
      </c>
      <c r="Y878" s="253">
        <f t="shared" si="172"/>
        <v>1.5</v>
      </c>
      <c r="Z878" s="253">
        <f t="shared" si="172"/>
        <v>1.5</v>
      </c>
      <c r="AA878" s="253">
        <f t="shared" si="172"/>
        <v>1.5</v>
      </c>
      <c r="AB878" s="253">
        <f t="shared" si="172"/>
        <v>1.5</v>
      </c>
      <c r="AC878" s="253">
        <f t="shared" si="172"/>
        <v>1.5</v>
      </c>
      <c r="AD878" s="253">
        <f t="shared" si="172"/>
        <v>1.5</v>
      </c>
      <c r="AE878" s="76"/>
      <c r="AF878" s="76"/>
      <c r="AG878" s="76"/>
      <c r="AH878" s="97">
        <v>1</v>
      </c>
      <c r="AI878" s="97">
        <v>1</v>
      </c>
      <c r="AJ878" s="73"/>
      <c r="AK878" s="57"/>
      <c r="AL878" s="45"/>
      <c r="AM878" s="45"/>
      <c r="AN878" s="45"/>
    </row>
    <row r="879" spans="1:40" hidden="1" outlineLevel="2" x14ac:dyDescent="0.35">
      <c r="A879" s="45"/>
      <c r="B879" s="54"/>
      <c r="C879" s="47">
        <f t="shared" si="171"/>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2"/>
        <v>1.75</v>
      </c>
      <c r="V879" s="253">
        <f t="shared" si="172"/>
        <v>1.75</v>
      </c>
      <c r="W879" s="253">
        <f t="shared" si="172"/>
        <v>1.75</v>
      </c>
      <c r="X879" s="253">
        <f t="shared" si="172"/>
        <v>1.75</v>
      </c>
      <c r="Y879" s="253">
        <f t="shared" si="172"/>
        <v>1.75</v>
      </c>
      <c r="Z879" s="253">
        <f t="shared" si="172"/>
        <v>1.75</v>
      </c>
      <c r="AA879" s="253">
        <f t="shared" si="172"/>
        <v>1.75</v>
      </c>
      <c r="AB879" s="253">
        <f t="shared" si="172"/>
        <v>1.75</v>
      </c>
      <c r="AC879" s="253">
        <f t="shared" si="172"/>
        <v>1.75</v>
      </c>
      <c r="AD879" s="253">
        <f t="shared" si="172"/>
        <v>1.75</v>
      </c>
      <c r="AE879" s="76"/>
      <c r="AF879" s="76"/>
      <c r="AG879" s="76"/>
      <c r="AH879" s="97">
        <v>1</v>
      </c>
      <c r="AI879" s="97">
        <v>1</v>
      </c>
      <c r="AJ879" s="73"/>
      <c r="AK879" s="57"/>
      <c r="AL879" s="45"/>
      <c r="AM879" s="45"/>
      <c r="AN879" s="45"/>
    </row>
    <row r="880" spans="1:40" hidden="1" outlineLevel="2" x14ac:dyDescent="0.35">
      <c r="A880" s="45"/>
      <c r="B880" s="54"/>
      <c r="C880" s="47">
        <f t="shared" si="171"/>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2"/>
        <v>2</v>
      </c>
      <c r="V880" s="253">
        <f t="shared" si="172"/>
        <v>2</v>
      </c>
      <c r="W880" s="253">
        <f t="shared" si="172"/>
        <v>2</v>
      </c>
      <c r="X880" s="253">
        <f t="shared" si="172"/>
        <v>2</v>
      </c>
      <c r="Y880" s="253">
        <f t="shared" si="172"/>
        <v>2</v>
      </c>
      <c r="Z880" s="253">
        <f t="shared" si="172"/>
        <v>2</v>
      </c>
      <c r="AA880" s="253">
        <f t="shared" si="172"/>
        <v>2</v>
      </c>
      <c r="AB880" s="253">
        <f t="shared" si="172"/>
        <v>2</v>
      </c>
      <c r="AC880" s="253">
        <f t="shared" si="172"/>
        <v>2</v>
      </c>
      <c r="AD880" s="253">
        <f t="shared" si="172"/>
        <v>2</v>
      </c>
      <c r="AE880" s="76"/>
      <c r="AF880" s="76"/>
      <c r="AG880" s="76"/>
      <c r="AH880" s="97">
        <v>1</v>
      </c>
      <c r="AI880" s="97">
        <v>1</v>
      </c>
      <c r="AJ880" s="73"/>
      <c r="AK880" s="57"/>
      <c r="AL880" s="45"/>
      <c r="AM880" s="45"/>
      <c r="AN880" s="45"/>
    </row>
    <row r="881" spans="1:40" hidden="1" outlineLevel="2" x14ac:dyDescent="0.35">
      <c r="A881" s="45"/>
      <c r="B881" s="54"/>
      <c r="C881" s="47">
        <f t="shared" si="171"/>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35">
      <c r="A882" s="45"/>
      <c r="B882" s="54"/>
      <c r="C882" s="47">
        <f t="shared" si="171"/>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3">INDEX($K882:$Q882,1,U$43)</f>
        <v>0.1</v>
      </c>
      <c r="V882" s="253">
        <f t="shared" si="173"/>
        <v>0.1</v>
      </c>
      <c r="W882" s="253">
        <f t="shared" si="173"/>
        <v>0.1</v>
      </c>
      <c r="X882" s="253">
        <f t="shared" si="173"/>
        <v>0.1</v>
      </c>
      <c r="Y882" s="253">
        <f t="shared" si="173"/>
        <v>0.1</v>
      </c>
      <c r="Z882" s="253">
        <f t="shared" si="173"/>
        <v>0.1</v>
      </c>
      <c r="AA882" s="253">
        <f t="shared" si="173"/>
        <v>0.1</v>
      </c>
      <c r="AB882" s="253">
        <f t="shared" si="173"/>
        <v>0.1</v>
      </c>
      <c r="AC882" s="253">
        <f t="shared" si="173"/>
        <v>0.1</v>
      </c>
      <c r="AD882" s="253">
        <f t="shared" si="173"/>
        <v>0.1</v>
      </c>
      <c r="AE882" s="76"/>
      <c r="AF882" s="76"/>
      <c r="AG882" s="76"/>
      <c r="AH882" s="97">
        <v>1</v>
      </c>
      <c r="AI882" s="97">
        <v>1</v>
      </c>
      <c r="AJ882" s="73"/>
      <c r="AK882" s="57"/>
      <c r="AL882" s="45"/>
      <c r="AM882" s="45"/>
      <c r="AN882" s="45"/>
    </row>
    <row r="883" spans="1:40" hidden="1" outlineLevel="2" x14ac:dyDescent="0.35">
      <c r="A883" s="45"/>
      <c r="B883" s="54"/>
      <c r="C883" s="47">
        <f t="shared" si="171"/>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3"/>
        <v>8.5000000000000006E-2</v>
      </c>
      <c r="V883" s="253">
        <f t="shared" si="173"/>
        <v>8.5000000000000006E-2</v>
      </c>
      <c r="W883" s="253">
        <f t="shared" si="173"/>
        <v>8.5000000000000006E-2</v>
      </c>
      <c r="X883" s="253">
        <f t="shared" si="173"/>
        <v>8.5000000000000006E-2</v>
      </c>
      <c r="Y883" s="253">
        <f t="shared" si="173"/>
        <v>8.5000000000000006E-2</v>
      </c>
      <c r="Z883" s="253">
        <f t="shared" si="173"/>
        <v>8.5000000000000006E-2</v>
      </c>
      <c r="AA883" s="253">
        <f t="shared" si="173"/>
        <v>8.5000000000000006E-2</v>
      </c>
      <c r="AB883" s="253">
        <f t="shared" si="173"/>
        <v>8.5000000000000006E-2</v>
      </c>
      <c r="AC883" s="253">
        <f t="shared" si="173"/>
        <v>8.5000000000000006E-2</v>
      </c>
      <c r="AD883" s="253">
        <f t="shared" si="173"/>
        <v>8.5000000000000006E-2</v>
      </c>
      <c r="AE883" s="76"/>
      <c r="AF883" s="76"/>
      <c r="AG883" s="76"/>
      <c r="AH883" s="97">
        <v>1</v>
      </c>
      <c r="AI883" s="97">
        <v>1</v>
      </c>
      <c r="AJ883" s="73"/>
      <c r="AK883" s="57"/>
      <c r="AL883" s="45"/>
      <c r="AM883" s="45"/>
      <c r="AN883" s="45"/>
    </row>
    <row r="884" spans="1:40" hidden="1" outlineLevel="2" x14ac:dyDescent="0.35">
      <c r="A884" s="45"/>
      <c r="B884" s="54"/>
      <c r="C884" s="47">
        <f t="shared" si="171"/>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3"/>
        <v>7.0000000000000007E-2</v>
      </c>
      <c r="V884" s="253">
        <f t="shared" si="173"/>
        <v>7.0000000000000007E-2</v>
      </c>
      <c r="W884" s="253">
        <f t="shared" si="173"/>
        <v>7.0000000000000007E-2</v>
      </c>
      <c r="X884" s="253">
        <f t="shared" si="173"/>
        <v>7.0000000000000007E-2</v>
      </c>
      <c r="Y884" s="253">
        <f t="shared" si="173"/>
        <v>7.0000000000000007E-2</v>
      </c>
      <c r="Z884" s="253">
        <f t="shared" si="173"/>
        <v>7.0000000000000007E-2</v>
      </c>
      <c r="AA884" s="253">
        <f t="shared" si="173"/>
        <v>7.0000000000000007E-2</v>
      </c>
      <c r="AB884" s="253">
        <f t="shared" si="173"/>
        <v>7.0000000000000007E-2</v>
      </c>
      <c r="AC884" s="253">
        <f t="shared" si="173"/>
        <v>7.0000000000000007E-2</v>
      </c>
      <c r="AD884" s="253">
        <f t="shared" si="173"/>
        <v>7.0000000000000007E-2</v>
      </c>
      <c r="AE884" s="76"/>
      <c r="AF884" s="76"/>
      <c r="AG884" s="76"/>
      <c r="AH884" s="97">
        <v>1</v>
      </c>
      <c r="AI884" s="97">
        <v>1</v>
      </c>
      <c r="AJ884" s="73"/>
      <c r="AK884" s="57"/>
      <c r="AL884" s="45"/>
      <c r="AM884" s="45"/>
      <c r="AN884" s="45"/>
    </row>
    <row r="885" spans="1:40" hidden="1" outlineLevel="2" x14ac:dyDescent="0.35">
      <c r="A885" s="45"/>
      <c r="B885" s="54"/>
      <c r="C885" s="47">
        <f t="shared" si="171"/>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35">
      <c r="A886" s="45"/>
      <c r="B886" s="54"/>
      <c r="C886" s="47">
        <f t="shared" si="171"/>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4">U886</f>
        <v>0</v>
      </c>
      <c r="X886" s="255">
        <f t="shared" si="174"/>
        <v>0</v>
      </c>
      <c r="Y886" s="255">
        <f>V886</f>
        <v>0</v>
      </c>
      <c r="Z886" s="255">
        <f>Y886</f>
        <v>0</v>
      </c>
      <c r="AA886" s="97">
        <v>0</v>
      </c>
      <c r="AB886" s="255">
        <f t="shared" ref="AB886:AD888" si="175">AA886</f>
        <v>0</v>
      </c>
      <c r="AC886" s="255">
        <f t="shared" si="175"/>
        <v>0</v>
      </c>
      <c r="AD886" s="255">
        <f t="shared" si="175"/>
        <v>0</v>
      </c>
      <c r="AE886" s="76"/>
      <c r="AF886" s="97" t="s">
        <v>2158</v>
      </c>
      <c r="AG886" s="76"/>
      <c r="AH886" s="97">
        <v>1</v>
      </c>
      <c r="AI886" s="97">
        <v>1</v>
      </c>
      <c r="AJ886" s="73"/>
      <c r="AK886" s="57"/>
      <c r="AL886" s="45"/>
      <c r="AM886" s="45"/>
      <c r="AN886" s="45"/>
    </row>
    <row r="887" spans="1:40" hidden="1" outlineLevel="2" x14ac:dyDescent="0.35">
      <c r="A887" s="45"/>
      <c r="B887" s="54"/>
      <c r="C887" s="47">
        <f t="shared" si="171"/>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4"/>
        <v>-0.95650000000000002</v>
      </c>
      <c r="X887" s="255">
        <f t="shared" si="174"/>
        <v>-0.95650000000000002</v>
      </c>
      <c r="Y887" s="255">
        <f>V887</f>
        <v>-0.95650000000000002</v>
      </c>
      <c r="Z887" s="255">
        <f>Y887</f>
        <v>-0.95650000000000002</v>
      </c>
      <c r="AA887" s="97">
        <v>-1.0820000000000001</v>
      </c>
      <c r="AB887" s="255">
        <f t="shared" si="175"/>
        <v>-1.0820000000000001</v>
      </c>
      <c r="AC887" s="255">
        <f t="shared" si="175"/>
        <v>-1.0820000000000001</v>
      </c>
      <c r="AD887" s="255">
        <f t="shared" si="175"/>
        <v>-1.0820000000000001</v>
      </c>
      <c r="AE887" s="76"/>
      <c r="AF887" s="97"/>
      <c r="AG887" s="76"/>
      <c r="AH887" s="97">
        <v>1</v>
      </c>
      <c r="AI887" s="97">
        <v>1</v>
      </c>
      <c r="AJ887" s="73"/>
      <c r="AK887" s="57"/>
      <c r="AL887" s="45"/>
      <c r="AM887" s="45"/>
      <c r="AN887" s="45"/>
    </row>
    <row r="888" spans="1:40" hidden="1" outlineLevel="2" x14ac:dyDescent="0.35">
      <c r="A888" s="45"/>
      <c r="B888" s="54"/>
      <c r="C888" s="47">
        <f t="shared" si="171"/>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4"/>
        <v>-1.7614000000000001</v>
      </c>
      <c r="X888" s="255">
        <f t="shared" si="174"/>
        <v>-1.7614000000000001</v>
      </c>
      <c r="Y888" s="255">
        <f>V888</f>
        <v>-1.7614000000000001</v>
      </c>
      <c r="Z888" s="255">
        <f>Y888</f>
        <v>-1.7614000000000001</v>
      </c>
      <c r="AA888" s="97">
        <v>-2.0059999999999998</v>
      </c>
      <c r="AB888" s="255">
        <f t="shared" si="175"/>
        <v>-2.0059999999999998</v>
      </c>
      <c r="AC888" s="255">
        <f t="shared" si="175"/>
        <v>-2.0059999999999998</v>
      </c>
      <c r="AD888" s="255">
        <f t="shared" si="175"/>
        <v>-2.0059999999999998</v>
      </c>
      <c r="AE888" s="76"/>
      <c r="AF888" s="97"/>
      <c r="AG888" s="76"/>
      <c r="AH888" s="97">
        <v>1</v>
      </c>
      <c r="AI888" s="97">
        <v>1</v>
      </c>
      <c r="AJ888" s="73"/>
      <c r="AK888" s="57"/>
      <c r="AL888" s="45"/>
      <c r="AM888" s="45"/>
      <c r="AN888" s="45"/>
    </row>
    <row r="889" spans="1:40" hidden="1" outlineLevel="2" x14ac:dyDescent="0.35">
      <c r="A889" s="45"/>
      <c r="B889" s="54"/>
      <c r="C889" s="47">
        <f t="shared" si="171"/>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2" x14ac:dyDescent="0.35">
      <c r="A890" s="45"/>
      <c r="B890" s="54"/>
      <c r="C890" s="47">
        <f t="shared" si="171"/>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35">
      <c r="A891" s="45"/>
      <c r="B891" s="54"/>
      <c r="C891" s="47">
        <f t="shared" si="171"/>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35">
      <c r="A892" s="45"/>
      <c r="B892" s="54"/>
      <c r="C892" s="47">
        <f t="shared" si="171"/>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35">
      <c r="A893" s="45"/>
      <c r="B893" s="54"/>
      <c r="C893" s="47">
        <f t="shared" si="171"/>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35">
      <c r="A894" s="45"/>
      <c r="B894" s="54"/>
      <c r="C894" s="47">
        <f t="shared" si="171"/>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35">
      <c r="A895" s="45"/>
      <c r="B895" s="54"/>
      <c r="C895" s="47">
        <f t="shared" si="171"/>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35">
      <c r="A896" s="45"/>
      <c r="B896" s="54"/>
      <c r="C896" s="47">
        <f t="shared" si="171"/>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35">
      <c r="A908" s="45"/>
      <c r="B908" s="54"/>
      <c r="C908" s="47">
        <f t="shared" si="171"/>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35">
      <c r="A909" s="45"/>
      <c r="B909" s="54"/>
      <c r="C909" s="47">
        <f t="shared" si="171"/>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35">
      <c r="A910" s="45"/>
      <c r="B910" s="54"/>
      <c r="C910" s="47">
        <f t="shared" si="171"/>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6">Y910</f>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35">
      <c r="A911" s="45"/>
      <c r="B911" s="54"/>
      <c r="C911" s="47">
        <f t="shared" si="171"/>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35">
      <c r="A912" s="45"/>
      <c r="B912" s="54"/>
      <c r="C912" s="47">
        <f t="shared" si="171"/>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35">
      <c r="A913" s="45"/>
      <c r="B913" s="54"/>
      <c r="C913" s="47">
        <f t="shared" si="171"/>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35">
      <c r="A914" s="45"/>
      <c r="B914" s="54"/>
      <c r="C914" s="47">
        <f t="shared" si="171"/>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7">U914</f>
        <v>0</v>
      </c>
      <c r="X914" s="255">
        <f t="shared" si="177"/>
        <v>0</v>
      </c>
      <c r="Y914" s="255">
        <f>V914</f>
        <v>0</v>
      </c>
      <c r="Z914" s="255">
        <f>AA914</f>
        <v>-0.4</v>
      </c>
      <c r="AA914" s="97">
        <f>-(0.4)</f>
        <v>-0.4</v>
      </c>
      <c r="AB914" s="255">
        <f t="shared" ref="AB914:AD916" si="178">AA914</f>
        <v>-0.4</v>
      </c>
      <c r="AC914" s="255">
        <f t="shared" si="178"/>
        <v>-0.4</v>
      </c>
      <c r="AD914" s="255">
        <f t="shared" si="178"/>
        <v>-0.4</v>
      </c>
      <c r="AE914" s="76"/>
      <c r="AF914" s="97" t="s">
        <v>2796</v>
      </c>
      <c r="AG914" s="76"/>
      <c r="AH914" s="97">
        <v>1</v>
      </c>
      <c r="AI914" s="97">
        <v>1</v>
      </c>
      <c r="AJ914" s="73"/>
      <c r="AK914" s="57"/>
      <c r="AL914" s="45"/>
      <c r="AM914" s="45"/>
      <c r="AN914" s="45"/>
    </row>
    <row r="915" spans="1:40" hidden="1" outlineLevel="2" x14ac:dyDescent="0.35">
      <c r="A915" s="45"/>
      <c r="B915" s="54"/>
      <c r="C915" s="47">
        <f t="shared" si="171"/>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7"/>
        <v>0.55000000000000004</v>
      </c>
      <c r="X915" s="255">
        <f t="shared" si="177"/>
        <v>0.55000000000000004</v>
      </c>
      <c r="Y915" s="255">
        <f>V915</f>
        <v>0.55000000000000004</v>
      </c>
      <c r="Z915" s="255">
        <f>AA915</f>
        <v>0</v>
      </c>
      <c r="AA915" s="97">
        <v>0</v>
      </c>
      <c r="AB915" s="255">
        <f t="shared" si="178"/>
        <v>0</v>
      </c>
      <c r="AC915" s="255">
        <f t="shared" si="178"/>
        <v>0</v>
      </c>
      <c r="AD915" s="255">
        <f t="shared" si="178"/>
        <v>0</v>
      </c>
      <c r="AE915" s="76"/>
      <c r="AF915" s="76"/>
      <c r="AG915" s="76"/>
      <c r="AH915" s="97">
        <v>1</v>
      </c>
      <c r="AI915" s="97">
        <v>1</v>
      </c>
      <c r="AJ915" s="73"/>
      <c r="AK915" s="57"/>
      <c r="AL915" s="45"/>
      <c r="AM915" s="45"/>
      <c r="AN915" s="45"/>
    </row>
    <row r="916" spans="1:40" hidden="1" outlineLevel="2" x14ac:dyDescent="0.35">
      <c r="A916" s="45"/>
      <c r="B916" s="54"/>
      <c r="C916" s="47">
        <f t="shared" si="171"/>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7"/>
        <v>1.8119000000000001</v>
      </c>
      <c r="X916" s="255">
        <f t="shared" si="177"/>
        <v>1.8119000000000001</v>
      </c>
      <c r="Y916" s="255">
        <f>V916</f>
        <v>1.8119000000000001</v>
      </c>
      <c r="Z916" s="255">
        <f>AA916</f>
        <v>0.65459999999999996</v>
      </c>
      <c r="AA916" s="97">
        <f>-(-0.6546)</f>
        <v>0.65459999999999996</v>
      </c>
      <c r="AB916" s="255">
        <f t="shared" si="178"/>
        <v>0.65459999999999996</v>
      </c>
      <c r="AC916" s="255">
        <f t="shared" si="178"/>
        <v>0.65459999999999996</v>
      </c>
      <c r="AD916" s="255">
        <f t="shared" si="178"/>
        <v>0.65459999999999996</v>
      </c>
      <c r="AE916" s="76"/>
      <c r="AF916" s="76"/>
      <c r="AG916" s="76"/>
      <c r="AH916" s="97">
        <v>1</v>
      </c>
      <c r="AI916" s="97">
        <v>1</v>
      </c>
      <c r="AJ916" s="73"/>
      <c r="AK916" s="57"/>
      <c r="AL916" s="45"/>
      <c r="AM916" s="45"/>
      <c r="AN916" s="45"/>
    </row>
    <row r="917" spans="1:40" hidden="1" outlineLevel="2" x14ac:dyDescent="0.35">
      <c r="A917" s="45"/>
      <c r="B917" s="54"/>
      <c r="C917" s="47">
        <f t="shared" si="171"/>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35">
      <c r="A918" s="45"/>
      <c r="B918" s="54"/>
      <c r="C918" s="47">
        <f t="shared" si="171"/>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79">U918</f>
        <v>2.2589999999999999</v>
      </c>
      <c r="W918" s="255">
        <f t="shared" ref="W918:X920" si="180">U918</f>
        <v>2.2589999999999999</v>
      </c>
      <c r="X918" s="255">
        <f t="shared" si="180"/>
        <v>2.2589999999999999</v>
      </c>
      <c r="Y918" s="255">
        <f>V918</f>
        <v>2.2589999999999999</v>
      </c>
      <c r="Z918" s="255">
        <f t="shared" ref="Z918:Z928" si="181">AA918</f>
        <v>1.962</v>
      </c>
      <c r="AA918" s="97">
        <v>1.962</v>
      </c>
      <c r="AB918" s="255">
        <f t="shared" ref="AB918:AD928" si="182">AA918</f>
        <v>1.962</v>
      </c>
      <c r="AC918" s="255">
        <f t="shared" si="182"/>
        <v>1.962</v>
      </c>
      <c r="AD918" s="255">
        <f t="shared" si="182"/>
        <v>1.962</v>
      </c>
      <c r="AE918" s="76"/>
      <c r="AF918" s="97" t="s">
        <v>2514</v>
      </c>
      <c r="AG918" s="76"/>
      <c r="AH918" s="97">
        <v>1</v>
      </c>
      <c r="AI918" s="97">
        <v>1</v>
      </c>
      <c r="AJ918" s="73"/>
      <c r="AK918" s="57"/>
      <c r="AL918" s="45"/>
      <c r="AM918" s="45"/>
      <c r="AN918" s="45"/>
    </row>
    <row r="919" spans="1:40" hidden="1" outlineLevel="2" x14ac:dyDescent="0.35">
      <c r="A919" s="45"/>
      <c r="B919" s="54"/>
      <c r="C919" s="47">
        <f t="shared" si="171"/>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79"/>
        <v>6.5</v>
      </c>
      <c r="W919" s="255">
        <f t="shared" si="180"/>
        <v>6.5</v>
      </c>
      <c r="X919" s="255">
        <f t="shared" si="180"/>
        <v>6.5</v>
      </c>
      <c r="Y919" s="255">
        <f>V919</f>
        <v>6.5</v>
      </c>
      <c r="Z919" s="255">
        <f t="shared" si="181"/>
        <v>5.6980000000000004</v>
      </c>
      <c r="AA919" s="97">
        <v>5.6980000000000004</v>
      </c>
      <c r="AB919" s="255">
        <f t="shared" si="182"/>
        <v>5.6980000000000004</v>
      </c>
      <c r="AC919" s="255">
        <f t="shared" si="182"/>
        <v>5.6980000000000004</v>
      </c>
      <c r="AD919" s="255">
        <f t="shared" si="182"/>
        <v>5.6980000000000004</v>
      </c>
      <c r="AE919" s="76"/>
      <c r="AF919" s="76"/>
      <c r="AG919" s="76"/>
      <c r="AH919" s="97">
        <v>1</v>
      </c>
      <c r="AI919" s="97">
        <v>1</v>
      </c>
      <c r="AJ919" s="73"/>
      <c r="AK919" s="57"/>
      <c r="AL919" s="45"/>
      <c r="AM919" s="45"/>
      <c r="AN919" s="45"/>
    </row>
    <row r="920" spans="1:40" hidden="1" outlineLevel="2" x14ac:dyDescent="0.35">
      <c r="A920" s="45"/>
      <c r="B920" s="54"/>
      <c r="C920" s="47">
        <f t="shared" si="171"/>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79"/>
        <v>100</v>
      </c>
      <c r="W920" s="76">
        <f t="shared" si="180"/>
        <v>100</v>
      </c>
      <c r="X920" s="76">
        <f t="shared" si="180"/>
        <v>100</v>
      </c>
      <c r="Y920" s="76">
        <f>V920</f>
        <v>100</v>
      </c>
      <c r="Z920" s="76">
        <f t="shared" si="181"/>
        <v>100</v>
      </c>
      <c r="AA920" s="76">
        <v>100</v>
      </c>
      <c r="AB920" s="76">
        <f t="shared" si="182"/>
        <v>100</v>
      </c>
      <c r="AC920" s="76">
        <f t="shared" si="182"/>
        <v>100</v>
      </c>
      <c r="AD920" s="76">
        <f t="shared" si="182"/>
        <v>100</v>
      </c>
      <c r="AE920" s="76"/>
      <c r="AF920" s="264" t="s">
        <v>2516</v>
      </c>
      <c r="AG920" s="76"/>
      <c r="AH920" s="76">
        <v>1</v>
      </c>
      <c r="AI920" s="76">
        <v>1</v>
      </c>
      <c r="AJ920" s="73"/>
      <c r="AK920" s="57"/>
      <c r="AL920" s="45"/>
      <c r="AM920" s="45"/>
      <c r="AN920" s="45"/>
    </row>
    <row r="921" spans="1:40" hidden="1" outlineLevel="2" x14ac:dyDescent="0.35">
      <c r="A921" s="45"/>
      <c r="B921" s="54"/>
      <c r="C921" s="47">
        <f t="shared" si="171"/>
        <v>3</v>
      </c>
      <c r="D921" s="73"/>
      <c r="E921" s="70"/>
      <c r="F921" s="70" t="s">
        <v>2506</v>
      </c>
      <c r="G921" s="73"/>
      <c r="H921" s="76" t="s">
        <v>3793</v>
      </c>
      <c r="I921" s="96" t="s">
        <v>502</v>
      </c>
      <c r="J921" s="96"/>
      <c r="K921" s="76"/>
      <c r="L921" s="76"/>
      <c r="M921" s="76"/>
      <c r="N921" s="76"/>
      <c r="O921" s="76"/>
      <c r="P921" s="76"/>
      <c r="Q921" s="76"/>
      <c r="R921" s="76"/>
      <c r="S921" s="76"/>
      <c r="T921" s="76" t="s">
        <v>3289</v>
      </c>
      <c r="U921" s="97">
        <v>0</v>
      </c>
      <c r="V921" s="255">
        <f>U921</f>
        <v>0</v>
      </c>
      <c r="W921" s="628">
        <f>W925</f>
        <v>1.80097</v>
      </c>
      <c r="X921" s="628">
        <f t="shared" ref="X921:Y921" si="183">X925</f>
        <v>1.9570099999999999</v>
      </c>
      <c r="Y921" s="628">
        <f t="shared" si="183"/>
        <v>1.7747839999999999</v>
      </c>
      <c r="Z921" s="255">
        <f t="shared" ref="Z921:Z924" si="184">AA921</f>
        <v>0</v>
      </c>
      <c r="AA921" s="97">
        <v>0</v>
      </c>
      <c r="AB921" s="255">
        <f t="shared" ref="AB921:AB924" si="185">AA921</f>
        <v>0</v>
      </c>
      <c r="AC921" s="255">
        <f t="shared" ref="AC921:AC924" si="186">AB921</f>
        <v>0</v>
      </c>
      <c r="AD921" s="255">
        <f t="shared" ref="AD921:AD924" si="187">AC921</f>
        <v>0</v>
      </c>
      <c r="AE921" s="76"/>
      <c r="AF921" s="97" t="s">
        <v>3799</v>
      </c>
      <c r="AG921" s="76"/>
      <c r="AH921" s="76">
        <v>1</v>
      </c>
      <c r="AI921" s="76">
        <v>1</v>
      </c>
      <c r="AJ921" s="73"/>
      <c r="AK921" s="57"/>
      <c r="AL921" s="45"/>
      <c r="AM921" s="45"/>
      <c r="AN921" s="45"/>
    </row>
    <row r="922" spans="1:40" hidden="1" outlineLevel="2" x14ac:dyDescent="0.35">
      <c r="A922" s="45"/>
      <c r="B922" s="54"/>
      <c r="C922" s="47">
        <f t="shared" si="171"/>
        <v>3</v>
      </c>
      <c r="D922" s="73"/>
      <c r="E922" s="70"/>
      <c r="F922" s="70" t="s">
        <v>2507</v>
      </c>
      <c r="G922" s="73"/>
      <c r="H922" s="76" t="s">
        <v>2511</v>
      </c>
      <c r="I922" s="96" t="s">
        <v>502</v>
      </c>
      <c r="J922" s="96"/>
      <c r="K922" s="76"/>
      <c r="L922" s="76"/>
      <c r="M922" s="76"/>
      <c r="N922" s="76"/>
      <c r="O922" s="76"/>
      <c r="P922" s="76"/>
      <c r="Q922" s="76"/>
      <c r="R922" s="76"/>
      <c r="S922" s="76"/>
      <c r="T922" s="76" t="s">
        <v>3289</v>
      </c>
      <c r="U922" s="97">
        <v>3.8858999999999999</v>
      </c>
      <c r="V922" s="255">
        <f>U922</f>
        <v>3.8858999999999999</v>
      </c>
      <c r="W922" s="628">
        <f t="shared" ref="W922:Y922" si="188">W926</f>
        <v>5.2321099999999996</v>
      </c>
      <c r="X922" s="628">
        <f t="shared" si="188"/>
        <v>5.3830999999999998</v>
      </c>
      <c r="Y922" s="628">
        <f t="shared" si="188"/>
        <v>5.2835130000000001</v>
      </c>
      <c r="Z922" s="255">
        <f t="shared" si="184"/>
        <v>3.8858999999999999</v>
      </c>
      <c r="AA922" s="97">
        <f>$U922</f>
        <v>3.8858999999999999</v>
      </c>
      <c r="AB922" s="255">
        <f t="shared" si="185"/>
        <v>3.8858999999999999</v>
      </c>
      <c r="AC922" s="255">
        <f t="shared" si="186"/>
        <v>3.8858999999999999</v>
      </c>
      <c r="AD922" s="255">
        <f t="shared" si="187"/>
        <v>3.8858999999999999</v>
      </c>
      <c r="AE922" s="76"/>
      <c r="AF922" s="97" t="s">
        <v>3795</v>
      </c>
      <c r="AG922" s="76"/>
      <c r="AH922" s="97">
        <v>1</v>
      </c>
      <c r="AI922" s="97">
        <v>1</v>
      </c>
      <c r="AJ922" s="73"/>
      <c r="AK922" s="57"/>
      <c r="AL922" s="45"/>
      <c r="AM922" s="45"/>
      <c r="AN922" s="45"/>
    </row>
    <row r="923" spans="1:40" hidden="1" outlineLevel="2" x14ac:dyDescent="0.35">
      <c r="A923" s="45"/>
      <c r="B923" s="54"/>
      <c r="C923" s="47">
        <f t="shared" si="171"/>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189">W927</f>
        <v>7.9349999999999996</v>
      </c>
      <c r="X923" s="628">
        <f t="shared" si="189"/>
        <v>7.9349999999999996</v>
      </c>
      <c r="Y923" s="628">
        <f t="shared" si="189"/>
        <v>7.9349999999999996</v>
      </c>
      <c r="Z923" s="255">
        <f t="shared" si="184"/>
        <v>10</v>
      </c>
      <c r="AA923" s="97">
        <f>$U923</f>
        <v>10</v>
      </c>
      <c r="AB923" s="255">
        <f t="shared" si="185"/>
        <v>10</v>
      </c>
      <c r="AC923" s="255">
        <f t="shared" si="186"/>
        <v>10</v>
      </c>
      <c r="AD923" s="255">
        <f t="shared" si="187"/>
        <v>10</v>
      </c>
      <c r="AE923" s="76"/>
      <c r="AF923" s="97" t="s">
        <v>3794</v>
      </c>
      <c r="AG923" s="76"/>
      <c r="AH923" s="97">
        <v>1</v>
      </c>
      <c r="AI923" s="97">
        <v>1</v>
      </c>
      <c r="AJ923" s="73"/>
      <c r="AK923" s="57"/>
      <c r="AL923" s="45"/>
      <c r="AM923" s="45"/>
      <c r="AN923" s="45"/>
    </row>
    <row r="924" spans="1:40" hidden="1" outlineLevel="2" x14ac:dyDescent="0.35">
      <c r="A924" s="45"/>
      <c r="B924" s="54"/>
      <c r="C924" s="47">
        <f t="shared" si="171"/>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79"/>
        <v>100</v>
      </c>
      <c r="W924" s="628">
        <f t="shared" ref="W924:Y924" si="190">W928</f>
        <v>100</v>
      </c>
      <c r="X924" s="628">
        <f t="shared" si="190"/>
        <v>100</v>
      </c>
      <c r="Y924" s="628">
        <f t="shared" si="190"/>
        <v>100</v>
      </c>
      <c r="Z924" s="76">
        <f t="shared" si="184"/>
        <v>100</v>
      </c>
      <c r="AA924" s="76">
        <v>100</v>
      </c>
      <c r="AB924" s="76">
        <f t="shared" si="185"/>
        <v>100</v>
      </c>
      <c r="AC924" s="76">
        <f t="shared" si="186"/>
        <v>100</v>
      </c>
      <c r="AD924" s="76">
        <f t="shared" si="187"/>
        <v>100</v>
      </c>
      <c r="AE924" s="76"/>
      <c r="AF924" s="264" t="s">
        <v>2516</v>
      </c>
      <c r="AG924" s="76"/>
      <c r="AH924" s="76">
        <v>1</v>
      </c>
      <c r="AI924" s="76">
        <v>1</v>
      </c>
      <c r="AJ924" s="73"/>
      <c r="AK924" s="57"/>
      <c r="AL924" s="45"/>
      <c r="AM924" s="45"/>
      <c r="AN924" s="45"/>
    </row>
    <row r="925" spans="1:40" hidden="1" outlineLevel="2" x14ac:dyDescent="0.35">
      <c r="A925" s="45"/>
      <c r="B925" s="54"/>
      <c r="C925" s="47">
        <f t="shared" si="171"/>
        <v>3</v>
      </c>
      <c r="D925" s="73"/>
      <c r="E925" s="70"/>
      <c r="F925" s="70" t="s">
        <v>3320</v>
      </c>
      <c r="G925" s="73"/>
      <c r="H925" s="76" t="s">
        <v>3792</v>
      </c>
      <c r="I925" s="96" t="s">
        <v>502</v>
      </c>
      <c r="J925" s="96"/>
      <c r="K925" s="76"/>
      <c r="L925" s="76"/>
      <c r="M925" s="76"/>
      <c r="N925" s="76"/>
      <c r="O925" s="76"/>
      <c r="P925" s="76"/>
      <c r="Q925" s="76"/>
      <c r="R925" s="76"/>
      <c r="S925" s="76"/>
      <c r="T925" s="76" t="s">
        <v>3289</v>
      </c>
      <c r="U925" s="97">
        <v>1.302</v>
      </c>
      <c r="V925" s="255">
        <f t="shared" si="179"/>
        <v>1.302</v>
      </c>
      <c r="W925" s="97">
        <v>1.80097</v>
      </c>
      <c r="X925" s="97">
        <v>1.9570099999999999</v>
      </c>
      <c r="Y925" s="97">
        <v>1.7747839999999999</v>
      </c>
      <c r="Z925" s="255">
        <f t="shared" si="181"/>
        <v>0.64400000000000002</v>
      </c>
      <c r="AA925" s="97">
        <v>0.64400000000000002</v>
      </c>
      <c r="AB925" s="255">
        <f t="shared" si="182"/>
        <v>0.64400000000000002</v>
      </c>
      <c r="AC925" s="255">
        <f t="shared" si="182"/>
        <v>0.64400000000000002</v>
      </c>
      <c r="AD925" s="255">
        <f t="shared" si="182"/>
        <v>0.64400000000000002</v>
      </c>
      <c r="AE925" s="76"/>
      <c r="AF925" s="97" t="s">
        <v>2728</v>
      </c>
      <c r="AG925" s="76"/>
      <c r="AH925" s="76">
        <v>1</v>
      </c>
      <c r="AI925" s="76">
        <v>1</v>
      </c>
      <c r="AJ925" s="73"/>
      <c r="AK925" s="57"/>
      <c r="AL925" s="45"/>
      <c r="AM925" s="45"/>
      <c r="AN925" s="45"/>
    </row>
    <row r="926" spans="1:40" hidden="1" outlineLevel="2" x14ac:dyDescent="0.35">
      <c r="A926" s="45"/>
      <c r="B926" s="54"/>
      <c r="C926" s="47">
        <f t="shared" si="171"/>
        <v>3</v>
      </c>
      <c r="D926" s="73"/>
      <c r="E926" s="70"/>
      <c r="F926" s="70" t="s">
        <v>3321</v>
      </c>
      <c r="G926" s="73"/>
      <c r="H926" s="76" t="s">
        <v>2511</v>
      </c>
      <c r="I926" s="96" t="s">
        <v>502</v>
      </c>
      <c r="J926" s="96"/>
      <c r="K926" s="76"/>
      <c r="L926" s="76"/>
      <c r="M926" s="76"/>
      <c r="N926" s="76"/>
      <c r="O926" s="76"/>
      <c r="P926" s="76"/>
      <c r="Q926" s="76"/>
      <c r="R926" s="76"/>
      <c r="S926" s="76"/>
      <c r="T926" s="76" t="s">
        <v>3289</v>
      </c>
      <c r="U926" s="97">
        <v>4.9800000000000004</v>
      </c>
      <c r="V926" s="255">
        <f t="shared" si="179"/>
        <v>4.9800000000000004</v>
      </c>
      <c r="W926" s="97">
        <v>5.2321099999999996</v>
      </c>
      <c r="X926" s="97">
        <v>5.3830999999999998</v>
      </c>
      <c r="Y926" s="97">
        <v>5.2835130000000001</v>
      </c>
      <c r="Z926" s="255">
        <f t="shared" si="181"/>
        <v>3.1459999999999999</v>
      </c>
      <c r="AA926" s="97">
        <v>3.1459999999999999</v>
      </c>
      <c r="AB926" s="255">
        <f t="shared" si="182"/>
        <v>3.1459999999999999</v>
      </c>
      <c r="AC926" s="255">
        <f t="shared" si="182"/>
        <v>3.1459999999999999</v>
      </c>
      <c r="AD926" s="255">
        <f t="shared" si="182"/>
        <v>3.1459999999999999</v>
      </c>
      <c r="AE926" s="76"/>
      <c r="AF926" s="76"/>
      <c r="AG926" s="76"/>
      <c r="AH926" s="97">
        <v>1</v>
      </c>
      <c r="AI926" s="97">
        <v>1</v>
      </c>
      <c r="AJ926" s="73"/>
      <c r="AK926" s="57"/>
      <c r="AL926" s="45"/>
      <c r="AM926" s="45"/>
      <c r="AN926" s="45"/>
    </row>
    <row r="927" spans="1:40" hidden="1" outlineLevel="2" x14ac:dyDescent="0.35">
      <c r="A927" s="45"/>
      <c r="B927" s="54"/>
      <c r="C927" s="47">
        <f t="shared" si="171"/>
        <v>3</v>
      </c>
      <c r="D927" s="73"/>
      <c r="E927" s="70"/>
      <c r="F927" s="70" t="s">
        <v>3322</v>
      </c>
      <c r="G927" s="73"/>
      <c r="H927" s="76" t="s">
        <v>2512</v>
      </c>
      <c r="I927" s="96" t="s">
        <v>502</v>
      </c>
      <c r="J927" s="96"/>
      <c r="K927" s="76"/>
      <c r="L927" s="76"/>
      <c r="M927" s="76"/>
      <c r="N927" s="76"/>
      <c r="O927" s="76"/>
      <c r="P927" s="76"/>
      <c r="Q927" s="76"/>
      <c r="R927" s="76"/>
      <c r="S927" s="76"/>
      <c r="T927" s="76"/>
      <c r="U927" s="97">
        <v>7.9349999999999996</v>
      </c>
      <c r="V927" s="255">
        <f t="shared" si="179"/>
        <v>7.9349999999999996</v>
      </c>
      <c r="W927" s="255">
        <f>U927</f>
        <v>7.9349999999999996</v>
      </c>
      <c r="X927" s="255">
        <f>V927</f>
        <v>7.9349999999999996</v>
      </c>
      <c r="Y927" s="255">
        <f>V927</f>
        <v>7.9349999999999996</v>
      </c>
      <c r="Z927" s="255">
        <f t="shared" si="181"/>
        <v>6.0309999999999997</v>
      </c>
      <c r="AA927" s="97">
        <v>6.0309999999999997</v>
      </c>
      <c r="AB927" s="255">
        <f t="shared" si="182"/>
        <v>6.0309999999999997</v>
      </c>
      <c r="AC927" s="255">
        <f t="shared" si="182"/>
        <v>6.0309999999999997</v>
      </c>
      <c r="AD927" s="255">
        <f t="shared" si="182"/>
        <v>6.0309999999999997</v>
      </c>
      <c r="AE927" s="76"/>
      <c r="AF927" s="97" t="s">
        <v>2760</v>
      </c>
      <c r="AG927" s="76"/>
      <c r="AH927" s="97">
        <v>1</v>
      </c>
      <c r="AI927" s="97">
        <v>1</v>
      </c>
      <c r="AJ927" s="73"/>
      <c r="AK927" s="57"/>
      <c r="AL927" s="45"/>
      <c r="AM927" s="45"/>
      <c r="AN927" s="45"/>
    </row>
    <row r="928" spans="1:40" hidden="1" outlineLevel="2" x14ac:dyDescent="0.35">
      <c r="A928" s="45"/>
      <c r="B928" s="54"/>
      <c r="C928" s="47">
        <f t="shared" si="171"/>
        <v>3</v>
      </c>
      <c r="D928" s="73"/>
      <c r="E928" s="70"/>
      <c r="F928" s="70" t="s">
        <v>3323</v>
      </c>
      <c r="G928" s="73"/>
      <c r="H928" s="76" t="s">
        <v>2513</v>
      </c>
      <c r="I928" s="96" t="s">
        <v>502</v>
      </c>
      <c r="J928" s="96"/>
      <c r="K928" s="76"/>
      <c r="L928" s="76"/>
      <c r="M928" s="76"/>
      <c r="N928" s="76"/>
      <c r="O928" s="76"/>
      <c r="P928" s="76"/>
      <c r="Q928" s="76"/>
      <c r="R928" s="76"/>
      <c r="S928" s="76"/>
      <c r="T928" s="76"/>
      <c r="U928" s="76">
        <v>100</v>
      </c>
      <c r="V928" s="76">
        <f t="shared" si="179"/>
        <v>100</v>
      </c>
      <c r="W928" s="76">
        <f>U928</f>
        <v>100</v>
      </c>
      <c r="X928" s="76">
        <f>V928</f>
        <v>100</v>
      </c>
      <c r="Y928" s="76">
        <f>V928</f>
        <v>100</v>
      </c>
      <c r="Z928" s="76">
        <f t="shared" si="181"/>
        <v>100</v>
      </c>
      <c r="AA928" s="76">
        <v>100</v>
      </c>
      <c r="AB928" s="76">
        <f t="shared" si="182"/>
        <v>100</v>
      </c>
      <c r="AC928" s="76">
        <f t="shared" si="182"/>
        <v>100</v>
      </c>
      <c r="AD928" s="76">
        <f t="shared" si="182"/>
        <v>100</v>
      </c>
      <c r="AE928" s="76"/>
      <c r="AF928" s="264" t="s">
        <v>2516</v>
      </c>
      <c r="AG928" s="76"/>
      <c r="AH928" s="76">
        <v>1</v>
      </c>
      <c r="AI928" s="76">
        <v>1</v>
      </c>
      <c r="AJ928" s="73"/>
      <c r="AK928" s="57"/>
      <c r="AL928" s="45"/>
      <c r="AM928" s="45"/>
      <c r="AN928" s="45"/>
    </row>
    <row r="929" spans="1:40" hidden="1" outlineLevel="2" x14ac:dyDescent="0.35">
      <c r="A929" s="45"/>
      <c r="B929" s="54"/>
      <c r="C929" s="47">
        <f t="shared" si="171"/>
        <v>3</v>
      </c>
      <c r="D929" s="73"/>
      <c r="E929" s="70"/>
      <c r="F929" s="70" t="s">
        <v>3370</v>
      </c>
      <c r="G929" s="73"/>
      <c r="H929" s="76" t="s">
        <v>3744</v>
      </c>
      <c r="I929" s="96" t="s">
        <v>502</v>
      </c>
      <c r="J929" s="96"/>
      <c r="K929" s="76"/>
      <c r="L929" s="76"/>
      <c r="M929" s="76"/>
      <c r="N929" s="76"/>
      <c r="O929" s="76"/>
      <c r="P929" s="76"/>
      <c r="Q929" s="76"/>
      <c r="R929" s="76"/>
      <c r="S929" s="76"/>
      <c r="T929" s="76"/>
      <c r="U929" s="97">
        <v>0</v>
      </c>
      <c r="V929" s="255">
        <f t="shared" ref="V929:V932" si="191">U929</f>
        <v>0</v>
      </c>
      <c r="W929" s="255">
        <f t="shared" ref="W929:W930" si="192">U929</f>
        <v>0</v>
      </c>
      <c r="X929" s="255">
        <f t="shared" ref="X929:X930" si="193">V929</f>
        <v>0</v>
      </c>
      <c r="Y929" s="255">
        <f t="shared" ref="Y929:Y930" si="194">V929</f>
        <v>0</v>
      </c>
      <c r="Z929" s="255">
        <f t="shared" ref="Z929:Z932" si="195">AA929</f>
        <v>0</v>
      </c>
      <c r="AA929" s="97">
        <f>U929</f>
        <v>0</v>
      </c>
      <c r="AB929" s="255">
        <f t="shared" ref="AB929:AB932" si="196">AA929</f>
        <v>0</v>
      </c>
      <c r="AC929" s="255">
        <f t="shared" ref="AC929:AC932" si="197">AB929</f>
        <v>0</v>
      </c>
      <c r="AD929" s="255">
        <f t="shared" ref="AD929:AD932" si="198">AC929</f>
        <v>0</v>
      </c>
      <c r="AE929" s="76"/>
      <c r="AF929" s="97" t="s">
        <v>3369</v>
      </c>
      <c r="AG929" s="76"/>
      <c r="AH929" s="76">
        <v>1</v>
      </c>
      <c r="AI929" s="76">
        <v>1</v>
      </c>
      <c r="AJ929" s="73"/>
      <c r="AK929" s="57"/>
      <c r="AL929" s="45"/>
      <c r="AM929" s="45"/>
      <c r="AN929" s="45"/>
    </row>
    <row r="930" spans="1:40" hidden="1" outlineLevel="2" x14ac:dyDescent="0.35">
      <c r="A930" s="45"/>
      <c r="B930" s="54"/>
      <c r="C930" s="47">
        <f t="shared" si="171"/>
        <v>3</v>
      </c>
      <c r="D930" s="73"/>
      <c r="E930" s="70"/>
      <c r="F930" s="70" t="s">
        <v>3371</v>
      </c>
      <c r="G930" s="73"/>
      <c r="H930" s="76" t="s">
        <v>2511</v>
      </c>
      <c r="I930" s="96" t="s">
        <v>502</v>
      </c>
      <c r="J930" s="96"/>
      <c r="K930" s="76"/>
      <c r="L930" s="76"/>
      <c r="M930" s="76"/>
      <c r="N930" s="76"/>
      <c r="O930" s="76"/>
      <c r="P930" s="76"/>
      <c r="Q930" s="76"/>
      <c r="R930" s="76"/>
      <c r="S930" s="76"/>
      <c r="T930" s="76"/>
      <c r="U930" s="97">
        <v>0</v>
      </c>
      <c r="V930" s="255">
        <f t="shared" si="191"/>
        <v>0</v>
      </c>
      <c r="W930" s="255">
        <f t="shared" si="192"/>
        <v>0</v>
      </c>
      <c r="X930" s="255">
        <f t="shared" si="193"/>
        <v>0</v>
      </c>
      <c r="Y930" s="255">
        <f t="shared" si="194"/>
        <v>0</v>
      </c>
      <c r="Z930" s="255">
        <f t="shared" si="195"/>
        <v>0</v>
      </c>
      <c r="AA930" s="97">
        <f t="shared" ref="AA930:AA931" si="199">U930</f>
        <v>0</v>
      </c>
      <c r="AB930" s="255">
        <f t="shared" si="196"/>
        <v>0</v>
      </c>
      <c r="AC930" s="255">
        <f t="shared" si="197"/>
        <v>0</v>
      </c>
      <c r="AD930" s="255">
        <f t="shared" si="198"/>
        <v>0</v>
      </c>
      <c r="AE930" s="76"/>
      <c r="AF930" s="97" t="s">
        <v>3749</v>
      </c>
      <c r="AG930" s="76"/>
      <c r="AH930" s="97">
        <v>1</v>
      </c>
      <c r="AI930" s="97">
        <v>1</v>
      </c>
      <c r="AJ930" s="73"/>
      <c r="AK930" s="57"/>
      <c r="AL930" s="45"/>
      <c r="AM930" s="45"/>
      <c r="AN930" s="45"/>
    </row>
    <row r="931" spans="1:40" hidden="1" outlineLevel="2" x14ac:dyDescent="0.35">
      <c r="A931" s="45"/>
      <c r="B931" s="54"/>
      <c r="C931" s="47">
        <f t="shared" si="171"/>
        <v>3</v>
      </c>
      <c r="D931" s="73"/>
      <c r="E931" s="70"/>
      <c r="F931" s="70" t="s">
        <v>3372</v>
      </c>
      <c r="G931" s="73"/>
      <c r="H931" s="76" t="s">
        <v>2512</v>
      </c>
      <c r="I931" s="96" t="s">
        <v>502</v>
      </c>
      <c r="J931" s="96"/>
      <c r="K931" s="76"/>
      <c r="L931" s="76"/>
      <c r="M931" s="76"/>
      <c r="N931" s="76"/>
      <c r="O931" s="76"/>
      <c r="P931" s="76"/>
      <c r="Q931" s="76"/>
      <c r="R931" s="76"/>
      <c r="S931" s="76"/>
      <c r="T931" s="76"/>
      <c r="U931" s="97">
        <v>-3.3000000000000002E-2</v>
      </c>
      <c r="V931" s="255">
        <f t="shared" si="191"/>
        <v>-3.3000000000000002E-2</v>
      </c>
      <c r="W931" s="255">
        <f>U931</f>
        <v>-3.3000000000000002E-2</v>
      </c>
      <c r="X931" s="255">
        <f>V931</f>
        <v>-3.3000000000000002E-2</v>
      </c>
      <c r="Y931" s="255">
        <f>V931</f>
        <v>-3.3000000000000002E-2</v>
      </c>
      <c r="Z931" s="255">
        <f t="shared" si="195"/>
        <v>-3.3000000000000002E-2</v>
      </c>
      <c r="AA931" s="97">
        <f t="shared" si="199"/>
        <v>-3.3000000000000002E-2</v>
      </c>
      <c r="AB931" s="255">
        <f t="shared" si="196"/>
        <v>-3.3000000000000002E-2</v>
      </c>
      <c r="AC931" s="255">
        <f t="shared" si="197"/>
        <v>-3.3000000000000002E-2</v>
      </c>
      <c r="AD931" s="255">
        <f t="shared" si="198"/>
        <v>-3.3000000000000002E-2</v>
      </c>
      <c r="AE931" s="76"/>
      <c r="AF931" s="97"/>
      <c r="AG931" s="76"/>
      <c r="AH931" s="97">
        <v>1</v>
      </c>
      <c r="AI931" s="97">
        <v>1</v>
      </c>
      <c r="AJ931" s="73"/>
      <c r="AK931" s="57"/>
      <c r="AL931" s="45"/>
      <c r="AM931" s="45"/>
      <c r="AN931" s="45"/>
    </row>
    <row r="932" spans="1:40" hidden="1" outlineLevel="2" x14ac:dyDescent="0.35">
      <c r="A932" s="45"/>
      <c r="B932" s="54"/>
      <c r="C932" s="47">
        <f t="shared" si="171"/>
        <v>3</v>
      </c>
      <c r="D932" s="73"/>
      <c r="E932" s="70"/>
      <c r="F932" s="70" t="s">
        <v>3373</v>
      </c>
      <c r="G932" s="73"/>
      <c r="H932" s="76" t="s">
        <v>2513</v>
      </c>
      <c r="I932" s="96" t="s">
        <v>502</v>
      </c>
      <c r="J932" s="96"/>
      <c r="K932" s="76"/>
      <c r="L932" s="76"/>
      <c r="M932" s="76"/>
      <c r="N932" s="76"/>
      <c r="O932" s="76"/>
      <c r="P932" s="76"/>
      <c r="Q932" s="76"/>
      <c r="R932" s="76"/>
      <c r="S932" s="76"/>
      <c r="T932" s="76"/>
      <c r="U932" s="253">
        <f>U931</f>
        <v>-3.3000000000000002E-2</v>
      </c>
      <c r="V932" s="76">
        <f t="shared" si="191"/>
        <v>-3.3000000000000002E-2</v>
      </c>
      <c r="W932" s="76">
        <f>U932</f>
        <v>-3.3000000000000002E-2</v>
      </c>
      <c r="X932" s="76">
        <f>V932</f>
        <v>-3.3000000000000002E-2</v>
      </c>
      <c r="Y932" s="76">
        <f>V932</f>
        <v>-3.3000000000000002E-2</v>
      </c>
      <c r="Z932" s="76">
        <f t="shared" si="195"/>
        <v>-3.3000000000000002E-2</v>
      </c>
      <c r="AA932" s="253">
        <f>AA931</f>
        <v>-3.3000000000000002E-2</v>
      </c>
      <c r="AB932" s="76">
        <f t="shared" si="196"/>
        <v>-3.3000000000000002E-2</v>
      </c>
      <c r="AC932" s="76">
        <f t="shared" si="197"/>
        <v>-3.3000000000000002E-2</v>
      </c>
      <c r="AD932" s="76">
        <f t="shared" si="198"/>
        <v>-3.3000000000000002E-2</v>
      </c>
      <c r="AE932" s="76"/>
      <c r="AF932" s="264" t="s">
        <v>3368</v>
      </c>
      <c r="AG932" s="76"/>
      <c r="AH932" s="76">
        <v>1</v>
      </c>
      <c r="AI932" s="76">
        <v>1</v>
      </c>
      <c r="AJ932" s="73"/>
      <c r="AK932" s="57"/>
      <c r="AL932" s="45"/>
      <c r="AM932" s="45"/>
      <c r="AN932" s="45"/>
    </row>
    <row r="933" spans="1:40" hidden="1" outlineLevel="2" x14ac:dyDescent="0.35">
      <c r="A933" s="45"/>
      <c r="B933" s="54"/>
      <c r="C933" s="47">
        <f t="shared" si="171"/>
        <v>3</v>
      </c>
      <c r="D933" s="73"/>
      <c r="E933" s="70"/>
      <c r="F933" s="70" t="s">
        <v>3374</v>
      </c>
      <c r="G933" s="73"/>
      <c r="H933" s="76" t="s">
        <v>3745</v>
      </c>
      <c r="I933" s="96" t="s">
        <v>502</v>
      </c>
      <c r="J933" s="96"/>
      <c r="K933" s="76"/>
      <c r="L933" s="76"/>
      <c r="M933" s="76"/>
      <c r="N933" s="76"/>
      <c r="O933" s="76"/>
      <c r="P933" s="76"/>
      <c r="Q933" s="76"/>
      <c r="R933" s="76"/>
      <c r="S933" s="76"/>
      <c r="T933" s="76"/>
      <c r="U933" s="97">
        <v>0</v>
      </c>
      <c r="V933" s="255">
        <f t="shared" ref="V933:V936" si="200">U933</f>
        <v>0</v>
      </c>
      <c r="W933" s="255">
        <f t="shared" ref="W933:W934" si="201">U933</f>
        <v>0</v>
      </c>
      <c r="X933" s="255">
        <f t="shared" ref="X933:X934" si="202">V933</f>
        <v>0</v>
      </c>
      <c r="Y933" s="255">
        <f t="shared" ref="Y933:Y934" si="203">V933</f>
        <v>0</v>
      </c>
      <c r="Z933" s="255">
        <f t="shared" ref="Z933:Z936" si="204">AA933</f>
        <v>0</v>
      </c>
      <c r="AA933" s="97">
        <f>U933</f>
        <v>0</v>
      </c>
      <c r="AB933" s="255">
        <f t="shared" ref="AB933:AB936" si="205">AA933</f>
        <v>0</v>
      </c>
      <c r="AC933" s="255">
        <f t="shared" ref="AC933:AC936" si="206">AB933</f>
        <v>0</v>
      </c>
      <c r="AD933" s="255">
        <f t="shared" ref="AD933:AD936" si="207">AC933</f>
        <v>0</v>
      </c>
      <c r="AE933" s="76"/>
      <c r="AF933" s="97" t="s">
        <v>3369</v>
      </c>
      <c r="AG933" s="76"/>
      <c r="AH933" s="76">
        <v>1</v>
      </c>
      <c r="AI933" s="76">
        <v>1</v>
      </c>
      <c r="AJ933" s="73"/>
      <c r="AK933" s="57"/>
      <c r="AL933" s="45"/>
      <c r="AM933" s="45"/>
      <c r="AN933" s="45"/>
    </row>
    <row r="934" spans="1:40" hidden="1" outlineLevel="2" x14ac:dyDescent="0.35">
      <c r="A934" s="45"/>
      <c r="B934" s="54"/>
      <c r="C934" s="47">
        <f t="shared" si="171"/>
        <v>3</v>
      </c>
      <c r="D934" s="73"/>
      <c r="E934" s="70"/>
      <c r="F934" s="70" t="s">
        <v>3375</v>
      </c>
      <c r="G934" s="73"/>
      <c r="H934" s="76" t="s">
        <v>2511</v>
      </c>
      <c r="I934" s="96" t="s">
        <v>502</v>
      </c>
      <c r="J934" s="96"/>
      <c r="K934" s="76"/>
      <c r="L934" s="76"/>
      <c r="M934" s="76"/>
      <c r="N934" s="76"/>
      <c r="O934" s="76"/>
      <c r="P934" s="76"/>
      <c r="Q934" s="76"/>
      <c r="R934" s="76"/>
      <c r="S934" s="76"/>
      <c r="T934" s="76"/>
      <c r="U934" s="97">
        <v>0</v>
      </c>
      <c r="V934" s="255">
        <f t="shared" si="200"/>
        <v>0</v>
      </c>
      <c r="W934" s="255">
        <f t="shared" si="201"/>
        <v>0</v>
      </c>
      <c r="X934" s="255">
        <f t="shared" si="202"/>
        <v>0</v>
      </c>
      <c r="Y934" s="255">
        <f t="shared" si="203"/>
        <v>0</v>
      </c>
      <c r="Z934" s="255">
        <f t="shared" si="204"/>
        <v>0</v>
      </c>
      <c r="AA934" s="97">
        <f t="shared" ref="AA934:AA935" si="208">U934</f>
        <v>0</v>
      </c>
      <c r="AB934" s="255">
        <f t="shared" si="205"/>
        <v>0</v>
      </c>
      <c r="AC934" s="255">
        <f t="shared" si="206"/>
        <v>0</v>
      </c>
      <c r="AD934" s="255">
        <f t="shared" si="207"/>
        <v>0</v>
      </c>
      <c r="AE934" s="76"/>
      <c r="AF934" s="97" t="s">
        <v>3749</v>
      </c>
      <c r="AG934" s="76"/>
      <c r="AH934" s="97">
        <v>1</v>
      </c>
      <c r="AI934" s="97">
        <v>1</v>
      </c>
      <c r="AJ934" s="73"/>
      <c r="AK934" s="57"/>
      <c r="AL934" s="45"/>
      <c r="AM934" s="45"/>
      <c r="AN934" s="45"/>
    </row>
    <row r="935" spans="1:40" hidden="1" outlineLevel="2" x14ac:dyDescent="0.35">
      <c r="A935" s="45"/>
      <c r="B935" s="54"/>
      <c r="C935" s="47">
        <f t="shared" si="171"/>
        <v>3</v>
      </c>
      <c r="D935" s="73"/>
      <c r="E935" s="70"/>
      <c r="F935" s="70" t="s">
        <v>3376</v>
      </c>
      <c r="G935" s="73"/>
      <c r="H935" s="76" t="s">
        <v>2512</v>
      </c>
      <c r="I935" s="96" t="s">
        <v>502</v>
      </c>
      <c r="J935" s="96"/>
      <c r="K935" s="76"/>
      <c r="L935" s="76"/>
      <c r="M935" s="76"/>
      <c r="N935" s="76"/>
      <c r="O935" s="76"/>
      <c r="P935" s="76"/>
      <c r="Q935" s="76"/>
      <c r="R935" s="76"/>
      <c r="S935" s="76"/>
      <c r="T935" s="76"/>
      <c r="U935" s="97">
        <v>1.0269999999999999E-3</v>
      </c>
      <c r="V935" s="255">
        <f t="shared" si="200"/>
        <v>1.0269999999999999E-3</v>
      </c>
      <c r="W935" s="255">
        <f>U935</f>
        <v>1.0269999999999999E-3</v>
      </c>
      <c r="X935" s="255">
        <f>V935</f>
        <v>1.0269999999999999E-3</v>
      </c>
      <c r="Y935" s="255">
        <f>V935</f>
        <v>1.0269999999999999E-3</v>
      </c>
      <c r="Z935" s="255">
        <f t="shared" si="204"/>
        <v>1.0269999999999999E-3</v>
      </c>
      <c r="AA935" s="97">
        <f t="shared" si="208"/>
        <v>1.0269999999999999E-3</v>
      </c>
      <c r="AB935" s="255">
        <f t="shared" si="205"/>
        <v>1.0269999999999999E-3</v>
      </c>
      <c r="AC935" s="255">
        <f t="shared" si="206"/>
        <v>1.0269999999999999E-3</v>
      </c>
      <c r="AD935" s="255">
        <f t="shared" si="207"/>
        <v>1.0269999999999999E-3</v>
      </c>
      <c r="AE935" s="76"/>
      <c r="AF935" s="97"/>
      <c r="AG935" s="76"/>
      <c r="AH935" s="97">
        <v>1</v>
      </c>
      <c r="AI935" s="97">
        <v>1</v>
      </c>
      <c r="AJ935" s="73"/>
      <c r="AK935" s="57"/>
      <c r="AL935" s="45"/>
      <c r="AM935" s="45"/>
      <c r="AN935" s="45"/>
    </row>
    <row r="936" spans="1:40" hidden="1" outlineLevel="2" x14ac:dyDescent="0.35">
      <c r="A936" s="45"/>
      <c r="B936" s="54"/>
      <c r="C936" s="47">
        <f t="shared" si="171"/>
        <v>3</v>
      </c>
      <c r="D936" s="73"/>
      <c r="E936" s="70"/>
      <c r="F936" s="70" t="s">
        <v>3377</v>
      </c>
      <c r="G936" s="73"/>
      <c r="H936" s="76" t="s">
        <v>2513</v>
      </c>
      <c r="I936" s="96" t="s">
        <v>502</v>
      </c>
      <c r="J936" s="96"/>
      <c r="K936" s="76"/>
      <c r="L936" s="76"/>
      <c r="M936" s="76"/>
      <c r="N936" s="76"/>
      <c r="O936" s="76"/>
      <c r="P936" s="76"/>
      <c r="Q936" s="76"/>
      <c r="R936" s="76"/>
      <c r="S936" s="76"/>
      <c r="T936" s="76"/>
      <c r="U936" s="253">
        <f>U935</f>
        <v>1.0269999999999999E-3</v>
      </c>
      <c r="V936" s="76">
        <f t="shared" si="200"/>
        <v>1.0269999999999999E-3</v>
      </c>
      <c r="W936" s="76">
        <f>U936</f>
        <v>1.0269999999999999E-3</v>
      </c>
      <c r="X936" s="76">
        <f>V936</f>
        <v>1.0269999999999999E-3</v>
      </c>
      <c r="Y936" s="76">
        <f>V936</f>
        <v>1.0269999999999999E-3</v>
      </c>
      <c r="Z936" s="76">
        <f t="shared" si="204"/>
        <v>1.0269999999999999E-3</v>
      </c>
      <c r="AA936" s="253">
        <f>AA935</f>
        <v>1.0269999999999999E-3</v>
      </c>
      <c r="AB936" s="76">
        <f t="shared" si="205"/>
        <v>1.0269999999999999E-3</v>
      </c>
      <c r="AC936" s="76">
        <f t="shared" si="206"/>
        <v>1.0269999999999999E-3</v>
      </c>
      <c r="AD936" s="76">
        <f t="shared" si="207"/>
        <v>1.0269999999999999E-3</v>
      </c>
      <c r="AE936" s="76"/>
      <c r="AF936" s="264" t="s">
        <v>3368</v>
      </c>
      <c r="AG936" s="76"/>
      <c r="AH936" s="76">
        <v>1</v>
      </c>
      <c r="AI936" s="76">
        <v>1</v>
      </c>
      <c r="AJ936" s="73"/>
      <c r="AK936" s="57"/>
      <c r="AL936" s="45"/>
      <c r="AM936" s="45"/>
      <c r="AN936" s="45"/>
    </row>
    <row r="937" spans="1:40" hidden="1" outlineLevel="2" x14ac:dyDescent="0.35">
      <c r="A937" s="45"/>
      <c r="B937" s="54"/>
      <c r="C937" s="47">
        <f t="shared" si="171"/>
        <v>3</v>
      </c>
      <c r="D937" s="73"/>
      <c r="E937" s="70"/>
      <c r="F937" s="70" t="s">
        <v>3378</v>
      </c>
      <c r="G937" s="73"/>
      <c r="H937" s="76" t="s">
        <v>3746</v>
      </c>
      <c r="I937" s="96" t="s">
        <v>502</v>
      </c>
      <c r="J937" s="96"/>
      <c r="K937" s="76"/>
      <c r="L937" s="76"/>
      <c r="M937" s="76"/>
      <c r="N937" s="76"/>
      <c r="O937" s="76"/>
      <c r="P937" s="76"/>
      <c r="Q937" s="76"/>
      <c r="R937" s="76"/>
      <c r="S937" s="76"/>
      <c r="T937" s="76"/>
      <c r="U937" s="97">
        <v>0</v>
      </c>
      <c r="V937" s="255">
        <f t="shared" ref="V937:V940" si="209">U937</f>
        <v>0</v>
      </c>
      <c r="W937" s="255">
        <f t="shared" ref="W937:W938" si="210">U937</f>
        <v>0</v>
      </c>
      <c r="X937" s="255">
        <f t="shared" ref="X937:X938" si="211">V937</f>
        <v>0</v>
      </c>
      <c r="Y937" s="255">
        <f t="shared" ref="Y937:Y938" si="212">V937</f>
        <v>0</v>
      </c>
      <c r="Z937" s="255">
        <f t="shared" ref="Z937:Z940" si="213">AA937</f>
        <v>0</v>
      </c>
      <c r="AA937" s="97">
        <f>U937</f>
        <v>0</v>
      </c>
      <c r="AB937" s="255">
        <f t="shared" ref="AB937:AB940" si="214">AA937</f>
        <v>0</v>
      </c>
      <c r="AC937" s="255">
        <f t="shared" ref="AC937:AC940" si="215">AB937</f>
        <v>0</v>
      </c>
      <c r="AD937" s="255">
        <f t="shared" ref="AD937:AD940" si="216">AC937</f>
        <v>0</v>
      </c>
      <c r="AE937" s="76"/>
      <c r="AF937" s="97" t="s">
        <v>3369</v>
      </c>
      <c r="AG937" s="76"/>
      <c r="AH937" s="76">
        <v>1</v>
      </c>
      <c r="AI937" s="76">
        <v>1</v>
      </c>
      <c r="AJ937" s="73"/>
      <c r="AK937" s="57"/>
      <c r="AL937" s="45"/>
      <c r="AM937" s="45"/>
      <c r="AN937" s="45"/>
    </row>
    <row r="938" spans="1:40" hidden="1" outlineLevel="2" x14ac:dyDescent="0.35">
      <c r="A938" s="45"/>
      <c r="B938" s="54"/>
      <c r="C938" s="47">
        <f t="shared" si="171"/>
        <v>3</v>
      </c>
      <c r="D938" s="73"/>
      <c r="E938" s="70"/>
      <c r="F938" s="70" t="s">
        <v>3379</v>
      </c>
      <c r="G938" s="73"/>
      <c r="H938" s="76" t="s">
        <v>2511</v>
      </c>
      <c r="I938" s="96" t="s">
        <v>502</v>
      </c>
      <c r="J938" s="96"/>
      <c r="K938" s="76"/>
      <c r="L938" s="76"/>
      <c r="M938" s="76"/>
      <c r="N938" s="76"/>
      <c r="O938" s="76"/>
      <c r="P938" s="76"/>
      <c r="Q938" s="76"/>
      <c r="R938" s="76"/>
      <c r="S938" s="76"/>
      <c r="T938" s="76"/>
      <c r="U938" s="97">
        <v>0</v>
      </c>
      <c r="V938" s="255">
        <f t="shared" si="209"/>
        <v>0</v>
      </c>
      <c r="W938" s="255">
        <f t="shared" si="210"/>
        <v>0</v>
      </c>
      <c r="X938" s="255">
        <f t="shared" si="211"/>
        <v>0</v>
      </c>
      <c r="Y938" s="255">
        <f t="shared" si="212"/>
        <v>0</v>
      </c>
      <c r="Z938" s="255">
        <f t="shared" si="213"/>
        <v>0</v>
      </c>
      <c r="AA938" s="97">
        <f t="shared" ref="AA938:AA939" si="217">U938</f>
        <v>0</v>
      </c>
      <c r="AB938" s="255">
        <f t="shared" si="214"/>
        <v>0</v>
      </c>
      <c r="AC938" s="255">
        <f t="shared" si="215"/>
        <v>0</v>
      </c>
      <c r="AD938" s="255">
        <f t="shared" si="216"/>
        <v>0</v>
      </c>
      <c r="AE938" s="76"/>
      <c r="AF938" s="97" t="s">
        <v>3749</v>
      </c>
      <c r="AG938" s="76"/>
      <c r="AH938" s="97">
        <v>1</v>
      </c>
      <c r="AI938" s="97">
        <v>1</v>
      </c>
      <c r="AJ938" s="73"/>
      <c r="AK938" s="57"/>
      <c r="AL938" s="45"/>
      <c r="AM938" s="45"/>
      <c r="AN938" s="45"/>
    </row>
    <row r="939" spans="1:40" hidden="1" outlineLevel="2" x14ac:dyDescent="0.35">
      <c r="A939" s="45"/>
      <c r="B939" s="54"/>
      <c r="C939" s="47">
        <f t="shared" si="171"/>
        <v>3</v>
      </c>
      <c r="D939" s="73"/>
      <c r="E939" s="70"/>
      <c r="F939" s="70" t="s">
        <v>3380</v>
      </c>
      <c r="G939" s="73"/>
      <c r="H939" s="76" t="s">
        <v>2512</v>
      </c>
      <c r="I939" s="96" t="s">
        <v>502</v>
      </c>
      <c r="J939" s="96"/>
      <c r="K939" s="76"/>
      <c r="L939" s="76"/>
      <c r="M939" s="76"/>
      <c r="N939" s="76"/>
      <c r="O939" s="76"/>
      <c r="P939" s="76"/>
      <c r="Q939" s="76"/>
      <c r="R939" s="76"/>
      <c r="S939" s="76"/>
      <c r="T939" s="76"/>
      <c r="U939" s="97">
        <v>7.0199999999999999E-2</v>
      </c>
      <c r="V939" s="255">
        <f t="shared" si="209"/>
        <v>7.0199999999999999E-2</v>
      </c>
      <c r="W939" s="255">
        <f>U939</f>
        <v>7.0199999999999999E-2</v>
      </c>
      <c r="X939" s="255">
        <f>V939</f>
        <v>7.0199999999999999E-2</v>
      </c>
      <c r="Y939" s="255">
        <f>V939</f>
        <v>7.0199999999999999E-2</v>
      </c>
      <c r="Z939" s="255">
        <f t="shared" si="213"/>
        <v>7.0199999999999999E-2</v>
      </c>
      <c r="AA939" s="97">
        <f t="shared" si="217"/>
        <v>7.0199999999999999E-2</v>
      </c>
      <c r="AB939" s="255">
        <f t="shared" si="214"/>
        <v>7.0199999999999999E-2</v>
      </c>
      <c r="AC939" s="255">
        <f t="shared" si="215"/>
        <v>7.0199999999999999E-2</v>
      </c>
      <c r="AD939" s="255">
        <f t="shared" si="216"/>
        <v>7.0199999999999999E-2</v>
      </c>
      <c r="AE939" s="76"/>
      <c r="AF939" s="97"/>
      <c r="AG939" s="76"/>
      <c r="AH939" s="97">
        <v>1</v>
      </c>
      <c r="AI939" s="97">
        <v>1</v>
      </c>
      <c r="AJ939" s="73"/>
      <c r="AK939" s="57"/>
      <c r="AL939" s="45"/>
      <c r="AM939" s="45"/>
      <c r="AN939" s="45"/>
    </row>
    <row r="940" spans="1:40" hidden="1" outlineLevel="2" x14ac:dyDescent="0.35">
      <c r="A940" s="45"/>
      <c r="B940" s="54"/>
      <c r="C940" s="47">
        <f t="shared" si="171"/>
        <v>3</v>
      </c>
      <c r="D940" s="73"/>
      <c r="E940" s="70"/>
      <c r="F940" s="70" t="s">
        <v>3381</v>
      </c>
      <c r="G940" s="73"/>
      <c r="H940" s="76" t="s">
        <v>2513</v>
      </c>
      <c r="I940" s="96" t="s">
        <v>502</v>
      </c>
      <c r="J940" s="96"/>
      <c r="K940" s="76"/>
      <c r="L940" s="76"/>
      <c r="M940" s="76"/>
      <c r="N940" s="76"/>
      <c r="O940" s="76"/>
      <c r="P940" s="76"/>
      <c r="Q940" s="76"/>
      <c r="R940" s="76"/>
      <c r="S940" s="76"/>
      <c r="T940" s="76"/>
      <c r="U940" s="253">
        <f>U939</f>
        <v>7.0199999999999999E-2</v>
      </c>
      <c r="V940" s="76">
        <f t="shared" si="209"/>
        <v>7.0199999999999999E-2</v>
      </c>
      <c r="W940" s="76">
        <f>U940</f>
        <v>7.0199999999999999E-2</v>
      </c>
      <c r="X940" s="76">
        <f>V940</f>
        <v>7.0199999999999999E-2</v>
      </c>
      <c r="Y940" s="76">
        <f>V940</f>
        <v>7.0199999999999999E-2</v>
      </c>
      <c r="Z940" s="76">
        <f t="shared" si="213"/>
        <v>7.0199999999999999E-2</v>
      </c>
      <c r="AA940" s="253">
        <f>AA939</f>
        <v>7.0199999999999999E-2</v>
      </c>
      <c r="AB940" s="76">
        <f t="shared" si="214"/>
        <v>7.0199999999999999E-2</v>
      </c>
      <c r="AC940" s="76">
        <f t="shared" si="215"/>
        <v>7.0199999999999999E-2</v>
      </c>
      <c r="AD940" s="76">
        <f t="shared" si="216"/>
        <v>7.0199999999999999E-2</v>
      </c>
      <c r="AE940" s="76"/>
      <c r="AF940" s="264" t="s">
        <v>3368</v>
      </c>
      <c r="AG940" s="76"/>
      <c r="AH940" s="76">
        <v>1</v>
      </c>
      <c r="AI940" s="76">
        <v>1</v>
      </c>
      <c r="AJ940" s="73"/>
      <c r="AK940" s="57"/>
      <c r="AL940" s="45"/>
      <c r="AM940" s="45"/>
      <c r="AN940" s="45"/>
    </row>
    <row r="941" spans="1:40" hidden="1" outlineLevel="2" x14ac:dyDescent="0.35">
      <c r="A941" s="45"/>
      <c r="B941" s="54"/>
      <c r="C941" s="47">
        <f t="shared" si="171"/>
        <v>3</v>
      </c>
      <c r="D941" s="73"/>
      <c r="E941" s="70"/>
      <c r="F941" s="70" t="s">
        <v>3382</v>
      </c>
      <c r="G941" s="73"/>
      <c r="H941" s="76" t="s">
        <v>3747</v>
      </c>
      <c r="I941" s="96" t="s">
        <v>502</v>
      </c>
      <c r="J941" s="96"/>
      <c r="K941" s="76"/>
      <c r="L941" s="76"/>
      <c r="M941" s="76"/>
      <c r="N941" s="76"/>
      <c r="O941" s="76"/>
      <c r="P941" s="76"/>
      <c r="Q941" s="76"/>
      <c r="R941" s="76"/>
      <c r="S941" s="76"/>
      <c r="T941" s="76"/>
      <c r="U941" s="97">
        <v>0</v>
      </c>
      <c r="V941" s="255">
        <f t="shared" ref="V941:V944" si="218">U941</f>
        <v>0</v>
      </c>
      <c r="W941" s="255">
        <f t="shared" ref="W941:W942" si="219">U941</f>
        <v>0</v>
      </c>
      <c r="X941" s="255">
        <f t="shared" ref="X941:X942" si="220">V941</f>
        <v>0</v>
      </c>
      <c r="Y941" s="255">
        <f t="shared" ref="Y941:Y942" si="221">V941</f>
        <v>0</v>
      </c>
      <c r="Z941" s="255">
        <f t="shared" ref="Z941:Z944" si="222">AA941</f>
        <v>0</v>
      </c>
      <c r="AA941" s="97">
        <f>U941</f>
        <v>0</v>
      </c>
      <c r="AB941" s="255">
        <f t="shared" ref="AB941:AB944" si="223">AA941</f>
        <v>0</v>
      </c>
      <c r="AC941" s="255">
        <f t="shared" ref="AC941:AC944" si="224">AB941</f>
        <v>0</v>
      </c>
      <c r="AD941" s="255">
        <f t="shared" ref="AD941:AD944" si="225">AC941</f>
        <v>0</v>
      </c>
      <c r="AE941" s="76"/>
      <c r="AF941" s="97" t="s">
        <v>3369</v>
      </c>
      <c r="AG941" s="76"/>
      <c r="AH941" s="76">
        <v>1</v>
      </c>
      <c r="AI941" s="76">
        <v>1</v>
      </c>
      <c r="AJ941" s="73"/>
      <c r="AK941" s="57"/>
      <c r="AL941" s="45"/>
      <c r="AM941" s="45"/>
      <c r="AN941" s="45"/>
    </row>
    <row r="942" spans="1:40" hidden="1" outlineLevel="2" x14ac:dyDescent="0.35">
      <c r="A942" s="45"/>
      <c r="B942" s="54"/>
      <c r="C942" s="47">
        <f t="shared" si="171"/>
        <v>3</v>
      </c>
      <c r="D942" s="73"/>
      <c r="E942" s="70"/>
      <c r="F942" s="70" t="s">
        <v>3383</v>
      </c>
      <c r="G942" s="73"/>
      <c r="H942" s="76" t="s">
        <v>2511</v>
      </c>
      <c r="I942" s="96" t="s">
        <v>502</v>
      </c>
      <c r="J942" s="96"/>
      <c r="K942" s="76"/>
      <c r="L942" s="76"/>
      <c r="M942" s="76"/>
      <c r="N942" s="76"/>
      <c r="O942" s="76"/>
      <c r="P942" s="76"/>
      <c r="Q942" s="76"/>
      <c r="R942" s="76"/>
      <c r="S942" s="76"/>
      <c r="T942" s="76"/>
      <c r="U942" s="97">
        <v>0</v>
      </c>
      <c r="V942" s="255">
        <f t="shared" si="218"/>
        <v>0</v>
      </c>
      <c r="W942" s="255">
        <f t="shared" si="219"/>
        <v>0</v>
      </c>
      <c r="X942" s="255">
        <f t="shared" si="220"/>
        <v>0</v>
      </c>
      <c r="Y942" s="255">
        <f t="shared" si="221"/>
        <v>0</v>
      </c>
      <c r="Z942" s="255">
        <f t="shared" si="222"/>
        <v>0</v>
      </c>
      <c r="AA942" s="97">
        <f t="shared" ref="AA942:AA943" si="226">U942</f>
        <v>0</v>
      </c>
      <c r="AB942" s="255">
        <f t="shared" si="223"/>
        <v>0</v>
      </c>
      <c r="AC942" s="255">
        <f t="shared" si="224"/>
        <v>0</v>
      </c>
      <c r="AD942" s="255">
        <f t="shared" si="225"/>
        <v>0</v>
      </c>
      <c r="AE942" s="76"/>
      <c r="AF942" s="97" t="s">
        <v>3749</v>
      </c>
      <c r="AG942" s="76"/>
      <c r="AH942" s="97">
        <v>1</v>
      </c>
      <c r="AI942" s="97">
        <v>1</v>
      </c>
      <c r="AJ942" s="73"/>
      <c r="AK942" s="57"/>
      <c r="AL942" s="45"/>
      <c r="AM942" s="45"/>
      <c r="AN942" s="45"/>
    </row>
    <row r="943" spans="1:40" hidden="1" outlineLevel="2" x14ac:dyDescent="0.35">
      <c r="A943" s="45"/>
      <c r="B943" s="54"/>
      <c r="C943" s="47">
        <f t="shared" si="171"/>
        <v>3</v>
      </c>
      <c r="D943" s="73"/>
      <c r="E943" s="70"/>
      <c r="F943" s="70" t="s">
        <v>3384</v>
      </c>
      <c r="G943" s="73"/>
      <c r="H943" s="76" t="s">
        <v>2512</v>
      </c>
      <c r="I943" s="96" t="s">
        <v>502</v>
      </c>
      <c r="J943" s="96"/>
      <c r="K943" s="76"/>
      <c r="L943" s="76"/>
      <c r="M943" s="76"/>
      <c r="N943" s="76"/>
      <c r="O943" s="76"/>
      <c r="P943" s="76"/>
      <c r="Q943" s="76"/>
      <c r="R943" s="76"/>
      <c r="S943" s="76"/>
      <c r="T943" s="76"/>
      <c r="U943" s="97">
        <v>4.4400000000000002E-2</v>
      </c>
      <c r="V943" s="255">
        <f t="shared" si="218"/>
        <v>4.4400000000000002E-2</v>
      </c>
      <c r="W943" s="255">
        <f>U943</f>
        <v>4.4400000000000002E-2</v>
      </c>
      <c r="X943" s="255">
        <f>V943</f>
        <v>4.4400000000000002E-2</v>
      </c>
      <c r="Y943" s="255">
        <f>V943</f>
        <v>4.4400000000000002E-2</v>
      </c>
      <c r="Z943" s="255">
        <f t="shared" si="222"/>
        <v>4.4400000000000002E-2</v>
      </c>
      <c r="AA943" s="97">
        <f t="shared" si="226"/>
        <v>4.4400000000000002E-2</v>
      </c>
      <c r="AB943" s="255">
        <f t="shared" si="223"/>
        <v>4.4400000000000002E-2</v>
      </c>
      <c r="AC943" s="255">
        <f t="shared" si="224"/>
        <v>4.4400000000000002E-2</v>
      </c>
      <c r="AD943" s="255">
        <f t="shared" si="225"/>
        <v>4.4400000000000002E-2</v>
      </c>
      <c r="AE943" s="76"/>
      <c r="AF943" s="97"/>
      <c r="AG943" s="76"/>
      <c r="AH943" s="97">
        <v>1</v>
      </c>
      <c r="AI943" s="97">
        <v>1</v>
      </c>
      <c r="AJ943" s="73"/>
      <c r="AK943" s="57"/>
      <c r="AL943" s="45"/>
      <c r="AM943" s="45"/>
      <c r="AN943" s="45"/>
    </row>
    <row r="944" spans="1:40" hidden="1" outlineLevel="2" x14ac:dyDescent="0.35">
      <c r="A944" s="45"/>
      <c r="B944" s="54"/>
      <c r="C944" s="47">
        <f t="shared" si="171"/>
        <v>3</v>
      </c>
      <c r="D944" s="73"/>
      <c r="E944" s="70"/>
      <c r="F944" s="70" t="s">
        <v>3385</v>
      </c>
      <c r="G944" s="73"/>
      <c r="H944" s="76" t="s">
        <v>2513</v>
      </c>
      <c r="I944" s="96" t="s">
        <v>502</v>
      </c>
      <c r="J944" s="96"/>
      <c r="K944" s="76"/>
      <c r="L944" s="76"/>
      <c r="M944" s="76"/>
      <c r="N944" s="76"/>
      <c r="O944" s="76"/>
      <c r="P944" s="76"/>
      <c r="Q944" s="76"/>
      <c r="R944" s="76"/>
      <c r="S944" s="76"/>
      <c r="T944" s="76"/>
      <c r="U944" s="253">
        <f>U943</f>
        <v>4.4400000000000002E-2</v>
      </c>
      <c r="V944" s="76">
        <f t="shared" si="218"/>
        <v>4.4400000000000002E-2</v>
      </c>
      <c r="W944" s="76">
        <f>U944</f>
        <v>4.4400000000000002E-2</v>
      </c>
      <c r="X944" s="76">
        <f>V944</f>
        <v>4.4400000000000002E-2</v>
      </c>
      <c r="Y944" s="76">
        <f>V944</f>
        <v>4.4400000000000002E-2</v>
      </c>
      <c r="Z944" s="76">
        <f t="shared" si="222"/>
        <v>4.4400000000000002E-2</v>
      </c>
      <c r="AA944" s="253">
        <f>AA943</f>
        <v>4.4400000000000002E-2</v>
      </c>
      <c r="AB944" s="76">
        <f t="shared" si="223"/>
        <v>4.4400000000000002E-2</v>
      </c>
      <c r="AC944" s="76">
        <f t="shared" si="224"/>
        <v>4.4400000000000002E-2</v>
      </c>
      <c r="AD944" s="76">
        <f t="shared" si="225"/>
        <v>4.4400000000000002E-2</v>
      </c>
      <c r="AE944" s="76"/>
      <c r="AF944" s="264" t="s">
        <v>3368</v>
      </c>
      <c r="AG944" s="76"/>
      <c r="AH944" s="76">
        <v>1</v>
      </c>
      <c r="AI944" s="76">
        <v>1</v>
      </c>
      <c r="AJ944" s="73"/>
      <c r="AK944" s="57"/>
      <c r="AL944" s="45"/>
      <c r="AM944" s="45"/>
      <c r="AN944" s="45"/>
    </row>
    <row r="945" spans="1:40" hidden="1" outlineLevel="2" x14ac:dyDescent="0.35">
      <c r="A945" s="45"/>
      <c r="B945" s="54"/>
      <c r="C945" s="47">
        <f t="shared" si="171"/>
        <v>3</v>
      </c>
      <c r="D945" s="73"/>
      <c r="E945" s="70"/>
      <c r="F945" s="70" t="s">
        <v>3387</v>
      </c>
      <c r="G945" s="73"/>
      <c r="H945" s="76" t="s">
        <v>3748</v>
      </c>
      <c r="I945" s="96" t="s">
        <v>502</v>
      </c>
      <c r="J945" s="96"/>
      <c r="K945" s="76"/>
      <c r="L945" s="76"/>
      <c r="M945" s="76"/>
      <c r="N945" s="76"/>
      <c r="O945" s="76"/>
      <c r="P945" s="76"/>
      <c r="Q945" s="76"/>
      <c r="R945" s="76"/>
      <c r="S945" s="76"/>
      <c r="T945" s="76"/>
      <c r="U945" s="97">
        <v>0</v>
      </c>
      <c r="V945" s="255">
        <f t="shared" ref="V945:V948" si="227">U945</f>
        <v>0</v>
      </c>
      <c r="W945" s="255">
        <f t="shared" ref="W945:W946" si="228">U945</f>
        <v>0</v>
      </c>
      <c r="X945" s="255">
        <f t="shared" ref="X945:X946" si="229">V945</f>
        <v>0</v>
      </c>
      <c r="Y945" s="255">
        <f t="shared" ref="Y945:Y946" si="230">V945</f>
        <v>0</v>
      </c>
      <c r="Z945" s="255">
        <f t="shared" ref="Z945:Z948" si="231">AA945</f>
        <v>0</v>
      </c>
      <c r="AA945" s="97">
        <f>U945</f>
        <v>0</v>
      </c>
      <c r="AB945" s="255">
        <f t="shared" ref="AB945:AB948" si="232">AA945</f>
        <v>0</v>
      </c>
      <c r="AC945" s="255">
        <f t="shared" ref="AC945:AC948" si="233">AB945</f>
        <v>0</v>
      </c>
      <c r="AD945" s="255">
        <f t="shared" ref="AD945:AD948" si="234">AC945</f>
        <v>0</v>
      </c>
      <c r="AE945" s="76"/>
      <c r="AF945" s="97" t="s">
        <v>3369</v>
      </c>
      <c r="AG945" s="76"/>
      <c r="AH945" s="76">
        <v>1</v>
      </c>
      <c r="AI945" s="76">
        <v>1</v>
      </c>
      <c r="AJ945" s="73"/>
      <c r="AK945" s="57"/>
      <c r="AL945" s="45"/>
      <c r="AM945" s="45"/>
      <c r="AN945" s="45"/>
    </row>
    <row r="946" spans="1:40" hidden="1" outlineLevel="2" x14ac:dyDescent="0.35">
      <c r="A946" s="45"/>
      <c r="B946" s="54"/>
      <c r="C946" s="47">
        <f t="shared" ref="C946:C984" si="235">INT($C$29)+2</f>
        <v>3</v>
      </c>
      <c r="D946" s="73"/>
      <c r="E946" s="70"/>
      <c r="F946" s="70" t="s">
        <v>3388</v>
      </c>
      <c r="G946" s="73"/>
      <c r="H946" s="76" t="s">
        <v>2511</v>
      </c>
      <c r="I946" s="96" t="s">
        <v>502</v>
      </c>
      <c r="J946" s="96"/>
      <c r="K946" s="76"/>
      <c r="L946" s="76"/>
      <c r="M946" s="76"/>
      <c r="N946" s="76"/>
      <c r="O946" s="76"/>
      <c r="P946" s="76"/>
      <c r="Q946" s="76"/>
      <c r="R946" s="76"/>
      <c r="S946" s="76"/>
      <c r="T946" s="76"/>
      <c r="U946" s="97">
        <v>0</v>
      </c>
      <c r="V946" s="255">
        <f t="shared" si="227"/>
        <v>0</v>
      </c>
      <c r="W946" s="255">
        <f t="shared" si="228"/>
        <v>0</v>
      </c>
      <c r="X946" s="255">
        <f t="shared" si="229"/>
        <v>0</v>
      </c>
      <c r="Y946" s="255">
        <f t="shared" si="230"/>
        <v>0</v>
      </c>
      <c r="Z946" s="255">
        <f t="shared" si="231"/>
        <v>0</v>
      </c>
      <c r="AA946" s="97">
        <f t="shared" ref="AA946:AA948" si="236">U946</f>
        <v>0</v>
      </c>
      <c r="AB946" s="255">
        <f t="shared" si="232"/>
        <v>0</v>
      </c>
      <c r="AC946" s="255">
        <f t="shared" si="233"/>
        <v>0</v>
      </c>
      <c r="AD946" s="255">
        <f t="shared" si="234"/>
        <v>0</v>
      </c>
      <c r="AE946" s="76"/>
      <c r="AF946" s="97" t="s">
        <v>3749</v>
      </c>
      <c r="AG946" s="76"/>
      <c r="AH946" s="97">
        <v>1</v>
      </c>
      <c r="AI946" s="97">
        <v>1</v>
      </c>
      <c r="AJ946" s="73"/>
      <c r="AK946" s="57"/>
      <c r="AL946" s="45"/>
      <c r="AM946" s="45"/>
      <c r="AN946" s="45"/>
    </row>
    <row r="947" spans="1:40" hidden="1" outlineLevel="2" x14ac:dyDescent="0.35">
      <c r="A947" s="45"/>
      <c r="B947" s="54"/>
      <c r="C947" s="47">
        <f t="shared" si="235"/>
        <v>3</v>
      </c>
      <c r="D947" s="73"/>
      <c r="E947" s="70"/>
      <c r="F947" s="70" t="s">
        <v>3389</v>
      </c>
      <c r="G947" s="73"/>
      <c r="H947" s="76" t="s">
        <v>2512</v>
      </c>
      <c r="I947" s="96" t="s">
        <v>502</v>
      </c>
      <c r="J947" s="96"/>
      <c r="K947" s="76"/>
      <c r="L947" s="76"/>
      <c r="M947" s="76"/>
      <c r="N947" s="76"/>
      <c r="O947" s="76"/>
      <c r="P947" s="76"/>
      <c r="Q947" s="76"/>
      <c r="R947" s="76"/>
      <c r="S947" s="76"/>
      <c r="T947" s="76"/>
      <c r="U947" s="97">
        <v>0.95</v>
      </c>
      <c r="V947" s="255">
        <f t="shared" si="227"/>
        <v>0.95</v>
      </c>
      <c r="W947" s="255">
        <f>U947</f>
        <v>0.95</v>
      </c>
      <c r="X947" s="255">
        <f>V947</f>
        <v>0.95</v>
      </c>
      <c r="Y947" s="255">
        <f>V947</f>
        <v>0.95</v>
      </c>
      <c r="Z947" s="255">
        <f t="shared" si="231"/>
        <v>0.95</v>
      </c>
      <c r="AA947" s="97">
        <f t="shared" si="236"/>
        <v>0.95</v>
      </c>
      <c r="AB947" s="255">
        <f t="shared" si="232"/>
        <v>0.95</v>
      </c>
      <c r="AC947" s="255">
        <f t="shared" si="233"/>
        <v>0.95</v>
      </c>
      <c r="AD947" s="255">
        <f t="shared" si="234"/>
        <v>0.95</v>
      </c>
      <c r="AE947" s="76"/>
      <c r="AF947" s="97"/>
      <c r="AG947" s="76"/>
      <c r="AH947" s="97">
        <v>1</v>
      </c>
      <c r="AI947" s="97">
        <v>1</v>
      </c>
      <c r="AJ947" s="73"/>
      <c r="AK947" s="57"/>
      <c r="AL947" s="45"/>
      <c r="AM947" s="45"/>
      <c r="AN947" s="45"/>
    </row>
    <row r="948" spans="1:40" hidden="1" outlineLevel="2" x14ac:dyDescent="0.35">
      <c r="A948" s="45"/>
      <c r="B948" s="54"/>
      <c r="C948" s="47">
        <f t="shared" si="235"/>
        <v>3</v>
      </c>
      <c r="D948" s="73"/>
      <c r="E948" s="70"/>
      <c r="F948" s="70" t="s">
        <v>3390</v>
      </c>
      <c r="G948" s="73"/>
      <c r="H948" s="76" t="s">
        <v>2513</v>
      </c>
      <c r="I948" s="96" t="s">
        <v>502</v>
      </c>
      <c r="J948" s="96"/>
      <c r="K948" s="76"/>
      <c r="L948" s="76"/>
      <c r="M948" s="76"/>
      <c r="N948" s="76"/>
      <c r="O948" s="76"/>
      <c r="P948" s="76"/>
      <c r="Q948" s="76"/>
      <c r="R948" s="76"/>
      <c r="S948" s="76"/>
      <c r="T948" s="76"/>
      <c r="U948" s="97">
        <v>1.6046</v>
      </c>
      <c r="V948" s="76">
        <f t="shared" si="227"/>
        <v>1.6046</v>
      </c>
      <c r="W948" s="76">
        <f>U948</f>
        <v>1.6046</v>
      </c>
      <c r="X948" s="76">
        <f>V948</f>
        <v>1.6046</v>
      </c>
      <c r="Y948" s="76">
        <f>V948</f>
        <v>1.6046</v>
      </c>
      <c r="Z948" s="76">
        <f t="shared" si="231"/>
        <v>1.6046</v>
      </c>
      <c r="AA948" s="97">
        <f t="shared" si="236"/>
        <v>1.6046</v>
      </c>
      <c r="AB948" s="76">
        <f t="shared" si="232"/>
        <v>1.6046</v>
      </c>
      <c r="AC948" s="76">
        <f t="shared" si="233"/>
        <v>1.6046</v>
      </c>
      <c r="AD948" s="76">
        <f t="shared" si="234"/>
        <v>1.6046</v>
      </c>
      <c r="AE948" s="76"/>
      <c r="AF948" s="264"/>
      <c r="AG948" s="76"/>
      <c r="AH948" s="76">
        <v>1</v>
      </c>
      <c r="AI948" s="76">
        <v>1</v>
      </c>
      <c r="AJ948" s="73"/>
      <c r="AK948" s="57"/>
      <c r="AL948" s="45"/>
      <c r="AM948" s="45"/>
      <c r="AN948" s="45"/>
    </row>
    <row r="949" spans="1:40" hidden="1" outlineLevel="2" x14ac:dyDescent="0.35">
      <c r="A949" s="45"/>
      <c r="B949" s="54"/>
      <c r="C949" s="47">
        <f t="shared" si="235"/>
        <v>3</v>
      </c>
      <c r="D949" s="73"/>
      <c r="E949" s="70"/>
      <c r="F949" s="70" t="s">
        <v>3391</v>
      </c>
      <c r="G949" s="73"/>
      <c r="H949" s="76" t="s">
        <v>3751</v>
      </c>
      <c r="I949" s="96" t="s">
        <v>502</v>
      </c>
      <c r="J949" s="96"/>
      <c r="K949" s="76"/>
      <c r="L949" s="76"/>
      <c r="M949" s="76"/>
      <c r="N949" s="76"/>
      <c r="O949" s="76"/>
      <c r="P949" s="76"/>
      <c r="Q949" s="76"/>
      <c r="R949" s="76"/>
      <c r="S949" s="76"/>
      <c r="T949" s="76"/>
      <c r="U949" s="97">
        <v>0</v>
      </c>
      <c r="V949" s="255">
        <f t="shared" ref="V949:V952" si="237">U949</f>
        <v>0</v>
      </c>
      <c r="W949" s="255">
        <f t="shared" ref="W949:W950" si="238">U949</f>
        <v>0</v>
      </c>
      <c r="X949" s="255">
        <f t="shared" ref="X949:X950" si="239">V949</f>
        <v>0</v>
      </c>
      <c r="Y949" s="255">
        <f t="shared" ref="Y949:Y950" si="240">V949</f>
        <v>0</v>
      </c>
      <c r="Z949" s="255">
        <f t="shared" ref="Z949:Z952" si="241">AA949</f>
        <v>0</v>
      </c>
      <c r="AA949" s="97">
        <f>U949</f>
        <v>0</v>
      </c>
      <c r="AB949" s="255">
        <f t="shared" ref="AB949:AB952" si="242">AA949</f>
        <v>0</v>
      </c>
      <c r="AC949" s="255">
        <f t="shared" ref="AC949:AC952" si="243">AB949</f>
        <v>0</v>
      </c>
      <c r="AD949" s="255">
        <f t="shared" ref="AD949:AD952" si="244">AC949</f>
        <v>0</v>
      </c>
      <c r="AE949" s="76"/>
      <c r="AF949" s="97" t="s">
        <v>3369</v>
      </c>
      <c r="AG949" s="76"/>
      <c r="AH949" s="76">
        <v>1</v>
      </c>
      <c r="AI949" s="76">
        <v>1</v>
      </c>
      <c r="AJ949" s="73"/>
      <c r="AK949" s="57"/>
      <c r="AL949" s="45"/>
      <c r="AM949" s="45"/>
      <c r="AN949" s="45"/>
    </row>
    <row r="950" spans="1:40" hidden="1" outlineLevel="2" x14ac:dyDescent="0.35">
      <c r="A950" s="45"/>
      <c r="B950" s="54"/>
      <c r="C950" s="47">
        <f t="shared" si="235"/>
        <v>3</v>
      </c>
      <c r="D950" s="73"/>
      <c r="E950" s="70"/>
      <c r="F950" s="70" t="s">
        <v>3392</v>
      </c>
      <c r="G950" s="73"/>
      <c r="H950" s="76" t="s">
        <v>2511</v>
      </c>
      <c r="I950" s="96" t="s">
        <v>502</v>
      </c>
      <c r="J950" s="96"/>
      <c r="K950" s="76"/>
      <c r="L950" s="76"/>
      <c r="M950" s="76"/>
      <c r="N950" s="76"/>
      <c r="O950" s="76"/>
      <c r="P950" s="76"/>
      <c r="Q950" s="76"/>
      <c r="R950" s="76"/>
      <c r="S950" s="76"/>
      <c r="T950" s="76"/>
      <c r="U950" s="97">
        <v>0</v>
      </c>
      <c r="V950" s="255">
        <f t="shared" si="237"/>
        <v>0</v>
      </c>
      <c r="W950" s="255">
        <f t="shared" si="238"/>
        <v>0</v>
      </c>
      <c r="X950" s="255">
        <f t="shared" si="239"/>
        <v>0</v>
      </c>
      <c r="Y950" s="255">
        <f t="shared" si="240"/>
        <v>0</v>
      </c>
      <c r="Z950" s="255">
        <f t="shared" si="241"/>
        <v>0</v>
      </c>
      <c r="AA950" s="97">
        <f t="shared" ref="AA950:AA951" si="245">U950</f>
        <v>0</v>
      </c>
      <c r="AB950" s="255">
        <f t="shared" si="242"/>
        <v>0</v>
      </c>
      <c r="AC950" s="255">
        <f t="shared" si="243"/>
        <v>0</v>
      </c>
      <c r="AD950" s="255">
        <f t="shared" si="244"/>
        <v>0</v>
      </c>
      <c r="AE950" s="76"/>
      <c r="AF950" s="97" t="s">
        <v>3386</v>
      </c>
      <c r="AG950" s="76"/>
      <c r="AH950" s="97">
        <v>1</v>
      </c>
      <c r="AI950" s="97">
        <v>1</v>
      </c>
      <c r="AJ950" s="73"/>
      <c r="AK950" s="57"/>
      <c r="AL950" s="45"/>
      <c r="AM950" s="45"/>
      <c r="AN950" s="45"/>
    </row>
    <row r="951" spans="1:40" hidden="1" outlineLevel="2" x14ac:dyDescent="0.35">
      <c r="A951" s="45"/>
      <c r="B951" s="54"/>
      <c r="C951" s="47">
        <f t="shared" si="235"/>
        <v>3</v>
      </c>
      <c r="D951" s="73"/>
      <c r="E951" s="70"/>
      <c r="F951" s="70" t="s">
        <v>3393</v>
      </c>
      <c r="G951" s="73"/>
      <c r="H951" s="76" t="s">
        <v>2512</v>
      </c>
      <c r="I951" s="96" t="s">
        <v>502</v>
      </c>
      <c r="J951" s="96"/>
      <c r="K951" s="76"/>
      <c r="L951" s="76"/>
      <c r="M951" s="76"/>
      <c r="N951" s="76"/>
      <c r="O951" s="76"/>
      <c r="P951" s="76"/>
      <c r="Q951" s="76"/>
      <c r="R951" s="76"/>
      <c r="S951" s="76"/>
      <c r="T951" s="76"/>
      <c r="U951" s="97">
        <v>0.1779</v>
      </c>
      <c r="V951" s="255">
        <f t="shared" si="237"/>
        <v>0.1779</v>
      </c>
      <c r="W951" s="255">
        <f>U951</f>
        <v>0.1779</v>
      </c>
      <c r="X951" s="255">
        <f>V951</f>
        <v>0.1779</v>
      </c>
      <c r="Y951" s="255">
        <f>V951</f>
        <v>0.1779</v>
      </c>
      <c r="Z951" s="255">
        <f t="shared" si="241"/>
        <v>0.1779</v>
      </c>
      <c r="AA951" s="97">
        <f t="shared" si="245"/>
        <v>0.1779</v>
      </c>
      <c r="AB951" s="255">
        <f t="shared" si="242"/>
        <v>0.1779</v>
      </c>
      <c r="AC951" s="255">
        <f t="shared" si="243"/>
        <v>0.1779</v>
      </c>
      <c r="AD951" s="255">
        <f t="shared" si="244"/>
        <v>0.1779</v>
      </c>
      <c r="AE951" s="76"/>
      <c r="AF951" s="97"/>
      <c r="AG951" s="76"/>
      <c r="AH951" s="97">
        <v>1</v>
      </c>
      <c r="AI951" s="97">
        <v>1</v>
      </c>
      <c r="AJ951" s="73"/>
      <c r="AK951" s="57"/>
      <c r="AL951" s="45"/>
      <c r="AM951" s="45"/>
      <c r="AN951" s="45"/>
    </row>
    <row r="952" spans="1:40" hidden="1" outlineLevel="2" x14ac:dyDescent="0.35">
      <c r="A952" s="45"/>
      <c r="B952" s="54"/>
      <c r="C952" s="47">
        <f t="shared" si="235"/>
        <v>3</v>
      </c>
      <c r="D952" s="73"/>
      <c r="E952" s="70"/>
      <c r="F952" s="70" t="s">
        <v>3394</v>
      </c>
      <c r="G952" s="73"/>
      <c r="H952" s="76" t="s">
        <v>2513</v>
      </c>
      <c r="I952" s="96" t="s">
        <v>502</v>
      </c>
      <c r="J952" s="96"/>
      <c r="K952" s="76"/>
      <c r="L952" s="76"/>
      <c r="M952" s="76"/>
      <c r="N952" s="76"/>
      <c r="O952" s="76"/>
      <c r="P952" s="76"/>
      <c r="Q952" s="76"/>
      <c r="R952" s="76"/>
      <c r="S952" s="76"/>
      <c r="T952" s="76"/>
      <c r="U952" s="253">
        <f>U951</f>
        <v>0.1779</v>
      </c>
      <c r="V952" s="76">
        <f t="shared" si="237"/>
        <v>0.1779</v>
      </c>
      <c r="W952" s="76">
        <f>U952</f>
        <v>0.1779</v>
      </c>
      <c r="X952" s="76">
        <f>V952</f>
        <v>0.1779</v>
      </c>
      <c r="Y952" s="76">
        <f>V952</f>
        <v>0.1779</v>
      </c>
      <c r="Z952" s="76">
        <f t="shared" si="241"/>
        <v>0.1779</v>
      </c>
      <c r="AA952" s="253">
        <f>AA951</f>
        <v>0.1779</v>
      </c>
      <c r="AB952" s="76">
        <f t="shared" si="242"/>
        <v>0.1779</v>
      </c>
      <c r="AC952" s="76">
        <f t="shared" si="243"/>
        <v>0.1779</v>
      </c>
      <c r="AD952" s="76">
        <f t="shared" si="244"/>
        <v>0.1779</v>
      </c>
      <c r="AE952" s="76"/>
      <c r="AF952" s="264" t="s">
        <v>3368</v>
      </c>
      <c r="AG952" s="76"/>
      <c r="AH952" s="76">
        <v>1</v>
      </c>
      <c r="AI952" s="76">
        <v>1</v>
      </c>
      <c r="AJ952" s="73"/>
      <c r="AK952" s="57"/>
      <c r="AL952" s="45"/>
      <c r="AM952" s="45"/>
      <c r="AN952" s="45"/>
    </row>
    <row r="953" spans="1:40" hidden="1" outlineLevel="2" x14ac:dyDescent="0.35">
      <c r="A953" s="45"/>
      <c r="B953" s="54"/>
      <c r="C953" s="47">
        <f t="shared" si="235"/>
        <v>3</v>
      </c>
      <c r="D953" s="73"/>
      <c r="E953" s="70"/>
      <c r="F953" s="70" t="s">
        <v>3395</v>
      </c>
      <c r="G953" s="73"/>
      <c r="H953" s="76" t="s">
        <v>3752</v>
      </c>
      <c r="I953" s="96" t="s">
        <v>502</v>
      </c>
      <c r="J953" s="96"/>
      <c r="K953" s="76"/>
      <c r="L953" s="76"/>
      <c r="M953" s="76"/>
      <c r="N953" s="76"/>
      <c r="O953" s="76"/>
      <c r="P953" s="76"/>
      <c r="Q953" s="76"/>
      <c r="R953" s="76"/>
      <c r="S953" s="76"/>
      <c r="T953" s="76"/>
      <c r="U953" s="97">
        <v>0</v>
      </c>
      <c r="V953" s="255">
        <f t="shared" ref="V953:V968" si="246">U953</f>
        <v>0</v>
      </c>
      <c r="W953" s="255">
        <f t="shared" ref="W953:W954" si="247">U953</f>
        <v>0</v>
      </c>
      <c r="X953" s="255">
        <f t="shared" ref="X953:X954" si="248">V953</f>
        <v>0</v>
      </c>
      <c r="Y953" s="255">
        <f t="shared" ref="Y953:Y954" si="249">V953</f>
        <v>0</v>
      </c>
      <c r="Z953" s="255">
        <f t="shared" ref="Z953:Z968" si="250">AA953</f>
        <v>0</v>
      </c>
      <c r="AA953" s="97">
        <f>U953</f>
        <v>0</v>
      </c>
      <c r="AB953" s="255">
        <f t="shared" ref="AB953:AB968" si="251">AA953</f>
        <v>0</v>
      </c>
      <c r="AC953" s="255">
        <f t="shared" ref="AC953:AC968" si="252">AB953</f>
        <v>0</v>
      </c>
      <c r="AD953" s="255">
        <f t="shared" ref="AD953:AD968" si="253">AC953</f>
        <v>0</v>
      </c>
      <c r="AE953" s="76"/>
      <c r="AF953" s="97" t="s">
        <v>3369</v>
      </c>
      <c r="AG953" s="76"/>
      <c r="AH953" s="76">
        <v>1</v>
      </c>
      <c r="AI953" s="76">
        <v>1</v>
      </c>
      <c r="AJ953" s="73"/>
      <c r="AK953" s="57"/>
      <c r="AL953" s="45"/>
      <c r="AM953" s="45"/>
      <c r="AN953" s="45"/>
    </row>
    <row r="954" spans="1:40" hidden="1" outlineLevel="2" x14ac:dyDescent="0.35">
      <c r="A954" s="45"/>
      <c r="B954" s="54"/>
      <c r="C954" s="47">
        <f t="shared" si="235"/>
        <v>3</v>
      </c>
      <c r="D954" s="73"/>
      <c r="E954" s="70"/>
      <c r="F954" s="70" t="s">
        <v>3396</v>
      </c>
      <c r="G954" s="73"/>
      <c r="H954" s="76" t="s">
        <v>2511</v>
      </c>
      <c r="I954" s="96" t="s">
        <v>502</v>
      </c>
      <c r="J954" s="96"/>
      <c r="K954" s="76"/>
      <c r="L954" s="76"/>
      <c r="M954" s="76"/>
      <c r="N954" s="76"/>
      <c r="O954" s="76"/>
      <c r="P954" s="76"/>
      <c r="Q954" s="76"/>
      <c r="R954" s="76"/>
      <c r="S954" s="76"/>
      <c r="T954" s="76"/>
      <c r="U954" s="97">
        <v>0</v>
      </c>
      <c r="V954" s="255">
        <f t="shared" si="246"/>
        <v>0</v>
      </c>
      <c r="W954" s="255">
        <f t="shared" si="247"/>
        <v>0</v>
      </c>
      <c r="X954" s="255">
        <f t="shared" si="248"/>
        <v>0</v>
      </c>
      <c r="Y954" s="255">
        <f t="shared" si="249"/>
        <v>0</v>
      </c>
      <c r="Z954" s="255">
        <f t="shared" si="250"/>
        <v>0</v>
      </c>
      <c r="AA954" s="97">
        <f t="shared" ref="AA954:AA955" si="254">U954</f>
        <v>0</v>
      </c>
      <c r="AB954" s="255">
        <f t="shared" si="251"/>
        <v>0</v>
      </c>
      <c r="AC954" s="255">
        <f t="shared" si="252"/>
        <v>0</v>
      </c>
      <c r="AD954" s="255">
        <f t="shared" si="253"/>
        <v>0</v>
      </c>
      <c r="AE954" s="76"/>
      <c r="AF954" s="97" t="s">
        <v>3386</v>
      </c>
      <c r="AG954" s="76"/>
      <c r="AH954" s="97">
        <v>1</v>
      </c>
      <c r="AI954" s="97">
        <v>1</v>
      </c>
      <c r="AJ954" s="73"/>
      <c r="AK954" s="57"/>
      <c r="AL954" s="45"/>
      <c r="AM954" s="45"/>
      <c r="AN954" s="45"/>
    </row>
    <row r="955" spans="1:40" hidden="1" outlineLevel="2" x14ac:dyDescent="0.35">
      <c r="A955" s="45"/>
      <c r="B955" s="54"/>
      <c r="C955" s="47">
        <f t="shared" si="235"/>
        <v>3</v>
      </c>
      <c r="D955" s="73"/>
      <c r="E955" s="70"/>
      <c r="F955" s="70" t="s">
        <v>3397</v>
      </c>
      <c r="G955" s="73"/>
      <c r="H955" s="76" t="s">
        <v>2512</v>
      </c>
      <c r="I955" s="96" t="s">
        <v>502</v>
      </c>
      <c r="J955" s="96"/>
      <c r="K955" s="76"/>
      <c r="L955" s="76"/>
      <c r="M955" s="76"/>
      <c r="N955" s="76"/>
      <c r="O955" s="76"/>
      <c r="P955" s="76"/>
      <c r="Q955" s="76"/>
      <c r="R955" s="76"/>
      <c r="S955" s="76"/>
      <c r="T955" s="76"/>
      <c r="U955" s="97">
        <v>-1.312E-3</v>
      </c>
      <c r="V955" s="255">
        <f t="shared" si="246"/>
        <v>-1.312E-3</v>
      </c>
      <c r="W955" s="255">
        <f>U955</f>
        <v>-1.312E-3</v>
      </c>
      <c r="X955" s="255">
        <f>V955</f>
        <v>-1.312E-3</v>
      </c>
      <c r="Y955" s="255">
        <f>V955</f>
        <v>-1.312E-3</v>
      </c>
      <c r="Z955" s="255">
        <f t="shared" si="250"/>
        <v>-1.312E-3</v>
      </c>
      <c r="AA955" s="97">
        <f t="shared" si="254"/>
        <v>-1.312E-3</v>
      </c>
      <c r="AB955" s="255">
        <f t="shared" si="251"/>
        <v>-1.312E-3</v>
      </c>
      <c r="AC955" s="255">
        <f t="shared" si="252"/>
        <v>-1.312E-3</v>
      </c>
      <c r="AD955" s="255">
        <f t="shared" si="253"/>
        <v>-1.312E-3</v>
      </c>
      <c r="AE955" s="76"/>
      <c r="AF955" s="97"/>
      <c r="AG955" s="76"/>
      <c r="AH955" s="97">
        <v>1</v>
      </c>
      <c r="AI955" s="97">
        <v>1</v>
      </c>
      <c r="AJ955" s="73"/>
      <c r="AK955" s="57"/>
      <c r="AL955" s="45"/>
      <c r="AM955" s="45"/>
      <c r="AN955" s="45"/>
    </row>
    <row r="956" spans="1:40" hidden="1" outlineLevel="2" x14ac:dyDescent="0.35">
      <c r="A956" s="45"/>
      <c r="B956" s="54"/>
      <c r="C956" s="47">
        <f t="shared" si="235"/>
        <v>3</v>
      </c>
      <c r="D956" s="73"/>
      <c r="E956" s="70"/>
      <c r="F956" s="70" t="s">
        <v>3398</v>
      </c>
      <c r="G956" s="73"/>
      <c r="H956" s="76" t="s">
        <v>2513</v>
      </c>
      <c r="I956" s="96" t="s">
        <v>502</v>
      </c>
      <c r="J956" s="96"/>
      <c r="K956" s="76"/>
      <c r="L956" s="76"/>
      <c r="M956" s="76"/>
      <c r="N956" s="76"/>
      <c r="O956" s="76"/>
      <c r="P956" s="76"/>
      <c r="Q956" s="76"/>
      <c r="R956" s="76"/>
      <c r="S956" s="76"/>
      <c r="T956" s="76"/>
      <c r="U956" s="253">
        <f>U955</f>
        <v>-1.312E-3</v>
      </c>
      <c r="V956" s="76">
        <f t="shared" si="246"/>
        <v>-1.312E-3</v>
      </c>
      <c r="W956" s="76">
        <f>U956</f>
        <v>-1.312E-3</v>
      </c>
      <c r="X956" s="76">
        <f>V956</f>
        <v>-1.312E-3</v>
      </c>
      <c r="Y956" s="76">
        <f>V956</f>
        <v>-1.312E-3</v>
      </c>
      <c r="Z956" s="76">
        <f t="shared" si="250"/>
        <v>-1.312E-3</v>
      </c>
      <c r="AA956" s="253">
        <f>AA955</f>
        <v>-1.312E-3</v>
      </c>
      <c r="AB956" s="76">
        <f t="shared" si="251"/>
        <v>-1.312E-3</v>
      </c>
      <c r="AC956" s="76">
        <f t="shared" si="252"/>
        <v>-1.312E-3</v>
      </c>
      <c r="AD956" s="76">
        <f t="shared" si="253"/>
        <v>-1.312E-3</v>
      </c>
      <c r="AE956" s="76"/>
      <c r="AF956" s="264" t="s">
        <v>3368</v>
      </c>
      <c r="AG956" s="76"/>
      <c r="AH956" s="76">
        <v>1</v>
      </c>
      <c r="AI956" s="76">
        <v>1</v>
      </c>
      <c r="AJ956" s="73"/>
      <c r="AK956" s="57"/>
      <c r="AL956" s="45"/>
      <c r="AM956" s="45"/>
      <c r="AN956" s="45"/>
    </row>
    <row r="957" spans="1:40" hidden="1" outlineLevel="2" x14ac:dyDescent="0.35">
      <c r="A957" s="45"/>
      <c r="B957" s="54"/>
      <c r="C957" s="47">
        <f t="shared" si="235"/>
        <v>3</v>
      </c>
      <c r="D957" s="73"/>
      <c r="E957" s="70"/>
      <c r="F957" s="70" t="s">
        <v>3399</v>
      </c>
      <c r="G957" s="73"/>
      <c r="H957" s="76" t="s">
        <v>3753</v>
      </c>
      <c r="I957" s="96" t="s">
        <v>502</v>
      </c>
      <c r="J957" s="96"/>
      <c r="K957" s="76"/>
      <c r="L957" s="76"/>
      <c r="M957" s="76"/>
      <c r="N957" s="76"/>
      <c r="O957" s="76"/>
      <c r="P957" s="76"/>
      <c r="Q957" s="76"/>
      <c r="R957" s="76"/>
      <c r="S957" s="76"/>
      <c r="T957" s="76"/>
      <c r="U957" s="97">
        <v>0</v>
      </c>
      <c r="V957" s="255">
        <f t="shared" si="246"/>
        <v>0</v>
      </c>
      <c r="W957" s="255">
        <f t="shared" ref="W957:W958" si="255">U957</f>
        <v>0</v>
      </c>
      <c r="X957" s="255">
        <f t="shared" ref="X957:X958" si="256">V957</f>
        <v>0</v>
      </c>
      <c r="Y957" s="255">
        <f t="shared" ref="Y957:Y958" si="257">V957</f>
        <v>0</v>
      </c>
      <c r="Z957" s="255">
        <f t="shared" si="250"/>
        <v>0</v>
      </c>
      <c r="AA957" s="97">
        <f>U957</f>
        <v>0</v>
      </c>
      <c r="AB957" s="255">
        <f t="shared" si="251"/>
        <v>0</v>
      </c>
      <c r="AC957" s="255">
        <f t="shared" si="252"/>
        <v>0</v>
      </c>
      <c r="AD957" s="255">
        <f t="shared" si="253"/>
        <v>0</v>
      </c>
      <c r="AE957" s="76"/>
      <c r="AF957" s="97" t="s">
        <v>3369</v>
      </c>
      <c r="AG957" s="76"/>
      <c r="AH957" s="76">
        <v>1</v>
      </c>
      <c r="AI957" s="76">
        <v>1</v>
      </c>
      <c r="AJ957" s="73"/>
      <c r="AK957" s="57"/>
      <c r="AL957" s="45"/>
      <c r="AM957" s="45"/>
      <c r="AN957" s="45"/>
    </row>
    <row r="958" spans="1:40" hidden="1" outlineLevel="2" x14ac:dyDescent="0.35">
      <c r="A958" s="45"/>
      <c r="B958" s="54"/>
      <c r="C958" s="47">
        <f t="shared" si="235"/>
        <v>3</v>
      </c>
      <c r="D958" s="73"/>
      <c r="E958" s="70"/>
      <c r="F958" s="70" t="s">
        <v>3400</v>
      </c>
      <c r="G958" s="73"/>
      <c r="H958" s="76" t="s">
        <v>2511</v>
      </c>
      <c r="I958" s="96" t="s">
        <v>502</v>
      </c>
      <c r="J958" s="96"/>
      <c r="K958" s="76"/>
      <c r="L958" s="76"/>
      <c r="M958" s="76"/>
      <c r="N958" s="76"/>
      <c r="O958" s="76"/>
      <c r="P958" s="76"/>
      <c r="Q958" s="76"/>
      <c r="R958" s="76"/>
      <c r="S958" s="76"/>
      <c r="T958" s="76"/>
      <c r="U958" s="97">
        <v>0</v>
      </c>
      <c r="V958" s="255">
        <f t="shared" si="246"/>
        <v>0</v>
      </c>
      <c r="W958" s="255">
        <f t="shared" si="255"/>
        <v>0</v>
      </c>
      <c r="X958" s="255">
        <f t="shared" si="256"/>
        <v>0</v>
      </c>
      <c r="Y958" s="255">
        <f t="shared" si="257"/>
        <v>0</v>
      </c>
      <c r="Z958" s="255">
        <f t="shared" si="250"/>
        <v>0</v>
      </c>
      <c r="AA958" s="97">
        <f t="shared" ref="AA958:AA959" si="258">U958</f>
        <v>0</v>
      </c>
      <c r="AB958" s="255">
        <f t="shared" si="251"/>
        <v>0</v>
      </c>
      <c r="AC958" s="255">
        <f t="shared" si="252"/>
        <v>0</v>
      </c>
      <c r="AD958" s="255">
        <f t="shared" si="253"/>
        <v>0</v>
      </c>
      <c r="AE958" s="76"/>
      <c r="AF958" s="97" t="s">
        <v>3386</v>
      </c>
      <c r="AG958" s="76"/>
      <c r="AH958" s="97">
        <v>1</v>
      </c>
      <c r="AI958" s="97">
        <v>1</v>
      </c>
      <c r="AJ958" s="73"/>
      <c r="AK958" s="57"/>
      <c r="AL958" s="45"/>
      <c r="AM958" s="45"/>
      <c r="AN958" s="45"/>
    </row>
    <row r="959" spans="1:40" hidden="1" outlineLevel="2" x14ac:dyDescent="0.35">
      <c r="A959" s="45"/>
      <c r="B959" s="54"/>
      <c r="C959" s="47">
        <f t="shared" si="235"/>
        <v>3</v>
      </c>
      <c r="D959" s="73"/>
      <c r="E959" s="70"/>
      <c r="F959" s="70" t="s">
        <v>3401</v>
      </c>
      <c r="G959" s="73"/>
      <c r="H959" s="76" t="s">
        <v>2512</v>
      </c>
      <c r="I959" s="96" t="s">
        <v>502</v>
      </c>
      <c r="J959" s="96"/>
      <c r="K959" s="76"/>
      <c r="L959" s="76"/>
      <c r="M959" s="76"/>
      <c r="N959" s="76"/>
      <c r="O959" s="76"/>
      <c r="P959" s="76"/>
      <c r="Q959" s="76"/>
      <c r="R959" s="76"/>
      <c r="S959" s="76"/>
      <c r="T959" s="76"/>
      <c r="U959" s="97">
        <v>-5.5010000000000003E-2</v>
      </c>
      <c r="V959" s="255">
        <f t="shared" si="246"/>
        <v>-5.5010000000000003E-2</v>
      </c>
      <c r="W959" s="255">
        <f>U959</f>
        <v>-5.5010000000000003E-2</v>
      </c>
      <c r="X959" s="255">
        <f>V959</f>
        <v>-5.5010000000000003E-2</v>
      </c>
      <c r="Y959" s="255">
        <f>V959</f>
        <v>-5.5010000000000003E-2</v>
      </c>
      <c r="Z959" s="255">
        <f t="shared" si="250"/>
        <v>-5.5010000000000003E-2</v>
      </c>
      <c r="AA959" s="97">
        <f t="shared" si="258"/>
        <v>-5.5010000000000003E-2</v>
      </c>
      <c r="AB959" s="255">
        <f t="shared" si="251"/>
        <v>-5.5010000000000003E-2</v>
      </c>
      <c r="AC959" s="255">
        <f t="shared" si="252"/>
        <v>-5.5010000000000003E-2</v>
      </c>
      <c r="AD959" s="255">
        <f t="shared" si="253"/>
        <v>-5.5010000000000003E-2</v>
      </c>
      <c r="AE959" s="76"/>
      <c r="AF959" s="97"/>
      <c r="AG959" s="76"/>
      <c r="AH959" s="97">
        <v>1</v>
      </c>
      <c r="AI959" s="97">
        <v>1</v>
      </c>
      <c r="AJ959" s="73"/>
      <c r="AK959" s="57"/>
      <c r="AL959" s="45"/>
      <c r="AM959" s="45"/>
      <c r="AN959" s="45"/>
    </row>
    <row r="960" spans="1:40" hidden="1" outlineLevel="2" x14ac:dyDescent="0.35">
      <c r="A960" s="45"/>
      <c r="B960" s="54"/>
      <c r="C960" s="47">
        <f t="shared" si="235"/>
        <v>3</v>
      </c>
      <c r="D960" s="73"/>
      <c r="E960" s="70"/>
      <c r="F960" s="70" t="s">
        <v>3402</v>
      </c>
      <c r="G960" s="73"/>
      <c r="H960" s="76" t="s">
        <v>2513</v>
      </c>
      <c r="I960" s="96" t="s">
        <v>502</v>
      </c>
      <c r="J960" s="96"/>
      <c r="K960" s="76"/>
      <c r="L960" s="76"/>
      <c r="M960" s="76"/>
      <c r="N960" s="76"/>
      <c r="O960" s="76"/>
      <c r="P960" s="76"/>
      <c r="Q960" s="76"/>
      <c r="R960" s="76"/>
      <c r="S960" s="76"/>
      <c r="T960" s="76"/>
      <c r="U960" s="253">
        <f>U959</f>
        <v>-5.5010000000000003E-2</v>
      </c>
      <c r="V960" s="76">
        <f t="shared" si="246"/>
        <v>-5.5010000000000003E-2</v>
      </c>
      <c r="W960" s="76">
        <f>U960</f>
        <v>-5.5010000000000003E-2</v>
      </c>
      <c r="X960" s="76">
        <f>V960</f>
        <v>-5.5010000000000003E-2</v>
      </c>
      <c r="Y960" s="76">
        <f>V960</f>
        <v>-5.5010000000000003E-2</v>
      </c>
      <c r="Z960" s="76">
        <f t="shared" si="250"/>
        <v>-5.5010000000000003E-2</v>
      </c>
      <c r="AA960" s="253">
        <f>AA959</f>
        <v>-5.5010000000000003E-2</v>
      </c>
      <c r="AB960" s="76">
        <f t="shared" si="251"/>
        <v>-5.5010000000000003E-2</v>
      </c>
      <c r="AC960" s="76">
        <f t="shared" si="252"/>
        <v>-5.5010000000000003E-2</v>
      </c>
      <c r="AD960" s="76">
        <f t="shared" si="253"/>
        <v>-5.5010000000000003E-2</v>
      </c>
      <c r="AE960" s="76"/>
      <c r="AF960" s="264" t="s">
        <v>3368</v>
      </c>
      <c r="AG960" s="76"/>
      <c r="AH960" s="76">
        <v>1</v>
      </c>
      <c r="AI960" s="76">
        <v>1</v>
      </c>
      <c r="AJ960" s="73"/>
      <c r="AK960" s="57"/>
      <c r="AL960" s="45"/>
      <c r="AM960" s="45"/>
      <c r="AN960" s="45"/>
    </row>
    <row r="961" spans="1:40" hidden="1" outlineLevel="2" x14ac:dyDescent="0.35">
      <c r="A961" s="45"/>
      <c r="B961" s="54"/>
      <c r="C961" s="47">
        <f t="shared" si="235"/>
        <v>3</v>
      </c>
      <c r="D961" s="73"/>
      <c r="E961" s="70"/>
      <c r="F961" s="70" t="s">
        <v>3403</v>
      </c>
      <c r="G961" s="73"/>
      <c r="H961" s="76" t="s">
        <v>3754</v>
      </c>
      <c r="I961" s="96" t="s">
        <v>502</v>
      </c>
      <c r="J961" s="96"/>
      <c r="K961" s="76"/>
      <c r="L961" s="76"/>
      <c r="M961" s="76"/>
      <c r="N961" s="76"/>
      <c r="O961" s="76"/>
      <c r="P961" s="76"/>
      <c r="Q961" s="76"/>
      <c r="R961" s="76"/>
      <c r="S961" s="76"/>
      <c r="T961" s="76"/>
      <c r="U961" s="97">
        <v>0</v>
      </c>
      <c r="V961" s="255">
        <f t="shared" ref="V961:V964" si="259">U961</f>
        <v>0</v>
      </c>
      <c r="W961" s="255">
        <f t="shared" ref="W961:W962" si="260">U961</f>
        <v>0</v>
      </c>
      <c r="X961" s="255">
        <f t="shared" ref="X961:X962" si="261">V961</f>
        <v>0</v>
      </c>
      <c r="Y961" s="255">
        <f t="shared" ref="Y961:Y962" si="262">V961</f>
        <v>0</v>
      </c>
      <c r="Z961" s="255">
        <f t="shared" ref="Z961:Z964" si="263">AA961</f>
        <v>0</v>
      </c>
      <c r="AA961" s="97">
        <f>U961</f>
        <v>0</v>
      </c>
      <c r="AB961" s="255">
        <f t="shared" ref="AB961:AB964" si="264">AA961</f>
        <v>0</v>
      </c>
      <c r="AC961" s="255">
        <f t="shared" ref="AC961:AC964" si="265">AB961</f>
        <v>0</v>
      </c>
      <c r="AD961" s="255">
        <f t="shared" ref="AD961:AD964" si="266">AC961</f>
        <v>0</v>
      </c>
      <c r="AE961" s="76"/>
      <c r="AF961" s="97" t="s">
        <v>3369</v>
      </c>
      <c r="AG961" s="76"/>
      <c r="AH961" s="76">
        <v>1</v>
      </c>
      <c r="AI961" s="76">
        <v>1</v>
      </c>
      <c r="AJ961" s="73"/>
      <c r="AK961" s="57"/>
      <c r="AL961" s="45"/>
      <c r="AM961" s="45"/>
      <c r="AN961" s="45"/>
    </row>
    <row r="962" spans="1:40" hidden="1" outlineLevel="2" x14ac:dyDescent="0.35">
      <c r="A962" s="45"/>
      <c r="B962" s="54"/>
      <c r="C962" s="47">
        <f t="shared" si="235"/>
        <v>3</v>
      </c>
      <c r="D962" s="73"/>
      <c r="E962" s="70"/>
      <c r="F962" s="70" t="s">
        <v>3404</v>
      </c>
      <c r="G962" s="73"/>
      <c r="H962" s="76" t="s">
        <v>2511</v>
      </c>
      <c r="I962" s="96" t="s">
        <v>502</v>
      </c>
      <c r="J962" s="96"/>
      <c r="K962" s="76"/>
      <c r="L962" s="76"/>
      <c r="M962" s="76"/>
      <c r="N962" s="76"/>
      <c r="O962" s="76"/>
      <c r="P962" s="76"/>
      <c r="Q962" s="76"/>
      <c r="R962" s="76"/>
      <c r="S962" s="76"/>
      <c r="T962" s="76"/>
      <c r="U962" s="97">
        <v>0</v>
      </c>
      <c r="V962" s="255">
        <f t="shared" si="259"/>
        <v>0</v>
      </c>
      <c r="W962" s="255">
        <f t="shared" si="260"/>
        <v>0</v>
      </c>
      <c r="X962" s="255">
        <f t="shared" si="261"/>
        <v>0</v>
      </c>
      <c r="Y962" s="255">
        <f t="shared" si="262"/>
        <v>0</v>
      </c>
      <c r="Z962" s="255">
        <f t="shared" si="263"/>
        <v>0</v>
      </c>
      <c r="AA962" s="97">
        <f t="shared" ref="AA962:AA963" si="267">U962</f>
        <v>0</v>
      </c>
      <c r="AB962" s="255">
        <f t="shared" si="264"/>
        <v>0</v>
      </c>
      <c r="AC962" s="255">
        <f t="shared" si="265"/>
        <v>0</v>
      </c>
      <c r="AD962" s="255">
        <f t="shared" si="266"/>
        <v>0</v>
      </c>
      <c r="AE962" s="76"/>
      <c r="AF962" s="97" t="s">
        <v>3386</v>
      </c>
      <c r="AG962" s="76"/>
      <c r="AH962" s="97">
        <v>1</v>
      </c>
      <c r="AI962" s="97">
        <v>1</v>
      </c>
      <c r="AJ962" s="73"/>
      <c r="AK962" s="57"/>
      <c r="AL962" s="45"/>
      <c r="AM962" s="45"/>
      <c r="AN962" s="45"/>
    </row>
    <row r="963" spans="1:40" hidden="1" outlineLevel="2" x14ac:dyDescent="0.35">
      <c r="A963" s="45"/>
      <c r="B963" s="54"/>
      <c r="C963" s="47">
        <f t="shared" si="235"/>
        <v>3</v>
      </c>
      <c r="D963" s="73"/>
      <c r="E963" s="70"/>
      <c r="F963" s="70" t="s">
        <v>3405</v>
      </c>
      <c r="G963" s="73"/>
      <c r="H963" s="76" t="s">
        <v>2512</v>
      </c>
      <c r="I963" s="96" t="s">
        <v>502</v>
      </c>
      <c r="J963" s="96"/>
      <c r="K963" s="76"/>
      <c r="L963" s="76"/>
      <c r="M963" s="76"/>
      <c r="N963" s="76"/>
      <c r="O963" s="76"/>
      <c r="P963" s="76"/>
      <c r="Q963" s="76"/>
      <c r="R963" s="76"/>
      <c r="S963" s="76"/>
      <c r="T963" s="76"/>
      <c r="U963" s="97">
        <v>0</v>
      </c>
      <c r="V963" s="255">
        <f t="shared" si="259"/>
        <v>0</v>
      </c>
      <c r="W963" s="255">
        <f>U963</f>
        <v>0</v>
      </c>
      <c r="X963" s="255">
        <f>V963</f>
        <v>0</v>
      </c>
      <c r="Y963" s="255">
        <f>V963</f>
        <v>0</v>
      </c>
      <c r="Z963" s="255">
        <f t="shared" si="263"/>
        <v>0</v>
      </c>
      <c r="AA963" s="97">
        <f t="shared" si="267"/>
        <v>0</v>
      </c>
      <c r="AB963" s="255">
        <f t="shared" si="264"/>
        <v>0</v>
      </c>
      <c r="AC963" s="255">
        <f t="shared" si="265"/>
        <v>0</v>
      </c>
      <c r="AD963" s="255">
        <f t="shared" si="266"/>
        <v>0</v>
      </c>
      <c r="AE963" s="76"/>
      <c r="AF963" s="97"/>
      <c r="AG963" s="76"/>
      <c r="AH963" s="97">
        <v>1</v>
      </c>
      <c r="AI963" s="97">
        <v>1</v>
      </c>
      <c r="AJ963" s="73"/>
      <c r="AK963" s="57"/>
      <c r="AL963" s="45"/>
      <c r="AM963" s="45"/>
      <c r="AN963" s="45"/>
    </row>
    <row r="964" spans="1:40" hidden="1" outlineLevel="2" x14ac:dyDescent="0.35">
      <c r="A964" s="45"/>
      <c r="B964" s="54"/>
      <c r="C964" s="47">
        <f t="shared" si="235"/>
        <v>3</v>
      </c>
      <c r="D964" s="73"/>
      <c r="E964" s="70"/>
      <c r="F964" s="70" t="s">
        <v>3406</v>
      </c>
      <c r="G964" s="73"/>
      <c r="H964" s="76" t="s">
        <v>2513</v>
      </c>
      <c r="I964" s="96" t="s">
        <v>502</v>
      </c>
      <c r="J964" s="96"/>
      <c r="K964" s="76"/>
      <c r="L964" s="76"/>
      <c r="M964" s="76"/>
      <c r="N964" s="76"/>
      <c r="O964" s="76"/>
      <c r="P964" s="76"/>
      <c r="Q964" s="76"/>
      <c r="R964" s="76"/>
      <c r="S964" s="76"/>
      <c r="T964" s="76"/>
      <c r="U964" s="253">
        <f>U963</f>
        <v>0</v>
      </c>
      <c r="V964" s="76">
        <f t="shared" si="259"/>
        <v>0</v>
      </c>
      <c r="W964" s="76">
        <f>U964</f>
        <v>0</v>
      </c>
      <c r="X964" s="76">
        <f>V964</f>
        <v>0</v>
      </c>
      <c r="Y964" s="76">
        <f>V964</f>
        <v>0</v>
      </c>
      <c r="Z964" s="76">
        <f t="shared" si="263"/>
        <v>0</v>
      </c>
      <c r="AA964" s="253">
        <f>AA963</f>
        <v>0</v>
      </c>
      <c r="AB964" s="76">
        <f t="shared" si="264"/>
        <v>0</v>
      </c>
      <c r="AC964" s="76">
        <f t="shared" si="265"/>
        <v>0</v>
      </c>
      <c r="AD964" s="76">
        <f t="shared" si="266"/>
        <v>0</v>
      </c>
      <c r="AE964" s="76"/>
      <c r="AF964" s="264" t="s">
        <v>3368</v>
      </c>
      <c r="AG964" s="76"/>
      <c r="AH964" s="76">
        <v>1</v>
      </c>
      <c r="AI964" s="76">
        <v>1</v>
      </c>
      <c r="AJ964" s="73"/>
      <c r="AK964" s="57"/>
      <c r="AL964" s="45"/>
      <c r="AM964" s="45"/>
      <c r="AN964" s="45"/>
    </row>
    <row r="965" spans="1:40" hidden="1" outlineLevel="2" x14ac:dyDescent="0.35">
      <c r="A965" s="45"/>
      <c r="B965" s="54"/>
      <c r="C965" s="47">
        <f t="shared" si="235"/>
        <v>3</v>
      </c>
      <c r="D965" s="73"/>
      <c r="E965" s="70"/>
      <c r="F965" s="70" t="s">
        <v>3407</v>
      </c>
      <c r="G965" s="73"/>
      <c r="H965" s="76" t="s">
        <v>3755</v>
      </c>
      <c r="I965" s="96" t="s">
        <v>502</v>
      </c>
      <c r="J965" s="96"/>
      <c r="K965" s="76"/>
      <c r="L965" s="76"/>
      <c r="M965" s="76"/>
      <c r="N965" s="76"/>
      <c r="O965" s="76"/>
      <c r="P965" s="76"/>
      <c r="Q965" s="76"/>
      <c r="R965" s="76"/>
      <c r="S965" s="76"/>
      <c r="T965" s="76"/>
      <c r="U965" s="97">
        <v>0</v>
      </c>
      <c r="V965" s="255">
        <f t="shared" si="246"/>
        <v>0</v>
      </c>
      <c r="W965" s="255">
        <f t="shared" ref="W965:W966" si="268">U965</f>
        <v>0</v>
      </c>
      <c r="X965" s="255">
        <f t="shared" ref="X965:X966" si="269">V965</f>
        <v>0</v>
      </c>
      <c r="Y965" s="255">
        <f t="shared" ref="Y965:Y966" si="270">V965</f>
        <v>0</v>
      </c>
      <c r="Z965" s="255">
        <f t="shared" si="250"/>
        <v>0</v>
      </c>
      <c r="AA965" s="97">
        <f>U965</f>
        <v>0</v>
      </c>
      <c r="AB965" s="255">
        <f t="shared" si="251"/>
        <v>0</v>
      </c>
      <c r="AC965" s="255">
        <f t="shared" si="252"/>
        <v>0</v>
      </c>
      <c r="AD965" s="255">
        <f t="shared" si="253"/>
        <v>0</v>
      </c>
      <c r="AE965" s="76"/>
      <c r="AF965" s="97" t="s">
        <v>3369</v>
      </c>
      <c r="AG965" s="76"/>
      <c r="AH965" s="76">
        <v>1</v>
      </c>
      <c r="AI965" s="76">
        <v>1</v>
      </c>
      <c r="AJ965" s="73"/>
      <c r="AK965" s="57"/>
      <c r="AL965" s="45"/>
      <c r="AM965" s="45"/>
      <c r="AN965" s="45"/>
    </row>
    <row r="966" spans="1:40" hidden="1" outlineLevel="2" x14ac:dyDescent="0.35">
      <c r="A966" s="45"/>
      <c r="B966" s="54"/>
      <c r="C966" s="47">
        <f t="shared" si="235"/>
        <v>3</v>
      </c>
      <c r="D966" s="73"/>
      <c r="E966" s="70"/>
      <c r="F966" s="70" t="s">
        <v>3408</v>
      </c>
      <c r="G966" s="73"/>
      <c r="H966" s="76" t="s">
        <v>2511</v>
      </c>
      <c r="I966" s="96" t="s">
        <v>502</v>
      </c>
      <c r="J966" s="96"/>
      <c r="K966" s="76"/>
      <c r="L966" s="76"/>
      <c r="M966" s="76"/>
      <c r="N966" s="76"/>
      <c r="O966" s="76"/>
      <c r="P966" s="76"/>
      <c r="Q966" s="76"/>
      <c r="R966" s="76"/>
      <c r="S966" s="76"/>
      <c r="T966" s="76"/>
      <c r="U966" s="97">
        <v>0</v>
      </c>
      <c r="V966" s="255">
        <f t="shared" si="246"/>
        <v>0</v>
      </c>
      <c r="W966" s="255">
        <f t="shared" si="268"/>
        <v>0</v>
      </c>
      <c r="X966" s="255">
        <f t="shared" si="269"/>
        <v>0</v>
      </c>
      <c r="Y966" s="255">
        <f t="shared" si="270"/>
        <v>0</v>
      </c>
      <c r="Z966" s="255">
        <f t="shared" si="250"/>
        <v>0</v>
      </c>
      <c r="AA966" s="97">
        <f t="shared" ref="AA966:AA967" si="271">U966</f>
        <v>0</v>
      </c>
      <c r="AB966" s="255">
        <f t="shared" si="251"/>
        <v>0</v>
      </c>
      <c r="AC966" s="255">
        <f t="shared" si="252"/>
        <v>0</v>
      </c>
      <c r="AD966" s="255">
        <f t="shared" si="253"/>
        <v>0</v>
      </c>
      <c r="AE966" s="76"/>
      <c r="AF966" s="97" t="s">
        <v>3386</v>
      </c>
      <c r="AG966" s="76"/>
      <c r="AH966" s="97">
        <v>1</v>
      </c>
      <c r="AI966" s="97">
        <v>1</v>
      </c>
      <c r="AJ966" s="73"/>
      <c r="AK966" s="57"/>
      <c r="AL966" s="45"/>
      <c r="AM966" s="45"/>
      <c r="AN966" s="45"/>
    </row>
    <row r="967" spans="1:40" hidden="1" outlineLevel="2" x14ac:dyDescent="0.35">
      <c r="A967" s="45"/>
      <c r="B967" s="54"/>
      <c r="C967" s="47">
        <f t="shared" si="235"/>
        <v>3</v>
      </c>
      <c r="D967" s="73"/>
      <c r="E967" s="70"/>
      <c r="F967" s="70" t="s">
        <v>3409</v>
      </c>
      <c r="G967" s="73"/>
      <c r="H967" s="76" t="s">
        <v>2512</v>
      </c>
      <c r="I967" s="96" t="s">
        <v>502</v>
      </c>
      <c r="J967" s="96"/>
      <c r="K967" s="76"/>
      <c r="L967" s="76"/>
      <c r="M967" s="76"/>
      <c r="N967" s="76"/>
      <c r="O967" s="76"/>
      <c r="P967" s="76"/>
      <c r="Q967" s="76"/>
      <c r="R967" s="76"/>
      <c r="S967" s="76"/>
      <c r="T967" s="76"/>
      <c r="U967" s="97">
        <v>9.2600000000000002E-2</v>
      </c>
      <c r="V967" s="255">
        <f t="shared" si="246"/>
        <v>9.2600000000000002E-2</v>
      </c>
      <c r="W967" s="255">
        <f>U967</f>
        <v>9.2600000000000002E-2</v>
      </c>
      <c r="X967" s="255">
        <f>V967</f>
        <v>9.2600000000000002E-2</v>
      </c>
      <c r="Y967" s="255">
        <f>V967</f>
        <v>9.2600000000000002E-2</v>
      </c>
      <c r="Z967" s="255">
        <f t="shared" si="250"/>
        <v>9.2600000000000002E-2</v>
      </c>
      <c r="AA967" s="97">
        <f t="shared" si="271"/>
        <v>9.2600000000000002E-2</v>
      </c>
      <c r="AB967" s="255">
        <f t="shared" si="251"/>
        <v>9.2600000000000002E-2</v>
      </c>
      <c r="AC967" s="255">
        <f t="shared" si="252"/>
        <v>9.2600000000000002E-2</v>
      </c>
      <c r="AD967" s="255">
        <f t="shared" si="253"/>
        <v>9.2600000000000002E-2</v>
      </c>
      <c r="AE967" s="76"/>
      <c r="AF967" s="97"/>
      <c r="AG967" s="76"/>
      <c r="AH967" s="97">
        <v>1</v>
      </c>
      <c r="AI967" s="97">
        <v>1</v>
      </c>
      <c r="AJ967" s="73"/>
      <c r="AK967" s="57"/>
      <c r="AL967" s="45"/>
      <c r="AM967" s="45"/>
      <c r="AN967" s="45"/>
    </row>
    <row r="968" spans="1:40" hidden="1" outlineLevel="2" x14ac:dyDescent="0.35">
      <c r="A968" s="45"/>
      <c r="B968" s="54"/>
      <c r="C968" s="47">
        <f t="shared" si="235"/>
        <v>3</v>
      </c>
      <c r="D968" s="73"/>
      <c r="E968" s="70"/>
      <c r="F968" s="70" t="s">
        <v>3410</v>
      </c>
      <c r="G968" s="73"/>
      <c r="H968" s="76" t="s">
        <v>2513</v>
      </c>
      <c r="I968" s="96" t="s">
        <v>502</v>
      </c>
      <c r="J968" s="96"/>
      <c r="K968" s="76"/>
      <c r="L968" s="76"/>
      <c r="M968" s="76"/>
      <c r="N968" s="76"/>
      <c r="O968" s="76"/>
      <c r="P968" s="76"/>
      <c r="Q968" s="76"/>
      <c r="R968" s="76"/>
      <c r="S968" s="76"/>
      <c r="T968" s="76"/>
      <c r="U968" s="253">
        <f>U967</f>
        <v>9.2600000000000002E-2</v>
      </c>
      <c r="V968" s="76">
        <f t="shared" si="246"/>
        <v>9.2600000000000002E-2</v>
      </c>
      <c r="W968" s="76">
        <f>U968</f>
        <v>9.2600000000000002E-2</v>
      </c>
      <c r="X968" s="76">
        <f>V968</f>
        <v>9.2600000000000002E-2</v>
      </c>
      <c r="Y968" s="76">
        <f>V968</f>
        <v>9.2600000000000002E-2</v>
      </c>
      <c r="Z968" s="76">
        <f t="shared" si="250"/>
        <v>9.2600000000000002E-2</v>
      </c>
      <c r="AA968" s="253">
        <f>AA967</f>
        <v>9.2600000000000002E-2</v>
      </c>
      <c r="AB968" s="76">
        <f t="shared" si="251"/>
        <v>9.2600000000000002E-2</v>
      </c>
      <c r="AC968" s="76">
        <f t="shared" si="252"/>
        <v>9.2600000000000002E-2</v>
      </c>
      <c r="AD968" s="76">
        <f t="shared" si="253"/>
        <v>9.2600000000000002E-2</v>
      </c>
      <c r="AE968" s="76"/>
      <c r="AF968" s="264" t="s">
        <v>3368</v>
      </c>
      <c r="AG968" s="76"/>
      <c r="AH968" s="76">
        <v>1</v>
      </c>
      <c r="AI968" s="76">
        <v>1</v>
      </c>
      <c r="AJ968" s="73"/>
      <c r="AK968" s="57"/>
      <c r="AL968" s="45"/>
      <c r="AM968" s="45"/>
      <c r="AN968" s="45"/>
    </row>
    <row r="969" spans="1:40" hidden="1" outlineLevel="2" x14ac:dyDescent="0.35">
      <c r="A969" s="45"/>
      <c r="B969" s="54"/>
      <c r="C969" s="47">
        <f t="shared" si="235"/>
        <v>3</v>
      </c>
      <c r="D969" s="73"/>
      <c r="E969" s="70"/>
      <c r="F969" s="70" t="s">
        <v>3411</v>
      </c>
      <c r="G969" s="73"/>
      <c r="H969" s="76" t="s">
        <v>3756</v>
      </c>
      <c r="I969" s="96" t="s">
        <v>502</v>
      </c>
      <c r="J969" s="96"/>
      <c r="K969" s="76"/>
      <c r="L969" s="76"/>
      <c r="M969" s="76"/>
      <c r="N969" s="76"/>
      <c r="O969" s="76"/>
      <c r="P969" s="76"/>
      <c r="Q969" s="76"/>
      <c r="R969" s="76"/>
      <c r="S969" s="76"/>
      <c r="T969" s="76"/>
      <c r="U969" s="97">
        <v>0</v>
      </c>
      <c r="V969" s="255">
        <f t="shared" ref="V969:V976" si="272">U969</f>
        <v>0</v>
      </c>
      <c r="W969" s="255">
        <f t="shared" ref="W969:W970" si="273">U969</f>
        <v>0</v>
      </c>
      <c r="X969" s="255">
        <f t="shared" ref="X969:X970" si="274">V969</f>
        <v>0</v>
      </c>
      <c r="Y969" s="255">
        <f t="shared" ref="Y969:Y970" si="275">V969</f>
        <v>0</v>
      </c>
      <c r="Z969" s="255">
        <f t="shared" ref="Z969:Z976" si="276">AA969</f>
        <v>0</v>
      </c>
      <c r="AA969" s="97">
        <f>U969</f>
        <v>0</v>
      </c>
      <c r="AB969" s="255">
        <f t="shared" ref="AB969:AB976" si="277">AA969</f>
        <v>0</v>
      </c>
      <c r="AC969" s="255">
        <f t="shared" ref="AC969:AC976" si="278">AB969</f>
        <v>0</v>
      </c>
      <c r="AD969" s="255">
        <f t="shared" ref="AD969:AD976" si="279">AC969</f>
        <v>0</v>
      </c>
      <c r="AE969" s="76"/>
      <c r="AF969" s="97" t="s">
        <v>3369</v>
      </c>
      <c r="AG969" s="76"/>
      <c r="AH969" s="76">
        <v>1</v>
      </c>
      <c r="AI969" s="76">
        <v>1</v>
      </c>
      <c r="AJ969" s="73"/>
      <c r="AK969" s="57"/>
      <c r="AL969" s="45"/>
      <c r="AM969" s="45"/>
      <c r="AN969" s="45"/>
    </row>
    <row r="970" spans="1:40" hidden="1" outlineLevel="2" x14ac:dyDescent="0.35">
      <c r="A970" s="45"/>
      <c r="B970" s="54"/>
      <c r="C970" s="47">
        <f t="shared" si="235"/>
        <v>3</v>
      </c>
      <c r="D970" s="73"/>
      <c r="E970" s="70"/>
      <c r="F970" s="70" t="s">
        <v>3412</v>
      </c>
      <c r="G970" s="73"/>
      <c r="H970" s="76" t="s">
        <v>2511</v>
      </c>
      <c r="I970" s="96" t="s">
        <v>502</v>
      </c>
      <c r="J970" s="96"/>
      <c r="K970" s="76"/>
      <c r="L970" s="76"/>
      <c r="M970" s="76"/>
      <c r="N970" s="76"/>
      <c r="O970" s="76"/>
      <c r="P970" s="76"/>
      <c r="Q970" s="76"/>
      <c r="R970" s="76"/>
      <c r="S970" s="76"/>
      <c r="T970" s="76"/>
      <c r="U970" s="97">
        <v>0</v>
      </c>
      <c r="V970" s="255">
        <f t="shared" si="272"/>
        <v>0</v>
      </c>
      <c r="W970" s="255">
        <f t="shared" si="273"/>
        <v>0</v>
      </c>
      <c r="X970" s="255">
        <f t="shared" si="274"/>
        <v>0</v>
      </c>
      <c r="Y970" s="255">
        <f t="shared" si="275"/>
        <v>0</v>
      </c>
      <c r="Z970" s="255">
        <f t="shared" si="276"/>
        <v>0</v>
      </c>
      <c r="AA970" s="97">
        <f t="shared" ref="AA970:AA971" si="280">U970</f>
        <v>0</v>
      </c>
      <c r="AB970" s="255">
        <f t="shared" si="277"/>
        <v>0</v>
      </c>
      <c r="AC970" s="255">
        <f t="shared" si="278"/>
        <v>0</v>
      </c>
      <c r="AD970" s="255">
        <f t="shared" si="279"/>
        <v>0</v>
      </c>
      <c r="AE970" s="76"/>
      <c r="AF970" s="97" t="s">
        <v>3386</v>
      </c>
      <c r="AG970" s="76"/>
      <c r="AH970" s="97">
        <v>1</v>
      </c>
      <c r="AI970" s="97">
        <v>1</v>
      </c>
      <c r="AJ970" s="73"/>
      <c r="AK970" s="57"/>
      <c r="AL970" s="45"/>
      <c r="AM970" s="45"/>
      <c r="AN970" s="45"/>
    </row>
    <row r="971" spans="1:40" hidden="1" outlineLevel="2" x14ac:dyDescent="0.35">
      <c r="A971" s="45"/>
      <c r="B971" s="54"/>
      <c r="C971" s="47">
        <f t="shared" si="235"/>
        <v>3</v>
      </c>
      <c r="D971" s="73"/>
      <c r="E971" s="70"/>
      <c r="F971" s="70" t="s">
        <v>3413</v>
      </c>
      <c r="G971" s="73"/>
      <c r="H971" s="76" t="s">
        <v>2512</v>
      </c>
      <c r="I971" s="96" t="s">
        <v>502</v>
      </c>
      <c r="J971" s="96"/>
      <c r="K971" s="76"/>
      <c r="L971" s="76"/>
      <c r="M971" s="76"/>
      <c r="N971" s="76"/>
      <c r="O971" s="76"/>
      <c r="P971" s="76"/>
      <c r="Q971" s="76"/>
      <c r="R971" s="76"/>
      <c r="S971" s="76"/>
      <c r="T971" s="76"/>
      <c r="U971" s="97">
        <v>-2.2100000000000001E-4</v>
      </c>
      <c r="V971" s="255">
        <f t="shared" si="272"/>
        <v>-2.2100000000000001E-4</v>
      </c>
      <c r="W971" s="255">
        <f>U971</f>
        <v>-2.2100000000000001E-4</v>
      </c>
      <c r="X971" s="255">
        <f>V971</f>
        <v>-2.2100000000000001E-4</v>
      </c>
      <c r="Y971" s="255">
        <f>V971</f>
        <v>-2.2100000000000001E-4</v>
      </c>
      <c r="Z971" s="255">
        <f t="shared" si="276"/>
        <v>-2.2100000000000001E-4</v>
      </c>
      <c r="AA971" s="97">
        <f t="shared" si="280"/>
        <v>-2.2100000000000001E-4</v>
      </c>
      <c r="AB971" s="255">
        <f t="shared" si="277"/>
        <v>-2.2100000000000001E-4</v>
      </c>
      <c r="AC971" s="255">
        <f t="shared" si="278"/>
        <v>-2.2100000000000001E-4</v>
      </c>
      <c r="AD971" s="255">
        <f t="shared" si="279"/>
        <v>-2.2100000000000001E-4</v>
      </c>
      <c r="AE971" s="76"/>
      <c r="AF971" s="97"/>
      <c r="AG971" s="76"/>
      <c r="AH971" s="97">
        <v>1</v>
      </c>
      <c r="AI971" s="97">
        <v>1</v>
      </c>
      <c r="AJ971" s="73"/>
      <c r="AK971" s="57"/>
      <c r="AL971" s="45"/>
      <c r="AM971" s="45"/>
      <c r="AN971" s="45"/>
    </row>
    <row r="972" spans="1:40" hidden="1" outlineLevel="2" x14ac:dyDescent="0.35">
      <c r="A972" s="45"/>
      <c r="B972" s="54"/>
      <c r="C972" s="47">
        <f t="shared" si="235"/>
        <v>3</v>
      </c>
      <c r="D972" s="73"/>
      <c r="E972" s="70"/>
      <c r="F972" s="70" t="s">
        <v>3414</v>
      </c>
      <c r="G972" s="73"/>
      <c r="H972" s="76" t="s">
        <v>2513</v>
      </c>
      <c r="I972" s="96" t="s">
        <v>502</v>
      </c>
      <c r="J972" s="96"/>
      <c r="K972" s="76"/>
      <c r="L972" s="76"/>
      <c r="M972" s="76"/>
      <c r="N972" s="76"/>
      <c r="O972" s="76"/>
      <c r="P972" s="76"/>
      <c r="Q972" s="76"/>
      <c r="R972" s="76"/>
      <c r="S972" s="76"/>
      <c r="T972" s="76"/>
      <c r="U972" s="253">
        <f>U971</f>
        <v>-2.2100000000000001E-4</v>
      </c>
      <c r="V972" s="76">
        <f t="shared" si="272"/>
        <v>-2.2100000000000001E-4</v>
      </c>
      <c r="W972" s="76">
        <f>U972</f>
        <v>-2.2100000000000001E-4</v>
      </c>
      <c r="X972" s="76">
        <f>V972</f>
        <v>-2.2100000000000001E-4</v>
      </c>
      <c r="Y972" s="76">
        <f>V972</f>
        <v>-2.2100000000000001E-4</v>
      </c>
      <c r="Z972" s="76">
        <f t="shared" si="276"/>
        <v>-2.2100000000000001E-4</v>
      </c>
      <c r="AA972" s="253">
        <f>AA971</f>
        <v>-2.2100000000000001E-4</v>
      </c>
      <c r="AB972" s="76">
        <f t="shared" si="277"/>
        <v>-2.2100000000000001E-4</v>
      </c>
      <c r="AC972" s="76">
        <f t="shared" si="278"/>
        <v>-2.2100000000000001E-4</v>
      </c>
      <c r="AD972" s="76">
        <f t="shared" si="279"/>
        <v>-2.2100000000000001E-4</v>
      </c>
      <c r="AE972" s="76"/>
      <c r="AF972" s="264" t="s">
        <v>3368</v>
      </c>
      <c r="AG972" s="76"/>
      <c r="AH972" s="76">
        <v>1</v>
      </c>
      <c r="AI972" s="76">
        <v>1</v>
      </c>
      <c r="AJ972" s="73"/>
      <c r="AK972" s="57"/>
      <c r="AL972" s="45"/>
      <c r="AM972" s="45"/>
      <c r="AN972" s="45"/>
    </row>
    <row r="973" spans="1:40" hidden="1" outlineLevel="2" x14ac:dyDescent="0.35">
      <c r="A973" s="45"/>
      <c r="B973" s="54"/>
      <c r="C973" s="47">
        <f t="shared" si="235"/>
        <v>3</v>
      </c>
      <c r="D973" s="73"/>
      <c r="E973" s="70"/>
      <c r="F973" s="70" t="s">
        <v>3735</v>
      </c>
      <c r="G973" s="73"/>
      <c r="H973" s="76" t="s">
        <v>3757</v>
      </c>
      <c r="I973" s="96" t="s">
        <v>502</v>
      </c>
      <c r="J973" s="96"/>
      <c r="K973" s="76"/>
      <c r="L973" s="76"/>
      <c r="M973" s="76"/>
      <c r="N973" s="76"/>
      <c r="O973" s="76"/>
      <c r="P973" s="76"/>
      <c r="Q973" s="76"/>
      <c r="R973" s="76"/>
      <c r="S973" s="76"/>
      <c r="T973" s="76"/>
      <c r="U973" s="97">
        <v>0</v>
      </c>
      <c r="V973" s="255">
        <f t="shared" si="272"/>
        <v>0</v>
      </c>
      <c r="W973" s="255">
        <f t="shared" ref="W973:W974" si="281">U973</f>
        <v>0</v>
      </c>
      <c r="X973" s="255">
        <f t="shared" ref="X973:X974" si="282">V973</f>
        <v>0</v>
      </c>
      <c r="Y973" s="255">
        <f t="shared" ref="Y973:Y974" si="283">V973</f>
        <v>0</v>
      </c>
      <c r="Z973" s="255">
        <f t="shared" si="276"/>
        <v>0</v>
      </c>
      <c r="AA973" s="97">
        <f>U973</f>
        <v>0</v>
      </c>
      <c r="AB973" s="255">
        <f t="shared" si="277"/>
        <v>0</v>
      </c>
      <c r="AC973" s="255">
        <f t="shared" si="278"/>
        <v>0</v>
      </c>
      <c r="AD973" s="255">
        <f t="shared" si="279"/>
        <v>0</v>
      </c>
      <c r="AE973" s="76"/>
      <c r="AF973" s="97" t="s">
        <v>3369</v>
      </c>
      <c r="AG973" s="76"/>
      <c r="AH973" s="76">
        <v>1</v>
      </c>
      <c r="AI973" s="76">
        <v>1</v>
      </c>
      <c r="AJ973" s="73"/>
      <c r="AK973" s="57"/>
      <c r="AL973" s="45"/>
      <c r="AM973" s="45"/>
      <c r="AN973" s="45"/>
    </row>
    <row r="974" spans="1:40" hidden="1" outlineLevel="2" x14ac:dyDescent="0.35">
      <c r="A974" s="45"/>
      <c r="B974" s="54"/>
      <c r="C974" s="47">
        <f t="shared" si="235"/>
        <v>3</v>
      </c>
      <c r="D974" s="73"/>
      <c r="E974" s="70"/>
      <c r="F974" s="70" t="s">
        <v>3736</v>
      </c>
      <c r="G974" s="73"/>
      <c r="H974" s="76" t="s">
        <v>2511</v>
      </c>
      <c r="I974" s="96" t="s">
        <v>502</v>
      </c>
      <c r="J974" s="96"/>
      <c r="K974" s="76"/>
      <c r="L974" s="76"/>
      <c r="M974" s="76"/>
      <c r="N974" s="76"/>
      <c r="O974" s="76"/>
      <c r="P974" s="76"/>
      <c r="Q974" s="76"/>
      <c r="R974" s="76"/>
      <c r="S974" s="76"/>
      <c r="T974" s="76"/>
      <c r="U974" s="97">
        <v>0</v>
      </c>
      <c r="V974" s="255">
        <f t="shared" si="272"/>
        <v>0</v>
      </c>
      <c r="W974" s="255">
        <f t="shared" si="281"/>
        <v>0</v>
      </c>
      <c r="X974" s="255">
        <f t="shared" si="282"/>
        <v>0</v>
      </c>
      <c r="Y974" s="255">
        <f t="shared" si="283"/>
        <v>0</v>
      </c>
      <c r="Z974" s="255">
        <f t="shared" si="276"/>
        <v>0</v>
      </c>
      <c r="AA974" s="97">
        <f t="shared" ref="AA974:AA975" si="284">U974</f>
        <v>0</v>
      </c>
      <c r="AB974" s="255">
        <f t="shared" si="277"/>
        <v>0</v>
      </c>
      <c r="AC974" s="255">
        <f t="shared" si="278"/>
        <v>0</v>
      </c>
      <c r="AD974" s="255">
        <f t="shared" si="279"/>
        <v>0</v>
      </c>
      <c r="AE974" s="76"/>
      <c r="AF974" s="97" t="s">
        <v>3386</v>
      </c>
      <c r="AG974" s="76"/>
      <c r="AH974" s="97">
        <v>1</v>
      </c>
      <c r="AI974" s="97">
        <v>1</v>
      </c>
      <c r="AJ974" s="73"/>
      <c r="AK974" s="57"/>
      <c r="AL974" s="45"/>
      <c r="AM974" s="45"/>
      <c r="AN974" s="45"/>
    </row>
    <row r="975" spans="1:40" hidden="1" outlineLevel="2" x14ac:dyDescent="0.35">
      <c r="A975" s="45"/>
      <c r="B975" s="54"/>
      <c r="C975" s="47">
        <f t="shared" si="235"/>
        <v>3</v>
      </c>
      <c r="D975" s="73"/>
      <c r="E975" s="70"/>
      <c r="F975" s="70" t="s">
        <v>3737</v>
      </c>
      <c r="G975" s="73"/>
      <c r="H975" s="76" t="s">
        <v>2512</v>
      </c>
      <c r="I975" s="96" t="s">
        <v>502</v>
      </c>
      <c r="J975" s="96"/>
      <c r="K975" s="76"/>
      <c r="L975" s="76"/>
      <c r="M975" s="76"/>
      <c r="N975" s="76"/>
      <c r="O975" s="76"/>
      <c r="P975" s="76"/>
      <c r="Q975" s="76"/>
      <c r="R975" s="76"/>
      <c r="S975" s="76"/>
      <c r="T975" s="76"/>
      <c r="U975" s="97">
        <v>-6.34</v>
      </c>
      <c r="V975" s="255">
        <f t="shared" si="272"/>
        <v>-6.34</v>
      </c>
      <c r="W975" s="255">
        <f>U975</f>
        <v>-6.34</v>
      </c>
      <c r="X975" s="255">
        <f>V975</f>
        <v>-6.34</v>
      </c>
      <c r="Y975" s="255">
        <f>V975</f>
        <v>-6.34</v>
      </c>
      <c r="Z975" s="255">
        <f t="shared" si="276"/>
        <v>-6.34</v>
      </c>
      <c r="AA975" s="97">
        <f t="shared" si="284"/>
        <v>-6.34</v>
      </c>
      <c r="AB975" s="255">
        <f t="shared" si="277"/>
        <v>-6.34</v>
      </c>
      <c r="AC975" s="255">
        <f t="shared" si="278"/>
        <v>-6.34</v>
      </c>
      <c r="AD975" s="255">
        <f t="shared" si="279"/>
        <v>-6.34</v>
      </c>
      <c r="AE975" s="76"/>
      <c r="AF975" s="97"/>
      <c r="AG975" s="76"/>
      <c r="AH975" s="97">
        <v>1</v>
      </c>
      <c r="AI975" s="97">
        <v>1</v>
      </c>
      <c r="AJ975" s="73"/>
      <c r="AK975" s="57"/>
      <c r="AL975" s="45"/>
      <c r="AM975" s="45"/>
      <c r="AN975" s="45"/>
    </row>
    <row r="976" spans="1:40" hidden="1" outlineLevel="2" x14ac:dyDescent="0.35">
      <c r="A976" s="45"/>
      <c r="B976" s="54"/>
      <c r="C976" s="47">
        <f t="shared" si="235"/>
        <v>3</v>
      </c>
      <c r="D976" s="73"/>
      <c r="E976" s="70"/>
      <c r="F976" s="70" t="s">
        <v>3738</v>
      </c>
      <c r="G976" s="73"/>
      <c r="H976" s="76" t="s">
        <v>2513</v>
      </c>
      <c r="I976" s="96" t="s">
        <v>502</v>
      </c>
      <c r="J976" s="96"/>
      <c r="K976" s="76"/>
      <c r="L976" s="76"/>
      <c r="M976" s="76"/>
      <c r="N976" s="76"/>
      <c r="O976" s="76"/>
      <c r="P976" s="76"/>
      <c r="Q976" s="76"/>
      <c r="R976" s="76"/>
      <c r="S976" s="76"/>
      <c r="T976" s="76"/>
      <c r="U976" s="253">
        <f>U975</f>
        <v>-6.34</v>
      </c>
      <c r="V976" s="76">
        <f t="shared" si="272"/>
        <v>-6.34</v>
      </c>
      <c r="W976" s="76">
        <f>U976</f>
        <v>-6.34</v>
      </c>
      <c r="X976" s="76">
        <f>V976</f>
        <v>-6.34</v>
      </c>
      <c r="Y976" s="76">
        <f>V976</f>
        <v>-6.34</v>
      </c>
      <c r="Z976" s="76">
        <f t="shared" si="276"/>
        <v>-6.34</v>
      </c>
      <c r="AA976" s="253">
        <f>AA975</f>
        <v>-6.34</v>
      </c>
      <c r="AB976" s="76">
        <f t="shared" si="277"/>
        <v>-6.34</v>
      </c>
      <c r="AC976" s="76">
        <f t="shared" si="278"/>
        <v>-6.34</v>
      </c>
      <c r="AD976" s="76">
        <f t="shared" si="279"/>
        <v>-6.34</v>
      </c>
      <c r="AE976" s="76"/>
      <c r="AF976" s="264" t="s">
        <v>3368</v>
      </c>
      <c r="AG976" s="76"/>
      <c r="AH976" s="76">
        <v>1</v>
      </c>
      <c r="AI976" s="76">
        <v>1</v>
      </c>
      <c r="AJ976" s="73"/>
      <c r="AK976" s="57"/>
      <c r="AL976" s="45"/>
      <c r="AM976" s="45"/>
      <c r="AN976" s="45"/>
    </row>
    <row r="977" spans="1:40" hidden="1" outlineLevel="2" x14ac:dyDescent="0.35">
      <c r="A977" s="45"/>
      <c r="B977" s="54"/>
      <c r="C977" s="47">
        <f t="shared" si="235"/>
        <v>3</v>
      </c>
      <c r="D977" s="73"/>
      <c r="E977" s="70"/>
      <c r="F977" s="70" t="s">
        <v>3758</v>
      </c>
      <c r="G977" s="73"/>
      <c r="H977" s="76" t="s">
        <v>3768</v>
      </c>
      <c r="I977" s="96" t="s">
        <v>502</v>
      </c>
      <c r="J977" s="96"/>
      <c r="K977" s="76"/>
      <c r="L977" s="76"/>
      <c r="M977" s="76"/>
      <c r="N977" s="76"/>
      <c r="O977" s="76"/>
      <c r="P977" s="76"/>
      <c r="Q977" s="76"/>
      <c r="R977" s="76"/>
      <c r="S977" s="76"/>
      <c r="T977" s="76"/>
      <c r="U977" s="97">
        <v>0</v>
      </c>
      <c r="V977" s="255">
        <f t="shared" ref="V977:V980" si="285">U977</f>
        <v>0</v>
      </c>
      <c r="W977" s="255">
        <f t="shared" ref="W977:W978" si="286">U977</f>
        <v>0</v>
      </c>
      <c r="X977" s="255">
        <f t="shared" ref="X977:X978" si="287">V977</f>
        <v>0</v>
      </c>
      <c r="Y977" s="255">
        <f t="shared" ref="Y977:Y978" si="288">V977</f>
        <v>0</v>
      </c>
      <c r="Z977" s="255">
        <f t="shared" ref="Z977:Z980" si="289">AA977</f>
        <v>0</v>
      </c>
      <c r="AA977" s="97">
        <f>U977</f>
        <v>0</v>
      </c>
      <c r="AB977" s="255">
        <f t="shared" ref="AB977:AB980" si="290">AA977</f>
        <v>0</v>
      </c>
      <c r="AC977" s="255">
        <f t="shared" ref="AC977:AC980" si="291">AB977</f>
        <v>0</v>
      </c>
      <c r="AD977" s="255">
        <f t="shared" ref="AD977:AD980" si="292">AC977</f>
        <v>0</v>
      </c>
      <c r="AE977" s="76"/>
      <c r="AF977" s="97" t="s">
        <v>3766</v>
      </c>
      <c r="AG977" s="76"/>
      <c r="AH977" s="76">
        <v>1</v>
      </c>
      <c r="AI977" s="76">
        <v>1</v>
      </c>
      <c r="AJ977" s="73"/>
      <c r="AK977" s="57"/>
      <c r="AL977" s="45"/>
      <c r="AM977" s="45"/>
      <c r="AN977" s="45"/>
    </row>
    <row r="978" spans="1:40" hidden="1" outlineLevel="2" x14ac:dyDescent="0.35">
      <c r="A978" s="45"/>
      <c r="B978" s="54"/>
      <c r="C978" s="47">
        <f t="shared" si="235"/>
        <v>3</v>
      </c>
      <c r="D978" s="73"/>
      <c r="E978" s="70"/>
      <c r="F978" s="70" t="s">
        <v>3759</v>
      </c>
      <c r="G978" s="73"/>
      <c r="H978" s="76" t="s">
        <v>2511</v>
      </c>
      <c r="I978" s="96" t="s">
        <v>502</v>
      </c>
      <c r="J978" s="96"/>
      <c r="K978" s="76"/>
      <c r="L978" s="76"/>
      <c r="M978" s="76"/>
      <c r="N978" s="76"/>
      <c r="O978" s="76"/>
      <c r="P978" s="76"/>
      <c r="Q978" s="76"/>
      <c r="R978" s="76"/>
      <c r="S978" s="76"/>
      <c r="T978" s="76"/>
      <c r="U978" s="97">
        <v>0</v>
      </c>
      <c r="V978" s="255">
        <f t="shared" si="285"/>
        <v>0</v>
      </c>
      <c r="W978" s="255">
        <f t="shared" si="286"/>
        <v>0</v>
      </c>
      <c r="X978" s="255">
        <f t="shared" si="287"/>
        <v>0</v>
      </c>
      <c r="Y978" s="255">
        <f t="shared" si="288"/>
        <v>0</v>
      </c>
      <c r="Z978" s="255">
        <f t="shared" si="289"/>
        <v>0</v>
      </c>
      <c r="AA978" s="97">
        <f t="shared" ref="AA978:AA979" si="293">U978</f>
        <v>0</v>
      </c>
      <c r="AB978" s="255">
        <f t="shared" si="290"/>
        <v>0</v>
      </c>
      <c r="AC978" s="255">
        <f t="shared" si="291"/>
        <v>0</v>
      </c>
      <c r="AD978" s="255">
        <f t="shared" si="292"/>
        <v>0</v>
      </c>
      <c r="AE978" s="76"/>
      <c r="AF978" s="97" t="s">
        <v>3767</v>
      </c>
      <c r="AG978" s="76"/>
      <c r="AH978" s="97">
        <v>1</v>
      </c>
      <c r="AI978" s="97">
        <v>1</v>
      </c>
      <c r="AJ978" s="73"/>
      <c r="AK978" s="57"/>
      <c r="AL978" s="45"/>
      <c r="AM978" s="45"/>
      <c r="AN978" s="45"/>
    </row>
    <row r="979" spans="1:40" hidden="1" outlineLevel="2" x14ac:dyDescent="0.35">
      <c r="A979" s="45"/>
      <c r="B979" s="54"/>
      <c r="C979" s="47">
        <f t="shared" si="235"/>
        <v>3</v>
      </c>
      <c r="D979" s="73"/>
      <c r="E979" s="70"/>
      <c r="F979" s="70" t="s">
        <v>3760</v>
      </c>
      <c r="G979" s="73"/>
      <c r="H979" s="76" t="s">
        <v>2512</v>
      </c>
      <c r="I979" s="96" t="s">
        <v>502</v>
      </c>
      <c r="J979" s="96"/>
      <c r="K979" s="76"/>
      <c r="L979" s="76"/>
      <c r="M979" s="76"/>
      <c r="N979" s="76"/>
      <c r="O979" s="76"/>
      <c r="P979" s="76"/>
      <c r="Q979" s="76"/>
      <c r="R979" s="76"/>
      <c r="S979" s="76"/>
      <c r="T979" s="76"/>
      <c r="U979" s="97">
        <v>4.3999999999999997E-2</v>
      </c>
      <c r="V979" s="255">
        <f t="shared" si="285"/>
        <v>4.3999999999999997E-2</v>
      </c>
      <c r="W979" s="255">
        <f>U979</f>
        <v>4.3999999999999997E-2</v>
      </c>
      <c r="X979" s="255">
        <f>V979</f>
        <v>4.3999999999999997E-2</v>
      </c>
      <c r="Y979" s="255">
        <f>V979</f>
        <v>4.3999999999999997E-2</v>
      </c>
      <c r="Z979" s="255">
        <f t="shared" si="289"/>
        <v>4.3999999999999997E-2</v>
      </c>
      <c r="AA979" s="97">
        <f t="shared" si="293"/>
        <v>4.3999999999999997E-2</v>
      </c>
      <c r="AB979" s="255">
        <f t="shared" si="290"/>
        <v>4.3999999999999997E-2</v>
      </c>
      <c r="AC979" s="255">
        <f t="shared" si="291"/>
        <v>4.3999999999999997E-2</v>
      </c>
      <c r="AD979" s="255">
        <f t="shared" si="292"/>
        <v>4.3999999999999997E-2</v>
      </c>
      <c r="AE979" s="76"/>
      <c r="AF979" s="97"/>
      <c r="AG979" s="76"/>
      <c r="AH979" s="97">
        <v>1</v>
      </c>
      <c r="AI979" s="97">
        <v>1</v>
      </c>
      <c r="AJ979" s="73"/>
      <c r="AK979" s="57"/>
      <c r="AL979" s="45"/>
      <c r="AM979" s="45"/>
      <c r="AN979" s="45"/>
    </row>
    <row r="980" spans="1:40" hidden="1" outlineLevel="2" x14ac:dyDescent="0.35">
      <c r="A980" s="45"/>
      <c r="B980" s="54"/>
      <c r="C980" s="47">
        <f t="shared" si="235"/>
        <v>3</v>
      </c>
      <c r="D980" s="73"/>
      <c r="E980" s="70"/>
      <c r="F980" s="70" t="s">
        <v>3761</v>
      </c>
      <c r="G980" s="73"/>
      <c r="H980" s="76" t="s">
        <v>2513</v>
      </c>
      <c r="I980" s="96" t="s">
        <v>502</v>
      </c>
      <c r="J980" s="96"/>
      <c r="K980" s="76"/>
      <c r="L980" s="76"/>
      <c r="M980" s="76"/>
      <c r="N980" s="76"/>
      <c r="O980" s="76"/>
      <c r="P980" s="76"/>
      <c r="Q980" s="76"/>
      <c r="R980" s="76"/>
      <c r="S980" s="76"/>
      <c r="T980" s="76"/>
      <c r="U980" s="253">
        <f>U979</f>
        <v>4.3999999999999997E-2</v>
      </c>
      <c r="V980" s="76">
        <f t="shared" si="285"/>
        <v>4.3999999999999997E-2</v>
      </c>
      <c r="W980" s="76">
        <f>U980</f>
        <v>4.3999999999999997E-2</v>
      </c>
      <c r="X980" s="76">
        <f>V980</f>
        <v>4.3999999999999997E-2</v>
      </c>
      <c r="Y980" s="76">
        <f>V980</f>
        <v>4.3999999999999997E-2</v>
      </c>
      <c r="Z980" s="76">
        <f t="shared" si="289"/>
        <v>4.3999999999999997E-2</v>
      </c>
      <c r="AA980" s="253">
        <f>AA979</f>
        <v>4.3999999999999997E-2</v>
      </c>
      <c r="AB980" s="76">
        <f t="shared" si="290"/>
        <v>4.3999999999999997E-2</v>
      </c>
      <c r="AC980" s="76">
        <f t="shared" si="291"/>
        <v>4.3999999999999997E-2</v>
      </c>
      <c r="AD980" s="76">
        <f t="shared" si="292"/>
        <v>4.3999999999999997E-2</v>
      </c>
      <c r="AE980" s="76"/>
      <c r="AF980" s="264" t="s">
        <v>3368</v>
      </c>
      <c r="AG980" s="76"/>
      <c r="AH980" s="76">
        <v>1</v>
      </c>
      <c r="AI980" s="76">
        <v>1</v>
      </c>
      <c r="AJ980" s="73"/>
      <c r="AK980" s="57"/>
      <c r="AL980" s="45"/>
      <c r="AM980" s="45"/>
      <c r="AN980" s="45"/>
    </row>
    <row r="981" spans="1:40" hidden="1" outlineLevel="2" x14ac:dyDescent="0.35">
      <c r="A981" s="45"/>
      <c r="B981" s="54"/>
      <c r="C981" s="47">
        <f t="shared" si="235"/>
        <v>3</v>
      </c>
      <c r="D981" s="73"/>
      <c r="E981" s="70"/>
      <c r="F981" s="70" t="s">
        <v>3762</v>
      </c>
      <c r="G981" s="73"/>
      <c r="H981" s="76" t="s">
        <v>3769</v>
      </c>
      <c r="I981" s="96" t="s">
        <v>502</v>
      </c>
      <c r="J981" s="96"/>
      <c r="K981" s="76"/>
      <c r="L981" s="76"/>
      <c r="M981" s="76"/>
      <c r="N981" s="76"/>
      <c r="O981" s="76"/>
      <c r="P981" s="76"/>
      <c r="Q981" s="76"/>
      <c r="R981" s="76"/>
      <c r="S981" s="76"/>
      <c r="T981" s="76"/>
      <c r="U981" s="97">
        <v>1</v>
      </c>
      <c r="V981" s="255">
        <f t="shared" ref="V981:V984" si="294">U981</f>
        <v>1</v>
      </c>
      <c r="W981" s="255">
        <f t="shared" ref="W981:W982" si="295">U981</f>
        <v>1</v>
      </c>
      <c r="X981" s="255">
        <f t="shared" ref="X981:X982" si="296">V981</f>
        <v>1</v>
      </c>
      <c r="Y981" s="255">
        <f t="shared" ref="Y981:Y982" si="297">V981</f>
        <v>1</v>
      </c>
      <c r="Z981" s="255">
        <f t="shared" ref="Z981:Z984" si="298">AA981</f>
        <v>1</v>
      </c>
      <c r="AA981" s="97">
        <f>U981</f>
        <v>1</v>
      </c>
      <c r="AB981" s="255">
        <f t="shared" ref="AB981:AB984" si="299">AA981</f>
        <v>1</v>
      </c>
      <c r="AC981" s="255">
        <f t="shared" ref="AC981:AC984" si="300">AB981</f>
        <v>1</v>
      </c>
      <c r="AD981" s="255">
        <f t="shared" ref="AD981:AD984" si="301">AC981</f>
        <v>1</v>
      </c>
      <c r="AE981" s="76"/>
      <c r="AF981" s="97" t="s">
        <v>3766</v>
      </c>
      <c r="AG981" s="76"/>
      <c r="AH981" s="76">
        <v>1</v>
      </c>
      <c r="AI981" s="76">
        <v>1</v>
      </c>
      <c r="AJ981" s="73"/>
      <c r="AK981" s="57"/>
      <c r="AL981" s="45"/>
      <c r="AM981" s="45"/>
      <c r="AN981" s="45"/>
    </row>
    <row r="982" spans="1:40" hidden="1" outlineLevel="2" x14ac:dyDescent="0.35">
      <c r="A982" s="45"/>
      <c r="B982" s="54"/>
      <c r="C982" s="47">
        <f t="shared" si="235"/>
        <v>3</v>
      </c>
      <c r="D982" s="73"/>
      <c r="E982" s="70"/>
      <c r="F982" s="70" t="s">
        <v>3763</v>
      </c>
      <c r="G982" s="73"/>
      <c r="H982" s="76" t="s">
        <v>2511</v>
      </c>
      <c r="I982" s="96" t="s">
        <v>502</v>
      </c>
      <c r="J982" s="96"/>
      <c r="K982" s="76"/>
      <c r="L982" s="76"/>
      <c r="M982" s="76"/>
      <c r="N982" s="76"/>
      <c r="O982" s="76"/>
      <c r="P982" s="76"/>
      <c r="Q982" s="76"/>
      <c r="R982" s="76"/>
      <c r="S982" s="76"/>
      <c r="T982" s="76"/>
      <c r="U982" s="97">
        <v>1</v>
      </c>
      <c r="V982" s="255">
        <f t="shared" si="294"/>
        <v>1</v>
      </c>
      <c r="W982" s="255">
        <f t="shared" si="295"/>
        <v>1</v>
      </c>
      <c r="X982" s="255">
        <f t="shared" si="296"/>
        <v>1</v>
      </c>
      <c r="Y982" s="255">
        <f t="shared" si="297"/>
        <v>1</v>
      </c>
      <c r="Z982" s="255">
        <f t="shared" si="298"/>
        <v>1</v>
      </c>
      <c r="AA982" s="97">
        <f t="shared" ref="AA982:AA983" si="302">U982</f>
        <v>1</v>
      </c>
      <c r="AB982" s="255">
        <f t="shared" si="299"/>
        <v>1</v>
      </c>
      <c r="AC982" s="255">
        <f t="shared" si="300"/>
        <v>1</v>
      </c>
      <c r="AD982" s="255">
        <f t="shared" si="301"/>
        <v>1</v>
      </c>
      <c r="AE982" s="76"/>
      <c r="AF982" s="97" t="s">
        <v>3767</v>
      </c>
      <c r="AG982" s="76"/>
      <c r="AH982" s="97">
        <v>1</v>
      </c>
      <c r="AI982" s="97">
        <v>1</v>
      </c>
      <c r="AJ982" s="73"/>
      <c r="AK982" s="57"/>
      <c r="AL982" s="45"/>
      <c r="AM982" s="45"/>
      <c r="AN982" s="45"/>
    </row>
    <row r="983" spans="1:40" hidden="1" outlineLevel="2" x14ac:dyDescent="0.35">
      <c r="A983" s="45"/>
      <c r="B983" s="54"/>
      <c r="C983" s="47">
        <f t="shared" si="235"/>
        <v>3</v>
      </c>
      <c r="D983" s="73"/>
      <c r="E983" s="70"/>
      <c r="F983" s="70" t="s">
        <v>3764</v>
      </c>
      <c r="G983" s="73"/>
      <c r="H983" s="76" t="s">
        <v>2512</v>
      </c>
      <c r="I983" s="96" t="s">
        <v>502</v>
      </c>
      <c r="J983" s="96"/>
      <c r="K983" s="76"/>
      <c r="L983" s="76"/>
      <c r="M983" s="76"/>
      <c r="N983" s="76"/>
      <c r="O983" s="76"/>
      <c r="P983" s="76"/>
      <c r="Q983" s="76"/>
      <c r="R983" s="76"/>
      <c r="S983" s="76"/>
      <c r="T983" s="76"/>
      <c r="U983" s="97">
        <v>0.75</v>
      </c>
      <c r="V983" s="255">
        <f t="shared" si="294"/>
        <v>0.75</v>
      </c>
      <c r="W983" s="255">
        <f>U983</f>
        <v>0.75</v>
      </c>
      <c r="X983" s="255">
        <f>V983</f>
        <v>0.75</v>
      </c>
      <c r="Y983" s="255">
        <f>V983</f>
        <v>0.75</v>
      </c>
      <c r="Z983" s="255">
        <f t="shared" si="298"/>
        <v>0.75</v>
      </c>
      <c r="AA983" s="97">
        <f t="shared" si="302"/>
        <v>0.75</v>
      </c>
      <c r="AB983" s="255">
        <f t="shared" si="299"/>
        <v>0.75</v>
      </c>
      <c r="AC983" s="255">
        <f t="shared" si="300"/>
        <v>0.75</v>
      </c>
      <c r="AD983" s="255">
        <f t="shared" si="301"/>
        <v>0.75</v>
      </c>
      <c r="AE983" s="76"/>
      <c r="AF983" s="97"/>
      <c r="AG983" s="76"/>
      <c r="AH983" s="97">
        <v>1</v>
      </c>
      <c r="AI983" s="97">
        <v>1</v>
      </c>
      <c r="AJ983" s="73"/>
      <c r="AK983" s="57"/>
      <c r="AL983" s="45"/>
      <c r="AM983" s="45"/>
      <c r="AN983" s="45"/>
    </row>
    <row r="984" spans="1:40" hidden="1" outlineLevel="2" x14ac:dyDescent="0.35">
      <c r="A984" s="45"/>
      <c r="B984" s="54"/>
      <c r="C984" s="47">
        <f t="shared" si="235"/>
        <v>3</v>
      </c>
      <c r="D984" s="73"/>
      <c r="E984" s="70"/>
      <c r="F984" s="70" t="s">
        <v>3765</v>
      </c>
      <c r="G984" s="73"/>
      <c r="H984" s="76" t="s">
        <v>2513</v>
      </c>
      <c r="I984" s="96" t="s">
        <v>502</v>
      </c>
      <c r="J984" s="96"/>
      <c r="K984" s="76"/>
      <c r="L984" s="76"/>
      <c r="M984" s="76"/>
      <c r="N984" s="76"/>
      <c r="O984" s="76"/>
      <c r="P984" s="76"/>
      <c r="Q984" s="76"/>
      <c r="R984" s="76"/>
      <c r="S984" s="76"/>
      <c r="T984" s="76"/>
      <c r="U984" s="253">
        <f>U983</f>
        <v>0.75</v>
      </c>
      <c r="V984" s="76">
        <f t="shared" si="294"/>
        <v>0.75</v>
      </c>
      <c r="W984" s="76">
        <f>U984</f>
        <v>0.75</v>
      </c>
      <c r="X984" s="76">
        <f>V984</f>
        <v>0.75</v>
      </c>
      <c r="Y984" s="76">
        <f>V984</f>
        <v>0.75</v>
      </c>
      <c r="Z984" s="76">
        <f t="shared" si="298"/>
        <v>0.75</v>
      </c>
      <c r="AA984" s="253">
        <f>AA983</f>
        <v>0.75</v>
      </c>
      <c r="AB984" s="76">
        <f t="shared" si="299"/>
        <v>0.75</v>
      </c>
      <c r="AC984" s="76">
        <f t="shared" si="300"/>
        <v>0.75</v>
      </c>
      <c r="AD984" s="76">
        <f t="shared" si="301"/>
        <v>0.75</v>
      </c>
      <c r="AE984" s="76"/>
      <c r="AF984" s="264" t="s">
        <v>3368</v>
      </c>
      <c r="AG984" s="76"/>
      <c r="AH984" s="76">
        <v>1</v>
      </c>
      <c r="AI984" s="76">
        <v>1</v>
      </c>
      <c r="AJ984" s="73"/>
      <c r="AK984" s="57"/>
      <c r="AL984" s="45"/>
      <c r="AM984" s="45"/>
      <c r="AN984" s="45"/>
    </row>
    <row r="985" spans="1:40" outlineLevel="1" collapsed="1" x14ac:dyDescent="0.3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3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3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3">INDEX($K987:$Q987,1,U$43)</f>
        <v>0.38900000000000001</v>
      </c>
      <c r="V987" s="253">
        <f t="shared" si="303"/>
        <v>0.38900000000000001</v>
      </c>
      <c r="W987" s="253">
        <f t="shared" si="303"/>
        <v>0.38900000000000001</v>
      </c>
      <c r="X987" s="253">
        <f t="shared" si="303"/>
        <v>0.38900000000000001</v>
      </c>
      <c r="Y987" s="253">
        <f t="shared" si="303"/>
        <v>0.38900000000000001</v>
      </c>
      <c r="Z987" s="253">
        <f t="shared" si="303"/>
        <v>0.48599999999999999</v>
      </c>
      <c r="AA987" s="253">
        <f t="shared" si="303"/>
        <v>0.48599999999999999</v>
      </c>
      <c r="AB987" s="253">
        <f t="shared" si="303"/>
        <v>0.48599999999999999</v>
      </c>
      <c r="AC987" s="253">
        <f t="shared" si="303"/>
        <v>0.48599999999999999</v>
      </c>
      <c r="AD987" s="253">
        <f t="shared" si="303"/>
        <v>0.48599999999999999</v>
      </c>
      <c r="AE987" s="76"/>
      <c r="AF987" s="76"/>
      <c r="AG987" s="76"/>
      <c r="AH987" s="97">
        <v>1</v>
      </c>
      <c r="AI987" s="97">
        <v>1</v>
      </c>
      <c r="AJ987" s="73"/>
      <c r="AK987" s="57"/>
      <c r="AL987" s="45"/>
      <c r="AM987" s="45"/>
      <c r="AN987" s="45"/>
    </row>
    <row r="988" spans="1:40" hidden="1" outlineLevel="2" x14ac:dyDescent="0.3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3"/>
        <v>0.622</v>
      </c>
      <c r="V988" s="253">
        <f t="shared" si="303"/>
        <v>0.622</v>
      </c>
      <c r="W988" s="253">
        <f t="shared" si="303"/>
        <v>0.622</v>
      </c>
      <c r="X988" s="253">
        <f t="shared" si="303"/>
        <v>0.622</v>
      </c>
      <c r="Y988" s="253">
        <f t="shared" si="303"/>
        <v>0.622</v>
      </c>
      <c r="Z988" s="253">
        <f t="shared" si="303"/>
        <v>0.77800000000000002</v>
      </c>
      <c r="AA988" s="253">
        <f t="shared" si="303"/>
        <v>0.77800000000000002</v>
      </c>
      <c r="AB988" s="253">
        <f t="shared" si="303"/>
        <v>0.77800000000000002</v>
      </c>
      <c r="AC988" s="253">
        <f t="shared" si="303"/>
        <v>0.77800000000000002</v>
      </c>
      <c r="AD988" s="253">
        <f t="shared" si="303"/>
        <v>0.77800000000000002</v>
      </c>
      <c r="AE988" s="76"/>
      <c r="AF988" s="76"/>
      <c r="AG988" s="76"/>
      <c r="AH988" s="97">
        <v>1</v>
      </c>
      <c r="AI988" s="97">
        <v>1</v>
      </c>
      <c r="AJ988" s="73"/>
      <c r="AK988" s="57"/>
      <c r="AL988" s="45"/>
      <c r="AM988" s="45"/>
      <c r="AN988" s="45"/>
    </row>
    <row r="989" spans="1:40" hidden="1" outlineLevel="2" x14ac:dyDescent="0.3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3"/>
        <v>0.746</v>
      </c>
      <c r="V989" s="253">
        <f t="shared" si="303"/>
        <v>0.746</v>
      </c>
      <c r="W989" s="253">
        <f t="shared" si="303"/>
        <v>0.746</v>
      </c>
      <c r="X989" s="253">
        <f t="shared" si="303"/>
        <v>0.746</v>
      </c>
      <c r="Y989" s="253">
        <f t="shared" si="303"/>
        <v>0.746</v>
      </c>
      <c r="Z989" s="253">
        <f t="shared" si="303"/>
        <v>0.93400000000000005</v>
      </c>
      <c r="AA989" s="253">
        <f t="shared" si="303"/>
        <v>0.93400000000000005</v>
      </c>
      <c r="AB989" s="253">
        <f t="shared" si="303"/>
        <v>0.93400000000000005</v>
      </c>
      <c r="AC989" s="253">
        <f t="shared" si="303"/>
        <v>0.93400000000000005</v>
      </c>
      <c r="AD989" s="253">
        <f t="shared" si="303"/>
        <v>0.93400000000000005</v>
      </c>
      <c r="AE989" s="76"/>
      <c r="AF989" s="76"/>
      <c r="AG989" s="76"/>
      <c r="AH989" s="97">
        <v>1</v>
      </c>
      <c r="AI989" s="97">
        <v>1</v>
      </c>
      <c r="AJ989" s="73"/>
      <c r="AK989" s="57"/>
      <c r="AL989" s="45"/>
      <c r="AM989" s="45"/>
      <c r="AN989" s="45"/>
    </row>
    <row r="990" spans="1:40" hidden="1" outlineLevel="3" x14ac:dyDescent="0.35">
      <c r="A990" s="45"/>
      <c r="B990" s="54"/>
      <c r="C990" s="47">
        <f t="shared" ref="C990:C1021" si="304">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304"/>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ref="C1022:C1053" si="305">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35">
      <c r="A1030" s="45"/>
      <c r="B1030" s="54"/>
      <c r="C1030" s="47">
        <f t="shared" si="305"/>
        <v>4</v>
      </c>
      <c r="D1030" s="73"/>
      <c r="E1030" s="70"/>
      <c r="F1030" s="70" t="s">
        <v>1660</v>
      </c>
      <c r="G1030" s="73"/>
      <c r="H1030" s="76" t="s">
        <v>3818</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35">
      <c r="A1031" s="45"/>
      <c r="B1031" s="54"/>
      <c r="C1031" s="47">
        <f t="shared" si="305"/>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35">
      <c r="A1032" s="45"/>
      <c r="B1032" s="54"/>
      <c r="C1032" s="47">
        <f t="shared" si="305"/>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35">
      <c r="A1033" s="45"/>
      <c r="B1033" s="54"/>
      <c r="C1033" s="47">
        <f t="shared" si="305"/>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35">
      <c r="A1034" s="45"/>
      <c r="B1034" s="54"/>
      <c r="C1034" s="47">
        <f t="shared" si="305"/>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35">
      <c r="A1035" s="45"/>
      <c r="B1035" s="54"/>
      <c r="C1035" s="47">
        <f t="shared" si="305"/>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35">
      <c r="A1036" s="45"/>
      <c r="B1036" s="54"/>
      <c r="C1036" s="47">
        <f t="shared" si="305"/>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35">
      <c r="A1037" s="45"/>
      <c r="B1037" s="54"/>
      <c r="C1037" s="47">
        <f t="shared" si="305"/>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35">
      <c r="A1038" s="45"/>
      <c r="B1038" s="54"/>
      <c r="C1038" s="47">
        <f t="shared" si="305"/>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35">
      <c r="A1039" s="45"/>
      <c r="B1039" s="54"/>
      <c r="C1039" s="47">
        <f t="shared" si="305"/>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35">
      <c r="A1040" s="45"/>
      <c r="B1040" s="54"/>
      <c r="C1040" s="47">
        <f t="shared" si="305"/>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35">
      <c r="A1041" s="45"/>
      <c r="B1041" s="54"/>
      <c r="C1041" s="47">
        <f t="shared" si="305"/>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si="305"/>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35">
      <c r="A1054" s="45"/>
      <c r="B1054" s="54"/>
      <c r="C1054" s="47">
        <f t="shared" ref="C1054:C1061" si="306">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35">
      <c r="A1055" s="45"/>
      <c r="B1055" s="54"/>
      <c r="C1055" s="47">
        <f t="shared" si="306"/>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35">
      <c r="A1056" s="45"/>
      <c r="B1056" s="54"/>
      <c r="C1056" s="47">
        <f t="shared" si="306"/>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35">
      <c r="A1057" s="45"/>
      <c r="B1057" s="54"/>
      <c r="C1057" s="47">
        <f t="shared" si="306"/>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35">
      <c r="A1058" s="45"/>
      <c r="B1058" s="54"/>
      <c r="C1058" s="47">
        <f t="shared" si="306"/>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35">
      <c r="A1059" s="45"/>
      <c r="B1059" s="54"/>
      <c r="C1059" s="47">
        <f t="shared" si="306"/>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35">
      <c r="A1060" s="45"/>
      <c r="B1060" s="54"/>
      <c r="C1060" s="47">
        <f t="shared" si="306"/>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35">
      <c r="A1061" s="45"/>
      <c r="B1061" s="54"/>
      <c r="C1061" s="47">
        <f t="shared" si="306"/>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3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3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07">INDEX($K1063:$Q1063,1,U$43)</f>
        <v>0.52400000000000002</v>
      </c>
      <c r="V1063" s="253">
        <f t="shared" si="307"/>
        <v>0.52400000000000002</v>
      </c>
      <c r="W1063" s="253">
        <f t="shared" si="307"/>
        <v>0.52400000000000002</v>
      </c>
      <c r="X1063" s="253">
        <f t="shared" si="307"/>
        <v>0.52400000000000002</v>
      </c>
      <c r="Y1063" s="253">
        <f t="shared" si="307"/>
        <v>0.52400000000000002</v>
      </c>
      <c r="Z1063" s="253">
        <f t="shared" si="307"/>
        <v>0.65500000000000003</v>
      </c>
      <c r="AA1063" s="253">
        <f t="shared" si="307"/>
        <v>0.65500000000000003</v>
      </c>
      <c r="AB1063" s="253">
        <f t="shared" si="307"/>
        <v>0.65500000000000003</v>
      </c>
      <c r="AC1063" s="253">
        <f t="shared" si="307"/>
        <v>0.65500000000000003</v>
      </c>
      <c r="AD1063" s="253">
        <f t="shared" si="307"/>
        <v>0.65500000000000003</v>
      </c>
      <c r="AE1063" s="76"/>
      <c r="AF1063" s="76"/>
      <c r="AG1063" s="76"/>
      <c r="AH1063" s="97">
        <v>1</v>
      </c>
      <c r="AI1063" s="97">
        <v>1</v>
      </c>
      <c r="AJ1063" s="73"/>
      <c r="AK1063" s="57"/>
      <c r="AL1063" s="45"/>
      <c r="AM1063" s="45"/>
      <c r="AN1063" s="45"/>
    </row>
    <row r="1064" spans="1:40" hidden="1" outlineLevel="2" x14ac:dyDescent="0.3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07"/>
        <v>0.70699999999999996</v>
      </c>
      <c r="V1064" s="253">
        <f t="shared" si="307"/>
        <v>0.70699999999999996</v>
      </c>
      <c r="W1064" s="253">
        <f t="shared" si="307"/>
        <v>0.70699999999999996</v>
      </c>
      <c r="X1064" s="253">
        <f t="shared" si="307"/>
        <v>0.70699999999999996</v>
      </c>
      <c r="Y1064" s="253">
        <f t="shared" si="307"/>
        <v>0.70699999999999996</v>
      </c>
      <c r="Z1064" s="253">
        <f t="shared" si="307"/>
        <v>0.88400000000000001</v>
      </c>
      <c r="AA1064" s="253">
        <f t="shared" si="307"/>
        <v>0.88400000000000001</v>
      </c>
      <c r="AB1064" s="253">
        <f t="shared" si="307"/>
        <v>0.88400000000000001</v>
      </c>
      <c r="AC1064" s="253">
        <f t="shared" si="307"/>
        <v>0.88400000000000001</v>
      </c>
      <c r="AD1064" s="253">
        <f t="shared" si="307"/>
        <v>0.88400000000000001</v>
      </c>
      <c r="AE1064" s="76"/>
      <c r="AF1064" s="76"/>
      <c r="AG1064" s="76"/>
      <c r="AH1064" s="97">
        <v>1</v>
      </c>
      <c r="AI1064" s="97">
        <v>1</v>
      </c>
      <c r="AJ1064" s="73"/>
      <c r="AK1064" s="57"/>
      <c r="AL1064" s="45"/>
      <c r="AM1064" s="45"/>
      <c r="AN1064" s="45"/>
    </row>
    <row r="1065" spans="1:40" hidden="1" outlineLevel="2" collapsed="1" x14ac:dyDescent="0.3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07"/>
        <v>0.89100000000000001</v>
      </c>
      <c r="V1065" s="253">
        <f t="shared" si="307"/>
        <v>0.89100000000000001</v>
      </c>
      <c r="W1065" s="253">
        <f t="shared" si="307"/>
        <v>0.89100000000000001</v>
      </c>
      <c r="X1065" s="253">
        <f t="shared" si="307"/>
        <v>0.89100000000000001</v>
      </c>
      <c r="Y1065" s="253">
        <f t="shared" si="307"/>
        <v>0.89100000000000001</v>
      </c>
      <c r="Z1065" s="253">
        <f t="shared" si="307"/>
        <v>1.1140000000000001</v>
      </c>
      <c r="AA1065" s="253">
        <f t="shared" si="307"/>
        <v>1.1140000000000001</v>
      </c>
      <c r="AB1065" s="253">
        <f t="shared" si="307"/>
        <v>1.1140000000000001</v>
      </c>
      <c r="AC1065" s="253">
        <f t="shared" si="307"/>
        <v>1.1140000000000001</v>
      </c>
      <c r="AD1065" s="253">
        <f t="shared" si="307"/>
        <v>1.1140000000000001</v>
      </c>
      <c r="AE1065" s="76"/>
      <c r="AF1065" s="76"/>
      <c r="AG1065" s="76"/>
      <c r="AH1065" s="97">
        <v>1</v>
      </c>
      <c r="AI1065" s="97">
        <v>1</v>
      </c>
      <c r="AJ1065" s="73"/>
      <c r="AK1065" s="57"/>
      <c r="AL1065" s="45"/>
      <c r="AM1065" s="45"/>
      <c r="AN1065" s="45"/>
    </row>
    <row r="1066" spans="1:40" hidden="1" outlineLevel="3" x14ac:dyDescent="0.35">
      <c r="A1066" s="45"/>
      <c r="B1066" s="54"/>
      <c r="C1066" s="47">
        <f t="shared" ref="C1066:C1129" si="308">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3316</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3317</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3318</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3319</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3415</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3416</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3417</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3418</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3419</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3420</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3421</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3422</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3423</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3424</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3425</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3426</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3427</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3428</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3429</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3430</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3431</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3432</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3433</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3434</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3435</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3436</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3437</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3438</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3439</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3440</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3441</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3442</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3443</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3444</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3445</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3446</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3447</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3448</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3449</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si="308"/>
        <v>4</v>
      </c>
      <c r="D1129" s="73"/>
      <c r="E1129" s="70"/>
      <c r="F1129" s="70" t="s">
        <v>3450</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ref="C1130:C1149" si="309">INT($C$29)+3</f>
        <v>4</v>
      </c>
      <c r="D1130" s="73"/>
      <c r="E1130" s="70"/>
      <c r="F1130" s="70" t="s">
        <v>3451</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3452</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3453</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3454</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3455</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3456</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3457</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3458</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3739</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3740</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3741</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3742</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3774</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3775</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3776</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3777</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3770</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3771</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3772</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35">
      <c r="A1149" s="45"/>
      <c r="B1149" s="54"/>
      <c r="C1149" s="47">
        <f t="shared" si="309"/>
        <v>4</v>
      </c>
      <c r="D1149" s="73"/>
      <c r="E1149" s="70"/>
      <c r="F1149" s="70" t="s">
        <v>3773</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1" collapsed="1" x14ac:dyDescent="0.3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3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0">INDEX($K1151:$Q1151,1,U$43)</f>
        <v>0.99704199999999998</v>
      </c>
      <c r="V1151" s="253">
        <f t="shared" si="310"/>
        <v>0.99704199999999998</v>
      </c>
      <c r="W1151" s="253">
        <f t="shared" si="310"/>
        <v>0.99704199999999998</v>
      </c>
      <c r="X1151" s="253">
        <f t="shared" si="310"/>
        <v>0.99704199999999998</v>
      </c>
      <c r="Y1151" s="253">
        <f t="shared" si="310"/>
        <v>0.99704199999999998</v>
      </c>
      <c r="Z1151" s="253">
        <f t="shared" si="310"/>
        <v>0.99704199999999998</v>
      </c>
      <c r="AA1151" s="253">
        <f t="shared" si="310"/>
        <v>0.99704199999999998</v>
      </c>
      <c r="AB1151" s="253">
        <f t="shared" si="310"/>
        <v>0.99704199999999998</v>
      </c>
      <c r="AC1151" s="253">
        <f t="shared" si="310"/>
        <v>0.99704199999999998</v>
      </c>
      <c r="AD1151" s="253">
        <f t="shared" si="310"/>
        <v>0.99704199999999998</v>
      </c>
      <c r="AE1151" s="76"/>
      <c r="AF1151" s="76"/>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1">Y1153</f>
        <v>0.13739999999999999</v>
      </c>
      <c r="AA1153" s="255">
        <f t="shared" si="311"/>
        <v>0.13739999999999999</v>
      </c>
      <c r="AB1153" s="255">
        <f t="shared" si="311"/>
        <v>0.13739999999999999</v>
      </c>
      <c r="AC1153" s="255">
        <f t="shared" si="311"/>
        <v>0.13739999999999999</v>
      </c>
      <c r="AD1153" s="255">
        <f t="shared" si="311"/>
        <v>0.13739999999999999</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1"/>
        <v>0.16700000000000001</v>
      </c>
      <c r="AA1154" s="255">
        <f t="shared" si="311"/>
        <v>0.16700000000000001</v>
      </c>
      <c r="AB1154" s="255">
        <f t="shared" si="311"/>
        <v>0.16700000000000001</v>
      </c>
      <c r="AC1154" s="255">
        <f t="shared" si="311"/>
        <v>0.16700000000000001</v>
      </c>
      <c r="AD1154" s="255">
        <f t="shared" si="311"/>
        <v>0.16700000000000001</v>
      </c>
      <c r="AE1154" s="76"/>
      <c r="AF1154" s="76"/>
      <c r="AG1154" s="76"/>
      <c r="AH1154" s="97">
        <v>1</v>
      </c>
      <c r="AI1154" s="97">
        <v>1</v>
      </c>
      <c r="AJ1154" s="73"/>
      <c r="AK1154" s="57"/>
      <c r="AL1154" s="45"/>
      <c r="AM1154" s="45"/>
      <c r="AN1154" s="45"/>
    </row>
    <row r="1155" spans="1:40" hidden="1" outlineLevel="2" x14ac:dyDescent="0.3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1"/>
        <v>0.08</v>
      </c>
      <c r="AA1155" s="255">
        <f t="shared" si="311"/>
        <v>0.08</v>
      </c>
      <c r="AB1155" s="255">
        <f t="shared" si="311"/>
        <v>0.08</v>
      </c>
      <c r="AC1155" s="255">
        <f t="shared" si="311"/>
        <v>0.08</v>
      </c>
      <c r="AD1155" s="255">
        <f t="shared" si="311"/>
        <v>0.08</v>
      </c>
      <c r="AE1155" s="76"/>
      <c r="AF1155" s="76"/>
      <c r="AG1155" s="76"/>
      <c r="AH1155" s="97">
        <v>1</v>
      </c>
      <c r="AI1155" s="97">
        <v>1</v>
      </c>
      <c r="AJ1155" s="73"/>
      <c r="AK1155" s="57"/>
      <c r="AL1155" s="45"/>
      <c r="AM1155" s="45"/>
      <c r="AN1155" s="45"/>
    </row>
    <row r="1156" spans="1:40" outlineLevel="1" collapsed="1" x14ac:dyDescent="0.3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35">
      <c r="A1157" s="45"/>
      <c r="B1157" s="54"/>
      <c r="C1157" s="47">
        <f t="shared" ref="C1157:C1164" si="312">INT($C$29)+2</f>
        <v>3</v>
      </c>
      <c r="D1157" s="73"/>
      <c r="E1157" s="70"/>
      <c r="F1157" s="70" t="s">
        <v>1717</v>
      </c>
      <c r="G1157" s="73"/>
      <c r="H1157" s="76" t="s">
        <v>3484</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3495</v>
      </c>
      <c r="G1158" s="73"/>
      <c r="H1158" s="76" t="s">
        <v>3491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1718</v>
      </c>
      <c r="G1159" s="73"/>
      <c r="H1159" s="76" t="s">
        <v>3492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3496</v>
      </c>
      <c r="G1160" s="73"/>
      <c r="H1160" s="76" t="s">
        <v>3493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1721</v>
      </c>
      <c r="G1161" s="73"/>
      <c r="H1161" s="76" t="s">
        <v>3494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3497</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312"/>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ref="C1165:C1196" si="313">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si="313"/>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ref="C1197:C1228" si="314">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si="314"/>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ref="C1229:C1252" si="315">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35">
      <c r="A1252" s="45"/>
      <c r="B1252" s="54"/>
      <c r="C1252" s="47">
        <f t="shared" si="315"/>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3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3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6">U1255</f>
        <v>9.9999999999999985E-3</v>
      </c>
      <c r="V1254" s="253">
        <f t="shared" si="316"/>
        <v>9.9999999999999985E-3</v>
      </c>
      <c r="W1254" s="253">
        <f t="shared" si="316"/>
        <v>9.9999999999999985E-3</v>
      </c>
      <c r="X1254" s="253">
        <f t="shared" si="316"/>
        <v>9.9999999999999985E-3</v>
      </c>
      <c r="Y1254" s="253">
        <f t="shared" si="316"/>
        <v>9.9999999999999985E-3</v>
      </c>
      <c r="Z1254" s="253">
        <f t="shared" si="316"/>
        <v>9.9999999999999985E-3</v>
      </c>
      <c r="AA1254" s="253">
        <f t="shared" si="316"/>
        <v>9.9999999999999985E-3</v>
      </c>
      <c r="AB1254" s="253">
        <f t="shared" si="316"/>
        <v>9.9999999999999985E-3</v>
      </c>
      <c r="AC1254" s="253">
        <f t="shared" si="316"/>
        <v>9.9999999999999985E-3</v>
      </c>
      <c r="AD1254" s="253">
        <f t="shared" si="316"/>
        <v>9.9999999999999985E-3</v>
      </c>
      <c r="AE1254" s="76"/>
      <c r="AF1254" s="76"/>
      <c r="AG1254" s="76"/>
      <c r="AH1254" s="253">
        <f>AH1255</f>
        <v>1</v>
      </c>
      <c r="AI1254" s="253">
        <f>AI1255</f>
        <v>1</v>
      </c>
      <c r="AJ1254" s="73"/>
      <c r="AK1254" s="57"/>
      <c r="AL1254" s="45"/>
      <c r="AM1254" s="45"/>
      <c r="AN1254" s="45"/>
    </row>
    <row r="1255" spans="1:40" hidden="1" outlineLevel="2" x14ac:dyDescent="0.3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17">Y1255</f>
        <v>9.9999999999999985E-3</v>
      </c>
      <c r="AA1255" s="255">
        <f t="shared" si="317"/>
        <v>9.9999999999999985E-3</v>
      </c>
      <c r="AB1255" s="255">
        <f t="shared" si="317"/>
        <v>9.9999999999999985E-3</v>
      </c>
      <c r="AC1255" s="255">
        <f t="shared" si="317"/>
        <v>9.9999999999999985E-3</v>
      </c>
      <c r="AD1255" s="255">
        <f t="shared" si="317"/>
        <v>9.9999999999999985E-3</v>
      </c>
      <c r="AE1255" s="76"/>
      <c r="AF1255" s="76"/>
      <c r="AG1255" s="76"/>
      <c r="AH1255" s="97">
        <v>1</v>
      </c>
      <c r="AI1255" s="97">
        <v>1</v>
      </c>
      <c r="AJ1255" s="73"/>
      <c r="AK1255" s="57"/>
      <c r="AL1255" s="45"/>
      <c r="AM1255" s="45"/>
      <c r="AN1255" s="45"/>
    </row>
    <row r="1256" spans="1:40" hidden="1" outlineLevel="2" collapsed="1" x14ac:dyDescent="0.3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17"/>
        <v>9.0000000000000011E-3</v>
      </c>
      <c r="AA1256" s="255">
        <f t="shared" si="317"/>
        <v>9.0000000000000011E-3</v>
      </c>
      <c r="AB1256" s="255">
        <f t="shared" si="317"/>
        <v>9.0000000000000011E-3</v>
      </c>
      <c r="AC1256" s="255">
        <f t="shared" si="317"/>
        <v>9.0000000000000011E-3</v>
      </c>
      <c r="AD1256" s="255">
        <f t="shared" si="317"/>
        <v>9.0000000000000011E-3</v>
      </c>
      <c r="AE1256" s="76"/>
      <c r="AF1256" s="76"/>
      <c r="AG1256" s="76"/>
      <c r="AH1256" s="97">
        <v>1</v>
      </c>
      <c r="AI1256" s="97">
        <v>1</v>
      </c>
      <c r="AJ1256" s="73"/>
      <c r="AK1256" s="57"/>
      <c r="AL1256" s="45"/>
      <c r="AM1256" s="45"/>
      <c r="AN1256" s="45"/>
    </row>
    <row r="1257" spans="1:40" hidden="1" outlineLevel="3" x14ac:dyDescent="0.3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3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3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18">Y1260</f>
        <v>0</v>
      </c>
      <c r="AA1260" s="255">
        <f t="shared" si="318"/>
        <v>0</v>
      </c>
      <c r="AB1260" s="255">
        <f t="shared" si="318"/>
        <v>0</v>
      </c>
      <c r="AC1260" s="255">
        <f t="shared" si="318"/>
        <v>0</v>
      </c>
      <c r="AD1260" s="255">
        <f t="shared" si="318"/>
        <v>0</v>
      </c>
      <c r="AE1260" s="76"/>
      <c r="AF1260" s="97" t="s">
        <v>2146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18"/>
        <v>0</v>
      </c>
      <c r="AA1261" s="255">
        <f t="shared" si="318"/>
        <v>0</v>
      </c>
      <c r="AB1261" s="255">
        <f t="shared" si="318"/>
        <v>0</v>
      </c>
      <c r="AC1261" s="255">
        <f t="shared" si="318"/>
        <v>0</v>
      </c>
      <c r="AD1261" s="255">
        <f t="shared" si="318"/>
        <v>0</v>
      </c>
      <c r="AE1261" s="76"/>
      <c r="AF1261" s="97" t="s">
        <v>1835</v>
      </c>
      <c r="AG1261" s="76"/>
      <c r="AH1261" s="97">
        <v>1</v>
      </c>
      <c r="AI1261" s="97">
        <v>1</v>
      </c>
      <c r="AJ1261" s="73"/>
      <c r="AK1261" s="57"/>
      <c r="AL1261" s="45"/>
      <c r="AM1261" s="45"/>
      <c r="AN1261" s="45"/>
    </row>
    <row r="1262" spans="1:40" hidden="1" outlineLevel="2" x14ac:dyDescent="0.3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19">U1263</f>
        <v>-1.9E-2</v>
      </c>
      <c r="V1262" s="253">
        <f t="shared" si="319"/>
        <v>-1.9E-2</v>
      </c>
      <c r="W1262" s="253">
        <f t="shared" si="319"/>
        <v>-1.9E-2</v>
      </c>
      <c r="X1262" s="253">
        <f t="shared" si="319"/>
        <v>-1.9E-2</v>
      </c>
      <c r="Y1262" s="253">
        <f t="shared" si="319"/>
        <v>-1.9E-2</v>
      </c>
      <c r="Z1262" s="253">
        <f t="shared" si="319"/>
        <v>-1.9E-2</v>
      </c>
      <c r="AA1262" s="253">
        <f t="shared" si="319"/>
        <v>-1.9E-2</v>
      </c>
      <c r="AB1262" s="253">
        <f t="shared" si="319"/>
        <v>-1.9E-2</v>
      </c>
      <c r="AC1262" s="253">
        <f t="shared" si="319"/>
        <v>-1.9E-2</v>
      </c>
      <c r="AD1262" s="253">
        <f t="shared" si="319"/>
        <v>-1.9E-2</v>
      </c>
      <c r="AE1262" s="76"/>
      <c r="AF1262" s="76"/>
      <c r="AG1262" s="76"/>
      <c r="AH1262" s="253">
        <f>AH1263</f>
        <v>1</v>
      </c>
      <c r="AI1262" s="253">
        <f>AI1263</f>
        <v>1</v>
      </c>
      <c r="AJ1262" s="73"/>
      <c r="AK1262" s="57"/>
      <c r="AL1262" s="45"/>
      <c r="AM1262" s="45"/>
      <c r="AN1262" s="45"/>
    </row>
    <row r="1263" spans="1:40" hidden="1" outlineLevel="2" x14ac:dyDescent="0.3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0">Y1263</f>
        <v>-1.9E-2</v>
      </c>
      <c r="AA1263" s="255">
        <f t="shared" si="320"/>
        <v>-1.9E-2</v>
      </c>
      <c r="AB1263" s="255">
        <f t="shared" si="320"/>
        <v>-1.9E-2</v>
      </c>
      <c r="AC1263" s="255">
        <f t="shared" si="320"/>
        <v>-1.9E-2</v>
      </c>
      <c r="AD1263" s="255">
        <f t="shared" si="320"/>
        <v>-1.9E-2</v>
      </c>
      <c r="AE1263" s="76"/>
      <c r="AF1263" s="76"/>
      <c r="AG1263" s="76"/>
      <c r="AH1263" s="97">
        <v>1</v>
      </c>
      <c r="AI1263" s="97">
        <v>1</v>
      </c>
      <c r="AJ1263" s="73"/>
      <c r="AK1263" s="57"/>
      <c r="AL1263" s="45"/>
      <c r="AM1263" s="45"/>
      <c r="AN1263" s="45"/>
    </row>
    <row r="1264" spans="1:40" hidden="1" outlineLevel="2" collapsed="1" x14ac:dyDescent="0.3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0"/>
        <v>-3.1E-2</v>
      </c>
      <c r="AA1264" s="255">
        <f t="shared" si="320"/>
        <v>-3.1E-2</v>
      </c>
      <c r="AB1264" s="255">
        <f t="shared" si="320"/>
        <v>-3.1E-2</v>
      </c>
      <c r="AC1264" s="255">
        <f t="shared" si="320"/>
        <v>-3.1E-2</v>
      </c>
      <c r="AD1264" s="255">
        <f t="shared" si="320"/>
        <v>-3.1E-2</v>
      </c>
      <c r="AE1264" s="76"/>
      <c r="AF1264" s="76"/>
      <c r="AG1264" s="76"/>
      <c r="AH1264" s="97">
        <v>1</v>
      </c>
      <c r="AI1264" s="97">
        <v>1</v>
      </c>
      <c r="AJ1264" s="73"/>
      <c r="AK1264" s="57"/>
      <c r="AL1264" s="45"/>
      <c r="AM1264" s="45"/>
      <c r="AN1264" s="45"/>
    </row>
    <row r="1265" spans="1:40" hidden="1" outlineLevel="3" x14ac:dyDescent="0.3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3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3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35">
      <c r="A1269" s="45"/>
      <c r="B1269" s="54"/>
      <c r="C1269" s="47">
        <f t="shared" ref="C1269:C1284" si="321">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35">
      <c r="A1284" s="45"/>
      <c r="B1284" s="54"/>
      <c r="C1284" s="47">
        <f t="shared" si="321"/>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3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3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2">U1287</f>
        <v>8.5699999999999995E-3</v>
      </c>
      <c r="V1286" s="253">
        <f t="shared" si="322"/>
        <v>8.5699999999999995E-3</v>
      </c>
      <c r="W1286" s="253">
        <f t="shared" si="322"/>
        <v>8.5699999999999995E-3</v>
      </c>
      <c r="X1286" s="253">
        <f t="shared" si="322"/>
        <v>8.5699999999999995E-3</v>
      </c>
      <c r="Y1286" s="253">
        <f t="shared" si="322"/>
        <v>8.5699999999999995E-3</v>
      </c>
      <c r="Z1286" s="253">
        <f t="shared" si="322"/>
        <v>2.7799999999999999E-3</v>
      </c>
      <c r="AA1286" s="253">
        <f t="shared" si="322"/>
        <v>2.7799999999999999E-3</v>
      </c>
      <c r="AB1286" s="253">
        <f t="shared" si="322"/>
        <v>2.7799999999999999E-3</v>
      </c>
      <c r="AC1286" s="253">
        <f t="shared" si="322"/>
        <v>2.7799999999999999E-3</v>
      </c>
      <c r="AD1286" s="253">
        <f t="shared" si="322"/>
        <v>2.7799999999999999E-3</v>
      </c>
      <c r="AE1286" s="76"/>
      <c r="AF1286" s="97" t="s">
        <v>2159</v>
      </c>
      <c r="AG1286" s="76"/>
      <c r="AH1286" s="253">
        <f>AH1287</f>
        <v>1</v>
      </c>
      <c r="AI1286" s="253">
        <f>AI1287</f>
        <v>1</v>
      </c>
      <c r="AJ1286" s="73"/>
      <c r="AK1286" s="57"/>
      <c r="AL1286" s="45"/>
      <c r="AM1286" s="45"/>
      <c r="AN1286" s="45"/>
    </row>
    <row r="1287" spans="1:40" hidden="1" outlineLevel="2" x14ac:dyDescent="0.3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3">AA1287</f>
        <v>2.7799999999999999E-3</v>
      </c>
      <c r="AC1287" s="400">
        <f t="shared" si="323"/>
        <v>2.7799999999999999E-3</v>
      </c>
      <c r="AD1287" s="400">
        <f t="shared" si="323"/>
        <v>2.7799999999999999E-3</v>
      </c>
      <c r="AE1287" s="76"/>
      <c r="AF1287" s="76"/>
      <c r="AG1287" s="76"/>
      <c r="AH1287" s="97">
        <v>1</v>
      </c>
      <c r="AI1287" s="97">
        <v>1</v>
      </c>
      <c r="AJ1287" s="73"/>
      <c r="AK1287" s="57"/>
      <c r="AL1287" s="45"/>
      <c r="AM1287" s="45"/>
      <c r="AN1287" s="45"/>
    </row>
    <row r="1288" spans="1:40" hidden="1" outlineLevel="2" collapsed="1" x14ac:dyDescent="0.3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3"/>
        <v>1.6129999999999999E-2</v>
      </c>
      <c r="AC1288" s="400">
        <f t="shared" si="323"/>
        <v>1.6129999999999999E-2</v>
      </c>
      <c r="AD1288" s="400">
        <f t="shared" si="323"/>
        <v>1.6129999999999999E-2</v>
      </c>
      <c r="AE1288" s="76"/>
      <c r="AF1288" s="76"/>
      <c r="AG1288" s="76"/>
      <c r="AH1288" s="97">
        <v>1</v>
      </c>
      <c r="AI1288" s="97">
        <v>1</v>
      </c>
      <c r="AJ1288" s="73"/>
      <c r="AK1288" s="57"/>
      <c r="AL1288" s="45"/>
      <c r="AM1288" s="45"/>
      <c r="AN1288" s="45"/>
    </row>
    <row r="1289" spans="1:40" hidden="1" outlineLevel="3" x14ac:dyDescent="0.3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3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35">
      <c r="A1292" s="45"/>
      <c r="B1292" s="54"/>
      <c r="C1292" s="47">
        <f t="shared" ref="C1292:C1308" si="324">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5">AA1292</f>
        <v>4.2411000000000003</v>
      </c>
      <c r="AC1292" s="411">
        <f t="shared" si="325"/>
        <v>4.2411000000000003</v>
      </c>
      <c r="AD1292" s="411">
        <f t="shared" si="325"/>
        <v>4.2411000000000003</v>
      </c>
      <c r="AE1292" s="184"/>
      <c r="AF1292" s="184"/>
      <c r="AG1292" s="184"/>
      <c r="AH1292" s="409">
        <v>1</v>
      </c>
      <c r="AI1292" s="409">
        <v>1</v>
      </c>
      <c r="AJ1292" s="73"/>
      <c r="AK1292" s="57"/>
      <c r="AL1292" s="45"/>
      <c r="AM1292" s="45"/>
      <c r="AN1292" s="45"/>
    </row>
    <row r="1293" spans="1:40" hidden="1" outlineLevel="2" x14ac:dyDescent="0.35">
      <c r="A1293" s="45"/>
      <c r="B1293" s="54"/>
      <c r="C1293" s="47">
        <f t="shared" si="324"/>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5"/>
        <v>0.13919999999999999</v>
      </c>
      <c r="AC1293" s="401">
        <f t="shared" si="325"/>
        <v>0.13919999999999999</v>
      </c>
      <c r="AD1293" s="401">
        <f t="shared" si="325"/>
        <v>0.13919999999999999</v>
      </c>
      <c r="AE1293" s="105"/>
      <c r="AF1293" s="119" t="s">
        <v>1275</v>
      </c>
      <c r="AG1293" s="105"/>
      <c r="AH1293" s="119">
        <v>1</v>
      </c>
      <c r="AI1293" s="119">
        <v>1</v>
      </c>
      <c r="AJ1293" s="73"/>
      <c r="AK1293" s="57"/>
      <c r="AL1293" s="45"/>
      <c r="AM1293" s="45"/>
      <c r="AN1293" s="45"/>
    </row>
    <row r="1294" spans="1:40" hidden="1" outlineLevel="2" x14ac:dyDescent="0.35">
      <c r="A1294" s="45"/>
      <c r="B1294" s="54"/>
      <c r="C1294" s="47">
        <f t="shared" si="324"/>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6">U1295</f>
        <v>0.03</v>
      </c>
      <c r="V1294" s="253">
        <f t="shared" si="326"/>
        <v>0.03</v>
      </c>
      <c r="W1294" s="253">
        <f t="shared" si="326"/>
        <v>0.03</v>
      </c>
      <c r="X1294" s="253">
        <f t="shared" si="326"/>
        <v>0.03</v>
      </c>
      <c r="Y1294" s="253">
        <f t="shared" si="326"/>
        <v>0.03</v>
      </c>
      <c r="Z1294" s="253">
        <f t="shared" si="326"/>
        <v>7.0000000000000062E-3</v>
      </c>
      <c r="AA1294" s="253">
        <f t="shared" si="326"/>
        <v>7.0000000000000062E-3</v>
      </c>
      <c r="AB1294" s="253">
        <f t="shared" si="326"/>
        <v>7.0000000000000062E-3</v>
      </c>
      <c r="AC1294" s="253">
        <f t="shared" si="326"/>
        <v>7.0000000000000062E-3</v>
      </c>
      <c r="AD1294" s="253">
        <f t="shared" si="326"/>
        <v>7.0000000000000062E-3</v>
      </c>
      <c r="AE1294" s="76"/>
      <c r="AF1294" s="97" t="s">
        <v>2159</v>
      </c>
      <c r="AG1294" s="76"/>
      <c r="AH1294" s="253">
        <f>AH1295</f>
        <v>1</v>
      </c>
      <c r="AI1294" s="253">
        <f>AI1295</f>
        <v>1</v>
      </c>
      <c r="AJ1294" s="73"/>
      <c r="AK1294" s="57"/>
      <c r="AL1294" s="45"/>
      <c r="AM1294" s="45"/>
      <c r="AN1294" s="45"/>
    </row>
    <row r="1295" spans="1:40" hidden="1" outlineLevel="2" x14ac:dyDescent="0.35">
      <c r="A1295" s="45"/>
      <c r="B1295" s="54"/>
      <c r="C1295" s="47">
        <f t="shared" si="324"/>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27">AA1295</f>
        <v>7.0000000000000062E-3</v>
      </c>
      <c r="AA1295" s="97">
        <f>0.1462-AA$1293</f>
        <v>7.0000000000000062E-3</v>
      </c>
      <c r="AB1295" s="255">
        <f t="shared" ref="AB1295:AD1301" si="328">AA1295</f>
        <v>7.0000000000000062E-3</v>
      </c>
      <c r="AC1295" s="255">
        <f t="shared" si="328"/>
        <v>7.0000000000000062E-3</v>
      </c>
      <c r="AD1295" s="255">
        <f t="shared" si="328"/>
        <v>7.0000000000000062E-3</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27"/>
        <v>-3.0299999999999994E-2</v>
      </c>
      <c r="AA1296" s="97">
        <f>0.1089-AA$1293</f>
        <v>-3.0299999999999994E-2</v>
      </c>
      <c r="AB1296" s="255">
        <f t="shared" si="328"/>
        <v>-3.0299999999999994E-2</v>
      </c>
      <c r="AC1296" s="255">
        <f t="shared" si="328"/>
        <v>-3.0299999999999994E-2</v>
      </c>
      <c r="AD1296" s="255">
        <f t="shared" si="328"/>
        <v>-3.0299999999999994E-2</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27"/>
        <v>-0.13919999999999999</v>
      </c>
      <c r="AA1297" s="97">
        <f>0-AA$1293</f>
        <v>-0.13919999999999999</v>
      </c>
      <c r="AB1297" s="255">
        <f t="shared" si="328"/>
        <v>-0.13919999999999999</v>
      </c>
      <c r="AC1297" s="255">
        <f t="shared" si="328"/>
        <v>-0.13919999999999999</v>
      </c>
      <c r="AD1297" s="255">
        <f t="shared" si="328"/>
        <v>-0.13919999999999999</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27"/>
        <v>24.748000000000001</v>
      </c>
      <c r="AA1300" s="97">
        <f>27.01-0.2262*10</f>
        <v>24.748000000000001</v>
      </c>
      <c r="AB1300" s="255">
        <f t="shared" si="328"/>
        <v>24.748000000000001</v>
      </c>
      <c r="AC1300" s="255">
        <f t="shared" si="328"/>
        <v>24.748000000000001</v>
      </c>
      <c r="AD1300" s="255">
        <f t="shared" si="328"/>
        <v>24.748000000000001</v>
      </c>
      <c r="AE1300" s="76"/>
      <c r="AF1300" s="76"/>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27"/>
        <v>2.0499999999999997E-3</v>
      </c>
      <c r="AA1301" s="97">
        <f>2.05/1000</f>
        <v>2.0499999999999997E-3</v>
      </c>
      <c r="AB1301" s="255">
        <f t="shared" si="328"/>
        <v>2.0499999999999997E-3</v>
      </c>
      <c r="AC1301" s="255">
        <f t="shared" si="328"/>
        <v>2.0499999999999997E-3</v>
      </c>
      <c r="AD1301" s="255">
        <f t="shared" si="328"/>
        <v>2.0499999999999997E-3</v>
      </c>
      <c r="AE1301" s="76"/>
      <c r="AF1301" s="97" t="s">
        <v>1280</v>
      </c>
      <c r="AG1301" s="76"/>
      <c r="AH1301" s="97">
        <v>1</v>
      </c>
      <c r="AI1301" s="97">
        <v>1</v>
      </c>
      <c r="AJ1301" s="73"/>
      <c r="AK1301" s="57"/>
      <c r="AL1301" s="45"/>
      <c r="AM1301" s="45"/>
      <c r="AN1301" s="45"/>
    </row>
    <row r="1302" spans="1:40" hidden="1" outlineLevel="2" x14ac:dyDescent="0.35">
      <c r="A1302" s="45"/>
      <c r="B1302" s="54"/>
      <c r="C1302" s="47">
        <f t="shared" si="324"/>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29">U1303</f>
        <v>-5.9999999999999724E-5</v>
      </c>
      <c r="V1302" s="253">
        <f t="shared" si="329"/>
        <v>-5.9999999999999724E-5</v>
      </c>
      <c r="W1302" s="253">
        <f t="shared" si="329"/>
        <v>-5.9999999999999724E-5</v>
      </c>
      <c r="X1302" s="253">
        <f t="shared" si="329"/>
        <v>-5.9999999999999724E-5</v>
      </c>
      <c r="Y1302" s="253">
        <f t="shared" si="329"/>
        <v>-5.9999999999999724E-5</v>
      </c>
      <c r="Z1302" s="253">
        <f t="shared" si="329"/>
        <v>-5.9999999999999724E-5</v>
      </c>
      <c r="AA1302" s="253">
        <f t="shared" si="329"/>
        <v>-5.9999999999999724E-5</v>
      </c>
      <c r="AB1302" s="253">
        <f t="shared" si="329"/>
        <v>-5.9999999999999724E-5</v>
      </c>
      <c r="AC1302" s="253">
        <f t="shared" si="329"/>
        <v>-5.9999999999999724E-5</v>
      </c>
      <c r="AD1302" s="253">
        <f t="shared" si="329"/>
        <v>-5.9999999999999724E-5</v>
      </c>
      <c r="AE1302" s="76"/>
      <c r="AF1302" s="76"/>
      <c r="AG1302" s="76"/>
      <c r="AH1302" s="253">
        <f>AH1303</f>
        <v>1</v>
      </c>
      <c r="AI1302" s="253">
        <f>AI1303</f>
        <v>1</v>
      </c>
      <c r="AJ1302" s="73"/>
      <c r="AK1302" s="57"/>
      <c r="AL1302" s="45"/>
      <c r="AM1302" s="45"/>
      <c r="AN1302" s="45"/>
    </row>
    <row r="1303" spans="1:40" hidden="1" outlineLevel="2" x14ac:dyDescent="0.35">
      <c r="A1303" s="45"/>
      <c r="B1303" s="54"/>
      <c r="C1303" s="47">
        <f t="shared" si="324"/>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0">AA1303</f>
        <v>-5.9999999999999724E-5</v>
      </c>
      <c r="AA1303" s="97">
        <f>1.99/1000-AA$1301</f>
        <v>-5.9999999999999724E-5</v>
      </c>
      <c r="AB1303" s="255">
        <f t="shared" ref="AB1303:AD1308" si="331">AA1303</f>
        <v>-5.9999999999999724E-5</v>
      </c>
      <c r="AC1303" s="255">
        <f t="shared" si="331"/>
        <v>-5.9999999999999724E-5</v>
      </c>
      <c r="AD1303" s="255">
        <f t="shared" si="331"/>
        <v>-5.9999999999999724E-5</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0"/>
        <v>-6.4999999999999975E-4</v>
      </c>
      <c r="AA1304" s="97">
        <f>1.4/1000-AA$1301</f>
        <v>-6.4999999999999975E-4</v>
      </c>
      <c r="AB1304" s="255">
        <f t="shared" si="331"/>
        <v>-6.4999999999999975E-4</v>
      </c>
      <c r="AC1304" s="255">
        <f t="shared" si="331"/>
        <v>-6.4999999999999975E-4</v>
      </c>
      <c r="AD1304" s="255">
        <f t="shared" si="331"/>
        <v>-6.4999999999999975E-4</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0"/>
        <v>-2.0499999999999997E-3</v>
      </c>
      <c r="AA1305" s="97">
        <f>0-AA$1301</f>
        <v>-2.0499999999999997E-3</v>
      </c>
      <c r="AB1305" s="255">
        <f t="shared" si="331"/>
        <v>-2.0499999999999997E-3</v>
      </c>
      <c r="AC1305" s="255">
        <f t="shared" si="331"/>
        <v>-2.0499999999999997E-3</v>
      </c>
      <c r="AD1305" s="255">
        <f t="shared" si="331"/>
        <v>-2.0499999999999997E-3</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0"/>
        <v>1.02E-4</v>
      </c>
      <c r="AA1306" s="97">
        <f>0.102/1000</f>
        <v>1.02E-4</v>
      </c>
      <c r="AB1306" s="255">
        <f t="shared" si="331"/>
        <v>1.02E-4</v>
      </c>
      <c r="AC1306" s="255">
        <f t="shared" si="331"/>
        <v>1.02E-4</v>
      </c>
      <c r="AD1306" s="255">
        <f t="shared" si="331"/>
        <v>1.02E-4</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0"/>
        <v>-1.9000000000000001E-8</v>
      </c>
      <c r="AA1307" s="97">
        <f>-0.000019/1000</f>
        <v>-1.9000000000000001E-8</v>
      </c>
      <c r="AB1307" s="255">
        <f t="shared" si="331"/>
        <v>-1.9000000000000001E-8</v>
      </c>
      <c r="AC1307" s="255">
        <f t="shared" si="331"/>
        <v>-1.9000000000000001E-8</v>
      </c>
      <c r="AD1307" s="255">
        <f t="shared" si="331"/>
        <v>-1.9000000000000001E-8</v>
      </c>
      <c r="AE1307" s="76"/>
      <c r="AF1307" s="76"/>
      <c r="AG1307" s="76"/>
      <c r="AH1307" s="97">
        <v>1</v>
      </c>
      <c r="AI1307" s="97">
        <v>1</v>
      </c>
      <c r="AJ1307" s="73"/>
      <c r="AK1307" s="57"/>
      <c r="AL1307" s="45"/>
      <c r="AM1307" s="45"/>
      <c r="AN1307" s="45"/>
    </row>
    <row r="1308" spans="1:40" hidden="1" outlineLevel="2" x14ac:dyDescent="0.35">
      <c r="A1308" s="45"/>
      <c r="B1308" s="54"/>
      <c r="C1308" s="47">
        <f t="shared" si="324"/>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0"/>
        <v>1.49E-2</v>
      </c>
      <c r="AA1308" s="97">
        <f>14.9/1000</f>
        <v>1.49E-2</v>
      </c>
      <c r="AB1308" s="255">
        <f t="shared" si="331"/>
        <v>1.49E-2</v>
      </c>
      <c r="AC1308" s="255">
        <f t="shared" si="331"/>
        <v>1.49E-2</v>
      </c>
      <c r="AD1308" s="255">
        <f t="shared" si="331"/>
        <v>1.49E-2</v>
      </c>
      <c r="AE1308" s="76"/>
      <c r="AF1308" s="76"/>
      <c r="AG1308" s="76"/>
      <c r="AH1308" s="97">
        <v>1</v>
      </c>
      <c r="AI1308" s="97">
        <v>1</v>
      </c>
      <c r="AJ1308" s="73"/>
      <c r="AK1308" s="57"/>
      <c r="AL1308" s="45"/>
      <c r="AM1308" s="45"/>
      <c r="AN1308" s="45"/>
    </row>
    <row r="1309" spans="1:40" hidden="1" outlineLevel="2" x14ac:dyDescent="0.35">
      <c r="A1309" s="45"/>
      <c r="B1309" s="54"/>
      <c r="C1309" s="47">
        <f>INT($C$29)+2</f>
        <v>3</v>
      </c>
      <c r="D1309" s="73"/>
      <c r="E1309" s="402"/>
      <c r="F1309" s="402" t="s">
        <v>3338</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3339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3340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INT($C$29)+2</f>
        <v>3</v>
      </c>
      <c r="D1312" s="73"/>
      <c r="E1312" s="70"/>
      <c r="F1312" s="70" t="s">
        <v>3341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35">
      <c r="A1313" s="45"/>
      <c r="B1313" s="54"/>
      <c r="C1313" s="47">
        <f>INT($C$29)+3</f>
        <v>4</v>
      </c>
      <c r="D1313" s="73"/>
      <c r="E1313" s="70"/>
      <c r="F1313" s="70" t="s">
        <v>3342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35">
      <c r="A1314" s="45"/>
      <c r="B1314" s="54"/>
      <c r="C1314" s="47">
        <f>INT($C$29)+3</f>
        <v>4</v>
      </c>
      <c r="D1314" s="73"/>
      <c r="E1314" s="70"/>
      <c r="F1314" s="70" t="s">
        <v>3343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35">
      <c r="A1315" s="45"/>
      <c r="B1315" s="54"/>
      <c r="C1315" s="47">
        <f>INT($C$29)+3</f>
        <v>4</v>
      </c>
      <c r="D1315" s="73"/>
      <c r="E1315" s="70"/>
      <c r="F1315" s="70" t="s">
        <v>3344</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35">
      <c r="A1316" s="45"/>
      <c r="B1316" s="54"/>
      <c r="C1316" s="47">
        <f t="shared" ref="C1316" si="332">INT($C$29)+2</f>
        <v>3</v>
      </c>
      <c r="D1316" s="73"/>
      <c r="E1316" s="406"/>
      <c r="F1316" s="406" t="s">
        <v>3345</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1" collapsed="1" x14ac:dyDescent="0.3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35">
      <c r="A1318" s="45"/>
      <c r="B1318" s="54"/>
      <c r="C1318" s="47">
        <f t="shared" ref="C1318:C1337" si="333">INT($C$29)+3</f>
        <v>4</v>
      </c>
      <c r="D1318" s="73"/>
      <c r="E1318" s="70"/>
      <c r="F1318" s="70" t="s">
        <v>1909</v>
      </c>
      <c r="G1318" s="73"/>
      <c r="H1318" s="76" t="s">
        <v>3485</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SUBSTITUTE(F1325,",7)",",12)")</f>
        <v>C(U2,0,12)</v>
      </c>
      <c r="G1330" s="73"/>
      <c r="H1330" s="76" t="s">
        <v>3332</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tr">
        <f>SUBSTITUTE(F1325,",7)",",13)")</f>
        <v>C(U2,0,13)</v>
      </c>
      <c r="G1331" s="73"/>
      <c r="H1331" s="76" t="s">
        <v>3333</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f t="shared" si="333"/>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ref="C1341:C1352" si="334">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f t="shared" si="334"/>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ref="C1356:C1367" si="335">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f t="shared" si="335"/>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ref="C1371:C1382" si="336">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f t="shared" si="336"/>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ref="C1386:C1397" si="337">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f t="shared" si="337"/>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ref="C1401:C1412" si="338">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f t="shared" si="338"/>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ref="C1416:C1427" si="339">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f t="shared" si="339"/>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ref="C1435:C1436" si="340">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si="340"/>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3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1">U1438</f>
        <v>3.157</v>
      </c>
      <c r="X1438" s="405">
        <f t="shared" si="341"/>
        <v>3.157</v>
      </c>
      <c r="Y1438" s="405">
        <f>V1438</f>
        <v>3.157</v>
      </c>
      <c r="Z1438" s="405">
        <f>AA1438</f>
        <v>2.9750000000000001</v>
      </c>
      <c r="AA1438" s="404">
        <v>2.9750000000000001</v>
      </c>
      <c r="AB1438" s="405">
        <f t="shared" ref="AB1438:AD1440" si="342">AA1438</f>
        <v>2.9750000000000001</v>
      </c>
      <c r="AC1438" s="405">
        <f t="shared" si="342"/>
        <v>2.9750000000000001</v>
      </c>
      <c r="AD1438" s="405">
        <f t="shared" si="342"/>
        <v>2.9750000000000001</v>
      </c>
      <c r="AE1438" s="181"/>
      <c r="AF1438" s="404" t="s">
        <v>2562</v>
      </c>
      <c r="AG1438" s="181"/>
      <c r="AH1438" s="404">
        <v>1</v>
      </c>
      <c r="AI1438" s="404">
        <v>1</v>
      </c>
      <c r="AJ1438" s="73"/>
      <c r="AK1438" s="57"/>
      <c r="AL1438" s="45"/>
      <c r="AM1438" s="45"/>
      <c r="AN1438" s="45"/>
    </row>
    <row r="1439" spans="1:40" hidden="1" outlineLevel="2" x14ac:dyDescent="0.3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1"/>
        <v>-0.28570000000000001</v>
      </c>
      <c r="X1439" s="255">
        <f t="shared" si="341"/>
        <v>-0.28570000000000001</v>
      </c>
      <c r="Y1439" s="255">
        <f>V1439</f>
        <v>-0.28570000000000001</v>
      </c>
      <c r="Z1439" s="400">
        <f>AA1439</f>
        <v>-0.23649999999999999</v>
      </c>
      <c r="AA1439" s="97">
        <v>-0.23649999999999999</v>
      </c>
      <c r="AB1439" s="400">
        <f t="shared" si="342"/>
        <v>-0.23649999999999999</v>
      </c>
      <c r="AC1439" s="400">
        <f t="shared" si="342"/>
        <v>-0.23649999999999999</v>
      </c>
      <c r="AD1439" s="400">
        <f t="shared" si="342"/>
        <v>-0.23649999999999999</v>
      </c>
      <c r="AE1439" s="76"/>
      <c r="AF1439" s="76"/>
      <c r="AG1439" s="76"/>
      <c r="AH1439" s="97">
        <v>1</v>
      </c>
      <c r="AI1439" s="97">
        <v>1</v>
      </c>
      <c r="AJ1439" s="73"/>
      <c r="AK1439" s="57"/>
      <c r="AL1439" s="45"/>
      <c r="AM1439" s="45"/>
      <c r="AN1439" s="45"/>
    </row>
    <row r="1440" spans="1:40" hidden="1" outlineLevel="2" collapsed="1" x14ac:dyDescent="0.3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1"/>
        <v>-7.9950000000000004E-3</v>
      </c>
      <c r="X1440" s="255">
        <f t="shared" si="341"/>
        <v>-7.9950000000000004E-3</v>
      </c>
      <c r="Y1440" s="255">
        <f>V1440</f>
        <v>-7.9950000000000004E-3</v>
      </c>
      <c r="Z1440" s="400">
        <f>AA1440</f>
        <v>-1.761E-3</v>
      </c>
      <c r="AA1440" s="97">
        <v>-1.761E-3</v>
      </c>
      <c r="AB1440" s="400">
        <f t="shared" si="342"/>
        <v>-1.761E-3</v>
      </c>
      <c r="AC1440" s="400">
        <f t="shared" si="342"/>
        <v>-1.761E-3</v>
      </c>
      <c r="AD1440" s="400">
        <f t="shared" si="342"/>
        <v>-1.761E-3</v>
      </c>
      <c r="AE1440" s="76"/>
      <c r="AF1440" s="76"/>
      <c r="AG1440" s="76"/>
      <c r="AH1440" s="97">
        <v>1</v>
      </c>
      <c r="AI1440" s="97">
        <v>1</v>
      </c>
      <c r="AJ1440" s="73"/>
      <c r="AK1440" s="57"/>
      <c r="AL1440" s="45"/>
      <c r="AM1440" s="45"/>
      <c r="AN1440" s="45"/>
    </row>
    <row r="1441" spans="1:40" hidden="1" outlineLevel="3" x14ac:dyDescent="0.3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3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3">AA1442</f>
        <v>0</v>
      </c>
      <c r="AC1442" s="400">
        <f t="shared" si="343"/>
        <v>0</v>
      </c>
      <c r="AD1442" s="400">
        <f t="shared" si="343"/>
        <v>0</v>
      </c>
      <c r="AE1442" s="76"/>
      <c r="AF1442" s="76"/>
      <c r="AG1442" s="76"/>
      <c r="AH1442" s="97">
        <v>1</v>
      </c>
      <c r="AI1442" s="97">
        <v>1</v>
      </c>
      <c r="AJ1442" s="73"/>
      <c r="AK1442" s="57"/>
      <c r="AL1442" s="45"/>
      <c r="AM1442" s="45"/>
      <c r="AN1442" s="45"/>
    </row>
    <row r="1443" spans="1:40" hidden="1" outlineLevel="2" collapsed="1" x14ac:dyDescent="0.3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3"/>
        <v>0</v>
      </c>
      <c r="AC1443" s="400">
        <f t="shared" si="343"/>
        <v>0</v>
      </c>
      <c r="AD1443" s="400">
        <f t="shared" si="343"/>
        <v>0</v>
      </c>
      <c r="AE1443" s="76"/>
      <c r="AF1443" s="76"/>
      <c r="AG1443" s="76"/>
      <c r="AH1443" s="97">
        <v>1</v>
      </c>
      <c r="AI1443" s="97">
        <v>1</v>
      </c>
      <c r="AJ1443" s="73"/>
      <c r="AK1443" s="57"/>
      <c r="AL1443" s="45"/>
      <c r="AM1443" s="45"/>
      <c r="AN1443" s="45"/>
    </row>
    <row r="1444" spans="1:40" hidden="1" outlineLevel="3" x14ac:dyDescent="0.35">
      <c r="A1444" s="45"/>
      <c r="B1444" s="54"/>
      <c r="C1444" s="47">
        <f t="shared" ref="C1444:C1451" si="344">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si="344"/>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2" collapsed="1" x14ac:dyDescent="0.3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3289</v>
      </c>
      <c r="U1452" s="409">
        <v>1.7397800000000001</v>
      </c>
      <c r="V1452" s="410">
        <f>U1452</f>
        <v>1.7397800000000001</v>
      </c>
      <c r="W1452" s="409">
        <v>1.88365</v>
      </c>
      <c r="X1452" s="409">
        <v>1.74003</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3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3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ref="C1461:C1472" si="345">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f t="shared" si="345"/>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ref="C1476:C1487" si="346">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f t="shared" si="346"/>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ref="C1491:C1502" si="347">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f t="shared" si="347"/>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ref="C1506:C1517" si="348">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f t="shared" si="348"/>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ref="C1521:C1532" si="349">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f t="shared" si="349"/>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ref="C1536:C1547" si="350">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350"/>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ref="C1551:C1562" si="351">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f t="shared" si="351"/>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ref="C1566:C1577" si="352">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f t="shared" si="352"/>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ref="C1581:C1592" si="353">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f t="shared" si="353"/>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ref="C1596:C1607" si="354">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f t="shared" si="354"/>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ref="C1615:C1616" si="355">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 t="shared" si="355"/>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3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3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6">Y1618</f>
        <v>0.57699999999999996</v>
      </c>
      <c r="AA1618" s="255">
        <f t="shared" si="356"/>
        <v>0.57699999999999996</v>
      </c>
      <c r="AB1618" s="255">
        <f t="shared" si="356"/>
        <v>0.57699999999999996</v>
      </c>
      <c r="AC1618" s="255">
        <f t="shared" si="356"/>
        <v>0.57699999999999996</v>
      </c>
      <c r="AD1618" s="255">
        <f t="shared" si="356"/>
        <v>0.57699999999999996</v>
      </c>
      <c r="AE1618" s="76"/>
      <c r="AF1618" s="97" t="s">
        <v>2041</v>
      </c>
      <c r="AG1618" s="76"/>
      <c r="AH1618" s="97">
        <v>1</v>
      </c>
      <c r="AI1618" s="97">
        <v>1</v>
      </c>
      <c r="AJ1618" s="73"/>
      <c r="AK1618" s="57"/>
      <c r="AL1618" s="45"/>
      <c r="AM1618" s="45"/>
      <c r="AN1618" s="45"/>
    </row>
    <row r="1619" spans="1:40" hidden="1" outlineLevel="2" collapsed="1" x14ac:dyDescent="0.3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6"/>
        <v>-1.2E-2</v>
      </c>
      <c r="AA1619" s="255">
        <f t="shared" si="356"/>
        <v>-1.2E-2</v>
      </c>
      <c r="AB1619" s="255">
        <f t="shared" si="356"/>
        <v>-1.2E-2</v>
      </c>
      <c r="AC1619" s="255">
        <f t="shared" si="356"/>
        <v>-1.2E-2</v>
      </c>
      <c r="AD1619" s="255">
        <f t="shared" si="356"/>
        <v>-1.2E-2</v>
      </c>
      <c r="AE1619" s="76"/>
      <c r="AF1619" s="76"/>
      <c r="AG1619" s="76"/>
      <c r="AH1619" s="97">
        <v>1</v>
      </c>
      <c r="AI1619" s="97">
        <v>1</v>
      </c>
      <c r="AJ1619" s="73"/>
      <c r="AK1619" s="57"/>
      <c r="AL1619" s="45"/>
      <c r="AM1619" s="45"/>
      <c r="AN1619" s="45"/>
    </row>
    <row r="1620" spans="1:40" hidden="1" outlineLevel="3" x14ac:dyDescent="0.3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ref="C1624:C1631" si="357">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35">
      <c r="A1631" s="45"/>
      <c r="B1631" s="54"/>
      <c r="C1631" s="47">
        <f t="shared" si="357"/>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3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3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ref="C1645:C1646" si="358">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 t="shared" si="358"/>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3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3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59">Y1648</f>
        <v>-8.4959000000000007</v>
      </c>
      <c r="AA1648" s="261">
        <f t="shared" si="359"/>
        <v>-8.4959000000000007</v>
      </c>
      <c r="AB1648" s="261">
        <f t="shared" si="359"/>
        <v>-8.4959000000000007</v>
      </c>
      <c r="AC1648" s="261">
        <f t="shared" si="359"/>
        <v>-8.4959000000000007</v>
      </c>
      <c r="AD1648" s="261">
        <f t="shared" si="359"/>
        <v>-8.4959000000000007</v>
      </c>
      <c r="AE1648" s="76"/>
      <c r="AF1648" s="97" t="s">
        <v>2738</v>
      </c>
      <c r="AG1648" s="76"/>
      <c r="AH1648" s="97">
        <v>1</v>
      </c>
      <c r="AI1648" s="97">
        <v>1</v>
      </c>
      <c r="AJ1648" s="73"/>
      <c r="AK1648" s="57"/>
      <c r="AL1648" s="45"/>
      <c r="AM1648" s="45"/>
      <c r="AN1648" s="45"/>
    </row>
    <row r="1649" spans="1:40" hidden="1" outlineLevel="2" collapsed="1" x14ac:dyDescent="0.3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59"/>
        <v>1.38185</v>
      </c>
      <c r="AA1649" s="261">
        <f t="shared" si="359"/>
        <v>1.38185</v>
      </c>
      <c r="AB1649" s="261">
        <f t="shared" si="359"/>
        <v>1.38185</v>
      </c>
      <c r="AC1649" s="261">
        <f t="shared" si="359"/>
        <v>1.38185</v>
      </c>
      <c r="AD1649" s="261">
        <f t="shared" si="359"/>
        <v>1.38185</v>
      </c>
      <c r="AE1649" s="76"/>
      <c r="AF1649" s="76"/>
      <c r="AG1649" s="76"/>
      <c r="AH1649" s="97">
        <v>1</v>
      </c>
      <c r="AI1649" s="97">
        <v>1</v>
      </c>
      <c r="AJ1649" s="73"/>
      <c r="AK1649" s="57"/>
      <c r="AL1649" s="45"/>
      <c r="AM1649" s="45"/>
      <c r="AN1649" s="45"/>
    </row>
    <row r="1650" spans="1:40" hidden="1" outlineLevel="3" x14ac:dyDescent="0.35">
      <c r="A1650" s="45"/>
      <c r="B1650" s="54"/>
      <c r="C1650" s="47">
        <f t="shared" ref="C1650:C1661" si="360">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SUBSTITUTE(F1655,",7)",",11)")</f>
        <v>C(U2,22,11)</v>
      </c>
      <c r="G1659" s="73"/>
      <c r="H1659" s="373" t="s">
        <v>3335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SUBSTITUTE(F1654,",6)",",12)")</f>
        <v>C(U2,22,12)</v>
      </c>
      <c r="G1660" s="73"/>
      <c r="H1660" s="373" t="s">
        <v>3336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35">
      <c r="A1661" s="45"/>
      <c r="B1661" s="54"/>
      <c r="C1661" s="47">
        <f t="shared" si="360"/>
        <v>4</v>
      </c>
      <c r="D1661" s="73"/>
      <c r="E1661" s="70"/>
      <c r="F1661" s="70" t="str">
        <f>SUBSTITUTE(F1655,",7)",",13)")</f>
        <v>C(U2,22,13)</v>
      </c>
      <c r="G1661" s="73"/>
      <c r="H1661" s="373" t="s">
        <v>3337</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3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1">U1662</f>
        <v>7.50061</v>
      </c>
      <c r="X1662" s="261">
        <f t="shared" si="361"/>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3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1"/>
        <v>-4.5568499999999998</v>
      </c>
      <c r="X1663" s="255">
        <f t="shared" si="361"/>
        <v>-4.5568499999999998</v>
      </c>
      <c r="Y1663" s="255">
        <f>V1663</f>
        <v>-4.5568499999999998</v>
      </c>
      <c r="Z1663" s="255">
        <f>AA1663</f>
        <v>-4.5568499999999998</v>
      </c>
      <c r="AA1663" s="97">
        <f>-(4.55685)</f>
        <v>-4.5568499999999998</v>
      </c>
      <c r="AB1663" s="255">
        <f t="shared" ref="AB1663:AD1665" si="362">AA1663</f>
        <v>-4.5568499999999998</v>
      </c>
      <c r="AC1663" s="255">
        <f t="shared" si="362"/>
        <v>-4.5568499999999998</v>
      </c>
      <c r="AD1663" s="255">
        <f t="shared" si="362"/>
        <v>-4.5568499999999998</v>
      </c>
      <c r="AE1663" s="76"/>
      <c r="AF1663" s="97" t="s">
        <v>3334</v>
      </c>
      <c r="AG1663" s="76"/>
      <c r="AH1663" s="76">
        <v>1</v>
      </c>
      <c r="AI1663" s="76">
        <v>1</v>
      </c>
      <c r="AJ1663" s="73"/>
      <c r="AK1663" s="57"/>
      <c r="AL1663" s="45"/>
      <c r="AM1663" s="45"/>
      <c r="AN1663" s="45"/>
    </row>
    <row r="1664" spans="1:40" hidden="1" outlineLevel="2" x14ac:dyDescent="0.3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1"/>
        <v>0.69092500000000001</v>
      </c>
      <c r="X1664" s="255">
        <f t="shared" si="361"/>
        <v>0.69092500000000001</v>
      </c>
      <c r="Y1664" s="255">
        <f>V1664</f>
        <v>0.69092500000000001</v>
      </c>
      <c r="Z1664" s="255">
        <f>AA1664</f>
        <v>0.69092500000000001</v>
      </c>
      <c r="AA1664" s="97">
        <f>-(-0.690925)</f>
        <v>0.69092500000000001</v>
      </c>
      <c r="AB1664" s="255">
        <f t="shared" si="362"/>
        <v>0.69092500000000001</v>
      </c>
      <c r="AC1664" s="255">
        <f t="shared" si="362"/>
        <v>0.69092500000000001</v>
      </c>
      <c r="AD1664" s="255">
        <f t="shared" si="362"/>
        <v>0.69092500000000001</v>
      </c>
      <c r="AE1664" s="76"/>
      <c r="AF1664" s="76"/>
      <c r="AG1664" s="76"/>
      <c r="AH1664" s="76">
        <v>1</v>
      </c>
      <c r="AI1664" s="76">
        <v>1</v>
      </c>
      <c r="AJ1664" s="73"/>
      <c r="AK1664" s="57"/>
      <c r="AL1664" s="45"/>
      <c r="AM1664" s="45"/>
      <c r="AN1664" s="45"/>
    </row>
    <row r="1665" spans="1:40" hidden="1" outlineLevel="2" collapsed="1" x14ac:dyDescent="0.35">
      <c r="A1665" s="45"/>
      <c r="B1665" s="54"/>
      <c r="C1665" s="47">
        <f t="shared" ref="C1665:C1676" si="363">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1"/>
        <v>-0.15570000000000001</v>
      </c>
      <c r="X1665" s="255">
        <f t="shared" si="361"/>
        <v>-0.15570000000000001</v>
      </c>
      <c r="Y1665" s="255">
        <f>V1665</f>
        <v>-0.15570000000000001</v>
      </c>
      <c r="Z1665" s="255">
        <f>AA1665</f>
        <v>-0.15570000000000001</v>
      </c>
      <c r="AA1665" s="97">
        <f>-(0.1557)</f>
        <v>-0.15570000000000001</v>
      </c>
      <c r="AB1665" s="255">
        <f t="shared" si="362"/>
        <v>-0.15570000000000001</v>
      </c>
      <c r="AC1665" s="255">
        <f t="shared" si="362"/>
        <v>-0.15570000000000001</v>
      </c>
      <c r="AD1665" s="255">
        <f t="shared" si="362"/>
        <v>-0.15570000000000001</v>
      </c>
      <c r="AE1665" s="76"/>
      <c r="AF1665" s="97"/>
      <c r="AG1665" s="76"/>
      <c r="AH1665" s="97">
        <v>1</v>
      </c>
      <c r="AI1665" s="97">
        <v>1</v>
      </c>
      <c r="AJ1665" s="73"/>
      <c r="AK1665" s="57"/>
      <c r="AL1665" s="45"/>
      <c r="AM1665" s="45"/>
      <c r="AN1665" s="45"/>
    </row>
    <row r="1666" spans="1:40" hidden="1" outlineLevel="3" collapsed="1" x14ac:dyDescent="0.35">
      <c r="A1666" s="45"/>
      <c r="B1666" s="54"/>
      <c r="C1666" s="47">
        <f t="shared" si="363"/>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SUBSTITUTE(F1670,",7)",",11)")</f>
        <v>C(U2,23,11)</v>
      </c>
      <c r="G1674" s="73"/>
      <c r="H1674" s="373" t="s">
        <v>3335</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35">
      <c r="A1675" s="45"/>
      <c r="B1675" s="54"/>
      <c r="C1675" s="47">
        <f t="shared" si="363"/>
        <v>4</v>
      </c>
      <c r="D1675" s="73"/>
      <c r="E1675" s="70"/>
      <c r="F1675" s="70" t="str">
        <f>SUBSTITUTE(F1669,",6)",",12)")</f>
        <v>C(U2,23,12)</v>
      </c>
      <c r="G1675" s="73"/>
      <c r="H1675" s="373" t="s">
        <v>3486</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35">
      <c r="A1676" s="45"/>
      <c r="B1676" s="54"/>
      <c r="C1676" s="47">
        <f t="shared" si="363"/>
        <v>4</v>
      </c>
      <c r="D1676" s="73"/>
      <c r="E1676" s="70"/>
      <c r="F1676" s="70" t="s">
        <v>3487</v>
      </c>
      <c r="G1676" s="73"/>
      <c r="H1676" s="374" t="s">
        <v>2795</v>
      </c>
      <c r="I1676" s="96"/>
      <c r="J1676" s="76"/>
      <c r="K1676" s="76"/>
      <c r="L1676" s="76"/>
      <c r="M1676" s="76"/>
      <c r="N1676" s="76"/>
      <c r="O1676" s="76"/>
      <c r="P1676" s="76"/>
      <c r="Q1676" s="76"/>
      <c r="R1676" s="76"/>
      <c r="S1676" s="76"/>
      <c r="T1676" s="76"/>
      <c r="U1676" s="337">
        <f t="shared" ref="U1676:AD1676" si="364">-U$1663/(2*U$1664)</f>
        <v>3.2976444621340955</v>
      </c>
      <c r="V1676" s="337">
        <f t="shared" si="364"/>
        <v>3.2976444621340955</v>
      </c>
      <c r="W1676" s="337">
        <f t="shared" si="364"/>
        <v>3.2976444621340955</v>
      </c>
      <c r="X1676" s="337">
        <f t="shared" si="364"/>
        <v>3.2976444621340955</v>
      </c>
      <c r="Y1676" s="337">
        <f t="shared" si="364"/>
        <v>3.2976444621340955</v>
      </c>
      <c r="Z1676" s="337">
        <f t="shared" si="364"/>
        <v>3.2976444621340955</v>
      </c>
      <c r="AA1676" s="337">
        <f t="shared" si="364"/>
        <v>3.2976444621340955</v>
      </c>
      <c r="AB1676" s="337">
        <f t="shared" si="364"/>
        <v>3.2976444621340955</v>
      </c>
      <c r="AC1676" s="337">
        <f t="shared" si="364"/>
        <v>3.2976444621340955</v>
      </c>
      <c r="AD1676" s="337">
        <f t="shared" si="364"/>
        <v>3.2976444621340955</v>
      </c>
      <c r="AE1676" s="76"/>
      <c r="AF1676" s="76"/>
      <c r="AG1676" s="76"/>
      <c r="AH1676" s="76">
        <v>1</v>
      </c>
      <c r="AI1676" s="76">
        <v>1</v>
      </c>
      <c r="AJ1676" s="73"/>
      <c r="AK1676" s="57"/>
      <c r="AL1676" s="45"/>
      <c r="AM1676" s="45"/>
      <c r="AN1676" s="45"/>
    </row>
    <row r="1677" spans="1:40" hidden="1" outlineLevel="2" x14ac:dyDescent="0.3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5">U1677</f>
        <v>2.0276899999999998</v>
      </c>
      <c r="W1677" s="255">
        <f t="shared" ref="W1677:X1683" si="366">U1677</f>
        <v>2.0276899999999998</v>
      </c>
      <c r="X1677" s="255">
        <f t="shared" si="366"/>
        <v>2.0276899999999998</v>
      </c>
      <c r="Y1677" s="255">
        <f t="shared" ref="Y1677:Y1683" si="367">V1677</f>
        <v>2.0276899999999998</v>
      </c>
      <c r="Z1677" s="255">
        <f t="shared" ref="Z1677:Z1683" si="368">AA1677</f>
        <v>3.64628</v>
      </c>
      <c r="AA1677" s="97">
        <f>-(-3.64628)</f>
        <v>3.64628</v>
      </c>
      <c r="AB1677" s="255">
        <f t="shared" ref="AB1677:AD1683" si="369">AA1677</f>
        <v>3.64628</v>
      </c>
      <c r="AC1677" s="255">
        <f t="shared" si="369"/>
        <v>3.64628</v>
      </c>
      <c r="AD1677" s="255">
        <f t="shared" si="369"/>
        <v>3.64628</v>
      </c>
      <c r="AE1677" s="76"/>
      <c r="AF1677" s="97"/>
      <c r="AG1677" s="76"/>
      <c r="AH1677" s="97">
        <v>1</v>
      </c>
      <c r="AI1677" s="97">
        <v>1</v>
      </c>
      <c r="AJ1677" s="73"/>
      <c r="AK1677" s="57"/>
      <c r="AL1677" s="45"/>
      <c r="AM1677" s="45"/>
      <c r="AN1677" s="45"/>
    </row>
    <row r="1678" spans="1:40" hidden="1" outlineLevel="2" x14ac:dyDescent="0.3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5"/>
        <v>-0.26</v>
      </c>
      <c r="W1678" s="255">
        <f t="shared" si="366"/>
        <v>-0.26</v>
      </c>
      <c r="X1678" s="255">
        <f t="shared" si="366"/>
        <v>-0.26</v>
      </c>
      <c r="Y1678" s="255">
        <f t="shared" si="367"/>
        <v>-0.26</v>
      </c>
      <c r="Z1678" s="255">
        <f t="shared" si="368"/>
        <v>-0.27389999999999998</v>
      </c>
      <c r="AA1678" s="97">
        <v>-0.27389999999999998</v>
      </c>
      <c r="AB1678" s="255">
        <f t="shared" si="369"/>
        <v>-0.27389999999999998</v>
      </c>
      <c r="AC1678" s="255">
        <f t="shared" si="369"/>
        <v>-0.27389999999999998</v>
      </c>
      <c r="AD1678" s="255">
        <f t="shared" si="369"/>
        <v>-0.27389999999999998</v>
      </c>
      <c r="AE1678" s="76"/>
      <c r="AF1678" s="97" t="s">
        <v>3790</v>
      </c>
      <c r="AG1678" s="76"/>
      <c r="AH1678" s="97">
        <v>1</v>
      </c>
      <c r="AI1678" s="97">
        <v>1</v>
      </c>
      <c r="AJ1678" s="73"/>
      <c r="AK1678" s="57"/>
      <c r="AL1678" s="45"/>
      <c r="AM1678" s="45"/>
      <c r="AN1678" s="45"/>
    </row>
    <row r="1679" spans="1:40" hidden="1" outlineLevel="2" x14ac:dyDescent="0.3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5"/>
        <v>1.91E-3</v>
      </c>
      <c r="W1679" s="255">
        <f t="shared" si="366"/>
        <v>1.91E-3</v>
      </c>
      <c r="X1679" s="255">
        <f t="shared" si="366"/>
        <v>1.91E-3</v>
      </c>
      <c r="Y1679" s="255">
        <f t="shared" si="367"/>
        <v>1.91E-3</v>
      </c>
      <c r="Z1679" s="255">
        <f t="shared" si="368"/>
        <v>2.1199999999999999E-3</v>
      </c>
      <c r="AA1679" s="97">
        <v>2.1199999999999999E-3</v>
      </c>
      <c r="AB1679" s="255">
        <f t="shared" si="369"/>
        <v>2.1199999999999999E-3</v>
      </c>
      <c r="AC1679" s="255">
        <f t="shared" si="369"/>
        <v>2.1199999999999999E-3</v>
      </c>
      <c r="AD1679" s="255">
        <f t="shared" si="369"/>
        <v>2.1199999999999999E-3</v>
      </c>
      <c r="AE1679" s="76"/>
      <c r="AF1679" s="97" t="s">
        <v>3789</v>
      </c>
      <c r="AG1679" s="76"/>
      <c r="AH1679" s="97">
        <v>1</v>
      </c>
      <c r="AI1679" s="97">
        <v>1</v>
      </c>
      <c r="AJ1679" s="73"/>
      <c r="AK1679" s="57"/>
      <c r="AL1679" s="45"/>
      <c r="AM1679" s="45"/>
      <c r="AN1679" s="45"/>
    </row>
    <row r="1680" spans="1:40" hidden="1" outlineLevel="2" collapsed="1" x14ac:dyDescent="0.35">
      <c r="A1680" s="45"/>
      <c r="B1680" s="54"/>
      <c r="C1680" s="47">
        <f t="shared" ref="C1680:C1691" si="370">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35">
      <c r="A1681" s="45"/>
      <c r="B1681" s="54"/>
      <c r="C1681" s="47">
        <f t="shared" si="370"/>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35">
      <c r="A1682" s="45"/>
      <c r="B1682" s="54"/>
      <c r="C1682" s="47">
        <f t="shared" si="370"/>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5"/>
        <v>-5.1499999999999997E-2</v>
      </c>
      <c r="W1682" s="255">
        <f t="shared" si="366"/>
        <v>-5.1499999999999997E-2</v>
      </c>
      <c r="X1682" s="255">
        <f t="shared" si="366"/>
        <v>-5.1499999999999997E-2</v>
      </c>
      <c r="Y1682" s="255">
        <f t="shared" si="367"/>
        <v>-5.1499999999999997E-2</v>
      </c>
      <c r="Z1682" s="255">
        <f t="shared" si="368"/>
        <v>-2.75E-2</v>
      </c>
      <c r="AA1682" s="97">
        <v>-2.75E-2</v>
      </c>
      <c r="AB1682" s="255">
        <f t="shared" si="369"/>
        <v>-2.75E-2</v>
      </c>
      <c r="AC1682" s="255">
        <f t="shared" si="369"/>
        <v>-2.75E-2</v>
      </c>
      <c r="AD1682" s="255">
        <f t="shared" si="369"/>
        <v>-2.75E-2</v>
      </c>
      <c r="AE1682" s="76"/>
      <c r="AF1682" s="76"/>
      <c r="AG1682" s="76"/>
      <c r="AH1682" s="97">
        <v>1</v>
      </c>
      <c r="AI1682" s="97">
        <v>1</v>
      </c>
      <c r="AJ1682" s="73"/>
      <c r="AK1682" s="57"/>
      <c r="AL1682" s="45"/>
      <c r="AM1682" s="45"/>
      <c r="AN1682" s="45"/>
    </row>
    <row r="1683" spans="1:40" hidden="1" outlineLevel="2" x14ac:dyDescent="0.35">
      <c r="A1683" s="45"/>
      <c r="B1683" s="54"/>
      <c r="C1683" s="47">
        <f t="shared" si="370"/>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5"/>
        <v>8.916204986149583E-5</v>
      </c>
      <c r="W1683" s="255">
        <f t="shared" si="366"/>
        <v>8.916204986149583E-5</v>
      </c>
      <c r="X1683" s="255">
        <f t="shared" si="366"/>
        <v>8.916204986149583E-5</v>
      </c>
      <c r="Y1683" s="255">
        <f t="shared" si="367"/>
        <v>8.916204986149583E-5</v>
      </c>
      <c r="Z1683" s="255">
        <f t="shared" si="368"/>
        <v>4.7610803324099718E-5</v>
      </c>
      <c r="AA1683" s="97">
        <f>-AA1682/(2*9.5*30.4)</f>
        <v>4.7610803324099718E-5</v>
      </c>
      <c r="AB1683" s="255">
        <f t="shared" si="369"/>
        <v>4.7610803324099718E-5</v>
      </c>
      <c r="AC1683" s="255">
        <f t="shared" si="369"/>
        <v>4.7610803324099718E-5</v>
      </c>
      <c r="AD1683" s="255">
        <f t="shared" si="369"/>
        <v>4.7610803324099718E-5</v>
      </c>
      <c r="AE1683" s="76"/>
      <c r="AF1683" s="76"/>
      <c r="AG1683" s="76"/>
      <c r="AH1683" s="76">
        <v>1</v>
      </c>
      <c r="AI1683" s="76">
        <v>1</v>
      </c>
      <c r="AJ1683" s="73"/>
      <c r="AK1683" s="57"/>
      <c r="AL1683" s="45"/>
      <c r="AM1683" s="45"/>
      <c r="AN1683" s="45"/>
    </row>
    <row r="1684" spans="1:40" hidden="1" outlineLevel="2" collapsed="1" x14ac:dyDescent="0.35">
      <c r="A1684" s="45"/>
      <c r="B1684" s="54"/>
      <c r="C1684" s="47">
        <f t="shared" si="370"/>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35">
      <c r="A1685" s="45"/>
      <c r="B1685" s="54"/>
      <c r="C1685" s="47">
        <f t="shared" si="370"/>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35">
      <c r="A1689" s="45"/>
      <c r="B1689" s="54"/>
      <c r="C1689" s="47">
        <f t="shared" si="370"/>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35">
      <c r="A1690" s="45"/>
      <c r="B1690" s="54"/>
      <c r="C1690" s="47">
        <f t="shared" si="370"/>
        <v>4</v>
      </c>
      <c r="D1690" s="73"/>
      <c r="E1690" s="70"/>
      <c r="F1690" s="70" t="s">
        <v>3328</v>
      </c>
      <c r="G1690" s="73"/>
      <c r="H1690" s="374" t="s">
        <v>3327</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35">
      <c r="A1691" s="45"/>
      <c r="B1691" s="54"/>
      <c r="C1691" s="47">
        <f t="shared" si="370"/>
        <v>4</v>
      </c>
      <c r="D1691" s="73"/>
      <c r="E1691" s="70"/>
      <c r="F1691" s="70" t="s">
        <v>3329</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3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1">U1692</f>
        <v>15.275</v>
      </c>
      <c r="X1692" s="255">
        <f t="shared" si="371"/>
        <v>15.275</v>
      </c>
      <c r="Y1692" s="255">
        <f>V1692</f>
        <v>15.275</v>
      </c>
      <c r="Z1692" s="255">
        <f>AA1692</f>
        <v>11.141</v>
      </c>
      <c r="AA1692" s="97">
        <v>11.141</v>
      </c>
      <c r="AB1692" s="255">
        <f t="shared" ref="AB1692:AD1709" si="372">AA1692</f>
        <v>11.141</v>
      </c>
      <c r="AC1692" s="255">
        <f t="shared" si="372"/>
        <v>11.141</v>
      </c>
      <c r="AD1692" s="255">
        <f t="shared" si="372"/>
        <v>11.141</v>
      </c>
      <c r="AE1692" s="76"/>
      <c r="AF1692" s="76"/>
      <c r="AG1692" s="76"/>
      <c r="AH1692" s="97">
        <v>1</v>
      </c>
      <c r="AI1692" s="97">
        <v>1</v>
      </c>
      <c r="AJ1692" s="73"/>
      <c r="AK1692" s="57"/>
      <c r="AL1692" s="45"/>
      <c r="AM1692" s="45"/>
      <c r="AN1692" s="45"/>
    </row>
    <row r="1693" spans="1:40" hidden="1" outlineLevel="2" x14ac:dyDescent="0.35">
      <c r="A1693" s="45"/>
      <c r="B1693" s="54"/>
      <c r="C1693" s="47">
        <f>INT($C$29)+2</f>
        <v>3</v>
      </c>
      <c r="D1693" s="73"/>
      <c r="E1693" s="70"/>
      <c r="F1693" s="70" t="s">
        <v>2451</v>
      </c>
      <c r="G1693" s="73"/>
      <c r="H1693" s="76" t="s">
        <v>3779</v>
      </c>
      <c r="I1693" s="76"/>
      <c r="J1693" s="76"/>
      <c r="K1693" s="76"/>
      <c r="L1693" s="76"/>
      <c r="M1693" s="76"/>
      <c r="N1693" s="76"/>
      <c r="O1693" s="76"/>
      <c r="P1693" s="76"/>
      <c r="Q1693" s="76"/>
      <c r="R1693" s="76"/>
      <c r="S1693" s="76"/>
      <c r="T1693" s="76"/>
      <c r="U1693" s="97">
        <v>-0.24499299999999999</v>
      </c>
      <c r="V1693" s="255">
        <f t="shared" ref="V1693:V1707" si="373">U1693</f>
        <v>-0.24499299999999999</v>
      </c>
      <c r="W1693" s="628">
        <f>W1708</f>
        <v>-9.8000000000000004E-2</v>
      </c>
      <c r="X1693" s="628">
        <f t="shared" ref="X1693:Y1693" si="374">X1708</f>
        <v>-9.8000000000000004E-2</v>
      </c>
      <c r="Y1693" s="628">
        <f t="shared" si="374"/>
        <v>-9.8000000000000004E-2</v>
      </c>
      <c r="Z1693" s="255">
        <f>AA1693</f>
        <v>-0.24499299999999999</v>
      </c>
      <c r="AA1693" s="97">
        <f>$U1693</f>
        <v>-0.24499299999999999</v>
      </c>
      <c r="AB1693" s="255">
        <f t="shared" si="372"/>
        <v>-0.24499299999999999</v>
      </c>
      <c r="AC1693" s="255">
        <f t="shared" si="372"/>
        <v>-0.24499299999999999</v>
      </c>
      <c r="AD1693" s="255">
        <f t="shared" si="372"/>
        <v>-0.24499299999999999</v>
      </c>
      <c r="AE1693" s="76"/>
      <c r="AF1693" s="97" t="s">
        <v>3778</v>
      </c>
      <c r="AG1693" s="76"/>
      <c r="AH1693" s="97">
        <v>1</v>
      </c>
      <c r="AI1693" s="97">
        <v>1</v>
      </c>
      <c r="AJ1693" s="73"/>
      <c r="AK1693" s="57"/>
      <c r="AL1693" s="45"/>
      <c r="AM1693" s="45"/>
      <c r="AN1693" s="45"/>
    </row>
    <row r="1694" spans="1:40" hidden="1" outlineLevel="2" x14ac:dyDescent="0.3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5">U1694</f>
        <v>1.5045E-3</v>
      </c>
      <c r="W1694" s="628">
        <f t="shared" ref="W1694:Y1694" si="376">W1709</f>
        <v>0</v>
      </c>
      <c r="X1694" s="628">
        <f t="shared" si="376"/>
        <v>0</v>
      </c>
      <c r="Y1694" s="628">
        <f t="shared" si="376"/>
        <v>0</v>
      </c>
      <c r="Z1694" s="255">
        <f>AA1694</f>
        <v>1.5045E-3</v>
      </c>
      <c r="AA1694" s="97">
        <f>$U1694</f>
        <v>1.5045E-3</v>
      </c>
      <c r="AB1694" s="255">
        <f t="shared" ref="AB1694" si="377">AA1694</f>
        <v>1.5045E-3</v>
      </c>
      <c r="AC1694" s="255">
        <f t="shared" ref="AC1694" si="378">AB1694</f>
        <v>1.5045E-3</v>
      </c>
      <c r="AD1694" s="255">
        <f t="shared" ref="AD1694" si="379">AC1694</f>
        <v>1.5045E-3</v>
      </c>
      <c r="AE1694" s="76"/>
      <c r="AF1694" s="76"/>
      <c r="AG1694" s="76"/>
      <c r="AH1694" s="76">
        <v>1</v>
      </c>
      <c r="AI1694" s="76">
        <v>1</v>
      </c>
      <c r="AJ1694" s="73"/>
      <c r="AK1694" s="57"/>
      <c r="AL1694" s="45"/>
      <c r="AM1694" s="45"/>
      <c r="AN1694" s="45"/>
    </row>
    <row r="1695" spans="1:40" hidden="1" outlineLevel="2" collapsed="1" x14ac:dyDescent="0.35">
      <c r="A1695" s="45"/>
      <c r="B1695" s="54"/>
      <c r="C1695" s="47">
        <f t="shared" ref="C1695:C1706" si="380">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28">
        <f t="shared" ref="W1695:Y1695" si="381">W1710</f>
        <v>0</v>
      </c>
      <c r="X1695" s="628">
        <f t="shared" si="381"/>
        <v>0</v>
      </c>
      <c r="Y1695" s="628">
        <f t="shared" si="381"/>
        <v>0</v>
      </c>
      <c r="Z1695" s="255">
        <f>AA1695</f>
        <v>-1.0594000000000001E-4</v>
      </c>
      <c r="AA1695" s="97">
        <f t="shared" ref="AA1695:AA1707" si="382">$U1695</f>
        <v>-1.0594000000000001E-4</v>
      </c>
      <c r="AB1695" s="255">
        <f>AA1695</f>
        <v>-1.0594000000000001E-4</v>
      </c>
      <c r="AC1695" s="255">
        <f>AB1695</f>
        <v>-1.0594000000000001E-4</v>
      </c>
      <c r="AD1695" s="255">
        <f>AC1695</f>
        <v>-1.0594000000000001E-4</v>
      </c>
      <c r="AE1695" s="76"/>
      <c r="AF1695" s="97" t="s">
        <v>3798</v>
      </c>
      <c r="AG1695" s="76"/>
      <c r="AH1695" s="97">
        <v>1</v>
      </c>
      <c r="AI1695" s="97">
        <v>1</v>
      </c>
      <c r="AJ1695" s="73"/>
      <c r="AK1695" s="57"/>
      <c r="AL1695" s="45"/>
      <c r="AM1695" s="45"/>
      <c r="AN1695" s="45"/>
    </row>
    <row r="1696" spans="1:40" hidden="1" outlineLevel="3" x14ac:dyDescent="0.35">
      <c r="A1696" s="45"/>
      <c r="B1696" s="54"/>
      <c r="C1696" s="47">
        <f t="shared" si="380"/>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28">
        <f t="shared" ref="W1696:Y1696" si="383">W1711</f>
        <v>0</v>
      </c>
      <c r="X1696" s="628">
        <f t="shared" si="383"/>
        <v>0</v>
      </c>
      <c r="Y1696" s="628">
        <f t="shared" si="383"/>
        <v>0</v>
      </c>
      <c r="Z1696" s="76">
        <v>0</v>
      </c>
      <c r="AA1696" s="76">
        <f t="shared" si="382"/>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35">
      <c r="A1697" s="45"/>
      <c r="B1697" s="54"/>
      <c r="C1697" s="47">
        <f t="shared" si="380"/>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28">
        <f t="shared" ref="W1697:Y1697" si="384">W1712</f>
        <v>0</v>
      </c>
      <c r="X1697" s="628">
        <f t="shared" si="384"/>
        <v>0</v>
      </c>
      <c r="Y1697" s="628">
        <f t="shared" si="384"/>
        <v>0</v>
      </c>
      <c r="Z1697" s="76">
        <v>0</v>
      </c>
      <c r="AA1697" s="76">
        <f t="shared" si="382"/>
        <v>0</v>
      </c>
      <c r="AB1697" s="76">
        <v>0</v>
      </c>
      <c r="AC1697" s="76">
        <v>0</v>
      </c>
      <c r="AD1697" s="76">
        <v>0</v>
      </c>
      <c r="AE1697" s="76"/>
      <c r="AF1697" s="76"/>
      <c r="AG1697" s="76"/>
      <c r="AH1697" s="97">
        <v>1</v>
      </c>
      <c r="AI1697" s="97">
        <v>1</v>
      </c>
      <c r="AJ1697" s="73"/>
      <c r="AK1697" s="57"/>
      <c r="AL1697" s="45"/>
      <c r="AM1697" s="45"/>
      <c r="AN1697" s="45"/>
    </row>
    <row r="1698" spans="1:40" hidden="1" outlineLevel="3" x14ac:dyDescent="0.35">
      <c r="A1698" s="45"/>
      <c r="B1698" s="54"/>
      <c r="C1698" s="47">
        <f t="shared" si="380"/>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28">
        <f t="shared" ref="W1698:Y1698" si="385">W1713</f>
        <v>0</v>
      </c>
      <c r="X1698" s="628">
        <f t="shared" si="385"/>
        <v>0</v>
      </c>
      <c r="Y1698" s="628">
        <f t="shared" si="385"/>
        <v>0</v>
      </c>
      <c r="Z1698" s="76">
        <v>0</v>
      </c>
      <c r="AA1698" s="76">
        <f t="shared" si="382"/>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35">
      <c r="A1699" s="45"/>
      <c r="B1699" s="54"/>
      <c r="C1699" s="47">
        <f t="shared" si="380"/>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3"/>
        <v>-3.6999999999999998E-2</v>
      </c>
      <c r="W1699" s="628">
        <f t="shared" ref="W1699:Y1699" si="386">W1714</f>
        <v>-3.7749999999999999E-2</v>
      </c>
      <c r="X1699" s="628">
        <f t="shared" si="386"/>
        <v>-3.7749999999999999E-2</v>
      </c>
      <c r="Y1699" s="628">
        <f t="shared" si="386"/>
        <v>-3.7749999999999999E-2</v>
      </c>
      <c r="Z1699" s="255">
        <f>AA1699</f>
        <v>-3.6999999999999998E-2</v>
      </c>
      <c r="AA1699" s="97">
        <f t="shared" si="382"/>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35">
      <c r="A1700" s="45"/>
      <c r="B1700" s="54"/>
      <c r="C1700" s="47">
        <f t="shared" si="380"/>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3"/>
        <v>0</v>
      </c>
      <c r="W1700" s="628">
        <f t="shared" ref="W1700:Y1700" si="387">W1715</f>
        <v>0</v>
      </c>
      <c r="X1700" s="628">
        <f t="shared" si="387"/>
        <v>0</v>
      </c>
      <c r="Y1700" s="628">
        <f t="shared" si="387"/>
        <v>0</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hidden="1" outlineLevel="2" x14ac:dyDescent="0.35">
      <c r="A1701" s="45"/>
      <c r="B1701" s="54"/>
      <c r="C1701" s="47">
        <f t="shared" si="380"/>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28">
        <f t="shared" ref="W1701:Y1701" si="388">W1716</f>
        <v>0.05</v>
      </c>
      <c r="X1701" s="628">
        <f t="shared" si="388"/>
        <v>0.05</v>
      </c>
      <c r="Y1701" s="628">
        <f t="shared" si="388"/>
        <v>0.05</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35">
      <c r="A1702" s="45"/>
      <c r="B1702" s="54"/>
      <c r="C1702" s="47">
        <f t="shared" si="380"/>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3"/>
        <v>-9.3500000000000007E-3</v>
      </c>
      <c r="W1702" s="628">
        <f t="shared" ref="W1702:Y1702" si="389">W1717</f>
        <v>-9.3500000000000007E-3</v>
      </c>
      <c r="X1702" s="628">
        <f t="shared" si="389"/>
        <v>-9.3500000000000007E-3</v>
      </c>
      <c r="Y1702" s="628">
        <f t="shared" si="389"/>
        <v>-9.3500000000000007E-3</v>
      </c>
      <c r="Z1702" s="255">
        <f>AA1702</f>
        <v>-9.3500000000000007E-3</v>
      </c>
      <c r="AA1702" s="97">
        <f t="shared" si="382"/>
        <v>-9.3500000000000007E-3</v>
      </c>
      <c r="AB1702" s="255">
        <f t="shared" ref="AB1702:AB1707" si="390">AA1702</f>
        <v>-9.3500000000000007E-3</v>
      </c>
      <c r="AC1702" s="255">
        <f t="shared" ref="AC1702:AC1707" si="391">AB1702</f>
        <v>-9.3500000000000007E-3</v>
      </c>
      <c r="AD1702" s="255">
        <f t="shared" ref="AD1702:AD1707" si="392">AC1702</f>
        <v>-9.3500000000000007E-3</v>
      </c>
      <c r="AE1702" s="76"/>
      <c r="AF1702" s="76"/>
      <c r="AG1702" s="76"/>
      <c r="AH1702" s="76">
        <v>1</v>
      </c>
      <c r="AI1702" s="76">
        <v>1</v>
      </c>
      <c r="AJ1702" s="73"/>
      <c r="AK1702" s="57"/>
      <c r="AL1702" s="45"/>
      <c r="AM1702" s="45"/>
      <c r="AN1702" s="45"/>
    </row>
    <row r="1703" spans="1:40" hidden="1" outlineLevel="2" x14ac:dyDescent="0.35">
      <c r="A1703" s="45"/>
      <c r="B1703" s="54"/>
      <c r="C1703" s="47">
        <f t="shared" si="380"/>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3"/>
        <v>-7.0369200000000003E-3</v>
      </c>
      <c r="W1703" s="628">
        <f t="shared" ref="W1703:Y1703" si="393">W1718</f>
        <v>-7.0369200000000003E-3</v>
      </c>
      <c r="X1703" s="628">
        <f t="shared" si="393"/>
        <v>-7.0369200000000003E-3</v>
      </c>
      <c r="Y1703" s="628">
        <f t="shared" si="393"/>
        <v>-7.0369200000000003E-3</v>
      </c>
      <c r="Z1703" s="255">
        <f>AA1703</f>
        <v>-7.0369200000000003E-3</v>
      </c>
      <c r="AA1703" s="97">
        <f t="shared" si="382"/>
        <v>-7.0369200000000003E-3</v>
      </c>
      <c r="AB1703" s="255">
        <f t="shared" si="390"/>
        <v>-7.0369200000000003E-3</v>
      </c>
      <c r="AC1703" s="255">
        <f t="shared" si="391"/>
        <v>-7.0369200000000003E-3</v>
      </c>
      <c r="AD1703" s="255">
        <f t="shared" si="392"/>
        <v>-7.0369200000000003E-3</v>
      </c>
      <c r="AE1703" s="76"/>
      <c r="AF1703" s="76"/>
      <c r="AG1703" s="76"/>
      <c r="AH1703" s="76">
        <v>1</v>
      </c>
      <c r="AI1703" s="76">
        <v>1</v>
      </c>
      <c r="AJ1703" s="73"/>
      <c r="AK1703" s="57"/>
      <c r="AL1703" s="45"/>
      <c r="AM1703" s="45"/>
      <c r="AN1703" s="45"/>
    </row>
    <row r="1704" spans="1:40" hidden="1" outlineLevel="2" x14ac:dyDescent="0.35">
      <c r="A1704" s="45"/>
      <c r="B1704" s="54"/>
      <c r="C1704" s="47">
        <f t="shared" si="380"/>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3"/>
        <v>7.4569999999999999E-5</v>
      </c>
      <c r="W1704" s="628">
        <f t="shared" ref="W1704:Y1704" si="394">W1719</f>
        <v>7.4569999999999999E-5</v>
      </c>
      <c r="X1704" s="628">
        <f t="shared" si="394"/>
        <v>7.4569999999999999E-5</v>
      </c>
      <c r="Y1704" s="628">
        <f t="shared" si="394"/>
        <v>7.4569999999999999E-5</v>
      </c>
      <c r="Z1704" s="255">
        <f>AA1704</f>
        <v>7.4569999999999999E-5</v>
      </c>
      <c r="AA1704" s="97">
        <f t="shared" si="382"/>
        <v>7.4569999999999999E-5</v>
      </c>
      <c r="AB1704" s="255">
        <f t="shared" si="390"/>
        <v>7.4569999999999999E-5</v>
      </c>
      <c r="AC1704" s="255">
        <f t="shared" si="391"/>
        <v>7.4569999999999999E-5</v>
      </c>
      <c r="AD1704" s="255">
        <f t="shared" si="392"/>
        <v>7.4569999999999999E-5</v>
      </c>
      <c r="AE1704" s="76"/>
      <c r="AF1704" s="76"/>
      <c r="AG1704" s="76"/>
      <c r="AH1704" s="76">
        <v>1</v>
      </c>
      <c r="AI1704" s="76">
        <v>1</v>
      </c>
      <c r="AJ1704" s="73"/>
      <c r="AK1704" s="57"/>
      <c r="AL1704" s="45"/>
      <c r="AM1704" s="45"/>
      <c r="AN1704" s="45"/>
    </row>
    <row r="1705" spans="1:40" hidden="1" outlineLevel="2" collapsed="1" x14ac:dyDescent="0.35">
      <c r="A1705" s="45"/>
      <c r="B1705" s="54"/>
      <c r="C1705" s="47">
        <f t="shared" si="380"/>
        <v>4</v>
      </c>
      <c r="D1705" s="73"/>
      <c r="E1705" s="70"/>
      <c r="F1705" s="70" t="s">
        <v>3330</v>
      </c>
      <c r="G1705" s="73"/>
      <c r="H1705" s="374" t="s">
        <v>3327</v>
      </c>
      <c r="I1705" s="96"/>
      <c r="J1705" s="76"/>
      <c r="K1705" s="76"/>
      <c r="L1705" s="76"/>
      <c r="M1705" s="76"/>
      <c r="N1705" s="76"/>
      <c r="O1705" s="76"/>
      <c r="P1705" s="76"/>
      <c r="Q1705" s="76"/>
      <c r="R1705" s="76"/>
      <c r="S1705" s="76"/>
      <c r="T1705" s="76"/>
      <c r="U1705" s="97">
        <v>-0.63980999999999999</v>
      </c>
      <c r="V1705" s="255">
        <f t="shared" si="373"/>
        <v>-0.63980999999999999</v>
      </c>
      <c r="W1705" s="628">
        <f t="shared" ref="W1705:Y1706" si="395">W1720</f>
        <v>0</v>
      </c>
      <c r="X1705" s="628">
        <f t="shared" si="395"/>
        <v>0</v>
      </c>
      <c r="Y1705" s="628">
        <f t="shared" si="395"/>
        <v>0</v>
      </c>
      <c r="Z1705" s="255">
        <f>AA1705</f>
        <v>-0.63980999999999999</v>
      </c>
      <c r="AA1705" s="97">
        <f t="shared" si="382"/>
        <v>-0.63980999999999999</v>
      </c>
      <c r="AB1705" s="255">
        <f t="shared" ref="AB1705" si="396">AA1705</f>
        <v>-0.63980999999999999</v>
      </c>
      <c r="AC1705" s="255">
        <f t="shared" ref="AC1705" si="397">AB1705</f>
        <v>-0.63980999999999999</v>
      </c>
      <c r="AD1705" s="255">
        <f t="shared" ref="AD1705" si="398">AC1705</f>
        <v>-0.63980999999999999</v>
      </c>
      <c r="AE1705" s="76"/>
      <c r="AF1705" s="76"/>
      <c r="AG1705" s="76"/>
      <c r="AH1705" s="97">
        <v>1</v>
      </c>
      <c r="AI1705" s="97">
        <v>1</v>
      </c>
      <c r="AJ1705" s="73"/>
      <c r="AK1705" s="57"/>
      <c r="AL1705" s="45"/>
      <c r="AM1705" s="45"/>
      <c r="AN1705" s="45"/>
    </row>
    <row r="1706" spans="1:40" hidden="1" outlineLevel="3" x14ac:dyDescent="0.35">
      <c r="A1706" s="45"/>
      <c r="B1706" s="54"/>
      <c r="C1706" s="47">
        <f t="shared" si="380"/>
        <v>4</v>
      </c>
      <c r="D1706" s="73"/>
      <c r="E1706" s="70"/>
      <c r="F1706" s="70" t="s">
        <v>3331</v>
      </c>
      <c r="G1706" s="73"/>
      <c r="H1706" s="374" t="s">
        <v>3326</v>
      </c>
      <c r="I1706" s="96"/>
      <c r="J1706" s="76"/>
      <c r="K1706" s="76"/>
      <c r="L1706" s="76"/>
      <c r="M1706" s="76"/>
      <c r="N1706" s="76"/>
      <c r="O1706" s="76"/>
      <c r="P1706" s="76"/>
      <c r="Q1706" s="76"/>
      <c r="R1706" s="76"/>
      <c r="S1706" s="76"/>
      <c r="T1706" s="76"/>
      <c r="U1706" s="76">
        <v>0</v>
      </c>
      <c r="V1706" s="76">
        <v>0</v>
      </c>
      <c r="W1706" s="628">
        <f t="shared" si="395"/>
        <v>0</v>
      </c>
      <c r="X1706" s="628">
        <f t="shared" si="395"/>
        <v>0</v>
      </c>
      <c r="Y1706" s="628">
        <f t="shared" si="395"/>
        <v>0</v>
      </c>
      <c r="Z1706" s="76">
        <v>0</v>
      </c>
      <c r="AA1706" s="76">
        <f t="shared" si="382"/>
        <v>0</v>
      </c>
      <c r="AB1706" s="76">
        <v>0</v>
      </c>
      <c r="AC1706" s="76">
        <v>0</v>
      </c>
      <c r="AD1706" s="76">
        <v>0</v>
      </c>
      <c r="AE1706" s="76"/>
      <c r="AF1706" s="76"/>
      <c r="AG1706" s="76"/>
      <c r="AH1706" s="76">
        <v>1</v>
      </c>
      <c r="AI1706" s="76">
        <v>1</v>
      </c>
      <c r="AJ1706" s="73"/>
      <c r="AK1706" s="57"/>
      <c r="AL1706" s="45"/>
      <c r="AM1706" s="45"/>
      <c r="AN1706" s="45"/>
    </row>
    <row r="1707" spans="1:40" hidden="1" outlineLevel="2" x14ac:dyDescent="0.3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3"/>
        <v>7.5825149999999999</v>
      </c>
      <c r="W1707" s="628">
        <f t="shared" ref="W1707:Y1707" si="399">W1722</f>
        <v>-1.8110552</v>
      </c>
      <c r="X1707" s="628">
        <f t="shared" si="399"/>
        <v>-1.8110552</v>
      </c>
      <c r="Y1707" s="628">
        <f t="shared" si="399"/>
        <v>-1.8110552</v>
      </c>
      <c r="Z1707" s="255">
        <f>AA1707</f>
        <v>7.5825149999999999</v>
      </c>
      <c r="AA1707" s="97">
        <f t="shared" si="382"/>
        <v>7.5825149999999999</v>
      </c>
      <c r="AB1707" s="255">
        <f t="shared" si="390"/>
        <v>7.5825149999999999</v>
      </c>
      <c r="AC1707" s="255">
        <f t="shared" si="391"/>
        <v>7.5825149999999999</v>
      </c>
      <c r="AD1707" s="255">
        <f t="shared" si="392"/>
        <v>7.5825149999999999</v>
      </c>
      <c r="AE1707" s="76"/>
      <c r="AF1707" s="97" t="s">
        <v>2729</v>
      </c>
      <c r="AG1707" s="76"/>
      <c r="AH1707" s="97">
        <v>1</v>
      </c>
      <c r="AI1707" s="97">
        <v>1</v>
      </c>
      <c r="AJ1707" s="73"/>
      <c r="AK1707" s="57"/>
      <c r="AL1707" s="45"/>
      <c r="AM1707" s="45"/>
      <c r="AN1707" s="45"/>
    </row>
    <row r="1708" spans="1:40" hidden="1" outlineLevel="2" x14ac:dyDescent="0.35">
      <c r="A1708" s="45"/>
      <c r="B1708" s="54"/>
      <c r="C1708" s="47">
        <f>INT($C$29)+2</f>
        <v>3</v>
      </c>
      <c r="D1708" s="73"/>
      <c r="E1708" s="70"/>
      <c r="F1708" s="70" t="s">
        <v>3303</v>
      </c>
      <c r="G1708" s="73"/>
      <c r="H1708" s="76" t="s">
        <v>3797</v>
      </c>
      <c r="I1708" s="76"/>
      <c r="J1708" s="76"/>
      <c r="K1708" s="76"/>
      <c r="L1708" s="76"/>
      <c r="M1708" s="76"/>
      <c r="N1708" s="76"/>
      <c r="O1708" s="76"/>
      <c r="P1708" s="76"/>
      <c r="Q1708" s="76"/>
      <c r="R1708" s="76"/>
      <c r="S1708" s="76"/>
      <c r="T1708" s="76"/>
      <c r="U1708" s="97">
        <v>-9.8000000000000004E-2</v>
      </c>
      <c r="V1708" s="255">
        <f>U1708</f>
        <v>-9.8000000000000004E-2</v>
      </c>
      <c r="W1708" s="255">
        <f t="shared" si="371"/>
        <v>-9.8000000000000004E-2</v>
      </c>
      <c r="X1708" s="255">
        <f t="shared" si="371"/>
        <v>-9.8000000000000004E-2</v>
      </c>
      <c r="Y1708" s="255">
        <f>V1708</f>
        <v>-9.8000000000000004E-2</v>
      </c>
      <c r="Z1708" s="255">
        <f>AA1708</f>
        <v>-3.9480000000000001E-2</v>
      </c>
      <c r="AA1708" s="97">
        <v>-3.9480000000000001E-2</v>
      </c>
      <c r="AB1708" s="255">
        <f t="shared" si="372"/>
        <v>-3.9480000000000001E-2</v>
      </c>
      <c r="AC1708" s="255">
        <f t="shared" si="372"/>
        <v>-3.9480000000000001E-2</v>
      </c>
      <c r="AD1708" s="255">
        <f t="shared" si="372"/>
        <v>-3.9480000000000001E-2</v>
      </c>
      <c r="AE1708" s="76"/>
      <c r="AF1708" s="97" t="s">
        <v>3780</v>
      </c>
      <c r="AG1708" s="76"/>
      <c r="AH1708" s="97">
        <v>1</v>
      </c>
      <c r="AI1708" s="97">
        <v>1</v>
      </c>
      <c r="AJ1708" s="73"/>
      <c r="AK1708" s="57"/>
      <c r="AL1708" s="45"/>
      <c r="AM1708" s="45"/>
      <c r="AN1708" s="45"/>
    </row>
    <row r="1709" spans="1:40" hidden="1" outlineLevel="2" collapsed="1" x14ac:dyDescent="0.35">
      <c r="A1709" s="45"/>
      <c r="B1709" s="54"/>
      <c r="C1709" s="47">
        <f>INT($C$29)+2</f>
        <v>3</v>
      </c>
      <c r="D1709" s="73"/>
      <c r="E1709" s="70"/>
      <c r="F1709" s="70" t="s">
        <v>3305</v>
      </c>
      <c r="G1709" s="73"/>
      <c r="H1709" s="76" t="s">
        <v>2475</v>
      </c>
      <c r="I1709" s="76"/>
      <c r="J1709" s="76"/>
      <c r="K1709" s="76"/>
      <c r="L1709" s="76"/>
      <c r="M1709" s="76"/>
      <c r="N1709" s="76"/>
      <c r="O1709" s="76"/>
      <c r="P1709" s="76"/>
      <c r="Q1709" s="76"/>
      <c r="R1709" s="76"/>
      <c r="S1709" s="76"/>
      <c r="T1709" s="76"/>
      <c r="U1709" s="97">
        <v>0</v>
      </c>
      <c r="V1709" s="255">
        <f>U1709</f>
        <v>0</v>
      </c>
      <c r="W1709" s="255">
        <f t="shared" si="371"/>
        <v>0</v>
      </c>
      <c r="X1709" s="255">
        <f t="shared" si="371"/>
        <v>0</v>
      </c>
      <c r="Y1709" s="255">
        <f>V1709</f>
        <v>0</v>
      </c>
      <c r="Z1709" s="255">
        <f>AA1709</f>
        <v>0</v>
      </c>
      <c r="AA1709" s="97">
        <v>0</v>
      </c>
      <c r="AB1709" s="255">
        <f t="shared" si="372"/>
        <v>0</v>
      </c>
      <c r="AC1709" s="255">
        <f t="shared" si="372"/>
        <v>0</v>
      </c>
      <c r="AD1709" s="255">
        <f t="shared" si="372"/>
        <v>0</v>
      </c>
      <c r="AE1709" s="76"/>
      <c r="AF1709" s="97" t="s">
        <v>3791</v>
      </c>
      <c r="AG1709" s="76"/>
      <c r="AH1709" s="97">
        <v>1</v>
      </c>
      <c r="AI1709" s="97">
        <v>1</v>
      </c>
      <c r="AJ1709" s="73"/>
      <c r="AK1709" s="57"/>
      <c r="AL1709" s="45"/>
      <c r="AM1709" s="45"/>
      <c r="AN1709" s="45"/>
    </row>
    <row r="1710" spans="1:40" hidden="1" outlineLevel="3" collapsed="1" x14ac:dyDescent="0.35">
      <c r="A1710" s="45"/>
      <c r="B1710" s="54"/>
      <c r="C1710" s="47">
        <f t="shared" ref="C1710:C1721" si="400">INT($C$29)+3</f>
        <v>4</v>
      </c>
      <c r="D1710" s="73"/>
      <c r="E1710" s="70"/>
      <c r="F1710" s="70" t="s">
        <v>3304</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35">
      <c r="A1711" s="45"/>
      <c r="B1711" s="54"/>
      <c r="C1711" s="47">
        <f t="shared" si="400"/>
        <v>4</v>
      </c>
      <c r="D1711" s="73"/>
      <c r="E1711" s="70"/>
      <c r="F1711" s="70" t="s">
        <v>3306</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35">
      <c r="A1712" s="45"/>
      <c r="B1712" s="54"/>
      <c r="C1712" s="47">
        <f t="shared" si="400"/>
        <v>4</v>
      </c>
      <c r="D1712" s="73"/>
      <c r="E1712" s="70"/>
      <c r="F1712" s="70" t="s">
        <v>3307</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35">
      <c r="A1713" s="45"/>
      <c r="B1713" s="54"/>
      <c r="C1713" s="47">
        <f t="shared" si="400"/>
        <v>4</v>
      </c>
      <c r="D1713" s="73"/>
      <c r="E1713" s="70"/>
      <c r="F1713" s="70" t="s">
        <v>3308</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35">
      <c r="A1714" s="45"/>
      <c r="B1714" s="54"/>
      <c r="C1714" s="47">
        <f t="shared" si="400"/>
        <v>4</v>
      </c>
      <c r="D1714" s="73"/>
      <c r="E1714" s="70"/>
      <c r="F1714" s="70" t="s">
        <v>3309</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35">
      <c r="A1715" s="45"/>
      <c r="B1715" s="54"/>
      <c r="C1715" s="47">
        <f t="shared" si="400"/>
        <v>4</v>
      </c>
      <c r="D1715" s="73"/>
      <c r="E1715" s="70"/>
      <c r="F1715" s="70" t="s">
        <v>3310</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35">
      <c r="A1716" s="45"/>
      <c r="B1716" s="54"/>
      <c r="C1716" s="47">
        <f t="shared" si="400"/>
        <v>4</v>
      </c>
      <c r="D1716" s="73"/>
      <c r="E1716" s="70"/>
      <c r="F1716" s="70" t="s">
        <v>3311</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1">U1716</f>
        <v>0.05</v>
      </c>
      <c r="X1716" s="255">
        <f t="shared" si="401"/>
        <v>0.05</v>
      </c>
      <c r="Y1716" s="255">
        <f>V1716</f>
        <v>0.05</v>
      </c>
      <c r="Z1716" s="255">
        <f>AA1716</f>
        <v>0</v>
      </c>
      <c r="AA1716" s="97">
        <v>0</v>
      </c>
      <c r="AB1716" s="255">
        <f t="shared" ref="AB1716:AD1725" si="402">AA1716</f>
        <v>0</v>
      </c>
      <c r="AC1716" s="255">
        <f t="shared" si="402"/>
        <v>0</v>
      </c>
      <c r="AD1716" s="255">
        <f t="shared" si="402"/>
        <v>0</v>
      </c>
      <c r="AE1716" s="76"/>
      <c r="AF1716" s="76"/>
      <c r="AG1716" s="76"/>
      <c r="AH1716" s="76">
        <v>1</v>
      </c>
      <c r="AI1716" s="76">
        <v>1</v>
      </c>
      <c r="AJ1716" s="73"/>
      <c r="AK1716" s="57"/>
      <c r="AL1716" s="45"/>
      <c r="AM1716" s="45"/>
      <c r="AN1716" s="45"/>
    </row>
    <row r="1717" spans="1:40" hidden="1" outlineLevel="2" x14ac:dyDescent="0.35">
      <c r="A1717" s="45"/>
      <c r="B1717" s="54"/>
      <c r="C1717" s="47">
        <f t="shared" si="400"/>
        <v>4</v>
      </c>
      <c r="D1717" s="73"/>
      <c r="E1717" s="70"/>
      <c r="F1717" s="70" t="s">
        <v>3312</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1"/>
        <v>-9.3500000000000007E-3</v>
      </c>
      <c r="X1717" s="255">
        <f t="shared" si="401"/>
        <v>-9.3500000000000007E-3</v>
      </c>
      <c r="Y1717" s="255">
        <f>V1717</f>
        <v>-9.3500000000000007E-3</v>
      </c>
      <c r="Z1717" s="255">
        <f>AA1717</f>
        <v>-9.3500000000000007E-3</v>
      </c>
      <c r="AA1717" s="97">
        <v>-9.3500000000000007E-3</v>
      </c>
      <c r="AB1717" s="255">
        <f t="shared" si="402"/>
        <v>-9.3500000000000007E-3</v>
      </c>
      <c r="AC1717" s="255">
        <f t="shared" si="402"/>
        <v>-9.3500000000000007E-3</v>
      </c>
      <c r="AD1717" s="255">
        <f t="shared" si="402"/>
        <v>-9.3500000000000007E-3</v>
      </c>
      <c r="AE1717" s="76"/>
      <c r="AF1717" s="76"/>
      <c r="AG1717" s="76"/>
      <c r="AH1717" s="76">
        <v>1</v>
      </c>
      <c r="AI1717" s="76">
        <v>1</v>
      </c>
      <c r="AJ1717" s="73"/>
      <c r="AK1717" s="57"/>
      <c r="AL1717" s="45"/>
      <c r="AM1717" s="45"/>
      <c r="AN1717" s="45"/>
    </row>
    <row r="1718" spans="1:40" hidden="1" outlineLevel="2" x14ac:dyDescent="0.35">
      <c r="A1718" s="45"/>
      <c r="B1718" s="54"/>
      <c r="C1718" s="47">
        <f t="shared" si="400"/>
        <v>4</v>
      </c>
      <c r="D1718" s="73"/>
      <c r="E1718" s="70"/>
      <c r="F1718" s="70" t="s">
        <v>3313</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1"/>
        <v>-7.0369200000000003E-3</v>
      </c>
      <c r="X1718" s="255">
        <f t="shared" si="401"/>
        <v>-7.0369200000000003E-3</v>
      </c>
      <c r="Y1718" s="255">
        <f>V1718</f>
        <v>-7.0369200000000003E-3</v>
      </c>
      <c r="Z1718" s="255">
        <f>AA1718</f>
        <v>-7.0369200000000003E-3</v>
      </c>
      <c r="AA1718" s="97">
        <v>-7.0369200000000003E-3</v>
      </c>
      <c r="AB1718" s="255">
        <f t="shared" si="402"/>
        <v>-7.0369200000000003E-3</v>
      </c>
      <c r="AC1718" s="255">
        <f t="shared" si="402"/>
        <v>-7.0369200000000003E-3</v>
      </c>
      <c r="AD1718" s="255">
        <f t="shared" si="402"/>
        <v>-7.0369200000000003E-3</v>
      </c>
      <c r="AE1718" s="76"/>
      <c r="AF1718" s="76"/>
      <c r="AG1718" s="76"/>
      <c r="AH1718" s="76">
        <v>1</v>
      </c>
      <c r="AI1718" s="76">
        <v>1</v>
      </c>
      <c r="AJ1718" s="73"/>
      <c r="AK1718" s="57"/>
      <c r="AL1718" s="45"/>
      <c r="AM1718" s="45"/>
      <c r="AN1718" s="45"/>
    </row>
    <row r="1719" spans="1:40" hidden="1" outlineLevel="2" collapsed="1" x14ac:dyDescent="0.35">
      <c r="A1719" s="45"/>
      <c r="B1719" s="54"/>
      <c r="C1719" s="47">
        <f t="shared" si="400"/>
        <v>4</v>
      </c>
      <c r="D1719" s="73"/>
      <c r="E1719" s="70"/>
      <c r="F1719" s="70" t="s">
        <v>3314</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1"/>
        <v>7.4569999999999999E-5</v>
      </c>
      <c r="X1719" s="255">
        <f t="shared" si="401"/>
        <v>7.4569999999999999E-5</v>
      </c>
      <c r="Y1719" s="255">
        <f>V1719</f>
        <v>7.4569999999999999E-5</v>
      </c>
      <c r="Z1719" s="255">
        <f>AA1719</f>
        <v>7.4569999999999999E-5</v>
      </c>
      <c r="AA1719" s="97">
        <v>7.4569999999999999E-5</v>
      </c>
      <c r="AB1719" s="255">
        <f t="shared" si="402"/>
        <v>7.4569999999999999E-5</v>
      </c>
      <c r="AC1719" s="255">
        <f t="shared" si="402"/>
        <v>7.4569999999999999E-5</v>
      </c>
      <c r="AD1719" s="255">
        <f t="shared" si="402"/>
        <v>7.4569999999999999E-5</v>
      </c>
      <c r="AE1719" s="76"/>
      <c r="AF1719" s="76"/>
      <c r="AG1719" s="76"/>
      <c r="AH1719" s="76">
        <v>1</v>
      </c>
      <c r="AI1719" s="76">
        <v>1</v>
      </c>
      <c r="AJ1719" s="73"/>
      <c r="AK1719" s="57"/>
      <c r="AL1719" s="45"/>
      <c r="AM1719" s="45"/>
      <c r="AN1719" s="45"/>
    </row>
    <row r="1720" spans="1:40" hidden="1" outlineLevel="3" x14ac:dyDescent="0.35">
      <c r="A1720" s="45"/>
      <c r="B1720" s="54"/>
      <c r="C1720" s="47">
        <f t="shared" si="400"/>
        <v>4</v>
      </c>
      <c r="D1720" s="73"/>
      <c r="E1720" s="70"/>
      <c r="F1720" s="70" t="s">
        <v>3324</v>
      </c>
      <c r="G1720" s="73"/>
      <c r="H1720" s="374" t="s">
        <v>3327</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35">
      <c r="A1721" s="45"/>
      <c r="B1721" s="54"/>
      <c r="C1721" s="47">
        <f t="shared" si="400"/>
        <v>4</v>
      </c>
      <c r="D1721" s="73"/>
      <c r="E1721" s="70"/>
      <c r="F1721" s="70" t="s">
        <v>3325</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35">
      <c r="A1722" s="45"/>
      <c r="B1722" s="54"/>
      <c r="C1722" s="47">
        <f>INT($C$29)+2</f>
        <v>3</v>
      </c>
      <c r="D1722" s="73"/>
      <c r="E1722" s="70"/>
      <c r="F1722" s="70" t="s">
        <v>3315</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1"/>
        <v>-1.8110552</v>
      </c>
      <c r="X1722" s="255">
        <f t="shared" si="401"/>
        <v>-1.8110552</v>
      </c>
      <c r="Y1722" s="255">
        <f>V1722</f>
        <v>-1.8110552</v>
      </c>
      <c r="Z1722" s="255">
        <f>AA1722</f>
        <v>-0.49941732500000002</v>
      </c>
      <c r="AA1722" s="97">
        <v>-0.49941732500000002</v>
      </c>
      <c r="AB1722" s="255">
        <f t="shared" si="402"/>
        <v>-0.49941732500000002</v>
      </c>
      <c r="AC1722" s="255">
        <f t="shared" si="402"/>
        <v>-0.49941732500000002</v>
      </c>
      <c r="AD1722" s="255">
        <f t="shared" si="402"/>
        <v>-0.49941732500000002</v>
      </c>
      <c r="AE1722" s="76"/>
      <c r="AF1722" s="76"/>
      <c r="AG1722" s="76"/>
      <c r="AH1722" s="97">
        <v>1</v>
      </c>
      <c r="AI1722" s="97">
        <v>1</v>
      </c>
      <c r="AJ1722" s="73"/>
      <c r="AK1722" s="57"/>
      <c r="AL1722" s="45"/>
      <c r="AM1722" s="45"/>
      <c r="AN1722" s="45"/>
    </row>
    <row r="1723" spans="1:40" hidden="1" outlineLevel="2" x14ac:dyDescent="0.35">
      <c r="A1723" s="45"/>
      <c r="B1723" s="54"/>
      <c r="C1723" s="47">
        <f>INT($C$29)+2</f>
        <v>3</v>
      </c>
      <c r="D1723" s="73"/>
      <c r="E1723" s="70"/>
      <c r="F1723" s="70" t="s">
        <v>3346</v>
      </c>
      <c r="G1723" s="73"/>
      <c r="H1723" s="76" t="s">
        <v>3355</v>
      </c>
      <c r="I1723" s="76"/>
      <c r="J1723" s="76"/>
      <c r="K1723" s="76"/>
      <c r="L1723" s="76"/>
      <c r="M1723" s="76"/>
      <c r="N1723" s="76"/>
      <c r="O1723" s="76"/>
      <c r="P1723" s="76"/>
      <c r="Q1723" s="76"/>
      <c r="R1723" s="76"/>
      <c r="S1723" s="76"/>
      <c r="T1723" s="76"/>
      <c r="U1723" s="97">
        <v>-1.0469999999999999</v>
      </c>
      <c r="V1723" s="255">
        <f>U1723</f>
        <v>-1.0469999999999999</v>
      </c>
      <c r="W1723" s="255">
        <f t="shared" si="401"/>
        <v>-1.0469999999999999</v>
      </c>
      <c r="X1723" s="255">
        <f t="shared" si="401"/>
        <v>-1.0469999999999999</v>
      </c>
      <c r="Y1723" s="255">
        <f>V1723</f>
        <v>-1.0469999999999999</v>
      </c>
      <c r="Z1723" s="255">
        <f>AA1723</f>
        <v>-1.0469999999999999</v>
      </c>
      <c r="AA1723" s="97">
        <f>U1723</f>
        <v>-1.0469999999999999</v>
      </c>
      <c r="AB1723" s="255">
        <f t="shared" si="402"/>
        <v>-1.0469999999999999</v>
      </c>
      <c r="AC1723" s="255">
        <f t="shared" si="402"/>
        <v>-1.0469999999999999</v>
      </c>
      <c r="AD1723" s="255">
        <f t="shared" si="402"/>
        <v>-1.0469999999999999</v>
      </c>
      <c r="AE1723" s="76"/>
      <c r="AF1723" s="97" t="s">
        <v>3599</v>
      </c>
      <c r="AG1723" s="76"/>
      <c r="AH1723" s="76">
        <v>1</v>
      </c>
      <c r="AI1723" s="76">
        <v>1</v>
      </c>
      <c r="AJ1723" s="73"/>
      <c r="AK1723" s="57"/>
      <c r="AL1723" s="45"/>
      <c r="AM1723" s="45"/>
      <c r="AN1723" s="45"/>
    </row>
    <row r="1724" spans="1:40" hidden="1" outlineLevel="2" x14ac:dyDescent="0.35">
      <c r="A1724" s="45"/>
      <c r="B1724" s="54"/>
      <c r="C1724" s="47">
        <f>INT($C$29)+2</f>
        <v>3</v>
      </c>
      <c r="D1724" s="73"/>
      <c r="E1724" s="70"/>
      <c r="F1724" s="70" t="s">
        <v>3347</v>
      </c>
      <c r="G1724" s="73"/>
      <c r="H1724" s="76" t="s">
        <v>3356</v>
      </c>
      <c r="I1724" s="76"/>
      <c r="J1724" s="76"/>
      <c r="K1724" s="76"/>
      <c r="L1724" s="76"/>
      <c r="M1724" s="76"/>
      <c r="N1724" s="76"/>
      <c r="O1724" s="76"/>
      <c r="P1724" s="76"/>
      <c r="Q1724" s="76"/>
      <c r="R1724" s="76"/>
      <c r="S1724" s="76"/>
      <c r="T1724" s="76"/>
      <c r="U1724" s="97">
        <v>7.5389999999999997E-3</v>
      </c>
      <c r="V1724" s="255">
        <f>U1724</f>
        <v>7.5389999999999997E-3</v>
      </c>
      <c r="W1724" s="255">
        <f t="shared" si="401"/>
        <v>7.5389999999999997E-3</v>
      </c>
      <c r="X1724" s="255">
        <f t="shared" si="401"/>
        <v>7.5389999999999997E-3</v>
      </c>
      <c r="Y1724" s="255">
        <f>V1724</f>
        <v>7.5389999999999997E-3</v>
      </c>
      <c r="Z1724" s="255">
        <f>AA1724</f>
        <v>7.5389999999999997E-3</v>
      </c>
      <c r="AA1724" s="97">
        <f t="shared" ref="AA1724:AA1726" si="403">U1724</f>
        <v>7.5389999999999997E-3</v>
      </c>
      <c r="AB1724" s="255">
        <f t="shared" si="402"/>
        <v>7.5389999999999997E-3</v>
      </c>
      <c r="AC1724" s="255">
        <f t="shared" si="402"/>
        <v>7.5389999999999997E-3</v>
      </c>
      <c r="AD1724" s="255">
        <f t="shared" si="402"/>
        <v>7.5389999999999997E-3</v>
      </c>
      <c r="AE1724" s="76"/>
      <c r="AF1724" s="97" t="s">
        <v>3357</v>
      </c>
      <c r="AG1724" s="76"/>
      <c r="AH1724" s="76">
        <v>1</v>
      </c>
      <c r="AI1724" s="76">
        <v>1</v>
      </c>
      <c r="AJ1724" s="73"/>
      <c r="AK1724" s="57"/>
      <c r="AL1724" s="45"/>
      <c r="AM1724" s="45"/>
      <c r="AN1724" s="45"/>
    </row>
    <row r="1725" spans="1:40" hidden="1" outlineLevel="2" x14ac:dyDescent="0.35">
      <c r="A1725" s="45"/>
      <c r="B1725" s="54"/>
      <c r="C1725" s="47">
        <f t="shared" ref="C1725:C1736" si="404">INT($C$29)+3</f>
        <v>4</v>
      </c>
      <c r="D1725" s="73"/>
      <c r="E1725" s="70"/>
      <c r="F1725" s="70" t="s">
        <v>3348</v>
      </c>
      <c r="G1725" s="73"/>
      <c r="H1725" s="76" t="s">
        <v>3595</v>
      </c>
      <c r="I1725" s="76"/>
      <c r="J1725" s="76"/>
      <c r="K1725" s="76"/>
      <c r="L1725" s="76"/>
      <c r="M1725" s="76"/>
      <c r="N1725" s="76"/>
      <c r="O1725" s="76"/>
      <c r="P1725" s="76"/>
      <c r="Q1725" s="76"/>
      <c r="R1725" s="76"/>
      <c r="S1725" s="76"/>
      <c r="T1725" s="76"/>
      <c r="U1725" s="97">
        <v>0.24360000000000001</v>
      </c>
      <c r="V1725" s="255">
        <f>U1725</f>
        <v>0.24360000000000001</v>
      </c>
      <c r="W1725" s="255">
        <f t="shared" si="401"/>
        <v>0.24360000000000001</v>
      </c>
      <c r="X1725" s="255">
        <f t="shared" si="401"/>
        <v>0.24360000000000001</v>
      </c>
      <c r="Y1725" s="255">
        <f>V1725</f>
        <v>0.24360000000000001</v>
      </c>
      <c r="Z1725" s="255">
        <f>AA1725</f>
        <v>0.24360000000000001</v>
      </c>
      <c r="AA1725" s="97">
        <f t="shared" si="403"/>
        <v>0.24360000000000001</v>
      </c>
      <c r="AB1725" s="255">
        <f t="shared" si="402"/>
        <v>0.24360000000000001</v>
      </c>
      <c r="AC1725" s="255">
        <f t="shared" si="402"/>
        <v>0.24360000000000001</v>
      </c>
      <c r="AD1725" s="255">
        <f t="shared" si="402"/>
        <v>0.24360000000000001</v>
      </c>
      <c r="AE1725" s="76"/>
      <c r="AF1725" s="97" t="s">
        <v>3358</v>
      </c>
      <c r="AG1725" s="76"/>
      <c r="AH1725" s="97">
        <v>1</v>
      </c>
      <c r="AI1725" s="97">
        <v>1</v>
      </c>
      <c r="AJ1725" s="73"/>
      <c r="AK1725" s="57"/>
      <c r="AL1725" s="45"/>
      <c r="AM1725" s="45"/>
      <c r="AN1725" s="45"/>
    </row>
    <row r="1726" spans="1:40" hidden="1" outlineLevel="2" collapsed="1" x14ac:dyDescent="0.35">
      <c r="A1726" s="45"/>
      <c r="B1726" s="54"/>
      <c r="C1726" s="47">
        <f t="shared" si="404"/>
        <v>4</v>
      </c>
      <c r="D1726" s="73"/>
      <c r="E1726" s="70"/>
      <c r="F1726" s="70" t="s">
        <v>3349</v>
      </c>
      <c r="G1726" s="73"/>
      <c r="H1726" s="76" t="s">
        <v>3596</v>
      </c>
      <c r="I1726" s="76"/>
      <c r="J1726" s="76"/>
      <c r="K1726" s="76"/>
      <c r="L1726" s="76"/>
      <c r="M1726" s="76"/>
      <c r="N1726" s="76"/>
      <c r="O1726" s="76"/>
      <c r="P1726" s="76"/>
      <c r="Q1726" s="76"/>
      <c r="R1726" s="76"/>
      <c r="S1726" s="76"/>
      <c r="T1726" s="76"/>
      <c r="U1726" s="97"/>
      <c r="V1726" s="255">
        <f t="shared" ref="V1726" si="405">U1726</f>
        <v>0</v>
      </c>
      <c r="W1726" s="255">
        <f t="shared" ref="W1726:W1727" si="406">U1726</f>
        <v>0</v>
      </c>
      <c r="X1726" s="255">
        <f t="shared" ref="X1726:X1727" si="407">V1726</f>
        <v>0</v>
      </c>
      <c r="Y1726" s="255">
        <f t="shared" ref="Y1726" si="408">V1726</f>
        <v>0</v>
      </c>
      <c r="Z1726" s="255">
        <f t="shared" ref="Z1726" si="409">AA1726</f>
        <v>0</v>
      </c>
      <c r="AA1726" s="97">
        <f t="shared" si="403"/>
        <v>0</v>
      </c>
      <c r="AB1726" s="255">
        <f t="shared" ref="AB1726:AB1727" si="410">AA1726</f>
        <v>0</v>
      </c>
      <c r="AC1726" s="255">
        <f t="shared" ref="AC1726:AC1727" si="411">AB1726</f>
        <v>0</v>
      </c>
      <c r="AD1726" s="255">
        <f t="shared" ref="AD1726:AD1727" si="412">AC1726</f>
        <v>0</v>
      </c>
      <c r="AE1726" s="76"/>
      <c r="AF1726" s="76"/>
      <c r="AG1726" s="76"/>
      <c r="AH1726" s="76">
        <v>1</v>
      </c>
      <c r="AI1726" s="76">
        <v>1</v>
      </c>
      <c r="AJ1726" s="73"/>
      <c r="AK1726" s="57"/>
      <c r="AL1726" s="45"/>
      <c r="AM1726" s="45"/>
      <c r="AN1726" s="45"/>
    </row>
    <row r="1727" spans="1:40" hidden="1" outlineLevel="3" x14ac:dyDescent="0.35">
      <c r="A1727" s="45"/>
      <c r="B1727" s="54"/>
      <c r="C1727" s="47">
        <f t="shared" si="404"/>
        <v>4</v>
      </c>
      <c r="D1727" s="73"/>
      <c r="E1727" s="70"/>
      <c r="F1727" s="70" t="s">
        <v>3350</v>
      </c>
      <c r="G1727" s="73"/>
      <c r="H1727" s="76" t="s">
        <v>3597</v>
      </c>
      <c r="I1727" s="76"/>
      <c r="J1727" s="76"/>
      <c r="K1727" s="76"/>
      <c r="L1727" s="76"/>
      <c r="M1727" s="76"/>
      <c r="N1727" s="76"/>
      <c r="O1727" s="76"/>
      <c r="P1727" s="76"/>
      <c r="Q1727" s="76"/>
      <c r="R1727" s="76"/>
      <c r="S1727" s="76"/>
      <c r="T1727" s="76"/>
      <c r="U1727" s="97">
        <v>0.24360000000000001</v>
      </c>
      <c r="V1727" s="255">
        <f>U1727</f>
        <v>0.24360000000000001</v>
      </c>
      <c r="W1727" s="255">
        <f t="shared" si="406"/>
        <v>0.24360000000000001</v>
      </c>
      <c r="X1727" s="255">
        <f t="shared" si="407"/>
        <v>0.24360000000000001</v>
      </c>
      <c r="Y1727" s="255">
        <f>V1727</f>
        <v>0.24360000000000001</v>
      </c>
      <c r="Z1727" s="255">
        <f>AA1727</f>
        <v>0.24360000000000001</v>
      </c>
      <c r="AA1727" s="97">
        <f t="shared" ref="AA1727:AA1728" si="413">U1727</f>
        <v>0.24360000000000001</v>
      </c>
      <c r="AB1727" s="255">
        <f t="shared" si="410"/>
        <v>0.24360000000000001</v>
      </c>
      <c r="AC1727" s="255">
        <f t="shared" si="411"/>
        <v>0.24360000000000001</v>
      </c>
      <c r="AD1727" s="255">
        <f t="shared" si="412"/>
        <v>0.24360000000000001</v>
      </c>
      <c r="AE1727" s="76"/>
      <c r="AF1727" s="76"/>
      <c r="AG1727" s="76"/>
      <c r="AH1727" s="97">
        <v>1</v>
      </c>
      <c r="AI1727" s="97">
        <v>1</v>
      </c>
      <c r="AJ1727" s="73"/>
      <c r="AK1727" s="57"/>
      <c r="AL1727" s="45"/>
      <c r="AM1727" s="45"/>
      <c r="AN1727" s="45"/>
    </row>
    <row r="1728" spans="1:40" hidden="1" outlineLevel="3" x14ac:dyDescent="0.35">
      <c r="A1728" s="45"/>
      <c r="B1728" s="54"/>
      <c r="C1728" s="47">
        <f t="shared" si="404"/>
        <v>4</v>
      </c>
      <c r="D1728" s="73"/>
      <c r="E1728" s="70"/>
      <c r="F1728" s="70" t="s">
        <v>3351</v>
      </c>
      <c r="G1728" s="73"/>
      <c r="H1728" s="76" t="s">
        <v>3598</v>
      </c>
      <c r="I1728" s="76"/>
      <c r="J1728" s="76"/>
      <c r="K1728" s="76"/>
      <c r="L1728" s="76"/>
      <c r="M1728" s="76"/>
      <c r="N1728" s="76"/>
      <c r="O1728" s="76"/>
      <c r="P1728" s="76"/>
      <c r="Q1728" s="76"/>
      <c r="R1728" s="76"/>
      <c r="S1728" s="76"/>
      <c r="T1728" s="76"/>
      <c r="U1728" s="97"/>
      <c r="V1728" s="255">
        <f t="shared" ref="V1728" si="414">U1728</f>
        <v>0</v>
      </c>
      <c r="W1728" s="255">
        <f t="shared" ref="W1728" si="415">U1728</f>
        <v>0</v>
      </c>
      <c r="X1728" s="255">
        <f t="shared" ref="X1728" si="416">V1728</f>
        <v>0</v>
      </c>
      <c r="Y1728" s="255">
        <f t="shared" ref="Y1728" si="417">V1728</f>
        <v>0</v>
      </c>
      <c r="Z1728" s="255">
        <f t="shared" ref="Z1728" si="418">AA1728</f>
        <v>0</v>
      </c>
      <c r="AA1728" s="97">
        <f t="shared" si="413"/>
        <v>0</v>
      </c>
      <c r="AB1728" s="255">
        <f t="shared" ref="AB1728" si="419">AA1728</f>
        <v>0</v>
      </c>
      <c r="AC1728" s="255">
        <f t="shared" ref="AC1728" si="420">AB1728</f>
        <v>0</v>
      </c>
      <c r="AD1728" s="255">
        <f t="shared" ref="AD1728" si="421">AC1728</f>
        <v>0</v>
      </c>
      <c r="AE1728" s="76"/>
      <c r="AF1728" s="76"/>
      <c r="AG1728" s="76"/>
      <c r="AH1728" s="76">
        <v>1</v>
      </c>
      <c r="AI1728" s="76">
        <v>1</v>
      </c>
      <c r="AJ1728" s="73"/>
      <c r="AK1728" s="57"/>
      <c r="AL1728" s="45"/>
      <c r="AM1728" s="45"/>
      <c r="AN1728" s="45"/>
    </row>
    <row r="1729" spans="1:40" hidden="1" outlineLevel="3" x14ac:dyDescent="0.35">
      <c r="A1729" s="45"/>
      <c r="B1729" s="54"/>
      <c r="C1729" s="47">
        <f t="shared" si="404"/>
        <v>4</v>
      </c>
      <c r="D1729" s="73"/>
      <c r="E1729" s="70"/>
      <c r="F1729" s="70" t="s">
        <v>3352</v>
      </c>
      <c r="G1729" s="73"/>
      <c r="H1729" s="373" t="s">
        <v>3359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404"/>
        <v>4</v>
      </c>
      <c r="D1730" s="73"/>
      <c r="E1730" s="70"/>
      <c r="F1730" s="70" t="s">
        <v>3353</v>
      </c>
      <c r="G1730" s="73"/>
      <c r="H1730" s="373" t="s">
        <v>3360</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404"/>
        <v>4</v>
      </c>
      <c r="D1731" s="73"/>
      <c r="E1731" s="70"/>
      <c r="F1731" s="70" t="str">
        <f>SUBSTITUTE(F1727,",4)",",8)")</f>
        <v>C(U2,27,8)</v>
      </c>
      <c r="G1731" s="73"/>
      <c r="H1731" s="373" t="s">
        <v>3361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404"/>
        <v>4</v>
      </c>
      <c r="D1732" s="73"/>
      <c r="E1732" s="70"/>
      <c r="F1732" s="70" t="str">
        <f>SUBSTITUTE(F1728,",5)",",9)")</f>
        <v>C(U2,27,9)</v>
      </c>
      <c r="G1732" s="73"/>
      <c r="H1732" s="373" t="s">
        <v>3362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35">
      <c r="A1733" s="45"/>
      <c r="B1733" s="54"/>
      <c r="C1733" s="47">
        <f t="shared" si="404"/>
        <v>4</v>
      </c>
      <c r="D1733" s="73"/>
      <c r="E1733" s="70"/>
      <c r="F1733" s="70" t="str">
        <f>SUBSTITUTE(F1729,",6)",",10)")</f>
        <v>C(U2,27,10)</v>
      </c>
      <c r="G1733" s="73"/>
      <c r="H1733" s="373" t="s">
        <v>3363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35">
      <c r="A1734" s="45"/>
      <c r="B1734" s="54"/>
      <c r="C1734" s="47">
        <f t="shared" si="404"/>
        <v>4</v>
      </c>
      <c r="D1734" s="73"/>
      <c r="E1734" s="70"/>
      <c r="F1734" s="70" t="str">
        <f>SUBSTITUTE(F1730,",7)",",11)")</f>
        <v>C(U2,27,11)</v>
      </c>
      <c r="G1734" s="73"/>
      <c r="H1734" s="373" t="s">
        <v>3364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404"/>
        <v>4</v>
      </c>
      <c r="D1735" s="73"/>
      <c r="E1735" s="70"/>
      <c r="F1735" s="70" t="str">
        <f>SUBSTITUTE(F1729,",6)",",12)")</f>
        <v>C(U2,27,12)</v>
      </c>
      <c r="G1735" s="73"/>
      <c r="H1735" s="373" t="s">
        <v>3365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35">
      <c r="A1736" s="45"/>
      <c r="B1736" s="54"/>
      <c r="C1736" s="47">
        <f t="shared" si="404"/>
        <v>4</v>
      </c>
      <c r="D1736" s="73"/>
      <c r="E1736" s="70"/>
      <c r="F1736" s="70" t="str">
        <f>SUBSTITUTE(F1730,",7)",",13)")</f>
        <v>C(U2,27,13)</v>
      </c>
      <c r="G1736" s="73"/>
      <c r="H1736" s="373" t="s">
        <v>3366</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35">
      <c r="A1737" s="45"/>
      <c r="B1737" s="54"/>
      <c r="C1737" s="47">
        <f>INT($C$29)+2</f>
        <v>3</v>
      </c>
      <c r="D1737" s="73"/>
      <c r="E1737" s="70"/>
      <c r="F1737" s="70" t="s">
        <v>3354</v>
      </c>
      <c r="G1737" s="73"/>
      <c r="H1737" s="76" t="s">
        <v>3367</v>
      </c>
      <c r="I1737" s="76"/>
      <c r="J1737" s="76"/>
      <c r="K1737" s="76"/>
      <c r="L1737" s="76"/>
      <c r="M1737" s="76"/>
      <c r="N1737" s="76"/>
      <c r="O1737" s="76"/>
      <c r="P1737" s="76"/>
      <c r="Q1737" s="76"/>
      <c r="R1737" s="76"/>
      <c r="S1737" s="76"/>
      <c r="T1737" s="76"/>
      <c r="U1737" s="97">
        <v>28.52</v>
      </c>
      <c r="V1737" s="255">
        <f t="shared" ref="V1737" si="422">U1737</f>
        <v>28.52</v>
      </c>
      <c r="W1737" s="255">
        <f t="shared" ref="W1737" si="423">U1737</f>
        <v>28.52</v>
      </c>
      <c r="X1737" s="255">
        <f t="shared" ref="X1737" si="424">V1737</f>
        <v>28.52</v>
      </c>
      <c r="Y1737" s="255">
        <f t="shared" ref="Y1737" si="425">V1737</f>
        <v>28.52</v>
      </c>
      <c r="Z1737" s="255">
        <f t="shared" ref="Z1737" si="426">AA1737</f>
        <v>28.52</v>
      </c>
      <c r="AA1737" s="97">
        <f>U1737</f>
        <v>28.52</v>
      </c>
      <c r="AB1737" s="255">
        <f t="shared" ref="AB1737" si="427">AA1737</f>
        <v>28.52</v>
      </c>
      <c r="AC1737" s="255">
        <f t="shared" ref="AC1737" si="428">AB1737</f>
        <v>28.52</v>
      </c>
      <c r="AD1737" s="255">
        <f t="shared" ref="AD1737" si="429">AC1737</f>
        <v>28.52</v>
      </c>
      <c r="AE1737" s="76"/>
      <c r="AF1737" s="97"/>
      <c r="AG1737" s="76"/>
      <c r="AH1737" s="97">
        <v>1</v>
      </c>
      <c r="AI1737" s="97">
        <v>1</v>
      </c>
      <c r="AJ1737" s="73"/>
      <c r="AK1737" s="57"/>
      <c r="AL1737" s="45"/>
      <c r="AM1737" s="45"/>
      <c r="AN1737" s="45"/>
    </row>
    <row r="1738" spans="1:40" outlineLevel="1" collapsed="1" x14ac:dyDescent="0.35">
      <c r="A1738" s="45"/>
      <c r="B1738" s="54"/>
      <c r="C1738" s="47">
        <f>INT($C$29)+1</f>
        <v>2</v>
      </c>
      <c r="D1738" s="73"/>
      <c r="E1738" s="70"/>
      <c r="F1738" s="265" t="s">
        <v>1702</v>
      </c>
      <c r="G1738" s="73"/>
      <c r="H1738" s="267" t="s">
        <v>3743</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35">
      <c r="A1739" s="45"/>
      <c r="B1739" s="54"/>
      <c r="C1739" s="47">
        <f t="shared" ref="C1739:C1758" si="430">INT($C$29)+3</f>
        <v>4</v>
      </c>
      <c r="D1739" s="73"/>
      <c r="E1739" s="70"/>
      <c r="F1739" s="70" t="s">
        <v>3514</v>
      </c>
      <c r="G1739" s="73"/>
      <c r="H1739" s="76" t="s">
        <v>3510</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30"/>
        <v>4</v>
      </c>
      <c r="D1740" s="73"/>
      <c r="E1740" s="70"/>
      <c r="F1740" s="70" t="s">
        <v>3515</v>
      </c>
      <c r="G1740" s="73"/>
      <c r="H1740" s="76" t="s">
        <v>3498</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30"/>
        <v>4</v>
      </c>
      <c r="D1741" s="73"/>
      <c r="E1741" s="70"/>
      <c r="F1741" s="70" t="s">
        <v>3516</v>
      </c>
      <c r="G1741" s="73"/>
      <c r="H1741" s="76" t="s">
        <v>3505</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30"/>
        <v>4</v>
      </c>
      <c r="D1742" s="73"/>
      <c r="E1742" s="70"/>
      <c r="F1742" s="70" t="s">
        <v>3517</v>
      </c>
      <c r="G1742" s="73"/>
      <c r="H1742" s="76" t="s">
        <v>3499</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30"/>
        <v>4</v>
      </c>
      <c r="D1743" s="73"/>
      <c r="E1743" s="70"/>
      <c r="F1743" s="70" t="s">
        <v>3518</v>
      </c>
      <c r="G1743" s="73"/>
      <c r="H1743" s="76" t="s">
        <v>3506</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30"/>
        <v>4</v>
      </c>
      <c r="D1744" s="73"/>
      <c r="E1744" s="70"/>
      <c r="F1744" s="70" t="s">
        <v>3519</v>
      </c>
      <c r="G1744" s="73"/>
      <c r="H1744" s="76" t="s">
        <v>3500</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30"/>
        <v>4</v>
      </c>
      <c r="D1745" s="73"/>
      <c r="E1745" s="70"/>
      <c r="F1745" s="70" t="s">
        <v>3520</v>
      </c>
      <c r="G1745" s="73"/>
      <c r="H1745" s="76" t="s">
        <v>3507</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30"/>
        <v>4</v>
      </c>
      <c r="D1746" s="73"/>
      <c r="E1746" s="70"/>
      <c r="F1746" s="70" t="s">
        <v>3521</v>
      </c>
      <c r="G1746" s="73"/>
      <c r="H1746" s="76" t="s">
        <v>3501</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30"/>
        <v>4</v>
      </c>
      <c r="D1747" s="73"/>
      <c r="E1747" s="70"/>
      <c r="F1747" s="70" t="str">
        <f>SUBSTITUTE(F1743,",4)",",8)")</f>
        <v>C(U6,0,8)</v>
      </c>
      <c r="G1747" s="73"/>
      <c r="H1747" s="76" t="s">
        <v>3508</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30"/>
        <v>4</v>
      </c>
      <c r="D1748" s="73"/>
      <c r="E1748" s="70"/>
      <c r="F1748" s="70" t="str">
        <f>SUBSTITUTE(F1744,",5)",",9)")</f>
        <v>C(U6,0,9)</v>
      </c>
      <c r="G1748" s="73"/>
      <c r="H1748" s="76" t="s">
        <v>3502</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30"/>
        <v>4</v>
      </c>
      <c r="D1749" s="73"/>
      <c r="E1749" s="70"/>
      <c r="F1749" s="70" t="str">
        <f>SUBSTITUTE(F1745,",6)",",10)")</f>
        <v>C(U6,0,10)</v>
      </c>
      <c r="G1749" s="73"/>
      <c r="H1749" s="76" t="s">
        <v>3509</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30"/>
        <v>4</v>
      </c>
      <c r="D1750" s="73"/>
      <c r="E1750" s="70"/>
      <c r="F1750" s="70" t="str">
        <f>SUBSTITUTE(F1746,",7)",",11)")</f>
        <v>C(U6,0,11)</v>
      </c>
      <c r="G1750" s="73"/>
      <c r="H1750" s="76" t="s">
        <v>3503</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30"/>
        <v>4</v>
      </c>
      <c r="D1751" s="73"/>
      <c r="E1751" s="70"/>
      <c r="F1751" s="70" t="str">
        <f>SUBSTITUTE(F1746,",7)",",12)")</f>
        <v>C(U6,0,12)</v>
      </c>
      <c r="G1751" s="73"/>
      <c r="H1751" s="76" t="s">
        <v>3332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30"/>
        <v>4</v>
      </c>
      <c r="D1752" s="73"/>
      <c r="E1752" s="70"/>
      <c r="F1752" s="70" t="str">
        <f>SUBSTITUTE(F1746,",7)",",13)")</f>
        <v>C(U6,0,13)</v>
      </c>
      <c r="G1752" s="73"/>
      <c r="H1752" s="76" t="s">
        <v>3504</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30"/>
        <v>4</v>
      </c>
      <c r="D1753" s="73"/>
      <c r="E1753" s="70"/>
      <c r="F1753" s="70" t="s">
        <v>3522</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30"/>
        <v>4</v>
      </c>
      <c r="D1754" s="73"/>
      <c r="E1754" s="70"/>
      <c r="F1754" s="70" t="s">
        <v>3523</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30"/>
        <v>4</v>
      </c>
      <c r="D1755" s="73"/>
      <c r="E1755" s="70"/>
      <c r="F1755" s="70" t="s">
        <v>3524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30"/>
        <v>4</v>
      </c>
      <c r="D1756" s="73"/>
      <c r="E1756" s="70"/>
      <c r="F1756" s="70" t="s">
        <v>3525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30"/>
        <v>4</v>
      </c>
      <c r="D1757" s="73"/>
      <c r="E1757" s="70"/>
      <c r="F1757" s="70" t="s">
        <v>3526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f t="shared" si="430"/>
        <v>4</v>
      </c>
      <c r="D1758" s="73"/>
      <c r="E1758" s="70"/>
      <c r="F1758" s="70" t="s">
        <v>3527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3528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3529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c r="D1761" s="73"/>
      <c r="E1761" s="70"/>
      <c r="F1761" s="70" t="s">
        <v>3530</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ref="C1762:C1773" si="431">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31"/>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31"/>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31"/>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31"/>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31"/>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31"/>
        <v>4</v>
      </c>
      <c r="D1768" s="73"/>
      <c r="E1768" s="70"/>
      <c r="F1768" s="70" t="s">
        <v>3531</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31"/>
        <v>4</v>
      </c>
      <c r="D1769" s="73"/>
      <c r="E1769" s="70"/>
      <c r="F1769" s="70" t="s">
        <v>3532</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31"/>
        <v>4</v>
      </c>
      <c r="D1770" s="73"/>
      <c r="E1770" s="70"/>
      <c r="F1770" s="70" t="s">
        <v>3533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31"/>
        <v>4</v>
      </c>
      <c r="D1771" s="73"/>
      <c r="E1771" s="70"/>
      <c r="F1771" s="70" t="s">
        <v>3534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31"/>
        <v>4</v>
      </c>
      <c r="D1772" s="73"/>
      <c r="E1772" s="70"/>
      <c r="F1772" s="70" t="s">
        <v>3535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f t="shared" si="431"/>
        <v>4</v>
      </c>
      <c r="D1773" s="73"/>
      <c r="E1773" s="70"/>
      <c r="F1773" s="70" t="s">
        <v>3536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3537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3538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c r="D1776" s="73"/>
      <c r="E1776" s="70"/>
      <c r="F1776" s="70" t="s">
        <v>3539</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ref="C1777:C1788" si="432">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32"/>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32"/>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32"/>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32"/>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32"/>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32"/>
        <v>4</v>
      </c>
      <c r="D1783" s="73"/>
      <c r="E1783" s="70"/>
      <c r="F1783" s="70" t="s">
        <v>3540</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32"/>
        <v>4</v>
      </c>
      <c r="D1784" s="73"/>
      <c r="E1784" s="70"/>
      <c r="F1784" s="70" t="s">
        <v>3541</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32"/>
        <v>4</v>
      </c>
      <c r="D1785" s="73"/>
      <c r="E1785" s="70"/>
      <c r="F1785" s="70" t="s">
        <v>3542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32"/>
        <v>4</v>
      </c>
      <c r="D1786" s="73"/>
      <c r="E1786" s="70"/>
      <c r="F1786" s="70" t="s">
        <v>3543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32"/>
        <v>4</v>
      </c>
      <c r="D1787" s="73"/>
      <c r="E1787" s="70"/>
      <c r="F1787" s="70" t="s">
        <v>3544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f t="shared" si="432"/>
        <v>4</v>
      </c>
      <c r="D1788" s="73"/>
      <c r="E1788" s="70"/>
      <c r="F1788" s="70" t="s">
        <v>3545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3546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3547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c r="D1791" s="73"/>
      <c r="E1791" s="70"/>
      <c r="F1791" s="70" t="s">
        <v>3548</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ref="C1792:C1803" si="433">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33"/>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33"/>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33"/>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33"/>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33"/>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33"/>
        <v>4</v>
      </c>
      <c r="D1798" s="73"/>
      <c r="E1798" s="70"/>
      <c r="F1798" s="70" t="s">
        <v>3549</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33"/>
        <v>4</v>
      </c>
      <c r="D1799" s="73"/>
      <c r="E1799" s="70"/>
      <c r="F1799" s="70" t="s">
        <v>3550</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33"/>
        <v>4</v>
      </c>
      <c r="D1800" s="73"/>
      <c r="E1800" s="70"/>
      <c r="F1800" s="70" t="s">
        <v>3551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33"/>
        <v>4</v>
      </c>
      <c r="D1801" s="73"/>
      <c r="E1801" s="70"/>
      <c r="F1801" s="70" t="s">
        <v>3552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33"/>
        <v>4</v>
      </c>
      <c r="D1802" s="73"/>
      <c r="E1802" s="70"/>
      <c r="F1802" s="70" t="s">
        <v>3553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f t="shared" si="433"/>
        <v>4</v>
      </c>
      <c r="D1803" s="73"/>
      <c r="E1803" s="70"/>
      <c r="F1803" s="70" t="s">
        <v>3554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3555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3556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c r="D1806" s="73"/>
      <c r="E1806" s="70"/>
      <c r="F1806" s="70" t="s">
        <v>3557</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ref="C1807:C1818" si="434">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34"/>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34"/>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34"/>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34"/>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34"/>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34"/>
        <v>4</v>
      </c>
      <c r="D1813" s="73"/>
      <c r="E1813" s="70"/>
      <c r="F1813" s="70" t="s">
        <v>3558</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34"/>
        <v>4</v>
      </c>
      <c r="D1814" s="73"/>
      <c r="E1814" s="70"/>
      <c r="F1814" s="70" t="s">
        <v>3559</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34"/>
        <v>4</v>
      </c>
      <c r="D1815" s="73"/>
      <c r="E1815" s="70"/>
      <c r="F1815" s="70" t="s">
        <v>3560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34"/>
        <v>4</v>
      </c>
      <c r="D1816" s="73"/>
      <c r="E1816" s="70"/>
      <c r="F1816" s="70" t="s">
        <v>3561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34"/>
        <v>4</v>
      </c>
      <c r="D1817" s="73"/>
      <c r="E1817" s="70"/>
      <c r="F1817" s="70" t="s">
        <v>3562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f t="shared" si="434"/>
        <v>4</v>
      </c>
      <c r="D1818" s="73"/>
      <c r="E1818" s="70"/>
      <c r="F1818" s="70" t="s">
        <v>3563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3564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3565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c r="D1821" s="73"/>
      <c r="E1821" s="70"/>
      <c r="F1821" s="70" t="s">
        <v>3566</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ref="C1822:C1833" si="435">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35"/>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35"/>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35"/>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35"/>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35"/>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35"/>
        <v>4</v>
      </c>
      <c r="D1828" s="73"/>
      <c r="E1828" s="70"/>
      <c r="F1828" s="70" t="s">
        <v>3567</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35"/>
        <v>4</v>
      </c>
      <c r="D1829" s="73"/>
      <c r="E1829" s="70"/>
      <c r="F1829" s="70" t="s">
        <v>3568</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35"/>
        <v>4</v>
      </c>
      <c r="D1830" s="73"/>
      <c r="E1830" s="70"/>
      <c r="F1830" s="70" t="s">
        <v>3569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35"/>
        <v>4</v>
      </c>
      <c r="D1831" s="73"/>
      <c r="E1831" s="70"/>
      <c r="F1831" s="70" t="s">
        <v>3570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35"/>
        <v>4</v>
      </c>
      <c r="D1832" s="73"/>
      <c r="E1832" s="70"/>
      <c r="F1832" s="70" t="s">
        <v>3571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f t="shared" si="435"/>
        <v>4</v>
      </c>
      <c r="D1833" s="73"/>
      <c r="E1833" s="70"/>
      <c r="F1833" s="70" t="s">
        <v>3572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3573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3574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c r="D1836" s="73"/>
      <c r="E1836" s="70"/>
      <c r="F1836" s="70" t="s">
        <v>3575</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ref="C1837:C1848" si="436">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36"/>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36"/>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36"/>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36"/>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36"/>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36"/>
        <v>4</v>
      </c>
      <c r="D1843" s="73"/>
      <c r="E1843" s="70"/>
      <c r="F1843" s="70" t="s">
        <v>3576</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36"/>
        <v>4</v>
      </c>
      <c r="D1844" s="73"/>
      <c r="E1844" s="70"/>
      <c r="F1844" s="70" t="s">
        <v>3577</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36"/>
        <v>4</v>
      </c>
      <c r="D1845" s="73"/>
      <c r="E1845" s="70"/>
      <c r="F1845" s="70" t="s">
        <v>3578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36"/>
        <v>4</v>
      </c>
      <c r="D1846" s="73"/>
      <c r="E1846" s="70"/>
      <c r="F1846" s="70" t="s">
        <v>3579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36"/>
        <v>4</v>
      </c>
      <c r="D1847" s="73"/>
      <c r="E1847" s="70"/>
      <c r="F1847" s="70" t="s">
        <v>3580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f t="shared" si="436"/>
        <v>4</v>
      </c>
      <c r="D1848" s="73"/>
      <c r="E1848" s="70"/>
      <c r="F1848" s="70" t="s">
        <v>3581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3582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3583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c r="D1851" s="73"/>
      <c r="E1851" s="70"/>
      <c r="F1851" s="70" t="s">
        <v>3584</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ref="C1856:C1857" si="437">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 t="shared" si="437"/>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35">
      <c r="A1858" s="45"/>
      <c r="B1858" s="54"/>
      <c r="C1858" s="47">
        <f>INT($C$29)+3</f>
        <v>4</v>
      </c>
      <c r="D1858" s="73"/>
      <c r="E1858" s="398"/>
      <c r="F1858" s="398" t="s">
        <v>3585</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35">
      <c r="A1859" s="45"/>
      <c r="B1859" s="54"/>
      <c r="C1859" s="47">
        <f>INT($C$29)+2</f>
        <v>3</v>
      </c>
      <c r="D1859" s="73"/>
      <c r="E1859" s="402"/>
      <c r="F1859" s="402" t="s">
        <v>3586</v>
      </c>
      <c r="G1859" s="403"/>
      <c r="H1859" s="181" t="s">
        <v>3750</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38">U1859</f>
        <v>0.52490000000000003</v>
      </c>
      <c r="X1859" s="405">
        <f t="shared" ref="X1859:X1860" si="439">V1859</f>
        <v>0.52490000000000003</v>
      </c>
      <c r="Y1859" s="405">
        <f>V1859</f>
        <v>0.52490000000000003</v>
      </c>
      <c r="Z1859" s="405">
        <f>AA1859</f>
        <v>0.52490000000000003</v>
      </c>
      <c r="AA1859" s="404">
        <f>U1859</f>
        <v>0.52490000000000003</v>
      </c>
      <c r="AB1859" s="405">
        <f t="shared" ref="AB1859:AB1860" si="440">AA1859</f>
        <v>0.52490000000000003</v>
      </c>
      <c r="AC1859" s="405">
        <f t="shared" ref="AC1859:AC1860" si="441">AB1859</f>
        <v>0.52490000000000003</v>
      </c>
      <c r="AD1859" s="405">
        <f t="shared" ref="AD1859:AD1860" si="442">AC1859</f>
        <v>0.52490000000000003</v>
      </c>
      <c r="AE1859" s="181"/>
      <c r="AF1859" s="404" t="s">
        <v>3513</v>
      </c>
      <c r="AG1859" s="181"/>
      <c r="AH1859" s="404">
        <v>1</v>
      </c>
      <c r="AI1859" s="404">
        <v>1</v>
      </c>
      <c r="AJ1859" s="73"/>
      <c r="AK1859" s="57"/>
      <c r="AL1859" s="45"/>
      <c r="AM1859" s="45"/>
      <c r="AN1859" s="45"/>
    </row>
    <row r="1860" spans="1:40" hidden="1" outlineLevel="2" collapsed="1" x14ac:dyDescent="0.35">
      <c r="A1860" s="45"/>
      <c r="B1860" s="54"/>
      <c r="C1860" s="47">
        <f>INT($C$29)+2</f>
        <v>3</v>
      </c>
      <c r="D1860" s="73"/>
      <c r="E1860" s="70"/>
      <c r="F1860" s="70" t="s">
        <v>3587</v>
      </c>
      <c r="G1860" s="234"/>
      <c r="H1860" s="76" t="s">
        <v>3511</v>
      </c>
      <c r="I1860" s="76"/>
      <c r="J1860" s="76"/>
      <c r="K1860" s="76"/>
      <c r="L1860" s="76"/>
      <c r="M1860" s="76"/>
      <c r="N1860" s="76"/>
      <c r="O1860" s="76"/>
      <c r="P1860" s="76"/>
      <c r="Q1860" s="76"/>
      <c r="R1860" s="76"/>
      <c r="S1860" s="76"/>
      <c r="T1860" s="76"/>
      <c r="U1860" s="97">
        <v>-4.2820000000000002E-3</v>
      </c>
      <c r="V1860" s="255">
        <f>U1860</f>
        <v>-4.2820000000000002E-3</v>
      </c>
      <c r="W1860" s="255">
        <f t="shared" si="438"/>
        <v>-4.2820000000000002E-3</v>
      </c>
      <c r="X1860" s="255">
        <f t="shared" si="439"/>
        <v>-4.2820000000000002E-3</v>
      </c>
      <c r="Y1860" s="255">
        <f>V1860</f>
        <v>-4.2820000000000002E-3</v>
      </c>
      <c r="Z1860" s="400">
        <f>AA1860</f>
        <v>-4.2820000000000002E-3</v>
      </c>
      <c r="AA1860" s="97">
        <f t="shared" ref="AA1860:AA1873" si="443">U1860</f>
        <v>-4.2820000000000002E-3</v>
      </c>
      <c r="AB1860" s="400">
        <f t="shared" si="440"/>
        <v>-4.2820000000000002E-3</v>
      </c>
      <c r="AC1860" s="400">
        <f t="shared" si="441"/>
        <v>-4.2820000000000002E-3</v>
      </c>
      <c r="AD1860" s="400">
        <f t="shared" si="442"/>
        <v>-4.2820000000000002E-3</v>
      </c>
      <c r="AE1860" s="76"/>
      <c r="AF1860" s="97" t="s">
        <v>3788</v>
      </c>
      <c r="AG1860" s="76"/>
      <c r="AH1860" s="97">
        <v>1</v>
      </c>
      <c r="AI1860" s="97">
        <v>1</v>
      </c>
      <c r="AJ1860" s="73"/>
      <c r="AK1860" s="57"/>
      <c r="AL1860" s="45"/>
      <c r="AM1860" s="45"/>
      <c r="AN1860" s="45"/>
    </row>
    <row r="1861" spans="1:40" hidden="1" outlineLevel="3" x14ac:dyDescent="0.35">
      <c r="A1861" s="45"/>
      <c r="B1861" s="54"/>
      <c r="C1861" s="47">
        <f>INT($C$29)+2</f>
        <v>3</v>
      </c>
      <c r="D1861" s="73"/>
      <c r="E1861" s="70"/>
      <c r="F1861" s="70" t="s">
        <v>3588</v>
      </c>
      <c r="G1861" s="234"/>
      <c r="H1861" s="76" t="s">
        <v>3505</v>
      </c>
      <c r="I1861" s="7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hidden="1" outlineLevel="3" x14ac:dyDescent="0.35">
      <c r="A1862" s="45"/>
      <c r="B1862" s="54"/>
      <c r="C1862" s="47">
        <f>INT($C$29)+3</f>
        <v>4</v>
      </c>
      <c r="D1862" s="73"/>
      <c r="E1862" s="70"/>
      <c r="F1862" s="70" t="s">
        <v>3589</v>
      </c>
      <c r="G1862" s="234"/>
      <c r="H1862" s="76" t="s">
        <v>3499</v>
      </c>
      <c r="I1862" s="9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hidden="1" outlineLevel="2" collapsed="1" x14ac:dyDescent="0.35">
      <c r="A1863" s="45"/>
      <c r="B1863" s="54"/>
      <c r="C1863" s="47">
        <f>INT($C$29)+2</f>
        <v>3</v>
      </c>
      <c r="D1863" s="73"/>
      <c r="E1863" s="70"/>
      <c r="F1863" s="70" t="s">
        <v>3590</v>
      </c>
      <c r="G1863" s="234"/>
      <c r="H1863" s="76" t="s">
        <v>3506</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4">U1863</f>
        <v>5.5010000000000003E-2</v>
      </c>
      <c r="X1863" s="255">
        <f t="shared" ref="X1863" si="445">V1863</f>
        <v>5.5010000000000003E-2</v>
      </c>
      <c r="Y1863" s="255">
        <f>V1863</f>
        <v>5.5010000000000003E-2</v>
      </c>
      <c r="Z1863" s="400">
        <f>AA1863</f>
        <v>5.5010000000000003E-2</v>
      </c>
      <c r="AA1863" s="97">
        <f t="shared" si="443"/>
        <v>5.5010000000000003E-2</v>
      </c>
      <c r="AB1863" s="400">
        <f t="shared" ref="AB1863" si="446">AA1863</f>
        <v>5.5010000000000003E-2</v>
      </c>
      <c r="AC1863" s="400">
        <f t="shared" ref="AC1863" si="447">AB1863</f>
        <v>5.5010000000000003E-2</v>
      </c>
      <c r="AD1863" s="400">
        <f t="shared" ref="AD1863" si="448">AC1863</f>
        <v>5.5010000000000003E-2</v>
      </c>
      <c r="AE1863" s="76"/>
      <c r="AF1863" s="76"/>
      <c r="AG1863" s="76"/>
      <c r="AH1863" s="97">
        <v>1</v>
      </c>
      <c r="AI1863" s="97">
        <v>1</v>
      </c>
      <c r="AJ1863" s="73"/>
      <c r="AK1863" s="57"/>
      <c r="AL1863" s="45"/>
      <c r="AM1863" s="45"/>
      <c r="AN1863" s="45"/>
    </row>
    <row r="1864" spans="1:40" hidden="1" outlineLevel="3" x14ac:dyDescent="0.35">
      <c r="A1864" s="45"/>
      <c r="B1864" s="54"/>
      <c r="C1864" s="47">
        <f>INT($C$29)+2</f>
        <v>3</v>
      </c>
      <c r="D1864" s="73"/>
      <c r="E1864" s="70"/>
      <c r="F1864" s="70" t="s">
        <v>3591</v>
      </c>
      <c r="G1864" s="234"/>
      <c r="H1864" s="76" t="s">
        <v>3500</v>
      </c>
      <c r="I1864" s="76"/>
      <c r="J1864" s="76"/>
      <c r="K1864" s="76"/>
      <c r="L1864" s="76"/>
      <c r="M1864" s="76"/>
      <c r="N1864" s="76"/>
      <c r="O1864" s="76"/>
      <c r="P1864" s="76"/>
      <c r="Q1864" s="76"/>
      <c r="R1864" s="76"/>
      <c r="S1864" s="76"/>
      <c r="T1864" s="76"/>
      <c r="U1864" s="76"/>
      <c r="V1864" s="76"/>
      <c r="W1864" s="76"/>
      <c r="X1864" s="76"/>
      <c r="Y1864" s="76"/>
      <c r="Z1864" s="76"/>
      <c r="AA1864" s="76">
        <f t="shared" si="443"/>
        <v>0</v>
      </c>
      <c r="AB1864" s="76"/>
      <c r="AC1864" s="76"/>
      <c r="AD1864" s="76"/>
      <c r="AE1864" s="76"/>
      <c r="AF1864" s="76"/>
      <c r="AG1864" s="76"/>
      <c r="AH1864" s="76">
        <v>1</v>
      </c>
      <c r="AI1864" s="76">
        <v>1</v>
      </c>
      <c r="AJ1864" s="73"/>
      <c r="AK1864" s="57"/>
      <c r="AL1864" s="45"/>
      <c r="AM1864" s="45"/>
      <c r="AN1864" s="45"/>
    </row>
    <row r="1865" spans="1:40" hidden="1" outlineLevel="2" x14ac:dyDescent="0.35">
      <c r="A1865" s="45"/>
      <c r="B1865" s="54"/>
      <c r="C1865" s="47">
        <f t="shared" ref="C1865:C1872" si="449">INT($C$29)+3</f>
        <v>4</v>
      </c>
      <c r="D1865" s="73"/>
      <c r="E1865" s="70"/>
      <c r="F1865" s="70" t="s">
        <v>3592</v>
      </c>
      <c r="G1865" s="234"/>
      <c r="H1865" s="76" t="s">
        <v>3507</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3"/>
        <v>0.14710000000000001</v>
      </c>
      <c r="AB1865" s="400">
        <f t="shared" ref="AB1865:AB1866" si="450">AA1865</f>
        <v>0.14710000000000001</v>
      </c>
      <c r="AC1865" s="400">
        <f t="shared" ref="AC1865:AC1866" si="451">AB1865</f>
        <v>0.14710000000000001</v>
      </c>
      <c r="AD1865" s="400">
        <f t="shared" ref="AD1865:AD1866" si="452">AC1865</f>
        <v>0.14710000000000001</v>
      </c>
      <c r="AE1865" s="76"/>
      <c r="AF1865" s="76"/>
      <c r="AG1865" s="76"/>
      <c r="AH1865" s="97">
        <v>1</v>
      </c>
      <c r="AI1865" s="97">
        <v>1</v>
      </c>
      <c r="AJ1865" s="73"/>
      <c r="AK1865" s="57"/>
      <c r="AL1865" s="45"/>
      <c r="AM1865" s="45"/>
      <c r="AN1865" s="45"/>
    </row>
    <row r="1866" spans="1:40" hidden="1" outlineLevel="2" collapsed="1" x14ac:dyDescent="0.35">
      <c r="A1866" s="45"/>
      <c r="B1866" s="54"/>
      <c r="C1866" s="47">
        <f t="shared" si="449"/>
        <v>4</v>
      </c>
      <c r="D1866" s="73"/>
      <c r="E1866" s="70"/>
      <c r="F1866" s="70" t="s">
        <v>3593</v>
      </c>
      <c r="G1866" s="234"/>
      <c r="H1866" s="76" t="s">
        <v>3501</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3"/>
        <v>-3.7910000000000001E-3</v>
      </c>
      <c r="AB1866" s="400">
        <f t="shared" si="450"/>
        <v>-3.7910000000000001E-3</v>
      </c>
      <c r="AC1866" s="400">
        <f t="shared" si="451"/>
        <v>-3.7910000000000001E-3</v>
      </c>
      <c r="AD1866" s="400">
        <f t="shared" si="452"/>
        <v>-3.7910000000000001E-3</v>
      </c>
      <c r="AE1866" s="76"/>
      <c r="AF1866" s="76"/>
      <c r="AG1866" s="76"/>
      <c r="AH1866" s="97">
        <v>1</v>
      </c>
      <c r="AI1866" s="97">
        <v>1</v>
      </c>
      <c r="AJ1866" s="73"/>
      <c r="AK1866" s="57"/>
      <c r="AL1866" s="45"/>
      <c r="AM1866" s="45"/>
      <c r="AN1866" s="45"/>
    </row>
    <row r="1867" spans="1:40" hidden="1" outlineLevel="3" x14ac:dyDescent="0.35">
      <c r="A1867" s="45"/>
      <c r="B1867" s="54"/>
      <c r="C1867" s="47">
        <f t="shared" si="449"/>
        <v>4</v>
      </c>
      <c r="D1867" s="73"/>
      <c r="E1867" s="70"/>
      <c r="F1867" s="70" t="str">
        <f>SUBSTITUTE(F1863,",4)",",8)")</f>
        <v>C(U6,8,8)</v>
      </c>
      <c r="G1867" s="73"/>
      <c r="H1867" s="76" t="s">
        <v>3508</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9"/>
        <v>4</v>
      </c>
      <c r="D1868" s="73"/>
      <c r="E1868" s="70"/>
      <c r="F1868" s="70" t="str">
        <f>SUBSTITUTE(F1864,",5)",",9)")</f>
        <v>C(U6,8,9)</v>
      </c>
      <c r="G1868" s="73"/>
      <c r="H1868" s="76" t="s">
        <v>3502</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9"/>
        <v>4</v>
      </c>
      <c r="D1869" s="73"/>
      <c r="E1869" s="70"/>
      <c r="F1869" s="70" t="str">
        <f>SUBSTITUTE(F1865,",6)",",10)")</f>
        <v>C(U6,8,10)</v>
      </c>
      <c r="G1869" s="73"/>
      <c r="H1869" s="76" t="s">
        <v>3509</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hidden="1" outlineLevel="3" x14ac:dyDescent="0.35">
      <c r="A1870" s="45"/>
      <c r="B1870" s="54"/>
      <c r="C1870" s="47">
        <f t="shared" si="449"/>
        <v>4</v>
      </c>
      <c r="D1870" s="73"/>
      <c r="E1870" s="70"/>
      <c r="F1870" s="70" t="str">
        <f>SUBSTITUTE(F1866,",7)",",11)")</f>
        <v>C(U6,8,11)</v>
      </c>
      <c r="G1870" s="73"/>
      <c r="H1870" s="76" t="s">
        <v>3503</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hidden="1" outlineLevel="2" collapsed="1" x14ac:dyDescent="0.35">
      <c r="A1871" s="45"/>
      <c r="B1871" s="54"/>
      <c r="C1871" s="47">
        <f t="shared" si="449"/>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3">U1871</f>
        <v>-7.9950000000000004E-3</v>
      </c>
      <c r="X1871" s="255">
        <f t="shared" ref="X1871" si="454">V1871</f>
        <v>-7.9950000000000004E-3</v>
      </c>
      <c r="Y1871" s="255">
        <f>V1871</f>
        <v>-7.9950000000000004E-3</v>
      </c>
      <c r="Z1871" s="400">
        <f>AA1871</f>
        <v>-7.9950000000000004E-3</v>
      </c>
      <c r="AA1871" s="97">
        <f t="shared" si="443"/>
        <v>-7.9950000000000004E-3</v>
      </c>
      <c r="AB1871" s="400">
        <f t="shared" ref="AB1871" si="455">AA1871</f>
        <v>-7.9950000000000004E-3</v>
      </c>
      <c r="AC1871" s="400">
        <f t="shared" ref="AC1871" si="456">AB1871</f>
        <v>-7.9950000000000004E-3</v>
      </c>
      <c r="AD1871" s="400">
        <f t="shared" ref="AD1871" si="457">AC1871</f>
        <v>-7.9950000000000004E-3</v>
      </c>
      <c r="AE1871" s="76"/>
      <c r="AF1871" s="76"/>
      <c r="AG1871" s="76"/>
      <c r="AH1871" s="97">
        <v>1</v>
      </c>
      <c r="AI1871" s="97">
        <v>1</v>
      </c>
      <c r="AJ1871" s="73"/>
      <c r="AK1871" s="57"/>
      <c r="AL1871" s="45"/>
      <c r="AM1871" s="45"/>
      <c r="AN1871" s="45"/>
    </row>
    <row r="1872" spans="1:40" hidden="1" outlineLevel="3" x14ac:dyDescent="0.35">
      <c r="A1872" s="45"/>
      <c r="B1872" s="54"/>
      <c r="C1872" s="47">
        <f t="shared" si="449"/>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3"/>
        <v>0</v>
      </c>
      <c r="AB1872" s="76"/>
      <c r="AC1872" s="76"/>
      <c r="AD1872" s="76"/>
      <c r="AE1872" s="76"/>
      <c r="AF1872" s="76"/>
      <c r="AG1872" s="76"/>
      <c r="AH1872" s="76">
        <v>1</v>
      </c>
      <c r="AI1872" s="76">
        <v>1</v>
      </c>
      <c r="AJ1872" s="73"/>
      <c r="AK1872" s="57"/>
      <c r="AL1872" s="45"/>
      <c r="AM1872" s="45"/>
      <c r="AN1872" s="45"/>
    </row>
    <row r="1873" spans="1:40" hidden="1" outlineLevel="2" collapsed="1" x14ac:dyDescent="0.35">
      <c r="A1873" s="45"/>
      <c r="B1873" s="54"/>
      <c r="C1873" s="47">
        <f>INT($C$29)+2</f>
        <v>3</v>
      </c>
      <c r="D1873" s="73"/>
      <c r="E1873" s="406"/>
      <c r="F1873" s="406" t="s">
        <v>3594</v>
      </c>
      <c r="G1873" s="407"/>
      <c r="H1873" s="184" t="s">
        <v>3512</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58">V1873</f>
        <v>-6.7655397499999994</v>
      </c>
      <c r="X1873" s="410">
        <f t="shared" si="458"/>
        <v>-6.7655397499999994</v>
      </c>
      <c r="Y1873" s="410">
        <f t="shared" si="458"/>
        <v>-6.7655397499999994</v>
      </c>
      <c r="Z1873" s="410">
        <f>AA1873</f>
        <v>-6.7655397499999994</v>
      </c>
      <c r="AA1873" s="409">
        <f t="shared" si="443"/>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35">
      <c r="A1874" s="45"/>
      <c r="B1874" s="54"/>
      <c r="C1874" s="47">
        <f t="shared" ref="C1874:C1878" si="459">INT($C$29)+3</f>
        <v>4</v>
      </c>
      <c r="D1874" s="73"/>
      <c r="E1874" s="70"/>
      <c r="F1874" s="70" t="s">
        <v>3600</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9"/>
        <v>4</v>
      </c>
      <c r="D1875" s="73"/>
      <c r="E1875" s="70"/>
      <c r="F1875" s="70" t="s">
        <v>3601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9"/>
        <v>4</v>
      </c>
      <c r="D1876" s="73"/>
      <c r="E1876" s="70"/>
      <c r="F1876" s="70" t="s">
        <v>3602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9"/>
        <v>4</v>
      </c>
      <c r="D1877" s="73"/>
      <c r="E1877" s="70"/>
      <c r="F1877" s="70" t="s">
        <v>3603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f t="shared" si="459"/>
        <v>4</v>
      </c>
      <c r="D1878" s="73"/>
      <c r="E1878" s="70"/>
      <c r="F1878" s="70" t="s">
        <v>3604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3605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3606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c r="D1881" s="73"/>
      <c r="E1881" s="70"/>
      <c r="F1881" s="70" t="s">
        <v>3607</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ref="C1882:C1893" si="460">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60"/>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60"/>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60"/>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60"/>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60"/>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60"/>
        <v>4</v>
      </c>
      <c r="D1888" s="73"/>
      <c r="E1888" s="70"/>
      <c r="F1888" s="70" t="s">
        <v>3608</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60"/>
        <v>4</v>
      </c>
      <c r="D1889" s="73"/>
      <c r="E1889" s="70"/>
      <c r="F1889" s="70" t="s">
        <v>3609</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60"/>
        <v>4</v>
      </c>
      <c r="D1890" s="73"/>
      <c r="E1890" s="70"/>
      <c r="F1890" s="70" t="s">
        <v>3610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60"/>
        <v>4</v>
      </c>
      <c r="D1891" s="73"/>
      <c r="E1891" s="70"/>
      <c r="F1891" s="70" t="s">
        <v>3611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60"/>
        <v>4</v>
      </c>
      <c r="D1892" s="73"/>
      <c r="E1892" s="70"/>
      <c r="F1892" s="70" t="s">
        <v>3612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f t="shared" si="460"/>
        <v>4</v>
      </c>
      <c r="D1893" s="73"/>
      <c r="E1893" s="70"/>
      <c r="F1893" s="70" t="s">
        <v>3613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3614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3615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c r="D1896" s="73"/>
      <c r="E1896" s="70"/>
      <c r="F1896" s="70" t="s">
        <v>3616</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ref="C1897:C1908" si="461">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61"/>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61"/>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61"/>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61"/>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61"/>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61"/>
        <v>4</v>
      </c>
      <c r="D1903" s="73"/>
      <c r="E1903" s="70"/>
      <c r="F1903" s="70" t="s">
        <v>3617</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61"/>
        <v>4</v>
      </c>
      <c r="D1904" s="73"/>
      <c r="E1904" s="70"/>
      <c r="F1904" s="70" t="s">
        <v>3618</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61"/>
        <v>4</v>
      </c>
      <c r="D1905" s="73"/>
      <c r="E1905" s="70"/>
      <c r="F1905" s="70" t="s">
        <v>3619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61"/>
        <v>4</v>
      </c>
      <c r="D1906" s="73"/>
      <c r="E1906" s="70"/>
      <c r="F1906" s="70" t="s">
        <v>3620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61"/>
        <v>4</v>
      </c>
      <c r="D1907" s="73"/>
      <c r="E1907" s="70"/>
      <c r="F1907" s="70" t="s">
        <v>3621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f t="shared" si="461"/>
        <v>4</v>
      </c>
      <c r="D1908" s="73"/>
      <c r="E1908" s="70"/>
      <c r="F1908" s="70" t="s">
        <v>3622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3623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3624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c r="D1911" s="73"/>
      <c r="E1911" s="70"/>
      <c r="F1911" s="70" t="s">
        <v>3625</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ref="C1912:C1923" si="462">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62"/>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62"/>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62"/>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62"/>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62"/>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62"/>
        <v>4</v>
      </c>
      <c r="D1918" s="73"/>
      <c r="E1918" s="70"/>
      <c r="F1918" s="70" t="s">
        <v>3626</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62"/>
        <v>4</v>
      </c>
      <c r="D1919" s="73"/>
      <c r="E1919" s="70"/>
      <c r="F1919" s="70" t="s">
        <v>3627</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62"/>
        <v>4</v>
      </c>
      <c r="D1920" s="73"/>
      <c r="E1920" s="70"/>
      <c r="F1920" s="70" t="s">
        <v>3628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62"/>
        <v>4</v>
      </c>
      <c r="D1921" s="73"/>
      <c r="E1921" s="70"/>
      <c r="F1921" s="70" t="s">
        <v>3629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62"/>
        <v>4</v>
      </c>
      <c r="D1922" s="73"/>
      <c r="E1922" s="70"/>
      <c r="F1922" s="70" t="s">
        <v>3630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f t="shared" si="462"/>
        <v>4</v>
      </c>
      <c r="D1923" s="73"/>
      <c r="E1923" s="70"/>
      <c r="F1923" s="70" t="s">
        <v>3631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3632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3633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c r="D1926" s="73"/>
      <c r="E1926" s="70"/>
      <c r="F1926" s="70" t="s">
        <v>3634</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ref="C1927:C1938" si="463">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63"/>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63"/>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63"/>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63"/>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63"/>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63"/>
        <v>4</v>
      </c>
      <c r="D1933" s="73"/>
      <c r="E1933" s="70"/>
      <c r="F1933" s="70" t="s">
        <v>3635</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63"/>
        <v>4</v>
      </c>
      <c r="D1934" s="73"/>
      <c r="E1934" s="70"/>
      <c r="F1934" s="70" t="s">
        <v>3636</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63"/>
        <v>4</v>
      </c>
      <c r="D1935" s="73"/>
      <c r="E1935" s="70"/>
      <c r="F1935" s="70" t="s">
        <v>3637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63"/>
        <v>4</v>
      </c>
      <c r="D1936" s="73"/>
      <c r="E1936" s="70"/>
      <c r="F1936" s="70" t="s">
        <v>3638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63"/>
        <v>4</v>
      </c>
      <c r="D1937" s="73"/>
      <c r="E1937" s="70"/>
      <c r="F1937" s="70" t="s">
        <v>3639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f t="shared" si="463"/>
        <v>4</v>
      </c>
      <c r="D1938" s="73"/>
      <c r="E1938" s="70"/>
      <c r="F1938" s="70" t="s">
        <v>3640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3641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3642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c r="D1941" s="73"/>
      <c r="E1941" s="70"/>
      <c r="F1941" s="70" t="s">
        <v>3643</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ref="C1942:C1953" si="464">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64"/>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64"/>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64"/>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64"/>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64"/>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64"/>
        <v>4</v>
      </c>
      <c r="D1948" s="73"/>
      <c r="E1948" s="70"/>
      <c r="F1948" s="70" t="s">
        <v>3644</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64"/>
        <v>4</v>
      </c>
      <c r="D1949" s="73"/>
      <c r="E1949" s="70"/>
      <c r="F1949" s="70" t="s">
        <v>3645</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64"/>
        <v>4</v>
      </c>
      <c r="D1950" s="73"/>
      <c r="E1950" s="70"/>
      <c r="F1950" s="70" t="s">
        <v>3646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64"/>
        <v>4</v>
      </c>
      <c r="D1951" s="73"/>
      <c r="E1951" s="70"/>
      <c r="F1951" s="70" t="s">
        <v>3647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64"/>
        <v>4</v>
      </c>
      <c r="D1952" s="73"/>
      <c r="E1952" s="70"/>
      <c r="F1952" s="70" t="s">
        <v>3648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f t="shared" si="464"/>
        <v>4</v>
      </c>
      <c r="D1953" s="73"/>
      <c r="E1953" s="70"/>
      <c r="F1953" s="70" t="s">
        <v>3649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3650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3651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c r="D1956" s="73"/>
      <c r="E1956" s="70"/>
      <c r="F1956" s="70" t="s">
        <v>3652</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ref="C1957:C1968" si="465">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65"/>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65"/>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65"/>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65"/>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65"/>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65"/>
        <v>4</v>
      </c>
      <c r="D1963" s="73"/>
      <c r="E1963" s="70"/>
      <c r="F1963" s="70" t="s">
        <v>3653</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65"/>
        <v>4</v>
      </c>
      <c r="D1964" s="73"/>
      <c r="E1964" s="70"/>
      <c r="F1964" s="70" t="s">
        <v>3654</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65"/>
        <v>4</v>
      </c>
      <c r="D1965" s="73"/>
      <c r="E1965" s="70"/>
      <c r="F1965" s="70" t="s">
        <v>3655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65"/>
        <v>4</v>
      </c>
      <c r="D1966" s="73"/>
      <c r="E1966" s="70"/>
      <c r="F1966" s="70" t="s">
        <v>3656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65"/>
        <v>4</v>
      </c>
      <c r="D1967" s="73"/>
      <c r="E1967" s="70"/>
      <c r="F1967" s="70" t="s">
        <v>3657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f t="shared" si="465"/>
        <v>4</v>
      </c>
      <c r="D1968" s="73"/>
      <c r="E1968" s="70"/>
      <c r="F1968" s="70" t="s">
        <v>3658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3659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3660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c r="D1971" s="73"/>
      <c r="E1971" s="70"/>
      <c r="F1971" s="70" t="s">
        <v>3661</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ref="C1976:C1977" si="466">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 t="shared" si="466"/>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35">
      <c r="A1978" s="45"/>
      <c r="B1978" s="54"/>
      <c r="C1978" s="47">
        <f>INT($C$29)+3</f>
        <v>4</v>
      </c>
      <c r="D1978" s="73"/>
      <c r="E1978" s="398"/>
      <c r="F1978" s="398" t="s">
        <v>3662</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35">
      <c r="A1979" s="45"/>
      <c r="B1979" s="54"/>
      <c r="C1979" s="47">
        <f t="shared" ref="C1979:C1983" si="467">INT($C$29)+3</f>
        <v>4</v>
      </c>
      <c r="D1979" s="73"/>
      <c r="E1979" s="70"/>
      <c r="F1979" s="70" t="s">
        <v>3663</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67"/>
        <v>4</v>
      </c>
      <c r="D1980" s="73"/>
      <c r="E1980" s="70"/>
      <c r="F1980" s="70" t="s">
        <v>3664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67"/>
        <v>4</v>
      </c>
      <c r="D1981" s="73"/>
      <c r="E1981" s="70"/>
      <c r="F1981" s="70" t="s">
        <v>3665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67"/>
        <v>4</v>
      </c>
      <c r="D1982" s="73"/>
      <c r="E1982" s="70"/>
      <c r="F1982" s="70" t="s">
        <v>3666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f t="shared" si="467"/>
        <v>4</v>
      </c>
      <c r="D1983" s="73"/>
      <c r="E1983" s="70"/>
      <c r="F1983" s="70" t="s">
        <v>3667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3668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3669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c r="D1986" s="73"/>
      <c r="E1986" s="70"/>
      <c r="F1986" s="70" t="s">
        <v>3670</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ref="C1987:C1998" si="468">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8"/>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8"/>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8"/>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8"/>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8"/>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8"/>
        <v>4</v>
      </c>
      <c r="D1993" s="73"/>
      <c r="E1993" s="70"/>
      <c r="F1993" s="70" t="s">
        <v>3671</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8"/>
        <v>4</v>
      </c>
      <c r="D1994" s="73"/>
      <c r="E1994" s="70"/>
      <c r="F1994" s="70" t="s">
        <v>3672</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8"/>
        <v>4</v>
      </c>
      <c r="D1995" s="73"/>
      <c r="E1995" s="70"/>
      <c r="F1995" s="70" t="s">
        <v>3673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8"/>
        <v>4</v>
      </c>
      <c r="D1996" s="73"/>
      <c r="E1996" s="70"/>
      <c r="F1996" s="70" t="s">
        <v>3674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8"/>
        <v>4</v>
      </c>
      <c r="D1997" s="73"/>
      <c r="E1997" s="70"/>
      <c r="F1997" s="70" t="s">
        <v>3675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f t="shared" si="468"/>
        <v>4</v>
      </c>
      <c r="D1998" s="73"/>
      <c r="E1998" s="70"/>
      <c r="F1998" s="70" t="s">
        <v>3676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3677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3678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c r="D2001" s="73"/>
      <c r="E2001" s="70"/>
      <c r="F2001" s="70" t="s">
        <v>3679</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ref="C2002:C2013" si="469">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9"/>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9"/>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9"/>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9"/>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9"/>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9"/>
        <v>4</v>
      </c>
      <c r="D2008" s="73"/>
      <c r="E2008" s="70"/>
      <c r="F2008" s="70" t="s">
        <v>3680</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9"/>
        <v>4</v>
      </c>
      <c r="D2009" s="73"/>
      <c r="E2009" s="70"/>
      <c r="F2009" s="70" t="s">
        <v>3681</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9"/>
        <v>4</v>
      </c>
      <c r="D2010" s="73"/>
      <c r="E2010" s="70"/>
      <c r="F2010" s="70" t="s">
        <v>3682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9"/>
        <v>4</v>
      </c>
      <c r="D2011" s="73"/>
      <c r="E2011" s="70"/>
      <c r="F2011" s="70" t="s">
        <v>3683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9"/>
        <v>4</v>
      </c>
      <c r="D2012" s="73"/>
      <c r="E2012" s="70"/>
      <c r="F2012" s="70" t="s">
        <v>3684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f t="shared" si="469"/>
        <v>4</v>
      </c>
      <c r="D2013" s="73"/>
      <c r="E2013" s="70"/>
      <c r="F2013" s="70" t="s">
        <v>3685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3686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3687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c r="D2016" s="73"/>
      <c r="E2016" s="70"/>
      <c r="F2016" s="70" t="s">
        <v>3688</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ref="C2017:C2028" si="470">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70"/>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70"/>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70"/>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70"/>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70"/>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70"/>
        <v>4</v>
      </c>
      <c r="D2023" s="73"/>
      <c r="E2023" s="70"/>
      <c r="F2023" s="70" t="s">
        <v>3689</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70"/>
        <v>4</v>
      </c>
      <c r="D2024" s="73"/>
      <c r="E2024" s="70"/>
      <c r="F2024" s="70" t="s">
        <v>3690</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70"/>
        <v>4</v>
      </c>
      <c r="D2025" s="73"/>
      <c r="E2025" s="70"/>
      <c r="F2025" s="70" t="s">
        <v>3691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70"/>
        <v>4</v>
      </c>
      <c r="D2026" s="73"/>
      <c r="E2026" s="70"/>
      <c r="F2026" s="70" t="s">
        <v>3692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70"/>
        <v>4</v>
      </c>
      <c r="D2027" s="73"/>
      <c r="E2027" s="70"/>
      <c r="F2027" s="70" t="s">
        <v>3693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f t="shared" si="470"/>
        <v>4</v>
      </c>
      <c r="D2028" s="73"/>
      <c r="E2028" s="70"/>
      <c r="F2028" s="70" t="s">
        <v>3694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3695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3696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c r="D2031" s="73"/>
      <c r="E2031" s="70"/>
      <c r="F2031" s="70" t="s">
        <v>3697</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ref="C2032:C2043" si="471">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71"/>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71"/>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71"/>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71"/>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71"/>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71"/>
        <v>4</v>
      </c>
      <c r="D2038" s="73"/>
      <c r="E2038" s="70"/>
      <c r="F2038" s="70" t="s">
        <v>3698</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71"/>
        <v>4</v>
      </c>
      <c r="D2039" s="73"/>
      <c r="E2039" s="70"/>
      <c r="F2039" s="70" t="s">
        <v>3699</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71"/>
        <v>4</v>
      </c>
      <c r="D2040" s="73"/>
      <c r="E2040" s="70"/>
      <c r="F2040" s="70" t="s">
        <v>3700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71"/>
        <v>4</v>
      </c>
      <c r="D2041" s="73"/>
      <c r="E2041" s="70"/>
      <c r="F2041" s="70" t="s">
        <v>3701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71"/>
        <v>4</v>
      </c>
      <c r="D2042" s="73"/>
      <c r="E2042" s="70"/>
      <c r="F2042" s="70" t="s">
        <v>3702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f t="shared" si="471"/>
        <v>4</v>
      </c>
      <c r="D2043" s="73"/>
      <c r="E2043" s="70"/>
      <c r="F2043" s="70" t="s">
        <v>3703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3704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3705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c r="D2046" s="73"/>
      <c r="E2046" s="70"/>
      <c r="F2046" s="70" t="s">
        <v>3706</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ref="C2047:C2058" si="472">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72"/>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72"/>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72"/>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72"/>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72"/>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72"/>
        <v>4</v>
      </c>
      <c r="D2053" s="73"/>
      <c r="E2053" s="70"/>
      <c r="F2053" s="70" t="s">
        <v>3707</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72"/>
        <v>4</v>
      </c>
      <c r="D2054" s="73"/>
      <c r="E2054" s="70"/>
      <c r="F2054" s="70" t="s">
        <v>3708</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72"/>
        <v>4</v>
      </c>
      <c r="D2055" s="73"/>
      <c r="E2055" s="70"/>
      <c r="F2055" s="70" t="s">
        <v>3709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72"/>
        <v>4</v>
      </c>
      <c r="D2056" s="73"/>
      <c r="E2056" s="70"/>
      <c r="F2056" s="70" t="s">
        <v>3710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72"/>
        <v>4</v>
      </c>
      <c r="D2057" s="73"/>
      <c r="E2057" s="70"/>
      <c r="F2057" s="70" t="s">
        <v>3711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f t="shared" si="472"/>
        <v>4</v>
      </c>
      <c r="D2058" s="73"/>
      <c r="E2058" s="70"/>
      <c r="F2058" s="70" t="s">
        <v>3712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3713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3714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c r="D2061" s="73"/>
      <c r="E2061" s="70"/>
      <c r="F2061" s="70" t="s">
        <v>3715</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ref="C2062:C2073" si="473">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73"/>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73"/>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73"/>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73"/>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73"/>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73"/>
        <v>4</v>
      </c>
      <c r="D2068" s="73"/>
      <c r="E2068" s="70"/>
      <c r="F2068" s="70" t="s">
        <v>3716</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73"/>
        <v>4</v>
      </c>
      <c r="D2069" s="73"/>
      <c r="E2069" s="70"/>
      <c r="F2069" s="70" t="s">
        <v>3717</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73"/>
        <v>4</v>
      </c>
      <c r="D2070" s="73"/>
      <c r="E2070" s="70"/>
      <c r="F2070" s="70" t="s">
        <v>3718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73"/>
        <v>4</v>
      </c>
      <c r="D2071" s="73"/>
      <c r="E2071" s="70"/>
      <c r="F2071" s="70" t="s">
        <v>3719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73"/>
        <v>4</v>
      </c>
      <c r="D2072" s="73"/>
      <c r="E2072" s="70"/>
      <c r="F2072" s="70" t="s">
        <v>3720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f t="shared" si="473"/>
        <v>4</v>
      </c>
      <c r="D2073" s="73"/>
      <c r="E2073" s="70"/>
      <c r="F2073" s="70" t="s">
        <v>3721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3722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3723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c r="D2076" s="73"/>
      <c r="E2076" s="70"/>
      <c r="F2076" s="70" t="s">
        <v>3724</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ref="C2081:C2082" si="474">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 t="shared" si="474"/>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35">
      <c r="A2083" s="45"/>
      <c r="B2083" s="54"/>
      <c r="C2083" s="47">
        <f>INT($C$29)+3</f>
        <v>4</v>
      </c>
      <c r="D2083" s="73"/>
      <c r="E2083" s="398"/>
      <c r="F2083" s="398" t="s">
        <v>3725</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35">
      <c r="A2084" s="45"/>
      <c r="B2084" s="54"/>
      <c r="C2084" s="47">
        <f>INT($C$29)+2</f>
        <v>3</v>
      </c>
      <c r="D2084" s="73"/>
      <c r="E2084" s="70"/>
      <c r="F2084" s="70" t="s">
        <v>3726</v>
      </c>
      <c r="G2084" s="73"/>
      <c r="H2084" s="76" t="s">
        <v>3355</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5">U2084</f>
        <v>-1.0469999999999999</v>
      </c>
      <c r="X2084" s="255">
        <f t="shared" ref="X2084:X2085" si="476">V2084</f>
        <v>-1.0469999999999999</v>
      </c>
      <c r="Y2084" s="255">
        <f>V2084</f>
        <v>-1.0469999999999999</v>
      </c>
      <c r="Z2084" s="255">
        <f>AA2084</f>
        <v>-1.0469999999999999</v>
      </c>
      <c r="AA2084" s="97">
        <f>U2084</f>
        <v>-1.0469999999999999</v>
      </c>
      <c r="AB2084" s="255">
        <f t="shared" ref="AB2084:AB2085" si="477">AA2084</f>
        <v>-1.0469999999999999</v>
      </c>
      <c r="AC2084" s="255">
        <f t="shared" ref="AC2084:AC2085" si="478">AB2084</f>
        <v>-1.0469999999999999</v>
      </c>
      <c r="AD2084" s="255">
        <f t="shared" ref="AD2084:AD2085" si="479">AC2084</f>
        <v>-1.0469999999999999</v>
      </c>
      <c r="AE2084" s="76"/>
      <c r="AF2084" s="97" t="s">
        <v>3599</v>
      </c>
      <c r="AG2084" s="76"/>
      <c r="AH2084" s="76">
        <v>1</v>
      </c>
      <c r="AI2084" s="76">
        <v>1</v>
      </c>
      <c r="AJ2084" s="73"/>
      <c r="AK2084" s="57"/>
      <c r="AL2084" s="45"/>
      <c r="AM2084" s="45"/>
      <c r="AN2084" s="45"/>
    </row>
    <row r="2085" spans="1:40" hidden="1" outlineLevel="2" collapsed="1" x14ac:dyDescent="0.35">
      <c r="A2085" s="45"/>
      <c r="B2085" s="54"/>
      <c r="C2085" s="47">
        <f>INT($C$29)+2</f>
        <v>3</v>
      </c>
      <c r="D2085" s="73"/>
      <c r="E2085" s="70"/>
      <c r="F2085" s="70" t="s">
        <v>3727</v>
      </c>
      <c r="G2085" s="73"/>
      <c r="H2085" s="76" t="s">
        <v>3356</v>
      </c>
      <c r="I2085" s="76"/>
      <c r="J2085" s="76"/>
      <c r="K2085" s="76"/>
      <c r="L2085" s="76"/>
      <c r="M2085" s="76"/>
      <c r="N2085" s="76"/>
      <c r="O2085" s="76"/>
      <c r="P2085" s="76"/>
      <c r="Q2085" s="76"/>
      <c r="R2085" s="76"/>
      <c r="S2085" s="76"/>
      <c r="T2085" s="76"/>
      <c r="U2085" s="97">
        <v>7.5389999999999997E-3</v>
      </c>
      <c r="V2085" s="255">
        <f>U2085</f>
        <v>7.5389999999999997E-3</v>
      </c>
      <c r="W2085" s="255">
        <f t="shared" si="475"/>
        <v>7.5389999999999997E-3</v>
      </c>
      <c r="X2085" s="255">
        <f t="shared" si="476"/>
        <v>7.5389999999999997E-3</v>
      </c>
      <c r="Y2085" s="255">
        <f>V2085</f>
        <v>7.5389999999999997E-3</v>
      </c>
      <c r="Z2085" s="255">
        <f>AA2085</f>
        <v>7.5389999999999997E-3</v>
      </c>
      <c r="AA2085" s="97">
        <f t="shared" ref="AA2085" si="480">U2085</f>
        <v>7.5389999999999997E-3</v>
      </c>
      <c r="AB2085" s="255">
        <f t="shared" si="477"/>
        <v>7.5389999999999997E-3</v>
      </c>
      <c r="AC2085" s="255">
        <f t="shared" si="478"/>
        <v>7.5389999999999997E-3</v>
      </c>
      <c r="AD2085" s="255">
        <f t="shared" si="479"/>
        <v>7.5389999999999997E-3</v>
      </c>
      <c r="AE2085" s="76"/>
      <c r="AF2085" s="97" t="s">
        <v>3357</v>
      </c>
      <c r="AG2085" s="76"/>
      <c r="AH2085" s="76">
        <v>1</v>
      </c>
      <c r="AI2085" s="76">
        <v>1</v>
      </c>
      <c r="AJ2085" s="73"/>
      <c r="AK2085" s="57"/>
      <c r="AL2085" s="45"/>
      <c r="AM2085" s="45"/>
      <c r="AN2085" s="45"/>
    </row>
    <row r="2086" spans="1:40" hidden="1" outlineLevel="3" x14ac:dyDescent="0.35">
      <c r="A2086" s="45"/>
      <c r="B2086" s="54"/>
      <c r="C2086" s="47">
        <f t="shared" ref="C2086:C2097" si="481">INT($C$29)+3</f>
        <v>4</v>
      </c>
      <c r="D2086" s="73"/>
      <c r="E2086" s="70"/>
      <c r="F2086" s="70" t="s">
        <v>3728</v>
      </c>
      <c r="G2086" s="73"/>
      <c r="H2086" s="373" t="s">
        <v>3505</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35">
      <c r="A2087" s="45"/>
      <c r="B2087" s="54"/>
      <c r="C2087" s="47">
        <f t="shared" si="481"/>
        <v>4</v>
      </c>
      <c r="D2087" s="73"/>
      <c r="E2087" s="70"/>
      <c r="F2087" s="70" t="s">
        <v>3729</v>
      </c>
      <c r="G2087" s="73"/>
      <c r="H2087" s="373" t="s">
        <v>3499</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35">
      <c r="A2088" s="45"/>
      <c r="B2088" s="54"/>
      <c r="C2088" s="47">
        <f t="shared" si="481"/>
        <v>4</v>
      </c>
      <c r="D2088" s="73"/>
      <c r="E2088" s="70"/>
      <c r="F2088" s="70" t="s">
        <v>3730</v>
      </c>
      <c r="G2088" s="73"/>
      <c r="H2088" s="76" t="s">
        <v>3595</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2">U2088</f>
        <v>-0.23419999999999999</v>
      </c>
      <c r="X2088" s="255">
        <f t="shared" ref="X2088:X2091" si="483">V2088</f>
        <v>-0.23419999999999999</v>
      </c>
      <c r="Y2088" s="255">
        <f>V2088</f>
        <v>-0.23419999999999999</v>
      </c>
      <c r="Z2088" s="255">
        <f>AA2088</f>
        <v>-0.23419999999999999</v>
      </c>
      <c r="AA2088" s="97">
        <f t="shared" ref="AA2088:AA2091" si="484">U2088</f>
        <v>-0.23419999999999999</v>
      </c>
      <c r="AB2088" s="255">
        <f t="shared" ref="AB2088:AB2091" si="485">AA2088</f>
        <v>-0.23419999999999999</v>
      </c>
      <c r="AC2088" s="255">
        <f t="shared" ref="AC2088:AC2091" si="486">AB2088</f>
        <v>-0.23419999999999999</v>
      </c>
      <c r="AD2088" s="255">
        <f t="shared" ref="AD2088:AD2091" si="487">AC2088</f>
        <v>-0.23419999999999999</v>
      </c>
      <c r="AE2088" s="76"/>
      <c r="AF2088" s="76"/>
      <c r="AG2088" s="76"/>
      <c r="AH2088" s="97">
        <v>1</v>
      </c>
      <c r="AI2088" s="97">
        <v>1</v>
      </c>
      <c r="AJ2088" s="73"/>
      <c r="AK2088" s="57"/>
      <c r="AL2088" s="45"/>
      <c r="AM2088" s="45"/>
      <c r="AN2088" s="45"/>
    </row>
    <row r="2089" spans="1:40" hidden="1" outlineLevel="3" x14ac:dyDescent="0.35">
      <c r="A2089" s="45"/>
      <c r="B2089" s="54"/>
      <c r="C2089" s="47">
        <f t="shared" si="481"/>
        <v>4</v>
      </c>
      <c r="D2089" s="73"/>
      <c r="E2089" s="70"/>
      <c r="F2089" s="70" t="s">
        <v>3731</v>
      </c>
      <c r="G2089" s="73"/>
      <c r="H2089" s="76" t="s">
        <v>3596</v>
      </c>
      <c r="I2089" s="76"/>
      <c r="J2089" s="76"/>
      <c r="K2089" s="76"/>
      <c r="L2089" s="76"/>
      <c r="M2089" s="76"/>
      <c r="N2089" s="76"/>
      <c r="O2089" s="76"/>
      <c r="P2089" s="76"/>
      <c r="Q2089" s="76"/>
      <c r="R2089" s="76"/>
      <c r="S2089" s="76"/>
      <c r="T2089" s="76"/>
      <c r="U2089" s="97"/>
      <c r="V2089" s="255">
        <f t="shared" ref="V2089" si="488">U2089</f>
        <v>0</v>
      </c>
      <c r="W2089" s="255">
        <f t="shared" si="482"/>
        <v>0</v>
      </c>
      <c r="X2089" s="255">
        <f t="shared" si="483"/>
        <v>0</v>
      </c>
      <c r="Y2089" s="255">
        <f t="shared" ref="Y2089" si="489">V2089</f>
        <v>0</v>
      </c>
      <c r="Z2089" s="255">
        <f t="shared" ref="Z2089" si="490">AA2089</f>
        <v>0</v>
      </c>
      <c r="AA2089" s="97">
        <f t="shared" si="484"/>
        <v>0</v>
      </c>
      <c r="AB2089" s="255">
        <f t="shared" si="485"/>
        <v>0</v>
      </c>
      <c r="AC2089" s="255">
        <f t="shared" si="486"/>
        <v>0</v>
      </c>
      <c r="AD2089" s="255">
        <f t="shared" si="487"/>
        <v>0</v>
      </c>
      <c r="AE2089" s="76"/>
      <c r="AF2089" s="76"/>
      <c r="AG2089" s="76"/>
      <c r="AH2089" s="76">
        <v>1</v>
      </c>
      <c r="AI2089" s="76">
        <v>1</v>
      </c>
      <c r="AJ2089" s="73"/>
      <c r="AK2089" s="57"/>
      <c r="AL2089" s="45"/>
      <c r="AM2089" s="45"/>
      <c r="AN2089" s="45"/>
    </row>
    <row r="2090" spans="1:40" hidden="1" outlineLevel="2" collapsed="1" x14ac:dyDescent="0.35">
      <c r="A2090" s="45"/>
      <c r="B2090" s="54"/>
      <c r="C2090" s="47">
        <f t="shared" si="481"/>
        <v>4</v>
      </c>
      <c r="D2090" s="73"/>
      <c r="E2090" s="70"/>
      <c r="F2090" s="70" t="s">
        <v>3732</v>
      </c>
      <c r="G2090" s="73"/>
      <c r="H2090" s="76" t="s">
        <v>3597</v>
      </c>
      <c r="I2090" s="76"/>
      <c r="J2090" s="76"/>
      <c r="K2090" s="76"/>
      <c r="L2090" s="76"/>
      <c r="M2090" s="76"/>
      <c r="N2090" s="76"/>
      <c r="O2090" s="76"/>
      <c r="P2090" s="76"/>
      <c r="Q2090" s="76"/>
      <c r="R2090" s="76"/>
      <c r="S2090" s="76"/>
      <c r="T2090" s="76"/>
      <c r="U2090" s="97">
        <v>-0.24959999999999999</v>
      </c>
      <c r="V2090" s="255">
        <f>U2090</f>
        <v>-0.24959999999999999</v>
      </c>
      <c r="W2090" s="255">
        <f t="shared" si="482"/>
        <v>-0.24959999999999999</v>
      </c>
      <c r="X2090" s="255">
        <f t="shared" si="483"/>
        <v>-0.24959999999999999</v>
      </c>
      <c r="Y2090" s="255">
        <f>V2090</f>
        <v>-0.24959999999999999</v>
      </c>
      <c r="Z2090" s="255">
        <f>AA2090</f>
        <v>-0.24959999999999999</v>
      </c>
      <c r="AA2090" s="97">
        <f t="shared" si="484"/>
        <v>-0.24959999999999999</v>
      </c>
      <c r="AB2090" s="255">
        <f t="shared" si="485"/>
        <v>-0.24959999999999999</v>
      </c>
      <c r="AC2090" s="255">
        <f t="shared" si="486"/>
        <v>-0.24959999999999999</v>
      </c>
      <c r="AD2090" s="255">
        <f t="shared" si="487"/>
        <v>-0.24959999999999999</v>
      </c>
      <c r="AE2090" s="76"/>
      <c r="AF2090" s="76"/>
      <c r="AG2090" s="76"/>
      <c r="AH2090" s="97">
        <v>1</v>
      </c>
      <c r="AI2090" s="97">
        <v>1</v>
      </c>
      <c r="AJ2090" s="73"/>
      <c r="AK2090" s="57"/>
      <c r="AL2090" s="45"/>
      <c r="AM2090" s="45"/>
      <c r="AN2090" s="45"/>
    </row>
    <row r="2091" spans="1:40" hidden="1" outlineLevel="3" x14ac:dyDescent="0.35">
      <c r="A2091" s="45"/>
      <c r="B2091" s="54"/>
      <c r="C2091" s="47">
        <f t="shared" si="481"/>
        <v>4</v>
      </c>
      <c r="D2091" s="73"/>
      <c r="E2091" s="70"/>
      <c r="F2091" s="70" t="s">
        <v>3733</v>
      </c>
      <c r="G2091" s="73"/>
      <c r="H2091" s="76" t="s">
        <v>3598</v>
      </c>
      <c r="I2091" s="76"/>
      <c r="J2091" s="76"/>
      <c r="K2091" s="76"/>
      <c r="L2091" s="76"/>
      <c r="M2091" s="76"/>
      <c r="N2091" s="76"/>
      <c r="O2091" s="76"/>
      <c r="P2091" s="76"/>
      <c r="Q2091" s="76"/>
      <c r="R2091" s="76"/>
      <c r="S2091" s="76"/>
      <c r="T2091" s="76"/>
      <c r="U2091" s="97"/>
      <c r="V2091" s="255">
        <f t="shared" ref="V2091" si="491">U2091</f>
        <v>0</v>
      </c>
      <c r="W2091" s="255">
        <f t="shared" si="482"/>
        <v>0</v>
      </c>
      <c r="X2091" s="255">
        <f t="shared" si="483"/>
        <v>0</v>
      </c>
      <c r="Y2091" s="255">
        <f t="shared" ref="Y2091" si="492">V2091</f>
        <v>0</v>
      </c>
      <c r="Z2091" s="255">
        <f t="shared" ref="Z2091" si="493">AA2091</f>
        <v>0</v>
      </c>
      <c r="AA2091" s="97">
        <f t="shared" si="484"/>
        <v>0</v>
      </c>
      <c r="AB2091" s="255">
        <f t="shared" si="485"/>
        <v>0</v>
      </c>
      <c r="AC2091" s="255">
        <f t="shared" si="486"/>
        <v>0</v>
      </c>
      <c r="AD2091" s="255">
        <f t="shared" si="487"/>
        <v>0</v>
      </c>
      <c r="AE2091" s="76"/>
      <c r="AF2091" s="76"/>
      <c r="AG2091" s="76"/>
      <c r="AH2091" s="76">
        <v>1</v>
      </c>
      <c r="AI2091" s="76">
        <v>1</v>
      </c>
      <c r="AJ2091" s="73"/>
      <c r="AK2091" s="57"/>
      <c r="AL2091" s="45"/>
      <c r="AM2091" s="45"/>
      <c r="AN2091" s="45"/>
    </row>
    <row r="2092" spans="1:40" hidden="1" outlineLevel="3" x14ac:dyDescent="0.35">
      <c r="A2092" s="45"/>
      <c r="B2092" s="54"/>
      <c r="C2092" s="47">
        <f t="shared" si="481"/>
        <v>4</v>
      </c>
      <c r="D2092" s="73"/>
      <c r="E2092" s="70"/>
      <c r="F2092" s="70" t="str">
        <f>SUBSTITUTE(F2088,",4)",",8)")</f>
        <v>C(U6,23,8)</v>
      </c>
      <c r="G2092" s="73"/>
      <c r="H2092" s="373" t="s">
        <v>3361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81"/>
        <v>4</v>
      </c>
      <c r="D2093" s="73"/>
      <c r="E2093" s="70"/>
      <c r="F2093" s="70" t="str">
        <f>SUBSTITUTE(F2089,",5)",",9)")</f>
        <v>C(U6,23,9)</v>
      </c>
      <c r="G2093" s="73"/>
      <c r="H2093" s="373" t="s">
        <v>3362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35">
      <c r="A2094" s="45"/>
      <c r="B2094" s="54"/>
      <c r="C2094" s="47">
        <f t="shared" si="481"/>
        <v>4</v>
      </c>
      <c r="D2094" s="73"/>
      <c r="E2094" s="70"/>
      <c r="F2094" s="70" t="str">
        <f>SUBSTITUTE(F2090,",6)",",10)")</f>
        <v>C(U6,23,10)</v>
      </c>
      <c r="G2094" s="73"/>
      <c r="H2094" s="373" t="s">
        <v>3363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35">
      <c r="A2095" s="45"/>
      <c r="B2095" s="54"/>
      <c r="C2095" s="47">
        <f t="shared" si="481"/>
        <v>4</v>
      </c>
      <c r="D2095" s="73"/>
      <c r="E2095" s="70"/>
      <c r="F2095" s="70" t="str">
        <f>SUBSTITUTE(F2091,",7)",",11)")</f>
        <v>C(U6,23,11)</v>
      </c>
      <c r="G2095" s="73"/>
      <c r="H2095" s="373" t="s">
        <v>3364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81"/>
        <v>4</v>
      </c>
      <c r="D2096" s="73"/>
      <c r="E2096" s="70"/>
      <c r="F2096" s="70" t="str">
        <f>SUBSTITUTE(F2090,",6)",",12)")</f>
        <v>C(U6,23,12)</v>
      </c>
      <c r="G2096" s="73"/>
      <c r="H2096" s="373" t="s">
        <v>3365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35">
      <c r="A2097" s="45"/>
      <c r="B2097" s="54"/>
      <c r="C2097" s="47">
        <f t="shared" si="481"/>
        <v>4</v>
      </c>
      <c r="D2097" s="73"/>
      <c r="E2097" s="70"/>
      <c r="F2097" s="70" t="str">
        <f>SUBSTITUTE(F2091,",7)",",13)")</f>
        <v>C(U6,23,13)</v>
      </c>
      <c r="G2097" s="73"/>
      <c r="H2097" s="373" t="s">
        <v>3366</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35">
      <c r="A2098" s="45"/>
      <c r="B2098" s="54"/>
      <c r="C2098" s="47">
        <f>INT($C$29)+2</f>
        <v>3</v>
      </c>
      <c r="D2098" s="73"/>
      <c r="E2098" s="70"/>
      <c r="F2098" s="70" t="s">
        <v>3734</v>
      </c>
      <c r="G2098" s="73"/>
      <c r="H2098" s="76" t="s">
        <v>3367</v>
      </c>
      <c r="I2098" s="76"/>
      <c r="J2098" s="76"/>
      <c r="K2098" s="76"/>
      <c r="L2098" s="76"/>
      <c r="M2098" s="76"/>
      <c r="N2098" s="76"/>
      <c r="O2098" s="76"/>
      <c r="P2098" s="76"/>
      <c r="Q2098" s="76"/>
      <c r="R2098" s="76"/>
      <c r="S2098" s="76"/>
      <c r="T2098" s="76"/>
      <c r="U2098" s="97">
        <v>28.52</v>
      </c>
      <c r="V2098" s="255">
        <f t="shared" ref="V2098" si="494">U2098</f>
        <v>28.52</v>
      </c>
      <c r="W2098" s="255">
        <f t="shared" ref="W2098" si="495">U2098</f>
        <v>28.52</v>
      </c>
      <c r="X2098" s="255">
        <f t="shared" ref="X2098" si="496">V2098</f>
        <v>28.52</v>
      </c>
      <c r="Y2098" s="255">
        <f t="shared" ref="Y2098" si="497">V2098</f>
        <v>28.52</v>
      </c>
      <c r="Z2098" s="255">
        <f t="shared" ref="Z2098" si="498">AA2098</f>
        <v>28.52</v>
      </c>
      <c r="AA2098" s="97">
        <f>U2098</f>
        <v>28.52</v>
      </c>
      <c r="AB2098" s="255">
        <f t="shared" ref="AB2098" si="499">AA2098</f>
        <v>28.52</v>
      </c>
      <c r="AC2098" s="255">
        <f t="shared" ref="AC2098" si="500">AB2098</f>
        <v>28.52</v>
      </c>
      <c r="AD2098" s="255">
        <f t="shared" ref="AD2098" si="501">AC2098</f>
        <v>28.52</v>
      </c>
      <c r="AE2098" s="76"/>
      <c r="AF2098" s="97"/>
      <c r="AG2098" s="76"/>
      <c r="AH2098" s="97">
        <v>1</v>
      </c>
      <c r="AI2098" s="97">
        <v>1</v>
      </c>
      <c r="AJ2098" s="73"/>
      <c r="AK2098" s="57"/>
      <c r="AL2098" s="45"/>
      <c r="AM2098" s="45"/>
      <c r="AN2098" s="45"/>
    </row>
    <row r="2099" spans="1:40" hidden="1" outlineLevel="2"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3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15" hidden="1" customHeight="1" outlineLevel="3" x14ac:dyDescent="0.3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15" hidden="1" customHeight="1" outlineLevel="2" x14ac:dyDescent="0.3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3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3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15" hidden="1" customHeight="1" outlineLevel="3" x14ac:dyDescent="0.3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15" hidden="1" customHeight="1" outlineLevel="2" x14ac:dyDescent="0.3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15" customHeight="1" outlineLevel="1" x14ac:dyDescent="0.3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15" customHeight="1" collapsed="1" x14ac:dyDescent="0.3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3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35">
      <c r="C2119" s="233" t="s">
        <v>419</v>
      </c>
    </row>
  </sheetData>
  <autoFilter ref="E36:AJ2112"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1" t="s">
        <v>2350</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38" t="s">
        <v>2361</v>
      </c>
      <c r="K12" s="639"/>
      <c r="L12" s="639"/>
      <c r="M12" s="639"/>
      <c r="N12" s="639"/>
      <c r="O12" s="639"/>
      <c r="P12" s="639"/>
      <c r="Q12" s="639"/>
      <c r="R12" s="639"/>
      <c r="S12" s="639"/>
      <c r="T12" s="639"/>
      <c r="U12" s="639"/>
      <c r="V12" s="639"/>
      <c r="W12" s="639"/>
      <c r="X12" s="640"/>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3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3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3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2887</v>
      </c>
      <c r="B3" s="487">
        <v>6.9999999999999994E-5</v>
      </c>
      <c r="C3" s="1" t="s">
        <v>2891</v>
      </c>
    </row>
    <row r="4" spans="1:3" x14ac:dyDescent="0.35">
      <c r="A4" t="s">
        <v>2888</v>
      </c>
      <c r="B4" s="487">
        <v>1.2999999999999999E-4</v>
      </c>
      <c r="C4" s="1" t="s">
        <v>2892</v>
      </c>
    </row>
    <row r="5" spans="1:3" x14ac:dyDescent="0.35">
      <c r="A5" t="s">
        <v>2889</v>
      </c>
      <c r="B5" s="487">
        <v>1.9000000000000001E-4</v>
      </c>
      <c r="C5" s="1" t="s">
        <v>2893</v>
      </c>
    </row>
    <row r="6" spans="1:3" x14ac:dyDescent="0.35">
      <c r="A6" t="s">
        <v>2890</v>
      </c>
      <c r="B6" s="487">
        <v>1.9000000000000001E-4</v>
      </c>
      <c r="C6" s="1" t="s">
        <v>2892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2899</v>
      </c>
      <c r="B14"/>
    </row>
    <row r="15" spans="1:3" x14ac:dyDescent="0.35">
      <c r="A15" s="341" t="str">
        <f>General!G66</f>
        <v>b</v>
      </c>
      <c r="B15">
        <v>20</v>
      </c>
      <c r="C15" s="1" t="s">
        <v>2897</v>
      </c>
    </row>
    <row r="16" spans="1:3" x14ac:dyDescent="0.35">
      <c r="A16" s="341" t="str">
        <f>General!G67</f>
        <v>bd</v>
      </c>
      <c r="B16">
        <v>20</v>
      </c>
      <c r="C16" s="1" t="s">
        <v>2897</v>
      </c>
    </row>
    <row r="17" spans="1:3" x14ac:dyDescent="0.35">
      <c r="A17" s="341" t="str">
        <f>General!G68</f>
        <v>f</v>
      </c>
      <c r="B17">
        <v>7</v>
      </c>
      <c r="C17" s="1" t="s">
        <v>2897</v>
      </c>
    </row>
    <row r="18" spans="1:3" x14ac:dyDescent="0.35">
      <c r="A18" s="341" t="str">
        <f>General!G69</f>
        <v>h</v>
      </c>
      <c r="B18">
        <v>20</v>
      </c>
      <c r="C18" s="1" t="s">
        <v>2897</v>
      </c>
    </row>
    <row r="19" spans="1:3" x14ac:dyDescent="0.35">
      <c r="A19" s="341" t="str">
        <f>General!G70</f>
        <v>i</v>
      </c>
      <c r="B19">
        <v>7</v>
      </c>
      <c r="C19" s="1" t="s">
        <v>2897</v>
      </c>
    </row>
    <row r="20" spans="1:3" x14ac:dyDescent="0.35">
      <c r="A20" s="341" t="str">
        <f>General!G71</f>
        <v>k</v>
      </c>
      <c r="B20">
        <v>7</v>
      </c>
      <c r="C20" s="1" t="s">
        <v>2897</v>
      </c>
    </row>
    <row r="21" spans="1:3" x14ac:dyDescent="0.35">
      <c r="A21" s="341" t="str">
        <f>General!G72</f>
        <v>l</v>
      </c>
      <c r="B21">
        <v>7</v>
      </c>
      <c r="C21" s="1" t="s">
        <v>2897</v>
      </c>
    </row>
    <row r="22" spans="1:3" x14ac:dyDescent="0.35">
      <c r="A22" s="341" t="str">
        <f>General!G73</f>
        <v>lf</v>
      </c>
      <c r="B22">
        <v>7</v>
      </c>
      <c r="C22" s="1" t="s">
        <v>2897</v>
      </c>
    </row>
    <row r="23" spans="1:3" x14ac:dyDescent="0.35">
      <c r="A23" s="341" t="str">
        <f>General!G74</f>
        <v>ms</v>
      </c>
      <c r="B23" s="524">
        <f>0.65*B15+0.35*B21</f>
        <v>15.45</v>
      </c>
      <c r="C23" s="1" t="s">
        <v>2897</v>
      </c>
    </row>
    <row r="24" spans="1:3" x14ac:dyDescent="0.35">
      <c r="A24" s="341" t="str">
        <f>General!G75</f>
        <v>o</v>
      </c>
      <c r="B24">
        <v>20</v>
      </c>
      <c r="C24" s="1" t="s">
        <v>2897</v>
      </c>
    </row>
    <row r="25" spans="1:3" x14ac:dyDescent="0.35">
      <c r="A25" s="341" t="str">
        <f>General!G76</f>
        <v>od</v>
      </c>
      <c r="B25">
        <v>20</v>
      </c>
      <c r="C25" s="1" t="s">
        <v>2897</v>
      </c>
    </row>
    <row r="26" spans="1:3" x14ac:dyDescent="0.35">
      <c r="A26" s="341" t="str">
        <f>General!G77</f>
        <v>of</v>
      </c>
      <c r="B26">
        <v>20</v>
      </c>
      <c r="C26" s="1" t="s">
        <v>2897</v>
      </c>
    </row>
    <row r="27" spans="1:3" x14ac:dyDescent="0.35">
      <c r="A27" s="341" t="str">
        <f>General!G78</f>
        <v>r</v>
      </c>
      <c r="B27">
        <v>7</v>
      </c>
      <c r="C27" s="1" t="s">
        <v>2897</v>
      </c>
    </row>
    <row r="28" spans="1:3" x14ac:dyDescent="0.35">
      <c r="A28" s="341" t="str">
        <f>General!G79</f>
        <v>rd</v>
      </c>
      <c r="B28">
        <v>7</v>
      </c>
      <c r="C28" s="1" t="s">
        <v>2897</v>
      </c>
    </row>
    <row r="29" spans="1:3" x14ac:dyDescent="0.35">
      <c r="A29" s="341" t="str">
        <f>General!G80</f>
        <v>v</v>
      </c>
      <c r="B29">
        <v>7</v>
      </c>
      <c r="C29" s="1" t="s">
        <v>2897</v>
      </c>
    </row>
    <row r="30" spans="1:3" x14ac:dyDescent="0.35">
      <c r="A30" s="341" t="str">
        <f>General!G81</f>
        <v>w</v>
      </c>
      <c r="B30">
        <v>20</v>
      </c>
      <c r="C30" s="1" t="s">
        <v>2897</v>
      </c>
    </row>
    <row r="31" spans="1:3" x14ac:dyDescent="0.35">
      <c r="A31" s="341" t="str">
        <f>General!G82</f>
        <v>wd</v>
      </c>
      <c r="B31">
        <v>20</v>
      </c>
      <c r="C31" s="1" t="s">
        <v>2897</v>
      </c>
    </row>
    <row r="32" spans="1:3" x14ac:dyDescent="0.35">
      <c r="A32" s="341" t="str">
        <f>General!G83</f>
        <v>z</v>
      </c>
      <c r="B32">
        <v>7</v>
      </c>
      <c r="C32" s="1" t="s">
        <v>2897</v>
      </c>
    </row>
    <row r="33" spans="1:3" x14ac:dyDescent="0.35">
      <c r="A33" s="341" t="str">
        <f>General!G84</f>
        <v>zd</v>
      </c>
      <c r="B33">
        <v>7</v>
      </c>
      <c r="C33" s="1" t="s">
        <v>2897</v>
      </c>
    </row>
    <row r="35" spans="1:3" x14ac:dyDescent="0.3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188000</v>
      </c>
      <c r="C12" s="44">
        <v>1</v>
      </c>
      <c r="D12" s="44">
        <v>0</v>
      </c>
      <c r="E12" s="44">
        <v>0</v>
      </c>
      <c r="F12" s="44">
        <v>0</v>
      </c>
    </row>
    <row r="13" spans="1:17" x14ac:dyDescent="0.35">
      <c r="A13" t="s">
        <v>2763</v>
      </c>
      <c r="B13">
        <v>87000</v>
      </c>
      <c r="C13" s="44">
        <v>1</v>
      </c>
      <c r="D13" s="44">
        <v>0</v>
      </c>
      <c r="E13" s="44">
        <v>0</v>
      </c>
      <c r="F13" s="44">
        <v>0</v>
      </c>
    </row>
    <row r="14" spans="1:17" x14ac:dyDescent="0.35">
      <c r="A14" t="s">
        <v>2764</v>
      </c>
      <c r="B14">
        <v>297000</v>
      </c>
      <c r="C14" s="44">
        <v>0</v>
      </c>
      <c r="D14" s="44">
        <v>1</v>
      </c>
      <c r="E14" s="44">
        <v>0</v>
      </c>
      <c r="F14" s="44">
        <v>0</v>
      </c>
    </row>
    <row r="15" spans="1:17" x14ac:dyDescent="0.35">
      <c r="A15" t="s">
        <v>119</v>
      </c>
      <c r="B15">
        <v>30000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2761</v>
      </c>
      <c r="B30" s="432">
        <v>1</v>
      </c>
    </row>
    <row r="31" spans="1:6" ht="7.4" customHeight="1" x14ac:dyDescent="0.35"/>
    <row r="32" spans="1:6" x14ac:dyDescent="0.35">
      <c r="A32" t="s">
        <v>2901</v>
      </c>
      <c r="B32">
        <v>8.6999999999999993</v>
      </c>
      <c r="C32" s="1" t="s">
        <v>2900</v>
      </c>
    </row>
    <row r="33" spans="1:3" ht="7.15" customHeight="1" x14ac:dyDescent="0.35"/>
    <row r="34" spans="1:3" x14ac:dyDescent="0.35">
      <c r="A34" t="s">
        <v>3283</v>
      </c>
      <c r="B34">
        <v>50</v>
      </c>
      <c r="C34" s="1" t="s">
        <v>2903</v>
      </c>
    </row>
    <row r="35" spans="1:3" ht="7.15" customHeight="1" x14ac:dyDescent="0.35"/>
    <row r="36" spans="1:3" x14ac:dyDescent="0.35">
      <c r="A36" t="s">
        <v>3284</v>
      </c>
      <c r="B36">
        <v>60</v>
      </c>
      <c r="C36" s="1" t="s">
        <v>3286</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2762</v>
      </c>
      <c r="B73" s="432">
        <v>1</v>
      </c>
    </row>
    <row r="74" spans="1:5" ht="7.4" customHeight="1" x14ac:dyDescent="0.35"/>
    <row r="75" spans="1:5" x14ac:dyDescent="0.35">
      <c r="A75" t="s">
        <v>2886</v>
      </c>
      <c r="B75">
        <v>63</v>
      </c>
    </row>
    <row r="76" spans="1:5" ht="7.15" customHeight="1" x14ac:dyDescent="0.35"/>
    <row r="77" spans="1:5" x14ac:dyDescent="0.35">
      <c r="A77" t="s">
        <v>3287</v>
      </c>
      <c r="B77">
        <f>0.3*harvest_maint</f>
        <v>16.5</v>
      </c>
      <c r="C77" s="1" t="s">
        <v>3288</v>
      </c>
    </row>
    <row r="78" spans="1:5" ht="7.15" customHeight="1" x14ac:dyDescent="0.35"/>
    <row r="79" spans="1:5" x14ac:dyDescent="0.35">
      <c r="A79" t="s">
        <v>2896</v>
      </c>
      <c r="B79"/>
    </row>
    <row r="80" spans="1:5" x14ac:dyDescent="0.35">
      <c r="A80" s="341" t="str">
        <f>General!G66</f>
        <v>b</v>
      </c>
      <c r="B80">
        <v>20</v>
      </c>
      <c r="C80" s="1" t="s">
        <v>2897</v>
      </c>
      <c r="E80" s="1" t="s">
        <v>2898</v>
      </c>
    </row>
    <row r="81" spans="1:3" x14ac:dyDescent="0.35">
      <c r="A81" s="341" t="str">
        <f>General!G67</f>
        <v>bd</v>
      </c>
      <c r="B81">
        <v>20</v>
      </c>
      <c r="C81" s="1" t="s">
        <v>2897</v>
      </c>
    </row>
    <row r="82" spans="1:3" x14ac:dyDescent="0.35">
      <c r="A82" s="341" t="str">
        <f>General!G68</f>
        <v>f</v>
      </c>
      <c r="B82">
        <v>12</v>
      </c>
      <c r="C82" s="1" t="s">
        <v>2897</v>
      </c>
    </row>
    <row r="83" spans="1:3" x14ac:dyDescent="0.35">
      <c r="A83" s="341" t="str">
        <f>General!G69</f>
        <v>h</v>
      </c>
      <c r="B83">
        <v>20</v>
      </c>
      <c r="C83" s="1" t="s">
        <v>2897</v>
      </c>
    </row>
    <row r="84" spans="1:3" x14ac:dyDescent="0.35">
      <c r="A84" s="341" t="str">
        <f>General!G70</f>
        <v>i</v>
      </c>
      <c r="B84">
        <v>12</v>
      </c>
      <c r="C84" s="1" t="s">
        <v>2897</v>
      </c>
    </row>
    <row r="85" spans="1:3" x14ac:dyDescent="0.35">
      <c r="A85" s="341" t="str">
        <f>General!G71</f>
        <v>k</v>
      </c>
      <c r="B85">
        <v>12</v>
      </c>
      <c r="C85" s="1" t="s">
        <v>2897</v>
      </c>
    </row>
    <row r="86" spans="1:3" x14ac:dyDescent="0.35">
      <c r="A86" s="341" t="str">
        <f>General!G72</f>
        <v>l</v>
      </c>
      <c r="B86">
        <v>12</v>
      </c>
      <c r="C86" s="1" t="s">
        <v>2897</v>
      </c>
    </row>
    <row r="87" spans="1:3" x14ac:dyDescent="0.35">
      <c r="A87" s="341" t="str">
        <f>General!G73</f>
        <v>lf</v>
      </c>
      <c r="B87">
        <v>12</v>
      </c>
      <c r="C87" s="1" t="s">
        <v>2897</v>
      </c>
    </row>
    <row r="88" spans="1:3" x14ac:dyDescent="0.35">
      <c r="A88" s="341" t="str">
        <f>General!G74</f>
        <v>ms</v>
      </c>
      <c r="B88" s="524">
        <f>0.65*B80+0.35*B86</f>
        <v>17.2</v>
      </c>
      <c r="C88" s="1" t="s">
        <v>2897</v>
      </c>
    </row>
    <row r="89" spans="1:3" x14ac:dyDescent="0.35">
      <c r="A89" s="341" t="str">
        <f>General!G75</f>
        <v>o</v>
      </c>
      <c r="B89">
        <v>20</v>
      </c>
      <c r="C89" s="1" t="s">
        <v>2897</v>
      </c>
    </row>
    <row r="90" spans="1:3" x14ac:dyDescent="0.35">
      <c r="A90" s="341" t="str">
        <f>General!G76</f>
        <v>od</v>
      </c>
      <c r="B90">
        <v>20</v>
      </c>
      <c r="C90" s="1" t="s">
        <v>2897</v>
      </c>
    </row>
    <row r="91" spans="1:3" x14ac:dyDescent="0.35">
      <c r="A91" s="341" t="str">
        <f>General!G77</f>
        <v>of</v>
      </c>
      <c r="B91">
        <v>20</v>
      </c>
      <c r="C91" s="1" t="s">
        <v>2897</v>
      </c>
    </row>
    <row r="92" spans="1:3" x14ac:dyDescent="0.35">
      <c r="A92" s="341" t="str">
        <f>General!G78</f>
        <v>r</v>
      </c>
      <c r="B92">
        <v>7</v>
      </c>
      <c r="C92" s="1" t="s">
        <v>2897</v>
      </c>
    </row>
    <row r="93" spans="1:3" x14ac:dyDescent="0.35">
      <c r="A93" s="341" t="str">
        <f>General!G79</f>
        <v>rd</v>
      </c>
      <c r="B93">
        <v>7</v>
      </c>
      <c r="C93" s="1" t="s">
        <v>2897</v>
      </c>
    </row>
    <row r="94" spans="1:3" x14ac:dyDescent="0.35">
      <c r="A94" s="341" t="str">
        <f>General!G80</f>
        <v>v</v>
      </c>
      <c r="B94">
        <v>12</v>
      </c>
      <c r="C94" s="1" t="s">
        <v>2897</v>
      </c>
    </row>
    <row r="95" spans="1:3" x14ac:dyDescent="0.35">
      <c r="A95" s="341" t="str">
        <f>General!G81</f>
        <v>w</v>
      </c>
      <c r="B95">
        <v>20</v>
      </c>
      <c r="C95" s="1" t="s">
        <v>2897</v>
      </c>
    </row>
    <row r="96" spans="1:3" x14ac:dyDescent="0.35">
      <c r="A96" s="341" t="str">
        <f>General!G82</f>
        <v>wd</v>
      </c>
      <c r="B96">
        <v>20</v>
      </c>
      <c r="C96" s="1" t="s">
        <v>2897</v>
      </c>
    </row>
    <row r="97" spans="1:3" x14ac:dyDescent="0.35">
      <c r="A97" s="341" t="str">
        <f>General!G83</f>
        <v>z</v>
      </c>
      <c r="B97">
        <v>7</v>
      </c>
      <c r="C97" s="1" t="s">
        <v>2897</v>
      </c>
    </row>
    <row r="98" spans="1:3" x14ac:dyDescent="0.35">
      <c r="A98" s="341" t="str">
        <f>General!G84</f>
        <v>zd</v>
      </c>
      <c r="B98">
        <v>7</v>
      </c>
      <c r="C98" s="1" t="s">
        <v>2897</v>
      </c>
    </row>
    <row r="100" spans="1:3" x14ac:dyDescent="0.35">
      <c r="A100" t="s">
        <v>37</v>
      </c>
      <c r="B100">
        <v>55</v>
      </c>
      <c r="C100" s="1" t="s">
        <v>2885</v>
      </c>
    </row>
    <row r="101" spans="1:3" ht="9" customHeight="1" x14ac:dyDescent="0.35"/>
    <row r="102" spans="1:3" x14ac:dyDescent="0.35">
      <c r="A102" t="s">
        <v>37</v>
      </c>
      <c r="B102" t="s">
        <v>3285</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2">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33</v>
      </c>
      <c r="C124" s="1" t="s">
        <v>2904</v>
      </c>
    </row>
    <row r="125" spans="1:3" ht="4.1500000000000004" customHeight="1" x14ac:dyDescent="0.35"/>
    <row r="126" spans="1:3" x14ac:dyDescent="0.35">
      <c r="A126" t="s">
        <v>39</v>
      </c>
      <c r="B126">
        <v>30</v>
      </c>
      <c r="C126" s="1" t="s">
        <v>2903</v>
      </c>
    </row>
    <row r="127" spans="1:3" ht="3" customHeight="1" x14ac:dyDescent="0.35"/>
    <row r="128" spans="1:3" x14ac:dyDescent="0.35">
      <c r="A128" t="s">
        <v>40</v>
      </c>
      <c r="B128">
        <v>35</v>
      </c>
      <c r="C128" s="1" t="s">
        <v>3286</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25</v>
      </c>
    </row>
    <row r="136" spans="1:3" x14ac:dyDescent="0.35">
      <c r="A136" s="427" t="s">
        <v>69</v>
      </c>
      <c r="B136" t="str">
        <f>General!K68</f>
        <v>at_seeding</v>
      </c>
      <c r="C136"/>
    </row>
    <row r="137" spans="1:3" x14ac:dyDescent="0.35">
      <c r="A137" s="427" t="s">
        <v>2905</v>
      </c>
      <c r="B137" t="str">
        <f>General!K69</f>
        <v>mid</v>
      </c>
      <c r="C137">
        <v>25</v>
      </c>
    </row>
    <row r="138" spans="1:3" x14ac:dyDescent="0.35">
      <c r="A138" s="427" t="s">
        <v>2543</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3269</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2142</v>
      </c>
    </row>
    <row r="11" spans="1:6" x14ac:dyDescent="0.35">
      <c r="A11" t="s">
        <v>70</v>
      </c>
      <c r="B11" t="s">
        <v>71</v>
      </c>
      <c r="C11" t="s">
        <v>120</v>
      </c>
      <c r="D11" t="s">
        <v>121</v>
      </c>
      <c r="E11" t="s">
        <v>2894</v>
      </c>
      <c r="F11" t="s">
        <v>2895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2761</v>
      </c>
      <c r="B29" s="432">
        <v>1</v>
      </c>
    </row>
    <row r="30" spans="1:6" ht="7.4" customHeight="1" x14ac:dyDescent="0.35"/>
    <row r="31" spans="1:6" ht="4.9000000000000004" customHeight="1" x14ac:dyDescent="0.35"/>
    <row r="32" spans="1:6" x14ac:dyDescent="0.35">
      <c r="A32" t="s">
        <v>2901</v>
      </c>
      <c r="B32">
        <v>4</v>
      </c>
      <c r="C32" s="1" t="s">
        <v>2900</v>
      </c>
    </row>
    <row r="33" spans="1:3" ht="7.15" customHeight="1" x14ac:dyDescent="0.35"/>
    <row r="34" spans="1:3" x14ac:dyDescent="0.35">
      <c r="A34" t="s">
        <v>3283</v>
      </c>
      <c r="B34">
        <v>40</v>
      </c>
      <c r="C34" s="1" t="s">
        <v>2903</v>
      </c>
    </row>
    <row r="35" spans="1:3" ht="7.15" customHeight="1" x14ac:dyDescent="0.35"/>
    <row r="36" spans="1:3" x14ac:dyDescent="0.35">
      <c r="A36" t="s">
        <v>3284</v>
      </c>
      <c r="B36">
        <v>35</v>
      </c>
      <c r="C36" s="1" t="s">
        <v>3286</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2762</v>
      </c>
      <c r="B73" s="432">
        <v>1</v>
      </c>
    </row>
    <row r="74" spans="1:3" ht="7.4" customHeight="1" x14ac:dyDescent="0.35"/>
    <row r="75" spans="1:3" x14ac:dyDescent="0.35">
      <c r="A75" t="s">
        <v>36</v>
      </c>
      <c r="B75">
        <v>50</v>
      </c>
    </row>
    <row r="76" spans="1:3" ht="7.15" customHeight="1" x14ac:dyDescent="0.35"/>
    <row r="77" spans="1:3" x14ac:dyDescent="0.35">
      <c r="A77" t="s">
        <v>3287</v>
      </c>
      <c r="B77">
        <f>0.3*harvest_maint</f>
        <v>12</v>
      </c>
      <c r="C77" s="1" t="s">
        <v>3288</v>
      </c>
    </row>
    <row r="78" spans="1:3" ht="7.15" customHeight="1" x14ac:dyDescent="0.35"/>
    <row r="79" spans="1:3" x14ac:dyDescent="0.35">
      <c r="A79" t="s">
        <v>2896</v>
      </c>
      <c r="B79"/>
    </row>
    <row r="80" spans="1:3" x14ac:dyDescent="0.35">
      <c r="A80" s="341" t="str">
        <f>General!G66</f>
        <v>b</v>
      </c>
      <c r="B80">
        <f>'Mach 1'!B80*0.66</f>
        <v>13.200000000000001</v>
      </c>
      <c r="C80" s="1" t="s">
        <v>2897</v>
      </c>
    </row>
    <row r="81" spans="1:3" x14ac:dyDescent="0.35">
      <c r="A81" s="341" t="str">
        <f>General!G67</f>
        <v>bd</v>
      </c>
      <c r="B81">
        <f>'Mach 1'!B81*0.66</f>
        <v>13.200000000000001</v>
      </c>
      <c r="C81" s="1" t="s">
        <v>2897</v>
      </c>
    </row>
    <row r="82" spans="1:3" x14ac:dyDescent="0.35">
      <c r="A82" s="341" t="str">
        <f>General!G68</f>
        <v>f</v>
      </c>
      <c r="B82">
        <f>'Mach 1'!B82*0.66</f>
        <v>7.92</v>
      </c>
      <c r="C82" s="1" t="s">
        <v>2897</v>
      </c>
    </row>
    <row r="83" spans="1:3" x14ac:dyDescent="0.35">
      <c r="A83" s="341" t="str">
        <f>General!G69</f>
        <v>h</v>
      </c>
      <c r="B83">
        <f>'Mach 1'!B83*0.66</f>
        <v>13.200000000000001</v>
      </c>
      <c r="C83" s="1" t="s">
        <v>2897</v>
      </c>
    </row>
    <row r="84" spans="1:3" x14ac:dyDescent="0.35">
      <c r="A84" s="341" t="str">
        <f>General!G70</f>
        <v>i</v>
      </c>
      <c r="B84">
        <f>'Mach 1'!B84*0.66</f>
        <v>7.92</v>
      </c>
      <c r="C84" s="1" t="s">
        <v>2897</v>
      </c>
    </row>
    <row r="85" spans="1:3" x14ac:dyDescent="0.35">
      <c r="A85" s="341" t="str">
        <f>General!G71</f>
        <v>k</v>
      </c>
      <c r="B85">
        <f>'Mach 1'!B85*0.66</f>
        <v>7.92</v>
      </c>
      <c r="C85" s="1" t="s">
        <v>2897</v>
      </c>
    </row>
    <row r="86" spans="1:3" x14ac:dyDescent="0.35">
      <c r="A86" s="341" t="str">
        <f>General!G72</f>
        <v>l</v>
      </c>
      <c r="B86">
        <f>'Mach 1'!B86*0.66</f>
        <v>7.92</v>
      </c>
      <c r="C86" s="1" t="s">
        <v>2897</v>
      </c>
    </row>
    <row r="87" spans="1:3" x14ac:dyDescent="0.35">
      <c r="A87" s="341" t="str">
        <f>General!G73</f>
        <v>lf</v>
      </c>
      <c r="B87">
        <f>'Mach 1'!B87*0.66</f>
        <v>7.92</v>
      </c>
      <c r="C87" s="1" t="s">
        <v>2897</v>
      </c>
    </row>
    <row r="88" spans="1:3" x14ac:dyDescent="0.35">
      <c r="A88" s="341" t="str">
        <f>General!G74</f>
        <v>ms</v>
      </c>
      <c r="B88" s="524">
        <f>0.65*B80+0.35*B86</f>
        <v>11.352000000000002</v>
      </c>
      <c r="C88" s="1" t="s">
        <v>2897</v>
      </c>
    </row>
    <row r="89" spans="1:3" x14ac:dyDescent="0.35">
      <c r="A89" s="341" t="str">
        <f>General!G75</f>
        <v>o</v>
      </c>
      <c r="B89">
        <f>'Mach 1'!B89*0.66</f>
        <v>13.200000000000001</v>
      </c>
      <c r="C89" s="1" t="s">
        <v>2897</v>
      </c>
    </row>
    <row r="90" spans="1:3" x14ac:dyDescent="0.35">
      <c r="A90" s="341" t="str">
        <f>General!G76</f>
        <v>od</v>
      </c>
      <c r="B90">
        <f>'Mach 1'!B90*0.66</f>
        <v>13.200000000000001</v>
      </c>
      <c r="C90" s="1" t="s">
        <v>2897</v>
      </c>
    </row>
    <row r="91" spans="1:3" x14ac:dyDescent="0.35">
      <c r="A91" s="341" t="str">
        <f>General!G77</f>
        <v>of</v>
      </c>
      <c r="B91">
        <f>'Mach 1'!B91*0.66</f>
        <v>13.200000000000001</v>
      </c>
      <c r="C91" s="1" t="s">
        <v>2897</v>
      </c>
    </row>
    <row r="92" spans="1:3" x14ac:dyDescent="0.35">
      <c r="A92" s="341" t="str">
        <f>General!G78</f>
        <v>r</v>
      </c>
      <c r="B92">
        <f>'Mach 1'!B92*0.66</f>
        <v>4.62</v>
      </c>
      <c r="C92" s="1" t="s">
        <v>2897</v>
      </c>
    </row>
    <row r="93" spans="1:3" x14ac:dyDescent="0.35">
      <c r="A93" s="341" t="str">
        <f>General!G79</f>
        <v>rd</v>
      </c>
      <c r="B93">
        <f>'Mach 1'!B93*0.66</f>
        <v>4.62</v>
      </c>
      <c r="C93" s="1" t="s">
        <v>2897</v>
      </c>
    </row>
    <row r="94" spans="1:3" x14ac:dyDescent="0.35">
      <c r="A94" s="341" t="str">
        <f>General!G80</f>
        <v>v</v>
      </c>
      <c r="B94">
        <f>'Mach 1'!B94*0.66</f>
        <v>7.92</v>
      </c>
      <c r="C94" s="1" t="s">
        <v>2897</v>
      </c>
    </row>
    <row r="95" spans="1:3" x14ac:dyDescent="0.35">
      <c r="A95" s="341" t="str">
        <f>General!G81</f>
        <v>w</v>
      </c>
      <c r="B95">
        <f>'Mach 1'!B95*0.66</f>
        <v>13.200000000000001</v>
      </c>
      <c r="C95" s="1" t="s">
        <v>2897</v>
      </c>
    </row>
    <row r="96" spans="1:3" x14ac:dyDescent="0.35">
      <c r="A96" s="341" t="str">
        <f>General!G82</f>
        <v>wd</v>
      </c>
      <c r="B96">
        <f>'Mach 1'!B96*0.66</f>
        <v>13.200000000000001</v>
      </c>
      <c r="C96" s="1" t="s">
        <v>2897</v>
      </c>
    </row>
    <row r="97" spans="1:3" x14ac:dyDescent="0.35">
      <c r="A97" s="341" t="str">
        <f>General!G83</f>
        <v>z</v>
      </c>
      <c r="B97">
        <f>'Mach 1'!B97*0.66</f>
        <v>4.62</v>
      </c>
      <c r="C97" s="1" t="s">
        <v>2897</v>
      </c>
    </row>
    <row r="98" spans="1:3" x14ac:dyDescent="0.35">
      <c r="A98" s="341" t="str">
        <f>General!G84</f>
        <v>zd</v>
      </c>
      <c r="B98">
        <f>'Mach 1'!B98*0.66</f>
        <v>4.62</v>
      </c>
      <c r="C98" s="1" t="s">
        <v>2897</v>
      </c>
    </row>
    <row r="100" spans="1:3" x14ac:dyDescent="0.35">
      <c r="A100" t="s">
        <v>37</v>
      </c>
      <c r="B100">
        <v>40</v>
      </c>
      <c r="C100" s="1" t="s">
        <v>2885</v>
      </c>
    </row>
    <row r="102" spans="1:3" x14ac:dyDescent="0.35">
      <c r="A102" t="s">
        <v>37</v>
      </c>
      <c r="B102" t="s">
        <v>3285</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2">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23</v>
      </c>
      <c r="C124" s="1" t="s">
        <v>2904</v>
      </c>
    </row>
    <row r="125" spans="1:3" ht="4.1500000000000004" customHeight="1" x14ac:dyDescent="0.35"/>
    <row r="126" spans="1:3" x14ac:dyDescent="0.35">
      <c r="A126" t="s">
        <v>39</v>
      </c>
      <c r="B126">
        <v>20</v>
      </c>
      <c r="C126" s="1" t="s">
        <v>2903</v>
      </c>
    </row>
    <row r="127" spans="1:3" ht="3" customHeight="1" x14ac:dyDescent="0.35"/>
    <row r="128" spans="1:3" x14ac:dyDescent="0.35">
      <c r="A128" t="s">
        <v>40</v>
      </c>
      <c r="B128">
        <v>22</v>
      </c>
      <c r="C128" s="1" t="s">
        <v>3286</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20</v>
      </c>
    </row>
    <row r="136" spans="1:3" x14ac:dyDescent="0.35">
      <c r="A136" s="427" t="s">
        <v>69</v>
      </c>
      <c r="B136" t="str">
        <f>General!K68</f>
        <v>at_seeding</v>
      </c>
      <c r="C136"/>
    </row>
    <row r="137" spans="1:3" x14ac:dyDescent="0.35">
      <c r="A137" s="427" t="s">
        <v>2905</v>
      </c>
      <c r="B137" t="str">
        <f>General!K69</f>
        <v>mid</v>
      </c>
      <c r="C137">
        <v>20</v>
      </c>
    </row>
    <row r="138" spans="1:3" x14ac:dyDescent="0.35">
      <c r="A138" s="427" t="s">
        <v>2543</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250000</v>
      </c>
      <c r="C12" s="44">
        <v>1</v>
      </c>
      <c r="D12" s="44">
        <v>0</v>
      </c>
      <c r="E12" s="44">
        <v>0</v>
      </c>
      <c r="F12" s="44">
        <v>0</v>
      </c>
    </row>
    <row r="13" spans="1:17" x14ac:dyDescent="0.35">
      <c r="A13" t="s">
        <v>2763</v>
      </c>
      <c r="B13">
        <v>115000</v>
      </c>
      <c r="C13" s="44">
        <v>1</v>
      </c>
      <c r="D13" s="44">
        <v>0</v>
      </c>
      <c r="E13" s="44">
        <v>0</v>
      </c>
      <c r="F13" s="44">
        <v>0</v>
      </c>
    </row>
    <row r="14" spans="1:17" x14ac:dyDescent="0.35">
      <c r="A14" t="s">
        <v>2764</v>
      </c>
      <c r="B14">
        <v>500000</v>
      </c>
      <c r="C14" s="44">
        <v>0</v>
      </c>
      <c r="D14" s="44">
        <v>1</v>
      </c>
      <c r="E14" s="44">
        <v>0</v>
      </c>
      <c r="F14" s="44">
        <v>0</v>
      </c>
    </row>
    <row r="15" spans="1:17" x14ac:dyDescent="0.35">
      <c r="A15" t="s">
        <v>119</v>
      </c>
      <c r="B15">
        <v>50000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2761</v>
      </c>
      <c r="B29" s="432">
        <v>1</v>
      </c>
    </row>
    <row r="30" spans="1:6" ht="7.4" customHeight="1" x14ac:dyDescent="0.35"/>
    <row r="31" spans="1:6" x14ac:dyDescent="0.35">
      <c r="A31" t="s">
        <v>2901</v>
      </c>
      <c r="B31">
        <v>12.5</v>
      </c>
      <c r="C31" s="1" t="s">
        <v>2900</v>
      </c>
      <c r="D31" s="1" t="s">
        <v>3020</v>
      </c>
    </row>
    <row r="32" spans="1:6" ht="7.15" customHeight="1" x14ac:dyDescent="0.35"/>
    <row r="33" spans="1:3" x14ac:dyDescent="0.35">
      <c r="A33" t="s">
        <v>3283</v>
      </c>
      <c r="B33">
        <v>60</v>
      </c>
      <c r="C33" s="1" t="s">
        <v>2903</v>
      </c>
    </row>
    <row r="34" spans="1:3" ht="7.15" customHeight="1" x14ac:dyDescent="0.35"/>
    <row r="35" spans="1:3" x14ac:dyDescent="0.35">
      <c r="A35" t="s">
        <v>3284</v>
      </c>
      <c r="B35">
        <v>78</v>
      </c>
      <c r="C35" s="1" t="s">
        <v>3286</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2762</v>
      </c>
      <c r="B72" s="432">
        <v>1</v>
      </c>
    </row>
    <row r="73" spans="1:3" ht="7.4" customHeight="1" x14ac:dyDescent="0.35"/>
    <row r="74" spans="1:3" x14ac:dyDescent="0.35">
      <c r="A74" t="s">
        <v>2886</v>
      </c>
      <c r="B74">
        <v>63</v>
      </c>
    </row>
    <row r="75" spans="1:3" ht="7.15" customHeight="1" x14ac:dyDescent="0.35"/>
    <row r="76" spans="1:3" x14ac:dyDescent="0.35">
      <c r="A76" t="s">
        <v>3287</v>
      </c>
      <c r="B76">
        <f>0.3*harvest_maint</f>
        <v>24</v>
      </c>
      <c r="C76" s="1" t="s">
        <v>3288</v>
      </c>
    </row>
    <row r="77" spans="1:3" ht="7.15" customHeight="1" x14ac:dyDescent="0.35"/>
    <row r="78" spans="1:3" x14ac:dyDescent="0.35">
      <c r="A78" t="s">
        <v>2896</v>
      </c>
      <c r="B78"/>
    </row>
    <row r="79" spans="1:3" x14ac:dyDescent="0.35">
      <c r="A79" s="341" t="str">
        <f>General!G66</f>
        <v>b</v>
      </c>
      <c r="B79">
        <v>30</v>
      </c>
      <c r="C79" s="1" t="s">
        <v>2897</v>
      </c>
    </row>
    <row r="80" spans="1:3" x14ac:dyDescent="0.35">
      <c r="A80" s="341" t="str">
        <f>General!G67</f>
        <v>bd</v>
      </c>
      <c r="B80">
        <v>30</v>
      </c>
      <c r="C80" s="1" t="s">
        <v>2897</v>
      </c>
    </row>
    <row r="81" spans="1:3" x14ac:dyDescent="0.35">
      <c r="A81" s="341" t="str">
        <f>General!G68</f>
        <v>f</v>
      </c>
      <c r="B81">
        <v>18</v>
      </c>
      <c r="C81" s="1" t="s">
        <v>2897</v>
      </c>
    </row>
    <row r="82" spans="1:3" x14ac:dyDescent="0.35">
      <c r="A82" s="341" t="str">
        <f>General!G69</f>
        <v>h</v>
      </c>
      <c r="B82">
        <v>30</v>
      </c>
      <c r="C82" s="1" t="s">
        <v>2897</v>
      </c>
    </row>
    <row r="83" spans="1:3" x14ac:dyDescent="0.35">
      <c r="A83" s="341" t="str">
        <f>General!G70</f>
        <v>i</v>
      </c>
      <c r="B83">
        <v>18</v>
      </c>
      <c r="C83" s="1" t="s">
        <v>2897</v>
      </c>
    </row>
    <row r="84" spans="1:3" x14ac:dyDescent="0.35">
      <c r="A84" s="341" t="str">
        <f>General!G71</f>
        <v>k</v>
      </c>
      <c r="B84">
        <v>18</v>
      </c>
      <c r="C84" s="1" t="s">
        <v>2897</v>
      </c>
    </row>
    <row r="85" spans="1:3" x14ac:dyDescent="0.35">
      <c r="A85" s="341" t="str">
        <f>General!G72</f>
        <v>l</v>
      </c>
      <c r="B85">
        <v>18</v>
      </c>
      <c r="C85" s="1" t="s">
        <v>2897</v>
      </c>
    </row>
    <row r="86" spans="1:3" x14ac:dyDescent="0.35">
      <c r="A86" s="341" t="str">
        <f>General!G73</f>
        <v>lf</v>
      </c>
      <c r="B86">
        <v>18</v>
      </c>
      <c r="C86" s="1" t="s">
        <v>2897</v>
      </c>
    </row>
    <row r="87" spans="1:3" x14ac:dyDescent="0.35">
      <c r="A87" s="341" t="str">
        <f>General!G74</f>
        <v>ms</v>
      </c>
      <c r="B87" s="524">
        <f>0.65*B79+0.35*B85</f>
        <v>25.8</v>
      </c>
      <c r="C87" s="1" t="s">
        <v>2897</v>
      </c>
    </row>
    <row r="88" spans="1:3" x14ac:dyDescent="0.35">
      <c r="A88" s="341" t="str">
        <f>General!G75</f>
        <v>o</v>
      </c>
      <c r="B88">
        <v>30</v>
      </c>
      <c r="C88" s="1" t="s">
        <v>2897</v>
      </c>
    </row>
    <row r="89" spans="1:3" x14ac:dyDescent="0.35">
      <c r="A89" s="341" t="str">
        <f>General!G76</f>
        <v>od</v>
      </c>
      <c r="B89">
        <v>30</v>
      </c>
      <c r="C89" s="1" t="s">
        <v>2897</v>
      </c>
    </row>
    <row r="90" spans="1:3" x14ac:dyDescent="0.35">
      <c r="A90" s="341" t="str">
        <f>General!G77</f>
        <v>of</v>
      </c>
      <c r="B90">
        <v>30</v>
      </c>
      <c r="C90" s="1" t="s">
        <v>2897</v>
      </c>
    </row>
    <row r="91" spans="1:3" x14ac:dyDescent="0.35">
      <c r="A91" s="341" t="str">
        <f>General!G78</f>
        <v>r</v>
      </c>
      <c r="B91">
        <v>12</v>
      </c>
      <c r="C91" s="1" t="s">
        <v>2897</v>
      </c>
    </row>
    <row r="92" spans="1:3" x14ac:dyDescent="0.35">
      <c r="A92" s="341" t="str">
        <f>General!G79</f>
        <v>rd</v>
      </c>
      <c r="B92">
        <v>12</v>
      </c>
      <c r="C92" s="1" t="s">
        <v>2897</v>
      </c>
    </row>
    <row r="93" spans="1:3" x14ac:dyDescent="0.35">
      <c r="A93" s="341" t="str">
        <f>General!G80</f>
        <v>v</v>
      </c>
      <c r="B93">
        <v>18</v>
      </c>
      <c r="C93" s="1" t="s">
        <v>2897</v>
      </c>
    </row>
    <row r="94" spans="1:3" x14ac:dyDescent="0.35">
      <c r="A94" s="341" t="str">
        <f>General!G81</f>
        <v>w</v>
      </c>
      <c r="B94">
        <v>30</v>
      </c>
      <c r="C94" s="1" t="s">
        <v>2897</v>
      </c>
    </row>
    <row r="95" spans="1:3" x14ac:dyDescent="0.35">
      <c r="A95" s="341" t="str">
        <f>General!G82</f>
        <v>wd</v>
      </c>
      <c r="B95">
        <v>30</v>
      </c>
      <c r="C95" s="1" t="s">
        <v>2897</v>
      </c>
    </row>
    <row r="96" spans="1:3" x14ac:dyDescent="0.35">
      <c r="A96" s="341" t="str">
        <f>General!G83</f>
        <v>z</v>
      </c>
      <c r="B96">
        <v>12</v>
      </c>
      <c r="C96" s="1" t="s">
        <v>2897</v>
      </c>
    </row>
    <row r="97" spans="1:3" x14ac:dyDescent="0.35">
      <c r="A97" s="341" t="str">
        <f>General!G84</f>
        <v>zd</v>
      </c>
      <c r="B97">
        <v>12</v>
      </c>
      <c r="C97" s="1" t="s">
        <v>2897</v>
      </c>
    </row>
    <row r="99" spans="1:3" x14ac:dyDescent="0.35">
      <c r="A99" t="s">
        <v>37</v>
      </c>
      <c r="B99">
        <v>80</v>
      </c>
      <c r="C99" s="1" t="s">
        <v>2885</v>
      </c>
    </row>
    <row r="101" spans="1:3" x14ac:dyDescent="0.35">
      <c r="A101" t="s">
        <v>37</v>
      </c>
      <c r="B101" t="s">
        <v>3285</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2">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2902</v>
      </c>
      <c r="B123">
        <v>50</v>
      </c>
      <c r="C123" s="1" t="s">
        <v>2904</v>
      </c>
    </row>
    <row r="124" spans="1:3" ht="4.1500000000000004" customHeight="1" x14ac:dyDescent="0.35"/>
    <row r="125" spans="1:3" x14ac:dyDescent="0.35">
      <c r="A125" t="s">
        <v>39</v>
      </c>
      <c r="B125">
        <v>40</v>
      </c>
      <c r="C125" s="1" t="s">
        <v>2903</v>
      </c>
    </row>
    <row r="126" spans="1:3" ht="3" customHeight="1" x14ac:dyDescent="0.35"/>
    <row r="127" spans="1:3" x14ac:dyDescent="0.35">
      <c r="A127" t="s">
        <v>40</v>
      </c>
      <c r="B127">
        <v>50</v>
      </c>
      <c r="C127" s="1" t="s">
        <v>3286</v>
      </c>
    </row>
    <row r="129" spans="1:3" x14ac:dyDescent="0.35">
      <c r="A129" s="3" t="s">
        <v>41</v>
      </c>
    </row>
    <row r="130" spans="1:3" x14ac:dyDescent="0.35">
      <c r="A130" t="s">
        <v>42</v>
      </c>
      <c r="B130">
        <v>20</v>
      </c>
      <c r="C130" s="1" t="s">
        <v>116</v>
      </c>
    </row>
    <row r="132" spans="1:3" x14ac:dyDescent="0.35">
      <c r="B132" t="s">
        <v>43</v>
      </c>
      <c r="C132"/>
    </row>
    <row r="133" spans="1:3" x14ac:dyDescent="0.35">
      <c r="A133" s="427" t="s">
        <v>45</v>
      </c>
      <c r="B133" t="str">
        <f>General!K66</f>
        <v>lime</v>
      </c>
      <c r="C133">
        <v>15</v>
      </c>
    </row>
    <row r="134" spans="1:3" x14ac:dyDescent="0.35">
      <c r="A134" s="427" t="s">
        <v>44</v>
      </c>
      <c r="B134" t="str">
        <f>General!K67</f>
        <v>early</v>
      </c>
      <c r="C134">
        <v>25</v>
      </c>
    </row>
    <row r="135" spans="1:3" x14ac:dyDescent="0.35">
      <c r="A135" s="427" t="s">
        <v>69</v>
      </c>
      <c r="B135" t="str">
        <f>General!K68</f>
        <v>at_seeding</v>
      </c>
      <c r="C135"/>
    </row>
    <row r="136" spans="1:3" x14ac:dyDescent="0.35">
      <c r="A136" s="427" t="s">
        <v>2905</v>
      </c>
      <c r="B136" t="str">
        <f>General!K69</f>
        <v>mid</v>
      </c>
      <c r="C136">
        <v>25</v>
      </c>
    </row>
    <row r="137" spans="1:3" x14ac:dyDescent="0.35">
      <c r="A137" s="427" t="s">
        <v>2543</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2026-05-13T03:16:55Z</dcterms:modified>
</cp:coreProperties>
</file>